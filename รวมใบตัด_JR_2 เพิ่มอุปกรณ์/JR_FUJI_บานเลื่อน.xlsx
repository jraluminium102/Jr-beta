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ารบัญ" sheetId="1" state="visible" r:id="rId1"/>
    <sheet xmlns:r="http://schemas.openxmlformats.org/officeDocument/2006/relationships" name="เลื่อนสลับ(มุ้ง)" sheetId="2" state="visible" r:id="rId2"/>
    <sheet xmlns:r="http://schemas.openxmlformats.org/officeDocument/2006/relationships" name="เลื่อนแบ่ง4" sheetId="3" state="visible" r:id="rId3"/>
    <sheet xmlns:r="http://schemas.openxmlformats.org/officeDocument/2006/relationships" name="เลื่อนแบ่ง6-กลาง" sheetId="4" state="visible" r:id="rId4"/>
    <sheet xmlns:r="http://schemas.openxmlformats.org/officeDocument/2006/relationships" name="เลื่อนสลับ" sheetId="5" state="visible" r:id="rId5"/>
    <sheet xmlns:r="http://schemas.openxmlformats.org/officeDocument/2006/relationships" name="เลื่อน-ติดตาย78" sheetId="6" state="visible" r:id="rId6"/>
    <sheet xmlns:r="http://schemas.openxmlformats.org/officeDocument/2006/relationships" name="เลื่อน-ติดตาย66" sheetId="7" state="visible" r:id="rId7"/>
    <sheet xmlns:r="http://schemas.openxmlformats.org/officeDocument/2006/relationships" name="เลื่อน3ราง" sheetId="8" state="visible" r:id="rId8"/>
    <sheet xmlns:r="http://schemas.openxmlformats.org/officeDocument/2006/relationships" name="เลื่อนสลับ66ช่องแสงล่าง" sheetId="9" state="visible" r:id="rId9"/>
    <sheet xmlns:r="http://schemas.openxmlformats.org/officeDocument/2006/relationships" name="เลื่อนสลับ2ราง" sheetId="10" state="visible" r:id="rId10"/>
    <sheet xmlns:r="http://schemas.openxmlformats.org/officeDocument/2006/relationships" name="เลื่อนสลับ ภายใน+มุ้ง" sheetId="11" state="visible" r:id="rId11"/>
    <sheet xmlns:r="http://schemas.openxmlformats.org/officeDocument/2006/relationships" name="เลื่อนสลับ ภายใน" sheetId="12" state="visible" r:id="rId12"/>
    <sheet xmlns:r="http://schemas.openxmlformats.org/officeDocument/2006/relationships" name="เลื่อน3ราง ภายใน" sheetId="13" state="visible" r:id="rId13"/>
    <sheet xmlns:r="http://schemas.openxmlformats.org/officeDocument/2006/relationships" name="เลื่อน4ราง ภายใน" sheetId="14" state="visible" r:id="rId14"/>
    <sheet xmlns:r="http://schemas.openxmlformats.org/officeDocument/2006/relationships" name="เลื่อน5ราง ภายใน" sheetId="15" state="visible" r:id="rId15"/>
    <sheet xmlns:r="http://schemas.openxmlformats.org/officeDocument/2006/relationships" name="เลื่อนสลับเสา66" sheetId="16" state="visible" r:id="rId16"/>
    <sheet xmlns:r="http://schemas.openxmlformats.org/officeDocument/2006/relationships" name="เลื่อน4 (2)" sheetId="17" state="visible" r:id="rId17"/>
    <sheet xmlns:r="http://schemas.openxmlformats.org/officeDocument/2006/relationships" name="เลื่อน5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\ &quot;mm&quot;"/>
    <numFmt numFmtId="165" formatCode="#,##0\ &quot;mm&quot;"/>
    <numFmt numFmtId="166" formatCode="0.0"/>
  </numFmts>
  <fonts count="34">
    <font>
      <name val="Calibri"/>
      <family val="2"/>
      <color theme="1"/>
      <sz val="11"/>
      <scheme val="minor"/>
    </font>
    <font>
      <name val="Tahoma"/>
      <b val="1"/>
      <color rgb="001F4E78"/>
      <sz val="12"/>
    </font>
    <font>
      <name val="Microsoft Sans Serif"/>
      <family val="2"/>
      <color theme="1"/>
      <sz val="11"/>
    </font>
    <font>
      <name val="Microsoft Sans Serif"/>
      <family val="2"/>
      <b val="1"/>
      <color theme="1"/>
      <sz val="16"/>
    </font>
    <font>
      <name val="Microsoft Sans Serif"/>
      <family val="2"/>
      <color theme="1"/>
      <sz val="12"/>
    </font>
    <font>
      <name val="Microsoft Sans Serif"/>
      <family val="2"/>
      <color theme="1"/>
      <sz val="26"/>
    </font>
    <font>
      <name val="Microsoft Sans Serif"/>
      <family val="2"/>
      <color theme="1"/>
      <sz val="16"/>
    </font>
    <font>
      <name val="Microsoft Sans Serif"/>
      <family val="2"/>
      <color theme="1"/>
      <sz val="18"/>
    </font>
    <font>
      <name val="Microsoft Sans Serif"/>
      <family val="2"/>
      <color theme="1"/>
      <sz val="14"/>
    </font>
    <font>
      <name val="Microsoft Sans Serif"/>
      <family val="2"/>
      <sz val="16"/>
    </font>
    <font>
      <name val="Microsoft Sans Serif"/>
      <family val="2"/>
      <color theme="1"/>
      <sz val="20"/>
    </font>
    <font>
      <name val="Tahoma"/>
      <charset val="222"/>
      <family val="2"/>
      <sz val="11"/>
      <scheme val="minor"/>
    </font>
    <font>
      <name val="Tahoma"/>
      <b val="1"/>
      <color rgb="00C00000"/>
      <sz val="9"/>
    </font>
    <font>
      <name val="Tahoma"/>
      <charset val="222"/>
      <family val="2"/>
      <color theme="1"/>
      <sz val="16"/>
      <scheme val="minor"/>
    </font>
    <font>
      <name val="Tahoma"/>
      <charset val="222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</font>
    <font>
      <name val="Tahoma"/>
      <sz val="10"/>
    </font>
    <font>
      <name val="Tahoma"/>
      <b val="1"/>
      <sz val="10"/>
    </font>
    <font>
      <name val="Microsoft Sans Serif"/>
      <family val="2"/>
      <color theme="1"/>
      <sz val="22"/>
    </font>
    <font>
      <name val="Tahoma"/>
      <charset val="222"/>
      <family val="2"/>
      <color theme="1"/>
      <sz val="18"/>
      <scheme val="minor"/>
    </font>
    <font>
      <name val="Microsoft Sans Serif"/>
      <family val="2"/>
      <color theme="1"/>
      <sz val="36"/>
    </font>
    <font>
      <name val="Microsoft Sans Serif"/>
      <family val="2"/>
      <color theme="1"/>
      <sz val="24"/>
    </font>
    <font>
      <name val="Tahoma"/>
    </font>
    <font>
      <name val="Tahoma"/>
      <b val="1"/>
    </font>
    <font>
      <name val="Tahoma"/>
      <i val="1"/>
      <sz val="9"/>
    </font>
    <font>
      <name val="Tahoma"/>
      <b val="1"/>
      <color rgb="00FFFFFF"/>
      <sz val="13"/>
    </font>
    <font>
      <name val="Tahoma"/>
      <b val="1"/>
      <sz val="11"/>
    </font>
    <font>
      <name val="Tahoma"/>
      <color rgb="000563C1"/>
      <sz val="11"/>
      <u val="single"/>
    </font>
    <font>
      <name val="Tahoma"/>
      <color rgb="000563C1"/>
      <sz val="10"/>
      <u val="single"/>
    </font>
    <font>
      <name val="Tahoma"/>
      <b val="1"/>
      <sz val="9"/>
    </font>
    <font>
      <name val="Tahoma"/>
      <sz val="8"/>
    </font>
    <font>
      <name val="Tahoma"/>
      <b val="1"/>
      <color rgb="00FFFFFF"/>
      <sz val="8"/>
    </font>
    <font>
      <name val="Tahoma"/>
      <b val="1"/>
      <color rgb="00FFFFFF"/>
      <sz val="10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7F77DD"/>
      </patternFill>
    </fill>
    <fill>
      <patternFill patternType="solid">
        <fgColor rgb="002E75B6"/>
      </patternFill>
    </fill>
    <fill>
      <patternFill patternType="solid">
        <fgColor rgb="00FFE699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1F4E79"/>
      </patternFill>
    </fill>
  </fills>
  <borders count="4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164" fontId="5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6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6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6" fillId="0" borderId="4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6" fillId="0" borderId="1" applyAlignment="1" pivotButton="0" quotePrefix="0" xfId="0">
      <alignment horizontal="center" vertical="top" wrapText="1"/>
    </xf>
    <xf numFmtId="0" fontId="6" fillId="0" borderId="3" applyAlignment="1" pivotButton="0" quotePrefix="0" xfId="0">
      <alignment horizontal="center" vertical="top" wrapText="1"/>
    </xf>
    <xf numFmtId="0" fontId="7" fillId="3" borderId="9" applyAlignment="1" pivotButton="0" quotePrefix="0" xfId="0">
      <alignment vertical="center"/>
    </xf>
    <xf numFmtId="0" fontId="7" fillId="3" borderId="10" applyAlignment="1" pivotButton="0" quotePrefix="0" xfId="0">
      <alignment horizontal="center" vertical="center"/>
    </xf>
    <xf numFmtId="0" fontId="7" fillId="3" borderId="11" applyAlignment="1" pivotButton="0" quotePrefix="0" xfId="0">
      <alignment vertical="center"/>
    </xf>
    <xf numFmtId="0" fontId="6" fillId="4" borderId="6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 wrapText="1"/>
    </xf>
    <xf numFmtId="0" fontId="0" fillId="0" borderId="12" pivotButton="0" quotePrefix="0" xfId="0"/>
    <xf numFmtId="0" fontId="6" fillId="0" borderId="13" applyAlignment="1" pivotButton="0" quotePrefix="0" xfId="0">
      <alignment horizontal="center" vertical="center"/>
    </xf>
    <xf numFmtId="0" fontId="0" fillId="0" borderId="14" pivotButton="0" quotePrefix="0" xfId="0"/>
    <xf numFmtId="0" fontId="6" fillId="0" borderId="15" applyAlignment="1" pivotButton="0" quotePrefix="0" xfId="0">
      <alignment horizontal="center" vertical="center"/>
    </xf>
    <xf numFmtId="0" fontId="0" fillId="0" borderId="16" pivotButton="0" quotePrefix="0" xfId="0"/>
    <xf numFmtId="0" fontId="6" fillId="0" borderId="14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7" fillId="2" borderId="17" applyAlignment="1" pivotButton="0" quotePrefix="0" xfId="0">
      <alignment vertical="center"/>
    </xf>
    <xf numFmtId="0" fontId="7" fillId="2" borderId="7" applyAlignment="1" pivotButton="0" quotePrefix="0" xfId="0">
      <alignment horizontal="center" vertical="center"/>
    </xf>
    <xf numFmtId="0" fontId="7" fillId="2" borderId="18" applyAlignment="1" pivotButton="0" quotePrefix="0" xfId="0">
      <alignment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6" fillId="0" borderId="22" applyAlignment="1" pivotButton="0" quotePrefix="0" xfId="0">
      <alignment horizontal="center" vertical="center"/>
    </xf>
    <xf numFmtId="0" fontId="0" fillId="0" borderId="18" pivotButton="0" quotePrefix="0" xfId="0"/>
    <xf numFmtId="0" fontId="6" fillId="0" borderId="22" applyAlignment="1" pivotButton="0" quotePrefix="0" xfId="0">
      <alignment horizontal="center" vertical="center" wrapText="1"/>
    </xf>
    <xf numFmtId="0" fontId="8" fillId="3" borderId="23" applyAlignment="1" pivotButton="0" quotePrefix="0" xfId="0">
      <alignment horizontal="center" vertical="center"/>
    </xf>
    <xf numFmtId="0" fontId="8" fillId="3" borderId="6" applyAlignment="1" pivotButton="0" quotePrefix="0" xfId="0">
      <alignment horizontal="center" vertical="center"/>
    </xf>
    <xf numFmtId="165" fontId="8" fillId="2" borderId="18" applyAlignment="1" pivotButton="0" quotePrefix="0" xfId="0">
      <alignment vertical="center"/>
    </xf>
    <xf numFmtId="0" fontId="9" fillId="2" borderId="24" applyAlignment="1" pivotButton="0" quotePrefix="0" xfId="0">
      <alignment horizontal="center" vertical="center" wrapText="1"/>
    </xf>
    <xf numFmtId="0" fontId="9" fillId="2" borderId="25" applyAlignment="1" pivotButton="0" quotePrefix="0" xfId="0">
      <alignment horizontal="center" vertical="center" wrapText="1"/>
    </xf>
    <xf numFmtId="0" fontId="9" fillId="2" borderId="26" applyAlignment="1" pivotButton="0" quotePrefix="0" xfId="0">
      <alignment horizontal="center" vertical="center"/>
    </xf>
    <xf numFmtId="0" fontId="9" fillId="2" borderId="27" applyAlignment="1" pivotButton="0" quotePrefix="0" xfId="0">
      <alignment horizontal="center" vertical="center"/>
    </xf>
    <xf numFmtId="0" fontId="9" fillId="5" borderId="28" applyAlignment="1" pivotButton="0" quotePrefix="0" xfId="0">
      <alignment horizontal="center" vertical="center"/>
    </xf>
    <xf numFmtId="1" fontId="6" fillId="5" borderId="27" applyAlignment="1" pivotButton="0" quotePrefix="0" xfId="0">
      <alignment horizontal="center" vertical="center"/>
    </xf>
    <xf numFmtId="1" fontId="6" fillId="5" borderId="26" applyAlignment="1" pivotButton="0" quotePrefix="0" xfId="0">
      <alignment horizontal="center" vertical="center"/>
    </xf>
    <xf numFmtId="0" fontId="9" fillId="6" borderId="28" applyAlignment="1" pivotButton="0" quotePrefix="0" xfId="0">
      <alignment horizontal="center" vertical="center"/>
    </xf>
    <xf numFmtId="0" fontId="9" fillId="6" borderId="25" applyAlignment="1" pivotButton="0" quotePrefix="0" xfId="0">
      <alignment horizontal="center" vertical="center"/>
    </xf>
    <xf numFmtId="0" fontId="9" fillId="6" borderId="26" applyAlignment="1" pivotButton="0" quotePrefix="0" xfId="0">
      <alignment horizontal="center" vertical="center" wrapText="1"/>
    </xf>
    <xf numFmtId="0" fontId="10" fillId="0" borderId="29" applyAlignment="1" pivotButton="0" quotePrefix="0" xfId="0">
      <alignment horizontal="center" vertical="center"/>
    </xf>
    <xf numFmtId="0" fontId="10" fillId="0" borderId="30" applyAlignment="1" pivotButton="0" quotePrefix="0" xfId="0">
      <alignment horizontal="center" vertical="center"/>
    </xf>
    <xf numFmtId="0" fontId="10" fillId="0" borderId="31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166" fontId="10" fillId="0" borderId="33" applyAlignment="1" pivotButton="0" quotePrefix="0" xfId="0">
      <alignment horizontal="center" vertical="center"/>
    </xf>
    <xf numFmtId="1" fontId="10" fillId="7" borderId="33" applyAlignment="1" pivotButton="0" quotePrefix="0" xfId="0">
      <alignment horizontal="center" vertical="center"/>
    </xf>
    <xf numFmtId="1" fontId="10" fillId="7" borderId="30" applyAlignment="1" pivotButton="0" quotePrefix="0" xfId="0">
      <alignment horizontal="center" vertical="center"/>
    </xf>
    <xf numFmtId="0" fontId="10" fillId="7" borderId="31" applyAlignment="1" pivotButton="0" quotePrefix="0" xfId="0">
      <alignment horizontal="center" vertical="center"/>
    </xf>
    <xf numFmtId="166" fontId="10" fillId="8" borderId="33" applyAlignment="1" pivotButton="0" quotePrefix="0" xfId="0">
      <alignment horizontal="center" vertical="center"/>
    </xf>
    <xf numFmtId="0" fontId="10" fillId="8" borderId="31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6" applyAlignment="1" pivotButton="0" quotePrefix="0" xfId="0">
      <alignment horizontal="center" vertical="center"/>
    </xf>
    <xf numFmtId="0" fontId="13" fillId="0" borderId="17" applyAlignment="1" pivotButton="0" quotePrefix="0" xfId="0">
      <alignment vertical="center"/>
    </xf>
    <xf numFmtId="0" fontId="13" fillId="0" borderId="6" applyAlignment="1" pivotButton="0" quotePrefix="0" xfId="0">
      <alignment horizontal="center" vertical="center"/>
    </xf>
    <xf numFmtId="0" fontId="14" fillId="0" borderId="6" pivotButton="0" quotePrefix="0" xfId="0"/>
    <xf numFmtId="0" fontId="14" fillId="0" borderId="0" applyAlignment="1" pivotButton="0" quotePrefix="0" xfId="0">
      <alignment horizontal="center"/>
    </xf>
    <xf numFmtId="0" fontId="15" fillId="9" borderId="40" pivotButton="0" quotePrefix="0" xfId="0"/>
    <xf numFmtId="0" fontId="0" fillId="9" borderId="40" pivotButton="0" quotePrefix="0" xfId="0"/>
    <xf numFmtId="0" fontId="16" fillId="10" borderId="40" applyAlignment="1" pivotButton="0" quotePrefix="0" xfId="0">
      <alignment horizontal="center" vertical="center" wrapText="1"/>
    </xf>
    <xf numFmtId="0" fontId="0" fillId="0" borderId="40" applyAlignment="1" pivotButton="0" quotePrefix="0" xfId="0">
      <alignment horizontal="center" vertical="center" wrapText="1"/>
    </xf>
    <xf numFmtId="0" fontId="17" fillId="0" borderId="40" pivotButton="0" quotePrefix="0" xfId="0"/>
    <xf numFmtId="0" fontId="17" fillId="0" borderId="40" applyAlignment="1" pivotButton="0" quotePrefix="0" xfId="0">
      <alignment horizontal="center" vertical="center" wrapText="1"/>
    </xf>
    <xf numFmtId="0" fontId="17" fillId="0" borderId="40" applyAlignment="1" pivotButton="0" quotePrefix="0" xfId="0">
      <alignment horizontal="left" vertical="center" wrapText="1"/>
    </xf>
    <xf numFmtId="0" fontId="0" fillId="0" borderId="40" pivotButton="0" quotePrefix="0" xfId="0"/>
    <xf numFmtId="0" fontId="18" fillId="11" borderId="40" applyAlignment="1" pivotButton="0" quotePrefix="0" xfId="0">
      <alignment horizontal="center" vertical="center" wrapText="1"/>
    </xf>
    <xf numFmtId="164" fontId="5" fillId="2" borderId="0" applyAlignment="1" pivotButton="0" quotePrefix="0" xfId="0">
      <alignment vertical="center"/>
    </xf>
    <xf numFmtId="164" fontId="4" fillId="2" borderId="0" applyAlignment="1" pivotButton="0" quotePrefix="0" xfId="0">
      <alignment vertical="center"/>
    </xf>
    <xf numFmtId="0" fontId="6" fillId="0" borderId="41" applyAlignment="1" pivotButton="0" quotePrefix="0" xfId="0">
      <alignment horizontal="center" vertical="top" wrapText="1"/>
    </xf>
    <xf numFmtId="0" fontId="7" fillId="2" borderId="29" applyAlignment="1" pivotButton="0" quotePrefix="0" xfId="0">
      <alignment horizontal="center" vertical="center"/>
    </xf>
    <xf numFmtId="0" fontId="7" fillId="0" borderId="30" applyAlignment="1" pivotButton="0" quotePrefix="0" xfId="0">
      <alignment horizontal="center" vertical="center"/>
    </xf>
    <xf numFmtId="0" fontId="7" fillId="0" borderId="31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166" fontId="7" fillId="0" borderId="33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1" fontId="7" fillId="7" borderId="33" applyAlignment="1" pivotButton="0" quotePrefix="0" xfId="0">
      <alignment horizontal="center" vertical="center"/>
    </xf>
    <xf numFmtId="1" fontId="7" fillId="7" borderId="30" applyAlignment="1" pivotButton="0" quotePrefix="0" xfId="0">
      <alignment horizontal="center" vertical="center"/>
    </xf>
    <xf numFmtId="0" fontId="7" fillId="7" borderId="31" applyAlignment="1" pivotButton="0" quotePrefix="0" xfId="0">
      <alignment horizontal="center" vertical="center"/>
    </xf>
    <xf numFmtId="166" fontId="7" fillId="8" borderId="33" applyAlignment="1" pivotButton="0" quotePrefix="0" xfId="0">
      <alignment horizontal="center" vertical="center"/>
    </xf>
    <xf numFmtId="0" fontId="7" fillId="8" borderId="31" applyAlignment="1" pivotButton="0" quotePrefix="0" xfId="0">
      <alignment horizontal="center" vertical="center"/>
    </xf>
    <xf numFmtId="0" fontId="6" fillId="8" borderId="31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0" fontId="6" fillId="0" borderId="30" applyAlignment="1" pivotButton="0" quotePrefix="0" xfId="0">
      <alignment horizontal="center" vertical="center"/>
    </xf>
    <xf numFmtId="0" fontId="6" fillId="0" borderId="32" applyAlignment="1" pivotButton="0" quotePrefix="0" xfId="0">
      <alignment horizontal="center" vertical="center"/>
    </xf>
    <xf numFmtId="166" fontId="6" fillId="0" borderId="33" applyAlignment="1" pivotButton="0" quotePrefix="0" xfId="0">
      <alignment horizontal="center" vertical="center"/>
    </xf>
    <xf numFmtId="1" fontId="6" fillId="7" borderId="33" applyAlignment="1" pivotButton="0" quotePrefix="0" xfId="0">
      <alignment horizontal="center" vertical="center"/>
    </xf>
    <xf numFmtId="1" fontId="6" fillId="7" borderId="30" applyAlignment="1" pivotButton="0" quotePrefix="0" xfId="0">
      <alignment horizontal="center" vertical="center"/>
    </xf>
    <xf numFmtId="0" fontId="6" fillId="7" borderId="31" applyAlignment="1" pivotButton="0" quotePrefix="0" xfId="0">
      <alignment horizontal="center" vertical="center"/>
    </xf>
    <xf numFmtId="166" fontId="6" fillId="8" borderId="33" applyAlignment="1" pivotButton="0" quotePrefix="0" xfId="0">
      <alignment horizontal="center" vertical="center"/>
    </xf>
    <xf numFmtId="164" fontId="19" fillId="2" borderId="0" applyAlignment="1" pivotButton="0" quotePrefix="0" xfId="0">
      <alignment vertical="center"/>
    </xf>
    <xf numFmtId="0" fontId="20" fillId="0" borderId="17" applyAlignment="1" pivotButton="0" quotePrefix="0" xfId="0">
      <alignment vertical="center"/>
    </xf>
    <xf numFmtId="0" fontId="20" fillId="0" borderId="6" applyAlignment="1" pivotButton="0" quotePrefix="0" xfId="0">
      <alignment horizontal="center" vertical="center"/>
    </xf>
    <xf numFmtId="0" fontId="0" fillId="0" borderId="34" pivotButton="0" quotePrefix="0" xfId="0"/>
    <xf numFmtId="0" fontId="9" fillId="12" borderId="42" applyAlignment="1" pivotButton="0" quotePrefix="0" xfId="0">
      <alignment horizontal="center" vertical="center" wrapText="1"/>
    </xf>
    <xf numFmtId="0" fontId="9" fillId="2" borderId="42" applyAlignment="1" pivotButton="0" quotePrefix="0" xfId="0">
      <alignment horizontal="center" vertical="center" wrapText="1"/>
    </xf>
    <xf numFmtId="0" fontId="7" fillId="12" borderId="43" applyAlignment="1" pivotButton="0" quotePrefix="0" xfId="0">
      <alignment horizontal="center" vertical="center"/>
    </xf>
    <xf numFmtId="0" fontId="7" fillId="0" borderId="43" applyAlignment="1" pivotButton="0" quotePrefix="0" xfId="0">
      <alignment horizontal="center" vertical="center"/>
    </xf>
    <xf numFmtId="164" fontId="21" fillId="2" borderId="0" applyAlignment="1" pivotButton="0" quotePrefix="0" xfId="0">
      <alignment vertical="center"/>
    </xf>
    <xf numFmtId="0" fontId="6" fillId="0" borderId="2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20" fillId="0" borderId="8" applyAlignment="1" pivotButton="0" quotePrefix="0" xfId="0">
      <alignment vertical="center"/>
    </xf>
    <xf numFmtId="164" fontId="22" fillId="0" borderId="0" applyAlignment="1" pivotButton="0" quotePrefix="0" xfId="0">
      <alignment vertical="center"/>
    </xf>
    <xf numFmtId="0" fontId="16" fillId="10" borderId="40" applyAlignment="1" pivotButton="0" quotePrefix="0" xfId="0">
      <alignment horizontal="center" vertical="center"/>
    </xf>
    <xf numFmtId="0" fontId="16" fillId="10" borderId="44" applyAlignment="1" pivotButton="0" quotePrefix="0" xfId="0">
      <alignment horizontal="left" vertical="center"/>
    </xf>
    <xf numFmtId="0" fontId="16" fillId="10" borderId="44" applyAlignment="1" pivotButton="0" quotePrefix="0" xfId="0">
      <alignment horizontal="center" vertical="center"/>
    </xf>
    <xf numFmtId="0" fontId="23" fillId="0" borderId="44" applyAlignment="1" pivotButton="0" quotePrefix="0" xfId="0">
      <alignment horizontal="left" vertical="center"/>
    </xf>
    <xf numFmtId="0" fontId="24" fillId="13" borderId="44" applyAlignment="1" pivotButton="0" quotePrefix="0" xfId="0">
      <alignment horizontal="center" vertical="center"/>
    </xf>
    <xf numFmtId="0" fontId="25" fillId="14" borderId="44" applyAlignment="1" pivotButton="0" quotePrefix="0" xfId="0">
      <alignment horizontal="left" vertical="center"/>
    </xf>
    <xf numFmtId="0" fontId="27" fillId="14" borderId="0" pivotButton="0" quotePrefix="0" xfId="0"/>
    <xf numFmtId="0" fontId="28" fillId="0" borderId="0" applyAlignment="1" pivotButton="0" quotePrefix="0" xfId="0">
      <alignment horizontal="left"/>
    </xf>
    <xf numFmtId="164" fontId="29" fillId="0" borderId="0" applyAlignment="1" pivotButton="0" quotePrefix="0" xfId="0">
      <alignment vertical="center"/>
    </xf>
    <xf numFmtId="0" fontId="0" fillId="0" borderId="47" pivotButton="0" quotePrefix="0" xfId="0"/>
    <xf numFmtId="0" fontId="0" fillId="0" borderId="48" pivotButton="0" quotePrefix="0" xfId="0"/>
    <xf numFmtId="166" fontId="10" fillId="7" borderId="30" applyAlignment="1" pivotButton="0" quotePrefix="0" xfId="0">
      <alignment horizontal="center" vertical="center"/>
    </xf>
    <xf numFmtId="166" fontId="7" fillId="7" borderId="30" applyAlignment="1" pivotButton="0" quotePrefix="0" xfId="0">
      <alignment horizontal="center" vertical="center"/>
    </xf>
    <xf numFmtId="166" fontId="6" fillId="7" borderId="30" applyAlignment="1" pivotButton="0" quotePrefix="0" xfId="0">
      <alignment horizontal="center" vertical="center"/>
    </xf>
    <xf numFmtId="0" fontId="31" fillId="16" borderId="44" applyAlignment="1" pivotButton="0" quotePrefix="0" xfId="0">
      <alignment horizontal="center"/>
    </xf>
    <xf numFmtId="0" fontId="32" fillId="10" borderId="44" applyAlignment="1" pivotButton="0" quotePrefix="0" xfId="0">
      <alignment horizontal="center" wrapText="1"/>
    </xf>
    <xf numFmtId="0" fontId="31" fillId="0" borderId="44" applyAlignment="1" pivotButton="0" quotePrefix="0" xfId="0">
      <alignment horizontal="center"/>
    </xf>
    <xf numFmtId="0" fontId="30" fillId="0" borderId="0" pivotButton="0" quotePrefix="0" xfId="0"/>
    <xf numFmtId="0" fontId="30" fillId="13" borderId="44" pivotButton="0" quotePrefix="0" xfId="0"/>
    <xf numFmtId="0" fontId="30" fillId="0" borderId="44" applyAlignment="1" pivotButton="0" quotePrefix="0" xfId="0">
      <alignment horizontal="left" vertical="center"/>
    </xf>
    <xf numFmtId="0" fontId="31" fillId="0" borderId="44" applyAlignment="1" pivotButton="0" quotePrefix="0" xfId="0">
      <alignment horizontal="left" vertical="center"/>
    </xf>
    <xf numFmtId="0" fontId="0" fillId="16" borderId="44" pivotButton="0" quotePrefix="0" xfId="0"/>
    <xf numFmtId="0" fontId="31" fillId="14" borderId="44" applyAlignment="1" pivotButton="0" quotePrefix="0" xfId="0">
      <alignment horizontal="left" vertical="center"/>
    </xf>
    <xf numFmtId="0" fontId="31" fillId="0" borderId="0" pivotButton="0" quotePrefix="0" xfId="0"/>
    <xf numFmtId="0" fontId="32" fillId="0" borderId="44" applyAlignment="1" pivotButton="0" quotePrefix="0" xfId="0">
      <alignment horizontal="center" wrapText="1"/>
    </xf>
    <xf numFmtId="0" fontId="30" fillId="0" borderId="44" pivotButton="0" quotePrefix="0" xfId="0"/>
    <xf numFmtId="0" fontId="33" fillId="17" borderId="44" applyAlignment="1" pivotButton="0" quotePrefix="0" xfId="0">
      <alignment horizontal="center" vertical="center" wrapText="1"/>
    </xf>
    <xf numFmtId="0" fontId="17" fillId="0" borderId="44" pivotButton="0" quotePrefix="0" xfId="0"/>
    <xf numFmtId="0" fontId="17" fillId="16" borderId="44" pivotButton="0" quotePrefix="0" xfId="0"/>
    <xf numFmtId="0" fontId="17" fillId="10" borderId="44" applyAlignment="1" pivotButton="0" quotePrefix="0" xfId="0">
      <alignment horizontal="left" vertical="center"/>
    </xf>
    <xf numFmtId="0" fontId="17" fillId="0" borderId="44" applyAlignment="1" pivotButton="0" quotePrefix="0" xfId="0">
      <alignment horizontal="left" vertical="center"/>
    </xf>
    <xf numFmtId="0" fontId="33" fillId="17" borderId="44" applyAlignment="1" pivotButton="0" quotePrefix="0" xfId="0">
      <alignment horizontal="left" vertical="center"/>
    </xf>
    <xf numFmtId="0" fontId="33" fillId="17" borderId="44" pivotButton="0" quotePrefix="0" xfId="0"/>
    <xf numFmtId="0" fontId="17" fillId="13" borderId="44" pivotButton="0" quotePrefix="0" xfId="0"/>
    <xf numFmtId="0" fontId="17" fillId="14" borderId="44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/Relationships>
</file>

<file path=xl/drawings/_rels/drawing2.xml.rels><Relationships xmlns="http://schemas.openxmlformats.org/package/2006/relationships"><Relationship Type="http://schemas.openxmlformats.org/officeDocument/2006/relationships/image" Target="/xl/media/image14.png" Id="rId1"/><Relationship Type="http://schemas.openxmlformats.org/officeDocument/2006/relationships/image" Target="/xl/media/image15.png" Id="rId2"/><Relationship Type="http://schemas.openxmlformats.org/officeDocument/2006/relationships/image" Target="/xl/media/image16.png" Id="rId3"/><Relationship Type="http://schemas.openxmlformats.org/officeDocument/2006/relationships/image" Target="/xl/media/image17.png" Id="rId4"/><Relationship Type="http://schemas.openxmlformats.org/officeDocument/2006/relationships/image" Target="/xl/media/image18.png" Id="rId5"/><Relationship Type="http://schemas.openxmlformats.org/officeDocument/2006/relationships/image" Target="/xl/media/image19.png" Id="rId6"/><Relationship Type="http://schemas.openxmlformats.org/officeDocument/2006/relationships/image" Target="/xl/media/image20.png" Id="rId7"/><Relationship Type="http://schemas.openxmlformats.org/officeDocument/2006/relationships/image" Target="/xl/media/image21.png" Id="rId8"/><Relationship Type="http://schemas.openxmlformats.org/officeDocument/2006/relationships/image" Target="/xl/media/image22.png" Id="rId9"/><Relationship Type="http://schemas.openxmlformats.org/officeDocument/2006/relationships/image" Target="/xl/media/image23.png" Id="rId10"/><Relationship Type="http://schemas.openxmlformats.org/officeDocument/2006/relationships/image" Target="/xl/media/image24.png" Id="rId11"/><Relationship Type="http://schemas.openxmlformats.org/officeDocument/2006/relationships/image" Target="/xl/media/image25.png" Id="rId12"/></Relationships>
</file>

<file path=xl/drawings/_rels/drawing3.xml.rels><Relationships xmlns="http://schemas.openxmlformats.org/package/2006/relationships"><Relationship Type="http://schemas.openxmlformats.org/officeDocument/2006/relationships/image" Target="/xl/media/image26.png" Id="rId1"/><Relationship Type="http://schemas.openxmlformats.org/officeDocument/2006/relationships/image" Target="/xl/media/image27.png" Id="rId2"/><Relationship Type="http://schemas.openxmlformats.org/officeDocument/2006/relationships/image" Target="/xl/media/image28.png" Id="rId3"/><Relationship Type="http://schemas.openxmlformats.org/officeDocument/2006/relationships/image" Target="/xl/media/image29.png" Id="rId4"/><Relationship Type="http://schemas.openxmlformats.org/officeDocument/2006/relationships/image" Target="/xl/media/image30.png" Id="rId5"/><Relationship Type="http://schemas.openxmlformats.org/officeDocument/2006/relationships/image" Target="/xl/media/image31.png" Id="rId6"/><Relationship Type="http://schemas.openxmlformats.org/officeDocument/2006/relationships/image" Target="/xl/media/image32.png" Id="rId7"/><Relationship Type="http://schemas.openxmlformats.org/officeDocument/2006/relationships/image" Target="/xl/media/image33.png" Id="rId8"/><Relationship Type="http://schemas.openxmlformats.org/officeDocument/2006/relationships/image" Target="/xl/media/image34.png" Id="rId9"/><Relationship Type="http://schemas.openxmlformats.org/officeDocument/2006/relationships/image" Target="/xl/media/image35.png" Id="rId10"/><Relationship Type="http://schemas.openxmlformats.org/officeDocument/2006/relationships/image" Target="/xl/media/image36.png" Id="rId11"/><Relationship Type="http://schemas.openxmlformats.org/officeDocument/2006/relationships/image" Target="/xl/media/image37.png" Id="rId12"/></Relationships>
</file>

<file path=xl/drawings/_rels/drawing4.xml.rels><Relationships xmlns="http://schemas.openxmlformats.org/package/2006/relationships"><Relationship Type="http://schemas.openxmlformats.org/officeDocument/2006/relationships/image" Target="/xl/media/image38.png" Id="rId1"/><Relationship Type="http://schemas.openxmlformats.org/officeDocument/2006/relationships/image" Target="/xl/media/image39.png" Id="rId2"/><Relationship Type="http://schemas.openxmlformats.org/officeDocument/2006/relationships/image" Target="/xl/media/image40.png" Id="rId3"/><Relationship Type="http://schemas.openxmlformats.org/officeDocument/2006/relationships/image" Target="/xl/media/image41.png" Id="rId4"/><Relationship Type="http://schemas.openxmlformats.org/officeDocument/2006/relationships/image" Target="/xl/media/image42.png" Id="rId5"/><Relationship Type="http://schemas.openxmlformats.org/officeDocument/2006/relationships/image" Target="/xl/media/image43.png" Id="rId6"/><Relationship Type="http://schemas.openxmlformats.org/officeDocument/2006/relationships/image" Target="/xl/media/image44.png" Id="rId7"/><Relationship Type="http://schemas.openxmlformats.org/officeDocument/2006/relationships/image" Target="/xl/media/image45.png" Id="rId8"/><Relationship Type="http://schemas.openxmlformats.org/officeDocument/2006/relationships/image" Target="/xl/media/image46.png" Id="rId9"/><Relationship Type="http://schemas.openxmlformats.org/officeDocument/2006/relationships/image" Target="/xl/media/image47.png" Id="rId10"/><Relationship Type="http://schemas.openxmlformats.org/officeDocument/2006/relationships/image" Target="/xl/media/image48.png" Id="rId11"/></Relationships>
</file>

<file path=xl/drawings/_rels/drawing5.xml.rels><Relationships xmlns="http://schemas.openxmlformats.org/package/2006/relationships"><Relationship Type="http://schemas.openxmlformats.org/officeDocument/2006/relationships/image" Target="/xl/media/image49.png" Id="rId1"/><Relationship Type="http://schemas.openxmlformats.org/officeDocument/2006/relationships/image" Target="/xl/media/image50.png" Id="rId2"/><Relationship Type="http://schemas.openxmlformats.org/officeDocument/2006/relationships/image" Target="/xl/media/image51.png" Id="rId3"/><Relationship Type="http://schemas.openxmlformats.org/officeDocument/2006/relationships/image" Target="/xl/media/image52.png" Id="rId4"/><Relationship Type="http://schemas.openxmlformats.org/officeDocument/2006/relationships/image" Target="/xl/media/image53.png" Id="rId5"/><Relationship Type="http://schemas.openxmlformats.org/officeDocument/2006/relationships/image" Target="/xl/media/image54.png" Id="rId6"/><Relationship Type="http://schemas.openxmlformats.org/officeDocument/2006/relationships/image" Target="/xl/media/image55.png" Id="rId7"/><Relationship Type="http://schemas.openxmlformats.org/officeDocument/2006/relationships/image" Target="/xl/media/image56.png" Id="rId8"/><Relationship Type="http://schemas.openxmlformats.org/officeDocument/2006/relationships/image" Target="/xl/media/image57.png" Id="rId9"/><Relationship Type="http://schemas.openxmlformats.org/officeDocument/2006/relationships/image" Target="/xl/media/image58.png" Id="rId10"/><Relationship Type="http://schemas.openxmlformats.org/officeDocument/2006/relationships/image" Target="/xl/media/image59.png" Id="rId11"/><Relationship Type="http://schemas.openxmlformats.org/officeDocument/2006/relationships/image" Target="/xl/media/image60.png" Id="rId12"/></Relationships>
</file>

<file path=xl/drawings/_rels/drawing6.xml.rels><Relationships xmlns="http://schemas.openxmlformats.org/package/2006/relationships"><Relationship Type="http://schemas.openxmlformats.org/officeDocument/2006/relationships/image" Target="/xl/media/image61.png" Id="rId1"/><Relationship Type="http://schemas.openxmlformats.org/officeDocument/2006/relationships/image" Target="/xl/media/image62.png" Id="rId2"/><Relationship Type="http://schemas.openxmlformats.org/officeDocument/2006/relationships/image" Target="/xl/media/image63.png" Id="rId3"/><Relationship Type="http://schemas.openxmlformats.org/officeDocument/2006/relationships/image" Target="/xl/media/image64.png" Id="rId4"/><Relationship Type="http://schemas.openxmlformats.org/officeDocument/2006/relationships/image" Target="/xl/media/image65.png" Id="rId5"/><Relationship Type="http://schemas.openxmlformats.org/officeDocument/2006/relationships/image" Target="/xl/media/image66.png" Id="rId6"/><Relationship Type="http://schemas.openxmlformats.org/officeDocument/2006/relationships/image" Target="/xl/media/image67.png" Id="rId7"/><Relationship Type="http://schemas.openxmlformats.org/officeDocument/2006/relationships/image" Target="/xl/media/image68.png" Id="rId8"/><Relationship Type="http://schemas.openxmlformats.org/officeDocument/2006/relationships/image" Target="/xl/media/image69.png" Id="rId9"/><Relationship Type="http://schemas.openxmlformats.org/officeDocument/2006/relationships/image" Target="/xl/media/image70.png" Id="rId10"/><Relationship Type="http://schemas.openxmlformats.org/officeDocument/2006/relationships/image" Target="/xl/media/image71.png" Id="rId11"/><Relationship Type="http://schemas.openxmlformats.org/officeDocument/2006/relationships/image" Target="/xl/media/image72.png" Id="rId12"/></Relationships>
</file>

<file path=xl/drawings/_rels/drawing7.xml.rels><Relationships xmlns="http://schemas.openxmlformats.org/package/2006/relationships"><Relationship Type="http://schemas.openxmlformats.org/officeDocument/2006/relationships/image" Target="/xl/media/image73.png" Id="rId1"/><Relationship Type="http://schemas.openxmlformats.org/officeDocument/2006/relationships/image" Target="/xl/media/image74.png" Id="rId2"/><Relationship Type="http://schemas.openxmlformats.org/officeDocument/2006/relationships/image" Target="/xl/media/image75.png" Id="rId3"/><Relationship Type="http://schemas.openxmlformats.org/officeDocument/2006/relationships/image" Target="/xl/media/image76.png" Id="rId4"/><Relationship Type="http://schemas.openxmlformats.org/officeDocument/2006/relationships/image" Target="/xl/media/image77.png" Id="rId5"/><Relationship Type="http://schemas.openxmlformats.org/officeDocument/2006/relationships/image" Target="/xl/media/image78.png" Id="rId6"/><Relationship Type="http://schemas.openxmlformats.org/officeDocument/2006/relationships/image" Target="/xl/media/image79.png" Id="rId7"/><Relationship Type="http://schemas.openxmlformats.org/officeDocument/2006/relationships/image" Target="/xl/media/image80.png" Id="rId8"/><Relationship Type="http://schemas.openxmlformats.org/officeDocument/2006/relationships/image" Target="/xl/media/image81.png" Id="rId9"/><Relationship Type="http://schemas.openxmlformats.org/officeDocument/2006/relationships/image" Target="/xl/media/image82.png" Id="rId10"/><Relationship Type="http://schemas.openxmlformats.org/officeDocument/2006/relationships/image" Target="/xl/media/image83.png" Id="rId1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4.png" Id="rId1"/><Relationship Type="http://schemas.openxmlformats.org/officeDocument/2006/relationships/image" Target="/xl/media/image85.png" Id="rId2"/><Relationship Type="http://schemas.openxmlformats.org/officeDocument/2006/relationships/image" Target="/xl/media/image86.png" Id="rId3"/><Relationship Type="http://schemas.openxmlformats.org/officeDocument/2006/relationships/image" Target="/xl/media/image87.png" Id="rId4"/><Relationship Type="http://schemas.openxmlformats.org/officeDocument/2006/relationships/image" Target="/xl/media/image88.png" Id="rId5"/><Relationship Type="http://schemas.openxmlformats.org/officeDocument/2006/relationships/image" Target="/xl/media/image89.png" Id="rId6"/><Relationship Type="http://schemas.openxmlformats.org/officeDocument/2006/relationships/image" Target="/xl/media/image90.png" Id="rId7"/><Relationship Type="http://schemas.openxmlformats.org/officeDocument/2006/relationships/image" Target="/xl/media/image91.png" Id="rId8"/><Relationship Type="http://schemas.openxmlformats.org/officeDocument/2006/relationships/image" Target="/xl/media/image92.png" Id="rId9"/><Relationship Type="http://schemas.openxmlformats.org/officeDocument/2006/relationships/image" Target="/xl/media/image93.png" Id="rId10"/><Relationship Type="http://schemas.openxmlformats.org/officeDocument/2006/relationships/image" Target="/xl/media/image94.png" Id="rId11"/><Relationship Type="http://schemas.openxmlformats.org/officeDocument/2006/relationships/image" Target="/xl/media/image95.png" Id="rId12"/><Relationship Type="http://schemas.openxmlformats.org/officeDocument/2006/relationships/image" Target="/xl/media/image96.png" Id="rId13"/></Relationships>
</file>

<file path=xl/drawings/_rels/drawing9.xml.rels><Relationships xmlns="http://schemas.openxmlformats.org/package/2006/relationships"><Relationship Type="http://schemas.openxmlformats.org/officeDocument/2006/relationships/image" Target="/xl/media/image97.png" Id="rId1"/><Relationship Type="http://schemas.openxmlformats.org/officeDocument/2006/relationships/image" Target="/xl/media/image98.png" Id="rId2"/><Relationship Type="http://schemas.openxmlformats.org/officeDocument/2006/relationships/image" Target="/xl/media/image99.png" Id="rId3"/><Relationship Type="http://schemas.openxmlformats.org/officeDocument/2006/relationships/image" Target="/xl/media/image100.png" Id="rId4"/><Relationship Type="http://schemas.openxmlformats.org/officeDocument/2006/relationships/image" Target="/xl/media/image101.png" Id="rId5"/><Relationship Type="http://schemas.openxmlformats.org/officeDocument/2006/relationships/image" Target="/xl/media/image102.png" Id="rId6"/><Relationship Type="http://schemas.openxmlformats.org/officeDocument/2006/relationships/image" Target="/xl/media/image103.png" Id="rId7"/><Relationship Type="http://schemas.openxmlformats.org/officeDocument/2006/relationships/image" Target="/xl/media/image104.png" Id="rId8"/><Relationship Type="http://schemas.openxmlformats.org/officeDocument/2006/relationships/image" Target="/xl/media/image105.png" Id="rId9"/><Relationship Type="http://schemas.openxmlformats.org/officeDocument/2006/relationships/image" Target="/xl/media/image106.png" Id="rId10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7.png" Id="rId1"/><Relationship Type="http://schemas.openxmlformats.org/officeDocument/2006/relationships/image" Target="/xl/media/image108.png" Id="rId2"/><Relationship Type="http://schemas.openxmlformats.org/officeDocument/2006/relationships/image" Target="/xl/media/image109.png" Id="rId3"/><Relationship Type="http://schemas.openxmlformats.org/officeDocument/2006/relationships/image" Target="/xl/media/image110.png" Id="rId4"/><Relationship Type="http://schemas.openxmlformats.org/officeDocument/2006/relationships/image" Target="/xl/media/image111.png" Id="rId5"/><Relationship Type="http://schemas.openxmlformats.org/officeDocument/2006/relationships/image" Target="/xl/media/image112.png" Id="rId6"/><Relationship Type="http://schemas.openxmlformats.org/officeDocument/2006/relationships/image" Target="/xl/media/image113.png" Id="rId7"/><Relationship Type="http://schemas.openxmlformats.org/officeDocument/2006/relationships/image" Target="/xl/media/image114.png" Id="rId8"/><Relationship Type="http://schemas.openxmlformats.org/officeDocument/2006/relationships/image" Target="/xl/media/image115.png" Id="rId9"/><Relationship Type="http://schemas.openxmlformats.org/officeDocument/2006/relationships/image" Target="/xl/media/image116.png" Id="rId10"/><Relationship Type="http://schemas.openxmlformats.org/officeDocument/2006/relationships/image" Target="/xl/media/image117.png" Id="rId11"/><Relationship Type="http://schemas.openxmlformats.org/officeDocument/2006/relationships/image" Target="/xl/media/image118.png" Id="rId12"/><Relationship Type="http://schemas.openxmlformats.org/officeDocument/2006/relationships/image" Target="/xl/media/image119.png" Id="rId13"/><Relationship Type="http://schemas.openxmlformats.org/officeDocument/2006/relationships/image" Target="/xl/media/image120.png" Id="rId14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21.png" Id="rId1"/><Relationship Type="http://schemas.openxmlformats.org/officeDocument/2006/relationships/image" Target="/xl/media/image122.png" Id="rId2"/><Relationship Type="http://schemas.openxmlformats.org/officeDocument/2006/relationships/image" Target="/xl/media/image123.png" Id="rId3"/><Relationship Type="http://schemas.openxmlformats.org/officeDocument/2006/relationships/image" Target="/xl/media/image124.png" Id="rId4"/><Relationship Type="http://schemas.openxmlformats.org/officeDocument/2006/relationships/image" Target="/xl/media/image125.png" Id="rId5"/><Relationship Type="http://schemas.openxmlformats.org/officeDocument/2006/relationships/image" Target="/xl/media/image126.png" Id="rId6"/><Relationship Type="http://schemas.openxmlformats.org/officeDocument/2006/relationships/image" Target="/xl/media/image127.png" Id="rId7"/><Relationship Type="http://schemas.openxmlformats.org/officeDocument/2006/relationships/image" Target="/xl/media/image128.png" Id="rId8"/><Relationship Type="http://schemas.openxmlformats.org/officeDocument/2006/relationships/image" Target="/xl/media/image129.png" Id="rId9"/><Relationship Type="http://schemas.openxmlformats.org/officeDocument/2006/relationships/image" Target="/xl/media/image130.png" Id="rId10"/><Relationship Type="http://schemas.openxmlformats.org/officeDocument/2006/relationships/image" Target="/xl/media/image131.png" Id="rId1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32.png" Id="rId1"/><Relationship Type="http://schemas.openxmlformats.org/officeDocument/2006/relationships/image" Target="/xl/media/image133.png" Id="rId2"/><Relationship Type="http://schemas.openxmlformats.org/officeDocument/2006/relationships/image" Target="/xl/media/image134.png" Id="rId3"/><Relationship Type="http://schemas.openxmlformats.org/officeDocument/2006/relationships/image" Target="/xl/media/image135.png" Id="rId4"/><Relationship Type="http://schemas.openxmlformats.org/officeDocument/2006/relationships/image" Target="/xl/media/image136.png" Id="rId5"/><Relationship Type="http://schemas.openxmlformats.org/officeDocument/2006/relationships/image" Target="/xl/media/image137.png" Id="rId6"/><Relationship Type="http://schemas.openxmlformats.org/officeDocument/2006/relationships/image" Target="/xl/media/image138.png" Id="rId7"/><Relationship Type="http://schemas.openxmlformats.org/officeDocument/2006/relationships/image" Target="/xl/media/image139.png" Id="rId8"/><Relationship Type="http://schemas.openxmlformats.org/officeDocument/2006/relationships/image" Target="/xl/media/image140.png" Id="rId9"/><Relationship Type="http://schemas.openxmlformats.org/officeDocument/2006/relationships/image" Target="/xl/media/image141.png" Id="rId10"/><Relationship Type="http://schemas.openxmlformats.org/officeDocument/2006/relationships/image" Target="/xl/media/image142.png" Id="rId1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43.png" Id="rId1"/><Relationship Type="http://schemas.openxmlformats.org/officeDocument/2006/relationships/image" Target="/xl/media/image144.png" Id="rId2"/><Relationship Type="http://schemas.openxmlformats.org/officeDocument/2006/relationships/image" Target="/xl/media/image145.png" Id="rId3"/><Relationship Type="http://schemas.openxmlformats.org/officeDocument/2006/relationships/image" Target="/xl/media/image146.png" Id="rId4"/><Relationship Type="http://schemas.openxmlformats.org/officeDocument/2006/relationships/image" Target="/xl/media/image147.png" Id="rId5"/><Relationship Type="http://schemas.openxmlformats.org/officeDocument/2006/relationships/image" Target="/xl/media/image148.png" Id="rId6"/><Relationship Type="http://schemas.openxmlformats.org/officeDocument/2006/relationships/image" Target="/xl/media/image149.png" Id="rId7"/><Relationship Type="http://schemas.openxmlformats.org/officeDocument/2006/relationships/image" Target="/xl/media/image150.png" Id="rId8"/><Relationship Type="http://schemas.openxmlformats.org/officeDocument/2006/relationships/image" Target="/xl/media/image151.png" Id="rId9"/><Relationship Type="http://schemas.openxmlformats.org/officeDocument/2006/relationships/image" Target="/xl/media/image152.png" Id="rId10"/><Relationship Type="http://schemas.openxmlformats.org/officeDocument/2006/relationships/image" Target="/xl/media/image153.png" Id="rId11"/><Relationship Type="http://schemas.openxmlformats.org/officeDocument/2006/relationships/image" Target="/xl/media/image154.png" Id="rId12"/><Relationship Type="http://schemas.openxmlformats.org/officeDocument/2006/relationships/image" Target="/xl/media/image155.png" Id="rId13"/><Relationship Type="http://schemas.openxmlformats.org/officeDocument/2006/relationships/image" Target="/xl/media/image156.png" Id="rId14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57.png" Id="rId1"/><Relationship Type="http://schemas.openxmlformats.org/officeDocument/2006/relationships/image" Target="/xl/media/image158.png" Id="rId2"/><Relationship Type="http://schemas.openxmlformats.org/officeDocument/2006/relationships/image" Target="/xl/media/image159.png" Id="rId3"/><Relationship Type="http://schemas.openxmlformats.org/officeDocument/2006/relationships/image" Target="/xl/media/image160.png" Id="rId4"/><Relationship Type="http://schemas.openxmlformats.org/officeDocument/2006/relationships/image" Target="/xl/media/image161.png" Id="rId5"/><Relationship Type="http://schemas.openxmlformats.org/officeDocument/2006/relationships/image" Target="/xl/media/image162.png" Id="rId6"/><Relationship Type="http://schemas.openxmlformats.org/officeDocument/2006/relationships/image" Target="/xl/media/image163.png" Id="rId7"/><Relationship Type="http://schemas.openxmlformats.org/officeDocument/2006/relationships/image" Target="/xl/media/image164.png" Id="rId8"/><Relationship Type="http://schemas.openxmlformats.org/officeDocument/2006/relationships/image" Target="/xl/media/image165.png" Id="rId9"/><Relationship Type="http://schemas.openxmlformats.org/officeDocument/2006/relationships/image" Target="/xl/media/image166.png" Id="rId10"/><Relationship Type="http://schemas.openxmlformats.org/officeDocument/2006/relationships/image" Target="/xl/media/image167.png" Id="rId11"/><Relationship Type="http://schemas.openxmlformats.org/officeDocument/2006/relationships/image" Target="/xl/media/image168.png" Id="rId12"/><Relationship Type="http://schemas.openxmlformats.org/officeDocument/2006/relationships/image" Target="/xl/media/image169.png" Id="rId13"/><Relationship Type="http://schemas.openxmlformats.org/officeDocument/2006/relationships/image" Target="/xl/media/image170.png" Id="rId14"/><Relationship Type="http://schemas.openxmlformats.org/officeDocument/2006/relationships/image" Target="/xl/media/image171.png" Id="rId15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72.png" Id="rId1"/><Relationship Type="http://schemas.openxmlformats.org/officeDocument/2006/relationships/image" Target="/xl/media/image173.png" Id="rId2"/><Relationship Type="http://schemas.openxmlformats.org/officeDocument/2006/relationships/image" Target="/xl/media/image174.png" Id="rId3"/><Relationship Type="http://schemas.openxmlformats.org/officeDocument/2006/relationships/image" Target="/xl/media/image175.png" Id="rId4"/><Relationship Type="http://schemas.openxmlformats.org/officeDocument/2006/relationships/image" Target="/xl/media/image176.png" Id="rId5"/><Relationship Type="http://schemas.openxmlformats.org/officeDocument/2006/relationships/image" Target="/xl/media/image177.png" Id="rId6"/><Relationship Type="http://schemas.openxmlformats.org/officeDocument/2006/relationships/image" Target="/xl/media/image178.png" Id="rId7"/><Relationship Type="http://schemas.openxmlformats.org/officeDocument/2006/relationships/image" Target="/xl/media/image179.png" Id="rId8"/><Relationship Type="http://schemas.openxmlformats.org/officeDocument/2006/relationships/image" Target="/xl/media/image180.png" Id="rId9"/><Relationship Type="http://schemas.openxmlformats.org/officeDocument/2006/relationships/image" Target="/xl/media/image181.png" Id="rId10"/><Relationship Type="http://schemas.openxmlformats.org/officeDocument/2006/relationships/image" Target="/xl/media/image182.png" Id="rId1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83.png" Id="rId1"/><Relationship Type="http://schemas.openxmlformats.org/officeDocument/2006/relationships/image" Target="/xl/media/image184.png" Id="rId2"/><Relationship Type="http://schemas.openxmlformats.org/officeDocument/2006/relationships/image" Target="/xl/media/image185.png" Id="rId3"/><Relationship Type="http://schemas.openxmlformats.org/officeDocument/2006/relationships/image" Target="/xl/media/image186.png" Id="rId4"/><Relationship Type="http://schemas.openxmlformats.org/officeDocument/2006/relationships/image" Target="/xl/media/image187.png" Id="rId5"/><Relationship Type="http://schemas.openxmlformats.org/officeDocument/2006/relationships/image" Target="/xl/media/image188.png" Id="rId6"/><Relationship Type="http://schemas.openxmlformats.org/officeDocument/2006/relationships/image" Target="/xl/media/image189.png" Id="rId7"/><Relationship Type="http://schemas.openxmlformats.org/officeDocument/2006/relationships/image" Target="/xl/media/image190.png" Id="rId8"/><Relationship Type="http://schemas.openxmlformats.org/officeDocument/2006/relationships/image" Target="/xl/media/image191.png" Id="rId9"/><Relationship Type="http://schemas.openxmlformats.org/officeDocument/2006/relationships/image" Target="/xl/media/image192.png" Id="rId10"/><Relationship Type="http://schemas.openxmlformats.org/officeDocument/2006/relationships/image" Target="/xl/media/image193.png" Id="rId11"/><Relationship Type="http://schemas.openxmlformats.org/officeDocument/2006/relationships/image" Target="/xl/media/image194.png" Id="rId12"/><Relationship Type="http://schemas.openxmlformats.org/officeDocument/2006/relationships/image" Target="/xl/media/image195.png" Id="rId13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96.png" Id="rId1"/><Relationship Type="http://schemas.openxmlformats.org/officeDocument/2006/relationships/image" Target="/xl/media/image197.png" Id="rId2"/><Relationship Type="http://schemas.openxmlformats.org/officeDocument/2006/relationships/image" Target="/xl/media/image198.png" Id="rId3"/><Relationship Type="http://schemas.openxmlformats.org/officeDocument/2006/relationships/image" Target="/xl/media/image199.png" Id="rId4"/><Relationship Type="http://schemas.openxmlformats.org/officeDocument/2006/relationships/image" Target="/xl/media/image200.png" Id="rId5"/><Relationship Type="http://schemas.openxmlformats.org/officeDocument/2006/relationships/image" Target="/xl/media/image201.png" Id="rId6"/><Relationship Type="http://schemas.openxmlformats.org/officeDocument/2006/relationships/image" Target="/xl/media/image202.png" Id="rId7"/><Relationship Type="http://schemas.openxmlformats.org/officeDocument/2006/relationships/image" Target="/xl/media/image203.png" Id="rId8"/><Relationship Type="http://schemas.openxmlformats.org/officeDocument/2006/relationships/image" Target="/xl/media/image204.png" Id="rId9"/><Relationship Type="http://schemas.openxmlformats.org/officeDocument/2006/relationships/image" Target="/xl/media/image205.png" Id="rId10"/><Relationship Type="http://schemas.openxmlformats.org/officeDocument/2006/relationships/image" Target="/xl/media/image206.png" Id="rId11"/><Relationship Type="http://schemas.openxmlformats.org/officeDocument/2006/relationships/image" Target="/xl/media/image207.png" Id="rId12"/><Relationship Type="http://schemas.openxmlformats.org/officeDocument/2006/relationships/image" Target="/xl/media/image208.png" Id="rId13"/><Relationship Type="http://schemas.openxmlformats.org/officeDocument/2006/relationships/image" Target="/xl/media/image209.png" Id="rId14"/></Relationships>
</file>

<file path=xl/drawings/drawing1.xml><?xml version="1.0" encoding="utf-8"?>
<wsDr xmlns="http://schemas.openxmlformats.org/drawingml/2006/spreadsheetDrawing">
  <twoCellAnchor editAs="oneCell">
    <from>
      <col>10</col>
      <colOff>720436</colOff>
      <row>6</row>
      <rowOff>374071</rowOff>
    </from>
    <to>
      <col>12</col>
      <colOff>695604</colOff>
      <row>7</row>
      <rowOff>443344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24</col>
      <colOff>346363</colOff>
      <row>6</row>
      <rowOff>420396</rowOff>
    </from>
    <to>
      <col>25</col>
      <colOff>138545</colOff>
      <row>8</row>
      <rowOff>17815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15</col>
      <colOff>318656</colOff>
      <row>6</row>
      <rowOff>374075</rowOff>
    </from>
    <to>
      <col>16</col>
      <colOff>223806</colOff>
      <row>7</row>
      <rowOff>457200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138544</colOff>
      <row>6</row>
      <rowOff>387931</rowOff>
    </from>
    <to>
      <col>9</col>
      <colOff>265659</colOff>
      <row>7</row>
      <rowOff>484915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26</col>
      <colOff>526472</colOff>
      <row>7</row>
      <rowOff>13854</rowOff>
    </from>
    <to>
      <col>26</col>
      <colOff>957081</colOff>
      <row>7</row>
      <rowOff>413355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28</col>
      <colOff>526473</colOff>
      <row>7</row>
      <rowOff>41564</rowOff>
    </from>
    <to>
      <col>29</col>
      <colOff>13853</colOff>
      <row>7</row>
      <rowOff>401396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32</col>
      <colOff>429492</colOff>
      <row>7</row>
      <rowOff>83127</rowOff>
    </from>
    <to>
      <col>33</col>
      <colOff>167244</colOff>
      <row>7</row>
      <rowOff>306746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36</col>
      <colOff>568038</colOff>
      <row>6</row>
      <rowOff>346365</rowOff>
    </from>
    <to>
      <col>37</col>
      <colOff>66014</colOff>
      <row>7</row>
      <rowOff>415636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55419</colOff>
      <row>6</row>
      <rowOff>346365</rowOff>
    </from>
    <to>
      <col>7</col>
      <colOff>415637</colOff>
      <row>7</row>
      <rowOff>432965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69274</colOff>
      <row>7</row>
      <rowOff>110837</rowOff>
    </from>
    <to>
      <col>5</col>
      <colOff>435431</colOff>
      <row>7</row>
      <rowOff>401782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22</col>
      <colOff>300959</colOff>
      <row>6</row>
      <rowOff>308642</rowOff>
    </from>
    <to>
      <col>23</col>
      <colOff>31549</colOff>
      <row>7</row>
      <rowOff>447186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942110</colOff>
      <row>0</row>
      <rowOff>1</rowOff>
    </from>
    <to>
      <col>10</col>
      <colOff>501441</colOff>
      <row>4</row>
      <rowOff>401782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512618</colOff>
      <row>6</row>
      <rowOff>138547</rowOff>
    </from>
    <to>
      <col>19</col>
      <colOff>27709</colOff>
      <row>7</row>
      <rowOff>417467</rowOff>
    </to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8</col>
      <colOff>720436</colOff>
      <row>6</row>
      <rowOff>374071</rowOff>
    </from>
    <to>
      <col>10</col>
      <colOff>695605</colOff>
      <row>7</row>
      <rowOff>443344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346363</colOff>
      <row>6</row>
      <rowOff>420396</rowOff>
    </from>
    <to>
      <col>19</col>
      <colOff>138545</colOff>
      <row>8</row>
      <rowOff>17815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484909</colOff>
      <row>7</row>
      <rowOff>13854</rowOff>
    </from>
    <to>
      <col>20</col>
      <colOff>915518</colOff>
      <row>7</row>
      <rowOff>413355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26</col>
      <colOff>346365</colOff>
      <row>7</row>
      <rowOff>83127</rowOff>
    </from>
    <to>
      <col>27</col>
      <colOff>84117</colOff>
      <row>7</row>
      <rowOff>306746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30</col>
      <colOff>568038</colOff>
      <row>6</row>
      <rowOff>346365</rowOff>
    </from>
    <to>
      <col>31</col>
      <colOff>66014</colOff>
      <row>7</row>
      <rowOff>415636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55419</colOff>
      <row>6</row>
      <rowOff>346365</rowOff>
    </from>
    <to>
      <col>7</col>
      <colOff>415637</colOff>
      <row>7</row>
      <rowOff>432965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69274</colOff>
      <row>7</row>
      <rowOff>110837</rowOff>
    </from>
    <to>
      <col>5</col>
      <colOff>435431</colOff>
      <row>7</row>
      <rowOff>401782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401782</colOff>
      <row>6</row>
      <rowOff>235529</rowOff>
    </from>
    <to>
      <col>17</col>
      <colOff>235527</colOff>
      <row>7</row>
      <rowOff>491627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138545</colOff>
      <row>0</row>
      <rowOff>13855</rowOff>
    </from>
    <to>
      <col>15</col>
      <colOff>506569</colOff>
      <row>4</row>
      <rowOff>443345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22</col>
      <colOff>526473</colOff>
      <row>7</row>
      <rowOff>41564</rowOff>
    </from>
    <to>
      <col>23</col>
      <colOff>13852</colOff>
      <row>7</row>
      <rowOff>401396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32</col>
      <colOff>138544</colOff>
      <row>6</row>
      <rowOff>387931</rowOff>
    </from>
    <to>
      <col>33</col>
      <colOff>265659</colOff>
      <row>7</row>
      <rowOff>484915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554182</colOff>
      <row>6</row>
      <rowOff>207817</rowOff>
    </from>
    <to>
      <col>13</col>
      <colOff>166255</colOff>
      <row>7</row>
      <rowOff>449128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8</col>
      <colOff>720436</colOff>
      <row>6</row>
      <rowOff>374071</rowOff>
    </from>
    <to>
      <col>10</col>
      <colOff>695605</colOff>
      <row>7</row>
      <rowOff>443344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346363</colOff>
      <row>6</row>
      <rowOff>420396</rowOff>
    </from>
    <to>
      <col>19</col>
      <colOff>138545</colOff>
      <row>8</row>
      <rowOff>17815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484909</colOff>
      <row>7</row>
      <rowOff>13854</rowOff>
    </from>
    <to>
      <col>20</col>
      <colOff>915518</colOff>
      <row>7</row>
      <rowOff>413355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26</col>
      <colOff>346365</colOff>
      <row>7</row>
      <rowOff>83127</rowOff>
    </from>
    <to>
      <col>27</col>
      <colOff>84117</colOff>
      <row>7</row>
      <rowOff>306746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30</col>
      <colOff>568038</colOff>
      <row>6</row>
      <rowOff>346365</rowOff>
    </from>
    <to>
      <col>31</col>
      <colOff>66014</colOff>
      <row>7</row>
      <rowOff>415636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69274</colOff>
      <row>7</row>
      <rowOff>110837</rowOff>
    </from>
    <to>
      <col>5</col>
      <colOff>435431</colOff>
      <row>7</row>
      <rowOff>401782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401782</colOff>
      <row>6</row>
      <rowOff>235529</rowOff>
    </from>
    <to>
      <col>17</col>
      <colOff>235527</colOff>
      <row>7</row>
      <rowOff>491627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22</col>
      <colOff>526473</colOff>
      <row>7</row>
      <rowOff>41564</rowOff>
    </from>
    <to>
      <col>23</col>
      <colOff>13852</colOff>
      <row>7</row>
      <rowOff>401396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32</col>
      <colOff>138544</colOff>
      <row>6</row>
      <rowOff>387931</rowOff>
    </from>
    <to>
      <col>33</col>
      <colOff>265659</colOff>
      <row>7</row>
      <rowOff>484915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7</col>
      <colOff>332508</colOff>
      <row>0</row>
      <rowOff>0</rowOff>
    </from>
    <to>
      <col>16</col>
      <colOff>41563</colOff>
      <row>4</row>
      <rowOff>374380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69272</colOff>
      <row>7</row>
      <rowOff>55418</rowOff>
    </from>
    <to>
      <col>7</col>
      <colOff>443345</colOff>
      <row>7</row>
      <rowOff>345989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13</col>
      <colOff>318656</colOff>
      <row>6</row>
      <rowOff>374075</rowOff>
    </from>
    <to>
      <col>14</col>
      <colOff>223805</colOff>
      <row>7</row>
      <rowOff>457200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10</col>
      <colOff>720436</colOff>
      <row>6</row>
      <rowOff>374071</rowOff>
    </from>
    <to>
      <col>12</col>
      <colOff>695604</colOff>
      <row>7</row>
      <rowOff>443344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346363</colOff>
      <row>6</row>
      <rowOff>420396</rowOff>
    </from>
    <to>
      <col>19</col>
      <colOff>138545</colOff>
      <row>8</row>
      <rowOff>17815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15</col>
      <colOff>318656</colOff>
      <row>6</row>
      <rowOff>374075</rowOff>
    </from>
    <to>
      <col>16</col>
      <colOff>223806</colOff>
      <row>7</row>
      <rowOff>457200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138544</colOff>
      <row>6</row>
      <rowOff>387931</rowOff>
    </from>
    <to>
      <col>9</col>
      <colOff>265659</colOff>
      <row>7</row>
      <rowOff>484915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526472</colOff>
      <row>7</row>
      <rowOff>13854</rowOff>
    </from>
    <to>
      <col>20</col>
      <colOff>957081</colOff>
      <row>7</row>
      <rowOff>413355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22</col>
      <colOff>526473</colOff>
      <row>7</row>
      <rowOff>41564</rowOff>
    </from>
    <to>
      <col>23</col>
      <colOff>13853</colOff>
      <row>7</row>
      <rowOff>401396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26</col>
      <colOff>429492</colOff>
      <row>7</row>
      <rowOff>83127</rowOff>
    </from>
    <to>
      <col>27</col>
      <colOff>167244</colOff>
      <row>7</row>
      <rowOff>306746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30</col>
      <colOff>568038</colOff>
      <row>6</row>
      <rowOff>346365</rowOff>
    </from>
    <to>
      <col>31</col>
      <colOff>66014</colOff>
      <row>7</row>
      <rowOff>415636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55419</colOff>
      <row>6</row>
      <rowOff>346365</rowOff>
    </from>
    <to>
      <col>7</col>
      <colOff>415637</colOff>
      <row>7</row>
      <rowOff>432965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69274</colOff>
      <row>7</row>
      <rowOff>110837</rowOff>
    </from>
    <to>
      <col>5</col>
      <colOff>435431</colOff>
      <row>7</row>
      <rowOff>401782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7</col>
      <colOff>374072</colOff>
      <row>0</row>
      <rowOff>124692</rowOff>
    </from>
    <to>
      <col>10</col>
      <colOff>734291</colOff>
      <row>4</row>
      <rowOff>302081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10</col>
      <colOff>720436</colOff>
      <row>6</row>
      <rowOff>374071</rowOff>
    </from>
    <to>
      <col>12</col>
      <colOff>695604</colOff>
      <row>7</row>
      <rowOff>443344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346363</colOff>
      <row>6</row>
      <rowOff>420396</rowOff>
    </from>
    <to>
      <col>19</col>
      <colOff>138545</colOff>
      <row>8</row>
      <rowOff>17815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15</col>
      <colOff>318656</colOff>
      <row>6</row>
      <rowOff>374075</rowOff>
    </from>
    <to>
      <col>16</col>
      <colOff>223806</colOff>
      <row>7</row>
      <rowOff>457200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138544</colOff>
      <row>6</row>
      <rowOff>387931</rowOff>
    </from>
    <to>
      <col>9</col>
      <colOff>265659</colOff>
      <row>7</row>
      <rowOff>484915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526472</colOff>
      <row>7</row>
      <rowOff>13854</rowOff>
    </from>
    <to>
      <col>21</col>
      <colOff>3715</colOff>
      <row>7</row>
      <rowOff>413355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22</col>
      <colOff>526473</colOff>
      <row>7</row>
      <rowOff>41564</rowOff>
    </from>
    <to>
      <col>23</col>
      <colOff>13853</colOff>
      <row>7</row>
      <rowOff>401396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26</col>
      <colOff>429492</colOff>
      <row>7</row>
      <rowOff>83127</rowOff>
    </from>
    <to>
      <col>27</col>
      <colOff>167244</colOff>
      <row>7</row>
      <rowOff>306746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30</col>
      <colOff>568038</colOff>
      <row>6</row>
      <rowOff>346365</rowOff>
    </from>
    <to>
      <col>31</col>
      <colOff>66014</colOff>
      <row>7</row>
      <rowOff>415636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55419</colOff>
      <row>6</row>
      <rowOff>346365</rowOff>
    </from>
    <to>
      <col>7</col>
      <colOff>415637</colOff>
      <row>7</row>
      <rowOff>432965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69274</colOff>
      <row>7</row>
      <rowOff>110837</rowOff>
    </from>
    <to>
      <col>5</col>
      <colOff>435431</colOff>
      <row>7</row>
      <rowOff>401782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9</col>
      <colOff>318656</colOff>
      <row>0</row>
      <rowOff>0</rowOff>
    </from>
    <to>
      <col>12</col>
      <colOff>842585</colOff>
      <row>4</row>
      <rowOff>387927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32</col>
      <colOff>374076</colOff>
      <row>6</row>
      <rowOff>290948</rowOff>
    </from>
    <to>
      <col>33</col>
      <colOff>55420</colOff>
      <row>7</row>
      <rowOff>464351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15</col>
      <colOff>318656</colOff>
      <row>6</row>
      <rowOff>374075</rowOff>
    </from>
    <to>
      <col>16</col>
      <colOff>223806</colOff>
      <row>7</row>
      <rowOff>457200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138544</colOff>
      <row>6</row>
      <rowOff>387931</rowOff>
    </from>
    <to>
      <col>9</col>
      <colOff>265659</colOff>
      <row>7</row>
      <rowOff>484915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526472</colOff>
      <row>7</row>
      <rowOff>13854</rowOff>
    </from>
    <to>
      <col>20</col>
      <colOff>957081</colOff>
      <row>7</row>
      <rowOff>413355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22</col>
      <colOff>526473</colOff>
      <row>7</row>
      <rowOff>41564</rowOff>
    </from>
    <to>
      <col>23</col>
      <colOff>13853</colOff>
      <row>7</row>
      <rowOff>401396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26</col>
      <colOff>429492</colOff>
      <row>7</row>
      <rowOff>83127</rowOff>
    </from>
    <to>
      <col>27</col>
      <colOff>167244</colOff>
      <row>7</row>
      <rowOff>306746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30</col>
      <colOff>568038</colOff>
      <row>6</row>
      <rowOff>346365</rowOff>
    </from>
    <to>
      <col>31</col>
      <colOff>66014</colOff>
      <row>7</row>
      <rowOff>415636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55419</colOff>
      <row>6</row>
      <rowOff>346365</rowOff>
    </from>
    <to>
      <col>7</col>
      <colOff>415637</colOff>
      <row>7</row>
      <rowOff>432965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69274</colOff>
      <row>7</row>
      <rowOff>110837</rowOff>
    </from>
    <to>
      <col>5</col>
      <colOff>435431</colOff>
      <row>7</row>
      <rowOff>401782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942111</colOff>
      <row>6</row>
      <rowOff>346367</rowOff>
    </from>
    <to>
      <col>12</col>
      <colOff>720436</colOff>
      <row>7</row>
      <rowOff>419148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364078</colOff>
      <row>6</row>
      <rowOff>231668</rowOff>
    </from>
    <to>
      <col>19</col>
      <colOff>221672</colOff>
      <row>7</row>
      <rowOff>485618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32</col>
      <colOff>374076</colOff>
      <row>6</row>
      <rowOff>290948</rowOff>
    </from>
    <to>
      <col>33</col>
      <colOff>55420</colOff>
      <row>7</row>
      <rowOff>464351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9</col>
      <colOff>235528</colOff>
      <row>0</row>
      <rowOff>0</rowOff>
    </from>
    <to>
      <col>12</col>
      <colOff>759457</colOff>
      <row>4</row>
      <rowOff>387927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 editAs="oneCell">
    <from>
      <col>10</col>
      <colOff>720436</colOff>
      <row>6</row>
      <rowOff>374071</rowOff>
    </from>
    <to>
      <col>12</col>
      <colOff>695604</colOff>
      <row>7</row>
      <rowOff>443344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346363</colOff>
      <row>6</row>
      <rowOff>420396</rowOff>
    </from>
    <to>
      <col>19</col>
      <colOff>138545</colOff>
      <row>8</row>
      <rowOff>17815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15</col>
      <colOff>318656</colOff>
      <row>6</row>
      <rowOff>374075</rowOff>
    </from>
    <to>
      <col>16</col>
      <colOff>223806</colOff>
      <row>7</row>
      <rowOff>457200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138544</colOff>
      <row>6</row>
      <rowOff>387931</rowOff>
    </from>
    <to>
      <col>9</col>
      <colOff>265659</colOff>
      <row>7</row>
      <rowOff>484915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526472</colOff>
      <row>7</row>
      <rowOff>13854</rowOff>
    </from>
    <to>
      <col>20</col>
      <colOff>957081</colOff>
      <row>7</row>
      <rowOff>413355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22</col>
      <colOff>526473</colOff>
      <row>7</row>
      <rowOff>41564</rowOff>
    </from>
    <to>
      <col>23</col>
      <colOff>13853</colOff>
      <row>7</row>
      <rowOff>401396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26</col>
      <colOff>429492</colOff>
      <row>7</row>
      <rowOff>83127</rowOff>
    </from>
    <to>
      <col>27</col>
      <colOff>167244</colOff>
      <row>7</row>
      <rowOff>306746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30</col>
      <colOff>568038</colOff>
      <row>6</row>
      <rowOff>346365</rowOff>
    </from>
    <to>
      <col>31</col>
      <colOff>66014</colOff>
      <row>7</row>
      <rowOff>415636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55419</colOff>
      <row>6</row>
      <rowOff>346365</rowOff>
    </from>
    <to>
      <col>7</col>
      <colOff>415637</colOff>
      <row>7</row>
      <rowOff>432965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69274</colOff>
      <row>7</row>
      <rowOff>110837</rowOff>
    </from>
    <to>
      <col>5</col>
      <colOff>435431</colOff>
      <row>7</row>
      <rowOff>401782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9</col>
      <colOff>401782</colOff>
      <row>0</row>
      <rowOff>0</rowOff>
    </from>
    <to>
      <col>14</col>
      <colOff>304800</colOff>
      <row>4</row>
      <rowOff>412979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 editAs="oneCell">
    <from>
      <col>17</col>
      <colOff>318656</colOff>
      <row>6</row>
      <rowOff>374075</rowOff>
    </from>
    <to>
      <col>18</col>
      <colOff>223805</colOff>
      <row>7</row>
      <rowOff>457200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138544</colOff>
      <row>6</row>
      <rowOff>387931</rowOff>
    </from>
    <to>
      <col>11</col>
      <colOff>265659</colOff>
      <row>7</row>
      <rowOff>484915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22</col>
      <colOff>526472</colOff>
      <row>7</row>
      <rowOff>13854</rowOff>
    </from>
    <to>
      <col>22</col>
      <colOff>957081</colOff>
      <row>7</row>
      <rowOff>413355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24</col>
      <colOff>526473</colOff>
      <row>7</row>
      <rowOff>41564</rowOff>
    </from>
    <to>
      <col>25</col>
      <colOff>13854</colOff>
      <row>7</row>
      <rowOff>401396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28</col>
      <colOff>429492</colOff>
      <row>7</row>
      <rowOff>83127</rowOff>
    </from>
    <to>
      <col>29</col>
      <colOff>167243</colOff>
      <row>7</row>
      <rowOff>306746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32</col>
      <colOff>568038</colOff>
      <row>6</row>
      <rowOff>346365</rowOff>
    </from>
    <to>
      <col>33</col>
      <colOff>66014</colOff>
      <row>7</row>
      <rowOff>415636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55419</colOff>
      <row>6</row>
      <rowOff>346365</rowOff>
    </from>
    <to>
      <col>9</col>
      <colOff>415638</colOff>
      <row>7</row>
      <rowOff>432965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69274</colOff>
      <row>7</row>
      <rowOff>110837</rowOff>
    </from>
    <to>
      <col>7</col>
      <colOff>435430</colOff>
      <row>7</row>
      <rowOff>401782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290944</colOff>
      <row>0</row>
      <rowOff>0</rowOff>
    </from>
    <to>
      <col>12</col>
      <colOff>862938</colOff>
      <row>4</row>
      <rowOff>401781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942111</colOff>
      <row>6</row>
      <rowOff>346367</rowOff>
    </from>
    <to>
      <col>14</col>
      <colOff>720437</colOff>
      <row>7</row>
      <rowOff>419148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364078</colOff>
      <row>6</row>
      <rowOff>231668</rowOff>
    </from>
    <to>
      <col>21</col>
      <colOff>221672</colOff>
      <row>7</row>
      <rowOff>485618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34</col>
      <colOff>118819</colOff>
      <row>6</row>
      <rowOff>332509</rowOff>
    </from>
    <to>
      <col>35</col>
      <colOff>332509</colOff>
      <row>7</row>
      <rowOff>457200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37</col>
      <colOff>249383</colOff>
      <row>6</row>
      <rowOff>401782</rowOff>
    </from>
    <to>
      <col>38</col>
      <colOff>401123</colOff>
      <row>7</row>
      <rowOff>429491</rowOff>
    </to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9.xml><?xml version="1.0" encoding="utf-8"?>
<wsDr xmlns="http://schemas.openxmlformats.org/drawingml/2006/spreadsheetDrawing">
  <twoCellAnchor editAs="oneCell">
    <from>
      <col>8</col>
      <colOff>720436</colOff>
      <row>6</row>
      <rowOff>374071</rowOff>
    </from>
    <to>
      <col>10</col>
      <colOff>695605</colOff>
      <row>7</row>
      <rowOff>443344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346363</colOff>
      <row>6</row>
      <rowOff>420396</rowOff>
    </from>
    <to>
      <col>17</col>
      <colOff>138545</colOff>
      <row>8</row>
      <rowOff>17815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13</col>
      <colOff>318656</colOff>
      <row>6</row>
      <rowOff>374075</rowOff>
    </from>
    <to>
      <col>14</col>
      <colOff>223806</colOff>
      <row>7</row>
      <rowOff>457200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526472</colOff>
      <row>7</row>
      <rowOff>13854</rowOff>
    </from>
    <to>
      <col>18</col>
      <colOff>957081</colOff>
      <row>7</row>
      <rowOff>413355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526473</colOff>
      <row>7</row>
      <rowOff>41564</rowOff>
    </from>
    <to>
      <col>21</col>
      <colOff>13854</colOff>
      <row>7</row>
      <rowOff>401396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24</col>
      <colOff>429492</colOff>
      <row>7</row>
      <rowOff>83127</rowOff>
    </from>
    <to>
      <col>25</col>
      <colOff>167244</colOff>
      <row>7</row>
      <rowOff>306746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28</col>
      <colOff>568038</colOff>
      <row>6</row>
      <rowOff>346365</rowOff>
    </from>
    <to>
      <col>29</col>
      <colOff>66013</colOff>
      <row>7</row>
      <rowOff>415636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928254</colOff>
      <row>0</row>
      <rowOff>0</rowOff>
    </from>
    <to>
      <col>10</col>
      <colOff>318654</colOff>
      <row>4</row>
      <rowOff>177389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263235</colOff>
      <row>6</row>
      <rowOff>328434</rowOff>
    </from>
    <to>
      <col>7</col>
      <colOff>221671</colOff>
      <row>7</row>
      <rowOff>484909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277091</colOff>
      <row>7</row>
      <rowOff>27708</rowOff>
    </from>
    <to>
      <col>5</col>
      <colOff>191035</colOff>
      <row>7</row>
      <rowOff>255951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10.xml><?xml version="1.0" encoding="utf-8"?>
<wsDr xmlns="http://schemas.openxmlformats.org/drawingml/2006/spreadsheetDrawing">
  <twoCellAnchor editAs="oneCell">
    <from>
      <col>12</col>
      <colOff>720436</colOff>
      <row>6</row>
      <rowOff>374071</rowOff>
    </from>
    <to>
      <col>14</col>
      <colOff>695605</colOff>
      <row>7</row>
      <rowOff>443344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346363</colOff>
      <row>6</row>
      <rowOff>420396</rowOff>
    </from>
    <to>
      <col>21</col>
      <colOff>138545</colOff>
      <row>8</row>
      <rowOff>17815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17</col>
      <colOff>318656</colOff>
      <row>6</row>
      <rowOff>374075</rowOff>
    </from>
    <to>
      <col>18</col>
      <colOff>223805</colOff>
      <row>7</row>
      <rowOff>457200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138544</colOff>
      <row>6</row>
      <rowOff>387931</rowOff>
    </from>
    <to>
      <col>11</col>
      <colOff>265659</colOff>
      <row>7</row>
      <rowOff>484915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26</col>
      <colOff>526472</colOff>
      <row>7</row>
      <rowOff>13854</rowOff>
    </from>
    <to>
      <col>27</col>
      <colOff>3715</colOff>
      <row>7</row>
      <rowOff>413355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28</col>
      <colOff>526473</colOff>
      <row>7</row>
      <rowOff>41564</rowOff>
    </from>
    <to>
      <col>29</col>
      <colOff>13853</colOff>
      <row>7</row>
      <rowOff>401396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32</col>
      <colOff>429492</colOff>
      <row>7</row>
      <rowOff>83127</rowOff>
    </from>
    <to>
      <col>33</col>
      <colOff>167244</colOff>
      <row>7</row>
      <rowOff>306746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36</col>
      <colOff>568038</colOff>
      <row>6</row>
      <rowOff>346365</rowOff>
    </from>
    <to>
      <col>37</col>
      <colOff>66014</colOff>
      <row>7</row>
      <rowOff>415636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55419</colOff>
      <row>6</row>
      <rowOff>346365</rowOff>
    </from>
    <to>
      <col>7</col>
      <colOff>415637</colOff>
      <row>7</row>
      <rowOff>432965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69274</colOff>
      <row>7</row>
      <rowOff>110837</rowOff>
    </from>
    <to>
      <col>5</col>
      <colOff>435431</colOff>
      <row>7</row>
      <rowOff>401782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69272</colOff>
      <row>7</row>
      <rowOff>55418</rowOff>
    </from>
    <to>
      <col>9</col>
      <colOff>443345</colOff>
      <row>7</row>
      <rowOff>345989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22</col>
      <colOff>300959</colOff>
      <row>6</row>
      <rowOff>308642</rowOff>
    </from>
    <to>
      <col>23</col>
      <colOff>31550</colOff>
      <row>7</row>
      <rowOff>447186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24</col>
      <colOff>290945</colOff>
      <row>6</row>
      <rowOff>429492</rowOff>
    </from>
    <to>
      <col>25</col>
      <colOff>300839</colOff>
      <row>7</row>
      <rowOff>429490</rowOff>
    </to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928254</colOff>
      <row>0</row>
      <rowOff>0</rowOff>
    </from>
    <to>
      <col>12</col>
      <colOff>356268</colOff>
      <row>4</row>
      <rowOff>277090</rowOff>
    </to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11.xml><?xml version="1.0" encoding="utf-8"?>
<wsDr xmlns="http://schemas.openxmlformats.org/drawingml/2006/spreadsheetDrawing">
  <twoCellAnchor editAs="oneCell">
    <from>
      <col>10</col>
      <colOff>720436</colOff>
      <row>6</row>
      <rowOff>374071</rowOff>
    </from>
    <to>
      <col>12</col>
      <colOff>695604</colOff>
      <row>7</row>
      <rowOff>443344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346363</colOff>
      <row>6</row>
      <rowOff>420396</rowOff>
    </from>
    <to>
      <col>19</col>
      <colOff>138545</colOff>
      <row>8</row>
      <rowOff>17815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15</col>
      <colOff>318656</colOff>
      <row>6</row>
      <rowOff>374075</rowOff>
    </from>
    <to>
      <col>16</col>
      <colOff>223806</colOff>
      <row>7</row>
      <rowOff>457200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526472</colOff>
      <row>7</row>
      <rowOff>13854</rowOff>
    </from>
    <to>
      <col>21</col>
      <colOff>3715</colOff>
      <row>7</row>
      <rowOff>413355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22</col>
      <colOff>526473</colOff>
      <row>7</row>
      <rowOff>41564</rowOff>
    </from>
    <to>
      <col>23</col>
      <colOff>13853</colOff>
      <row>7</row>
      <rowOff>401396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25</col>
      <colOff>207819</colOff>
      <row>7</row>
      <rowOff>83127</rowOff>
    </from>
    <to>
      <col>26</col>
      <colOff>402771</colOff>
      <row>7</row>
      <rowOff>306746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28</col>
      <colOff>568038</colOff>
      <row>6</row>
      <rowOff>346365</rowOff>
    </from>
    <to>
      <col>29</col>
      <colOff>66013</colOff>
      <row>7</row>
      <rowOff>415636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55419</colOff>
      <row>6</row>
      <rowOff>346365</rowOff>
    </from>
    <to>
      <col>7</col>
      <colOff>415637</colOff>
      <row>7</row>
      <rowOff>432965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69274</colOff>
      <row>7</row>
      <rowOff>110837</rowOff>
    </from>
    <to>
      <col>5</col>
      <colOff>435431</colOff>
      <row>7</row>
      <rowOff>401782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69272</colOff>
      <row>7</row>
      <rowOff>55418</rowOff>
    </from>
    <to>
      <col>9</col>
      <colOff>443345</colOff>
      <row>7</row>
      <rowOff>345989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734291</colOff>
      <row>0</row>
      <rowOff>0</rowOff>
    </from>
    <to>
      <col>10</col>
      <colOff>124691</colOff>
      <row>4</row>
      <rowOff>177389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12.xml><?xml version="1.0" encoding="utf-8"?>
<wsDr xmlns="http://schemas.openxmlformats.org/drawingml/2006/spreadsheetDrawing">
  <twoCellAnchor editAs="oneCell">
    <from>
      <col>10</col>
      <colOff>720436</colOff>
      <row>6</row>
      <rowOff>374071</rowOff>
    </from>
    <to>
      <col>12</col>
      <colOff>695604</colOff>
      <row>7</row>
      <rowOff>443344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346363</colOff>
      <row>6</row>
      <rowOff>420396</rowOff>
    </from>
    <to>
      <col>19</col>
      <colOff>138545</colOff>
      <row>8</row>
      <rowOff>17815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15</col>
      <colOff>318656</colOff>
      <row>6</row>
      <rowOff>374075</rowOff>
    </from>
    <to>
      <col>16</col>
      <colOff>223806</colOff>
      <row>7</row>
      <rowOff>457200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526472</colOff>
      <row>7</row>
      <rowOff>13854</rowOff>
    </from>
    <to>
      <col>20</col>
      <colOff>957081</colOff>
      <row>7</row>
      <rowOff>413355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22</col>
      <colOff>526473</colOff>
      <row>7</row>
      <rowOff>41564</rowOff>
    </from>
    <to>
      <col>23</col>
      <colOff>13853</colOff>
      <row>7</row>
      <rowOff>401396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25</col>
      <colOff>138546</colOff>
      <row>7</row>
      <rowOff>83127</rowOff>
    </from>
    <to>
      <col>26</col>
      <colOff>333498</colOff>
      <row>7</row>
      <rowOff>306746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28</col>
      <colOff>568038</colOff>
      <row>6</row>
      <rowOff>346365</rowOff>
    </from>
    <to>
      <col>29</col>
      <colOff>66013</colOff>
      <row>7</row>
      <rowOff>415636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55419</colOff>
      <row>6</row>
      <rowOff>346365</rowOff>
    </from>
    <to>
      <col>7</col>
      <colOff>415637</colOff>
      <row>7</row>
      <rowOff>432965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69274</colOff>
      <row>7</row>
      <rowOff>110837</rowOff>
    </from>
    <to>
      <col>5</col>
      <colOff>435431</colOff>
      <row>7</row>
      <rowOff>401782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9</col>
      <colOff>401782</colOff>
      <row>0</row>
      <rowOff>0</rowOff>
    </from>
    <to>
      <col>14</col>
      <colOff>304800</colOff>
      <row>4</row>
      <rowOff>412979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69272</colOff>
      <row>7</row>
      <rowOff>55418</rowOff>
    </from>
    <to>
      <col>9</col>
      <colOff>443345</colOff>
      <row>7</row>
      <rowOff>345989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13.xml><?xml version="1.0" encoding="utf-8"?>
<wsDr xmlns="http://schemas.openxmlformats.org/drawingml/2006/spreadsheetDrawing">
  <twoCellAnchor editAs="oneCell">
    <from>
      <col>8</col>
      <colOff>166254</colOff>
      <row>6</row>
      <rowOff>387928</rowOff>
    </from>
    <to>
      <col>9</col>
      <colOff>415637</colOff>
      <row>7</row>
      <rowOff>442340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720436</colOff>
      <row>6</row>
      <rowOff>374071</rowOff>
    </from>
    <to>
      <col>18</col>
      <colOff>695604</colOff>
      <row>7</row>
      <rowOff>443344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24</col>
      <colOff>346363</colOff>
      <row>6</row>
      <rowOff>420396</rowOff>
    </from>
    <to>
      <col>25</col>
      <colOff>138545</colOff>
      <row>8</row>
      <rowOff>17815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21</col>
      <colOff>318656</colOff>
      <row>6</row>
      <rowOff>374075</rowOff>
    </from>
    <to>
      <col>22</col>
      <colOff>223806</colOff>
      <row>7</row>
      <rowOff>457200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14</col>
      <colOff>138544</colOff>
      <row>6</row>
      <rowOff>387931</rowOff>
    </from>
    <to>
      <col>15</col>
      <colOff>265659</colOff>
      <row>7</row>
      <rowOff>484915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26</col>
      <colOff>526472</colOff>
      <row>7</row>
      <rowOff>13854</rowOff>
    </from>
    <to>
      <col>26</col>
      <colOff>957081</colOff>
      <row>7</row>
      <rowOff>413355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28</col>
      <colOff>526473</colOff>
      <row>7</row>
      <rowOff>41564</rowOff>
    </from>
    <to>
      <col>29</col>
      <colOff>13853</colOff>
      <row>7</row>
      <rowOff>401396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31</col>
      <colOff>166256</colOff>
      <row>7</row>
      <rowOff>83127</rowOff>
    </from>
    <to>
      <col>32</col>
      <colOff>361208</colOff>
      <row>7</row>
      <rowOff>306746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96983</colOff>
      <row>6</row>
      <rowOff>471055</rowOff>
    </from>
    <to>
      <col>5</col>
      <colOff>443347</colOff>
      <row>7</row>
      <rowOff>417691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230962</colOff>
      <row>6</row>
      <rowOff>378642</rowOff>
    </from>
    <to>
      <col>7</col>
      <colOff>175542</colOff>
      <row>7</row>
      <rowOff>452634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401782</colOff>
      <row>6</row>
      <rowOff>332510</rowOff>
    </from>
    <to>
      <col>11</col>
      <colOff>172889</colOff>
      <row>7</row>
      <rowOff>429490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14</col>
      <colOff>290946</colOff>
      <row>0</row>
      <rowOff>0</rowOff>
    </from>
    <to>
      <col>20</col>
      <colOff>180665</colOff>
      <row>4</row>
      <rowOff>387927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34</col>
      <colOff>568038</colOff>
      <row>6</row>
      <rowOff>346365</rowOff>
    </from>
    <to>
      <col>35</col>
      <colOff>66014</colOff>
      <row>7</row>
      <rowOff>415636</rowOff>
    </to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374072</colOff>
      <row>6</row>
      <rowOff>360217</rowOff>
    </from>
    <to>
      <col>13</col>
      <colOff>87087</colOff>
      <row>7</row>
      <rowOff>415636</rowOff>
    </to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14.xml><?xml version="1.0" encoding="utf-8"?>
<wsDr xmlns="http://schemas.openxmlformats.org/drawingml/2006/spreadsheetDrawing">
  <twoCellAnchor editAs="oneCell">
    <from>
      <col>10</col>
      <colOff>166254</colOff>
      <row>6</row>
      <rowOff>387928</rowOff>
    </from>
    <to>
      <col>11</col>
      <colOff>415637</colOff>
      <row>7</row>
      <rowOff>442340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720436</colOff>
      <row>6</row>
      <rowOff>374071</rowOff>
    </from>
    <to>
      <col>20</col>
      <colOff>695605</colOff>
      <row>7</row>
      <rowOff>443344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26</col>
      <colOff>346363</colOff>
      <row>6</row>
      <rowOff>420396</rowOff>
    </from>
    <to>
      <col>27</col>
      <colOff>138545</colOff>
      <row>8</row>
      <rowOff>17815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23</col>
      <colOff>318656</colOff>
      <row>6</row>
      <rowOff>374075</rowOff>
    </from>
    <to>
      <col>24</col>
      <colOff>223806</colOff>
      <row>7</row>
      <rowOff>457200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138544</colOff>
      <row>6</row>
      <rowOff>387931</rowOff>
    </from>
    <to>
      <col>17</col>
      <colOff>265659</colOff>
      <row>7</row>
      <rowOff>484915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28</col>
      <colOff>526472</colOff>
      <row>7</row>
      <rowOff>13854</rowOff>
    </from>
    <to>
      <col>28</col>
      <colOff>957081</colOff>
      <row>7</row>
      <rowOff>413355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30</col>
      <colOff>526473</colOff>
      <row>7</row>
      <rowOff>41564</rowOff>
    </from>
    <to>
      <col>31</col>
      <colOff>13854</colOff>
      <row>7</row>
      <rowOff>401396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33</col>
      <colOff>207819</colOff>
      <row>7</row>
      <rowOff>83127</rowOff>
    </from>
    <to>
      <col>34</col>
      <colOff>402770</colOff>
      <row>7</row>
      <rowOff>306746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318655</colOff>
      <row>7</row>
      <rowOff>96982</rowOff>
    </from>
    <to>
      <col>5</col>
      <colOff>249381</colOff>
      <row>7</row>
      <rowOff>401729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230962</colOff>
      <row>6</row>
      <rowOff>378642</rowOff>
    </from>
    <to>
      <col>9</col>
      <colOff>175543</colOff>
      <row>7</row>
      <rowOff>452634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401782</colOff>
      <row>6</row>
      <rowOff>332510</rowOff>
    </from>
    <to>
      <col>13</col>
      <colOff>172889</colOff>
      <row>7</row>
      <rowOff>429490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36</col>
      <colOff>568038</colOff>
      <row>6</row>
      <rowOff>346365</rowOff>
    </from>
    <to>
      <col>37</col>
      <colOff>66014</colOff>
      <row>7</row>
      <rowOff>415636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83128</colOff>
      <row>7</row>
      <rowOff>27709</rowOff>
    </from>
    <to>
      <col>7</col>
      <colOff>415636</colOff>
      <row>7</row>
      <rowOff>305934</rowOff>
    </to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7</col>
      <colOff>318653</colOff>
      <row>0</row>
      <rowOff>0</rowOff>
    </from>
    <to>
      <col>14</col>
      <colOff>811484</colOff>
      <row>4</row>
      <rowOff>415635</rowOff>
    </to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14</col>
      <colOff>374072</colOff>
      <row>6</row>
      <rowOff>360217</rowOff>
    </from>
    <to>
      <col>15</col>
      <colOff>87087</colOff>
      <row>7</row>
      <rowOff>415636</rowOff>
    </to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15.xml><?xml version="1.0" encoding="utf-8"?>
<wsDr xmlns="http://schemas.openxmlformats.org/drawingml/2006/spreadsheetDrawing">
  <twoCellAnchor editAs="oneCell">
    <from>
      <col>15</col>
      <colOff>318656</colOff>
      <row>6</row>
      <rowOff>374075</rowOff>
    </from>
    <to>
      <col>16</col>
      <colOff>223806</colOff>
      <row>7</row>
      <rowOff>457200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138544</colOff>
      <row>6</row>
      <rowOff>387931</rowOff>
    </from>
    <to>
      <col>9</col>
      <colOff>265659</colOff>
      <row>7</row>
      <rowOff>484915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20</col>
      <colOff>526472</colOff>
      <row>7</row>
      <rowOff>13854</rowOff>
    </from>
    <to>
      <col>20</col>
      <colOff>957081</colOff>
      <row>7</row>
      <rowOff>413355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22</col>
      <colOff>526473</colOff>
      <row>7</row>
      <rowOff>41564</rowOff>
    </from>
    <to>
      <col>23</col>
      <colOff>13853</colOff>
      <row>7</row>
      <rowOff>401396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26</col>
      <colOff>429492</colOff>
      <row>7</row>
      <rowOff>83127</rowOff>
    </from>
    <to>
      <col>27</col>
      <colOff>167244</colOff>
      <row>7</row>
      <rowOff>306746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30</col>
      <colOff>568038</colOff>
      <row>6</row>
      <rowOff>346365</rowOff>
    </from>
    <to>
      <col>31</col>
      <colOff>66014</colOff>
      <row>7</row>
      <rowOff>415636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55419</colOff>
      <row>6</row>
      <rowOff>346365</rowOff>
    </from>
    <to>
      <col>7</col>
      <colOff>415637</colOff>
      <row>7</row>
      <rowOff>432965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69274</colOff>
      <row>7</row>
      <rowOff>110837</rowOff>
    </from>
    <to>
      <col>5</col>
      <colOff>435431</colOff>
      <row>7</row>
      <rowOff>401782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7</col>
      <colOff>374072</colOff>
      <row>0</row>
      <rowOff>124692</rowOff>
    </from>
    <to>
      <col>10</col>
      <colOff>734291</colOff>
      <row>4</row>
      <rowOff>302081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595747</colOff>
      <row>6</row>
      <rowOff>332511</rowOff>
    </from>
    <to>
      <col>12</col>
      <colOff>568036</colOff>
      <row>7</row>
      <rowOff>457201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18</col>
      <colOff>374072</colOff>
      <row>6</row>
      <rowOff>360218</rowOff>
    </from>
    <to>
      <col>19</col>
      <colOff>44807</colOff>
      <row>7</row>
      <rowOff>429491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16.xml><?xml version="1.0" encoding="utf-8"?>
<wsDr xmlns="http://schemas.openxmlformats.org/drawingml/2006/spreadsheetDrawing">
  <twoCellAnchor editAs="oneCell">
    <from>
      <col>14</col>
      <colOff>720436</colOff>
      <row>6</row>
      <rowOff>374071</rowOff>
    </from>
    <to>
      <col>16</col>
      <colOff>695605</colOff>
      <row>7</row>
      <rowOff>443344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22</col>
      <colOff>346363</colOff>
      <row>6</row>
      <rowOff>420396</rowOff>
    </from>
    <to>
      <col>23</col>
      <colOff>138544</colOff>
      <row>8</row>
      <rowOff>17815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19</col>
      <colOff>318656</colOff>
      <row>6</row>
      <rowOff>374075</rowOff>
    </from>
    <to>
      <col>20</col>
      <colOff>223806</colOff>
      <row>7</row>
      <rowOff>457200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138544</colOff>
      <row>6</row>
      <rowOff>387931</rowOff>
    </from>
    <to>
      <col>13</col>
      <colOff>265659</colOff>
      <row>7</row>
      <rowOff>484915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24</col>
      <colOff>526472</colOff>
      <row>7</row>
      <rowOff>13854</rowOff>
    </from>
    <to>
      <col>24</col>
      <colOff>957081</colOff>
      <row>7</row>
      <rowOff>413355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26</col>
      <colOff>526473</colOff>
      <row>7</row>
      <rowOff>41564</rowOff>
    </from>
    <to>
      <col>27</col>
      <colOff>13854</colOff>
      <row>7</row>
      <rowOff>401396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28</col>
      <colOff>360219</colOff>
      <row>7</row>
      <rowOff>83127</rowOff>
    </from>
    <to>
      <col>29</col>
      <colOff>97970</colOff>
      <row>7</row>
      <rowOff>306746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96983</colOff>
      <row>6</row>
      <rowOff>471055</rowOff>
    </from>
    <to>
      <col>5</col>
      <colOff>443347</colOff>
      <row>7</row>
      <rowOff>417691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230962</colOff>
      <row>6</row>
      <rowOff>378642</rowOff>
    </from>
    <to>
      <col>7</col>
      <colOff>175542</colOff>
      <row>7</row>
      <rowOff>452634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10</col>
      <colOff>401782</colOff>
      <row>6</row>
      <rowOff>332510</rowOff>
    </from>
    <to>
      <col>11</col>
      <colOff>172889</colOff>
      <row>7</row>
      <rowOff>429490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637309</colOff>
      <row>0</row>
      <rowOff>0</rowOff>
    </from>
    <to>
      <col>14</col>
      <colOff>527028</colOff>
      <row>4</row>
      <rowOff>387927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30</col>
      <colOff>568038</colOff>
      <row>6</row>
      <rowOff>346365</rowOff>
    </from>
    <to>
      <col>31</col>
      <colOff>66014</colOff>
      <row>7</row>
      <rowOff>415636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332509</colOff>
      <row>6</row>
      <rowOff>415636</rowOff>
    </from>
    <to>
      <col>9</col>
      <colOff>166255</colOff>
      <row>7</row>
      <rowOff>480883</rowOff>
    </to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drawings/drawing17.xml><?xml version="1.0" encoding="utf-8"?>
<wsDr xmlns="http://schemas.openxmlformats.org/drawingml/2006/spreadsheetDrawing">
  <twoCellAnchor editAs="oneCell">
    <from>
      <col>10</col>
      <colOff>166254</colOff>
      <row>6</row>
      <rowOff>387928</rowOff>
    </from>
    <to>
      <col>11</col>
      <colOff>415637</colOff>
      <row>7</row>
      <rowOff>442340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16</col>
      <colOff>720436</colOff>
      <row>6</row>
      <rowOff>374071</rowOff>
    </from>
    <to>
      <col>18</col>
      <colOff>695604</colOff>
      <row>7</row>
      <rowOff>443344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24</col>
      <colOff>346363</colOff>
      <row>6</row>
      <rowOff>420396</rowOff>
    </from>
    <to>
      <col>25</col>
      <colOff>138545</colOff>
      <row>8</row>
      <rowOff>17815</rowOff>
    </to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21</col>
      <colOff>318656</colOff>
      <row>6</row>
      <rowOff>374075</rowOff>
    </from>
    <to>
      <col>22</col>
      <colOff>223806</colOff>
      <row>7</row>
      <rowOff>457200</rowOff>
    </to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14</col>
      <colOff>138544</colOff>
      <row>6</row>
      <rowOff>387931</rowOff>
    </from>
    <to>
      <col>15</col>
      <colOff>265659</colOff>
      <row>7</row>
      <rowOff>484915</rowOff>
    </to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26</col>
      <colOff>526472</colOff>
      <row>7</row>
      <rowOff>13854</rowOff>
    </from>
    <to>
      <col>26</col>
      <colOff>957081</colOff>
      <row>7</row>
      <rowOff>413355</rowOff>
    </to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28</col>
      <colOff>526473</colOff>
      <row>7</row>
      <rowOff>41564</rowOff>
    </from>
    <to>
      <col>29</col>
      <colOff>13853</colOff>
      <row>7</row>
      <rowOff>401396</rowOff>
    </to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30</col>
      <colOff>360219</colOff>
      <row>7</row>
      <rowOff>83127</rowOff>
    </from>
    <to>
      <col>31</col>
      <colOff>97971</colOff>
      <row>7</row>
      <rowOff>306746</rowOff>
    </to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4</col>
      <colOff>96983</colOff>
      <row>6</row>
      <rowOff>471055</rowOff>
    </from>
    <to>
      <col>5</col>
      <colOff>443347</colOff>
      <row>7</row>
      <rowOff>417691</rowOff>
    </to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8</col>
      <colOff>230962</colOff>
      <row>6</row>
      <rowOff>378642</rowOff>
    </from>
    <to>
      <col>9</col>
      <colOff>175543</colOff>
      <row>7</row>
      <rowOff>452634</rowOff>
    </to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12</col>
      <colOff>401782</colOff>
      <row>6</row>
      <rowOff>332510</rowOff>
    </from>
    <to>
      <col>13</col>
      <colOff>172889</colOff>
      <row>7</row>
      <rowOff>429490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32</col>
      <colOff>568038</colOff>
      <row>6</row>
      <rowOff>346365</rowOff>
    </from>
    <to>
      <col>33</col>
      <colOff>66014</colOff>
      <row>7</row>
      <rowOff>415636</rowOff>
    </to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6</col>
      <colOff>83128</colOff>
      <row>7</row>
      <rowOff>27709</rowOff>
    </from>
    <to>
      <col>7</col>
      <colOff>415636</colOff>
      <row>7</row>
      <rowOff>305934</rowOff>
    </to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5</col>
      <colOff>512617</colOff>
      <row>0</row>
      <rowOff>0</rowOff>
    </from>
    <to>
      <col>13</col>
      <colOff>35629</colOff>
      <row>4</row>
      <rowOff>415635</rowOff>
    </to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</cols>
  <sheetData>
    <row r="1"/>
    <row r="3">
      <c r="B3" s="128" t="inlineStr">
        <is>
          <t>① สลับ</t>
        </is>
      </c>
    </row>
    <row r="4">
      <c r="B4" s="129">
        <f>HYPERLINK("#'เลื่อนสลับ'!A1","▶  เลื่อนสลับ")</f>
        <v/>
      </c>
    </row>
    <row r="5">
      <c r="B5" s="129">
        <f>HYPERLINK("#'เลื่อนสลับ(มุ้ง)'!A1","▶  เลื่อนสลับ(มุ้ง)")</f>
        <v/>
      </c>
    </row>
    <row r="6">
      <c r="B6" s="129">
        <f>HYPERLINK("#'เลื่อนสลับ2ราง'!A1","▶  เลื่อนสลับ2ราง")</f>
        <v/>
      </c>
    </row>
    <row r="7">
      <c r="B7" s="129">
        <f>HYPERLINK("#'เลื่อนสลับ66ช่องแสงล่าง'!A1","▶  เลื่อนสลับ66ช่องแสงล่าง")</f>
        <v/>
      </c>
    </row>
    <row r="8">
      <c r="B8" s="129">
        <f>HYPERLINK("#'เลื่อนสลับ ภายใน'!A1","▶  เลื่อนสลับ ภายใน")</f>
        <v/>
      </c>
    </row>
    <row r="9">
      <c r="B9" s="129">
        <f>HYPERLINK("#'เลื่อนสลับ ภายใน+มุ้ง'!A1","▶  เลื่อนสลับ ภายใน+มุ้ง")</f>
        <v/>
      </c>
    </row>
    <row r="10">
      <c r="B10" s="129">
        <f>HYPERLINK("#'เลื่อนสลับเสา66'!A1","▶  เลื่อนสลับเสา66")</f>
        <v/>
      </c>
    </row>
    <row r="12">
      <c r="B12" s="128" t="inlineStr">
        <is>
          <t>② หลายราง</t>
        </is>
      </c>
    </row>
    <row r="13">
      <c r="B13" s="129">
        <f>HYPERLINK("#'เลื่อน3ราง'!A1","▶  เลื่อน3ราง")</f>
        <v/>
      </c>
    </row>
    <row r="14">
      <c r="B14" s="129">
        <f>HYPERLINK("#'เลื่อน3ราง ภายใน'!A1","▶  เลื่อน3ราง ภายใน")</f>
        <v/>
      </c>
    </row>
    <row r="15">
      <c r="B15" s="129">
        <f>HYPERLINK("#'เลื่อน4ราง ภายใน'!A1","▶  เลื่อน4ราง ภายใน")</f>
        <v/>
      </c>
    </row>
    <row r="16">
      <c r="B16" s="129">
        <f>HYPERLINK("#'เลื่อน5ราง ภายใน'!A1","▶  เลื่อน5ราง ภายใน")</f>
        <v/>
      </c>
    </row>
    <row r="17">
      <c r="B17" s="129">
        <f>HYPERLINK("#'เลื่อน4 (2)'!A1","▶  เลื่อน4 (2)")</f>
        <v/>
      </c>
    </row>
    <row r="18">
      <c r="B18" s="129">
        <f>HYPERLINK("#'เลื่อน5'!A1","▶  เลื่อน5")</f>
        <v/>
      </c>
    </row>
    <row r="20">
      <c r="B20" s="128" t="inlineStr">
        <is>
          <t>③ แบ่ง</t>
        </is>
      </c>
    </row>
    <row r="21">
      <c r="B21" s="129">
        <f>HYPERLINK("#'เลื่อนแบ่ง4'!A1","▶  เลื่อนแบ่ง4")</f>
        <v/>
      </c>
    </row>
    <row r="22">
      <c r="B22" s="129">
        <f>HYPERLINK("#'เลื่อนแบ่ง6-กลาง'!A1","▶  เลื่อนแบ่ง6-กลาง")</f>
        <v/>
      </c>
    </row>
    <row r="24">
      <c r="B24" s="128" t="inlineStr">
        <is>
          <t>④ เลื่อน-ติดตาย</t>
        </is>
      </c>
    </row>
    <row r="25">
      <c r="B25" s="129">
        <f>HYPERLINK("#'เลื่อน-ติดตาย78'!A1","▶  เลื่อน-ติดตาย78")</f>
        <v/>
      </c>
    </row>
    <row r="26">
      <c r="B26" s="129">
        <f>HYPERLINK("#'เลื่อน-ติดตาย66'!A1","▶  เลื่อน-ติดตาย66")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92"/>
  <sheetViews>
    <sheetView showGridLines="0"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26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6.75" customWidth="1" min="32" max="32"/>
    <col width="12.75" customWidth="1" min="33" max="33"/>
    <col width="6.75" customWidth="1" min="34" max="34"/>
    <col width="12.75" customWidth="1" min="35" max="35"/>
    <col width="6.75" customWidth="1" min="36" max="36"/>
    <col width="12.75" customWidth="1" min="37" max="37"/>
    <col width="6.75" customWidth="1" min="38" max="38"/>
    <col width="12.75" customWidth="1" min="39" max="39"/>
    <col width="12.75" customWidth="1" min="40" max="40"/>
    <col width="8.75" customWidth="1" min="41" max="41"/>
    <col width="8.875" customWidth="1" min="42" max="42"/>
    <col hidden="1" width="13" customWidth="1" min="53" max="53"/>
    <col hidden="1" width="13" customWidth="1" min="54" max="54"/>
    <col hidden="1" width="13" customWidth="1" min="55" max="55"/>
    <col hidden="1" width="13" customWidth="1" min="56" max="56"/>
  </cols>
  <sheetData>
    <row r="1" ht="40.15" customHeight="1">
      <c r="A1" s="1" t="inlineStr">
        <is>
          <t>JR ALUMINIUM &amp; GLASS  —  ใบรายการตัด · FUJI เลื่อนสลับ(มุ้ง)   (หน่วย: มม.)</t>
        </is>
      </c>
      <c r="B1" s="2" t="n"/>
      <c r="D1" s="3" t="n"/>
      <c r="E1" s="4" t="n"/>
      <c r="F1" s="3" t="n"/>
      <c r="G1" s="5" t="n"/>
      <c r="H1" s="5" t="n"/>
      <c r="I1" s="6" t="n"/>
      <c r="J1" s="5" t="n"/>
      <c r="K1" s="3" t="n"/>
      <c r="L1" s="3" t="n"/>
      <c r="M1" s="6" t="n"/>
      <c r="N1" s="6" t="n"/>
      <c r="O1" s="5" t="n"/>
      <c r="P1" s="5" t="n"/>
      <c r="Q1" s="3" t="n"/>
      <c r="R1" s="7" t="n"/>
      <c r="S1" s="5" t="n"/>
      <c r="T1" s="5" t="n"/>
      <c r="U1" s="3" t="n"/>
      <c r="V1" s="7" t="n"/>
      <c r="W1" s="5" t="n"/>
      <c r="X1" s="5" t="n"/>
      <c r="Y1" s="6" t="n"/>
      <c r="Z1" s="6" t="n"/>
      <c r="AA1" s="5" t="n"/>
      <c r="AB1" s="5" t="n"/>
      <c r="AC1" s="5" t="n"/>
      <c r="AD1" s="5" t="n"/>
      <c r="AE1" s="5" t="n"/>
      <c r="AF1" s="5" t="n"/>
      <c r="AG1" s="3" t="n"/>
      <c r="AH1" s="3" t="n"/>
      <c r="AI1" s="3" t="n"/>
      <c r="AJ1" s="3" t="n"/>
      <c r="AK1" s="5" t="n"/>
      <c r="AL1" s="5" t="n"/>
      <c r="AM1" s="5" t="n"/>
      <c r="AN1" s="5" t="n"/>
      <c r="AO1" s="5" t="n"/>
      <c r="AP1" s="5" t="n"/>
      <c r="AQ1" s="5" t="n"/>
      <c r="BA1" t="inlineStr">
        <is>
          <t>เมโทรกุญแจอบขาว</t>
        </is>
      </c>
      <c r="BB1" t="inlineStr">
        <is>
          <t>JR00368</t>
        </is>
      </c>
      <c r="BD1">
        <f>IF($B$71="ประตู","กุญแจ+ล็อค","ล็อค")</f>
        <v/>
      </c>
    </row>
    <row r="2" ht="40.15" customHeight="1">
      <c r="A2" s="6" t="n"/>
      <c r="B2" s="6" t="n"/>
      <c r="C2" s="6" t="n"/>
      <c r="D2" s="6" t="n"/>
      <c r="E2" s="8" t="n"/>
      <c r="F2" s="6" t="n"/>
      <c r="G2" s="9" t="n"/>
      <c r="H2" s="9" t="n"/>
      <c r="I2" s="9" t="n"/>
      <c r="J2" s="9" t="n"/>
      <c r="K2" s="6" t="n"/>
      <c r="L2" s="6" t="n"/>
      <c r="M2" s="6" t="n"/>
      <c r="N2" s="6" t="n"/>
      <c r="O2" s="9" t="n"/>
      <c r="P2" s="9" t="n"/>
      <c r="Q2" s="6" t="n"/>
      <c r="R2" s="6" t="n"/>
      <c r="S2" s="9" t="n"/>
      <c r="T2" s="9" t="n"/>
      <c r="U2" s="6" t="n"/>
      <c r="V2" s="6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6" t="n"/>
      <c r="AH2" s="6" t="n"/>
      <c r="AI2" s="6" t="n"/>
      <c r="AJ2" s="6" t="n"/>
      <c r="AK2" s="9" t="n"/>
      <c r="AL2" s="9" t="n"/>
      <c r="AM2" s="9" t="n"/>
      <c r="AN2" s="9" t="n"/>
      <c r="AO2" s="9" t="n"/>
      <c r="AP2" s="9" t="n"/>
      <c r="AQ2" s="9" t="n"/>
      <c r="BA2" t="inlineStr">
        <is>
          <t>เมโทรกุญแจดำ</t>
        </is>
      </c>
      <c r="BB2" t="inlineStr">
        <is>
          <t>JR00371</t>
        </is>
      </c>
      <c r="BD2">
        <f>IF($B$71="ประตู","ล็อค+ดัมมี่","ดัมมี่")</f>
        <v/>
      </c>
    </row>
    <row r="3" ht="40.15" customHeight="1">
      <c r="A3" s="130">
        <f>HYPERLINK("#สารบัญ!A1","← สารบัญ")</f>
        <v/>
      </c>
      <c r="B3" s="10" t="n"/>
      <c r="C3" s="6" t="n"/>
      <c r="D3" s="6" t="n"/>
      <c r="E3" s="8" t="n"/>
      <c r="F3" s="6" t="n"/>
      <c r="G3" s="11" t="n"/>
      <c r="H3" s="11" t="n"/>
      <c r="I3" s="9" t="n"/>
      <c r="J3" s="9" t="n"/>
      <c r="K3" s="6" t="n"/>
      <c r="L3" s="6" t="n"/>
      <c r="M3" s="6" t="n"/>
      <c r="N3" s="6" t="n"/>
      <c r="O3" s="11" t="n"/>
      <c r="P3" s="11" t="n"/>
      <c r="Q3" s="6" t="n"/>
      <c r="R3" s="6" t="n"/>
      <c r="S3" s="11" t="n"/>
      <c r="T3" s="11" t="n"/>
      <c r="U3" s="6" t="n"/>
      <c r="V3" s="6" t="n"/>
      <c r="W3" s="11" t="n"/>
      <c r="X3" s="11" t="n"/>
      <c r="AA3" s="11" t="n"/>
      <c r="AB3" s="11" t="n"/>
      <c r="AC3" s="11" t="n"/>
      <c r="AD3" s="11" t="n"/>
      <c r="AE3" s="11" t="n"/>
      <c r="AF3" s="11" t="n"/>
      <c r="AG3" s="6" t="n"/>
      <c r="AH3" s="6" t="n"/>
      <c r="AI3" s="6" t="n"/>
      <c r="AJ3" s="6" t="n"/>
      <c r="AK3" s="11" t="n"/>
      <c r="AL3" s="11" t="n"/>
      <c r="AM3" s="11" t="n"/>
      <c r="AN3" s="11" t="n"/>
      <c r="AO3" s="11" t="n"/>
      <c r="AP3" s="11" t="n"/>
      <c r="AQ3" s="11" t="n"/>
      <c r="BA3" t="inlineStr">
        <is>
          <t>เมโทรล็อคอบขาว</t>
        </is>
      </c>
      <c r="BB3" t="inlineStr">
        <is>
          <t>JR00369</t>
        </is>
      </c>
      <c r="BD3">
        <f>IF($B$71="ประตู","ดัมมี่+ดัมมี่","")</f>
        <v/>
      </c>
    </row>
    <row r="4" ht="40.15" customHeight="1">
      <c r="A4" s="6" t="n"/>
      <c r="B4" s="6" t="n"/>
      <c r="C4" s="6" t="n"/>
      <c r="F4" s="6" t="n"/>
      <c r="I4" s="9" t="n"/>
      <c r="J4" s="9" t="n"/>
      <c r="K4" s="6" t="n"/>
      <c r="L4" s="6" t="n"/>
      <c r="M4" s="6" t="n"/>
      <c r="N4" s="6" t="n"/>
      <c r="Q4" s="6" t="n"/>
      <c r="R4" s="6" t="n"/>
      <c r="U4" s="6" t="n"/>
      <c r="V4" s="6" t="n"/>
      <c r="AG4" s="6" t="n"/>
      <c r="AH4" s="6" t="n"/>
      <c r="AI4" s="6" t="n"/>
      <c r="AJ4" s="6" t="n"/>
      <c r="BA4" t="inlineStr">
        <is>
          <t>เมโทรล็อคดำ</t>
        </is>
      </c>
      <c r="BB4" t="inlineStr">
        <is>
          <t>JR00372</t>
        </is>
      </c>
      <c r="BD4">
        <f>IF($B$71="ประตู","Digital lock","")</f>
        <v/>
      </c>
    </row>
    <row r="5" ht="40.15" customHeight="1">
      <c r="A5" s="6" t="n"/>
      <c r="B5" s="6" t="n"/>
      <c r="C5" s="6" t="n"/>
      <c r="D5" s="6" t="n"/>
      <c r="E5" s="8" t="n"/>
      <c r="F5" s="6" t="n"/>
      <c r="K5" s="6" t="n"/>
      <c r="L5" s="6" t="n"/>
      <c r="M5" s="12" t="inlineStr">
        <is>
          <t>*แก้ +3 มิล</t>
        </is>
      </c>
      <c r="N5" s="6" t="n"/>
      <c r="Q5" s="6" t="inlineStr">
        <is>
          <t>*แก้ +3 มิล</t>
        </is>
      </c>
      <c r="R5" s="6" t="n"/>
      <c r="U5" s="6" t="inlineStr">
        <is>
          <t>*แก้ +3 มิล</t>
        </is>
      </c>
      <c r="V5" s="6" t="n"/>
      <c r="AG5" s="6" t="n"/>
      <c r="AH5" s="6" t="n"/>
      <c r="AI5" s="6" t="n"/>
      <c r="AJ5" s="6" t="n"/>
      <c r="BA5" t="inlineStr">
        <is>
          <t>เมโทรดัมมี่อบขาว</t>
        </is>
      </c>
      <c r="BB5" t="inlineStr">
        <is>
          <t>JR00370</t>
        </is>
      </c>
    </row>
    <row r="6" ht="60" customHeight="1">
      <c r="A6" s="13" t="inlineStr">
        <is>
          <t>สูตรตัด</t>
        </is>
      </c>
      <c r="B6" s="14" t="n"/>
      <c r="C6" s="14" t="n"/>
      <c r="D6" s="15" t="n"/>
      <c r="E6" s="16" t="inlineStr">
        <is>
          <t>สูง</t>
        </is>
      </c>
      <c r="F6" s="17" t="n"/>
      <c r="G6" s="16" t="inlineStr">
        <is>
          <t>กว้าง-21-21</t>
        </is>
      </c>
      <c r="H6" s="17" t="n"/>
      <c r="I6" s="16" t="inlineStr">
        <is>
          <t>กว้าง</t>
        </is>
      </c>
      <c r="J6" s="17" t="n"/>
      <c r="K6" s="16" t="inlineStr">
        <is>
          <t>สูง-21-19-13-21</t>
        </is>
      </c>
      <c r="L6" s="17" t="n"/>
      <c r="M6" s="16" t="inlineStr">
        <is>
          <t>((กว้าง-21-3-1.2-3-21)/2)+(78x2)+3</t>
        </is>
      </c>
      <c r="N6" s="17" t="n"/>
      <c r="O6" s="16" t="inlineStr">
        <is>
          <t>เสา-78-78</t>
        </is>
      </c>
      <c r="P6" s="17" t="n"/>
      <c r="Q6" s="16" t="inlineStr">
        <is>
          <t>ขวาง-63-63</t>
        </is>
      </c>
      <c r="R6" s="17" t="n"/>
      <c r="S6" s="16" t="inlineStr">
        <is>
          <t>เสา-78-78</t>
        </is>
      </c>
      <c r="T6" s="17" t="n"/>
      <c r="U6" s="16" t="inlineStr">
        <is>
          <t>ขวาง-63-63</t>
        </is>
      </c>
      <c r="V6" s="17" t="n"/>
      <c r="W6" s="16" t="inlineStr">
        <is>
          <t>สูงกรอบบาน</t>
        </is>
      </c>
      <c r="X6" s="17" t="n"/>
      <c r="Y6" s="16" t="inlineStr">
        <is>
          <t>สูงกรอบบาน</t>
        </is>
      </c>
      <c r="Z6" s="17" t="n"/>
      <c r="AA6" s="16" t="inlineStr">
        <is>
          <t>สูง-45-45</t>
        </is>
      </c>
      <c r="AB6" s="17" t="n"/>
      <c r="AC6" s="16" t="inlineStr">
        <is>
          <t>เท่าเฟรมบน</t>
        </is>
      </c>
      <c r="AD6" s="17" t="n"/>
      <c r="AE6" s="16" t="n"/>
      <c r="AF6" s="17" t="n"/>
      <c r="AG6" s="16" t="inlineStr">
        <is>
          <t>สูงกรอบบาน</t>
        </is>
      </c>
      <c r="AI6" s="16" t="inlineStr">
        <is>
          <t>กว้าง</t>
        </is>
      </c>
      <c r="AK6" s="16" t="inlineStr">
        <is>
          <t>เท่าเฟรมล่าง</t>
        </is>
      </c>
      <c r="AM6" s="18" t="n"/>
      <c r="AN6" s="18" t="n"/>
      <c r="AO6" s="18" t="n"/>
      <c r="BA6" t="inlineStr">
        <is>
          <t>เมโทรดัมมี่ดำ</t>
        </is>
      </c>
      <c r="BB6" t="inlineStr">
        <is>
          <t>JR00373</t>
        </is>
      </c>
      <c r="BC6">
        <f>(COUNTIF($B$74:$B$75,"กุญแจ+ล็อค")+COUNTIF($B$74:$B$75,"ล็อค+ดัมมี่")+COUNTIF($B$74:$B$75,"ล็อค"))</f>
        <v/>
      </c>
    </row>
    <row r="7" ht="40.15" customHeight="1">
      <c r="A7" s="19" t="inlineStr">
        <is>
          <t>ใส่ข้อมูล</t>
        </is>
      </c>
      <c r="B7" s="20" t="n"/>
      <c r="C7" s="20" t="n"/>
      <c r="D7" s="21" t="n"/>
      <c r="E7" s="22" t="inlineStr">
        <is>
          <t>F7978</t>
        </is>
      </c>
      <c r="F7" s="15" t="n"/>
      <c r="G7" s="22" t="inlineStr">
        <is>
          <t>F7976</t>
        </is>
      </c>
      <c r="H7" s="15" t="n"/>
      <c r="I7" s="22" t="inlineStr">
        <is>
          <t>F7992</t>
        </is>
      </c>
      <c r="J7" s="15" t="n"/>
      <c r="K7" s="22" t="inlineStr">
        <is>
          <t>F7980</t>
        </is>
      </c>
      <c r="L7" s="14" t="n"/>
      <c r="M7" s="14" t="n"/>
      <c r="N7" s="15" t="n"/>
      <c r="O7" s="22" t="inlineStr">
        <is>
          <t>F7919</t>
        </is>
      </c>
      <c r="P7" s="14" t="n"/>
      <c r="Q7" s="14" t="n"/>
      <c r="R7" s="15" t="n"/>
      <c r="S7" s="22" t="inlineStr">
        <is>
          <t>F7987</t>
        </is>
      </c>
      <c r="T7" s="14" t="n"/>
      <c r="U7" s="14" t="n"/>
      <c r="V7" s="15" t="n"/>
      <c r="W7" s="23" t="inlineStr">
        <is>
          <t>F7985</t>
        </is>
      </c>
      <c r="X7" s="15" t="n"/>
      <c r="Y7" s="22" t="inlineStr">
        <is>
          <t>F7983</t>
        </is>
      </c>
      <c r="Z7" s="15" t="n"/>
      <c r="AA7" s="22" t="inlineStr">
        <is>
          <t>F7986</t>
        </is>
      </c>
      <c r="AB7" s="15" t="n"/>
      <c r="AC7" s="22" t="inlineStr">
        <is>
          <t>F7993</t>
        </is>
      </c>
      <c r="AD7" s="15" t="n"/>
      <c r="AE7" s="22" t="inlineStr">
        <is>
          <t>F7988</t>
        </is>
      </c>
      <c r="AK7" s="22" t="inlineStr">
        <is>
          <t>F7994</t>
        </is>
      </c>
      <c r="AM7" s="24" t="n"/>
      <c r="AN7" s="25" t="inlineStr">
        <is>
          <t>ขนาดกระจก</t>
        </is>
      </c>
      <c r="AO7" s="26" t="n"/>
      <c r="BA7" t="inlineStr">
        <is>
          <t>Alignกุญแจอบขาว</t>
        </is>
      </c>
      <c r="BB7" t="inlineStr">
        <is>
          <t>JR00377</t>
        </is>
      </c>
      <c r="BC7">
        <f>COUNTIF($B$74:$B$75,"กุญแจ+ล็อค")</f>
        <v/>
      </c>
    </row>
    <row r="8" ht="40.15" customHeight="1">
      <c r="A8" s="27" t="inlineStr">
        <is>
          <t>แผน</t>
        </is>
      </c>
      <c r="B8" s="28" t="inlineStr">
        <is>
          <t>ขนาดชิ้นงาน
(mm)</t>
        </is>
      </c>
      <c r="C8" s="29" t="n"/>
      <c r="D8" s="27" t="inlineStr">
        <is>
          <t>ชุด</t>
        </is>
      </c>
      <c r="E8" s="30" t="n"/>
      <c r="F8" s="31" t="n"/>
      <c r="G8" s="30" t="n"/>
      <c r="H8" s="31" t="n"/>
      <c r="I8" s="30" t="n"/>
      <c r="J8" s="31" t="n"/>
      <c r="K8" s="32" t="n"/>
      <c r="L8" s="33" t="n"/>
      <c r="M8" s="34" t="n"/>
      <c r="N8" s="31" t="n"/>
      <c r="O8" s="32" t="n"/>
      <c r="P8" s="33" t="n"/>
      <c r="Q8" s="34" t="n"/>
      <c r="R8" s="31" t="n"/>
      <c r="S8" s="32" t="n"/>
      <c r="T8" s="33" t="n"/>
      <c r="U8" s="34" t="n"/>
      <c r="V8" s="31" t="n"/>
      <c r="W8" s="34" t="n"/>
      <c r="X8" s="31" t="n"/>
      <c r="Y8" s="32" t="n"/>
      <c r="Z8" s="33" t="n"/>
      <c r="AA8" s="32" t="n"/>
      <c r="AB8" s="33" t="n"/>
      <c r="AC8" s="32" t="n"/>
      <c r="AD8" s="33" t="n"/>
      <c r="AE8" s="32" t="n"/>
      <c r="AF8" s="33" t="n"/>
      <c r="AG8" s="35" t="n"/>
      <c r="AI8" s="34" t="n"/>
      <c r="AK8" s="30" t="inlineStr">
        <is>
          <t>JR00577</t>
        </is>
      </c>
      <c r="AL8">
        <f>VLOOKUP($B$72&amp;"กุญแจ"&amp;$B$73,$BA$1:$BB$12,2,0)</f>
        <v/>
      </c>
      <c r="AM8" s="36">
        <f>VLOOKUP($B$72&amp;"ล็อค"&amp;$B$73,$BA$1:$BB$12,2,0)</f>
        <v/>
      </c>
      <c r="AN8" s="37">
        <f>VLOOKUP($B$72&amp;"ดัมมี่"&amp;$B$73,$BA$1:$BB$12,2,0)</f>
        <v/>
      </c>
      <c r="AO8" s="38" t="inlineStr"/>
      <c r="AP8" t="inlineStr">
        <is>
          <t>JR00478</t>
        </is>
      </c>
      <c r="AQ8" t="inlineStr">
        <is>
          <t>JR00479</t>
        </is>
      </c>
      <c r="AR8" t="inlineStr">
        <is>
          <t>JR00476</t>
        </is>
      </c>
      <c r="AS8" t="inlineStr">
        <is>
          <t>JR00475</t>
        </is>
      </c>
      <c r="AT8" t="inlineStr">
        <is>
          <t>JR00477</t>
        </is>
      </c>
      <c r="AU8" t="inlineStr">
        <is>
          <t>JR00592</t>
        </is>
      </c>
      <c r="AV8" t="inlineStr">
        <is>
          <t>JR00480</t>
        </is>
      </c>
      <c r="AW8" t="inlineStr">
        <is>
          <t>JR00589</t>
        </is>
      </c>
      <c r="AX8" t="inlineStr">
        <is>
          <t>JR00485</t>
        </is>
      </c>
      <c r="AY8" t="inlineStr">
        <is>
          <t>JR00794</t>
        </is>
      </c>
      <c r="BA8" t="inlineStr">
        <is>
          <t>Alignล็อคอบขาว</t>
        </is>
      </c>
      <c r="BB8" t="inlineStr">
        <is>
          <t>JR00378</t>
        </is>
      </c>
    </row>
    <row r="9" ht="40.15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 บน-ล่าง</t>
        </is>
      </c>
      <c r="H9" s="43" t="n"/>
      <c r="I9" s="42" t="inlineStr">
        <is>
          <t>ตบกันสาด</t>
        </is>
      </c>
      <c r="J9" s="43" t="n"/>
      <c r="K9" s="42" t="inlineStr">
        <is>
          <t>เสา</t>
        </is>
      </c>
      <c r="L9" s="43" t="n"/>
      <c r="M9" s="42" t="inlineStr">
        <is>
          <t>ขวาง</t>
        </is>
      </c>
      <c r="N9" s="43" t="n"/>
      <c r="O9" s="42" t="inlineStr">
        <is>
          <t>คิ้ว ตั้ง</t>
        </is>
      </c>
      <c r="P9" s="43" t="n"/>
      <c r="Q9" s="42" t="inlineStr">
        <is>
          <t>คิ้ว ขวาง</t>
        </is>
      </c>
      <c r="R9" s="43" t="n"/>
      <c r="S9" s="42" t="inlineStr">
        <is>
          <t>คิ้ว ตั้ง</t>
        </is>
      </c>
      <c r="T9" s="43" t="n"/>
      <c r="U9" s="42" t="inlineStr">
        <is>
          <t>คิ้ว ขวาง</t>
        </is>
      </c>
      <c r="V9" s="43" t="n"/>
      <c r="W9" s="42" t="inlineStr">
        <is>
          <t>ต่อราง</t>
        </is>
      </c>
      <c r="X9" s="43" t="n"/>
      <c r="Y9" s="42" t="inlineStr">
        <is>
          <t>ตบเกี่ยว</t>
        </is>
      </c>
      <c r="Z9" s="43" t="n"/>
      <c r="AA9" s="44" t="inlineStr">
        <is>
          <t>ยูข้าง</t>
        </is>
      </c>
      <c r="AB9" s="43" t="n"/>
      <c r="AC9" s="44" t="inlineStr">
        <is>
          <t>ตบเฟรมบน</t>
        </is>
      </c>
      <c r="AD9" s="43" t="n"/>
      <c r="AE9" s="44" t="inlineStr">
        <is>
          <t>ตบยูข้าง</t>
        </is>
      </c>
      <c r="AF9" s="43" t="n"/>
      <c r="AG9" s="42" t="inlineStr">
        <is>
          <t>ปิดตบเกี่ยว</t>
        </is>
      </c>
      <c r="AI9" s="42" t="inlineStr">
        <is>
          <t>ตบกันสาด</t>
        </is>
      </c>
      <c r="AK9" s="44" t="inlineStr">
        <is>
          <t>ล้อ 20</t>
        </is>
      </c>
      <c r="AL9" t="inlineStr">
        <is>
          <t>มือจับ กุญแจ</t>
        </is>
      </c>
      <c r="AM9" s="45" t="inlineStr">
        <is>
          <t>มือจับ ล็อค</t>
        </is>
      </c>
      <c r="AN9" s="46" t="inlineStr">
        <is>
          <t>มือจับ ดัมมี่</t>
        </is>
      </c>
      <c r="AO9" s="47" t="inlineStr">
        <is>
          <t>Digital lock</t>
        </is>
      </c>
      <c r="AP9" t="inlineStr">
        <is>
          <t>แกน A</t>
        </is>
      </c>
      <c r="AQ9" t="inlineStr">
        <is>
          <t>แกน B</t>
        </is>
      </c>
      <c r="AR9" t="inlineStr">
        <is>
          <t>ปลายดำ</t>
        </is>
      </c>
      <c r="AS9" t="inlineStr">
        <is>
          <t>ตัวที เงิน</t>
        </is>
      </c>
      <c r="AT9" t="inlineStr">
        <is>
          <t>ก้ามปู</t>
        </is>
      </c>
      <c r="AU9" t="inlineStr">
        <is>
          <t>สปิงก็อท</t>
        </is>
      </c>
      <c r="AV9" t="inlineStr">
        <is>
          <t>ฉากประกอบมุม</t>
        </is>
      </c>
      <c r="AW9" t="inlineStr">
        <is>
          <t>ยางรูน้ำ</t>
        </is>
      </c>
      <c r="AX9" t="inlineStr">
        <is>
          <t>วาวรูน้ำ</t>
        </is>
      </c>
      <c r="AY9" t="inlineStr">
        <is>
          <t>สักหลาด(ม.)</t>
        </is>
      </c>
      <c r="BA9" t="inlineStr">
        <is>
          <t>Alignดัมมี่อบขาว</t>
        </is>
      </c>
      <c r="BB9" t="inlineStr">
        <is>
          <t>JR00379</t>
        </is>
      </c>
      <c r="BC9">
        <f>(COUNTIF($B$74:$B$75,"ล็อค+ดัมมี่")+2*COUNTIF($B$74:$B$75,"ดัมมี่+ดัมมี่")+COUNTIF($B$74:$B$75,"ดัมมี่"))</f>
        <v/>
      </c>
    </row>
    <row r="10" ht="40.15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3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4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3" t="inlineStr">
        <is>
          <t>จำนวน</t>
        </is>
      </c>
      <c r="AA10" s="52" t="inlineStr">
        <is>
          <t>ยาว</t>
        </is>
      </c>
      <c r="AB10" s="54" t="inlineStr">
        <is>
          <t>จำนวน</t>
        </is>
      </c>
      <c r="AC10" s="52" t="inlineStr">
        <is>
          <t>ยาว</t>
        </is>
      </c>
      <c r="AD10" s="54" t="inlineStr">
        <is>
          <t>จำนวน</t>
        </is>
      </c>
      <c r="AE10" s="52" t="inlineStr">
        <is>
          <t>ยาว</t>
        </is>
      </c>
      <c r="AF10" s="54" t="inlineStr">
        <is>
          <t>จำนวน</t>
        </is>
      </c>
      <c r="AG10" s="52" t="inlineStr">
        <is>
          <t>ยาว</t>
        </is>
      </c>
      <c r="AH10" s="53" t="inlineStr">
        <is>
          <t>จำนวน</t>
        </is>
      </c>
      <c r="AI10" s="52" t="inlineStr">
        <is>
          <t>ยาว</t>
        </is>
      </c>
      <c r="AJ10" s="53" t="inlineStr">
        <is>
          <t>จำนวน</t>
        </is>
      </c>
      <c r="AK10" s="52" t="inlineStr">
        <is>
          <t>จำนวน</t>
        </is>
      </c>
      <c r="AL10" s="54" t="inlineStr">
        <is>
          <t>จำนวน</t>
        </is>
      </c>
      <c r="AM10" s="55" t="inlineStr">
        <is>
          <t>จำนวน</t>
        </is>
      </c>
      <c r="AN10" s="56" t="inlineStr">
        <is>
          <t>จำนวน</t>
        </is>
      </c>
      <c r="AO10" s="57" t="inlineStr">
        <is>
          <t>จำนวน</t>
        </is>
      </c>
      <c r="AP10" t="inlineStr">
        <is>
          <t>จำนวน</t>
        </is>
      </c>
      <c r="AQ10" t="inlineStr">
        <is>
          <t>จำนวน</t>
        </is>
      </c>
      <c r="AR10" t="inlineStr">
        <is>
          <t>จำนวน</t>
        </is>
      </c>
      <c r="AS10" t="inlineStr">
        <is>
          <t>จำนวน</t>
        </is>
      </c>
      <c r="AT10" t="inlineStr">
        <is>
          <t>จำนวน</t>
        </is>
      </c>
      <c r="AU10" t="inlineStr">
        <is>
          <t>จำนวน</t>
        </is>
      </c>
      <c r="AV10" t="inlineStr">
        <is>
          <t>จำนวน</t>
        </is>
      </c>
      <c r="AW10" t="inlineStr">
        <is>
          <t>จำนวน</t>
        </is>
      </c>
      <c r="AX10" t="inlineStr">
        <is>
          <t>จำนวน</t>
        </is>
      </c>
      <c r="AY10" t="inlineStr">
        <is>
          <t>จำนวน</t>
        </is>
      </c>
      <c r="BA10" t="inlineStr">
        <is>
          <t>Alignกุญแจดำ</t>
        </is>
      </c>
      <c r="BB10" t="inlineStr">
        <is>
          <t>JR00374</t>
        </is>
      </c>
      <c r="BC10">
        <f>COUNTIF($B$74:$B$75,"Digital lock")</f>
        <v/>
      </c>
    </row>
    <row r="11" ht="40.15" customHeight="1">
      <c r="A11" s="58" t="inlineStr">
        <is>
          <t>A</t>
        </is>
      </c>
      <c r="B11" s="59" t="n">
        <v>1198</v>
      </c>
      <c r="C11" s="60" t="n">
        <v>1088</v>
      </c>
      <c r="D11" s="61" t="n">
        <v>1</v>
      </c>
      <c r="E11" s="62">
        <f>IF($A11="","",$B11)</f>
        <v/>
      </c>
      <c r="F11" s="60">
        <f>IF($A11="","",$L$54*$D11)</f>
        <v/>
      </c>
      <c r="G11" s="62">
        <f>IF($A11="","",$C11-$E$55-$F$55)</f>
        <v/>
      </c>
      <c r="H11" s="60">
        <f>IF($A11="","",$L$55*$D11)</f>
        <v/>
      </c>
      <c r="I11" s="62">
        <f>IF($A11="","",$C11)</f>
        <v/>
      </c>
      <c r="J11" s="60">
        <f>IF($A11="","",$L$56*$D11)</f>
        <v/>
      </c>
      <c r="K11" s="62">
        <f>IF($A11="","",$B11-$E$57-$F$57-$G$57-$H$57)</f>
        <v/>
      </c>
      <c r="L11" s="60">
        <f>IF($A11="","",$L$57*$D11)</f>
        <v/>
      </c>
      <c r="M11" s="62">
        <f>IF($A11="","",(($C11-$E$58-$F$58-$G$58-$H$58-$I$58)/2)+$J$58+(78*1)/2)</f>
        <v/>
      </c>
      <c r="N11" s="60">
        <f>IF($A11="","",$L$58*$D11)</f>
        <v/>
      </c>
      <c r="O11" s="62">
        <f>IF($A11="","",$K11-$E$59-$F$59)</f>
        <v/>
      </c>
      <c r="P11" s="60">
        <f>IF($A11="","",$L$59*$D11)</f>
        <v/>
      </c>
      <c r="Q11" s="62">
        <f>IF($A11="","",$M11-$E$60-$F$60+$G$60)</f>
        <v/>
      </c>
      <c r="R11" s="60">
        <f>IF($A11="","",$L$60*$D11)</f>
        <v/>
      </c>
      <c r="S11" s="62">
        <f>IF($A11="","",$K11-$E$61-$F$61)</f>
        <v/>
      </c>
      <c r="T11" s="60">
        <f>IF($A11="","",$L$61*$D11)</f>
        <v/>
      </c>
      <c r="U11" s="62">
        <f>IF($A11="","",$M11-$E$62-$F$62+$G$62)</f>
        <v/>
      </c>
      <c r="V11" s="60">
        <f>IF($A11="","",$L$62*$D11)</f>
        <v/>
      </c>
      <c r="W11" s="62">
        <f>IF($A11="","",$K11)</f>
        <v/>
      </c>
      <c r="X11" s="60">
        <f>IF($A11="","",$L$63*$D11)</f>
        <v/>
      </c>
      <c r="Y11" s="62">
        <f>IF($A11="","",$K11)</f>
        <v/>
      </c>
      <c r="Z11" s="60">
        <f>IF($A11="","",$L$64*$D11)</f>
        <v/>
      </c>
      <c r="AA11" s="62">
        <f>IF($A11="","",$B11-$E$65-$F$65)</f>
        <v/>
      </c>
      <c r="AB11" s="60">
        <f>IF($A11="","",$L$65*$D11)</f>
        <v/>
      </c>
      <c r="AC11" s="62">
        <f>IF($A11="","",$C11-$E$66-$F$66)</f>
        <v/>
      </c>
      <c r="AD11" s="60">
        <f>IF($A11="","",$L$66*$D11)</f>
        <v/>
      </c>
      <c r="AE11" s="62">
        <f>IF($A11="","",$B11-$E$67-$F$67)</f>
        <v/>
      </c>
      <c r="AF11" s="60">
        <f>IF($A11="","",$L$67*$D11)</f>
        <v/>
      </c>
      <c r="AG11" s="62">
        <f>IF($A11="","",$W11)</f>
        <v/>
      </c>
      <c r="AH11" s="60">
        <f>IF($A11="","",$L$68*$D11)</f>
        <v/>
      </c>
      <c r="AI11" s="62">
        <f>IF($A11="","",$C11)</f>
        <v/>
      </c>
      <c r="AJ11" s="60">
        <f>IF($A11="","",$L$69*$D11)</f>
        <v/>
      </c>
      <c r="AK11" s="62">
        <f>IF($A11="","",2*2*$D11)</f>
        <v/>
      </c>
      <c r="AL11" s="60">
        <f>IF($A11="","",$BC$7*$D11)</f>
        <v/>
      </c>
      <c r="AM11" s="63">
        <f>IF($A11="","",$BC$6*$D11)</f>
        <v/>
      </c>
      <c r="AN11" s="133">
        <f>IF($A11="","",$BC$9*$D11)</f>
        <v/>
      </c>
      <c r="AO11" s="65">
        <f>IF($A11="","",$BC$10*$D11)</f>
        <v/>
      </c>
      <c r="AP11">
        <f>IF($A11="","",2*$BC$6*$D11)</f>
        <v/>
      </c>
      <c r="AQ11">
        <f>IF($A11="","",IF($B11&gt;2800,2,IF($B11&gt;1400,1,0))*$BC$6*$D11)</f>
        <v/>
      </c>
      <c r="AR11">
        <f>IF($A11="","",2*$BC$6*$D11)</f>
        <v/>
      </c>
      <c r="AS11">
        <f>IF($A11="","",$BC$6*$D11)</f>
        <v/>
      </c>
      <c r="AT11">
        <f>IF($A11="","",2*$BC$6*$D11)</f>
        <v/>
      </c>
      <c r="AU11">
        <f>IF($A11="","",4*2*$D11)</f>
        <v/>
      </c>
      <c r="AV11">
        <f>IF($A11="","",16*2*$D11)</f>
        <v/>
      </c>
      <c r="AW11">
        <f>IF($A11="","",(2+MAX(0,ROUNDUP(($G11-1500)/500,0)))*$D11)</f>
        <v/>
      </c>
      <c r="AX11">
        <f>IF($A11="","",(2+MAX(0,ROUNDUP(($G11-1500)/500,0)))*$D11)</f>
        <v/>
      </c>
      <c r="AY11">
        <f>IF($A11="","",ROUND((2*2*($M11+$K11)*2*$D11+$Y11*$Z11)/1000,1))</f>
        <v/>
      </c>
      <c r="BA11" t="inlineStr">
        <is>
          <t>Alignล็อคดำ</t>
        </is>
      </c>
      <c r="BB11" t="inlineStr">
        <is>
          <t>JR00375</t>
        </is>
      </c>
    </row>
    <row r="12" ht="40.15" customHeight="1">
      <c r="A12" s="58" t="inlineStr">
        <is>
          <t>C</t>
        </is>
      </c>
      <c r="B12" s="59" t="n">
        <v>1198</v>
      </c>
      <c r="C12" s="60" t="n">
        <v>1084</v>
      </c>
      <c r="D12" s="61" t="n">
        <v>1</v>
      </c>
      <c r="E12" s="66">
        <f>IF($A12="","",$B12)</f>
        <v/>
      </c>
      <c r="F12" s="67">
        <f>IF($A12="","",$L$54*$D12)</f>
        <v/>
      </c>
      <c r="G12" s="66">
        <f>IF($A12="","",$C12-$E$55-$F$55)</f>
        <v/>
      </c>
      <c r="H12" s="67">
        <f>IF($A12="","",$L$55*$D12)</f>
        <v/>
      </c>
      <c r="I12" s="66">
        <f>IF($A12="","",$C12)</f>
        <v/>
      </c>
      <c r="J12" s="67">
        <f>IF($A12="","",$L$56*$D12)</f>
        <v/>
      </c>
      <c r="K12" s="66">
        <f>IF($A12="","",$B12-$E$57-$F$57-$G$57-$H$57)</f>
        <v/>
      </c>
      <c r="L12" s="67">
        <f>IF($A12="","",$L$57*$D12)</f>
        <v/>
      </c>
      <c r="M12" s="66">
        <f>IF($A12="","",(($C12-21-3-1.2-3-21)/2)+(78*1)/2)</f>
        <v/>
      </c>
      <c r="N12" s="67">
        <f>IF($A12="","",$L$58*$D12)</f>
        <v/>
      </c>
      <c r="O12" s="66">
        <f>IF($A12="","",$K12-$E$59-$F$59)</f>
        <v/>
      </c>
      <c r="P12" s="67">
        <f>IF($A12="","",$L$59*$D12)</f>
        <v/>
      </c>
      <c r="Q12" s="66">
        <f>IF($A12="","",$M12-63-63)</f>
        <v/>
      </c>
      <c r="R12" s="67">
        <f>IF($A12="","",$L$60*$D12)</f>
        <v/>
      </c>
      <c r="S12" s="66">
        <f>IF($A12="","",$K12-$E$61-$F$61)</f>
        <v/>
      </c>
      <c r="T12" s="67">
        <f>IF($A12="","",$L$61*$D12)</f>
        <v/>
      </c>
      <c r="U12" s="66">
        <f>IF($A12="","",$M12-63-63)</f>
        <v/>
      </c>
      <c r="V12" s="67">
        <f>IF($A12="","",$L$62*$D12)</f>
        <v/>
      </c>
      <c r="W12" s="66">
        <f>IF($A12="","",$K12)</f>
        <v/>
      </c>
      <c r="X12" s="67">
        <f>IF($A12="","",$L$63*$D12)</f>
        <v/>
      </c>
      <c r="Y12" s="66">
        <f>IF($A12="","",$K12)</f>
        <v/>
      </c>
      <c r="Z12" s="67">
        <f>IF($A12="","",$L$64*$D12)</f>
        <v/>
      </c>
      <c r="AA12" s="66">
        <f>IF($A12="","",$B12-$E$65-$F$65)</f>
        <v/>
      </c>
      <c r="AB12" s="67">
        <f>IF($A12="","",$L$65*$D12)</f>
        <v/>
      </c>
      <c r="AC12" s="66">
        <f>IF($A12="","",$C12-$E$66-$F$66)</f>
        <v/>
      </c>
      <c r="AD12" s="67">
        <f>IF($A12="","",$L$66*$D12)</f>
        <v/>
      </c>
      <c r="AE12" s="66">
        <f>IF($A12="","",$B12-$E$67-$F$67)</f>
        <v/>
      </c>
      <c r="AF12" s="67">
        <f>IF($A12="","",$L$67*$D12)</f>
        <v/>
      </c>
      <c r="AG12" s="66">
        <f>IF($A12="","",$W12)</f>
        <v/>
      </c>
      <c r="AH12" s="67">
        <f>IF($A12="","",$L$68*$D12)</f>
        <v/>
      </c>
      <c r="AI12" s="66">
        <f>IF($A12="","",$C12)</f>
        <v/>
      </c>
      <c r="AJ12" s="67">
        <f>IF($A12="","",$L$69*$D12)</f>
        <v/>
      </c>
      <c r="AK12" s="66">
        <f>IF($A12="","",2*2*$D12)</f>
        <v/>
      </c>
      <c r="AL12" s="67">
        <f>IF($A12="","",$BC$7*$D12)</f>
        <v/>
      </c>
      <c r="AM12" s="63">
        <f>IF($A12="","",$BC$6*$D12)</f>
        <v/>
      </c>
      <c r="AN12" s="133">
        <f>IF($A12="","",$BC$9*$D12)</f>
        <v/>
      </c>
      <c r="AO12" s="65">
        <f>IF($A12="","",$BC$10*$D12)</f>
        <v/>
      </c>
      <c r="AP12">
        <f>IF($A12="","",2*$BC$6*$D12)</f>
        <v/>
      </c>
      <c r="AQ12">
        <f>IF($A12="","",IF($B12&gt;2800,2,IF($B12&gt;1400,1,0))*$BC$6*$D12)</f>
        <v/>
      </c>
      <c r="AR12">
        <f>IF($A12="","",2*$BC$6*$D12)</f>
        <v/>
      </c>
      <c r="AS12">
        <f>IF($A12="","",$BC$6*$D12)</f>
        <v/>
      </c>
      <c r="AT12">
        <f>IF($A12="","",2*$BC$6*$D12)</f>
        <v/>
      </c>
      <c r="AU12">
        <f>IF($A12="","",4*2*$D12)</f>
        <v/>
      </c>
      <c r="AV12">
        <f>IF($A12="","",16*2*$D12)</f>
        <v/>
      </c>
      <c r="AW12">
        <f>IF($A12="","",(2+MAX(0,ROUNDUP(($G12-1500)/500,0)))*$D12)</f>
        <v/>
      </c>
      <c r="AX12">
        <f>IF($A12="","",(2+MAX(0,ROUNDUP(($G12-1500)/500,0)))*$D12)</f>
        <v/>
      </c>
      <c r="AY12">
        <f>IF($A12="","",ROUND((2*2*($M12+$K12)*2*$D12+$Y12*$Z12)/1000,1))</f>
        <v/>
      </c>
      <c r="BA12" t="inlineStr">
        <is>
          <t>Alignดัมมี่ดำ</t>
        </is>
      </c>
      <c r="BB12" t="inlineStr">
        <is>
          <t>JR00376</t>
        </is>
      </c>
    </row>
    <row r="13" ht="40.15" customHeight="1">
      <c r="A13" s="58" t="n"/>
      <c r="B13" s="59" t="n"/>
      <c r="C13" s="60" t="n"/>
      <c r="D13" s="61" t="n"/>
      <c r="E13" s="62">
        <f>IF($A13="","",$B13)</f>
        <v/>
      </c>
      <c r="F13" s="60">
        <f>IF($A13="","",$L$54*$D13)</f>
        <v/>
      </c>
      <c r="G13" s="62">
        <f>IF($A13="","",$C13-$E$55-$F$55)</f>
        <v/>
      </c>
      <c r="H13" s="60">
        <f>IF($A13="","",$L$55*$D13)</f>
        <v/>
      </c>
      <c r="I13" s="62">
        <f>IF($A13="","",$C13)</f>
        <v/>
      </c>
      <c r="J13" s="60">
        <f>IF($A13="","",$L$56*$D13)</f>
        <v/>
      </c>
      <c r="K13" s="62">
        <f>IF($A13="","",$B13-$E$57-$F$57-$G$57-$H$57)</f>
        <v/>
      </c>
      <c r="L13" s="60">
        <f>IF($A13="","",$L$57*$D13)</f>
        <v/>
      </c>
      <c r="M13" s="62">
        <f>IF($A13="","",(($C13-21-3-1.2-3-21)/2)+(78*1)/2)</f>
        <v/>
      </c>
      <c r="N13" s="60">
        <f>IF($A13="","",$L$58*$D13)</f>
        <v/>
      </c>
      <c r="O13" s="62">
        <f>IF($A13="","",$K13-$E$59-$F$59)</f>
        <v/>
      </c>
      <c r="P13" s="60">
        <f>IF($A13="","",$L$59*$D13)</f>
        <v/>
      </c>
      <c r="Q13" s="62">
        <f>IF($A13="","",$M13-63-63)</f>
        <v/>
      </c>
      <c r="R13" s="60">
        <f>IF($A13="","",$L$60*$D13)</f>
        <v/>
      </c>
      <c r="S13" s="62">
        <f>IF($A13="","",$K13-$E$61-$F$61)</f>
        <v/>
      </c>
      <c r="T13" s="60">
        <f>IF($A13="","",$L$61*$D13)</f>
        <v/>
      </c>
      <c r="U13" s="62">
        <f>IF($A13="","",$M13-63-63)</f>
        <v/>
      </c>
      <c r="V13" s="60">
        <f>IF($A13="","",$L$62*$D13)</f>
        <v/>
      </c>
      <c r="W13" s="62">
        <f>IF($A13="","",$K13)</f>
        <v/>
      </c>
      <c r="X13" s="60">
        <f>IF($A13="","",$L$63*$D13)</f>
        <v/>
      </c>
      <c r="Y13" s="62">
        <f>IF($A13="","",$K13)</f>
        <v/>
      </c>
      <c r="Z13" s="60">
        <f>IF($A13="","",$L$64*$D13)</f>
        <v/>
      </c>
      <c r="AA13" s="62">
        <f>IF($A13="","",$B13-$E$65-$F$65)</f>
        <v/>
      </c>
      <c r="AB13" s="60">
        <f>IF($A13="","",$L$65*$D13)</f>
        <v/>
      </c>
      <c r="AC13" s="62">
        <f>IF($A13="","",$C13-$E$66-$F$66)</f>
        <v/>
      </c>
      <c r="AD13" s="60">
        <f>IF($A13="","",$L$66*$D13)</f>
        <v/>
      </c>
      <c r="AE13" s="62">
        <f>IF($A13="","",$B13-$E$67-$F$67)</f>
        <v/>
      </c>
      <c r="AF13" s="60">
        <f>IF($A13="","",$L$67*$D13)</f>
        <v/>
      </c>
      <c r="AG13" s="62">
        <f>IF($A13="","",$W13)</f>
        <v/>
      </c>
      <c r="AH13" s="60">
        <f>IF($A13="","",$L$68*$D13)</f>
        <v/>
      </c>
      <c r="AI13" s="62">
        <f>IF($A13="","",$C13)</f>
        <v/>
      </c>
      <c r="AJ13" s="60">
        <f>IF($A13="","",$L$69*$D13)</f>
        <v/>
      </c>
      <c r="AK13" s="62">
        <f>IF($A13="","",2*2*$D13)</f>
        <v/>
      </c>
      <c r="AL13" s="60">
        <f>IF($A13="","",$BC$7*$D13)</f>
        <v/>
      </c>
      <c r="AM13" s="63">
        <f>IF($A13="","",$BC$6*$D13)</f>
        <v/>
      </c>
      <c r="AN13" s="64">
        <f>IF($A13="","",$BC$9*$D13)</f>
        <v/>
      </c>
      <c r="AO13" s="65">
        <f>IF($A13="","",$BC$10*$D13)</f>
        <v/>
      </c>
      <c r="AP13">
        <f>IF($A13="","",2*$BC$6*$D13)</f>
        <v/>
      </c>
      <c r="AQ13">
        <f>IF($A13="","",IF($B13&gt;2800,2,IF($B13&gt;1400,1,0))*$BC$6*$D13)</f>
        <v/>
      </c>
      <c r="AR13">
        <f>IF($A13="","",2*$BC$6*$D13)</f>
        <v/>
      </c>
      <c r="AS13">
        <f>IF($A13="","",$BC$6*$D13)</f>
        <v/>
      </c>
      <c r="AT13">
        <f>IF($A13="","",2*$BC$6*$D13)</f>
        <v/>
      </c>
      <c r="AU13">
        <f>IF($A13="","",4*2*$D13)</f>
        <v/>
      </c>
      <c r="AV13">
        <f>IF($A13="","",16*2*$D13)</f>
        <v/>
      </c>
      <c r="AW13">
        <f>IF($A13="","",(2+MAX(0,ROUNDUP(($G13-1500)/500,0)))*$D13)</f>
        <v/>
      </c>
      <c r="AX13">
        <f>IF($A13="","",(2+MAX(0,ROUNDUP(($G13-1500)/500,0)))*$D13)</f>
        <v/>
      </c>
      <c r="AY13">
        <f>IF($A13="","",ROUND((2*2*($M13+$K13)*2*$D13+$Y13*$Z13)/1000,1))</f>
        <v/>
      </c>
    </row>
    <row r="14" ht="40.15" customHeight="1">
      <c r="A14" s="58" t="n"/>
      <c r="B14" s="59" t="n"/>
      <c r="C14" s="60" t="n"/>
      <c r="D14" s="61" t="n"/>
      <c r="E14" s="66">
        <f>IF($A14="","",$B14)</f>
        <v/>
      </c>
      <c r="F14" s="67">
        <f>IF($A14="","",$L$54*$D14)</f>
        <v/>
      </c>
      <c r="G14" s="66">
        <f>IF($A14="","",$C14-$E$55-$F$55)</f>
        <v/>
      </c>
      <c r="H14" s="67">
        <f>IF($A14="","",$L$55*$D14)</f>
        <v/>
      </c>
      <c r="I14" s="66">
        <f>IF($A14="","",$C14)</f>
        <v/>
      </c>
      <c r="J14" s="67">
        <f>IF($A14="","",$L$56*$D14)</f>
        <v/>
      </c>
      <c r="K14" s="66">
        <f>IF($A14="","",$B14-$E$57-$F$57-$G$57-$H$57)</f>
        <v/>
      </c>
      <c r="L14" s="67">
        <f>IF($A14="","",$L$57*$D14)</f>
        <v/>
      </c>
      <c r="M14" s="66">
        <f>IF($A14="","",(($C14-21-3-1.2-3-21)/2)+(78*1)/2)</f>
        <v/>
      </c>
      <c r="N14" s="67">
        <f>IF($A14="","",$L$58*$D14)</f>
        <v/>
      </c>
      <c r="O14" s="66">
        <f>IF($A14="","",$K14-$E$59-$F$59)</f>
        <v/>
      </c>
      <c r="P14" s="67">
        <f>IF($A14="","",$L$59*$D14)</f>
        <v/>
      </c>
      <c r="Q14" s="66">
        <f>IF($A14="","",$M14-63-63)</f>
        <v/>
      </c>
      <c r="R14" s="67">
        <f>IF($A14="","",$L$60*$D14)</f>
        <v/>
      </c>
      <c r="S14" s="66">
        <f>IF($A14="","",$K14-$E$61-$F$61)</f>
        <v/>
      </c>
      <c r="T14" s="67">
        <f>IF($A14="","",$L$61*$D14)</f>
        <v/>
      </c>
      <c r="U14" s="66">
        <f>IF($A14="","",$M14-63-63)</f>
        <v/>
      </c>
      <c r="V14" s="67">
        <f>IF($A14="","",$L$62*$D14)</f>
        <v/>
      </c>
      <c r="W14" s="66">
        <f>IF($A14="","",$K14)</f>
        <v/>
      </c>
      <c r="X14" s="67">
        <f>IF($A14="","",$L$63*$D14)</f>
        <v/>
      </c>
      <c r="Y14" s="66">
        <f>IF($A14="","",$K14)</f>
        <v/>
      </c>
      <c r="Z14" s="67">
        <f>IF($A14="","",$L$64*$D14)</f>
        <v/>
      </c>
      <c r="AA14" s="66">
        <f>IF($A14="","",$B14-$E$65-$F$65)</f>
        <v/>
      </c>
      <c r="AB14" s="67">
        <f>IF($A14="","",$L$65*$D14)</f>
        <v/>
      </c>
      <c r="AC14" s="66">
        <f>IF($A14="","",$C14-$E$66-$F$66)</f>
        <v/>
      </c>
      <c r="AD14" s="67">
        <f>IF($A14="","",$L$66*$D14)</f>
        <v/>
      </c>
      <c r="AE14" s="66">
        <f>IF($A14="","",$B14-$E$67-$F$67)</f>
        <v/>
      </c>
      <c r="AF14" s="67">
        <f>IF($A14="","",$L$67*$D14)</f>
        <v/>
      </c>
      <c r="AG14" s="66">
        <f>IF($A14="","",$W14)</f>
        <v/>
      </c>
      <c r="AH14" s="67">
        <f>IF($A14="","",$L$68*$D14)</f>
        <v/>
      </c>
      <c r="AI14" s="66">
        <f>IF($A14="","",$C14)</f>
        <v/>
      </c>
      <c r="AJ14" s="67">
        <f>IF($A14="","",$L$69*$D14)</f>
        <v/>
      </c>
      <c r="AK14" s="66">
        <f>IF($A14="","",2*2*$D14)</f>
        <v/>
      </c>
      <c r="AL14" s="67">
        <f>IF($A14="","",$BC$7*$D14)</f>
        <v/>
      </c>
      <c r="AM14" s="63">
        <f>IF($A14="","",$BC$6*$D14)</f>
        <v/>
      </c>
      <c r="AN14" s="64">
        <f>IF($A14="","",$BC$9*$D14)</f>
        <v/>
      </c>
      <c r="AO14" s="65">
        <f>IF($A14="","",$BC$10*$D14)</f>
        <v/>
      </c>
      <c r="AP14">
        <f>IF($A14="","",2*$BC$6*$D14)</f>
        <v/>
      </c>
      <c r="AQ14">
        <f>IF($A14="","",IF($B14&gt;2800,2,IF($B14&gt;1400,1,0))*$BC$6*$D14)</f>
        <v/>
      </c>
      <c r="AR14">
        <f>IF($A14="","",2*$BC$6*$D14)</f>
        <v/>
      </c>
      <c r="AS14">
        <f>IF($A14="","",$BC$6*$D14)</f>
        <v/>
      </c>
      <c r="AT14">
        <f>IF($A14="","",2*$BC$6*$D14)</f>
        <v/>
      </c>
      <c r="AU14">
        <f>IF($A14="","",4*2*$D14)</f>
        <v/>
      </c>
      <c r="AV14">
        <f>IF($A14="","",16*2*$D14)</f>
        <v/>
      </c>
      <c r="AW14">
        <f>IF($A14="","",(2+MAX(0,ROUNDUP(($G14-1500)/500,0)))*$D14)</f>
        <v/>
      </c>
      <c r="AX14">
        <f>IF($A14="","",(2+MAX(0,ROUNDUP(($G14-1500)/500,0)))*$D14)</f>
        <v/>
      </c>
      <c r="AY14">
        <f>IF($A14="","",ROUND((2*2*($M14+$K14)*2*$D14+$Y14*$Z14)/1000,1))</f>
        <v/>
      </c>
    </row>
    <row r="15" ht="40.15" customHeight="1">
      <c r="A15" s="58" t="n"/>
      <c r="B15" s="59" t="n"/>
      <c r="C15" s="60" t="n"/>
      <c r="D15" s="61" t="n"/>
      <c r="E15" s="62">
        <f>IF($A15="","",$B15)</f>
        <v/>
      </c>
      <c r="F15" s="60">
        <f>IF($A15="","",$L$54*$D15)</f>
        <v/>
      </c>
      <c r="G15" s="62">
        <f>IF($A15="","",$C15-$E$55-$F$55)</f>
        <v/>
      </c>
      <c r="H15" s="60">
        <f>IF($A15="","",$L$55*$D15)</f>
        <v/>
      </c>
      <c r="I15" s="62">
        <f>IF($A15="","",$C15)</f>
        <v/>
      </c>
      <c r="J15" s="60">
        <f>IF($A15="","",$L$56*$D15)</f>
        <v/>
      </c>
      <c r="K15" s="62">
        <f>IF($A15="","",$B15-$E$57-$F$57-$G$57-$H$57)</f>
        <v/>
      </c>
      <c r="L15" s="60">
        <f>IF($A15="","",$L$57*$D15)</f>
        <v/>
      </c>
      <c r="M15" s="62">
        <f>IF($A15="","",(($C15-21-3-1.2-3-21)/2)+(78*1)/2)</f>
        <v/>
      </c>
      <c r="N15" s="60">
        <f>IF($A15="","",$L$58*$D15)</f>
        <v/>
      </c>
      <c r="O15" s="62">
        <f>IF($A15="","",$K15-$E$59-$F$59)</f>
        <v/>
      </c>
      <c r="P15" s="60">
        <f>IF($A15="","",$L$59*$D15)</f>
        <v/>
      </c>
      <c r="Q15" s="62">
        <f>IF($A15="","",$M15-63-63)</f>
        <v/>
      </c>
      <c r="R15" s="60">
        <f>IF($A15="","",$L$60*$D15)</f>
        <v/>
      </c>
      <c r="S15" s="62">
        <f>IF($A15="","",$K15-$E$61-$F$61)</f>
        <v/>
      </c>
      <c r="T15" s="60">
        <f>IF($A15="","",$L$61*$D15)</f>
        <v/>
      </c>
      <c r="U15" s="62">
        <f>IF($A15="","",$M15-63-63)</f>
        <v/>
      </c>
      <c r="V15" s="60">
        <f>IF($A15="","",$L$62*$D15)</f>
        <v/>
      </c>
      <c r="W15" s="62">
        <f>IF($A15="","",$K15)</f>
        <v/>
      </c>
      <c r="X15" s="60">
        <f>IF($A15="","",$L$63*$D15)</f>
        <v/>
      </c>
      <c r="Y15" s="62">
        <f>IF($A15="","",$K15)</f>
        <v/>
      </c>
      <c r="Z15" s="60">
        <f>IF($A15="","",$L$64*$D15)</f>
        <v/>
      </c>
      <c r="AA15" s="62">
        <f>IF($A15="","",$B15-$E$65-$F$65)</f>
        <v/>
      </c>
      <c r="AB15" s="60">
        <f>IF($A15="","",$L$65*$D15)</f>
        <v/>
      </c>
      <c r="AC15" s="62">
        <f>IF($A15="","",$C15-$E$66-$F$66)</f>
        <v/>
      </c>
      <c r="AD15" s="60">
        <f>IF($A15="","",$L$66*$D15)</f>
        <v/>
      </c>
      <c r="AE15" s="62">
        <f>IF($A15="","",$B15-$E$67-$F$67)</f>
        <v/>
      </c>
      <c r="AF15" s="60">
        <f>IF($A15="","",$L$67*$D15)</f>
        <v/>
      </c>
      <c r="AG15" s="62">
        <f>IF($A15="","",$W15)</f>
        <v/>
      </c>
      <c r="AH15" s="60">
        <f>IF($A15="","",$L$68*$D15)</f>
        <v/>
      </c>
      <c r="AI15" s="62">
        <f>IF($A15="","",$C15)</f>
        <v/>
      </c>
      <c r="AJ15" s="60">
        <f>IF($A15="","",$L$69*$D15)</f>
        <v/>
      </c>
      <c r="AK15" s="62">
        <f>IF($A15="","",2*2*$D15)</f>
        <v/>
      </c>
      <c r="AL15" s="60">
        <f>IF($A15="","",$BC$7*$D15)</f>
        <v/>
      </c>
      <c r="AM15" s="63">
        <f>IF($A15="","",$BC$6*$D15)</f>
        <v/>
      </c>
      <c r="AN15" s="64">
        <f>IF($A15="","",$BC$9*$D15)</f>
        <v/>
      </c>
      <c r="AO15" s="65">
        <f>IF($A15="","",$BC$10*$D15)</f>
        <v/>
      </c>
      <c r="AP15">
        <f>IF($A15="","",2*$BC$6*$D15)</f>
        <v/>
      </c>
      <c r="AQ15">
        <f>IF($A15="","",IF($B15&gt;2800,2,IF($B15&gt;1400,1,0))*$BC$6*$D15)</f>
        <v/>
      </c>
      <c r="AR15">
        <f>IF($A15="","",2*$BC$6*$D15)</f>
        <v/>
      </c>
      <c r="AS15">
        <f>IF($A15="","",$BC$6*$D15)</f>
        <v/>
      </c>
      <c r="AT15">
        <f>IF($A15="","",2*$BC$6*$D15)</f>
        <v/>
      </c>
      <c r="AU15">
        <f>IF($A15="","",4*2*$D15)</f>
        <v/>
      </c>
      <c r="AV15">
        <f>IF($A15="","",16*2*$D15)</f>
        <v/>
      </c>
      <c r="AW15">
        <f>IF($A15="","",(2+MAX(0,ROUNDUP(($G15-1500)/500,0)))*$D15)</f>
        <v/>
      </c>
      <c r="AX15">
        <f>IF($A15="","",(2+MAX(0,ROUNDUP(($G15-1500)/500,0)))*$D15)</f>
        <v/>
      </c>
      <c r="AY15">
        <f>IF($A15="","",ROUND((2*2*($M15+$K15)*2*$D15+$Y15*$Z15)/1000,1))</f>
        <v/>
      </c>
    </row>
    <row r="16" ht="40.15" customHeight="1">
      <c r="A16" s="58" t="n"/>
      <c r="B16" s="59" t="n"/>
      <c r="C16" s="60" t="n"/>
      <c r="D16" s="61" t="n"/>
      <c r="E16" s="66">
        <f>IF($A16="","",$B16)</f>
        <v/>
      </c>
      <c r="F16" s="67">
        <f>IF($A16="","",$L$54*$D16)</f>
        <v/>
      </c>
      <c r="G16" s="66">
        <f>IF($A16="","",$C16-$E$55-$F$55)</f>
        <v/>
      </c>
      <c r="H16" s="67">
        <f>IF($A16="","",$L$55*$D16)</f>
        <v/>
      </c>
      <c r="I16" s="66">
        <f>IF($A16="","",$C16)</f>
        <v/>
      </c>
      <c r="J16" s="67">
        <f>IF($A16="","",$L$56*$D16)</f>
        <v/>
      </c>
      <c r="K16" s="66">
        <f>IF($A16="","",$B16-$E$57-$F$57-$G$57-$H$57)</f>
        <v/>
      </c>
      <c r="L16" s="67">
        <f>IF($A16="","",$L$57*$D16)</f>
        <v/>
      </c>
      <c r="M16" s="66">
        <f>IF($A16="","",(($C16-21-3-1.2-3-21)/2)+(78*1)/2)</f>
        <v/>
      </c>
      <c r="N16" s="67">
        <f>IF($A16="","",$L$58*$D16)</f>
        <v/>
      </c>
      <c r="O16" s="66">
        <f>IF($A16="","",$K16-$E$59-$F$59)</f>
        <v/>
      </c>
      <c r="P16" s="67">
        <f>IF($A16="","",$L$59*$D16)</f>
        <v/>
      </c>
      <c r="Q16" s="66">
        <f>IF($A16="","",$M16-63-63)</f>
        <v/>
      </c>
      <c r="R16" s="67">
        <f>IF($A16="","",$L$60*$D16)</f>
        <v/>
      </c>
      <c r="S16" s="66">
        <f>IF($A16="","",$K16-$E$61-$F$61)</f>
        <v/>
      </c>
      <c r="T16" s="67">
        <f>IF($A16="","",$L$61*$D16)</f>
        <v/>
      </c>
      <c r="U16" s="66">
        <f>IF($A16="","",$M16-63-63)</f>
        <v/>
      </c>
      <c r="V16" s="67">
        <f>IF($A16="","",$L$62*$D16)</f>
        <v/>
      </c>
      <c r="W16" s="66">
        <f>IF($A16="","",$K16)</f>
        <v/>
      </c>
      <c r="X16" s="67">
        <f>IF($A16="","",$L$63*$D16)</f>
        <v/>
      </c>
      <c r="Y16" s="66">
        <f>IF($A16="","",$K16)</f>
        <v/>
      </c>
      <c r="Z16" s="67">
        <f>IF($A16="","",$L$64*$D16)</f>
        <v/>
      </c>
      <c r="AA16" s="66">
        <f>IF($A16="","",$B16-$E$65-$F$65)</f>
        <v/>
      </c>
      <c r="AB16" s="67">
        <f>IF($A16="","",$L$65*$D16)</f>
        <v/>
      </c>
      <c r="AC16" s="66">
        <f>IF($A16="","",$C16-$E$66-$F$66)</f>
        <v/>
      </c>
      <c r="AD16" s="67">
        <f>IF($A16="","",$L$66*$D16)</f>
        <v/>
      </c>
      <c r="AE16" s="66">
        <f>IF($A16="","",$B16-$E$67-$F$67)</f>
        <v/>
      </c>
      <c r="AF16" s="67">
        <f>IF($A16="","",$L$67*$D16)</f>
        <v/>
      </c>
      <c r="AG16" s="66">
        <f>IF($A16="","",$W16)</f>
        <v/>
      </c>
      <c r="AH16" s="67">
        <f>IF($A16="","",$L$68*$D16)</f>
        <v/>
      </c>
      <c r="AI16" s="66">
        <f>IF($A16="","",$C16)</f>
        <v/>
      </c>
      <c r="AJ16" s="67">
        <f>IF($A16="","",$L$69*$D16)</f>
        <v/>
      </c>
      <c r="AK16" s="66">
        <f>IF($A16="","",2*2*$D16)</f>
        <v/>
      </c>
      <c r="AL16" s="67">
        <f>IF($A16="","",$BC$7*$D16)</f>
        <v/>
      </c>
      <c r="AM16" s="63">
        <f>IF($A16="","",$BC$6*$D16)</f>
        <v/>
      </c>
      <c r="AN16" s="64">
        <f>IF($A16="","",$BC$9*$D16)</f>
        <v/>
      </c>
      <c r="AO16" s="65">
        <f>IF($A16="","",$BC$10*$D16)</f>
        <v/>
      </c>
      <c r="AP16">
        <f>IF($A16="","",2*$BC$6*$D16)</f>
        <v/>
      </c>
      <c r="AQ16">
        <f>IF($A16="","",IF($B16&gt;2800,2,IF($B16&gt;1400,1,0))*$BC$6*$D16)</f>
        <v/>
      </c>
      <c r="AR16">
        <f>IF($A16="","",2*$BC$6*$D16)</f>
        <v/>
      </c>
      <c r="AS16">
        <f>IF($A16="","",$BC$6*$D16)</f>
        <v/>
      </c>
      <c r="AT16">
        <f>IF($A16="","",2*$BC$6*$D16)</f>
        <v/>
      </c>
      <c r="AU16">
        <f>IF($A16="","",4*2*$D16)</f>
        <v/>
      </c>
      <c r="AV16">
        <f>IF($A16="","",16*2*$D16)</f>
        <v/>
      </c>
      <c r="AW16">
        <f>IF($A16="","",(2+MAX(0,ROUNDUP(($G16-1500)/500,0)))*$D16)</f>
        <v/>
      </c>
      <c r="AX16">
        <f>IF($A16="","",(2+MAX(0,ROUNDUP(($G16-1500)/500,0)))*$D16)</f>
        <v/>
      </c>
      <c r="AY16">
        <f>IF($A16="","",ROUND((2*2*($M16+$K16)*2*$D16+$Y16*$Z16)/1000,1))</f>
        <v/>
      </c>
    </row>
    <row r="17" ht="40.15" customHeight="1">
      <c r="A17" s="58" t="n"/>
      <c r="B17" s="59" t="n"/>
      <c r="C17" s="60" t="n"/>
      <c r="D17" s="61" t="n"/>
      <c r="E17" s="62">
        <f>IF($A17="","",$B17)</f>
        <v/>
      </c>
      <c r="F17" s="60">
        <f>IF($A17="","",$L$54*$D17)</f>
        <v/>
      </c>
      <c r="G17" s="62">
        <f>IF($A17="","",$C17-$E$55-$F$55)</f>
        <v/>
      </c>
      <c r="H17" s="60">
        <f>IF($A17="","",$L$55*$D17)</f>
        <v/>
      </c>
      <c r="I17" s="62">
        <f>IF($A17="","",$C17)</f>
        <v/>
      </c>
      <c r="J17" s="60">
        <f>IF($A17="","",$L$56*$D17)</f>
        <v/>
      </c>
      <c r="K17" s="62">
        <f>IF($A17="","",$B17-$E$57-$F$57-$G$57-$H$57)</f>
        <v/>
      </c>
      <c r="L17" s="60">
        <f>IF($A17="","",$L$57*$D17)</f>
        <v/>
      </c>
      <c r="M17" s="62">
        <f>IF($A17="","",(($C17-21-3-1.2-3-21)/2)+(78*1)/2)</f>
        <v/>
      </c>
      <c r="N17" s="60">
        <f>IF($A17="","",$L$58*$D17)</f>
        <v/>
      </c>
      <c r="O17" s="62">
        <f>IF($A17="","",$K17-$E$59-$F$59)</f>
        <v/>
      </c>
      <c r="P17" s="60">
        <f>IF($A17="","",$L$59*$D17)</f>
        <v/>
      </c>
      <c r="Q17" s="62">
        <f>IF($A17="","",$M17-63-63)</f>
        <v/>
      </c>
      <c r="R17" s="60">
        <f>IF($A17="","",$L$60*$D17)</f>
        <v/>
      </c>
      <c r="S17" s="62">
        <f>IF($A17="","",$K17-$E$61-$F$61)</f>
        <v/>
      </c>
      <c r="T17" s="60">
        <f>IF($A17="","",$L$61*$D17)</f>
        <v/>
      </c>
      <c r="U17" s="62">
        <f>IF($A17="","",$M17-63-63)</f>
        <v/>
      </c>
      <c r="V17" s="60">
        <f>IF($A17="","",$L$62*$D17)</f>
        <v/>
      </c>
      <c r="W17" s="62">
        <f>IF($A17="","",$K17)</f>
        <v/>
      </c>
      <c r="X17" s="60">
        <f>IF($A17="","",$L$63*$D17)</f>
        <v/>
      </c>
      <c r="Y17" s="62">
        <f>IF($A17="","",$K17)</f>
        <v/>
      </c>
      <c r="Z17" s="60">
        <f>IF($A17="","",$L$64*$D17)</f>
        <v/>
      </c>
      <c r="AA17" s="62">
        <f>IF($A17="","",$B17-$E$65-$F$65)</f>
        <v/>
      </c>
      <c r="AB17" s="60">
        <f>IF($A17="","",$L$65*$D17)</f>
        <v/>
      </c>
      <c r="AC17" s="62">
        <f>IF($A17="","",$C17-$E$66-$F$66)</f>
        <v/>
      </c>
      <c r="AD17" s="60">
        <f>IF($A17="","",$L$66*$D17)</f>
        <v/>
      </c>
      <c r="AE17" s="62">
        <f>IF($A17="","",$B17-$E$67-$F$67)</f>
        <v/>
      </c>
      <c r="AF17" s="60">
        <f>IF($A17="","",$L$67*$D17)</f>
        <v/>
      </c>
      <c r="AG17" s="62">
        <f>IF($A17="","",$W17)</f>
        <v/>
      </c>
      <c r="AH17" s="60">
        <f>IF($A17="","",$L$68*$D17)</f>
        <v/>
      </c>
      <c r="AI17" s="62">
        <f>IF($A17="","",$C17)</f>
        <v/>
      </c>
      <c r="AJ17" s="60">
        <f>IF($A17="","",$L$69*$D17)</f>
        <v/>
      </c>
      <c r="AK17" s="62">
        <f>IF($A17="","",2*2*$D17)</f>
        <v/>
      </c>
      <c r="AL17" s="60">
        <f>IF($A17="","",$BC$7*$D17)</f>
        <v/>
      </c>
      <c r="AM17" s="63">
        <f>IF($A17="","",$BC$6*$D17)</f>
        <v/>
      </c>
      <c r="AN17" s="64">
        <f>IF($A17="","",$BC$9*$D17)</f>
        <v/>
      </c>
      <c r="AO17" s="65">
        <f>IF($A17="","",$BC$10*$D17)</f>
        <v/>
      </c>
      <c r="AP17">
        <f>IF($A17="","",2*$BC$6*$D17)</f>
        <v/>
      </c>
      <c r="AQ17">
        <f>IF($A17="","",IF($B17&gt;2800,2,IF($B17&gt;1400,1,0))*$BC$6*$D17)</f>
        <v/>
      </c>
      <c r="AR17">
        <f>IF($A17="","",2*$BC$6*$D17)</f>
        <v/>
      </c>
      <c r="AS17">
        <f>IF($A17="","",$BC$6*$D17)</f>
        <v/>
      </c>
      <c r="AT17">
        <f>IF($A17="","",2*$BC$6*$D17)</f>
        <v/>
      </c>
      <c r="AU17">
        <f>IF($A17="","",4*2*$D17)</f>
        <v/>
      </c>
      <c r="AV17">
        <f>IF($A17="","",16*2*$D17)</f>
        <v/>
      </c>
      <c r="AW17">
        <f>IF($A17="","",(2+MAX(0,ROUNDUP(($G17-1500)/500,0)))*$D17)</f>
        <v/>
      </c>
      <c r="AX17">
        <f>IF($A17="","",(2+MAX(0,ROUNDUP(($G17-1500)/500,0)))*$D17)</f>
        <v/>
      </c>
      <c r="AY17">
        <f>IF($A17="","",ROUND((2*2*($M17+$K17)*2*$D17+$Y17*$Z17)/1000,1))</f>
        <v/>
      </c>
    </row>
    <row r="18" ht="40.15" customHeight="1">
      <c r="A18" s="58" t="n"/>
      <c r="B18" s="59" t="n"/>
      <c r="C18" s="60" t="n"/>
      <c r="D18" s="61" t="n"/>
      <c r="E18" s="66">
        <f>IF($A18="","",$B18)</f>
        <v/>
      </c>
      <c r="F18" s="67">
        <f>IF($A18="","",$L$54*$D18)</f>
        <v/>
      </c>
      <c r="G18" s="66">
        <f>IF($A18="","",$C18-$E$55-$F$55)</f>
        <v/>
      </c>
      <c r="H18" s="67">
        <f>IF($A18="","",$L$55*$D18)</f>
        <v/>
      </c>
      <c r="I18" s="66">
        <f>IF($A18="","",$C18)</f>
        <v/>
      </c>
      <c r="J18" s="67">
        <f>IF($A18="","",$L$56*$D18)</f>
        <v/>
      </c>
      <c r="K18" s="66">
        <f>IF($A18="","",$B18-$E$57-$F$57-$G$57-$H$57)</f>
        <v/>
      </c>
      <c r="L18" s="67">
        <f>IF($A18="","",$L$57*$D18)</f>
        <v/>
      </c>
      <c r="M18" s="66">
        <f>IF($A18="","",(($C18-21-3-1.2-3-21)/2)+(78*1)/2)</f>
        <v/>
      </c>
      <c r="N18" s="67">
        <f>IF($A18="","",$L$58*$D18)</f>
        <v/>
      </c>
      <c r="O18" s="66">
        <f>IF($A18="","",$K18-$E$59-$F$59)</f>
        <v/>
      </c>
      <c r="P18" s="67">
        <f>IF($A18="","",$L$59*$D18)</f>
        <v/>
      </c>
      <c r="Q18" s="66">
        <f>IF($A18="","",$M18-63-63)</f>
        <v/>
      </c>
      <c r="R18" s="67">
        <f>IF($A18="","",$L$60*$D18)</f>
        <v/>
      </c>
      <c r="S18" s="66">
        <f>IF($A18="","",$K18-$E$61-$F$61)</f>
        <v/>
      </c>
      <c r="T18" s="67">
        <f>IF($A18="","",$L$61*$D18)</f>
        <v/>
      </c>
      <c r="U18" s="66">
        <f>IF($A18="","",$M18-63-63)</f>
        <v/>
      </c>
      <c r="V18" s="67">
        <f>IF($A18="","",$L$62*$D18)</f>
        <v/>
      </c>
      <c r="W18" s="66">
        <f>IF($A18="","",$K18)</f>
        <v/>
      </c>
      <c r="X18" s="67">
        <f>IF($A18="","",$L$63*$D18)</f>
        <v/>
      </c>
      <c r="Y18" s="66">
        <f>IF($A18="","",$K18)</f>
        <v/>
      </c>
      <c r="Z18" s="67">
        <f>IF($A18="","",$L$64*$D18)</f>
        <v/>
      </c>
      <c r="AA18" s="66">
        <f>IF($A18="","",$B18-$E$65-$F$65)</f>
        <v/>
      </c>
      <c r="AB18" s="67">
        <f>IF($A18="","",$L$65*$D18)</f>
        <v/>
      </c>
      <c r="AC18" s="66">
        <f>IF($A18="","",$C18-$E$66-$F$66)</f>
        <v/>
      </c>
      <c r="AD18" s="67">
        <f>IF($A18="","",$L$66*$D18)</f>
        <v/>
      </c>
      <c r="AE18" s="66">
        <f>IF($A18="","",$B18-$E$67-$F$67)</f>
        <v/>
      </c>
      <c r="AF18" s="67">
        <f>IF($A18="","",$L$67*$D18)</f>
        <v/>
      </c>
      <c r="AG18" s="66">
        <f>IF($A18="","",$W18)</f>
        <v/>
      </c>
      <c r="AH18" s="67">
        <f>IF($A18="","",$L$68*$D18)</f>
        <v/>
      </c>
      <c r="AI18" s="66">
        <f>IF($A18="","",$C18)</f>
        <v/>
      </c>
      <c r="AJ18" s="67">
        <f>IF($A18="","",$L$69*$D18)</f>
        <v/>
      </c>
      <c r="AK18" s="66">
        <f>IF($A18="","",2*2*$D18)</f>
        <v/>
      </c>
      <c r="AL18" s="67">
        <f>IF($A18="","",$BC$7*$D18)</f>
        <v/>
      </c>
      <c r="AM18" s="63">
        <f>IF($A18="","",$BC$6*$D18)</f>
        <v/>
      </c>
      <c r="AN18" s="64">
        <f>IF($A18="","",$BC$9*$D18)</f>
        <v/>
      </c>
      <c r="AO18" s="65">
        <f>IF($A18="","",$BC$10*$D18)</f>
        <v/>
      </c>
      <c r="AP18">
        <f>IF($A18="","",2*$BC$6*$D18)</f>
        <v/>
      </c>
      <c r="AQ18">
        <f>IF($A18="","",IF($B18&gt;2800,2,IF($B18&gt;1400,1,0))*$BC$6*$D18)</f>
        <v/>
      </c>
      <c r="AR18">
        <f>IF($A18="","",2*$BC$6*$D18)</f>
        <v/>
      </c>
      <c r="AS18">
        <f>IF($A18="","",$BC$6*$D18)</f>
        <v/>
      </c>
      <c r="AT18">
        <f>IF($A18="","",2*$BC$6*$D18)</f>
        <v/>
      </c>
      <c r="AU18">
        <f>IF($A18="","",4*2*$D18)</f>
        <v/>
      </c>
      <c r="AV18">
        <f>IF($A18="","",16*2*$D18)</f>
        <v/>
      </c>
      <c r="AW18">
        <f>IF($A18="","",(2+MAX(0,ROUNDUP(($G18-1500)/500,0)))*$D18)</f>
        <v/>
      </c>
      <c r="AX18">
        <f>IF($A18="","",(2+MAX(0,ROUNDUP(($G18-1500)/500,0)))*$D18)</f>
        <v/>
      </c>
      <c r="AY18">
        <f>IF($A18="","",ROUND((2*2*($M18+$K18)*2*$D18+$Y18*$Z18)/1000,1))</f>
        <v/>
      </c>
    </row>
    <row r="19" ht="40.15" customHeight="1">
      <c r="A19" s="58" t="n"/>
      <c r="B19" s="59" t="n"/>
      <c r="C19" s="60" t="n"/>
      <c r="D19" s="61" t="n"/>
      <c r="E19" s="62">
        <f>IF($A19="","",$B19)</f>
        <v/>
      </c>
      <c r="F19" s="60">
        <f>IF($A19="","",$L$54*$D19)</f>
        <v/>
      </c>
      <c r="G19" s="62">
        <f>IF($A19="","",$C19-$E$55-$F$55)</f>
        <v/>
      </c>
      <c r="H19" s="60">
        <f>IF($A19="","",$L$55*$D19)</f>
        <v/>
      </c>
      <c r="I19" s="62">
        <f>IF($A19="","",$C19)</f>
        <v/>
      </c>
      <c r="J19" s="60">
        <f>IF($A19="","",$L$56*$D19)</f>
        <v/>
      </c>
      <c r="K19" s="62">
        <f>IF($A19="","",$B19-$E$57-$F$57-$G$57-$H$57)</f>
        <v/>
      </c>
      <c r="L19" s="60">
        <f>IF($A19="","",$L$57*$D19)</f>
        <v/>
      </c>
      <c r="M19" s="62">
        <f>IF($A19="","",(($C19-21-3-1.2-3-21)/2)+(78*1)/2)</f>
        <v/>
      </c>
      <c r="N19" s="60">
        <f>IF($A19="","",$L$58*$D19)</f>
        <v/>
      </c>
      <c r="O19" s="62">
        <f>IF($A19="","",$K19-$E$59-$F$59)</f>
        <v/>
      </c>
      <c r="P19" s="60">
        <f>IF($A19="","",$L$59*$D19)</f>
        <v/>
      </c>
      <c r="Q19" s="62">
        <f>IF($A19="","",$M19-63-63)</f>
        <v/>
      </c>
      <c r="R19" s="60">
        <f>IF($A19="","",$L$60*$D19)</f>
        <v/>
      </c>
      <c r="S19" s="62">
        <f>IF($A19="","",$K19-$E$61-$F$61)</f>
        <v/>
      </c>
      <c r="T19" s="60">
        <f>IF($A19="","",$L$61*$D19)</f>
        <v/>
      </c>
      <c r="U19" s="62">
        <f>IF($A19="","",$M19-63-63)</f>
        <v/>
      </c>
      <c r="V19" s="60">
        <f>IF($A19="","",$L$62*$D19)</f>
        <v/>
      </c>
      <c r="W19" s="62">
        <f>IF($A19="","",$K19)</f>
        <v/>
      </c>
      <c r="X19" s="60">
        <f>IF($A19="","",$L$63*$D19)</f>
        <v/>
      </c>
      <c r="Y19" s="62">
        <f>IF($A19="","",$K19)</f>
        <v/>
      </c>
      <c r="Z19" s="60">
        <f>IF($A19="","",$L$64*$D19)</f>
        <v/>
      </c>
      <c r="AA19" s="62">
        <f>IF($A19="","",$B19-$E$65-$F$65)</f>
        <v/>
      </c>
      <c r="AB19" s="60">
        <f>IF($A19="","",$L$65*$D19)</f>
        <v/>
      </c>
      <c r="AC19" s="62">
        <f>IF($A19="","",$C19-$E$66-$F$66)</f>
        <v/>
      </c>
      <c r="AD19" s="60">
        <f>IF($A19="","",$L$66*$D19)</f>
        <v/>
      </c>
      <c r="AE19" s="62">
        <f>IF($A19="","",$B19-$E$67-$F$67)</f>
        <v/>
      </c>
      <c r="AF19" s="60">
        <f>IF($A19="","",$L$67*$D19)</f>
        <v/>
      </c>
      <c r="AG19" s="62">
        <f>IF($A19="","",$W19)</f>
        <v/>
      </c>
      <c r="AH19" s="60">
        <f>IF($A19="","",$L$68*$D19)</f>
        <v/>
      </c>
      <c r="AI19" s="62">
        <f>IF($A19="","",$C19)</f>
        <v/>
      </c>
      <c r="AJ19" s="60">
        <f>IF($A19="","",$L$69*$D19)</f>
        <v/>
      </c>
      <c r="AK19" s="62">
        <f>IF($A19="","",2*2*$D19)</f>
        <v/>
      </c>
      <c r="AL19" s="60">
        <f>IF($A19="","",$BC$7*$D19)</f>
        <v/>
      </c>
      <c r="AM19" s="63">
        <f>IF($A19="","",$BC$6*$D19)</f>
        <v/>
      </c>
      <c r="AN19" s="64">
        <f>IF($A19="","",$BC$9*$D19)</f>
        <v/>
      </c>
      <c r="AO19" s="65">
        <f>IF($A19="","",$BC$10*$D19)</f>
        <v/>
      </c>
      <c r="AP19">
        <f>IF($A19="","",2*$BC$6*$D19)</f>
        <v/>
      </c>
      <c r="AQ19">
        <f>IF($A19="","",IF($B19&gt;2800,2,IF($B19&gt;1400,1,0))*$BC$6*$D19)</f>
        <v/>
      </c>
      <c r="AR19">
        <f>IF($A19="","",2*$BC$6*$D19)</f>
        <v/>
      </c>
      <c r="AS19">
        <f>IF($A19="","",$BC$6*$D19)</f>
        <v/>
      </c>
      <c r="AT19">
        <f>IF($A19="","",2*$BC$6*$D19)</f>
        <v/>
      </c>
      <c r="AU19">
        <f>IF($A19="","",4*2*$D19)</f>
        <v/>
      </c>
      <c r="AV19">
        <f>IF($A19="","",16*2*$D19)</f>
        <v/>
      </c>
      <c r="AW19">
        <f>IF($A19="","",(2+MAX(0,ROUNDUP(($G19-1500)/500,0)))*$D19)</f>
        <v/>
      </c>
      <c r="AX19">
        <f>IF($A19="","",(2+MAX(0,ROUNDUP(($G19-1500)/500,0)))*$D19)</f>
        <v/>
      </c>
      <c r="AY19">
        <f>IF($A19="","",ROUND((2*2*($M19+$K19)*2*$D19+$Y19*$Z19)/1000,1))</f>
        <v/>
      </c>
    </row>
    <row r="20" ht="40.15" customHeight="1">
      <c r="A20" s="58" t="n"/>
      <c r="B20" s="59" t="n"/>
      <c r="C20" s="60" t="n"/>
      <c r="D20" s="61" t="n"/>
      <c r="E20" s="66">
        <f>IF($A20="","",$B20)</f>
        <v/>
      </c>
      <c r="F20" s="67">
        <f>IF($A20="","",$L$54*$D20)</f>
        <v/>
      </c>
      <c r="G20" s="66">
        <f>IF($A20="","",$C20-$E$55-$F$55)</f>
        <v/>
      </c>
      <c r="H20" s="67">
        <f>IF($A20="","",$L$55*$D20)</f>
        <v/>
      </c>
      <c r="I20" s="66">
        <f>IF($A20="","",$C20)</f>
        <v/>
      </c>
      <c r="J20" s="67">
        <f>IF($A20="","",$L$56*$D20)</f>
        <v/>
      </c>
      <c r="K20" s="66">
        <f>IF($A20="","",$B20-$E$57-$F$57-$G$57-$H$57)</f>
        <v/>
      </c>
      <c r="L20" s="67">
        <f>IF($A20="","",$L$57*$D20)</f>
        <v/>
      </c>
      <c r="M20" s="66">
        <f>IF($A20="","",(($C20-21-3-1.2-3-21)/2)+(78*1)/2)</f>
        <v/>
      </c>
      <c r="N20" s="67">
        <f>IF($A20="","",$L$58*$D20)</f>
        <v/>
      </c>
      <c r="O20" s="66">
        <f>IF($A20="","",$K20-$E$59-$F$59)</f>
        <v/>
      </c>
      <c r="P20" s="67">
        <f>IF($A20="","",$L$59*$D20)</f>
        <v/>
      </c>
      <c r="Q20" s="66">
        <f>IF($A20="","",$M20-63-63)</f>
        <v/>
      </c>
      <c r="R20" s="67">
        <f>IF($A20="","",$L$60*$D20)</f>
        <v/>
      </c>
      <c r="S20" s="66">
        <f>IF($A20="","",$K20-$E$61-$F$61)</f>
        <v/>
      </c>
      <c r="T20" s="67">
        <f>IF($A20="","",$L$61*$D20)</f>
        <v/>
      </c>
      <c r="U20" s="66">
        <f>IF($A20="","",$M20-63-63)</f>
        <v/>
      </c>
      <c r="V20" s="67">
        <f>IF($A20="","",$L$62*$D20)</f>
        <v/>
      </c>
      <c r="W20" s="66">
        <f>IF($A20="","",$K20)</f>
        <v/>
      </c>
      <c r="X20" s="67">
        <f>IF($A20="","",$L$63*$D20)</f>
        <v/>
      </c>
      <c r="Y20" s="66">
        <f>IF($A20="","",$K20)</f>
        <v/>
      </c>
      <c r="Z20" s="67">
        <f>IF($A20="","",$L$64*$D20)</f>
        <v/>
      </c>
      <c r="AA20" s="66">
        <f>IF($A20="","",$B20-$E$65-$F$65)</f>
        <v/>
      </c>
      <c r="AB20" s="67">
        <f>IF($A20="","",$L$65*$D20)</f>
        <v/>
      </c>
      <c r="AC20" s="66">
        <f>IF($A20="","",$C20-$E$66-$F$66)</f>
        <v/>
      </c>
      <c r="AD20" s="67">
        <f>IF($A20="","",$L$66*$D20)</f>
        <v/>
      </c>
      <c r="AE20" s="66">
        <f>IF($A20="","",$B20-$E$67-$F$67)</f>
        <v/>
      </c>
      <c r="AF20" s="67">
        <f>IF($A20="","",$L$67*$D20)</f>
        <v/>
      </c>
      <c r="AG20" s="66">
        <f>IF($A20="","",$W20)</f>
        <v/>
      </c>
      <c r="AH20" s="67">
        <f>IF($A20="","",$L$68*$D20)</f>
        <v/>
      </c>
      <c r="AI20" s="66">
        <f>IF($A20="","",$C20)</f>
        <v/>
      </c>
      <c r="AJ20" s="67">
        <f>IF($A20="","",$L$69*$D20)</f>
        <v/>
      </c>
      <c r="AK20" s="66">
        <f>IF($A20="","",2*2*$D20)</f>
        <v/>
      </c>
      <c r="AL20" s="67">
        <f>IF($A20="","",$BC$7*$D20)</f>
        <v/>
      </c>
      <c r="AM20" s="63">
        <f>IF($A20="","",$BC$6*$D20)</f>
        <v/>
      </c>
      <c r="AN20" s="64">
        <f>IF($A20="","",$BC$9*$D20)</f>
        <v/>
      </c>
      <c r="AO20" s="65">
        <f>IF($A20="","",$BC$10*$D20)</f>
        <v/>
      </c>
      <c r="AP20">
        <f>IF($A20="","",2*$BC$6*$D20)</f>
        <v/>
      </c>
      <c r="AQ20">
        <f>IF($A20="","",IF($B20&gt;2800,2,IF($B20&gt;1400,1,0))*$BC$6*$D20)</f>
        <v/>
      </c>
      <c r="AR20">
        <f>IF($A20="","",2*$BC$6*$D20)</f>
        <v/>
      </c>
      <c r="AS20">
        <f>IF($A20="","",$BC$6*$D20)</f>
        <v/>
      </c>
      <c r="AT20">
        <f>IF($A20="","",2*$BC$6*$D20)</f>
        <v/>
      </c>
      <c r="AU20">
        <f>IF($A20="","",4*2*$D20)</f>
        <v/>
      </c>
      <c r="AV20">
        <f>IF($A20="","",16*2*$D20)</f>
        <v/>
      </c>
      <c r="AW20">
        <f>IF($A20="","",(2+MAX(0,ROUNDUP(($G20-1500)/500,0)))*$D20)</f>
        <v/>
      </c>
      <c r="AX20">
        <f>IF($A20="","",(2+MAX(0,ROUNDUP(($G20-1500)/500,0)))*$D20)</f>
        <v/>
      </c>
      <c r="AY20">
        <f>IF($A20="","",ROUND((2*2*($M20+$K20)*2*$D20+$Y20*$Z20)/1000,1))</f>
        <v/>
      </c>
    </row>
    <row r="21" ht="40.15" customHeight="1">
      <c r="A21" s="58" t="n"/>
      <c r="B21" s="59" t="n"/>
      <c r="C21" s="60" t="n"/>
      <c r="D21" s="61" t="n"/>
      <c r="E21" s="62">
        <f>IF($A21="","",$B21)</f>
        <v/>
      </c>
      <c r="F21" s="60">
        <f>IF($A21="","",$L$54*$D21)</f>
        <v/>
      </c>
      <c r="G21" s="62">
        <f>IF($A21="","",$C21-$E$55-$F$55)</f>
        <v/>
      </c>
      <c r="H21" s="60">
        <f>IF($A21="","",$L$55*$D21)</f>
        <v/>
      </c>
      <c r="I21" s="62">
        <f>IF($A21="","",$C21)</f>
        <v/>
      </c>
      <c r="J21" s="60">
        <f>IF($A21="","",$L$56*$D21)</f>
        <v/>
      </c>
      <c r="K21" s="62">
        <f>IF($A21="","",$B21-$E$57-$F$57-$G$57-$H$57)</f>
        <v/>
      </c>
      <c r="L21" s="60">
        <f>IF($A21="","",$L$57*$D21)</f>
        <v/>
      </c>
      <c r="M21" s="62">
        <f>IF($A21="","",(($C21-21-3-1.2-3-21)/2)+(78*1)/2)</f>
        <v/>
      </c>
      <c r="N21" s="60">
        <f>IF($A21="","",$L$58*$D21)</f>
        <v/>
      </c>
      <c r="O21" s="62">
        <f>IF($A21="","",$K21-$E$59-$F$59)</f>
        <v/>
      </c>
      <c r="P21" s="60">
        <f>IF($A21="","",$L$59*$D21)</f>
        <v/>
      </c>
      <c r="Q21" s="62">
        <f>IF($A21="","",$M21-63-63)</f>
        <v/>
      </c>
      <c r="R21" s="60">
        <f>IF($A21="","",$L$60*$D21)</f>
        <v/>
      </c>
      <c r="S21" s="62">
        <f>IF($A21="","",$K21-$E$61-$F$61)</f>
        <v/>
      </c>
      <c r="T21" s="60">
        <f>IF($A21="","",$L$61*$D21)</f>
        <v/>
      </c>
      <c r="U21" s="62">
        <f>IF($A21="","",$M21-63-63)</f>
        <v/>
      </c>
      <c r="V21" s="60">
        <f>IF($A21="","",$L$62*$D21)</f>
        <v/>
      </c>
      <c r="W21" s="62">
        <f>IF($A21="","",$K21)</f>
        <v/>
      </c>
      <c r="X21" s="60">
        <f>IF($A21="","",$L$63*$D21)</f>
        <v/>
      </c>
      <c r="Y21" s="62">
        <f>IF($A21="","",$K21)</f>
        <v/>
      </c>
      <c r="Z21" s="60">
        <f>IF($A21="","",$L$64*$D21)</f>
        <v/>
      </c>
      <c r="AA21" s="62">
        <f>IF($A21="","",$B21-$E$65-$F$65)</f>
        <v/>
      </c>
      <c r="AB21" s="60">
        <f>IF($A21="","",$L$65*$D21)</f>
        <v/>
      </c>
      <c r="AC21" s="62">
        <f>IF($A21="","",$C21-$E$66-$F$66)</f>
        <v/>
      </c>
      <c r="AD21" s="60">
        <f>IF($A21="","",$L$66*$D21)</f>
        <v/>
      </c>
      <c r="AE21" s="62">
        <f>IF($A21="","",$B21-$E$67-$F$67)</f>
        <v/>
      </c>
      <c r="AF21" s="60">
        <f>IF($A21="","",$L$67*$D21)</f>
        <v/>
      </c>
      <c r="AG21" s="62">
        <f>IF($A21="","",$W21)</f>
        <v/>
      </c>
      <c r="AH21" s="60">
        <f>IF($A21="","",$L$68*$D21)</f>
        <v/>
      </c>
      <c r="AI21" s="62">
        <f>IF($A21="","",$C21)</f>
        <v/>
      </c>
      <c r="AJ21" s="60">
        <f>IF($A21="","",$L$69*$D21)</f>
        <v/>
      </c>
      <c r="AK21" s="62">
        <f>IF($A21="","",2*2*$D21)</f>
        <v/>
      </c>
      <c r="AL21" s="60">
        <f>IF($A21="","",$BC$7*$D21)</f>
        <v/>
      </c>
      <c r="AM21" s="63">
        <f>IF($A21="","",$BC$6*$D21)</f>
        <v/>
      </c>
      <c r="AN21" s="64">
        <f>IF($A21="","",$BC$9*$D21)</f>
        <v/>
      </c>
      <c r="AO21" s="65">
        <f>IF($A21="","",$BC$10*$D21)</f>
        <v/>
      </c>
      <c r="AP21">
        <f>IF($A21="","",2*$BC$6*$D21)</f>
        <v/>
      </c>
      <c r="AQ21">
        <f>IF($A21="","",IF($B21&gt;2800,2,IF($B21&gt;1400,1,0))*$BC$6*$D21)</f>
        <v/>
      </c>
      <c r="AR21">
        <f>IF($A21="","",2*$BC$6*$D21)</f>
        <v/>
      </c>
      <c r="AS21">
        <f>IF($A21="","",$BC$6*$D21)</f>
        <v/>
      </c>
      <c r="AT21">
        <f>IF($A21="","",2*$BC$6*$D21)</f>
        <v/>
      </c>
      <c r="AU21">
        <f>IF($A21="","",4*2*$D21)</f>
        <v/>
      </c>
      <c r="AV21">
        <f>IF($A21="","",16*2*$D21)</f>
        <v/>
      </c>
      <c r="AW21">
        <f>IF($A21="","",(2+MAX(0,ROUNDUP(($G21-1500)/500,0)))*$D21)</f>
        <v/>
      </c>
      <c r="AX21">
        <f>IF($A21="","",(2+MAX(0,ROUNDUP(($G21-1500)/500,0)))*$D21)</f>
        <v/>
      </c>
      <c r="AY21">
        <f>IF($A21="","",ROUND((2*2*($M21+$K21)*2*$D21+$Y21*$Z21)/1000,1))</f>
        <v/>
      </c>
    </row>
    <row r="22" ht="40.15" customHeight="1">
      <c r="A22" s="58" t="n"/>
      <c r="B22" s="59" t="n"/>
      <c r="C22" s="60" t="n"/>
      <c r="D22" s="61" t="n"/>
      <c r="E22" s="66">
        <f>IF($A22="","",$B22)</f>
        <v/>
      </c>
      <c r="F22" s="67">
        <f>IF($A22="","",$L$54*$D22)</f>
        <v/>
      </c>
      <c r="G22" s="66">
        <f>IF($A22="","",$C22-$E$55-$F$55)</f>
        <v/>
      </c>
      <c r="H22" s="67">
        <f>IF($A22="","",$L$55*$D22)</f>
        <v/>
      </c>
      <c r="I22" s="66">
        <f>IF($A22="","",$C22)</f>
        <v/>
      </c>
      <c r="J22" s="67">
        <f>IF($A22="","",$L$56*$D22)</f>
        <v/>
      </c>
      <c r="K22" s="66">
        <f>IF($A22="","",$B22-$E$57-$F$57-$G$57-$H$57)</f>
        <v/>
      </c>
      <c r="L22" s="67">
        <f>IF($A22="","",$L$57*$D22)</f>
        <v/>
      </c>
      <c r="M22" s="66">
        <f>IF($A22="","",(($C22-21-3-1.2-3-21)/2)+(78*1)/2)</f>
        <v/>
      </c>
      <c r="N22" s="67">
        <f>IF($A22="","",$L$58*$D22)</f>
        <v/>
      </c>
      <c r="O22" s="66">
        <f>IF($A22="","",$K22-$E$59-$F$59)</f>
        <v/>
      </c>
      <c r="P22" s="67">
        <f>IF($A22="","",$L$59*$D22)</f>
        <v/>
      </c>
      <c r="Q22" s="66">
        <f>IF($A22="","",$M22-63-63)</f>
        <v/>
      </c>
      <c r="R22" s="67">
        <f>IF($A22="","",$L$60*$D22)</f>
        <v/>
      </c>
      <c r="S22" s="66">
        <f>IF($A22="","",$K22-$E$61-$F$61)</f>
        <v/>
      </c>
      <c r="T22" s="67">
        <f>IF($A22="","",$L$61*$D22)</f>
        <v/>
      </c>
      <c r="U22" s="66">
        <f>IF($A22="","",$M22-63-63)</f>
        <v/>
      </c>
      <c r="V22" s="67">
        <f>IF($A22="","",$L$62*$D22)</f>
        <v/>
      </c>
      <c r="W22" s="66">
        <f>IF($A22="","",$K22)</f>
        <v/>
      </c>
      <c r="X22" s="67">
        <f>IF($A22="","",$L$63*$D22)</f>
        <v/>
      </c>
      <c r="Y22" s="66">
        <f>IF($A22="","",$K22)</f>
        <v/>
      </c>
      <c r="Z22" s="67">
        <f>IF($A22="","",$L$64*$D22)</f>
        <v/>
      </c>
      <c r="AA22" s="66">
        <f>IF($A22="","",$B22-$E$65-$F$65)</f>
        <v/>
      </c>
      <c r="AB22" s="67">
        <f>IF($A22="","",$L$65*$D22)</f>
        <v/>
      </c>
      <c r="AC22" s="66">
        <f>IF($A22="","",$C22-$E$66-$F$66)</f>
        <v/>
      </c>
      <c r="AD22" s="67">
        <f>IF($A22="","",$L$66*$D22)</f>
        <v/>
      </c>
      <c r="AE22" s="66">
        <f>IF($A22="","",$B22-$E$67-$F$67)</f>
        <v/>
      </c>
      <c r="AF22" s="67">
        <f>IF($A22="","",$L$67*$D22)</f>
        <v/>
      </c>
      <c r="AG22" s="66">
        <f>IF($A22="","",$W22)</f>
        <v/>
      </c>
      <c r="AH22" s="67">
        <f>IF($A22="","",$L$68*$D22)</f>
        <v/>
      </c>
      <c r="AI22" s="66">
        <f>IF($A22="","",$C22)</f>
        <v/>
      </c>
      <c r="AJ22" s="67">
        <f>IF($A22="","",$L$69*$D22)</f>
        <v/>
      </c>
      <c r="AK22" s="66">
        <f>IF($A22="","",2*2*$D22)</f>
        <v/>
      </c>
      <c r="AL22" s="67">
        <f>IF($A22="","",$BC$7*$D22)</f>
        <v/>
      </c>
      <c r="AM22" s="63">
        <f>IF($A22="","",$BC$6*$D22)</f>
        <v/>
      </c>
      <c r="AN22" s="64">
        <f>IF($A22="","",$BC$9*$D22)</f>
        <v/>
      </c>
      <c r="AO22" s="65">
        <f>IF($A22="","",$BC$10*$D22)</f>
        <v/>
      </c>
      <c r="AP22">
        <f>IF($A22="","",2*$BC$6*$D22)</f>
        <v/>
      </c>
      <c r="AQ22">
        <f>IF($A22="","",IF($B22&gt;2800,2,IF($B22&gt;1400,1,0))*$BC$6*$D22)</f>
        <v/>
      </c>
      <c r="AR22">
        <f>IF($A22="","",2*$BC$6*$D22)</f>
        <v/>
      </c>
      <c r="AS22">
        <f>IF($A22="","",$BC$6*$D22)</f>
        <v/>
      </c>
      <c r="AT22">
        <f>IF($A22="","",2*$BC$6*$D22)</f>
        <v/>
      </c>
      <c r="AU22">
        <f>IF($A22="","",4*2*$D22)</f>
        <v/>
      </c>
      <c r="AV22">
        <f>IF($A22="","",16*2*$D22)</f>
        <v/>
      </c>
      <c r="AW22">
        <f>IF($A22="","",(2+MAX(0,ROUNDUP(($G22-1500)/500,0)))*$D22)</f>
        <v/>
      </c>
      <c r="AX22">
        <f>IF($A22="","",(2+MAX(0,ROUNDUP(($G22-1500)/500,0)))*$D22)</f>
        <v/>
      </c>
      <c r="AY22">
        <f>IF($A22="","",ROUND((2*2*($M22+$K22)*2*$D22+$Y22*$Z22)/1000,1))</f>
        <v/>
      </c>
    </row>
    <row r="23" ht="40.15" customHeight="1">
      <c r="A23" s="58" t="n"/>
      <c r="B23" s="59" t="n"/>
      <c r="C23" s="60" t="n"/>
      <c r="D23" s="61" t="n"/>
      <c r="E23" s="62">
        <f>IF($A23="","",$B23)</f>
        <v/>
      </c>
      <c r="F23" s="60">
        <f>IF($A23="","",$L$54*$D23)</f>
        <v/>
      </c>
      <c r="G23" s="62">
        <f>IF($A23="","",$C23-$E$55-$F$55)</f>
        <v/>
      </c>
      <c r="H23" s="60">
        <f>IF($A23="","",$L$55*$D23)</f>
        <v/>
      </c>
      <c r="I23" s="62">
        <f>IF($A23="","",$C23)</f>
        <v/>
      </c>
      <c r="J23" s="60">
        <f>IF($A23="","",$L$56*$D23)</f>
        <v/>
      </c>
      <c r="K23" s="62">
        <f>IF($A23="","",$B23-$E$57-$F$57-$G$57-$H$57)</f>
        <v/>
      </c>
      <c r="L23" s="60">
        <f>IF($A23="","",$L$57*$D23)</f>
        <v/>
      </c>
      <c r="M23" s="62">
        <f>IF($A23="","",(($C23-21-3-1.2-3-21)/2)+(78*1)/2)</f>
        <v/>
      </c>
      <c r="N23" s="60">
        <f>IF($A23="","",$L$58*$D23)</f>
        <v/>
      </c>
      <c r="O23" s="62">
        <f>IF($A23="","",$K23-$E$59-$F$59)</f>
        <v/>
      </c>
      <c r="P23" s="60">
        <f>IF($A23="","",$L$59*$D23)</f>
        <v/>
      </c>
      <c r="Q23" s="62">
        <f>IF($A23="","",$M23-63-63)</f>
        <v/>
      </c>
      <c r="R23" s="60">
        <f>IF($A23="","",$L$60*$D23)</f>
        <v/>
      </c>
      <c r="S23" s="62">
        <f>IF($A23="","",$K23-$E$61-$F$61)</f>
        <v/>
      </c>
      <c r="T23" s="60">
        <f>IF($A23="","",$L$61*$D23)</f>
        <v/>
      </c>
      <c r="U23" s="62">
        <f>IF($A23="","",$M23-63-63)</f>
        <v/>
      </c>
      <c r="V23" s="60">
        <f>IF($A23="","",$L$62*$D23)</f>
        <v/>
      </c>
      <c r="W23" s="62">
        <f>IF($A23="","",$K23)</f>
        <v/>
      </c>
      <c r="X23" s="60">
        <f>IF($A23="","",$L$63*$D23)</f>
        <v/>
      </c>
      <c r="Y23" s="62">
        <f>IF($A23="","",$K23)</f>
        <v/>
      </c>
      <c r="Z23" s="60">
        <f>IF($A23="","",$L$64*$D23)</f>
        <v/>
      </c>
      <c r="AA23" s="62">
        <f>IF($A23="","",$B23-$E$65-$F$65)</f>
        <v/>
      </c>
      <c r="AB23" s="60">
        <f>IF($A23="","",$L$65*$D23)</f>
        <v/>
      </c>
      <c r="AC23" s="62">
        <f>IF($A23="","",$C23-$E$66-$F$66)</f>
        <v/>
      </c>
      <c r="AD23" s="60">
        <f>IF($A23="","",$L$66*$D23)</f>
        <v/>
      </c>
      <c r="AE23" s="62">
        <f>IF($A23="","",$B23-$E$67-$F$67)</f>
        <v/>
      </c>
      <c r="AF23" s="60">
        <f>IF($A23="","",$L$67*$D23)</f>
        <v/>
      </c>
      <c r="AG23" s="62">
        <f>IF($A23="","",$W23)</f>
        <v/>
      </c>
      <c r="AH23" s="60">
        <f>IF($A23="","",$L$68*$D23)</f>
        <v/>
      </c>
      <c r="AI23" s="62">
        <f>IF($A23="","",$C23)</f>
        <v/>
      </c>
      <c r="AJ23" s="60">
        <f>IF($A23="","",$L$69*$D23)</f>
        <v/>
      </c>
      <c r="AK23" s="62">
        <f>IF($A23="","",2*2*$D23)</f>
        <v/>
      </c>
      <c r="AL23" s="60">
        <f>IF($A23="","",$BC$7*$D23)</f>
        <v/>
      </c>
      <c r="AM23" s="63">
        <f>IF($A23="","",$BC$6*$D23)</f>
        <v/>
      </c>
      <c r="AN23" s="64">
        <f>IF($A23="","",$BC$9*$D23)</f>
        <v/>
      </c>
      <c r="AO23" s="65">
        <f>IF($A23="","",$BC$10*$D23)</f>
        <v/>
      </c>
      <c r="AP23">
        <f>IF($A23="","",2*$BC$6*$D23)</f>
        <v/>
      </c>
      <c r="AQ23">
        <f>IF($A23="","",IF($B23&gt;2800,2,IF($B23&gt;1400,1,0))*$BC$6*$D23)</f>
        <v/>
      </c>
      <c r="AR23">
        <f>IF($A23="","",2*$BC$6*$D23)</f>
        <v/>
      </c>
      <c r="AS23">
        <f>IF($A23="","",$BC$6*$D23)</f>
        <v/>
      </c>
      <c r="AT23">
        <f>IF($A23="","",2*$BC$6*$D23)</f>
        <v/>
      </c>
      <c r="AU23">
        <f>IF($A23="","",4*2*$D23)</f>
        <v/>
      </c>
      <c r="AV23">
        <f>IF($A23="","",16*2*$D23)</f>
        <v/>
      </c>
      <c r="AW23">
        <f>IF($A23="","",(2+MAX(0,ROUNDUP(($G23-1500)/500,0)))*$D23)</f>
        <v/>
      </c>
      <c r="AX23">
        <f>IF($A23="","",(2+MAX(0,ROUNDUP(($G23-1500)/500,0)))*$D23)</f>
        <v/>
      </c>
      <c r="AY23">
        <f>IF($A23="","",ROUND((2*2*($M23+$K23)*2*$D23+$Y23*$Z23)/1000,1))</f>
        <v/>
      </c>
    </row>
    <row r="24" ht="40.15" customHeight="1">
      <c r="A24" s="58" t="n"/>
      <c r="B24" s="59" t="n"/>
      <c r="C24" s="60" t="n"/>
      <c r="D24" s="61" t="n"/>
      <c r="E24" s="66">
        <f>IF($A24="","",$B24)</f>
        <v/>
      </c>
      <c r="F24" s="67">
        <f>IF($A24="","",$L$54*$D24)</f>
        <v/>
      </c>
      <c r="G24" s="66">
        <f>IF($A24="","",$C24-$E$55-$F$55)</f>
        <v/>
      </c>
      <c r="H24" s="67">
        <f>IF($A24="","",$L$55*$D24)</f>
        <v/>
      </c>
      <c r="I24" s="66">
        <f>IF($A24="","",$C24)</f>
        <v/>
      </c>
      <c r="J24" s="67">
        <f>IF($A24="","",$L$56*$D24)</f>
        <v/>
      </c>
      <c r="K24" s="66">
        <f>IF($A24="","",$B24-$E$57-$F$57-$G$57-$H$57)</f>
        <v/>
      </c>
      <c r="L24" s="67">
        <f>IF($A24="","",$L$57*$D24)</f>
        <v/>
      </c>
      <c r="M24" s="66">
        <f>IF($A24="","",(($C24-21-3-1.2-3-21)/2)+(78*1)/2)</f>
        <v/>
      </c>
      <c r="N24" s="67">
        <f>IF($A24="","",$L$58*$D24)</f>
        <v/>
      </c>
      <c r="O24" s="66">
        <f>IF($A24="","",$K24-$E$59-$F$59)</f>
        <v/>
      </c>
      <c r="P24" s="67">
        <f>IF($A24="","",$L$59*$D24)</f>
        <v/>
      </c>
      <c r="Q24" s="66">
        <f>IF($A24="","",$M24-63-63)</f>
        <v/>
      </c>
      <c r="R24" s="67">
        <f>IF($A24="","",$L$60*$D24)</f>
        <v/>
      </c>
      <c r="S24" s="66">
        <f>IF($A24="","",$K24-$E$61-$F$61)</f>
        <v/>
      </c>
      <c r="T24" s="67">
        <f>IF($A24="","",$L$61*$D24)</f>
        <v/>
      </c>
      <c r="U24" s="66">
        <f>IF($A24="","",$M24-63-63)</f>
        <v/>
      </c>
      <c r="V24" s="67">
        <f>IF($A24="","",$L$62*$D24)</f>
        <v/>
      </c>
      <c r="W24" s="66">
        <f>IF($A24="","",$K24)</f>
        <v/>
      </c>
      <c r="X24" s="67">
        <f>IF($A24="","",$L$63*$D24)</f>
        <v/>
      </c>
      <c r="Y24" s="66">
        <f>IF($A24="","",$K24)</f>
        <v/>
      </c>
      <c r="Z24" s="67">
        <f>IF($A24="","",$L$64*$D24)</f>
        <v/>
      </c>
      <c r="AA24" s="66">
        <f>IF($A24="","",$B24-$E$65-$F$65)</f>
        <v/>
      </c>
      <c r="AB24" s="67">
        <f>IF($A24="","",$L$65*$D24)</f>
        <v/>
      </c>
      <c r="AC24" s="66">
        <f>IF($A24="","",$C24-$E$66-$F$66)</f>
        <v/>
      </c>
      <c r="AD24" s="67">
        <f>IF($A24="","",$L$66*$D24)</f>
        <v/>
      </c>
      <c r="AE24" s="66">
        <f>IF($A24="","",$B24-$E$67-$F$67)</f>
        <v/>
      </c>
      <c r="AF24" s="67">
        <f>IF($A24="","",$L$67*$D24)</f>
        <v/>
      </c>
      <c r="AG24" s="66">
        <f>IF($A24="","",$W24)</f>
        <v/>
      </c>
      <c r="AH24" s="67">
        <f>IF($A24="","",$L$68*$D24)</f>
        <v/>
      </c>
      <c r="AI24" s="66">
        <f>IF($A24="","",$C24)</f>
        <v/>
      </c>
      <c r="AJ24" s="67">
        <f>IF($A24="","",$L$69*$D24)</f>
        <v/>
      </c>
      <c r="AK24" s="66">
        <f>IF($A24="","",2*2*$D24)</f>
        <v/>
      </c>
      <c r="AL24" s="67">
        <f>IF($A24="","",$BC$7*$D24)</f>
        <v/>
      </c>
      <c r="AM24" s="63">
        <f>IF($A24="","",$BC$6*$D24)</f>
        <v/>
      </c>
      <c r="AN24" s="64">
        <f>IF($A24="","",$BC$9*$D24)</f>
        <v/>
      </c>
      <c r="AO24" s="65">
        <f>IF($A24="","",$BC$10*$D24)</f>
        <v/>
      </c>
      <c r="AP24">
        <f>IF($A24="","",2*$BC$6*$D24)</f>
        <v/>
      </c>
      <c r="AQ24">
        <f>IF($A24="","",IF($B24&gt;2800,2,IF($B24&gt;1400,1,0))*$BC$6*$D24)</f>
        <v/>
      </c>
      <c r="AR24">
        <f>IF($A24="","",2*$BC$6*$D24)</f>
        <v/>
      </c>
      <c r="AS24">
        <f>IF($A24="","",$BC$6*$D24)</f>
        <v/>
      </c>
      <c r="AT24">
        <f>IF($A24="","",2*$BC$6*$D24)</f>
        <v/>
      </c>
      <c r="AU24">
        <f>IF($A24="","",4*2*$D24)</f>
        <v/>
      </c>
      <c r="AV24">
        <f>IF($A24="","",16*2*$D24)</f>
        <v/>
      </c>
      <c r="AW24">
        <f>IF($A24="","",(2+MAX(0,ROUNDUP(($G24-1500)/500,0)))*$D24)</f>
        <v/>
      </c>
      <c r="AX24">
        <f>IF($A24="","",(2+MAX(0,ROUNDUP(($G24-1500)/500,0)))*$D24)</f>
        <v/>
      </c>
      <c r="AY24">
        <f>IF($A24="","",ROUND((2*2*($M24+$K24)*2*$D24+$Y24*$Z24)/1000,1))</f>
        <v/>
      </c>
    </row>
    <row r="25" ht="40.15" customHeight="1">
      <c r="A25" s="58" t="n"/>
      <c r="B25" s="59" t="n"/>
      <c r="C25" s="60" t="n"/>
      <c r="D25" s="61" t="n"/>
      <c r="E25" s="62">
        <f>IF($A25="","",$B25)</f>
        <v/>
      </c>
      <c r="F25" s="60">
        <f>IF($A25="","",$L$54*$D25)</f>
        <v/>
      </c>
      <c r="G25" s="62">
        <f>IF($A25="","",$C25-$E$55-$F$55)</f>
        <v/>
      </c>
      <c r="H25" s="60">
        <f>IF($A25="","",$L$55*$D25)</f>
        <v/>
      </c>
      <c r="I25" s="62">
        <f>IF($A25="","",$C25)</f>
        <v/>
      </c>
      <c r="J25" s="60">
        <f>IF($A25="","",$L$56*$D25)</f>
        <v/>
      </c>
      <c r="K25" s="62">
        <f>IF($A25="","",$B25-$E$57-$F$57-$G$57-$H$57)</f>
        <v/>
      </c>
      <c r="L25" s="60">
        <f>IF($A25="","",$L$57*$D25)</f>
        <v/>
      </c>
      <c r="M25" s="62">
        <f>IF($A25="","",(($C25-21-3-1.2-3-21)/2)+(78*1)/2)</f>
        <v/>
      </c>
      <c r="N25" s="60">
        <f>IF($A25="","",$L$58*$D25)</f>
        <v/>
      </c>
      <c r="O25" s="62">
        <f>IF($A25="","",$K25-$E$59-$F$59)</f>
        <v/>
      </c>
      <c r="P25" s="60">
        <f>IF($A25="","",$L$59*$D25)</f>
        <v/>
      </c>
      <c r="Q25" s="62">
        <f>IF($A25="","",$M25-63-63)</f>
        <v/>
      </c>
      <c r="R25" s="60">
        <f>IF($A25="","",$L$60*$D25)</f>
        <v/>
      </c>
      <c r="S25" s="62">
        <f>IF($A25="","",$K25-$E$61-$F$61)</f>
        <v/>
      </c>
      <c r="T25" s="60">
        <f>IF($A25="","",$L$61*$D25)</f>
        <v/>
      </c>
      <c r="U25" s="62">
        <f>IF($A25="","",$M25-63-63)</f>
        <v/>
      </c>
      <c r="V25" s="60">
        <f>IF($A25="","",$L$62*$D25)</f>
        <v/>
      </c>
      <c r="W25" s="62">
        <f>IF($A25="","",$K25)</f>
        <v/>
      </c>
      <c r="X25" s="60">
        <f>IF($A25="","",$L$63*$D25)</f>
        <v/>
      </c>
      <c r="Y25" s="62">
        <f>IF($A25="","",$K25)</f>
        <v/>
      </c>
      <c r="Z25" s="60">
        <f>IF($A25="","",$L$64*$D25)</f>
        <v/>
      </c>
      <c r="AA25" s="62">
        <f>IF($A25="","",$B25-$E$65-$F$65)</f>
        <v/>
      </c>
      <c r="AB25" s="60">
        <f>IF($A25="","",$L$65*$D25)</f>
        <v/>
      </c>
      <c r="AC25" s="62">
        <f>IF($A25="","",$C25-$E$66-$F$66)</f>
        <v/>
      </c>
      <c r="AD25" s="60">
        <f>IF($A25="","",$L$66*$D25)</f>
        <v/>
      </c>
      <c r="AE25" s="62">
        <f>IF($A25="","",$B25-$E$67-$F$67)</f>
        <v/>
      </c>
      <c r="AF25" s="60">
        <f>IF($A25="","",$L$67*$D25)</f>
        <v/>
      </c>
      <c r="AG25" s="62">
        <f>IF($A25="","",$W25)</f>
        <v/>
      </c>
      <c r="AH25" s="60">
        <f>IF($A25="","",$L$68*$D25)</f>
        <v/>
      </c>
      <c r="AI25" s="62">
        <f>IF($A25="","",$C25)</f>
        <v/>
      </c>
      <c r="AJ25" s="60">
        <f>IF($A25="","",$L$69*$D25)</f>
        <v/>
      </c>
      <c r="AK25" s="62">
        <f>IF($A25="","",2*2*$D25)</f>
        <v/>
      </c>
      <c r="AL25" s="60">
        <f>IF($A25="","",$BC$7*$D25)</f>
        <v/>
      </c>
      <c r="AM25" s="63">
        <f>IF($A25="","",$BC$6*$D25)</f>
        <v/>
      </c>
      <c r="AN25" s="64">
        <f>IF($A25="","",$BC$9*$D25)</f>
        <v/>
      </c>
      <c r="AO25" s="65">
        <f>IF($A25="","",$BC$10*$D25)</f>
        <v/>
      </c>
      <c r="AP25">
        <f>IF($A25="","",2*$BC$6*$D25)</f>
        <v/>
      </c>
      <c r="AQ25">
        <f>IF($A25="","",IF($B25&gt;2800,2,IF($B25&gt;1400,1,0))*$BC$6*$D25)</f>
        <v/>
      </c>
      <c r="AR25">
        <f>IF($A25="","",2*$BC$6*$D25)</f>
        <v/>
      </c>
      <c r="AS25">
        <f>IF($A25="","",$BC$6*$D25)</f>
        <v/>
      </c>
      <c r="AT25">
        <f>IF($A25="","",2*$BC$6*$D25)</f>
        <v/>
      </c>
      <c r="AU25">
        <f>IF($A25="","",4*2*$D25)</f>
        <v/>
      </c>
      <c r="AV25">
        <f>IF($A25="","",16*2*$D25)</f>
        <v/>
      </c>
      <c r="AW25">
        <f>IF($A25="","",(2+MAX(0,ROUNDUP(($G25-1500)/500,0)))*$D25)</f>
        <v/>
      </c>
      <c r="AX25">
        <f>IF($A25="","",(2+MAX(0,ROUNDUP(($G25-1500)/500,0)))*$D25)</f>
        <v/>
      </c>
      <c r="AY25">
        <f>IF($A25="","",ROUND((2*2*($M25+$K25)*2*$D25+$Y25*$Z25)/1000,1))</f>
        <v/>
      </c>
    </row>
    <row r="26" ht="40.15" customHeight="1">
      <c r="A26" s="58" t="n"/>
      <c r="B26" s="59" t="n"/>
      <c r="C26" s="60" t="n"/>
      <c r="D26" s="61" t="n"/>
      <c r="E26" s="66">
        <f>IF($A26="","",$B26)</f>
        <v/>
      </c>
      <c r="F26" s="67">
        <f>IF($A26="","",$L$54*$D26)</f>
        <v/>
      </c>
      <c r="G26" s="66">
        <f>IF($A26="","",$C26-$E$55-$F$55)</f>
        <v/>
      </c>
      <c r="H26" s="67">
        <f>IF($A26="","",$L$55*$D26)</f>
        <v/>
      </c>
      <c r="I26" s="66">
        <f>IF($A26="","",$C26)</f>
        <v/>
      </c>
      <c r="J26" s="67">
        <f>IF($A26="","",$L$56*$D26)</f>
        <v/>
      </c>
      <c r="K26" s="66">
        <f>IF($A26="","",$B26-$E$57-$F$57-$G$57-$H$57)</f>
        <v/>
      </c>
      <c r="L26" s="67">
        <f>IF($A26="","",$L$57*$D26)</f>
        <v/>
      </c>
      <c r="M26" s="66">
        <f>IF($A26="","",(($C26-21-3-1.2-3-21)/2)+(78*1)/2)</f>
        <v/>
      </c>
      <c r="N26" s="67">
        <f>IF($A26="","",$L$58*$D26)</f>
        <v/>
      </c>
      <c r="O26" s="66">
        <f>IF($A26="","",$K26-$E$59-$F$59)</f>
        <v/>
      </c>
      <c r="P26" s="67">
        <f>IF($A26="","",$L$59*$D26)</f>
        <v/>
      </c>
      <c r="Q26" s="66">
        <f>IF($A26="","",$M26-63-63)</f>
        <v/>
      </c>
      <c r="R26" s="67">
        <f>IF($A26="","",$L$60*$D26)</f>
        <v/>
      </c>
      <c r="S26" s="66">
        <f>IF($A26="","",$K26-$E$61-$F$61)</f>
        <v/>
      </c>
      <c r="T26" s="67">
        <f>IF($A26="","",$L$61*$D26)</f>
        <v/>
      </c>
      <c r="U26" s="66">
        <f>IF($A26="","",$M26-63-63)</f>
        <v/>
      </c>
      <c r="V26" s="67">
        <f>IF($A26="","",$L$62*$D26)</f>
        <v/>
      </c>
      <c r="W26" s="66">
        <f>IF($A26="","",$K26)</f>
        <v/>
      </c>
      <c r="X26" s="67">
        <f>IF($A26="","",$L$63*$D26)</f>
        <v/>
      </c>
      <c r="Y26" s="66">
        <f>IF($A26="","",$K26)</f>
        <v/>
      </c>
      <c r="Z26" s="67">
        <f>IF($A26="","",$L$64*$D26)</f>
        <v/>
      </c>
      <c r="AA26" s="66">
        <f>IF($A26="","",$B26-$E$65-$F$65)</f>
        <v/>
      </c>
      <c r="AB26" s="67">
        <f>IF($A26="","",$L$65*$D26)</f>
        <v/>
      </c>
      <c r="AC26" s="66">
        <f>IF($A26="","",$C26-$E$66-$F$66)</f>
        <v/>
      </c>
      <c r="AD26" s="67">
        <f>IF($A26="","",$L$66*$D26)</f>
        <v/>
      </c>
      <c r="AE26" s="66">
        <f>IF($A26="","",$B26-$E$67-$F$67)</f>
        <v/>
      </c>
      <c r="AF26" s="67">
        <f>IF($A26="","",$L$67*$D26)</f>
        <v/>
      </c>
      <c r="AG26" s="66">
        <f>IF($A26="","",$W26)</f>
        <v/>
      </c>
      <c r="AH26" s="67">
        <f>IF($A26="","",$L$68*$D26)</f>
        <v/>
      </c>
      <c r="AI26" s="66">
        <f>IF($A26="","",$C26)</f>
        <v/>
      </c>
      <c r="AJ26" s="67">
        <f>IF($A26="","",$L$69*$D26)</f>
        <v/>
      </c>
      <c r="AK26" s="66">
        <f>IF($A26="","",2*2*$D26)</f>
        <v/>
      </c>
      <c r="AL26" s="67">
        <f>IF($A26="","",$BC$7*$D26)</f>
        <v/>
      </c>
      <c r="AM26" s="63">
        <f>IF($A26="","",$BC$6*$D26)</f>
        <v/>
      </c>
      <c r="AN26" s="64">
        <f>IF($A26="","",$BC$9*$D26)</f>
        <v/>
      </c>
      <c r="AO26" s="65">
        <f>IF($A26="","",$BC$10*$D26)</f>
        <v/>
      </c>
      <c r="AP26">
        <f>IF($A26="","",2*$BC$6*$D26)</f>
        <v/>
      </c>
      <c r="AQ26">
        <f>IF($A26="","",IF($B26&gt;2800,2,IF($B26&gt;1400,1,0))*$BC$6*$D26)</f>
        <v/>
      </c>
      <c r="AR26">
        <f>IF($A26="","",2*$BC$6*$D26)</f>
        <v/>
      </c>
      <c r="AS26">
        <f>IF($A26="","",$BC$6*$D26)</f>
        <v/>
      </c>
      <c r="AT26">
        <f>IF($A26="","",2*$BC$6*$D26)</f>
        <v/>
      </c>
      <c r="AU26">
        <f>IF($A26="","",4*2*$D26)</f>
        <v/>
      </c>
      <c r="AV26">
        <f>IF($A26="","",16*2*$D26)</f>
        <v/>
      </c>
      <c r="AW26">
        <f>IF($A26="","",(2+MAX(0,ROUNDUP(($G26-1500)/500,0)))*$D26)</f>
        <v/>
      </c>
      <c r="AX26">
        <f>IF($A26="","",(2+MAX(0,ROUNDUP(($G26-1500)/500,0)))*$D26)</f>
        <v/>
      </c>
      <c r="AY26">
        <f>IF($A26="","",ROUND((2*2*($M26+$K26)*2*$D26+$Y26*$Z26)/1000,1))</f>
        <v/>
      </c>
    </row>
    <row r="27" ht="40.15" customHeight="1">
      <c r="A27" s="58" t="n"/>
      <c r="B27" s="59" t="n"/>
      <c r="C27" s="60" t="n"/>
      <c r="D27" s="61" t="n"/>
      <c r="E27" s="62">
        <f>IF($A27="","",$B27)</f>
        <v/>
      </c>
      <c r="F27" s="60">
        <f>IF($A27="","",$L$54*$D27)</f>
        <v/>
      </c>
      <c r="G27" s="62">
        <f>IF($A27="","",$C27-$E$55-$F$55)</f>
        <v/>
      </c>
      <c r="H27" s="60">
        <f>IF($A27="","",$L$55*$D27)</f>
        <v/>
      </c>
      <c r="I27" s="62">
        <f>IF($A27="","",$C27)</f>
        <v/>
      </c>
      <c r="J27" s="60">
        <f>IF($A27="","",$L$56*$D27)</f>
        <v/>
      </c>
      <c r="K27" s="62">
        <f>IF($A27="","",$B27-$E$57-$F$57-$G$57-$H$57)</f>
        <v/>
      </c>
      <c r="L27" s="60">
        <f>IF($A27="","",$L$57*$D27)</f>
        <v/>
      </c>
      <c r="M27" s="62">
        <f>IF($A27="","",(($C27-21-3-1.2-3-21)/2)+(78*1)/2)</f>
        <v/>
      </c>
      <c r="N27" s="60">
        <f>IF($A27="","",$L$58*$D27)</f>
        <v/>
      </c>
      <c r="O27" s="62">
        <f>IF($A27="","",$K27-$E$59-$F$59)</f>
        <v/>
      </c>
      <c r="P27" s="60">
        <f>IF($A27="","",$L$59*$D27)</f>
        <v/>
      </c>
      <c r="Q27" s="62">
        <f>IF($A27="","",$M27-63-63)</f>
        <v/>
      </c>
      <c r="R27" s="60">
        <f>IF($A27="","",$L$60*$D27)</f>
        <v/>
      </c>
      <c r="S27" s="62">
        <f>IF($A27="","",$K27-$E$61-$F$61)</f>
        <v/>
      </c>
      <c r="T27" s="60">
        <f>IF($A27="","",$L$61*$D27)</f>
        <v/>
      </c>
      <c r="U27" s="62">
        <f>IF($A27="","",$M27-63-63)</f>
        <v/>
      </c>
      <c r="V27" s="60">
        <f>IF($A27="","",$L$62*$D27)</f>
        <v/>
      </c>
      <c r="W27" s="62">
        <f>IF($A27="","",$K27)</f>
        <v/>
      </c>
      <c r="X27" s="60">
        <f>IF($A27="","",$L$63*$D27)</f>
        <v/>
      </c>
      <c r="Y27" s="62">
        <f>IF($A27="","",$K27)</f>
        <v/>
      </c>
      <c r="Z27" s="60">
        <f>IF($A27="","",$L$64*$D27)</f>
        <v/>
      </c>
      <c r="AA27" s="62">
        <f>IF($A27="","",$B27-$E$65-$F$65)</f>
        <v/>
      </c>
      <c r="AB27" s="60">
        <f>IF($A27="","",$L$65*$D27)</f>
        <v/>
      </c>
      <c r="AC27" s="62">
        <f>IF($A27="","",$C27-$E$66-$F$66)</f>
        <v/>
      </c>
      <c r="AD27" s="60">
        <f>IF($A27="","",$L$66*$D27)</f>
        <v/>
      </c>
      <c r="AE27" s="62">
        <f>IF($A27="","",$B27-$E$67-$F$67)</f>
        <v/>
      </c>
      <c r="AF27" s="60">
        <f>IF($A27="","",$L$67*$D27)</f>
        <v/>
      </c>
      <c r="AG27" s="62">
        <f>IF($A27="","",$W27)</f>
        <v/>
      </c>
      <c r="AH27" s="60">
        <f>IF($A27="","",$L$68*$D27)</f>
        <v/>
      </c>
      <c r="AI27" s="62">
        <f>IF($A27="","",$C27)</f>
        <v/>
      </c>
      <c r="AJ27" s="60">
        <f>IF($A27="","",$L$69*$D27)</f>
        <v/>
      </c>
      <c r="AK27" s="62">
        <f>IF($A27="","",2*2*$D27)</f>
        <v/>
      </c>
      <c r="AL27" s="60">
        <f>IF($A27="","",$BC$7*$D27)</f>
        <v/>
      </c>
      <c r="AM27" s="63">
        <f>IF($A27="","",$BC$6*$D27)</f>
        <v/>
      </c>
      <c r="AN27" s="64">
        <f>IF($A27="","",$BC$9*$D27)</f>
        <v/>
      </c>
      <c r="AO27" s="65">
        <f>IF($A27="","",$BC$10*$D27)</f>
        <v/>
      </c>
      <c r="AP27">
        <f>IF($A27="","",2*$BC$6*$D27)</f>
        <v/>
      </c>
      <c r="AQ27">
        <f>IF($A27="","",IF($B27&gt;2800,2,IF($B27&gt;1400,1,0))*$BC$6*$D27)</f>
        <v/>
      </c>
      <c r="AR27">
        <f>IF($A27="","",2*$BC$6*$D27)</f>
        <v/>
      </c>
      <c r="AS27">
        <f>IF($A27="","",$BC$6*$D27)</f>
        <v/>
      </c>
      <c r="AT27">
        <f>IF($A27="","",2*$BC$6*$D27)</f>
        <v/>
      </c>
      <c r="AU27">
        <f>IF($A27="","",4*2*$D27)</f>
        <v/>
      </c>
      <c r="AV27">
        <f>IF($A27="","",16*2*$D27)</f>
        <v/>
      </c>
      <c r="AW27">
        <f>IF($A27="","",(2+MAX(0,ROUNDUP(($G27-1500)/500,0)))*$D27)</f>
        <v/>
      </c>
      <c r="AX27">
        <f>IF($A27="","",(2+MAX(0,ROUNDUP(($G27-1500)/500,0)))*$D27)</f>
        <v/>
      </c>
      <c r="AY27">
        <f>IF($A27="","",ROUND((2*2*($M27+$K27)*2*$D27+$Y27*$Z27)/1000,1))</f>
        <v/>
      </c>
    </row>
    <row r="28" ht="40.15" customHeight="1">
      <c r="A28" s="58" t="n"/>
      <c r="B28" s="59" t="n"/>
      <c r="C28" s="60" t="n"/>
      <c r="D28" s="61" t="n"/>
      <c r="E28" s="66">
        <f>IF($A28="","",$B28)</f>
        <v/>
      </c>
      <c r="F28" s="67">
        <f>IF($A28="","",$L$54*$D28)</f>
        <v/>
      </c>
      <c r="G28" s="66">
        <f>IF($A28="","",$C28-$E$55-$F$55)</f>
        <v/>
      </c>
      <c r="H28" s="67">
        <f>IF($A28="","",$L$55*$D28)</f>
        <v/>
      </c>
      <c r="I28" s="66">
        <f>IF($A28="","",$C28)</f>
        <v/>
      </c>
      <c r="J28" s="67">
        <f>IF($A28="","",$L$56*$D28)</f>
        <v/>
      </c>
      <c r="K28" s="66">
        <f>IF($A28="","",$B28-$E$57-$F$57-$G$57-$H$57)</f>
        <v/>
      </c>
      <c r="L28" s="67">
        <f>IF($A28="","",$L$57*$D28)</f>
        <v/>
      </c>
      <c r="M28" s="66">
        <f>IF($A28="","",(($C28-21-3-1.2-3-21)/2)+(78*1)/2)</f>
        <v/>
      </c>
      <c r="N28" s="67">
        <f>IF($A28="","",$L$58*$D28)</f>
        <v/>
      </c>
      <c r="O28" s="66">
        <f>IF($A28="","",$K28-$E$59-$F$59)</f>
        <v/>
      </c>
      <c r="P28" s="67">
        <f>IF($A28="","",$L$59*$D28)</f>
        <v/>
      </c>
      <c r="Q28" s="66">
        <f>IF($A28="","",$M28-63-63)</f>
        <v/>
      </c>
      <c r="R28" s="67">
        <f>IF($A28="","",$L$60*$D28)</f>
        <v/>
      </c>
      <c r="S28" s="66">
        <f>IF($A28="","",$K28-$E$61-$F$61)</f>
        <v/>
      </c>
      <c r="T28" s="67">
        <f>IF($A28="","",$L$61*$D28)</f>
        <v/>
      </c>
      <c r="U28" s="66">
        <f>IF($A28="","",$M28-63-63)</f>
        <v/>
      </c>
      <c r="V28" s="67">
        <f>IF($A28="","",$L$62*$D28)</f>
        <v/>
      </c>
      <c r="W28" s="66">
        <f>IF($A28="","",$K28)</f>
        <v/>
      </c>
      <c r="X28" s="67">
        <f>IF($A28="","",$L$63*$D28)</f>
        <v/>
      </c>
      <c r="Y28" s="66">
        <f>IF($A28="","",$K28)</f>
        <v/>
      </c>
      <c r="Z28" s="67">
        <f>IF($A28="","",$L$64*$D28)</f>
        <v/>
      </c>
      <c r="AA28" s="66">
        <f>IF($A28="","",$B28-$E$65-$F$65)</f>
        <v/>
      </c>
      <c r="AB28" s="67">
        <f>IF($A28="","",$L$65*$D28)</f>
        <v/>
      </c>
      <c r="AC28" s="66">
        <f>IF($A28="","",$C28-$E$66-$F$66)</f>
        <v/>
      </c>
      <c r="AD28" s="67">
        <f>IF($A28="","",$L$66*$D28)</f>
        <v/>
      </c>
      <c r="AE28" s="66">
        <f>IF($A28="","",$B28-$E$67-$F$67)</f>
        <v/>
      </c>
      <c r="AF28" s="67">
        <f>IF($A28="","",$L$67*$D28)</f>
        <v/>
      </c>
      <c r="AG28" s="66">
        <f>IF($A28="","",$W28)</f>
        <v/>
      </c>
      <c r="AH28" s="67">
        <f>IF($A28="","",$L$68*$D28)</f>
        <v/>
      </c>
      <c r="AI28" s="66">
        <f>IF($A28="","",$C28)</f>
        <v/>
      </c>
      <c r="AJ28" s="67">
        <f>IF($A28="","",$L$69*$D28)</f>
        <v/>
      </c>
      <c r="AK28" s="66">
        <f>IF($A28="","",2*2*$D28)</f>
        <v/>
      </c>
      <c r="AL28" s="67">
        <f>IF($A28="","",$BC$7*$D28)</f>
        <v/>
      </c>
      <c r="AM28" s="63">
        <f>IF($A28="","",$BC$6*$D28)</f>
        <v/>
      </c>
      <c r="AN28" s="64">
        <f>IF($A28="","",$BC$9*$D28)</f>
        <v/>
      </c>
      <c r="AO28" s="65">
        <f>IF($A28="","",$BC$10*$D28)</f>
        <v/>
      </c>
      <c r="AP28">
        <f>IF($A28="","",2*$BC$6*$D28)</f>
        <v/>
      </c>
      <c r="AQ28">
        <f>IF($A28="","",IF($B28&gt;2800,2,IF($B28&gt;1400,1,0))*$BC$6*$D28)</f>
        <v/>
      </c>
      <c r="AR28">
        <f>IF($A28="","",2*$BC$6*$D28)</f>
        <v/>
      </c>
      <c r="AS28">
        <f>IF($A28="","",$BC$6*$D28)</f>
        <v/>
      </c>
      <c r="AT28">
        <f>IF($A28="","",2*$BC$6*$D28)</f>
        <v/>
      </c>
      <c r="AU28">
        <f>IF($A28="","",4*2*$D28)</f>
        <v/>
      </c>
      <c r="AV28">
        <f>IF($A28="","",16*2*$D28)</f>
        <v/>
      </c>
      <c r="AW28">
        <f>IF($A28="","",(2+MAX(0,ROUNDUP(($G28-1500)/500,0)))*$D28)</f>
        <v/>
      </c>
      <c r="AX28">
        <f>IF($A28="","",(2+MAX(0,ROUNDUP(($G28-1500)/500,0)))*$D28)</f>
        <v/>
      </c>
      <c r="AY28">
        <f>IF($A28="","",ROUND((2*2*($M28+$K28)*2*$D28+$Y28*$Z28)/1000,1))</f>
        <v/>
      </c>
    </row>
    <row r="29" ht="40.15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8" t="n"/>
      <c r="AK29" s="68" t="n"/>
      <c r="AL29" s="68" t="n"/>
      <c r="AM29" s="69" t="n"/>
    </row>
    <row r="30" ht="40.15" customHeight="1">
      <c r="A30" s="70" t="inlineStr">
        <is>
          <t>จำนวนเส้น 6.4 ม. ที่ต้องสั่ง →</t>
        </is>
      </c>
      <c r="B30" s="20" t="n"/>
      <c r="C30" s="20" t="n"/>
      <c r="D30" s="21" t="n"/>
      <c r="E30" s="71">
        <f>E$7</f>
        <v/>
      </c>
      <c r="F30" s="72">
        <f>(ROUNDUP(F49/6400,0))</f>
        <v/>
      </c>
      <c r="G30" s="72">
        <f>G$7</f>
        <v/>
      </c>
      <c r="H30" s="72">
        <f>(ROUNDUP(H49/6400,0))</f>
        <v/>
      </c>
      <c r="I30" s="72">
        <f>I$7</f>
        <v/>
      </c>
      <c r="J30" s="72">
        <f>(ROUNDUP(J49/6400,0))</f>
        <v/>
      </c>
      <c r="K30" s="72">
        <f>K$7</f>
        <v/>
      </c>
      <c r="L30" s="20" t="n"/>
      <c r="M30" s="21" t="n"/>
      <c r="N30" s="72">
        <f>(ROUNDUP(SUM(L49:N49)/6400,0))</f>
        <v/>
      </c>
      <c r="O30" s="72">
        <f>O$7</f>
        <v/>
      </c>
      <c r="P30" s="20" t="n"/>
      <c r="Q30" s="21" t="n"/>
      <c r="R30" s="72">
        <f>(ROUNDUP(SUM(P49:R49)/6400,0))</f>
        <v/>
      </c>
      <c r="S30" s="72">
        <f>S$7</f>
        <v/>
      </c>
      <c r="T30" s="20" t="n"/>
      <c r="U30" s="21" t="n"/>
      <c r="V30" s="72">
        <f>(ROUNDUP(SUM(T49:V49)/6400,0))</f>
        <v/>
      </c>
      <c r="W30" s="72">
        <f>W$7</f>
        <v/>
      </c>
      <c r="X30" s="72">
        <f>(ROUNDUP(X49/5000,0))</f>
        <v/>
      </c>
      <c r="Y30" s="72">
        <f>Y$7</f>
        <v/>
      </c>
      <c r="Z30" s="72">
        <f>(ROUNDUP(Z49/6400,0))</f>
        <v/>
      </c>
      <c r="AA30" s="72">
        <f>AA$7</f>
        <v/>
      </c>
      <c r="AB30" s="72">
        <f>(ROUNDUP(AB49/6400,0))</f>
        <v/>
      </c>
      <c r="AC30" s="72">
        <f>AC$7</f>
        <v/>
      </c>
      <c r="AD30" s="72">
        <f>(ROUNDUP(AD49/5000,0))</f>
        <v/>
      </c>
      <c r="AE30" s="72">
        <f>AE$7</f>
        <v/>
      </c>
      <c r="AJ30" s="72" t="inlineStr">
        <is>
          <t>รวม</t>
        </is>
      </c>
      <c r="AK30" s="72">
        <f>SUM(AK11:AK28)</f>
        <v/>
      </c>
      <c r="AL30" s="72">
        <f>SUM(AL11:AL28)</f>
        <v/>
      </c>
      <c r="AM30">
        <f>SUM(AM11:AM28)</f>
        <v/>
      </c>
      <c r="AN30">
        <f>SUM(AN11:AN28)</f>
        <v/>
      </c>
      <c r="AO30">
        <f>SUM(AO11:AO28)</f>
        <v/>
      </c>
      <c r="AP30">
        <f>SUM(AP11:AP28)</f>
        <v/>
      </c>
      <c r="AQ30">
        <f>SUM(AQ11:AQ28)</f>
        <v/>
      </c>
      <c r="AR30">
        <f>SUM(AR11:AR28)</f>
        <v/>
      </c>
      <c r="AS30">
        <f>SUM(AS11:AS28)</f>
        <v/>
      </c>
      <c r="AT30">
        <f>SUM(AT11:AT28)</f>
        <v/>
      </c>
      <c r="AU30">
        <f>SUM(AU11:AU28)</f>
        <v/>
      </c>
      <c r="AV30">
        <f>SUM(AV11:AV28)</f>
        <v/>
      </c>
      <c r="AW30">
        <f>SUM(AW11:AW28)</f>
        <v/>
      </c>
      <c r="AX30">
        <f>SUM(AX11:AX28)</f>
        <v/>
      </c>
      <c r="AY30">
        <f>SUM(AY11:AY28)</f>
        <v/>
      </c>
    </row>
    <row r="31" hidden="1" ht="40.15" customHeight="1">
      <c r="F31" s="73">
        <f>IF($A11="","",F11*E11)</f>
        <v/>
      </c>
      <c r="G31" s="73" t="n"/>
      <c r="H31" s="73">
        <f>IF($A11="","",H11*G11)</f>
        <v/>
      </c>
      <c r="I31" s="73" t="n"/>
      <c r="J31" s="73">
        <f>IF($A11="","",J11*I11)</f>
        <v/>
      </c>
      <c r="K31" s="73" t="n"/>
      <c r="L31" s="73">
        <f>IF($A11="","",L11*K11)</f>
        <v/>
      </c>
      <c r="M31" s="73" t="n"/>
      <c r="N31" s="73">
        <f>IF($A11="","",N11*M11)</f>
        <v/>
      </c>
      <c r="O31" s="73" t="n"/>
      <c r="P31" s="73">
        <f>IF($A11="","",P11*O11)</f>
        <v/>
      </c>
      <c r="Q31" s="73" t="n"/>
      <c r="R31" s="73">
        <f>IF($A11="","",R11*Q11)</f>
        <v/>
      </c>
      <c r="S31" s="73" t="n"/>
      <c r="T31" s="73">
        <f>IF($A11="","",T11*S11)</f>
        <v/>
      </c>
      <c r="U31" s="73" t="n"/>
      <c r="V31" s="73">
        <f>IF($A11="","",V11*U11)</f>
        <v/>
      </c>
      <c r="W31" s="73" t="n"/>
      <c r="X31" s="73">
        <f>IF($A11="","",X11*W11)</f>
        <v/>
      </c>
      <c r="Y31" s="73" t="n"/>
      <c r="Z31" s="73">
        <f>IF($A11="","",Z11*Y11)</f>
        <v/>
      </c>
      <c r="AA31" s="73" t="n"/>
      <c r="AB31" s="73">
        <f>IF($A11="","",AB11*AA11)</f>
        <v/>
      </c>
      <c r="AC31" s="73" t="n"/>
      <c r="AD31" s="73">
        <f>IF($A11="","",AD11*AC11)</f>
        <v/>
      </c>
      <c r="AE31" s="73" t="n"/>
      <c r="AF31" s="73">
        <f>IF($A11="","",AF11*AE11)</f>
        <v/>
      </c>
      <c r="AG31" s="73" t="n"/>
      <c r="AH31" s="73">
        <f>IF($A11="","",AH11*AG11)</f>
        <v/>
      </c>
      <c r="AI31" s="73" t="n"/>
      <c r="AJ31" s="73">
        <f>IF($A11="","",AJ11*AI11)</f>
        <v/>
      </c>
      <c r="AK31" s="73" t="n"/>
      <c r="AL31" s="73">
        <f>IF($A11="","",AL11*AK11)</f>
        <v/>
      </c>
    </row>
    <row r="32" hidden="1" ht="40.15" customHeight="1">
      <c r="F32" s="73">
        <f>IF($A12="","",F12*E12)</f>
        <v/>
      </c>
      <c r="G32" s="73" t="n"/>
      <c r="H32" s="73">
        <f>IF($A12="","",H12*G12)</f>
        <v/>
      </c>
      <c r="I32" s="73" t="n"/>
      <c r="J32" s="73">
        <f>IF($A12="","",J12*I12)</f>
        <v/>
      </c>
      <c r="K32" s="73" t="n"/>
      <c r="L32" s="73">
        <f>IF($A12="","",L12*K12)</f>
        <v/>
      </c>
      <c r="M32" s="73" t="n"/>
      <c r="N32" s="73">
        <f>IF($A12="","",N12*M12)</f>
        <v/>
      </c>
      <c r="O32" s="73" t="n"/>
      <c r="P32" s="73">
        <f>IF($A12="","",P12*O12)</f>
        <v/>
      </c>
      <c r="Q32" s="73" t="n"/>
      <c r="R32" s="73">
        <f>IF($A12="","",R12*Q12)</f>
        <v/>
      </c>
      <c r="S32" s="73" t="n"/>
      <c r="T32" s="73">
        <f>IF($A12="","",T12*S12)</f>
        <v/>
      </c>
      <c r="U32" s="73" t="n"/>
      <c r="V32" s="73">
        <f>IF($A12="","",V12*U12)</f>
        <v/>
      </c>
      <c r="W32" s="73" t="n"/>
      <c r="X32" s="73">
        <f>IF($A12="","",X12*W12)</f>
        <v/>
      </c>
      <c r="Y32" s="73" t="n"/>
      <c r="Z32" s="73">
        <f>IF($A12="","",Z12*Y12)</f>
        <v/>
      </c>
      <c r="AA32" s="73" t="n"/>
      <c r="AB32" s="73">
        <f>IF($A12="","",AB12*AA12)</f>
        <v/>
      </c>
      <c r="AC32" s="73" t="n"/>
      <c r="AD32" s="73">
        <f>IF($A12="","",AD12*AC12)</f>
        <v/>
      </c>
      <c r="AE32" s="73" t="n"/>
      <c r="AF32" s="73">
        <f>IF($A12="","",AF12*AE12)</f>
        <v/>
      </c>
      <c r="AG32" s="73" t="n"/>
      <c r="AH32" s="73">
        <f>IF($A12="","",AH12*AG12)</f>
        <v/>
      </c>
      <c r="AI32" s="73" t="n"/>
      <c r="AJ32" s="73">
        <f>IF($A12="","",AJ12*AI12)</f>
        <v/>
      </c>
      <c r="AK32" s="73" t="n"/>
      <c r="AL32" s="73">
        <f>IF($A12="","",AL12*AK12)</f>
        <v/>
      </c>
    </row>
    <row r="33" hidden="1" ht="40.15" customHeight="1">
      <c r="F33" s="73">
        <f>IF($A13="","",F13*E13)</f>
        <v/>
      </c>
      <c r="G33" s="73" t="n"/>
      <c r="H33" s="73">
        <f>IF($A13="","",H13*G13)</f>
        <v/>
      </c>
      <c r="I33" s="73" t="n"/>
      <c r="J33" s="73">
        <f>IF($A13="","",J13*I13)</f>
        <v/>
      </c>
      <c r="K33" s="73" t="n"/>
      <c r="L33" s="73">
        <f>IF($A13="","",L13*K13)</f>
        <v/>
      </c>
      <c r="M33" s="73" t="n"/>
      <c r="N33" s="73">
        <f>IF($A13="","",N13*M13)</f>
        <v/>
      </c>
      <c r="O33" s="73" t="n"/>
      <c r="P33" s="73">
        <f>IF($A13="","",P13*O13)</f>
        <v/>
      </c>
      <c r="Q33" s="73" t="n"/>
      <c r="R33" s="73">
        <f>IF($A13="","",R13*Q13)</f>
        <v/>
      </c>
      <c r="S33" s="73" t="n"/>
      <c r="T33" s="73">
        <f>IF($A13="","",T13*S13)</f>
        <v/>
      </c>
      <c r="U33" s="73" t="n"/>
      <c r="V33" s="73">
        <f>IF($A13="","",V13*U13)</f>
        <v/>
      </c>
      <c r="W33" s="73" t="n"/>
      <c r="X33" s="73">
        <f>IF($A13="","",X13*W13)</f>
        <v/>
      </c>
      <c r="Y33" s="73" t="n"/>
      <c r="Z33" s="73">
        <f>IF($A13="","",Z13*Y13)</f>
        <v/>
      </c>
      <c r="AA33" s="73" t="n"/>
      <c r="AB33" s="73">
        <f>IF($A13="","",AB13*AA13)</f>
        <v/>
      </c>
      <c r="AC33" s="73" t="n"/>
      <c r="AD33" s="73">
        <f>IF($A13="","",AD13*AC13)</f>
        <v/>
      </c>
      <c r="AE33" s="73" t="n"/>
      <c r="AF33" s="73">
        <f>IF($A13="","",AF13*AE13)</f>
        <v/>
      </c>
      <c r="AG33" s="73" t="n"/>
      <c r="AH33" s="73">
        <f>IF($A13="","",AH13*AG13)</f>
        <v/>
      </c>
      <c r="AI33" s="73" t="n"/>
      <c r="AJ33" s="73">
        <f>IF($A13="","",AJ13*AI13)</f>
        <v/>
      </c>
      <c r="AK33" s="73" t="n"/>
      <c r="AL33" s="73">
        <f>IF($A13="","",AL13*AK13)</f>
        <v/>
      </c>
    </row>
    <row r="34" hidden="1" ht="40.15" customHeight="1">
      <c r="F34" s="73">
        <f>IF($A14="","",F14*E14)</f>
        <v/>
      </c>
      <c r="G34" s="73" t="n"/>
      <c r="H34" s="73">
        <f>IF($A14="","",H14*G14)</f>
        <v/>
      </c>
      <c r="I34" s="73" t="n"/>
      <c r="J34" s="73">
        <f>IF($A14="","",J14*I14)</f>
        <v/>
      </c>
      <c r="K34" s="73" t="n"/>
      <c r="L34" s="73">
        <f>IF($A14="","",L14*K14)</f>
        <v/>
      </c>
      <c r="M34" s="73" t="n"/>
      <c r="N34" s="73">
        <f>IF($A14="","",N14*M14)</f>
        <v/>
      </c>
      <c r="O34" s="73" t="n"/>
      <c r="P34" s="73">
        <f>IF($A14="","",P14*O14)</f>
        <v/>
      </c>
      <c r="Q34" s="73" t="n"/>
      <c r="R34" s="73">
        <f>IF($A14="","",R14*Q14)</f>
        <v/>
      </c>
      <c r="S34" s="73" t="n"/>
      <c r="T34" s="73">
        <f>IF($A14="","",T14*S14)</f>
        <v/>
      </c>
      <c r="U34" s="73" t="n"/>
      <c r="V34" s="73">
        <f>IF($A14="","",V14*U14)</f>
        <v/>
      </c>
      <c r="W34" s="73" t="n"/>
      <c r="X34" s="73">
        <f>IF($A14="","",X14*W14)</f>
        <v/>
      </c>
      <c r="Y34" s="73" t="n"/>
      <c r="Z34" s="73">
        <f>IF($A14="","",Z14*Y14)</f>
        <v/>
      </c>
      <c r="AA34" s="73" t="n"/>
      <c r="AB34" s="73">
        <f>IF($A14="","",AB14*AA14)</f>
        <v/>
      </c>
      <c r="AC34" s="73" t="n"/>
      <c r="AD34" s="73">
        <f>IF($A14="","",AD14*AC14)</f>
        <v/>
      </c>
      <c r="AE34" s="73" t="n"/>
      <c r="AF34" s="73">
        <f>IF($A14="","",AF14*AE14)</f>
        <v/>
      </c>
      <c r="AG34" s="73" t="n"/>
      <c r="AH34" s="73">
        <f>IF($A14="","",AH14*AG14)</f>
        <v/>
      </c>
      <c r="AI34" s="73" t="n"/>
      <c r="AJ34" s="73">
        <f>IF($A14="","",AJ14*AI14)</f>
        <v/>
      </c>
      <c r="AK34" s="73" t="n"/>
      <c r="AL34" s="73">
        <f>IF($A14="","",AL14*AK14)</f>
        <v/>
      </c>
    </row>
    <row r="35" hidden="1" ht="40.15" customHeight="1">
      <c r="F35" s="73">
        <f>IF($A15="","",F15*E15)</f>
        <v/>
      </c>
      <c r="G35" s="73" t="n"/>
      <c r="H35" s="73">
        <f>IF($A15="","",H15*G15)</f>
        <v/>
      </c>
      <c r="I35" s="73" t="n"/>
      <c r="J35" s="73">
        <f>IF($A15="","",J15*I15)</f>
        <v/>
      </c>
      <c r="K35" s="73" t="n"/>
      <c r="L35" s="73">
        <f>IF($A15="","",L15*K15)</f>
        <v/>
      </c>
      <c r="M35" s="73" t="n"/>
      <c r="N35" s="73">
        <f>IF($A15="","",N15*M15)</f>
        <v/>
      </c>
      <c r="O35" s="73" t="n"/>
      <c r="P35" s="73">
        <f>IF($A15="","",P15*O15)</f>
        <v/>
      </c>
      <c r="Q35" s="73" t="n"/>
      <c r="R35" s="73">
        <f>IF($A15="","",R15*Q15)</f>
        <v/>
      </c>
      <c r="S35" s="73" t="n"/>
      <c r="T35" s="73">
        <f>IF($A15="","",T15*S15)</f>
        <v/>
      </c>
      <c r="U35" s="73" t="n"/>
      <c r="V35" s="73">
        <f>IF($A15="","",V15*U15)</f>
        <v/>
      </c>
      <c r="W35" s="73" t="n"/>
      <c r="X35" s="73">
        <f>IF($A15="","",X15*W15)</f>
        <v/>
      </c>
      <c r="Y35" s="73" t="n"/>
      <c r="Z35" s="73">
        <f>IF($A15="","",Z15*Y15)</f>
        <v/>
      </c>
      <c r="AA35" s="73" t="n"/>
      <c r="AB35" s="73">
        <f>IF($A15="","",AB15*AA15)</f>
        <v/>
      </c>
      <c r="AC35" s="73" t="n"/>
      <c r="AD35" s="73">
        <f>IF($A15="","",AD15*AC15)</f>
        <v/>
      </c>
      <c r="AE35" s="73" t="n"/>
      <c r="AF35" s="73">
        <f>IF($A15="","",AF15*AE15)</f>
        <v/>
      </c>
      <c r="AG35" s="73" t="n"/>
      <c r="AH35" s="73">
        <f>IF($A15="","",AH15*AG15)</f>
        <v/>
      </c>
      <c r="AI35" s="73" t="n"/>
      <c r="AJ35" s="73">
        <f>IF($A15="","",AJ15*AI15)</f>
        <v/>
      </c>
      <c r="AK35" s="73" t="n"/>
      <c r="AL35" s="73">
        <f>IF($A15="","",AL15*AK15)</f>
        <v/>
      </c>
    </row>
    <row r="36" hidden="1">
      <c r="F36" s="73">
        <f>IF($A16="","",F16*E16)</f>
        <v/>
      </c>
      <c r="G36" s="73" t="n"/>
      <c r="H36" s="73">
        <f>IF($A16="","",H16*G16)</f>
        <v/>
      </c>
      <c r="I36" s="73" t="n"/>
      <c r="J36" s="73">
        <f>IF($A16="","",J16*I16)</f>
        <v/>
      </c>
      <c r="K36" s="73" t="n"/>
      <c r="L36" s="73">
        <f>IF($A16="","",L16*K16)</f>
        <v/>
      </c>
      <c r="M36" s="73" t="n"/>
      <c r="N36" s="73">
        <f>IF($A16="","",N16*M16)</f>
        <v/>
      </c>
      <c r="O36" s="73" t="n"/>
      <c r="P36" s="73">
        <f>IF($A16="","",P16*O16)</f>
        <v/>
      </c>
      <c r="Q36" s="73" t="n"/>
      <c r="R36" s="73">
        <f>IF($A16="","",R16*Q16)</f>
        <v/>
      </c>
      <c r="S36" s="73" t="n"/>
      <c r="T36" s="73">
        <f>IF($A16="","",T16*S16)</f>
        <v/>
      </c>
      <c r="U36" s="73" t="n"/>
      <c r="V36" s="73">
        <f>IF($A16="","",V16*U16)</f>
        <v/>
      </c>
      <c r="W36" s="73" t="n"/>
      <c r="X36" s="73">
        <f>IF($A16="","",X16*W16)</f>
        <v/>
      </c>
      <c r="Y36" s="73" t="n"/>
      <c r="Z36" s="73">
        <f>IF($A16="","",Z16*Y16)</f>
        <v/>
      </c>
      <c r="AA36" s="73" t="n"/>
      <c r="AB36" s="73">
        <f>IF($A16="","",AB16*AA16)</f>
        <v/>
      </c>
      <c r="AC36" s="73" t="n"/>
      <c r="AD36" s="73">
        <f>IF($A16="","",AD16*AC16)</f>
        <v/>
      </c>
      <c r="AE36" s="73" t="n"/>
      <c r="AF36" s="73">
        <f>IF($A16="","",AF16*AE16)</f>
        <v/>
      </c>
      <c r="AG36" s="73" t="n"/>
      <c r="AH36" s="73">
        <f>IF($A16="","",AH16*AG16)</f>
        <v/>
      </c>
      <c r="AI36" s="73" t="n"/>
      <c r="AJ36" s="73">
        <f>IF($A16="","",AJ16*AI16)</f>
        <v/>
      </c>
      <c r="AK36" s="73" t="n"/>
      <c r="AL36" s="73">
        <f>IF($A16="","",AL16*AK16)</f>
        <v/>
      </c>
    </row>
    <row r="37" hidden="1">
      <c r="F37" s="73">
        <f>IF($A17="","",F17*E17)</f>
        <v/>
      </c>
      <c r="G37" s="73" t="n"/>
      <c r="H37" s="73">
        <f>IF($A17="","",H17*G17)</f>
        <v/>
      </c>
      <c r="I37" s="73" t="n"/>
      <c r="J37" s="73">
        <f>IF($A17="","",J17*I17)</f>
        <v/>
      </c>
      <c r="K37" s="73" t="n"/>
      <c r="L37" s="73">
        <f>IF($A17="","",L17*K17)</f>
        <v/>
      </c>
      <c r="M37" s="73" t="n"/>
      <c r="N37" s="73">
        <f>IF($A17="","",N17*M17)</f>
        <v/>
      </c>
      <c r="O37" s="73" t="n"/>
      <c r="P37" s="73">
        <f>IF($A17="","",P17*O17)</f>
        <v/>
      </c>
      <c r="Q37" s="73" t="n"/>
      <c r="R37" s="73">
        <f>IF($A17="","",R17*Q17)</f>
        <v/>
      </c>
      <c r="S37" s="73" t="n"/>
      <c r="T37" s="73">
        <f>IF($A17="","",T17*S17)</f>
        <v/>
      </c>
      <c r="U37" s="73" t="n"/>
      <c r="V37" s="73">
        <f>IF($A17="","",V17*U17)</f>
        <v/>
      </c>
      <c r="W37" s="73" t="n"/>
      <c r="X37" s="73">
        <f>IF($A17="","",X17*W17)</f>
        <v/>
      </c>
      <c r="Y37" s="73" t="n"/>
      <c r="Z37" s="73">
        <f>IF($A17="","",Z17*Y17)</f>
        <v/>
      </c>
      <c r="AA37" s="73" t="n"/>
      <c r="AB37" s="73">
        <f>IF($A17="","",AB17*AA17)</f>
        <v/>
      </c>
      <c r="AC37" s="73" t="n"/>
      <c r="AD37" s="73">
        <f>IF($A17="","",AD17*AC17)</f>
        <v/>
      </c>
      <c r="AE37" s="73" t="n"/>
      <c r="AF37" s="73">
        <f>IF($A17="","",AF17*AE17)</f>
        <v/>
      </c>
      <c r="AG37" s="73" t="n"/>
      <c r="AH37" s="73">
        <f>IF($A17="","",AH17*AG17)</f>
        <v/>
      </c>
      <c r="AI37" s="73" t="n"/>
      <c r="AJ37" s="73">
        <f>IF($A17="","",AJ17*AI17)</f>
        <v/>
      </c>
      <c r="AK37" s="73" t="n"/>
      <c r="AL37" s="73">
        <f>IF($A17="","",AL17*AK17)</f>
        <v/>
      </c>
    </row>
    <row r="38" hidden="1">
      <c r="F38" s="73">
        <f>IF($A18="","",F18*E18)</f>
        <v/>
      </c>
      <c r="G38" s="73" t="n"/>
      <c r="H38" s="73">
        <f>IF($A18="","",H18*G18)</f>
        <v/>
      </c>
      <c r="I38" s="73" t="n"/>
      <c r="J38" s="73">
        <f>IF($A18="","",J18*I18)</f>
        <v/>
      </c>
      <c r="K38" s="73" t="n"/>
      <c r="L38" s="73">
        <f>IF($A18="","",L18*K18)</f>
        <v/>
      </c>
      <c r="M38" s="73" t="n"/>
      <c r="N38" s="73">
        <f>IF($A18="","",N18*M18)</f>
        <v/>
      </c>
      <c r="O38" s="73" t="n"/>
      <c r="P38" s="73">
        <f>IF($A18="","",P18*O18)</f>
        <v/>
      </c>
      <c r="Q38" s="73" t="n"/>
      <c r="R38" s="73">
        <f>IF($A18="","",R18*Q18)</f>
        <v/>
      </c>
      <c r="S38" s="73" t="n"/>
      <c r="T38" s="73">
        <f>IF($A18="","",T18*S18)</f>
        <v/>
      </c>
      <c r="U38" s="73" t="n"/>
      <c r="V38" s="73">
        <f>IF($A18="","",V18*U18)</f>
        <v/>
      </c>
      <c r="W38" s="73" t="n"/>
      <c r="X38" s="73">
        <f>IF($A18="","",X18*W18)</f>
        <v/>
      </c>
      <c r="Y38" s="73" t="n"/>
      <c r="Z38" s="73">
        <f>IF($A18="","",Z18*Y18)</f>
        <v/>
      </c>
      <c r="AA38" s="73" t="n"/>
      <c r="AB38" s="73">
        <f>IF($A18="","",AB18*AA18)</f>
        <v/>
      </c>
      <c r="AC38" s="73" t="n"/>
      <c r="AD38" s="73">
        <f>IF($A18="","",AD18*AC18)</f>
        <v/>
      </c>
      <c r="AE38" s="73" t="n"/>
      <c r="AF38" s="73">
        <f>IF($A18="","",AF18*AE18)</f>
        <v/>
      </c>
      <c r="AG38" s="73" t="n"/>
      <c r="AH38" s="73">
        <f>IF($A18="","",AH18*AG18)</f>
        <v/>
      </c>
      <c r="AI38" s="73" t="n"/>
      <c r="AJ38" s="73">
        <f>IF($A18="","",AJ18*AI18)</f>
        <v/>
      </c>
      <c r="AK38" s="73" t="n"/>
      <c r="AL38" s="73">
        <f>IF($A18="","",AL18*AK18)</f>
        <v/>
      </c>
    </row>
    <row r="39" hidden="1">
      <c r="F39" s="73">
        <f>IF($A19="","",F19*E19)</f>
        <v/>
      </c>
      <c r="G39" s="73" t="n"/>
      <c r="H39" s="73">
        <f>IF($A19="","",H19*G19)</f>
        <v/>
      </c>
      <c r="I39" s="73" t="n"/>
      <c r="J39" s="73">
        <f>IF($A19="","",J19*I19)</f>
        <v/>
      </c>
      <c r="K39" s="73" t="n"/>
      <c r="L39" s="73">
        <f>IF($A19="","",L19*K19)</f>
        <v/>
      </c>
      <c r="M39" s="73" t="n"/>
      <c r="N39" s="73">
        <f>IF($A19="","",N19*M19)</f>
        <v/>
      </c>
      <c r="O39" s="73" t="n"/>
      <c r="P39" s="73">
        <f>IF($A19="","",P19*O19)</f>
        <v/>
      </c>
      <c r="Q39" s="73" t="n"/>
      <c r="R39" s="73">
        <f>IF($A19="","",R19*Q19)</f>
        <v/>
      </c>
      <c r="S39" s="73" t="n"/>
      <c r="T39" s="73">
        <f>IF($A19="","",T19*S19)</f>
        <v/>
      </c>
      <c r="U39" s="73" t="n"/>
      <c r="V39" s="73">
        <f>IF($A19="","",V19*U19)</f>
        <v/>
      </c>
      <c r="W39" s="73" t="n"/>
      <c r="X39" s="73">
        <f>IF($A19="","",X19*W19)</f>
        <v/>
      </c>
      <c r="Y39" s="73" t="n"/>
      <c r="Z39" s="73">
        <f>IF($A19="","",Z19*Y19)</f>
        <v/>
      </c>
      <c r="AA39" s="73" t="n"/>
      <c r="AB39" s="73">
        <f>IF($A19="","",AB19*AA19)</f>
        <v/>
      </c>
      <c r="AC39" s="73" t="n"/>
      <c r="AD39" s="73">
        <f>IF($A19="","",AD19*AC19)</f>
        <v/>
      </c>
      <c r="AE39" s="73" t="n"/>
      <c r="AF39" s="73">
        <f>IF($A19="","",AF19*AE19)</f>
        <v/>
      </c>
      <c r="AG39" s="73" t="n"/>
      <c r="AH39" s="73">
        <f>IF($A19="","",AH19*AG19)</f>
        <v/>
      </c>
      <c r="AI39" s="73" t="n"/>
      <c r="AJ39" s="73">
        <f>IF($A19="","",AJ19*AI19)</f>
        <v/>
      </c>
      <c r="AK39" s="73" t="n"/>
      <c r="AL39" s="73">
        <f>IF($A19="","",AL19*AK19)</f>
        <v/>
      </c>
    </row>
    <row r="40" hidden="1">
      <c r="F40" s="73">
        <f>IF($A20="","",F20*E20)</f>
        <v/>
      </c>
      <c r="G40" s="73" t="n"/>
      <c r="H40" s="73">
        <f>IF($A20="","",H20*G20)</f>
        <v/>
      </c>
      <c r="I40" s="73" t="n"/>
      <c r="J40" s="73">
        <f>IF($A20="","",J20*I20)</f>
        <v/>
      </c>
      <c r="K40" s="73" t="n"/>
      <c r="L40" s="73">
        <f>IF($A20="","",L20*K20)</f>
        <v/>
      </c>
      <c r="M40" s="73" t="n"/>
      <c r="N40" s="73">
        <f>IF($A20="","",N20*M20)</f>
        <v/>
      </c>
      <c r="O40" s="73" t="n"/>
      <c r="P40" s="73">
        <f>IF($A20="","",P20*O20)</f>
        <v/>
      </c>
      <c r="Q40" s="73" t="n"/>
      <c r="R40" s="73">
        <f>IF($A20="","",R20*Q20)</f>
        <v/>
      </c>
      <c r="S40" s="73" t="n"/>
      <c r="T40" s="73">
        <f>IF($A20="","",T20*S20)</f>
        <v/>
      </c>
      <c r="U40" s="73" t="n"/>
      <c r="V40" s="73">
        <f>IF($A20="","",V20*U20)</f>
        <v/>
      </c>
      <c r="W40" s="73" t="n"/>
      <c r="X40" s="73">
        <f>IF($A20="","",X20*W20)</f>
        <v/>
      </c>
      <c r="Y40" s="73" t="n"/>
      <c r="Z40" s="73">
        <f>IF($A20="","",Z20*Y20)</f>
        <v/>
      </c>
      <c r="AA40" s="73" t="n"/>
      <c r="AB40" s="73">
        <f>IF($A20="","",AB20*AA20)</f>
        <v/>
      </c>
      <c r="AC40" s="73" t="n"/>
      <c r="AD40" s="73">
        <f>IF($A20="","",AD20*AC20)</f>
        <v/>
      </c>
      <c r="AE40" s="73" t="n"/>
      <c r="AF40" s="73">
        <f>IF($A20="","",AF20*AE20)</f>
        <v/>
      </c>
      <c r="AG40" s="73" t="n"/>
      <c r="AH40" s="73">
        <f>IF($A20="","",AH20*AG20)</f>
        <v/>
      </c>
      <c r="AI40" s="73" t="n"/>
      <c r="AJ40" s="73">
        <f>IF($A20="","",AJ20*AI20)</f>
        <v/>
      </c>
      <c r="AK40" s="73" t="n"/>
      <c r="AL40" s="73">
        <f>IF($A20="","",AL20*AK20)</f>
        <v/>
      </c>
    </row>
    <row r="41" hidden="1">
      <c r="F41" s="73">
        <f>IF($A21="","",F21*E21)</f>
        <v/>
      </c>
      <c r="G41" s="73" t="n"/>
      <c r="H41" s="73">
        <f>IF($A21="","",H21*G21)</f>
        <v/>
      </c>
      <c r="I41" s="73" t="n"/>
      <c r="J41" s="73">
        <f>IF($A21="","",J21*I21)</f>
        <v/>
      </c>
      <c r="K41" s="73" t="n"/>
      <c r="L41" s="73">
        <f>IF($A21="","",L21*K21)</f>
        <v/>
      </c>
      <c r="M41" s="73" t="n"/>
      <c r="N41" s="73">
        <f>IF($A21="","",N21*M21)</f>
        <v/>
      </c>
      <c r="O41" s="73" t="n"/>
      <c r="P41" s="73">
        <f>IF($A21="","",P21*O21)</f>
        <v/>
      </c>
      <c r="Q41" s="73" t="n"/>
      <c r="R41" s="73">
        <f>IF($A21="","",R21*Q21)</f>
        <v/>
      </c>
      <c r="S41" s="73" t="n"/>
      <c r="T41" s="73">
        <f>IF($A21="","",T21*S21)</f>
        <v/>
      </c>
      <c r="U41" s="73" t="n"/>
      <c r="V41" s="73">
        <f>IF($A21="","",V21*U21)</f>
        <v/>
      </c>
      <c r="W41" s="73" t="n"/>
      <c r="X41" s="73">
        <f>IF($A21="","",X21*W21)</f>
        <v/>
      </c>
      <c r="Y41" s="73" t="n"/>
      <c r="Z41" s="73">
        <f>IF($A21="","",Z21*Y21)</f>
        <v/>
      </c>
      <c r="AA41" s="73" t="n"/>
      <c r="AB41" s="73">
        <f>IF($A21="","",AB21*AA21)</f>
        <v/>
      </c>
      <c r="AC41" s="73" t="n"/>
      <c r="AD41" s="73">
        <f>IF($A21="","",AD21*AC21)</f>
        <v/>
      </c>
      <c r="AE41" s="73" t="n"/>
      <c r="AF41" s="73">
        <f>IF($A21="","",AF21*AE21)</f>
        <v/>
      </c>
      <c r="AG41" s="73" t="n"/>
      <c r="AH41" s="73">
        <f>IF($A21="","",AH21*AG21)</f>
        <v/>
      </c>
      <c r="AI41" s="73" t="n"/>
      <c r="AJ41" s="73">
        <f>IF($A21="","",AJ21*AI21)</f>
        <v/>
      </c>
      <c r="AK41" s="73" t="n"/>
      <c r="AL41" s="73">
        <f>IF($A21="","",AL21*AK21)</f>
        <v/>
      </c>
    </row>
    <row r="42" hidden="1">
      <c r="F42" s="73">
        <f>IF($A22="","",F22*E22)</f>
        <v/>
      </c>
      <c r="G42" s="73" t="n"/>
      <c r="H42" s="73">
        <f>IF($A22="","",H22*G22)</f>
        <v/>
      </c>
      <c r="I42" s="73" t="n"/>
      <c r="J42" s="73">
        <f>IF($A22="","",J22*I22)</f>
        <v/>
      </c>
      <c r="K42" s="73" t="n"/>
      <c r="L42" s="73">
        <f>IF($A22="","",L22*K22)</f>
        <v/>
      </c>
      <c r="M42" s="73" t="n"/>
      <c r="N42" s="73">
        <f>IF($A22="","",N22*M22)</f>
        <v/>
      </c>
      <c r="O42" s="73" t="n"/>
      <c r="P42" s="73">
        <f>IF($A22="","",P22*O22)</f>
        <v/>
      </c>
      <c r="Q42" s="73" t="n"/>
      <c r="R42" s="73">
        <f>IF($A22="","",R22*Q22)</f>
        <v/>
      </c>
      <c r="S42" s="73" t="n"/>
      <c r="T42" s="73">
        <f>IF($A22="","",T22*S22)</f>
        <v/>
      </c>
      <c r="U42" s="73" t="n"/>
      <c r="V42" s="73">
        <f>IF($A22="","",V22*U22)</f>
        <v/>
      </c>
      <c r="W42" s="73" t="n"/>
      <c r="X42" s="73">
        <f>IF($A22="","",X22*W22)</f>
        <v/>
      </c>
      <c r="Y42" s="73" t="n"/>
      <c r="Z42" s="73">
        <f>IF($A22="","",Z22*Y22)</f>
        <v/>
      </c>
      <c r="AA42" s="73" t="n"/>
      <c r="AB42" s="73">
        <f>IF($A22="","",AB22*AA22)</f>
        <v/>
      </c>
      <c r="AC42" s="73" t="n"/>
      <c r="AD42" s="73">
        <f>IF($A22="","",AD22*AC22)</f>
        <v/>
      </c>
      <c r="AE42" s="73" t="n"/>
      <c r="AF42" s="73">
        <f>IF($A22="","",AF22*AE22)</f>
        <v/>
      </c>
      <c r="AG42" s="73" t="n"/>
      <c r="AH42" s="73">
        <f>IF($A22="","",AH22*AG22)</f>
        <v/>
      </c>
      <c r="AI42" s="73" t="n"/>
      <c r="AJ42" s="73">
        <f>IF($A22="","",AJ22*AI22)</f>
        <v/>
      </c>
      <c r="AK42" s="73" t="n"/>
      <c r="AL42" s="73">
        <f>IF($A22="","",AL22*AK22)</f>
        <v/>
      </c>
    </row>
    <row r="43" hidden="1">
      <c r="F43" s="73">
        <f>IF($A23="","",F23*E23)</f>
        <v/>
      </c>
      <c r="G43" s="73" t="n"/>
      <c r="H43" s="73">
        <f>IF($A23="","",H23*G23)</f>
        <v/>
      </c>
      <c r="I43" s="73" t="n"/>
      <c r="J43" s="73">
        <f>IF($A23="","",J23*I23)</f>
        <v/>
      </c>
      <c r="K43" s="73" t="n"/>
      <c r="L43" s="73">
        <f>IF($A23="","",L23*K23)</f>
        <v/>
      </c>
      <c r="M43" s="73" t="n"/>
      <c r="N43" s="73">
        <f>IF($A23="","",N23*M23)</f>
        <v/>
      </c>
      <c r="O43" s="73" t="n"/>
      <c r="P43" s="73">
        <f>IF($A23="","",P23*O23)</f>
        <v/>
      </c>
      <c r="Q43" s="73" t="n"/>
      <c r="R43" s="73">
        <f>IF($A23="","",R23*Q23)</f>
        <v/>
      </c>
      <c r="S43" s="73" t="n"/>
      <c r="T43" s="73">
        <f>IF($A23="","",T23*S23)</f>
        <v/>
      </c>
      <c r="U43" s="73" t="n"/>
      <c r="V43" s="73">
        <f>IF($A23="","",V23*U23)</f>
        <v/>
      </c>
      <c r="W43" s="73" t="n"/>
      <c r="X43" s="73">
        <f>IF($A23="","",X23*W23)</f>
        <v/>
      </c>
      <c r="Y43" s="73" t="n"/>
      <c r="Z43" s="73">
        <f>IF($A23="","",Z23*Y23)</f>
        <v/>
      </c>
      <c r="AA43" s="73" t="n"/>
      <c r="AB43" s="73">
        <f>IF($A23="","",AB23*AA23)</f>
        <v/>
      </c>
      <c r="AC43" s="73" t="n"/>
      <c r="AD43" s="73">
        <f>IF($A23="","",AD23*AC23)</f>
        <v/>
      </c>
      <c r="AE43" s="73" t="n"/>
      <c r="AF43" s="73">
        <f>IF($A23="","",AF23*AE23)</f>
        <v/>
      </c>
      <c r="AG43" s="73" t="n"/>
      <c r="AH43" s="73">
        <f>IF($A23="","",AH23*AG23)</f>
        <v/>
      </c>
      <c r="AI43" s="73" t="n"/>
      <c r="AJ43" s="73">
        <f>IF($A23="","",AJ23*AI23)</f>
        <v/>
      </c>
      <c r="AK43" s="73" t="n"/>
      <c r="AL43" s="73">
        <f>IF($A23="","",AL23*AK23)</f>
        <v/>
      </c>
    </row>
    <row r="44" hidden="1">
      <c r="F44" s="73">
        <f>IF($A24="","",F24*E24)</f>
        <v/>
      </c>
      <c r="G44" s="73" t="n"/>
      <c r="H44" s="73">
        <f>IF($A24="","",H24*G24)</f>
        <v/>
      </c>
      <c r="I44" s="73" t="n"/>
      <c r="J44" s="73">
        <f>IF($A24="","",J24*I24)</f>
        <v/>
      </c>
      <c r="K44" s="73" t="n"/>
      <c r="L44" s="73">
        <f>IF($A24="","",L24*K24)</f>
        <v/>
      </c>
      <c r="M44" s="73" t="n"/>
      <c r="N44" s="73">
        <f>IF($A24="","",N24*M24)</f>
        <v/>
      </c>
      <c r="O44" s="73" t="n"/>
      <c r="P44" s="73">
        <f>IF($A24="","",P24*O24)</f>
        <v/>
      </c>
      <c r="Q44" s="73" t="n"/>
      <c r="R44" s="73">
        <f>IF($A24="","",R24*Q24)</f>
        <v/>
      </c>
      <c r="S44" s="73" t="n"/>
      <c r="T44" s="73">
        <f>IF($A24="","",T24*S24)</f>
        <v/>
      </c>
      <c r="U44" s="73" t="n"/>
      <c r="V44" s="73">
        <f>IF($A24="","",V24*U24)</f>
        <v/>
      </c>
      <c r="W44" s="73" t="n"/>
      <c r="X44" s="73">
        <f>IF($A24="","",X24*W24)</f>
        <v/>
      </c>
      <c r="Y44" s="73" t="n"/>
      <c r="Z44" s="73">
        <f>IF($A24="","",Z24*Y24)</f>
        <v/>
      </c>
      <c r="AA44" s="73" t="n"/>
      <c r="AB44" s="73">
        <f>IF($A24="","",AB24*AA24)</f>
        <v/>
      </c>
      <c r="AC44" s="73" t="n"/>
      <c r="AD44" s="73">
        <f>IF($A24="","",AD24*AC24)</f>
        <v/>
      </c>
      <c r="AE44" s="73" t="n"/>
      <c r="AF44" s="73">
        <f>IF($A24="","",AF24*AE24)</f>
        <v/>
      </c>
      <c r="AG44" s="73" t="n"/>
      <c r="AH44" s="73">
        <f>IF($A24="","",AH24*AG24)</f>
        <v/>
      </c>
      <c r="AI44" s="73" t="n"/>
      <c r="AJ44" s="73">
        <f>IF($A24="","",AJ24*AI24)</f>
        <v/>
      </c>
      <c r="AK44" s="73" t="n"/>
      <c r="AL44" s="73">
        <f>IF($A24="","",AL24*AK24)</f>
        <v/>
      </c>
    </row>
    <row r="45" hidden="1">
      <c r="F45" s="73">
        <f>IF($A25="","",F25*E25)</f>
        <v/>
      </c>
      <c r="G45" s="73" t="n"/>
      <c r="H45" s="73">
        <f>IF($A25="","",H25*G25)</f>
        <v/>
      </c>
      <c r="I45" s="73" t="n"/>
      <c r="J45" s="73">
        <f>IF($A25="","",J25*I25)</f>
        <v/>
      </c>
      <c r="K45" s="73" t="n"/>
      <c r="L45" s="73">
        <f>IF($A25="","",L25*K25)</f>
        <v/>
      </c>
      <c r="M45" s="73" t="n"/>
      <c r="N45" s="73">
        <f>IF($A25="","",N25*M25)</f>
        <v/>
      </c>
      <c r="O45" s="73" t="n"/>
      <c r="P45" s="73">
        <f>IF($A25="","",P25*O25)</f>
        <v/>
      </c>
      <c r="Q45" s="73" t="n"/>
      <c r="R45" s="73">
        <f>IF($A25="","",R25*Q25)</f>
        <v/>
      </c>
      <c r="S45" s="73" t="n"/>
      <c r="T45" s="73">
        <f>IF($A25="","",T25*S25)</f>
        <v/>
      </c>
      <c r="U45" s="73" t="n"/>
      <c r="V45" s="73">
        <f>IF($A25="","",V25*U25)</f>
        <v/>
      </c>
      <c r="W45" s="73" t="n"/>
      <c r="X45" s="73">
        <f>IF($A25="","",X25*W25)</f>
        <v/>
      </c>
      <c r="Y45" s="73" t="n"/>
      <c r="Z45" s="73">
        <f>IF($A25="","",Z25*Y25)</f>
        <v/>
      </c>
      <c r="AA45" s="73" t="n"/>
      <c r="AB45" s="73">
        <f>IF($A25="","",AB25*AA25)</f>
        <v/>
      </c>
      <c r="AC45" s="73" t="n"/>
      <c r="AD45" s="73">
        <f>IF($A25="","",AD25*AC25)</f>
        <v/>
      </c>
      <c r="AE45" s="73" t="n"/>
      <c r="AF45" s="73">
        <f>IF($A25="","",AF25*AE25)</f>
        <v/>
      </c>
      <c r="AG45" s="73" t="n"/>
      <c r="AH45" s="73">
        <f>IF($A25="","",AH25*AG25)</f>
        <v/>
      </c>
      <c r="AI45" s="73" t="n"/>
      <c r="AJ45" s="73">
        <f>IF($A25="","",AJ25*AI25)</f>
        <v/>
      </c>
      <c r="AK45" s="73" t="n"/>
      <c r="AL45" s="73">
        <f>IF($A25="","",AL25*AK25)</f>
        <v/>
      </c>
    </row>
    <row r="46" hidden="1">
      <c r="F46" s="73">
        <f>IF($A26="","",F26*E26)</f>
        <v/>
      </c>
      <c r="G46" s="73" t="n"/>
      <c r="H46" s="73">
        <f>IF($A26="","",H26*G26)</f>
        <v/>
      </c>
      <c r="I46" s="73" t="n"/>
      <c r="J46" s="73">
        <f>IF($A26="","",J26*I26)</f>
        <v/>
      </c>
      <c r="K46" s="73" t="n"/>
      <c r="L46" s="73">
        <f>IF($A26="","",L26*K26)</f>
        <v/>
      </c>
      <c r="M46" s="73" t="n"/>
      <c r="N46" s="73">
        <f>IF($A26="","",N26*M26)</f>
        <v/>
      </c>
      <c r="O46" s="73" t="n"/>
      <c r="P46" s="73">
        <f>IF($A26="","",P26*O26)</f>
        <v/>
      </c>
      <c r="Q46" s="73" t="n"/>
      <c r="R46" s="73">
        <f>IF($A26="","",R26*Q26)</f>
        <v/>
      </c>
      <c r="S46" s="73" t="n"/>
      <c r="T46" s="73">
        <f>IF($A26="","",T26*S26)</f>
        <v/>
      </c>
      <c r="U46" s="73" t="n"/>
      <c r="V46" s="73">
        <f>IF($A26="","",V26*U26)</f>
        <v/>
      </c>
      <c r="W46" s="73" t="n"/>
      <c r="X46" s="73">
        <f>IF($A26="","",X26*W26)</f>
        <v/>
      </c>
      <c r="Y46" s="73" t="n"/>
      <c r="Z46" s="73">
        <f>IF($A26="","",Z26*Y26)</f>
        <v/>
      </c>
      <c r="AA46" s="73" t="n"/>
      <c r="AB46" s="73">
        <f>IF($A26="","",AB26*AA26)</f>
        <v/>
      </c>
      <c r="AC46" s="73" t="n"/>
      <c r="AD46" s="73">
        <f>IF($A26="","",AD26*AC26)</f>
        <v/>
      </c>
      <c r="AE46" s="73" t="n"/>
      <c r="AF46" s="73">
        <f>IF($A26="","",AF26*AE26)</f>
        <v/>
      </c>
      <c r="AG46" s="73" t="n"/>
      <c r="AH46" s="73">
        <f>IF($A26="","",AH26*AG26)</f>
        <v/>
      </c>
      <c r="AI46" s="73" t="n"/>
      <c r="AJ46" s="73">
        <f>IF($A26="","",AJ26*AI26)</f>
        <v/>
      </c>
      <c r="AK46" s="73" t="n"/>
      <c r="AL46" s="73">
        <f>IF($A26="","",AL26*AK26)</f>
        <v/>
      </c>
    </row>
    <row r="47" hidden="1">
      <c r="F47" s="73">
        <f>IF($A27="","",F27*E27)</f>
        <v/>
      </c>
      <c r="G47" s="73" t="n"/>
      <c r="H47" s="73">
        <f>IF($A27="","",H27*G27)</f>
        <v/>
      </c>
      <c r="I47" s="73" t="n"/>
      <c r="J47" s="73">
        <f>IF($A27="","",J27*I27)</f>
        <v/>
      </c>
      <c r="K47" s="73" t="n"/>
      <c r="L47" s="73">
        <f>IF($A27="","",L27*K27)</f>
        <v/>
      </c>
      <c r="M47" s="73" t="n"/>
      <c r="N47" s="73">
        <f>IF($A27="","",N27*M27)</f>
        <v/>
      </c>
      <c r="O47" s="73" t="n"/>
      <c r="P47" s="73">
        <f>IF($A27="","",P27*O27)</f>
        <v/>
      </c>
      <c r="Q47" s="73" t="n"/>
      <c r="R47" s="73">
        <f>IF($A27="","",R27*Q27)</f>
        <v/>
      </c>
      <c r="S47" s="73" t="n"/>
      <c r="T47" s="73">
        <f>IF($A27="","",T27*S27)</f>
        <v/>
      </c>
      <c r="U47" s="73" t="n"/>
      <c r="V47" s="73">
        <f>IF($A27="","",V27*U27)</f>
        <v/>
      </c>
      <c r="W47" s="73" t="n"/>
      <c r="X47" s="73">
        <f>IF($A27="","",X27*W27)</f>
        <v/>
      </c>
      <c r="Y47" s="73" t="n"/>
      <c r="Z47" s="73">
        <f>IF($A27="","",Z27*Y27)</f>
        <v/>
      </c>
      <c r="AA47" s="73" t="n"/>
      <c r="AB47" s="73">
        <f>IF($A27="","",AB27*AA27)</f>
        <v/>
      </c>
      <c r="AC47" s="73" t="n"/>
      <c r="AD47" s="73">
        <f>IF($A27="","",AD27*AC27)</f>
        <v/>
      </c>
      <c r="AE47" s="73" t="n"/>
      <c r="AF47" s="73">
        <f>IF($A27="","",AF27*AE27)</f>
        <v/>
      </c>
      <c r="AG47" s="73" t="n"/>
      <c r="AH47" s="73">
        <f>IF($A27="","",AH27*AG27)</f>
        <v/>
      </c>
      <c r="AI47" s="73" t="n"/>
      <c r="AJ47" s="73">
        <f>IF($A27="","",AJ27*AI27)</f>
        <v/>
      </c>
      <c r="AK47" s="73" t="n"/>
      <c r="AL47" s="73">
        <f>IF($A27="","",AL27*AK27)</f>
        <v/>
      </c>
    </row>
    <row r="48" hidden="1">
      <c r="F48" s="73">
        <f>IF($A28="","",F28*E28)</f>
        <v/>
      </c>
      <c r="G48" s="73" t="n"/>
      <c r="H48" s="73">
        <f>IF($A28="","",H28*G28)</f>
        <v/>
      </c>
      <c r="I48" s="73" t="n"/>
      <c r="J48" s="73">
        <f>IF($A28="","",J28*I28)</f>
        <v/>
      </c>
      <c r="K48" s="73" t="n"/>
      <c r="L48" s="73">
        <f>IF($A28="","",L28*K28)</f>
        <v/>
      </c>
      <c r="M48" s="73" t="n"/>
      <c r="N48" s="73">
        <f>IF($A28="","",N28*M28)</f>
        <v/>
      </c>
      <c r="O48" s="73" t="n"/>
      <c r="P48" s="73">
        <f>IF($A28="","",P28*O28)</f>
        <v/>
      </c>
      <c r="Q48" s="73" t="n"/>
      <c r="R48" s="73">
        <f>IF($A28="","",R28*Q28)</f>
        <v/>
      </c>
      <c r="S48" s="73" t="n"/>
      <c r="T48" s="73">
        <f>IF($A28="","",T28*S28)</f>
        <v/>
      </c>
      <c r="U48" s="73" t="n"/>
      <c r="V48" s="73">
        <f>IF($A28="","",V28*U28)</f>
        <v/>
      </c>
      <c r="W48" s="73" t="n"/>
      <c r="X48" s="73">
        <f>IF($A28="","",X28*W28)</f>
        <v/>
      </c>
      <c r="Y48" s="73" t="n"/>
      <c r="Z48" s="73">
        <f>IF($A28="","",Z28*Y28)</f>
        <v/>
      </c>
      <c r="AA48" s="73" t="n"/>
      <c r="AB48" s="73">
        <f>IF($A28="","",AB28*AA28)</f>
        <v/>
      </c>
      <c r="AC48" s="73" t="n"/>
      <c r="AD48" s="73">
        <f>IF($A28="","",AD28*AC28)</f>
        <v/>
      </c>
      <c r="AE48" s="73" t="n"/>
      <c r="AF48" s="73">
        <f>IF($A28="","",AF28*AE28)</f>
        <v/>
      </c>
      <c r="AG48" s="73" t="n"/>
      <c r="AH48" s="73">
        <f>IF($A28="","",AH28*AG28)</f>
        <v/>
      </c>
      <c r="AI48" s="73" t="n"/>
      <c r="AJ48" s="73">
        <f>IF($A28="","",AJ28*AI28)</f>
        <v/>
      </c>
      <c r="AK48" s="73" t="n"/>
      <c r="AL48" s="73">
        <f>IF($A28="","",AL28*AK28)</f>
        <v/>
      </c>
    </row>
    <row r="49" hidden="1">
      <c r="F49" s="74">
        <f>SUMIF(F31:F48,"&gt;0")</f>
        <v/>
      </c>
      <c r="H49" s="74">
        <f>SUMIF(H31:H48,"&gt;0")</f>
        <v/>
      </c>
      <c r="I49" s="74" t="n"/>
      <c r="J49" s="74">
        <f>SUMIF(J31:J48,"&gt;0")</f>
        <v/>
      </c>
      <c r="K49" s="74" t="n"/>
      <c r="L49" s="74">
        <f>SUMIF(L31:L48,"&gt;0")</f>
        <v/>
      </c>
      <c r="M49" s="74" t="n"/>
      <c r="N49" s="74">
        <f>SUMIF(N31:N48,"&gt;0")</f>
        <v/>
      </c>
      <c r="P49" s="74">
        <f>SUMIF(P31:P48,"&gt;0")</f>
        <v/>
      </c>
      <c r="Q49" s="74" t="n"/>
      <c r="R49" s="74">
        <f>SUMIF(R31:R48,"&gt;0")</f>
        <v/>
      </c>
      <c r="T49" s="74">
        <f>SUMIF(T31:T48,"&gt;0")</f>
        <v/>
      </c>
      <c r="U49" s="74" t="n"/>
      <c r="V49" s="74">
        <f>SUMIF(V31:V48,"&gt;0")</f>
        <v/>
      </c>
      <c r="X49" s="74">
        <f>SUMIF(X31:X48,"&gt;0")</f>
        <v/>
      </c>
      <c r="Y49" s="74" t="n"/>
      <c r="Z49" s="74">
        <f>SUMIF(Z31:Z48,"&gt;0")</f>
        <v/>
      </c>
      <c r="AA49" s="74" t="n"/>
      <c r="AB49" s="74">
        <f>SUMIF(AB31:AB48,"&gt;0")</f>
        <v/>
      </c>
      <c r="AD49" s="74">
        <f>SUMIF(AD31:AD48,"&gt;0")</f>
        <v/>
      </c>
      <c r="AE49" s="74" t="n"/>
      <c r="AF49" s="74">
        <f>SUMIF(AF31:AF48,"&gt;0")</f>
        <v/>
      </c>
      <c r="AG49" s="74" t="n"/>
      <c r="AH49" s="74">
        <f>SUMIF(AH31:AH48,"&gt;0")</f>
        <v/>
      </c>
      <c r="AI49" s="74" t="n"/>
      <c r="AJ49" s="74">
        <f>SUMIF(AJ31:AJ48,"&gt;0")</f>
        <v/>
      </c>
      <c r="AK49" s="74" t="n"/>
      <c r="AL49" s="74">
        <f>SUMIF(AL31:AL48,"&gt;0")</f>
        <v/>
      </c>
    </row>
    <row r="52">
      <c r="A52" s="75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</row>
    <row r="53">
      <c r="A53" s="77" t="inlineStr">
        <is>
          <t>#</t>
        </is>
      </c>
      <c r="B53" s="77" t="inlineStr">
        <is>
          <t>โปรไฟล์</t>
        </is>
      </c>
      <c r="C53" s="77" t="inlineStr">
        <is>
          <t>รหัส</t>
        </is>
      </c>
      <c r="D53" s="77" t="inlineStr">
        <is>
          <t>สูตรตัด (เดิม)</t>
        </is>
      </c>
      <c r="E53" s="77" t="inlineStr">
        <is>
          <t>หัก1</t>
        </is>
      </c>
      <c r="F53" s="77" t="inlineStr">
        <is>
          <t>หัก2</t>
        </is>
      </c>
      <c r="G53" s="77" t="inlineStr">
        <is>
          <t>หัก3</t>
        </is>
      </c>
      <c r="H53" s="77" t="inlineStr">
        <is>
          <t>หัก4</t>
        </is>
      </c>
      <c r="I53" s="77" t="inlineStr">
        <is>
          <t>หัก5</t>
        </is>
      </c>
      <c r="J53" s="77" t="inlineStr">
        <is>
          <t>หัก6</t>
        </is>
      </c>
      <c r="K53" s="77" t="inlineStr">
        <is>
          <t>หัก7</t>
        </is>
      </c>
      <c r="L53" s="77" t="inlineStr">
        <is>
          <t>จำนวน/ชุด</t>
        </is>
      </c>
      <c r="M53" s="122" t="n"/>
    </row>
    <row r="54" ht="44" customHeight="1">
      <c r="A54" s="78" t="n">
        <v>1</v>
      </c>
      <c r="B54" s="79" t="inlineStr">
        <is>
          <t>เฟรมข้าง</t>
        </is>
      </c>
      <c r="C54" s="80" t="inlineStr">
        <is>
          <t>F7978</t>
        </is>
      </c>
      <c r="D54" s="81" t="inlineStr">
        <is>
          <t>สูง</t>
        </is>
      </c>
      <c r="E54" s="82" t="n"/>
      <c r="F54" s="82" t="n"/>
      <c r="G54" s="82" t="n"/>
      <c r="H54" s="82" t="n"/>
      <c r="I54" s="82" t="n"/>
      <c r="J54" s="82" t="n"/>
      <c r="K54" s="82" t="n"/>
      <c r="L54" s="83" t="n">
        <v>2</v>
      </c>
      <c r="M54" s="82" t="n"/>
    </row>
    <row r="55" ht="44" customHeight="1">
      <c r="A55" s="78" t="n">
        <v>2</v>
      </c>
      <c r="B55" s="79" t="inlineStr">
        <is>
          <t>เฟรม บน-ล่าง</t>
        </is>
      </c>
      <c r="C55" s="80" t="inlineStr">
        <is>
          <t>F7976</t>
        </is>
      </c>
      <c r="D55" s="81" t="inlineStr">
        <is>
          <t>กว้าง-21-21</t>
        </is>
      </c>
      <c r="E55" s="83" t="n">
        <v>21</v>
      </c>
      <c r="F55" s="83" t="n">
        <v>21</v>
      </c>
      <c r="G55" s="82" t="n"/>
      <c r="H55" s="82" t="n"/>
      <c r="I55" s="82" t="n"/>
      <c r="J55" s="82" t="n"/>
      <c r="K55" s="82" t="n"/>
      <c r="L55" s="83" t="n">
        <v>2</v>
      </c>
      <c r="M55" s="82" t="n"/>
    </row>
    <row r="56" ht="44" customHeight="1">
      <c r="A56" s="78" t="n">
        <v>3</v>
      </c>
      <c r="B56" s="79" t="inlineStr">
        <is>
          <t>ตบกันสาด</t>
        </is>
      </c>
      <c r="C56" s="80" t="inlineStr">
        <is>
          <t>F7992</t>
        </is>
      </c>
      <c r="D56" s="81" t="inlineStr">
        <is>
          <t>กว้าง</t>
        </is>
      </c>
      <c r="E56" s="82" t="n"/>
      <c r="F56" s="82" t="n"/>
      <c r="G56" s="82" t="n"/>
      <c r="H56" s="82" t="n"/>
      <c r="I56" s="82" t="n"/>
      <c r="J56" s="82" t="n"/>
      <c r="K56" s="82" t="n"/>
      <c r="L56" s="83" t="n">
        <v>1</v>
      </c>
      <c r="M56" s="82" t="n"/>
    </row>
    <row r="57" ht="44" customHeight="1">
      <c r="A57" s="78" t="n">
        <v>4</v>
      </c>
      <c r="B57" s="79" t="inlineStr">
        <is>
          <t>เสา</t>
        </is>
      </c>
      <c r="C57" s="80" t="inlineStr">
        <is>
          <t>F7980</t>
        </is>
      </c>
      <c r="D57" s="81" t="inlineStr">
        <is>
          <t>สูง-21-19-13-21</t>
        </is>
      </c>
      <c r="E57" s="83" t="n">
        <v>21</v>
      </c>
      <c r="F57" s="83" t="n">
        <v>19</v>
      </c>
      <c r="G57" s="83" t="n">
        <v>13</v>
      </c>
      <c r="H57" s="83" t="n">
        <v>21</v>
      </c>
      <c r="I57" s="82" t="n"/>
      <c r="J57" s="82" t="n"/>
      <c r="K57" s="82" t="n"/>
      <c r="L57" s="83" t="n">
        <v>6</v>
      </c>
      <c r="M57" s="82" t="n"/>
    </row>
    <row r="58" ht="15" customHeight="1">
      <c r="A58" s="78" t="n">
        <v>5</v>
      </c>
      <c r="B58" s="79" t="inlineStr">
        <is>
          <t>ขวาง</t>
        </is>
      </c>
      <c r="C58" s="80" t="inlineStr">
        <is>
          <t>-</t>
        </is>
      </c>
      <c r="D58" s="81" t="inlineStr">
        <is>
          <t>((กว้าง-21-3-1.2-3-21)/2)+(78x2)+3</t>
        </is>
      </c>
      <c r="E58" s="83" t="n">
        <v>21</v>
      </c>
      <c r="F58" s="83" t="n">
        <v>3</v>
      </c>
      <c r="G58" s="83" t="n">
        <v>1.2</v>
      </c>
      <c r="H58" s="83" t="n">
        <v>3</v>
      </c>
      <c r="I58" s="83" t="n">
        <v>21</v>
      </c>
      <c r="J58" s="83" t="n">
        <v>3</v>
      </c>
      <c r="K58" s="82" t="n"/>
      <c r="L58" s="83" t="n">
        <v>6</v>
      </c>
      <c r="M58" s="82" t="n"/>
    </row>
    <row r="59" ht="44" customHeight="1">
      <c r="A59" s="78" t="n">
        <v>6</v>
      </c>
      <c r="B59" s="79" t="inlineStr">
        <is>
          <t>คิ้ว ตั้ง</t>
        </is>
      </c>
      <c r="C59" s="80" t="inlineStr">
        <is>
          <t>F7919</t>
        </is>
      </c>
      <c r="D59" s="81" t="inlineStr">
        <is>
          <t>เสา-78-78</t>
        </is>
      </c>
      <c r="E59" s="83" t="n">
        <v>78</v>
      </c>
      <c r="F59" s="83" t="n">
        <v>78</v>
      </c>
      <c r="G59" s="82" t="n"/>
      <c r="H59" s="82" t="n"/>
      <c r="I59" s="82" t="n"/>
      <c r="J59" s="82" t="n"/>
      <c r="K59" s="82" t="n"/>
      <c r="L59" s="83" t="n">
        <v>6</v>
      </c>
      <c r="M59" s="82" t="n"/>
    </row>
    <row r="60" ht="15" customHeight="1">
      <c r="A60" s="78" t="n">
        <v>7</v>
      </c>
      <c r="B60" s="79" t="inlineStr">
        <is>
          <t>คิ้ว ขวาง</t>
        </is>
      </c>
      <c r="C60" s="80" t="inlineStr">
        <is>
          <t>-</t>
        </is>
      </c>
      <c r="D60" s="81" t="inlineStr">
        <is>
          <t>ขวาง-63-63</t>
        </is>
      </c>
      <c r="E60" s="83" t="n">
        <v>63</v>
      </c>
      <c r="F60" s="83" t="n">
        <v>63</v>
      </c>
      <c r="G60" s="83" t="n">
        <v>3</v>
      </c>
      <c r="H60" s="82" t="n"/>
      <c r="I60" s="82" t="n"/>
      <c r="J60" s="82" t="n"/>
      <c r="K60" s="82" t="n"/>
      <c r="L60" s="83" t="n">
        <v>6</v>
      </c>
      <c r="M60" s="82" t="n"/>
    </row>
    <row r="61" ht="44" customHeight="1">
      <c r="A61" s="78" t="n">
        <v>8</v>
      </c>
      <c r="B61" s="79" t="inlineStr">
        <is>
          <t>คิ้ว ตั้ง</t>
        </is>
      </c>
      <c r="C61" s="80" t="inlineStr">
        <is>
          <t>F7987</t>
        </is>
      </c>
      <c r="D61" s="81" t="inlineStr">
        <is>
          <t>เสา-78-78</t>
        </is>
      </c>
      <c r="E61" s="83" t="n">
        <v>78</v>
      </c>
      <c r="F61" s="83" t="n">
        <v>78</v>
      </c>
      <c r="G61" s="82" t="n"/>
      <c r="H61" s="82" t="n"/>
      <c r="I61" s="82" t="n"/>
      <c r="J61" s="82" t="n"/>
      <c r="K61" s="82" t="n"/>
      <c r="L61" s="83" t="n">
        <v>2</v>
      </c>
      <c r="M61" s="82" t="n"/>
    </row>
    <row r="62" ht="15" customHeight="1">
      <c r="A62" s="78" t="n">
        <v>9</v>
      </c>
      <c r="B62" s="79" t="inlineStr">
        <is>
          <t>คิ้ว ขวาง</t>
        </is>
      </c>
      <c r="C62" s="80" t="inlineStr">
        <is>
          <t>-</t>
        </is>
      </c>
      <c r="D62" s="81" t="inlineStr">
        <is>
          <t>ขวาง-63-63</t>
        </is>
      </c>
      <c r="E62" s="83" t="n">
        <v>63</v>
      </c>
      <c r="F62" s="83" t="n">
        <v>63</v>
      </c>
      <c r="G62" s="83" t="n">
        <v>3</v>
      </c>
      <c r="H62" s="82" t="n"/>
      <c r="I62" s="82" t="n"/>
      <c r="J62" s="82" t="n"/>
      <c r="K62" s="82" t="n"/>
      <c r="L62" s="83" t="n">
        <v>2</v>
      </c>
      <c r="M62" s="82" t="n"/>
    </row>
    <row r="63" ht="44" customHeight="1">
      <c r="A63" s="78" t="n">
        <v>10</v>
      </c>
      <c r="B63" s="79" t="inlineStr">
        <is>
          <t>ต่อราง</t>
        </is>
      </c>
      <c r="C63" s="80" t="inlineStr">
        <is>
          <t>F7985</t>
        </is>
      </c>
      <c r="D63" s="81" t="inlineStr">
        <is>
          <t>สูงกรอบบาน</t>
        </is>
      </c>
      <c r="E63" s="82" t="n"/>
      <c r="F63" s="82" t="n"/>
      <c r="G63" s="82" t="n"/>
      <c r="H63" s="82" t="n"/>
      <c r="I63" s="82" t="n"/>
      <c r="J63" s="82" t="n"/>
      <c r="K63" s="82" t="n"/>
      <c r="L63" s="83" t="n">
        <v>1</v>
      </c>
      <c r="M63" s="82" t="n"/>
    </row>
    <row r="64" ht="44" customHeight="1">
      <c r="A64" s="78" t="n">
        <v>11</v>
      </c>
      <c r="B64" s="79" t="inlineStr">
        <is>
          <t>ตบเกี่ยว</t>
        </is>
      </c>
      <c r="C64" s="80" t="inlineStr">
        <is>
          <t>F7983</t>
        </is>
      </c>
      <c r="D64" s="81" t="inlineStr">
        <is>
          <t>สูงกรอบบาน</t>
        </is>
      </c>
      <c r="E64" s="82" t="n"/>
      <c r="F64" s="82" t="n"/>
      <c r="G64" s="82" t="n"/>
      <c r="H64" s="82" t="n"/>
      <c r="I64" s="82" t="n"/>
      <c r="J64" s="82" t="n"/>
      <c r="K64" s="82" t="n"/>
      <c r="L64" s="83" t="n">
        <v>2</v>
      </c>
      <c r="M64" s="82" t="n"/>
    </row>
    <row r="65" ht="44" customHeight="1">
      <c r="A65" s="78" t="n">
        <v>12</v>
      </c>
      <c r="B65" s="79" t="inlineStr">
        <is>
          <t>ยูข้าง</t>
        </is>
      </c>
      <c r="C65" s="80" t="inlineStr">
        <is>
          <t>F7986</t>
        </is>
      </c>
      <c r="D65" s="81" t="inlineStr">
        <is>
          <t>สูง-45-45</t>
        </is>
      </c>
      <c r="E65" s="83" t="n">
        <v>45</v>
      </c>
      <c r="F65" s="83" t="n">
        <v>45</v>
      </c>
      <c r="G65" s="82" t="n"/>
      <c r="H65" s="82" t="n"/>
      <c r="I65" s="82" t="n"/>
      <c r="J65" s="82" t="n"/>
      <c r="K65" s="82" t="n"/>
      <c r="L65" s="83" t="n">
        <v>3</v>
      </c>
      <c r="M65" s="82" t="n"/>
    </row>
    <row r="66" ht="44" customHeight="1">
      <c r="A66" s="78" t="n">
        <v>13</v>
      </c>
      <c r="B66" s="79" t="inlineStr">
        <is>
          <t>ตบเฟรมบน</t>
        </is>
      </c>
      <c r="C66" s="80" t="inlineStr">
        <is>
          <t>F7993</t>
        </is>
      </c>
      <c r="D66" s="81" t="inlineStr">
        <is>
          <t>เท่าเฟรมบน</t>
        </is>
      </c>
      <c r="E66" s="83" t="n">
        <v>21</v>
      </c>
      <c r="F66" s="83" t="n">
        <v>21</v>
      </c>
      <c r="G66" s="82" t="n"/>
      <c r="H66" s="82" t="n"/>
      <c r="I66" s="82" t="n"/>
      <c r="J66" s="82" t="n"/>
      <c r="K66" s="82" t="n"/>
      <c r="L66" s="83" t="n">
        <v>3</v>
      </c>
      <c r="M66" s="82" t="n"/>
    </row>
    <row r="67" ht="44" customHeight="1">
      <c r="A67" s="78" t="n">
        <v>14</v>
      </c>
      <c r="B67" s="79" t="inlineStr">
        <is>
          <t>ตบยูข้าง</t>
        </is>
      </c>
      <c r="C67" s="80" t="inlineStr">
        <is>
          <t>F7988</t>
        </is>
      </c>
      <c r="D67" s="81" t="inlineStr"/>
      <c r="E67" s="83" t="n">
        <v>45</v>
      </c>
      <c r="F67" s="83" t="n">
        <v>45</v>
      </c>
      <c r="G67" s="82" t="n"/>
      <c r="H67" s="82" t="n"/>
      <c r="I67" s="82" t="n"/>
      <c r="J67" s="82" t="n"/>
      <c r="K67" s="82" t="n"/>
      <c r="L67" s="83" t="n">
        <v>3</v>
      </c>
      <c r="M67" s="82" t="n"/>
    </row>
    <row r="68" ht="15" customHeight="1">
      <c r="A68" s="78" t="n">
        <v>15</v>
      </c>
      <c r="B68" s="79" t="inlineStr">
        <is>
          <t>ปิดตบเกี่ยว</t>
        </is>
      </c>
      <c r="C68" s="80" t="inlineStr">
        <is>
          <t>-</t>
        </is>
      </c>
      <c r="D68" s="81" t="inlineStr">
        <is>
          <t>สูงกรอบบาน</t>
        </is>
      </c>
      <c r="E68" s="82" t="n"/>
      <c r="F68" s="82" t="n"/>
      <c r="G68" s="82" t="n"/>
      <c r="H68" s="82" t="n"/>
      <c r="I68" s="82" t="n"/>
      <c r="J68" s="82" t="n"/>
      <c r="K68" s="82" t="n"/>
      <c r="L68" s="83" t="n">
        <v>4</v>
      </c>
      <c r="M68" s="82" t="n"/>
    </row>
    <row r="69" ht="15" customHeight="1">
      <c r="A69" s="78" t="n"/>
      <c r="B69" s="79" t="n"/>
      <c r="C69" s="80" t="n"/>
      <c r="D69" s="81" t="n"/>
      <c r="E69" s="82" t="n"/>
      <c r="F69" s="82" t="n"/>
      <c r="G69" s="82" t="n"/>
      <c r="H69" s="82" t="n"/>
      <c r="I69" s="82" t="n"/>
      <c r="J69" s="82" t="n"/>
      <c r="K69" s="82" t="n"/>
      <c r="L69" s="83" t="n">
        <v>1</v>
      </c>
      <c r="M69" s="82" t="n"/>
    </row>
    <row r="70" ht="44" customHeight="1">
      <c r="A70" s="148" t="inlineStr">
        <is>
          <t>⑤ อุปกรณ์ + ตั้งค่ามือจับ (2 ชุด · บานเลื่อน 2)</t>
        </is>
      </c>
      <c r="B70" s="79" t="n"/>
      <c r="C70" s="80" t="n"/>
      <c r="D70" s="81" t="n"/>
      <c r="E70" s="83" t="n"/>
      <c r="F70" s="83" t="n"/>
      <c r="G70" s="82" t="n"/>
      <c r="H70" s="82" t="n"/>
      <c r="I70" s="82" t="n"/>
      <c r="J70" s="82" t="n"/>
      <c r="K70" s="82" t="n"/>
      <c r="L70" s="83" t="n">
        <v>3</v>
      </c>
      <c r="M70" s="82" t="n"/>
    </row>
    <row r="71">
      <c r="A71" s="149" t="inlineStr">
        <is>
          <t>ประเภทบาน →</t>
        </is>
      </c>
      <c r="B71" s="150" t="inlineStr">
        <is>
          <t>ประตู</t>
        </is>
      </c>
    </row>
    <row r="72">
      <c r="A72" s="151" t="inlineStr">
        <is>
          <t>ยี่ห้อมือจับ →</t>
        </is>
      </c>
      <c r="B72" s="150" t="inlineStr">
        <is>
          <t>เมโทร</t>
        </is>
      </c>
      <c r="F72" s="124" t="n"/>
    </row>
    <row r="73">
      <c r="A73" s="152" t="inlineStr">
        <is>
          <t>สีมือจับ →</t>
        </is>
      </c>
      <c r="B73" s="150" t="inlineStr">
        <is>
          <t>อบขาว</t>
        </is>
      </c>
      <c r="F73" s="126" t="n"/>
    </row>
    <row r="74">
      <c r="A74" s="152" t="inlineStr">
        <is>
          <t>มือจับ ชุด1 →</t>
        </is>
      </c>
      <c r="B74" s="150" t="inlineStr">
        <is>
          <t>กุญแจ+ล็อค</t>
        </is>
      </c>
      <c r="F74" s="126" t="n"/>
    </row>
    <row r="75">
      <c r="A75" s="152" t="inlineStr">
        <is>
          <t>มือจับ ชุด2 →</t>
        </is>
      </c>
      <c r="B75" s="150" t="inlineStr">
        <is>
          <t>ล็อค+ดัมมี่</t>
        </is>
      </c>
      <c r="F75" s="126" t="n"/>
    </row>
    <row r="76">
      <c r="A76" s="153" t="inlineStr">
        <is>
          <t>⑤.1 สรุปอุปกรณ์ (จำนวนลิงก์อัตโนมัติ)</t>
        </is>
      </c>
      <c r="F76" s="126" t="n"/>
    </row>
    <row r="77">
      <c r="A77" s="153" t="inlineStr">
        <is>
          <t>#</t>
        </is>
      </c>
      <c r="B77" s="154" t="inlineStr">
        <is>
          <t>อุปกรณ์</t>
        </is>
      </c>
      <c r="C77" s="154" t="inlineStr">
        <is>
          <t>รหัส SKU</t>
        </is>
      </c>
      <c r="D77" s="154" t="inlineStr">
        <is>
          <t>จำนวน</t>
        </is>
      </c>
      <c r="E77" s="154" t="inlineStr">
        <is>
          <t>หน่วย</t>
        </is>
      </c>
      <c r="F77" s="154" t="inlineStr">
        <is>
          <t>หมายเหตุ</t>
        </is>
      </c>
    </row>
    <row r="78">
      <c r="A78" s="149" t="n">
        <v>1</v>
      </c>
      <c r="B78" s="149" t="inlineStr">
        <is>
          <t>ล้อ 20</t>
        </is>
      </c>
      <c r="C78" s="150">
        <f>AK8</f>
        <v/>
      </c>
      <c r="D78" s="155">
        <f>AK30</f>
        <v/>
      </c>
      <c r="E78" s="149" t="inlineStr">
        <is>
          <t>ตัว</t>
        </is>
      </c>
      <c r="F78" s="149" t="inlineStr"/>
    </row>
    <row r="79">
      <c r="A79" s="149" t="n">
        <v>2</v>
      </c>
      <c r="B79" s="149" t="inlineStr">
        <is>
          <t>มือจับ กุญแจ</t>
        </is>
      </c>
      <c r="C79" s="150">
        <f>AL8</f>
        <v/>
      </c>
      <c r="D79" s="155">
        <f>AL30</f>
        <v/>
      </c>
      <c r="E79" s="149" t="inlineStr">
        <is>
          <t>ตัว</t>
        </is>
      </c>
      <c r="F79" s="149" t="inlineStr"/>
    </row>
    <row r="80">
      <c r="A80" s="149" t="n">
        <v>3</v>
      </c>
      <c r="B80" s="149" t="inlineStr">
        <is>
          <t>มือจับ ล็อค</t>
        </is>
      </c>
      <c r="C80" s="150">
        <f>AM8</f>
        <v/>
      </c>
      <c r="D80" s="155">
        <f>AM30</f>
        <v/>
      </c>
      <c r="E80" s="149" t="inlineStr">
        <is>
          <t>ตัว</t>
        </is>
      </c>
      <c r="F80" s="149" t="inlineStr"/>
    </row>
    <row r="81">
      <c r="A81" s="149" t="n">
        <v>4</v>
      </c>
      <c r="B81" s="149" t="inlineStr">
        <is>
          <t>มือจับ ดัมมี่</t>
        </is>
      </c>
      <c r="C81" s="150">
        <f>AN8</f>
        <v/>
      </c>
      <c r="D81" s="155">
        <f>AN30</f>
        <v/>
      </c>
      <c r="E81" s="149" t="inlineStr">
        <is>
          <t>ตัว</t>
        </is>
      </c>
      <c r="F81" s="149" t="inlineStr"/>
    </row>
    <row r="82">
      <c r="A82" s="149" t="n">
        <v>5</v>
      </c>
      <c r="B82" s="149" t="inlineStr">
        <is>
          <t>Digital lock</t>
        </is>
      </c>
      <c r="C82" s="150" t="inlineStr">
        <is>
          <t>-</t>
        </is>
      </c>
      <c r="D82" s="155">
        <f>AO30</f>
        <v/>
      </c>
      <c r="E82" s="149" t="inlineStr">
        <is>
          <t>ชุด</t>
        </is>
      </c>
      <c r="F82" s="149" t="inlineStr">
        <is>
          <t>ไม่ตัดสต็อก</t>
        </is>
      </c>
    </row>
    <row r="83">
      <c r="A83" s="149" t="n">
        <v>6</v>
      </c>
      <c r="B83" s="149" t="inlineStr">
        <is>
          <t>แกน A</t>
        </is>
      </c>
      <c r="C83" s="150">
        <f>AP8</f>
        <v/>
      </c>
      <c r="D83" s="155">
        <f>AP30</f>
        <v/>
      </c>
      <c r="E83" s="149" t="inlineStr">
        <is>
          <t>เส้น</t>
        </is>
      </c>
      <c r="F83" s="149" t="inlineStr"/>
    </row>
    <row r="84">
      <c r="A84" s="149" t="n">
        <v>7</v>
      </c>
      <c r="B84" s="149" t="inlineStr">
        <is>
          <t>แกน B</t>
        </is>
      </c>
      <c r="C84" s="150">
        <f>AQ8</f>
        <v/>
      </c>
      <c r="D84" s="155">
        <f>AQ30</f>
        <v/>
      </c>
      <c r="E84" s="149" t="inlineStr">
        <is>
          <t>เส้น</t>
        </is>
      </c>
      <c r="F84" s="149" t="inlineStr"/>
    </row>
    <row r="85">
      <c r="A85" s="149" t="n">
        <v>8</v>
      </c>
      <c r="B85" s="149" t="inlineStr">
        <is>
          <t>ปลายดำ</t>
        </is>
      </c>
      <c r="C85" s="150">
        <f>AR8</f>
        <v/>
      </c>
      <c r="D85" s="155">
        <f>AR30</f>
        <v/>
      </c>
      <c r="E85" s="149" t="inlineStr">
        <is>
          <t>ตัว</t>
        </is>
      </c>
      <c r="F85" s="149" t="inlineStr"/>
    </row>
    <row r="86">
      <c r="A86" s="149" t="n">
        <v>9</v>
      </c>
      <c r="B86" s="149" t="inlineStr">
        <is>
          <t>ตัวที เงิน</t>
        </is>
      </c>
      <c r="C86" s="150">
        <f>AS8</f>
        <v/>
      </c>
      <c r="D86" s="155">
        <f>AS30</f>
        <v/>
      </c>
      <c r="E86" s="149" t="inlineStr">
        <is>
          <t>ตัว</t>
        </is>
      </c>
      <c r="F86" s="149" t="inlineStr"/>
    </row>
    <row r="87">
      <c r="A87" s="149" t="n">
        <v>10</v>
      </c>
      <c r="B87" s="149" t="inlineStr">
        <is>
          <t>ก้ามปู</t>
        </is>
      </c>
      <c r="C87" s="150">
        <f>AT8</f>
        <v/>
      </c>
      <c r="D87" s="155">
        <f>AT30</f>
        <v/>
      </c>
      <c r="E87" s="149" t="inlineStr">
        <is>
          <t>ตัว</t>
        </is>
      </c>
      <c r="F87" s="149" t="inlineStr"/>
    </row>
    <row r="88">
      <c r="A88" s="149" t="n">
        <v>11</v>
      </c>
      <c r="B88" s="149" t="inlineStr">
        <is>
          <t>สปิงก็อท</t>
        </is>
      </c>
      <c r="C88" s="150">
        <f>AU8</f>
        <v/>
      </c>
      <c r="D88" s="155">
        <f>AU30</f>
        <v/>
      </c>
      <c r="E88" s="149" t="inlineStr">
        <is>
          <t>ตัว</t>
        </is>
      </c>
      <c r="F88" s="149" t="inlineStr"/>
    </row>
    <row r="89">
      <c r="A89" s="149" t="n">
        <v>12</v>
      </c>
      <c r="B89" s="149" t="inlineStr">
        <is>
          <t>ฉากประกอบมุม</t>
        </is>
      </c>
      <c r="C89" s="150">
        <f>AV8</f>
        <v/>
      </c>
      <c r="D89" s="155">
        <f>AV30</f>
        <v/>
      </c>
      <c r="E89" s="149" t="inlineStr">
        <is>
          <t>ตัว</t>
        </is>
      </c>
      <c r="F89" s="149" t="inlineStr"/>
    </row>
    <row r="90">
      <c r="A90" s="149" t="n">
        <v>13</v>
      </c>
      <c r="B90" s="149" t="inlineStr">
        <is>
          <t>ยางรูน้ำ</t>
        </is>
      </c>
      <c r="C90" s="150">
        <f>AW8</f>
        <v/>
      </c>
      <c r="D90" s="155">
        <f>AW30</f>
        <v/>
      </c>
      <c r="E90" s="149" t="inlineStr">
        <is>
          <t>ตัว</t>
        </is>
      </c>
      <c r="F90" s="149" t="inlineStr"/>
    </row>
    <row r="91">
      <c r="A91" s="149" t="n">
        <v>14</v>
      </c>
      <c r="B91" s="149" t="inlineStr">
        <is>
          <t>วาวรูน้ำ</t>
        </is>
      </c>
      <c r="C91" s="150">
        <f>AX8</f>
        <v/>
      </c>
      <c r="D91" s="155">
        <f>AX30</f>
        <v/>
      </c>
      <c r="E91" s="149" t="inlineStr">
        <is>
          <t>ตัว</t>
        </is>
      </c>
      <c r="F91" s="149" t="inlineStr"/>
    </row>
    <row r="92">
      <c r="A92" s="149" t="n">
        <v>15</v>
      </c>
      <c r="B92" s="149" t="inlineStr">
        <is>
          <t>สักหลาด 5×3</t>
        </is>
      </c>
      <c r="C92" s="150">
        <f>AY8</f>
        <v/>
      </c>
      <c r="D92" s="155">
        <f>AY30</f>
        <v/>
      </c>
      <c r="E92" s="149" t="inlineStr">
        <is>
          <t>เมตร</t>
        </is>
      </c>
      <c r="F92" s="149" t="inlineStr">
        <is>
          <t>เก็บเป็นเมตร</t>
        </is>
      </c>
    </row>
  </sheetData>
  <mergeCells count="61">
    <mergeCell ref="O6:P6"/>
    <mergeCell ref="K7:N7"/>
    <mergeCell ref="E8:F8"/>
    <mergeCell ref="O7:R7"/>
    <mergeCell ref="AC8:AD8"/>
    <mergeCell ref="AE8:AF8"/>
    <mergeCell ref="Y7:Z7"/>
    <mergeCell ref="AA7:AB7"/>
    <mergeCell ref="D8:D9"/>
    <mergeCell ref="A7:D7"/>
    <mergeCell ref="S7:V7"/>
    <mergeCell ref="Q9:R9"/>
    <mergeCell ref="S9:T9"/>
    <mergeCell ref="M8:N8"/>
    <mergeCell ref="AC9:AD9"/>
    <mergeCell ref="O8:P8"/>
    <mergeCell ref="AE9:AF9"/>
    <mergeCell ref="I6:J6"/>
    <mergeCell ref="U6:V6"/>
    <mergeCell ref="W6:X6"/>
    <mergeCell ref="G7:H7"/>
    <mergeCell ref="AA6:AB6"/>
    <mergeCell ref="I7:J7"/>
    <mergeCell ref="A30:D30"/>
    <mergeCell ref="W7:X7"/>
    <mergeCell ref="A8:A9"/>
    <mergeCell ref="I8:J8"/>
    <mergeCell ref="U8:V8"/>
    <mergeCell ref="W8:X8"/>
    <mergeCell ref="Y8:Z8"/>
    <mergeCell ref="K6:L6"/>
    <mergeCell ref="G9:H9"/>
    <mergeCell ref="AA8:AB8"/>
    <mergeCell ref="I9:J9"/>
    <mergeCell ref="U9:V9"/>
    <mergeCell ref="K9:L9"/>
    <mergeCell ref="M9:N9"/>
    <mergeCell ref="O9:P9"/>
    <mergeCell ref="Y9:Z9"/>
    <mergeCell ref="AA9:AB9"/>
    <mergeCell ref="S30:U30"/>
    <mergeCell ref="E6:F6"/>
    <mergeCell ref="K8:L8"/>
    <mergeCell ref="Q6:R6"/>
    <mergeCell ref="S6:T6"/>
    <mergeCell ref="E7:F7"/>
    <mergeCell ref="AC7:AD7"/>
    <mergeCell ref="G8:H8"/>
    <mergeCell ref="Q8:R8"/>
    <mergeCell ref="S8:T8"/>
    <mergeCell ref="G6:H6"/>
    <mergeCell ref="E9:F9"/>
    <mergeCell ref="A6:D6"/>
    <mergeCell ref="M6:N6"/>
    <mergeCell ref="Y6:Z6"/>
    <mergeCell ref="K30:M30"/>
    <mergeCell ref="W9:X9"/>
    <mergeCell ref="B8:C9"/>
    <mergeCell ref="AC6:AD6"/>
    <mergeCell ref="AE6:AF6"/>
    <mergeCell ref="O30:Q30"/>
  </mergeCells>
  <dataValidations count="5">
    <dataValidation sqref="B71" showDropDown="0" showInputMessage="0" showErrorMessage="0" allowBlank="1" type="list">
      <formula1>"ประตู,หน้าต่าง"</formula1>
    </dataValidation>
    <dataValidation sqref="B72" showDropDown="0" showInputMessage="0" showErrorMessage="0" allowBlank="1" type="list">
      <formula1>"เมโทร,Align"</formula1>
    </dataValidation>
    <dataValidation sqref="B73" showDropDown="0" showInputMessage="0" showErrorMessage="0" allowBlank="1" type="list">
      <formula1>"อบขาว,ดำ"</formula1>
    </dataValidation>
    <dataValidation sqref="B74" showDropDown="0" showInputMessage="0" showErrorMessage="0" allowBlank="1" type="list">
      <formula1>=$BD$1:$BD$4</formula1>
    </dataValidation>
    <dataValidation sqref="B75" showDropDown="0" showInputMessage="0" showErrorMessage="0" allowBlank="1" type="list">
      <formula1>=$BD$1:$BD$4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92"/>
  <sheetViews>
    <sheetView showGridLines="0"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26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6.75" customWidth="1" min="32" max="32"/>
    <col width="12.75" customWidth="1" min="33" max="33"/>
    <col width="6.75" customWidth="1" min="34" max="34"/>
    <col width="12.75" customWidth="1" min="35" max="35"/>
    <col width="12.75" customWidth="1" min="36" max="36"/>
    <col width="8.75" customWidth="1" min="37" max="37"/>
    <col width="8.875" customWidth="1" min="38" max="38"/>
    <col hidden="1" width="13" customWidth="1" min="53" max="53"/>
    <col hidden="1" width="13" customWidth="1" min="54" max="54"/>
    <col hidden="1" width="13" customWidth="1" min="55" max="55"/>
    <col hidden="1" width="13" customWidth="1" min="56" max="56"/>
  </cols>
  <sheetData>
    <row r="1" ht="40.15" customHeight="1">
      <c r="A1" s="1" t="inlineStr">
        <is>
          <t>JR ALUMINIUM &amp; GLASS  —  ใบรายการตัด · FUJI เลื่อนแบ่ง4   (หน่วย: มม.)</t>
        </is>
      </c>
      <c r="B1" s="2" t="n"/>
      <c r="D1" s="3" t="n"/>
      <c r="E1" s="4" t="n"/>
      <c r="F1" s="3" t="n"/>
      <c r="G1" s="4" t="n"/>
      <c r="H1" s="3" t="n"/>
      <c r="I1" s="3" t="n"/>
      <c r="J1" s="3" t="n"/>
      <c r="K1" s="6" t="n"/>
      <c r="L1" s="6" t="n"/>
      <c r="M1" s="5" t="n"/>
      <c r="N1" s="5" t="n"/>
      <c r="O1" s="3" t="n"/>
      <c r="P1" s="7" t="n"/>
      <c r="Q1" s="5" t="n"/>
      <c r="R1" s="5" t="n"/>
      <c r="S1" s="6" t="n"/>
      <c r="T1" s="6" t="n"/>
      <c r="U1" s="5" t="n"/>
      <c r="V1" s="5" t="n"/>
      <c r="W1" s="5" t="n"/>
      <c r="X1" s="5" t="n"/>
      <c r="Y1" s="3" t="n"/>
      <c r="Z1" s="3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BA1" t="inlineStr">
        <is>
          <t>เมโทรกุญแจอบขาว</t>
        </is>
      </c>
      <c r="BB1" t="inlineStr">
        <is>
          <t>JR00368</t>
        </is>
      </c>
      <c r="BD1">
        <f>IF($B$71="ประตู","กุญแจ+ล็อค","ล็อค")</f>
        <v/>
      </c>
    </row>
    <row r="2" ht="40.15" customHeight="1">
      <c r="A2" s="6" t="n"/>
      <c r="B2" s="6" t="n"/>
      <c r="C2" s="6" t="n"/>
      <c r="D2" s="6" t="n"/>
      <c r="E2" s="8" t="n"/>
      <c r="F2" s="6" t="n"/>
      <c r="G2" s="8" t="n"/>
      <c r="H2" s="6" t="n"/>
      <c r="I2" s="6" t="n"/>
      <c r="J2" s="6" t="n"/>
      <c r="K2" s="6" t="n"/>
      <c r="L2" s="6" t="n"/>
      <c r="M2" s="9" t="n"/>
      <c r="N2" s="9" t="n"/>
      <c r="O2" s="6" t="n"/>
      <c r="P2" s="6" t="n"/>
      <c r="Q2" s="9" t="n"/>
      <c r="R2" s="9" t="n"/>
      <c r="S2" s="9" t="n"/>
      <c r="T2" s="9" t="n"/>
      <c r="U2" s="9" t="n"/>
      <c r="V2" s="9" t="n"/>
      <c r="W2" s="9" t="n"/>
      <c r="X2" s="9" t="n"/>
      <c r="Y2" s="6" t="n"/>
      <c r="Z2" s="6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BA2" t="inlineStr">
        <is>
          <t>เมโทรกุญแจดำ</t>
        </is>
      </c>
      <c r="BB2" t="inlineStr">
        <is>
          <t>JR00371</t>
        </is>
      </c>
      <c r="BD2">
        <f>IF($B$71="ประตู","ล็อค+ดัมมี่","ดัมมี่")</f>
        <v/>
      </c>
    </row>
    <row r="3" ht="40.15" customHeight="1">
      <c r="A3" s="130">
        <f>HYPERLINK("#สารบัญ!A1","← สารบัญ")</f>
        <v/>
      </c>
      <c r="B3" s="84" t="n"/>
      <c r="C3" s="85" t="n"/>
      <c r="D3" s="6" t="n"/>
      <c r="E3" s="8" t="n"/>
      <c r="F3" s="6" t="n"/>
      <c r="G3" s="8" t="n"/>
      <c r="H3" s="6" t="n"/>
      <c r="I3" s="6" t="n"/>
      <c r="J3" s="6" t="n"/>
      <c r="K3" s="6" t="n"/>
      <c r="L3" s="6" t="n"/>
      <c r="M3" s="11" t="n"/>
      <c r="N3" s="11" t="n"/>
      <c r="O3" s="6" t="n"/>
      <c r="P3" s="6" t="n"/>
      <c r="Q3" s="11" t="n"/>
      <c r="R3" s="11" t="n"/>
      <c r="U3" s="11" t="n"/>
      <c r="V3" s="11" t="n"/>
      <c r="W3" s="11" t="n"/>
      <c r="X3" s="11" t="n"/>
      <c r="Y3" s="6" t="n"/>
      <c r="Z3" s="6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BA3" t="inlineStr">
        <is>
          <t>เมโทรล็อคอบขาว</t>
        </is>
      </c>
      <c r="BB3" t="inlineStr">
        <is>
          <t>JR00369</t>
        </is>
      </c>
      <c r="BD3">
        <f>IF($B$71="ประตู","ดัมมี่+ดัมมี่","")</f>
        <v/>
      </c>
    </row>
    <row r="4" ht="40.15" customHeight="1">
      <c r="A4" s="6" t="n"/>
      <c r="B4" s="6" t="n"/>
      <c r="C4" s="6" t="n"/>
      <c r="F4" s="6" t="n"/>
      <c r="H4" s="6" t="n"/>
      <c r="I4" s="6" t="n"/>
      <c r="J4" s="6" t="n"/>
      <c r="K4" s="6" t="n"/>
      <c r="L4" s="6" t="n"/>
      <c r="O4" s="6" t="n"/>
      <c r="P4" s="6" t="n"/>
      <c r="Y4" s="6" t="n"/>
      <c r="Z4" s="6" t="n"/>
      <c r="BA4" t="inlineStr">
        <is>
          <t>เมโทรล็อคดำ</t>
        </is>
      </c>
      <c r="BB4" t="inlineStr">
        <is>
          <t>JR00372</t>
        </is>
      </c>
      <c r="BD4">
        <f>IF($B$71="ประตู","Digital lock","")</f>
        <v/>
      </c>
    </row>
    <row r="5" ht="40.15" customHeight="1">
      <c r="A5" s="6" t="n"/>
      <c r="B5" s="6" t="n"/>
      <c r="C5" s="6" t="n"/>
      <c r="D5" s="6" t="n"/>
      <c r="E5" s="8" t="n"/>
      <c r="F5" s="6" t="n"/>
      <c r="G5" s="8" t="n"/>
      <c r="H5" s="6" t="n"/>
      <c r="I5" s="6" t="n"/>
      <c r="J5" s="6" t="n"/>
      <c r="L5" s="6" t="n"/>
      <c r="O5" s="6" t="n"/>
      <c r="P5" s="6" t="n"/>
      <c r="Y5" s="6" t="n"/>
      <c r="Z5" s="6" t="n"/>
      <c r="BA5" t="inlineStr">
        <is>
          <t>เมโทรดัมมี่อบขาว</t>
        </is>
      </c>
      <c r="BB5" t="inlineStr">
        <is>
          <t>JR00370</t>
        </is>
      </c>
    </row>
    <row r="6" ht="60" customHeight="1">
      <c r="A6" s="13" t="inlineStr">
        <is>
          <t>สูตรตัด</t>
        </is>
      </c>
      <c r="B6" s="14" t="n"/>
      <c r="C6" s="14" t="n"/>
      <c r="D6" s="15" t="n"/>
      <c r="E6" s="16" t="inlineStr">
        <is>
          <t>สูง</t>
        </is>
      </c>
      <c r="F6" s="17" t="n"/>
      <c r="G6" s="16" t="inlineStr">
        <is>
          <t>กว้าง-21-21</t>
        </is>
      </c>
      <c r="H6" s="17" t="n"/>
      <c r="I6" s="16" t="inlineStr">
        <is>
          <t>สูง-21-19-13-21</t>
        </is>
      </c>
      <c r="J6" s="17" t="n"/>
      <c r="K6" s="16" t="inlineStr">
        <is>
          <t>((กว้าง-21-4.5-2.4-21)/4)+(78x2/4)</t>
        </is>
      </c>
      <c r="L6" s="17" t="n"/>
      <c r="M6" s="16" t="inlineStr">
        <is>
          <t>เสา-78-78</t>
        </is>
      </c>
      <c r="N6" s="17" t="n"/>
      <c r="O6" s="16" t="inlineStr">
        <is>
          <t>ขวาง-63-63</t>
        </is>
      </c>
      <c r="P6" s="17" t="n"/>
      <c r="Q6" s="16" t="inlineStr">
        <is>
          <t>สูงกรอบบาน</t>
        </is>
      </c>
      <c r="R6" s="17" t="n"/>
      <c r="S6" s="16" t="inlineStr">
        <is>
          <t>สูงกรอบบาน</t>
        </is>
      </c>
      <c r="T6" s="17" t="n"/>
      <c r="U6" s="16" t="inlineStr">
        <is>
          <t>สูง-45-45</t>
        </is>
      </c>
      <c r="V6" s="17" t="n"/>
      <c r="W6" s="16" t="inlineStr">
        <is>
          <t>เท่าเฟรมบน</t>
        </is>
      </c>
      <c r="X6" s="17" t="n"/>
      <c r="Y6" s="16" t="inlineStr">
        <is>
          <t>สูงกรอบบาน</t>
        </is>
      </c>
      <c r="Z6" s="17" t="n"/>
      <c r="AA6" s="16" t="inlineStr">
        <is>
          <t>สูงกรอบบาน</t>
        </is>
      </c>
      <c r="AB6" s="17" t="n"/>
      <c r="AC6" s="16" t="inlineStr">
        <is>
          <t>กว้าง</t>
        </is>
      </c>
      <c r="AD6" s="17" t="n"/>
      <c r="AE6" s="16" t="inlineStr">
        <is>
          <t>เท่าเฟรมล่าง</t>
        </is>
      </c>
      <c r="AF6" s="17" t="n"/>
      <c r="AG6" s="16" t="inlineStr">
        <is>
          <t>กว้าง</t>
        </is>
      </c>
      <c r="AI6" s="18" t="n"/>
      <c r="AJ6" s="18" t="n"/>
      <c r="AK6" s="18" t="n"/>
      <c r="BA6" t="inlineStr">
        <is>
          <t>เมโทรดัมมี่ดำ</t>
        </is>
      </c>
      <c r="BB6" t="inlineStr">
        <is>
          <t>JR00373</t>
        </is>
      </c>
      <c r="BC6">
        <f>(COUNTIF($B$74:$B$75,"กุญแจ+ล็อค")+COUNTIF($B$74:$B$75,"ล็อค+ดัมมี่")+COUNTIF($B$74:$B$75,"ล็อค"))</f>
        <v/>
      </c>
    </row>
    <row r="7" ht="40.15" customHeight="1">
      <c r="A7" s="19" t="inlineStr">
        <is>
          <t>ใส่ข้อมูล</t>
        </is>
      </c>
      <c r="B7" s="20" t="n"/>
      <c r="C7" s="20" t="n"/>
      <c r="D7" s="21" t="n"/>
      <c r="E7" s="22" t="inlineStr">
        <is>
          <t>F7978</t>
        </is>
      </c>
      <c r="F7" s="15" t="n"/>
      <c r="G7" s="22" t="inlineStr">
        <is>
          <t>F7976</t>
        </is>
      </c>
      <c r="H7" s="15" t="n"/>
      <c r="I7" s="22" t="inlineStr">
        <is>
          <t>F7980</t>
        </is>
      </c>
      <c r="J7" s="14" t="n"/>
      <c r="K7" s="14" t="n"/>
      <c r="L7" s="15" t="n"/>
      <c r="M7" s="22" t="inlineStr">
        <is>
          <t>F7917</t>
        </is>
      </c>
      <c r="N7" s="14" t="n"/>
      <c r="O7" s="14" t="n"/>
      <c r="P7" s="15" t="n"/>
      <c r="Q7" s="22" t="inlineStr">
        <is>
          <t>F7925</t>
        </is>
      </c>
      <c r="R7" s="15" t="n"/>
      <c r="S7" s="22" t="inlineStr">
        <is>
          <t>F7983</t>
        </is>
      </c>
      <c r="T7" s="15" t="n"/>
      <c r="U7" s="23" t="inlineStr">
        <is>
          <t>F7986</t>
        </is>
      </c>
      <c r="V7" s="15" t="n"/>
      <c r="W7" s="86" t="inlineStr">
        <is>
          <t>F7993</t>
        </is>
      </c>
      <c r="X7" s="14" t="n"/>
      <c r="Y7" s="22" t="inlineStr">
        <is>
          <t>F7988</t>
        </is>
      </c>
      <c r="Z7" s="14" t="n"/>
      <c r="AA7" s="14" t="n"/>
      <c r="AB7" s="14" t="n"/>
      <c r="AC7" s="14" t="n"/>
      <c r="AD7" s="15" t="n"/>
      <c r="AE7" s="22" t="inlineStr">
        <is>
          <t>F7994</t>
        </is>
      </c>
      <c r="AF7" s="15" t="n"/>
      <c r="AG7" s="22" t="inlineStr">
        <is>
          <t>F7992</t>
        </is>
      </c>
      <c r="AI7" s="24" t="n"/>
      <c r="AJ7" s="25" t="inlineStr">
        <is>
          <t>ขนาดกระจก</t>
        </is>
      </c>
      <c r="AK7" s="26" t="n"/>
      <c r="BA7" t="inlineStr">
        <is>
          <t>Alignกุญแจอบขาว</t>
        </is>
      </c>
      <c r="BB7" t="inlineStr">
        <is>
          <t>JR00377</t>
        </is>
      </c>
      <c r="BC7">
        <f>COUNTIF($B$74:$B$75,"กุญแจ+ล็อค")</f>
        <v/>
      </c>
    </row>
    <row r="8" ht="40.15" customHeight="1">
      <c r="A8" s="27" t="inlineStr">
        <is>
          <t>แผน</t>
        </is>
      </c>
      <c r="B8" s="28" t="inlineStr">
        <is>
          <t>ขนาดชิ้นงาน
(mm)</t>
        </is>
      </c>
      <c r="C8" s="29" t="n"/>
      <c r="D8" s="27" t="inlineStr">
        <is>
          <t>ชุด</t>
        </is>
      </c>
      <c r="E8" s="30" t="n"/>
      <c r="F8" s="31" t="n"/>
      <c r="G8" s="30" t="n"/>
      <c r="H8" s="31" t="n"/>
      <c r="I8" s="32" t="n"/>
      <c r="J8" s="33" t="n"/>
      <c r="K8" s="34" t="n"/>
      <c r="L8" s="31" t="n"/>
      <c r="M8" s="32" t="n"/>
      <c r="N8" s="33" t="n"/>
      <c r="O8" s="34" t="n"/>
      <c r="P8" s="31" t="n"/>
      <c r="Q8" s="34" t="n"/>
      <c r="R8" s="31" t="n"/>
      <c r="S8" s="30" t="n"/>
      <c r="T8" s="31" t="n"/>
      <c r="U8" s="34" t="n"/>
      <c r="V8" s="31" t="n"/>
      <c r="W8" s="32" t="n"/>
      <c r="X8" s="33" t="n"/>
      <c r="Y8" s="32" t="n"/>
      <c r="Z8" s="33" t="n"/>
      <c r="AA8" s="35" t="n"/>
      <c r="AB8" s="33" t="n"/>
      <c r="AC8" s="34" t="n"/>
      <c r="AD8" s="31" t="n"/>
      <c r="AE8" s="30" t="n"/>
      <c r="AF8" s="31" t="n"/>
      <c r="AG8" s="30" t="n"/>
      <c r="AI8" s="36" t="n"/>
      <c r="AJ8" s="37" t="inlineStr">
        <is>
          <t>กรอบบาน</t>
        </is>
      </c>
      <c r="AK8" s="38" t="inlineStr">
        <is>
          <t>JR00577</t>
        </is>
      </c>
      <c r="AL8">
        <f>VLOOKUP($B$72&amp;"กุญแจ"&amp;$B$73,$BA$1:$BB$12,2,0)</f>
        <v/>
      </c>
      <c r="AM8">
        <f>VLOOKUP($B$72&amp;"ล็อค"&amp;$B$73,$BA$1:$BB$12,2,0)</f>
        <v/>
      </c>
      <c r="AN8">
        <f>VLOOKUP($B$72&amp;"ดัมมี่"&amp;$B$73,$BA$1:$BB$12,2,0)</f>
        <v/>
      </c>
      <c r="AO8" t="inlineStr"/>
      <c r="AP8" t="inlineStr">
        <is>
          <t>JR00478</t>
        </is>
      </c>
      <c r="AQ8" t="inlineStr">
        <is>
          <t>JR00479</t>
        </is>
      </c>
      <c r="AR8" t="inlineStr">
        <is>
          <t>JR00476</t>
        </is>
      </c>
      <c r="AS8" t="inlineStr">
        <is>
          <t>JR00475</t>
        </is>
      </c>
      <c r="AT8" t="inlineStr">
        <is>
          <t>JR00477</t>
        </is>
      </c>
      <c r="AU8" t="inlineStr">
        <is>
          <t>JR00592</t>
        </is>
      </c>
      <c r="AV8" t="inlineStr">
        <is>
          <t>JR00480</t>
        </is>
      </c>
      <c r="AW8" t="inlineStr">
        <is>
          <t>JR00589</t>
        </is>
      </c>
      <c r="AX8" t="inlineStr">
        <is>
          <t>JR00485</t>
        </is>
      </c>
      <c r="AY8" t="inlineStr">
        <is>
          <t>JR00794</t>
        </is>
      </c>
      <c r="BA8" t="inlineStr">
        <is>
          <t>Alignล็อคอบขาว</t>
        </is>
      </c>
      <c r="BB8" t="inlineStr">
        <is>
          <t>JR00378</t>
        </is>
      </c>
    </row>
    <row r="9" ht="40.15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 บน-ล่าง</t>
        </is>
      </c>
      <c r="H9" s="43" t="n"/>
      <c r="I9" s="42" t="inlineStr">
        <is>
          <t>เสา</t>
        </is>
      </c>
      <c r="J9" s="43" t="n"/>
      <c r="K9" s="42" t="inlineStr">
        <is>
          <t>ขวาง</t>
        </is>
      </c>
      <c r="L9" s="43" t="n"/>
      <c r="M9" s="42" t="inlineStr">
        <is>
          <t>คิ้ว ตั้ง</t>
        </is>
      </c>
      <c r="N9" s="43" t="n"/>
      <c r="O9" s="42" t="inlineStr">
        <is>
          <t>คิ้ว ขวาง</t>
        </is>
      </c>
      <c r="P9" s="43" t="n"/>
      <c r="Q9" s="42" t="inlineStr">
        <is>
          <t>เฟรม ล่าง</t>
        </is>
      </c>
      <c r="R9" s="43" t="n"/>
      <c r="S9" s="42" t="inlineStr">
        <is>
          <t>ตบเกี่ยว</t>
        </is>
      </c>
      <c r="T9" s="43" t="n"/>
      <c r="U9" s="44" t="inlineStr">
        <is>
          <t>ยูข้าง</t>
        </is>
      </c>
      <c r="V9" s="43" t="n"/>
      <c r="W9" s="44" t="inlineStr">
        <is>
          <t>ตบเฟรมบน</t>
        </is>
      </c>
      <c r="X9" s="43" t="n"/>
      <c r="Y9" s="42" t="inlineStr">
        <is>
          <t>ปิดตบเกี่ยว</t>
        </is>
      </c>
      <c r="Z9" s="43" t="n"/>
      <c r="AA9" s="42" t="inlineStr">
        <is>
          <t>ปิดรับล็อค</t>
        </is>
      </c>
      <c r="AB9" s="43" t="n"/>
      <c r="AC9" s="42" t="inlineStr">
        <is>
          <t>ปิดตบกันสาด</t>
        </is>
      </c>
      <c r="AD9" s="43" t="n"/>
      <c r="AE9" s="44" t="inlineStr">
        <is>
          <t>รางเลื่อน</t>
        </is>
      </c>
      <c r="AF9" s="43" t="n"/>
      <c r="AG9" s="42" t="inlineStr">
        <is>
          <t>ตบกันสาด</t>
        </is>
      </c>
      <c r="AI9" s="45" t="inlineStr">
        <is>
          <t>SH-68-68</t>
        </is>
      </c>
      <c r="AJ9" s="46" t="inlineStr">
        <is>
          <t>SW-68-68</t>
        </is>
      </c>
      <c r="AK9" s="47" t="inlineStr">
        <is>
          <t>ล้อ 20</t>
        </is>
      </c>
      <c r="AL9" t="inlineStr">
        <is>
          <t>มือจับ กุญแจ</t>
        </is>
      </c>
      <c r="AM9" t="inlineStr">
        <is>
          <t>มือจับ ล็อค</t>
        </is>
      </c>
      <c r="AN9" t="inlineStr">
        <is>
          <t>มือจับ ดัมมี่</t>
        </is>
      </c>
      <c r="AO9" t="inlineStr">
        <is>
          <t>Digital lock</t>
        </is>
      </c>
      <c r="AP9" t="inlineStr">
        <is>
          <t>แกน A</t>
        </is>
      </c>
      <c r="AQ9" t="inlineStr">
        <is>
          <t>แกน B</t>
        </is>
      </c>
      <c r="AR9" t="inlineStr">
        <is>
          <t>ปลายดำ</t>
        </is>
      </c>
      <c r="AS9" t="inlineStr">
        <is>
          <t>ตัวที เงิน</t>
        </is>
      </c>
      <c r="AT9" t="inlineStr">
        <is>
          <t>ก้ามปู</t>
        </is>
      </c>
      <c r="AU9" t="inlineStr">
        <is>
          <t>สปิงก็อท</t>
        </is>
      </c>
      <c r="AV9" t="inlineStr">
        <is>
          <t>ฉากประกอบมุม</t>
        </is>
      </c>
      <c r="AW9" t="inlineStr">
        <is>
          <t>ยางรูน้ำ</t>
        </is>
      </c>
      <c r="AX9" t="inlineStr">
        <is>
          <t>วาวรูน้ำ</t>
        </is>
      </c>
      <c r="AY9" t="inlineStr">
        <is>
          <t>สักหลาด(ม.)</t>
        </is>
      </c>
      <c r="BA9" t="inlineStr">
        <is>
          <t>Alignดัมมี่อบขาว</t>
        </is>
      </c>
      <c r="BB9" t="inlineStr">
        <is>
          <t>JR00379</t>
        </is>
      </c>
      <c r="BC9">
        <f>(COUNTIF($B$74:$B$75,"ล็อค+ดัมมี่")+2*COUNTIF($B$74:$B$75,"ดัมมี่+ดัมมี่")+COUNTIF($B$74:$B$75,"ดัมมี่"))</f>
        <v/>
      </c>
    </row>
    <row r="10" ht="40.15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4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3" t="inlineStr">
        <is>
          <t>จำนวน</t>
        </is>
      </c>
      <c r="S10" s="52" t="inlineStr">
        <is>
          <t>ยาว</t>
        </is>
      </c>
      <c r="T10" s="53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3" t="inlineStr">
        <is>
          <t>จำนวน</t>
        </is>
      </c>
      <c r="AA10" s="52" t="inlineStr">
        <is>
          <t>ยาว</t>
        </is>
      </c>
      <c r="AB10" s="54" t="inlineStr">
        <is>
          <t>จำนวน</t>
        </is>
      </c>
      <c r="AC10" s="52" t="inlineStr">
        <is>
          <t>ยาว</t>
        </is>
      </c>
      <c r="AD10" s="54" t="inlineStr">
        <is>
          <t>จำนวน</t>
        </is>
      </c>
      <c r="AE10" s="52" t="inlineStr">
        <is>
          <t>ยาว</t>
        </is>
      </c>
      <c r="AF10" s="54" t="inlineStr">
        <is>
          <t>จำนวน</t>
        </is>
      </c>
      <c r="AG10" s="52" t="inlineStr">
        <is>
          <t>ยาว</t>
        </is>
      </c>
      <c r="AH10" s="54" t="inlineStr">
        <is>
          <t>จำนวน</t>
        </is>
      </c>
      <c r="AI10" s="55" t="inlineStr">
        <is>
          <t>H</t>
        </is>
      </c>
      <c r="AJ10" s="56" t="inlineStr">
        <is>
          <t>W</t>
        </is>
      </c>
      <c r="AK10" s="57" t="inlineStr">
        <is>
          <t>จำนวน</t>
        </is>
      </c>
      <c r="AL10" t="inlineStr">
        <is>
          <t>จำนวน</t>
        </is>
      </c>
      <c r="AM10" t="inlineStr">
        <is>
          <t>จำนวน</t>
        </is>
      </c>
      <c r="AN10" t="inlineStr">
        <is>
          <t>จำนวน</t>
        </is>
      </c>
      <c r="AO10" t="inlineStr">
        <is>
          <t>จำนวน</t>
        </is>
      </c>
      <c r="AP10" t="inlineStr">
        <is>
          <t>จำนวน</t>
        </is>
      </c>
      <c r="AQ10" t="inlineStr">
        <is>
          <t>จำนวน</t>
        </is>
      </c>
      <c r="AR10" t="inlineStr">
        <is>
          <t>จำนวน</t>
        </is>
      </c>
      <c r="AS10" t="inlineStr">
        <is>
          <t>จำนวน</t>
        </is>
      </c>
      <c r="AT10" t="inlineStr">
        <is>
          <t>จำนวน</t>
        </is>
      </c>
      <c r="AU10" t="inlineStr">
        <is>
          <t>จำนวน</t>
        </is>
      </c>
      <c r="AV10" t="inlineStr">
        <is>
          <t>จำนวน</t>
        </is>
      </c>
      <c r="AW10" t="inlineStr">
        <is>
          <t>จำนวน</t>
        </is>
      </c>
      <c r="AX10" t="inlineStr">
        <is>
          <t>จำนวน</t>
        </is>
      </c>
      <c r="AY10" t="inlineStr">
        <is>
          <t>จำนวน</t>
        </is>
      </c>
      <c r="BA10" t="inlineStr">
        <is>
          <t>Alignกุญแจดำ</t>
        </is>
      </c>
      <c r="BB10" t="inlineStr">
        <is>
          <t>JR00374</t>
        </is>
      </c>
      <c r="BC10">
        <f>COUNTIF($B$74:$B$75,"Digital lock")</f>
        <v/>
      </c>
    </row>
    <row r="11" ht="40.15" customHeight="1">
      <c r="A11" s="87" t="n">
        <v>11</v>
      </c>
      <c r="B11" s="88" t="n">
        <v>2700</v>
      </c>
      <c r="C11" s="89" t="n">
        <v>4750</v>
      </c>
      <c r="D11" s="90" t="n">
        <v>6</v>
      </c>
      <c r="E11" s="91">
        <f>IF($A11="","",$B11)</f>
        <v/>
      </c>
      <c r="F11" s="89">
        <f>IF($A11="","",$L$54*$D11)</f>
        <v/>
      </c>
      <c r="G11" s="91">
        <f>IF($A11="","",$C11-$E$55-$F$55)</f>
        <v/>
      </c>
      <c r="H11" s="89">
        <f>IF($A11="","",$L$55*$D11)</f>
        <v/>
      </c>
      <c r="I11" s="91">
        <f>IF($A11="","",$B11-$E$56-$F$56-$G$56-$H$56)</f>
        <v/>
      </c>
      <c r="J11" s="89">
        <f>IF($A11="","",$L$56*$D11)</f>
        <v/>
      </c>
      <c r="K11" s="91">
        <f>IF($A11="","",(($C11-$E$57-$F$57-$G$57-$H$57)/4)+(78*2)/4)</f>
        <v/>
      </c>
      <c r="L11" s="89">
        <f>IF($A11="","",$L$57*$D11)</f>
        <v/>
      </c>
      <c r="M11" s="91">
        <f>IF($A11="","",$I11-$E$58-$F$58)</f>
        <v/>
      </c>
      <c r="N11" s="89">
        <f>IF($A11="","",$L$58*$D11)</f>
        <v/>
      </c>
      <c r="O11" s="91">
        <f>IF($A11="","",$K11-$E$59-$F$59)</f>
        <v/>
      </c>
      <c r="P11" s="89">
        <f>IF($A11="","",$L$59*$D11)</f>
        <v/>
      </c>
      <c r="Q11" s="91">
        <f>IF($A11="","",$I11)</f>
        <v/>
      </c>
      <c r="R11" s="89">
        <f>IF($A11="","",$L$60*$D11)</f>
        <v/>
      </c>
      <c r="S11" s="91">
        <f>IF($A11="","",$I11)</f>
        <v/>
      </c>
      <c r="T11" s="89">
        <f>IF($A11="","",$L$61*$D11)</f>
        <v/>
      </c>
      <c r="U11" s="91">
        <f>IF($A11="","",$B11-$E$62-$F$62)</f>
        <v/>
      </c>
      <c r="V11" s="89">
        <f>IF($A11="","",$L$62*$D11)</f>
        <v/>
      </c>
      <c r="W11" s="91">
        <f>IF($A11="","",$G11)</f>
        <v/>
      </c>
      <c r="X11" s="89">
        <f>IF($A11="","",$L$63*$D11)</f>
        <v/>
      </c>
      <c r="Y11" s="91">
        <f>IF($A11="","",$S11)</f>
        <v/>
      </c>
      <c r="Z11" s="89">
        <f>IF($A11="","",$L$64*$D11)</f>
        <v/>
      </c>
      <c r="AA11" s="91">
        <f>IF($A11="","",$I11)</f>
        <v/>
      </c>
      <c r="AB11" s="89">
        <f>IF($A11="","",$L$65*$D11)</f>
        <v/>
      </c>
      <c r="AC11" s="91">
        <f>IF($A11="","",$C11)</f>
        <v/>
      </c>
      <c r="AD11" s="92">
        <f>IF($A11="","",$L$66*$D11)</f>
        <v/>
      </c>
      <c r="AE11" s="91">
        <f>IF($A11="","",$G11)</f>
        <v/>
      </c>
      <c r="AF11" s="89">
        <f>IF($A11="","",$L$67*$D11)</f>
        <v/>
      </c>
      <c r="AG11" s="91">
        <f>IF($A11="","",$C11)</f>
        <v/>
      </c>
      <c r="AH11" s="92">
        <f>IF($A11="","",$L$68*$D11)</f>
        <v/>
      </c>
      <c r="AI11" s="93">
        <f>IF($A11="","",$I11-68-68)</f>
        <v/>
      </c>
      <c r="AJ11" s="134">
        <f>IF($A11="","",$K11-68-68)</f>
        <v/>
      </c>
      <c r="AK11" s="95">
        <f>IF($A11="","",2*4*$D11)</f>
        <v/>
      </c>
      <c r="AL11">
        <f>IF($A11="","",$BC$7*$D11)</f>
        <v/>
      </c>
      <c r="AM11">
        <f>IF($A11="","",$BC$6*$D11)</f>
        <v/>
      </c>
      <c r="AN11">
        <f>IF($A11="","",$BC$9*$D11)</f>
        <v/>
      </c>
      <c r="AO11">
        <f>IF($A11="","",$BC$10*$D11)</f>
        <v/>
      </c>
      <c r="AP11">
        <f>IF($A11="","",2*$BC$6*$D11)</f>
        <v/>
      </c>
      <c r="AQ11">
        <f>IF($A11="","",IF($B11&gt;2800,2,IF($B11&gt;1400,1,0))*$BC$6*$D11)</f>
        <v/>
      </c>
      <c r="AR11">
        <f>IF($A11="","",2*$BC$6*$D11)</f>
        <v/>
      </c>
      <c r="AS11">
        <f>IF($A11="","",$BC$6*$D11)</f>
        <v/>
      </c>
      <c r="AT11">
        <f>IF($A11="","",2*$BC$6*$D11)</f>
        <v/>
      </c>
      <c r="AU11">
        <f>IF($A11="","",4*4*$D11)</f>
        <v/>
      </c>
      <c r="AV11">
        <f>IF($A11="","",16*4*$D11)</f>
        <v/>
      </c>
      <c r="AW11">
        <f>IF($A11="","",(2+MAX(0,ROUNDUP(($G11-1500)/500,0)))*$D11)</f>
        <v/>
      </c>
      <c r="AX11">
        <f>IF($A11="","",(2+MAX(0,ROUNDUP(($G11-1500)/500,0)))*$D11)</f>
        <v/>
      </c>
      <c r="AY11">
        <f>IF($A11="","",ROUND((2*2*($K11+$I11)*4*$D11+$S11*$T11)/1000,1))</f>
        <v/>
      </c>
      <c r="BA11" t="inlineStr">
        <is>
          <t>Alignล็อคดำ</t>
        </is>
      </c>
      <c r="BB11" t="inlineStr">
        <is>
          <t>JR00375</t>
        </is>
      </c>
    </row>
    <row r="12" ht="40.15" customHeight="1">
      <c r="A12" s="87" t="n">
        <v>35</v>
      </c>
      <c r="B12" s="88" t="n">
        <v>2700</v>
      </c>
      <c r="C12" s="89" t="n">
        <v>5000</v>
      </c>
      <c r="D12" s="90" t="n">
        <v>6</v>
      </c>
      <c r="E12" s="96">
        <f>IF($A12="","",$B12)</f>
        <v/>
      </c>
      <c r="F12" s="97">
        <f>IF($A12="","",$L$54*$D12)</f>
        <v/>
      </c>
      <c r="G12" s="96">
        <f>IF($A12="","",$C12-$E$55-$F$55)</f>
        <v/>
      </c>
      <c r="H12" s="97">
        <f>IF($A12="","",$L$55*$D12)</f>
        <v/>
      </c>
      <c r="I12" s="96">
        <f>IF($A12="","",$B12-$E$56-$F$56-$G$56-$H$56)</f>
        <v/>
      </c>
      <c r="J12" s="97">
        <f>IF($A12="","",$L$56*$D12)</f>
        <v/>
      </c>
      <c r="K12" s="96">
        <f>IF($A12="","",(($C12-$E$57-$F$57-$G$57-$H$57)/4)+(78*2)/4)</f>
        <v/>
      </c>
      <c r="L12" s="97">
        <f>IF($A12="","",$L$57*$D12)</f>
        <v/>
      </c>
      <c r="M12" s="96">
        <f>IF($A12="","",$I12-$E$58-$F$58)</f>
        <v/>
      </c>
      <c r="N12" s="97">
        <f>IF($A12="","",$L$58*$D12)</f>
        <v/>
      </c>
      <c r="O12" s="96">
        <f>IF($A12="","",$K12-$E$59-$F$59)</f>
        <v/>
      </c>
      <c r="P12" s="97">
        <f>IF($A12="","",$L$59*$D12)</f>
        <v/>
      </c>
      <c r="Q12" s="96">
        <f>IF($A12="","",$I12)</f>
        <v/>
      </c>
      <c r="R12" s="97">
        <f>IF($A12="","",$L$60*$D12)</f>
        <v/>
      </c>
      <c r="S12" s="96">
        <f>IF($A12="","",$I12)</f>
        <v/>
      </c>
      <c r="T12" s="97">
        <f>IF($A12="","",$L$61*$D12)</f>
        <v/>
      </c>
      <c r="U12" s="96">
        <f>IF($A12="","",$B12-$E$62-$F$62)</f>
        <v/>
      </c>
      <c r="V12" s="97">
        <f>IF($A12="","",$L$62*$D12)</f>
        <v/>
      </c>
      <c r="W12" s="96">
        <f>IF($A12="","",$G12)</f>
        <v/>
      </c>
      <c r="X12" s="97">
        <f>IF($A12="","",$L$63*$D12)</f>
        <v/>
      </c>
      <c r="Y12" s="96">
        <f>IF($A12="","",$S12)</f>
        <v/>
      </c>
      <c r="Z12" s="97">
        <f>IF($A12="","",$L$64*$D12)</f>
        <v/>
      </c>
      <c r="AA12" s="96">
        <f>IF($A12="","",$I12)</f>
        <v/>
      </c>
      <c r="AB12" s="97">
        <f>IF($A12="","",$L$65*$D12)</f>
        <v/>
      </c>
      <c r="AC12" s="96">
        <f>IF($A12="","",$G12)</f>
        <v/>
      </c>
      <c r="AD12" s="98">
        <f>IF($A12="","",$L$66*$D12)</f>
        <v/>
      </c>
      <c r="AE12" s="96">
        <f>IF($A12="","",$G12)</f>
        <v/>
      </c>
      <c r="AF12" s="97">
        <f>IF($A12="","",$L$67*$D12)</f>
        <v/>
      </c>
      <c r="AG12" s="96">
        <f>IF($A12="","",$C12)</f>
        <v/>
      </c>
      <c r="AH12" s="98">
        <f>IF($A12="","",$L$68*$D12)</f>
        <v/>
      </c>
      <c r="AI12" s="93">
        <f>IF($A12="","",$I12-68-68)</f>
        <v/>
      </c>
      <c r="AJ12" s="134">
        <f>IF($A12="","",$K12-68-68)</f>
        <v/>
      </c>
      <c r="AK12" s="95">
        <f>IF($A12="","",2*4*$D12)</f>
        <v/>
      </c>
      <c r="AL12">
        <f>IF($A12="","",$BC$7*$D12)</f>
        <v/>
      </c>
      <c r="AM12">
        <f>IF($A12="","",$BC$6*$D12)</f>
        <v/>
      </c>
      <c r="AN12">
        <f>IF($A12="","",$BC$9*$D12)</f>
        <v/>
      </c>
      <c r="AO12">
        <f>IF($A12="","",$BC$10*$D12)</f>
        <v/>
      </c>
      <c r="AP12">
        <f>IF($A12="","",2*$BC$6*$D12)</f>
        <v/>
      </c>
      <c r="AQ12">
        <f>IF($A12="","",IF($B12&gt;2800,2,IF($B12&gt;1400,1,0))*$BC$6*$D12)</f>
        <v/>
      </c>
      <c r="AR12">
        <f>IF($A12="","",2*$BC$6*$D12)</f>
        <v/>
      </c>
      <c r="AS12">
        <f>IF($A12="","",$BC$6*$D12)</f>
        <v/>
      </c>
      <c r="AT12">
        <f>IF($A12="","",2*$BC$6*$D12)</f>
        <v/>
      </c>
      <c r="AU12">
        <f>IF($A12="","",4*4*$D12)</f>
        <v/>
      </c>
      <c r="AV12">
        <f>IF($A12="","",16*4*$D12)</f>
        <v/>
      </c>
      <c r="AW12">
        <f>IF($A12="","",(2+MAX(0,ROUNDUP(($G12-1500)/500,0)))*$D12)</f>
        <v/>
      </c>
      <c r="AX12">
        <f>IF($A12="","",(2+MAX(0,ROUNDUP(($G12-1500)/500,0)))*$D12)</f>
        <v/>
      </c>
      <c r="AY12">
        <f>IF($A12="","",ROUND((2*2*($K12+$I12)*4*$D12+$S12*$T12)/1000,1))</f>
        <v/>
      </c>
      <c r="BA12" t="inlineStr">
        <is>
          <t>Alignดัมมี่ดำ</t>
        </is>
      </c>
      <c r="BB12" t="inlineStr">
        <is>
          <t>JR00376</t>
        </is>
      </c>
    </row>
    <row r="13" ht="40.15" customHeight="1">
      <c r="A13" s="99" t="n">
        <v>39</v>
      </c>
      <c r="B13" s="88" t="n">
        <v>2750</v>
      </c>
      <c r="C13" s="89" t="n">
        <v>4750</v>
      </c>
      <c r="D13" s="90" t="n">
        <v>1</v>
      </c>
      <c r="E13" s="91">
        <f>IF($A13="","",$B13)</f>
        <v/>
      </c>
      <c r="F13" s="89">
        <f>IF($A13="","",$L$54*$D13)</f>
        <v/>
      </c>
      <c r="G13" s="91">
        <f>IF($A13="","",$C13-$E$55-$F$55)</f>
        <v/>
      </c>
      <c r="H13" s="89">
        <f>IF($A13="","",$L$55*$D13)</f>
        <v/>
      </c>
      <c r="I13" s="91">
        <f>IF($A13="","",$B13-$E$56-$F$56-$G$56-$H$56)</f>
        <v/>
      </c>
      <c r="J13" s="89">
        <f>IF($A13="","",$L$56*$D13)</f>
        <v/>
      </c>
      <c r="K13" s="91">
        <f>IF($A13="","",(($C13-$E$57-$F$57-$G$57-$H$57)/4)+(78*2)/4)</f>
        <v/>
      </c>
      <c r="L13" s="89">
        <f>IF($A13="","",$L$57*$D13)</f>
        <v/>
      </c>
      <c r="M13" s="91">
        <f>IF($A13="","",$I13-$E$58-$F$58)</f>
        <v/>
      </c>
      <c r="N13" s="89">
        <f>IF($A13="","",$L$58*$D13)</f>
        <v/>
      </c>
      <c r="O13" s="91">
        <f>IF($A13="","",$K13-$E$59-$F$59)</f>
        <v/>
      </c>
      <c r="P13" s="89">
        <f>IF($A13="","",$L$59*$D13)</f>
        <v/>
      </c>
      <c r="Q13" s="91">
        <f>IF($A13="","",$I13)</f>
        <v/>
      </c>
      <c r="R13" s="89">
        <f>IF($A13="","",$L$60*$D13)</f>
        <v/>
      </c>
      <c r="S13" s="91">
        <f>IF($A13="","",$I13)</f>
        <v/>
      </c>
      <c r="T13" s="89">
        <f>IF($A13="","",$L$61*$D13)</f>
        <v/>
      </c>
      <c r="U13" s="91">
        <f>IF($A13="","",$B13-$E$62-$F$62)</f>
        <v/>
      </c>
      <c r="V13" s="89">
        <f>IF($A13="","",$L$62*$D13)</f>
        <v/>
      </c>
      <c r="W13" s="91">
        <f>IF($A13="","",$G13)</f>
        <v/>
      </c>
      <c r="X13" s="89">
        <f>IF($A13="","",$L$63*$D13)</f>
        <v/>
      </c>
      <c r="Y13" s="91">
        <f>IF($A13="","",$S13)</f>
        <v/>
      </c>
      <c r="Z13" s="89">
        <f>IF($A13="","",$L$64*$D13)</f>
        <v/>
      </c>
      <c r="AA13" s="91">
        <f>IF($A13="","",$I13)</f>
        <v/>
      </c>
      <c r="AB13" s="89">
        <f>IF($A13="","",$L$65*$D13)</f>
        <v/>
      </c>
      <c r="AC13" s="91">
        <f>IF($A13="","",$G13)</f>
        <v/>
      </c>
      <c r="AD13" s="92">
        <f>IF($A13="","",$L$66*$D13)</f>
        <v/>
      </c>
      <c r="AE13" s="91">
        <f>IF($A13="","",$G13)</f>
        <v/>
      </c>
      <c r="AF13" s="89">
        <f>IF($A13="","",$L$67*$D13)</f>
        <v/>
      </c>
      <c r="AG13" s="91">
        <f>IF($A13="","",$C13)</f>
        <v/>
      </c>
      <c r="AH13" s="92">
        <f>IF($A13="","",$L$68*$D13)</f>
        <v/>
      </c>
      <c r="AI13" s="93">
        <f>IF($A13="","",$I13-68-68)</f>
        <v/>
      </c>
      <c r="AJ13" s="134">
        <f>IF($A13="","",$K13-68-68)</f>
        <v/>
      </c>
      <c r="AK13" s="95">
        <f>IF($A13="","",2*4*$D13)</f>
        <v/>
      </c>
      <c r="AL13">
        <f>IF($A13="","",$BC$7*$D13)</f>
        <v/>
      </c>
      <c r="AM13">
        <f>IF($A13="","",$BC$6*$D13)</f>
        <v/>
      </c>
      <c r="AN13">
        <f>IF($A13="","",$BC$9*$D13)</f>
        <v/>
      </c>
      <c r="AO13">
        <f>IF($A13="","",$BC$10*$D13)</f>
        <v/>
      </c>
      <c r="AP13">
        <f>IF($A13="","",2*$BC$6*$D13)</f>
        <v/>
      </c>
      <c r="AQ13">
        <f>IF($A13="","",IF($B13&gt;2800,2,IF($B13&gt;1400,1,0))*$BC$6*$D13)</f>
        <v/>
      </c>
      <c r="AR13">
        <f>IF($A13="","",2*$BC$6*$D13)</f>
        <v/>
      </c>
      <c r="AS13">
        <f>IF($A13="","",$BC$6*$D13)</f>
        <v/>
      </c>
      <c r="AT13">
        <f>IF($A13="","",2*$BC$6*$D13)</f>
        <v/>
      </c>
      <c r="AU13">
        <f>IF($A13="","",4*4*$D13)</f>
        <v/>
      </c>
      <c r="AV13">
        <f>IF($A13="","",16*4*$D13)</f>
        <v/>
      </c>
      <c r="AW13">
        <f>IF($A13="","",(2+MAX(0,ROUNDUP(($G13-1500)/500,0)))*$D13)</f>
        <v/>
      </c>
      <c r="AX13">
        <f>IF($A13="","",(2+MAX(0,ROUNDUP(($G13-1500)/500,0)))*$D13)</f>
        <v/>
      </c>
      <c r="AY13">
        <f>IF($A13="","",ROUND((2*2*($K13+$I13)*4*$D13+$S13*$T13)/1000,1))</f>
        <v/>
      </c>
    </row>
    <row r="14" ht="40.15" customHeight="1">
      <c r="A14" s="99" t="n"/>
      <c r="B14" s="88" t="n"/>
      <c r="C14" s="89" t="n"/>
      <c r="D14" s="90" t="n"/>
      <c r="E14" s="96">
        <f>IF($A14="","",$B14)</f>
        <v/>
      </c>
      <c r="F14" s="97">
        <f>IF($A14="","",$L$54*$D14)</f>
        <v/>
      </c>
      <c r="G14" s="96">
        <f>IF($A14="","",$C14-$E$55-$F$55)</f>
        <v/>
      </c>
      <c r="H14" s="97">
        <f>IF($A14="","",$L$55*$D14)</f>
        <v/>
      </c>
      <c r="I14" s="96">
        <f>IF($A14="","",$B14-$E$56-$F$56-$G$56-$H$56)</f>
        <v/>
      </c>
      <c r="J14" s="97">
        <f>IF($A14="","",$L$56*$D14)</f>
        <v/>
      </c>
      <c r="K14" s="96">
        <f>IF($A14="","",(($C14-$E$57-$F$57-$G$57-$H$57)/4)+(78*2)/4)</f>
        <v/>
      </c>
      <c r="L14" s="97">
        <f>IF($A14="","",$L$57*$D14)</f>
        <v/>
      </c>
      <c r="M14" s="96">
        <f>IF($A14="","",$I14-$E$58-$F$58)</f>
        <v/>
      </c>
      <c r="N14" s="97">
        <f>IF($A14="","",$L$58*$D14)</f>
        <v/>
      </c>
      <c r="O14" s="96">
        <f>IF($A14="","",$K14-$E$59-$F$59)</f>
        <v/>
      </c>
      <c r="P14" s="97">
        <f>IF($A14="","",$L$59*$D14)</f>
        <v/>
      </c>
      <c r="Q14" s="96">
        <f>IF($A14="","",$I14)</f>
        <v/>
      </c>
      <c r="R14" s="97">
        <f>IF($A14="","",$L$60*$D14)</f>
        <v/>
      </c>
      <c r="S14" s="96">
        <f>IF($A14="","",$I14)</f>
        <v/>
      </c>
      <c r="T14" s="97">
        <f>IF($A14="","",$L$61*$D14)</f>
        <v/>
      </c>
      <c r="U14" s="96">
        <f>IF($A14="","",$B14-$E$62-$F$62)</f>
        <v/>
      </c>
      <c r="V14" s="97">
        <f>IF($A14="","",$L$62*$D14)</f>
        <v/>
      </c>
      <c r="W14" s="96">
        <f>IF($A14="","",$G14)</f>
        <v/>
      </c>
      <c r="X14" s="97">
        <f>IF($A14="","",$L$63*$D14)</f>
        <v/>
      </c>
      <c r="Y14" s="96">
        <f>IF($A14="","",$S14)</f>
        <v/>
      </c>
      <c r="Z14" s="97">
        <f>IF($A14="","",$L$64*$D14)</f>
        <v/>
      </c>
      <c r="AA14" s="96">
        <f>IF($A14="","",$I14)</f>
        <v/>
      </c>
      <c r="AB14" s="97">
        <f>IF($A14="","",$L$65*$D14)</f>
        <v/>
      </c>
      <c r="AC14" s="96">
        <f>IF($A14="","",$G14)</f>
        <v/>
      </c>
      <c r="AD14" s="98">
        <f>IF($A14="","",$L$66*$D14)</f>
        <v/>
      </c>
      <c r="AE14" s="96">
        <f>IF($A14="","",$G14)</f>
        <v/>
      </c>
      <c r="AF14" s="97">
        <f>IF($A14="","",$L$67*$D14)</f>
        <v/>
      </c>
      <c r="AG14" s="96">
        <f>IF($A14="","",$C14)</f>
        <v/>
      </c>
      <c r="AH14" s="98">
        <f>IF($A14="","",$L$68*$D14)</f>
        <v/>
      </c>
      <c r="AI14" s="93">
        <f>IF($A14="","",$I14-68-68)</f>
        <v/>
      </c>
      <c r="AJ14" s="94">
        <f>IF($A14="","",$K14-68-68)</f>
        <v/>
      </c>
      <c r="AK14" s="95">
        <f>IF($A14="","",2*4*$D14)</f>
        <v/>
      </c>
      <c r="AL14">
        <f>IF($A14="","",$BC$7*$D14)</f>
        <v/>
      </c>
      <c r="AM14">
        <f>IF($A14="","",$BC$6*$D14)</f>
        <v/>
      </c>
      <c r="AN14">
        <f>IF($A14="","",$BC$9*$D14)</f>
        <v/>
      </c>
      <c r="AO14">
        <f>IF($A14="","",$BC$10*$D14)</f>
        <v/>
      </c>
      <c r="AP14">
        <f>IF($A14="","",2*$BC$6*$D14)</f>
        <v/>
      </c>
      <c r="AQ14">
        <f>IF($A14="","",IF($B14&gt;2800,2,IF($B14&gt;1400,1,0))*$BC$6*$D14)</f>
        <v/>
      </c>
      <c r="AR14">
        <f>IF($A14="","",2*$BC$6*$D14)</f>
        <v/>
      </c>
      <c r="AS14">
        <f>IF($A14="","",$BC$6*$D14)</f>
        <v/>
      </c>
      <c r="AT14">
        <f>IF($A14="","",2*$BC$6*$D14)</f>
        <v/>
      </c>
      <c r="AU14">
        <f>IF($A14="","",4*4*$D14)</f>
        <v/>
      </c>
      <c r="AV14">
        <f>IF($A14="","",16*4*$D14)</f>
        <v/>
      </c>
      <c r="AW14">
        <f>IF($A14="","",(2+MAX(0,ROUNDUP(($G14-1500)/500,0)))*$D14)</f>
        <v/>
      </c>
      <c r="AX14">
        <f>IF($A14="","",(2+MAX(0,ROUNDUP(($G14-1500)/500,0)))*$D14)</f>
        <v/>
      </c>
      <c r="AY14">
        <f>IF($A14="","",ROUND((2*2*($K14+$I14)*4*$D14+$S14*$T14)/1000,1))</f>
        <v/>
      </c>
    </row>
    <row r="15" ht="40.15" customHeight="1">
      <c r="A15" s="99" t="n"/>
      <c r="B15" s="88" t="n"/>
      <c r="C15" s="89" t="n"/>
      <c r="D15" s="90" t="n"/>
      <c r="E15" s="91">
        <f>IF($A15="","",$B15)</f>
        <v/>
      </c>
      <c r="F15" s="89">
        <f>IF($A15="","",$L$54*$D15)</f>
        <v/>
      </c>
      <c r="G15" s="91">
        <f>IF($A15="","",$C15-$E$55-$F$55)</f>
        <v/>
      </c>
      <c r="H15" s="89">
        <f>IF($A15="","",$L$55*$D15)</f>
        <v/>
      </c>
      <c r="I15" s="91">
        <f>IF($A15="","",$B15-$E$56-$F$56-$G$56-$H$56)</f>
        <v/>
      </c>
      <c r="J15" s="89">
        <f>IF($A15="","",$L$56*$D15)</f>
        <v/>
      </c>
      <c r="K15" s="91">
        <f>IF($A15="","",(($C15-$E$57-$F$57-$G$57-$H$57)/4)+(78*2)/4)</f>
        <v/>
      </c>
      <c r="L15" s="89">
        <f>IF($A15="","",$L$57*$D15)</f>
        <v/>
      </c>
      <c r="M15" s="91">
        <f>IF($A15="","",$I15-$E$58-$F$58)</f>
        <v/>
      </c>
      <c r="N15" s="89">
        <f>IF($A15="","",$L$58*$D15)</f>
        <v/>
      </c>
      <c r="O15" s="91">
        <f>IF($A15="","",$K15-$E$59-$F$59)</f>
        <v/>
      </c>
      <c r="P15" s="89">
        <f>IF($A15="","",$L$59*$D15)</f>
        <v/>
      </c>
      <c r="Q15" s="91">
        <f>IF($A15="","",$I15)</f>
        <v/>
      </c>
      <c r="R15" s="89">
        <f>IF($A15="","",$L$60*$D15)</f>
        <v/>
      </c>
      <c r="S15" s="91">
        <f>IF($A15="","",$I15)</f>
        <v/>
      </c>
      <c r="T15" s="89">
        <f>IF($A15="","",$L$61*$D15)</f>
        <v/>
      </c>
      <c r="U15" s="91">
        <f>IF($A15="","",$B15-$E$62-$F$62)</f>
        <v/>
      </c>
      <c r="V15" s="89">
        <f>IF($A15="","",$L$62*$D15)</f>
        <v/>
      </c>
      <c r="W15" s="91">
        <f>IF($A15="","",$G15)</f>
        <v/>
      </c>
      <c r="X15" s="89">
        <f>IF($A15="","",$L$63*$D15)</f>
        <v/>
      </c>
      <c r="Y15" s="91">
        <f>IF($A15="","",$S15)</f>
        <v/>
      </c>
      <c r="Z15" s="89">
        <f>IF($A15="","",$L$64*$D15)</f>
        <v/>
      </c>
      <c r="AA15" s="91">
        <f>IF($A15="","",$I15)</f>
        <v/>
      </c>
      <c r="AB15" s="89">
        <f>IF($A15="","",$L$65*$D15)</f>
        <v/>
      </c>
      <c r="AC15" s="91">
        <f>IF($A15="","",$G15)</f>
        <v/>
      </c>
      <c r="AD15" s="92">
        <f>IF($A15="","",$L$66*$D15)</f>
        <v/>
      </c>
      <c r="AE15" s="91">
        <f>IF($A15="","",$G15)</f>
        <v/>
      </c>
      <c r="AF15" s="89">
        <f>IF($A15="","",$L$67*$D15)</f>
        <v/>
      </c>
      <c r="AG15" s="91">
        <f>IF($A15="","",$C15)</f>
        <v/>
      </c>
      <c r="AH15" s="92">
        <f>IF($A15="","",$L$68*$D15)</f>
        <v/>
      </c>
      <c r="AI15" s="93">
        <f>IF($A15="","",$I15-68-68)</f>
        <v/>
      </c>
      <c r="AJ15" s="94">
        <f>IF($A15="","",$K15-68-68)</f>
        <v/>
      </c>
      <c r="AK15" s="95">
        <f>IF($A15="","",2*4*$D15)</f>
        <v/>
      </c>
      <c r="AL15">
        <f>IF($A15="","",$BC$7*$D15)</f>
        <v/>
      </c>
      <c r="AM15">
        <f>IF($A15="","",$BC$6*$D15)</f>
        <v/>
      </c>
      <c r="AN15">
        <f>IF($A15="","",$BC$9*$D15)</f>
        <v/>
      </c>
      <c r="AO15">
        <f>IF($A15="","",$BC$10*$D15)</f>
        <v/>
      </c>
      <c r="AP15">
        <f>IF($A15="","",2*$BC$6*$D15)</f>
        <v/>
      </c>
      <c r="AQ15">
        <f>IF($A15="","",IF($B15&gt;2800,2,IF($B15&gt;1400,1,0))*$BC$6*$D15)</f>
        <v/>
      </c>
      <c r="AR15">
        <f>IF($A15="","",2*$BC$6*$D15)</f>
        <v/>
      </c>
      <c r="AS15">
        <f>IF($A15="","",$BC$6*$D15)</f>
        <v/>
      </c>
      <c r="AT15">
        <f>IF($A15="","",2*$BC$6*$D15)</f>
        <v/>
      </c>
      <c r="AU15">
        <f>IF($A15="","",4*4*$D15)</f>
        <v/>
      </c>
      <c r="AV15">
        <f>IF($A15="","",16*4*$D15)</f>
        <v/>
      </c>
      <c r="AW15">
        <f>IF($A15="","",(2+MAX(0,ROUNDUP(($G15-1500)/500,0)))*$D15)</f>
        <v/>
      </c>
      <c r="AX15">
        <f>IF($A15="","",(2+MAX(0,ROUNDUP(($G15-1500)/500,0)))*$D15)</f>
        <v/>
      </c>
      <c r="AY15">
        <f>IF($A15="","",ROUND((2*2*($K15+$I15)*4*$D15+$S15*$T15)/1000,1))</f>
        <v/>
      </c>
    </row>
    <row r="16" ht="40.15" customHeight="1">
      <c r="A16" s="99" t="n"/>
      <c r="B16" s="88" t="n"/>
      <c r="C16" s="89" t="n"/>
      <c r="D16" s="90" t="n"/>
      <c r="E16" s="96">
        <f>IF($A16="","",$B16)</f>
        <v/>
      </c>
      <c r="F16" s="97">
        <f>IF($A16="","",$L$54*$D16)</f>
        <v/>
      </c>
      <c r="G16" s="96">
        <f>IF($A16="","",$C16-$E$55-$F$55)</f>
        <v/>
      </c>
      <c r="H16" s="97">
        <f>IF($A16="","",$L$55*$D16)</f>
        <v/>
      </c>
      <c r="I16" s="96">
        <f>IF($A16="","",$B16-$E$56-$F$56-$G$56-$H$56)</f>
        <v/>
      </c>
      <c r="J16" s="97">
        <f>IF($A16="","",$L$56*$D16)</f>
        <v/>
      </c>
      <c r="K16" s="96">
        <f>IF($A16="","",(($C16-$E$57-$F$57-$G$57-$H$57)/4)+(78*2)/4)</f>
        <v/>
      </c>
      <c r="L16" s="97">
        <f>IF($A16="","",$L$57*$D16)</f>
        <v/>
      </c>
      <c r="M16" s="96">
        <f>IF($A16="","",$I16-$E$58-$F$58)</f>
        <v/>
      </c>
      <c r="N16" s="97">
        <f>IF($A16="","",$L$58*$D16)</f>
        <v/>
      </c>
      <c r="O16" s="96">
        <f>IF($A16="","",$K16-$E$59-$F$59)</f>
        <v/>
      </c>
      <c r="P16" s="97">
        <f>IF($A16="","",$L$59*$D16)</f>
        <v/>
      </c>
      <c r="Q16" s="96">
        <f>IF($A16="","",$I16)</f>
        <v/>
      </c>
      <c r="R16" s="97">
        <f>IF($A16="","",$L$60*$D16)</f>
        <v/>
      </c>
      <c r="S16" s="96">
        <f>IF($A16="","",$I16)</f>
        <v/>
      </c>
      <c r="T16" s="97">
        <f>IF($A16="","",$L$61*$D16)</f>
        <v/>
      </c>
      <c r="U16" s="96">
        <f>IF($A16="","",$B16-$E$62-$F$62)</f>
        <v/>
      </c>
      <c r="V16" s="97">
        <f>IF($A16="","",$L$62*$D16)</f>
        <v/>
      </c>
      <c r="W16" s="96">
        <f>IF($A16="","",$G16)</f>
        <v/>
      </c>
      <c r="X16" s="97">
        <f>IF($A16="","",$L$63*$D16)</f>
        <v/>
      </c>
      <c r="Y16" s="96">
        <f>IF($A16="","",$S16)</f>
        <v/>
      </c>
      <c r="Z16" s="97">
        <f>IF($A16="","",$L$64*$D16)</f>
        <v/>
      </c>
      <c r="AA16" s="96">
        <f>IF($A16="","",$I16)</f>
        <v/>
      </c>
      <c r="AB16" s="97">
        <f>IF($A16="","",$L$65*$D16)</f>
        <v/>
      </c>
      <c r="AC16" s="96">
        <f>IF($A16="","",$G16)</f>
        <v/>
      </c>
      <c r="AD16" s="98">
        <f>IF($A16="","",$L$66*$D16)</f>
        <v/>
      </c>
      <c r="AE16" s="96">
        <f>IF($A16="","",$G16)</f>
        <v/>
      </c>
      <c r="AF16" s="97">
        <f>IF($A16="","",$L$67*$D16)</f>
        <v/>
      </c>
      <c r="AG16" s="96">
        <f>IF($A16="","",$C16)</f>
        <v/>
      </c>
      <c r="AH16" s="98">
        <f>IF($A16="","",$L$68*$D16)</f>
        <v/>
      </c>
      <c r="AI16" s="93">
        <f>IF($A16="","",$I16-68-68)</f>
        <v/>
      </c>
      <c r="AJ16" s="94">
        <f>IF($A16="","",$K16-68-68)</f>
        <v/>
      </c>
      <c r="AK16" s="95">
        <f>IF($A16="","",2*4*$D16)</f>
        <v/>
      </c>
      <c r="AL16">
        <f>IF($A16="","",$BC$7*$D16)</f>
        <v/>
      </c>
      <c r="AM16">
        <f>IF($A16="","",$BC$6*$D16)</f>
        <v/>
      </c>
      <c r="AN16">
        <f>IF($A16="","",$BC$9*$D16)</f>
        <v/>
      </c>
      <c r="AO16">
        <f>IF($A16="","",$BC$10*$D16)</f>
        <v/>
      </c>
      <c r="AP16">
        <f>IF($A16="","",2*$BC$6*$D16)</f>
        <v/>
      </c>
      <c r="AQ16">
        <f>IF($A16="","",IF($B16&gt;2800,2,IF($B16&gt;1400,1,0))*$BC$6*$D16)</f>
        <v/>
      </c>
      <c r="AR16">
        <f>IF($A16="","",2*$BC$6*$D16)</f>
        <v/>
      </c>
      <c r="AS16">
        <f>IF($A16="","",$BC$6*$D16)</f>
        <v/>
      </c>
      <c r="AT16">
        <f>IF($A16="","",2*$BC$6*$D16)</f>
        <v/>
      </c>
      <c r="AU16">
        <f>IF($A16="","",4*4*$D16)</f>
        <v/>
      </c>
      <c r="AV16">
        <f>IF($A16="","",16*4*$D16)</f>
        <v/>
      </c>
      <c r="AW16">
        <f>IF($A16="","",(2+MAX(0,ROUNDUP(($G16-1500)/500,0)))*$D16)</f>
        <v/>
      </c>
      <c r="AX16">
        <f>IF($A16="","",(2+MAX(0,ROUNDUP(($G16-1500)/500,0)))*$D16)</f>
        <v/>
      </c>
      <c r="AY16">
        <f>IF($A16="","",ROUND((2*2*($K16+$I16)*4*$D16+$S16*$T16)/1000,1))</f>
        <v/>
      </c>
    </row>
    <row r="17" ht="40.15" customHeight="1">
      <c r="A17" s="99" t="n"/>
      <c r="B17" s="88" t="n"/>
      <c r="C17" s="89" t="n"/>
      <c r="D17" s="90" t="n"/>
      <c r="E17" s="91">
        <f>IF($A17="","",$B17)</f>
        <v/>
      </c>
      <c r="F17" s="89">
        <f>IF($A17="","",$L$54*$D17)</f>
        <v/>
      </c>
      <c r="G17" s="91">
        <f>IF($A17="","",$C17-$E$55-$F$55)</f>
        <v/>
      </c>
      <c r="H17" s="89">
        <f>IF($A17="","",$L$55*$D17)</f>
        <v/>
      </c>
      <c r="I17" s="91">
        <f>IF($A17="","",$B17-$E$56-$F$56-$G$56-$H$56)</f>
        <v/>
      </c>
      <c r="J17" s="89">
        <f>IF($A17="","",$L$56*$D17)</f>
        <v/>
      </c>
      <c r="K17" s="91">
        <f>IF($A17="","",(($C17-$E$57-$F$57-$G$57-$H$57)/4)+(78*2)/4)</f>
        <v/>
      </c>
      <c r="L17" s="89">
        <f>IF($A17="","",$L$57*$D17)</f>
        <v/>
      </c>
      <c r="M17" s="91">
        <f>IF($A17="","",$I17-$E$58-$F$58)</f>
        <v/>
      </c>
      <c r="N17" s="89">
        <f>IF($A17="","",$L$58*$D17)</f>
        <v/>
      </c>
      <c r="O17" s="91">
        <f>IF($A17="","",$K17-$E$59-$F$59)</f>
        <v/>
      </c>
      <c r="P17" s="89">
        <f>IF($A17="","",$L$59*$D17)</f>
        <v/>
      </c>
      <c r="Q17" s="91">
        <f>IF($A17="","",$I17)</f>
        <v/>
      </c>
      <c r="R17" s="89">
        <f>IF($A17="","",$L$60*$D17)</f>
        <v/>
      </c>
      <c r="S17" s="91">
        <f>IF($A17="","",$I17)</f>
        <v/>
      </c>
      <c r="T17" s="89">
        <f>IF($A17="","",$L$61*$D17)</f>
        <v/>
      </c>
      <c r="U17" s="91">
        <f>IF($A17="","",$B17-$E$62-$F$62)</f>
        <v/>
      </c>
      <c r="V17" s="89">
        <f>IF($A17="","",$L$62*$D17)</f>
        <v/>
      </c>
      <c r="W17" s="91">
        <f>IF($A17="","",$G17)</f>
        <v/>
      </c>
      <c r="X17" s="89">
        <f>IF($A17="","",$L$63*$D17)</f>
        <v/>
      </c>
      <c r="Y17" s="91">
        <f>IF($A17="","",$S17)</f>
        <v/>
      </c>
      <c r="Z17" s="89">
        <f>IF($A17="","",$L$64*$D17)</f>
        <v/>
      </c>
      <c r="AA17" s="91">
        <f>IF($A17="","",$I17)</f>
        <v/>
      </c>
      <c r="AB17" s="89">
        <f>IF($A17="","",$L$65*$D17)</f>
        <v/>
      </c>
      <c r="AC17" s="91">
        <f>IF($A17="","",$G17)</f>
        <v/>
      </c>
      <c r="AD17" s="92">
        <f>IF($A17="","",$L$66*$D17)</f>
        <v/>
      </c>
      <c r="AE17" s="91">
        <f>IF($A17="","",$G17)</f>
        <v/>
      </c>
      <c r="AF17" s="89">
        <f>IF($A17="","",$L$67*$D17)</f>
        <v/>
      </c>
      <c r="AG17" s="91">
        <f>IF($A17="","",$C17)</f>
        <v/>
      </c>
      <c r="AH17" s="92">
        <f>IF($A17="","",$L$68*$D17)</f>
        <v/>
      </c>
      <c r="AI17" s="93">
        <f>IF($A17="","",$I17-68-68)</f>
        <v/>
      </c>
      <c r="AJ17" s="94">
        <f>IF($A17="","",$K17-68-68)</f>
        <v/>
      </c>
      <c r="AK17" s="95">
        <f>IF($A17="","",2*4*$D17)</f>
        <v/>
      </c>
      <c r="AL17">
        <f>IF($A17="","",$BC$7*$D17)</f>
        <v/>
      </c>
      <c r="AM17">
        <f>IF($A17="","",$BC$6*$D17)</f>
        <v/>
      </c>
      <c r="AN17">
        <f>IF($A17="","",$BC$9*$D17)</f>
        <v/>
      </c>
      <c r="AO17">
        <f>IF($A17="","",$BC$10*$D17)</f>
        <v/>
      </c>
      <c r="AP17">
        <f>IF($A17="","",2*$BC$6*$D17)</f>
        <v/>
      </c>
      <c r="AQ17">
        <f>IF($A17="","",IF($B17&gt;2800,2,IF($B17&gt;1400,1,0))*$BC$6*$D17)</f>
        <v/>
      </c>
      <c r="AR17">
        <f>IF($A17="","",2*$BC$6*$D17)</f>
        <v/>
      </c>
      <c r="AS17">
        <f>IF($A17="","",$BC$6*$D17)</f>
        <v/>
      </c>
      <c r="AT17">
        <f>IF($A17="","",2*$BC$6*$D17)</f>
        <v/>
      </c>
      <c r="AU17">
        <f>IF($A17="","",4*4*$D17)</f>
        <v/>
      </c>
      <c r="AV17">
        <f>IF($A17="","",16*4*$D17)</f>
        <v/>
      </c>
      <c r="AW17">
        <f>IF($A17="","",(2+MAX(0,ROUNDUP(($G17-1500)/500,0)))*$D17)</f>
        <v/>
      </c>
      <c r="AX17">
        <f>IF($A17="","",(2+MAX(0,ROUNDUP(($G17-1500)/500,0)))*$D17)</f>
        <v/>
      </c>
      <c r="AY17">
        <f>IF($A17="","",ROUND((2*2*($K17+$I17)*4*$D17+$S17*$T17)/1000,1))</f>
        <v/>
      </c>
    </row>
    <row r="18" ht="40.15" customHeight="1">
      <c r="A18" s="99" t="n"/>
      <c r="B18" s="88" t="n"/>
      <c r="C18" s="89" t="n"/>
      <c r="D18" s="90" t="n"/>
      <c r="E18" s="96">
        <f>IF($A18="","",$B18)</f>
        <v/>
      </c>
      <c r="F18" s="97">
        <f>IF($A18="","",$L$54*$D18)</f>
        <v/>
      </c>
      <c r="G18" s="96">
        <f>IF($A18="","",$C18-$E$55-$F$55)</f>
        <v/>
      </c>
      <c r="H18" s="97">
        <f>IF($A18="","",$L$55*$D18)</f>
        <v/>
      </c>
      <c r="I18" s="96">
        <f>IF($A18="","",$B18-$E$56-$F$56-$G$56-$H$56)</f>
        <v/>
      </c>
      <c r="J18" s="97">
        <f>IF($A18="","",$L$56*$D18)</f>
        <v/>
      </c>
      <c r="K18" s="96">
        <f>IF($A18="","",(($C18-$E$57-$F$57-$G$57-$H$57)/4)+(78*2)/4)</f>
        <v/>
      </c>
      <c r="L18" s="97">
        <f>IF($A18="","",$L$57*$D18)</f>
        <v/>
      </c>
      <c r="M18" s="96">
        <f>IF($A18="","",$I18-$E$58-$F$58)</f>
        <v/>
      </c>
      <c r="N18" s="97">
        <f>IF($A18="","",$L$58*$D18)</f>
        <v/>
      </c>
      <c r="O18" s="96">
        <f>IF($A18="","",$K18-$E$59-$F$59)</f>
        <v/>
      </c>
      <c r="P18" s="97">
        <f>IF($A18="","",$L$59*$D18)</f>
        <v/>
      </c>
      <c r="Q18" s="96">
        <f>IF($A18="","",$I18)</f>
        <v/>
      </c>
      <c r="R18" s="97">
        <f>IF($A18="","",$L$60*$D18)</f>
        <v/>
      </c>
      <c r="S18" s="96">
        <f>IF($A18="","",$I18)</f>
        <v/>
      </c>
      <c r="T18" s="97">
        <f>IF($A18="","",$L$61*$D18)</f>
        <v/>
      </c>
      <c r="U18" s="96">
        <f>IF($A18="","",$B18-$E$62-$F$62)</f>
        <v/>
      </c>
      <c r="V18" s="97">
        <f>IF($A18="","",$L$62*$D18)</f>
        <v/>
      </c>
      <c r="W18" s="96">
        <f>IF($A18="","",$G18)</f>
        <v/>
      </c>
      <c r="X18" s="97">
        <f>IF($A18="","",$L$63*$D18)</f>
        <v/>
      </c>
      <c r="Y18" s="96">
        <f>IF($A18="","",$S18)</f>
        <v/>
      </c>
      <c r="Z18" s="97">
        <f>IF($A18="","",$L$64*$D18)</f>
        <v/>
      </c>
      <c r="AA18" s="96">
        <f>IF($A18="","",$I18)</f>
        <v/>
      </c>
      <c r="AB18" s="97">
        <f>IF($A18="","",$L$65*$D18)</f>
        <v/>
      </c>
      <c r="AC18" s="96">
        <f>IF($A18="","",$G18)</f>
        <v/>
      </c>
      <c r="AD18" s="98">
        <f>IF($A18="","",$L$66*$D18)</f>
        <v/>
      </c>
      <c r="AE18" s="96">
        <f>IF($A18="","",$G18)</f>
        <v/>
      </c>
      <c r="AF18" s="97">
        <f>IF($A18="","",$L$67*$D18)</f>
        <v/>
      </c>
      <c r="AG18" s="96">
        <f>IF($A18="","",$C18)</f>
        <v/>
      </c>
      <c r="AH18" s="98">
        <f>IF($A18="","",$L$68*$D18)</f>
        <v/>
      </c>
      <c r="AI18" s="93">
        <f>IF($A18="","",$I18-68-68)</f>
        <v/>
      </c>
      <c r="AJ18" s="94">
        <f>IF($A18="","",$K18-68-68)</f>
        <v/>
      </c>
      <c r="AK18" s="95">
        <f>IF($A18="","",2*4*$D18)</f>
        <v/>
      </c>
      <c r="AL18">
        <f>IF($A18="","",$BC$7*$D18)</f>
        <v/>
      </c>
      <c r="AM18">
        <f>IF($A18="","",$BC$6*$D18)</f>
        <v/>
      </c>
      <c r="AN18">
        <f>IF($A18="","",$BC$9*$D18)</f>
        <v/>
      </c>
      <c r="AO18">
        <f>IF($A18="","",$BC$10*$D18)</f>
        <v/>
      </c>
      <c r="AP18">
        <f>IF($A18="","",2*$BC$6*$D18)</f>
        <v/>
      </c>
      <c r="AQ18">
        <f>IF($A18="","",IF($B18&gt;2800,2,IF($B18&gt;1400,1,0))*$BC$6*$D18)</f>
        <v/>
      </c>
      <c r="AR18">
        <f>IF($A18="","",2*$BC$6*$D18)</f>
        <v/>
      </c>
      <c r="AS18">
        <f>IF($A18="","",$BC$6*$D18)</f>
        <v/>
      </c>
      <c r="AT18">
        <f>IF($A18="","",2*$BC$6*$D18)</f>
        <v/>
      </c>
      <c r="AU18">
        <f>IF($A18="","",4*4*$D18)</f>
        <v/>
      </c>
      <c r="AV18">
        <f>IF($A18="","",16*4*$D18)</f>
        <v/>
      </c>
      <c r="AW18">
        <f>IF($A18="","",(2+MAX(0,ROUNDUP(($G18-1500)/500,0)))*$D18)</f>
        <v/>
      </c>
      <c r="AX18">
        <f>IF($A18="","",(2+MAX(0,ROUNDUP(($G18-1500)/500,0)))*$D18)</f>
        <v/>
      </c>
      <c r="AY18">
        <f>IF($A18="","",ROUND((2*2*($K18+$I18)*4*$D18+$S18*$T18)/1000,1))</f>
        <v/>
      </c>
    </row>
    <row r="19" ht="40.15" customHeight="1">
      <c r="A19" s="99" t="n"/>
      <c r="B19" s="88" t="n"/>
      <c r="C19" s="89" t="n"/>
      <c r="D19" s="90" t="n"/>
      <c r="E19" s="91">
        <f>IF($A19="","",$B19)</f>
        <v/>
      </c>
      <c r="F19" s="89">
        <f>IF($A19="","",$L$54*$D19)</f>
        <v/>
      </c>
      <c r="G19" s="91">
        <f>IF($A19="","",$C19-$E$55-$F$55)</f>
        <v/>
      </c>
      <c r="H19" s="89">
        <f>IF($A19="","",$L$55*$D19)</f>
        <v/>
      </c>
      <c r="I19" s="91">
        <f>IF($A19="","",$B19-$E$56-$F$56-$G$56-$H$56)</f>
        <v/>
      </c>
      <c r="J19" s="89">
        <f>IF($A19="","",$L$56*$D19)</f>
        <v/>
      </c>
      <c r="K19" s="91">
        <f>IF($A19="","",(($C19-$E$57-$F$57-$G$57-$H$57)/4)+(78*2)/4)</f>
        <v/>
      </c>
      <c r="L19" s="89">
        <f>IF($A19="","",$L$57*$D19)</f>
        <v/>
      </c>
      <c r="M19" s="91">
        <f>IF($A19="","",$I19-$E$58-$F$58)</f>
        <v/>
      </c>
      <c r="N19" s="89">
        <f>IF($A19="","",$L$58*$D19)</f>
        <v/>
      </c>
      <c r="O19" s="91">
        <f>IF($A19="","",$K19-$E$59-$F$59)</f>
        <v/>
      </c>
      <c r="P19" s="89">
        <f>IF($A19="","",$L$59*$D19)</f>
        <v/>
      </c>
      <c r="Q19" s="91">
        <f>IF($A19="","",$I19)</f>
        <v/>
      </c>
      <c r="R19" s="89">
        <f>IF($A19="","",$L$60*$D19)</f>
        <v/>
      </c>
      <c r="S19" s="91">
        <f>IF($A19="","",$I19)</f>
        <v/>
      </c>
      <c r="T19" s="89">
        <f>IF($A19="","",$L$61*$D19)</f>
        <v/>
      </c>
      <c r="U19" s="91">
        <f>IF($A19="","",$B19-$E$62-$F$62)</f>
        <v/>
      </c>
      <c r="V19" s="89">
        <f>IF($A19="","",$L$62*$D19)</f>
        <v/>
      </c>
      <c r="W19" s="91">
        <f>IF($A19="","",$G19)</f>
        <v/>
      </c>
      <c r="X19" s="89">
        <f>IF($A19="","",$L$63*$D19)</f>
        <v/>
      </c>
      <c r="Y19" s="91">
        <f>IF($A19="","",$S19)</f>
        <v/>
      </c>
      <c r="Z19" s="89">
        <f>IF($A19="","",$L$64*$D19)</f>
        <v/>
      </c>
      <c r="AA19" s="91">
        <f>IF($A19="","",$I19)</f>
        <v/>
      </c>
      <c r="AB19" s="89">
        <f>IF($A19="","",$L$65*$D19)</f>
        <v/>
      </c>
      <c r="AC19" s="91">
        <f>IF($A19="","",$G19)</f>
        <v/>
      </c>
      <c r="AD19" s="92">
        <f>IF($A19="","",$L$66*$D19)</f>
        <v/>
      </c>
      <c r="AE19" s="91">
        <f>IF($A19="","",$G19)</f>
        <v/>
      </c>
      <c r="AF19" s="89">
        <f>IF($A19="","",$L$67*$D19)</f>
        <v/>
      </c>
      <c r="AG19" s="91">
        <f>IF($A19="","",$C19)</f>
        <v/>
      </c>
      <c r="AH19" s="92">
        <f>IF($A19="","",$L$68*$D19)</f>
        <v/>
      </c>
      <c r="AI19" s="93">
        <f>IF($A19="","",$I19-68-68)</f>
        <v/>
      </c>
      <c r="AJ19" s="94">
        <f>IF($A19="","",$K19-68-68)</f>
        <v/>
      </c>
      <c r="AK19" s="95">
        <f>IF($A19="","",2*4*$D19)</f>
        <v/>
      </c>
      <c r="AL19">
        <f>IF($A19="","",$BC$7*$D19)</f>
        <v/>
      </c>
      <c r="AM19">
        <f>IF($A19="","",$BC$6*$D19)</f>
        <v/>
      </c>
      <c r="AN19">
        <f>IF($A19="","",$BC$9*$D19)</f>
        <v/>
      </c>
      <c r="AO19">
        <f>IF($A19="","",$BC$10*$D19)</f>
        <v/>
      </c>
      <c r="AP19">
        <f>IF($A19="","",2*$BC$6*$D19)</f>
        <v/>
      </c>
      <c r="AQ19">
        <f>IF($A19="","",IF($B19&gt;2800,2,IF($B19&gt;1400,1,0))*$BC$6*$D19)</f>
        <v/>
      </c>
      <c r="AR19">
        <f>IF($A19="","",2*$BC$6*$D19)</f>
        <v/>
      </c>
      <c r="AS19">
        <f>IF($A19="","",$BC$6*$D19)</f>
        <v/>
      </c>
      <c r="AT19">
        <f>IF($A19="","",2*$BC$6*$D19)</f>
        <v/>
      </c>
      <c r="AU19">
        <f>IF($A19="","",4*4*$D19)</f>
        <v/>
      </c>
      <c r="AV19">
        <f>IF($A19="","",16*4*$D19)</f>
        <v/>
      </c>
      <c r="AW19">
        <f>IF($A19="","",(2+MAX(0,ROUNDUP(($G19-1500)/500,0)))*$D19)</f>
        <v/>
      </c>
      <c r="AX19">
        <f>IF($A19="","",(2+MAX(0,ROUNDUP(($G19-1500)/500,0)))*$D19)</f>
        <v/>
      </c>
      <c r="AY19">
        <f>IF($A19="","",ROUND((2*2*($K19+$I19)*4*$D19+$S19*$T19)/1000,1))</f>
        <v/>
      </c>
    </row>
    <row r="20" ht="40.15" customHeight="1">
      <c r="A20" s="99" t="n"/>
      <c r="B20" s="88" t="n"/>
      <c r="C20" s="89" t="n"/>
      <c r="D20" s="90" t="n"/>
      <c r="E20" s="96">
        <f>IF($A20="","",$B20)</f>
        <v/>
      </c>
      <c r="F20" s="97">
        <f>IF($A20="","",$L$54*$D20)</f>
        <v/>
      </c>
      <c r="G20" s="96">
        <f>IF($A20="","",$C20-$E$55-$F$55)</f>
        <v/>
      </c>
      <c r="H20" s="97">
        <f>IF($A20="","",$L$55*$D20)</f>
        <v/>
      </c>
      <c r="I20" s="96">
        <f>IF($A20="","",$B20-$E$56-$F$56-$G$56-$H$56)</f>
        <v/>
      </c>
      <c r="J20" s="97">
        <f>IF($A20="","",$L$56*$D20)</f>
        <v/>
      </c>
      <c r="K20" s="96">
        <f>IF($A20="","",(($C20-$E$57-$F$57-$G$57-$H$57)/4)+(78*2)/4)</f>
        <v/>
      </c>
      <c r="L20" s="97">
        <f>IF($A20="","",$L$57*$D20)</f>
        <v/>
      </c>
      <c r="M20" s="96">
        <f>IF($A20="","",$I20-$E$58-$F$58)</f>
        <v/>
      </c>
      <c r="N20" s="97">
        <f>IF($A20="","",$L$58*$D20)</f>
        <v/>
      </c>
      <c r="O20" s="96">
        <f>IF($A20="","",$K20-$E$59-$F$59)</f>
        <v/>
      </c>
      <c r="P20" s="97">
        <f>IF($A20="","",$L$59*$D20)</f>
        <v/>
      </c>
      <c r="Q20" s="96">
        <f>IF($A20="","",$I20)</f>
        <v/>
      </c>
      <c r="R20" s="97">
        <f>IF($A20="","",$L$60*$D20)</f>
        <v/>
      </c>
      <c r="S20" s="96">
        <f>IF($A20="","",$I20)</f>
        <v/>
      </c>
      <c r="T20" s="97">
        <f>IF($A20="","",$L$61*$D20)</f>
        <v/>
      </c>
      <c r="U20" s="96">
        <f>IF($A20="","",$B20-$E$62-$F$62)</f>
        <v/>
      </c>
      <c r="V20" s="97">
        <f>IF($A20="","",$L$62*$D20)</f>
        <v/>
      </c>
      <c r="W20" s="96">
        <f>IF($A20="","",$G20)</f>
        <v/>
      </c>
      <c r="X20" s="97">
        <f>IF($A20="","",$L$63*$D20)</f>
        <v/>
      </c>
      <c r="Y20" s="96">
        <f>IF($A20="","",$S20)</f>
        <v/>
      </c>
      <c r="Z20" s="97">
        <f>IF($A20="","",$L$64*$D20)</f>
        <v/>
      </c>
      <c r="AA20" s="96">
        <f>IF($A20="","",$I20)</f>
        <v/>
      </c>
      <c r="AB20" s="97">
        <f>IF($A20="","",$L$65*$D20)</f>
        <v/>
      </c>
      <c r="AC20" s="96">
        <f>IF($A20="","",$G20)</f>
        <v/>
      </c>
      <c r="AD20" s="98">
        <f>IF($A20="","",$L$66*$D20)</f>
        <v/>
      </c>
      <c r="AE20" s="96">
        <f>IF($A20="","",$G20)</f>
        <v/>
      </c>
      <c r="AF20" s="97">
        <f>IF($A20="","",$L$67*$D20)</f>
        <v/>
      </c>
      <c r="AG20" s="96">
        <f>IF($A20="","",$C20)</f>
        <v/>
      </c>
      <c r="AH20" s="98">
        <f>IF($A20="","",$L$68*$D20)</f>
        <v/>
      </c>
      <c r="AI20" s="93">
        <f>IF($A20="","",$I20-68-68)</f>
        <v/>
      </c>
      <c r="AJ20" s="94">
        <f>IF($A20="","",$K20-68-68)</f>
        <v/>
      </c>
      <c r="AK20" s="95">
        <f>IF($A20="","",2*4*$D20)</f>
        <v/>
      </c>
      <c r="AL20">
        <f>IF($A20="","",$BC$7*$D20)</f>
        <v/>
      </c>
      <c r="AM20">
        <f>IF($A20="","",$BC$6*$D20)</f>
        <v/>
      </c>
      <c r="AN20">
        <f>IF($A20="","",$BC$9*$D20)</f>
        <v/>
      </c>
      <c r="AO20">
        <f>IF($A20="","",$BC$10*$D20)</f>
        <v/>
      </c>
      <c r="AP20">
        <f>IF($A20="","",2*$BC$6*$D20)</f>
        <v/>
      </c>
      <c r="AQ20">
        <f>IF($A20="","",IF($B20&gt;2800,2,IF($B20&gt;1400,1,0))*$BC$6*$D20)</f>
        <v/>
      </c>
      <c r="AR20">
        <f>IF($A20="","",2*$BC$6*$D20)</f>
        <v/>
      </c>
      <c r="AS20">
        <f>IF($A20="","",$BC$6*$D20)</f>
        <v/>
      </c>
      <c r="AT20">
        <f>IF($A20="","",2*$BC$6*$D20)</f>
        <v/>
      </c>
      <c r="AU20">
        <f>IF($A20="","",4*4*$D20)</f>
        <v/>
      </c>
      <c r="AV20">
        <f>IF($A20="","",16*4*$D20)</f>
        <v/>
      </c>
      <c r="AW20">
        <f>IF($A20="","",(2+MAX(0,ROUNDUP(($G20-1500)/500,0)))*$D20)</f>
        <v/>
      </c>
      <c r="AX20">
        <f>IF($A20="","",(2+MAX(0,ROUNDUP(($G20-1500)/500,0)))*$D20)</f>
        <v/>
      </c>
      <c r="AY20">
        <f>IF($A20="","",ROUND((2*2*($K20+$I20)*4*$D20+$S20*$T20)/1000,1))</f>
        <v/>
      </c>
    </row>
    <row r="21" ht="40.15" customHeight="1">
      <c r="A21" s="99" t="n"/>
      <c r="B21" s="88" t="n"/>
      <c r="C21" s="89" t="n"/>
      <c r="D21" s="90" t="n"/>
      <c r="E21" s="91">
        <f>IF($A21="","",$B21)</f>
        <v/>
      </c>
      <c r="F21" s="89">
        <f>IF($A21="","",$L$54*$D21)</f>
        <v/>
      </c>
      <c r="G21" s="91">
        <f>IF($A21="","",$C21-$E$55-$F$55)</f>
        <v/>
      </c>
      <c r="H21" s="89">
        <f>IF($A21="","",$L$55*$D21)</f>
        <v/>
      </c>
      <c r="I21" s="91">
        <f>IF($A21="","",$B21-$E$56-$F$56-$G$56-$H$56)</f>
        <v/>
      </c>
      <c r="J21" s="89">
        <f>IF($A21="","",$L$56*$D21)</f>
        <v/>
      </c>
      <c r="K21" s="91">
        <f>IF($A21="","",(($C21-$E$57-$F$57-$G$57-$H$57)/4)+(78*2)/4)</f>
        <v/>
      </c>
      <c r="L21" s="89">
        <f>IF($A21="","",$L$57*$D21)</f>
        <v/>
      </c>
      <c r="M21" s="91">
        <f>IF($A21="","",$I21-$E$58-$F$58)</f>
        <v/>
      </c>
      <c r="N21" s="89">
        <f>IF($A21="","",$L$58*$D21)</f>
        <v/>
      </c>
      <c r="O21" s="91">
        <f>IF($A21="","",$K21-$E$59-$F$59)</f>
        <v/>
      </c>
      <c r="P21" s="89">
        <f>IF($A21="","",$L$59*$D21)</f>
        <v/>
      </c>
      <c r="Q21" s="91">
        <f>IF($A21="","",$I21)</f>
        <v/>
      </c>
      <c r="R21" s="89">
        <f>IF($A21="","",$L$60*$D21)</f>
        <v/>
      </c>
      <c r="S21" s="91">
        <f>IF($A21="","",$I21)</f>
        <v/>
      </c>
      <c r="T21" s="89">
        <f>IF($A21="","",$L$61*$D21)</f>
        <v/>
      </c>
      <c r="U21" s="91">
        <f>IF($A21="","",$B21-$E$62-$F$62)</f>
        <v/>
      </c>
      <c r="V21" s="89">
        <f>IF($A21="","",$L$62*$D21)</f>
        <v/>
      </c>
      <c r="W21" s="91">
        <f>IF($A21="","",$G21)</f>
        <v/>
      </c>
      <c r="X21" s="89">
        <f>IF($A21="","",$L$63*$D21)</f>
        <v/>
      </c>
      <c r="Y21" s="91">
        <f>IF($A21="","",$S21)</f>
        <v/>
      </c>
      <c r="Z21" s="89">
        <f>IF($A21="","",$L$64*$D21)</f>
        <v/>
      </c>
      <c r="AA21" s="91">
        <f>IF($A21="","",$I21)</f>
        <v/>
      </c>
      <c r="AB21" s="89">
        <f>IF($A21="","",$L$65*$D21)</f>
        <v/>
      </c>
      <c r="AC21" s="91">
        <f>IF($A21="","",$G21)</f>
        <v/>
      </c>
      <c r="AD21" s="92">
        <f>IF($A21="","",$L$66*$D21)</f>
        <v/>
      </c>
      <c r="AE21" s="91">
        <f>IF($A21="","",$G21)</f>
        <v/>
      </c>
      <c r="AF21" s="89">
        <f>IF($A21="","",$L$67*$D21)</f>
        <v/>
      </c>
      <c r="AG21" s="91">
        <f>IF($A21="","",$C21)</f>
        <v/>
      </c>
      <c r="AH21" s="92">
        <f>IF($A21="","",$L$68*$D21)</f>
        <v/>
      </c>
      <c r="AI21" s="93">
        <f>IF($A21="","",$I21-68-68)</f>
        <v/>
      </c>
      <c r="AJ21" s="94">
        <f>IF($A21="","",$K21-68-68)</f>
        <v/>
      </c>
      <c r="AK21" s="95">
        <f>IF($A21="","",2*4*$D21)</f>
        <v/>
      </c>
      <c r="AL21">
        <f>IF($A21="","",$BC$7*$D21)</f>
        <v/>
      </c>
      <c r="AM21">
        <f>IF($A21="","",$BC$6*$D21)</f>
        <v/>
      </c>
      <c r="AN21">
        <f>IF($A21="","",$BC$9*$D21)</f>
        <v/>
      </c>
      <c r="AO21">
        <f>IF($A21="","",$BC$10*$D21)</f>
        <v/>
      </c>
      <c r="AP21">
        <f>IF($A21="","",2*$BC$6*$D21)</f>
        <v/>
      </c>
      <c r="AQ21">
        <f>IF($A21="","",IF($B21&gt;2800,2,IF($B21&gt;1400,1,0))*$BC$6*$D21)</f>
        <v/>
      </c>
      <c r="AR21">
        <f>IF($A21="","",2*$BC$6*$D21)</f>
        <v/>
      </c>
      <c r="AS21">
        <f>IF($A21="","",$BC$6*$D21)</f>
        <v/>
      </c>
      <c r="AT21">
        <f>IF($A21="","",2*$BC$6*$D21)</f>
        <v/>
      </c>
      <c r="AU21">
        <f>IF($A21="","",4*4*$D21)</f>
        <v/>
      </c>
      <c r="AV21">
        <f>IF($A21="","",16*4*$D21)</f>
        <v/>
      </c>
      <c r="AW21">
        <f>IF($A21="","",(2+MAX(0,ROUNDUP(($G21-1500)/500,0)))*$D21)</f>
        <v/>
      </c>
      <c r="AX21">
        <f>IF($A21="","",(2+MAX(0,ROUNDUP(($G21-1500)/500,0)))*$D21)</f>
        <v/>
      </c>
      <c r="AY21">
        <f>IF($A21="","",ROUND((2*2*($K21+$I21)*4*$D21+$S21*$T21)/1000,1))</f>
        <v/>
      </c>
    </row>
    <row r="22" ht="40.15" customHeight="1">
      <c r="A22" s="99" t="n"/>
      <c r="B22" s="88" t="n"/>
      <c r="C22" s="89" t="n"/>
      <c r="D22" s="90" t="n"/>
      <c r="E22" s="96">
        <f>IF($A22="","",$B22)</f>
        <v/>
      </c>
      <c r="F22" s="97">
        <f>IF($A22="","",$L$54*$D22)</f>
        <v/>
      </c>
      <c r="G22" s="96">
        <f>IF($A22="","",$C22-$E$55-$F$55)</f>
        <v/>
      </c>
      <c r="H22" s="97">
        <f>IF($A22="","",$L$55*$D22)</f>
        <v/>
      </c>
      <c r="I22" s="96">
        <f>IF($A22="","",$B22-$E$56-$F$56-$G$56-$H$56)</f>
        <v/>
      </c>
      <c r="J22" s="97">
        <f>IF($A22="","",$L$56*$D22)</f>
        <v/>
      </c>
      <c r="K22" s="96">
        <f>IF($A22="","",(($C22-$E$57-$F$57-$G$57-$H$57)/4)+(78*2)/4)</f>
        <v/>
      </c>
      <c r="L22" s="97">
        <f>IF($A22="","",$L$57*$D22)</f>
        <v/>
      </c>
      <c r="M22" s="96">
        <f>IF($A22="","",$I22-$E$58-$F$58)</f>
        <v/>
      </c>
      <c r="N22" s="97">
        <f>IF($A22="","",$L$58*$D22)</f>
        <v/>
      </c>
      <c r="O22" s="96">
        <f>IF($A22="","",$K22-$E$59-$F$59)</f>
        <v/>
      </c>
      <c r="P22" s="97">
        <f>IF($A22="","",$L$59*$D22)</f>
        <v/>
      </c>
      <c r="Q22" s="96">
        <f>IF($A22="","",$I22)</f>
        <v/>
      </c>
      <c r="R22" s="97">
        <f>IF($A22="","",$L$60*$D22)</f>
        <v/>
      </c>
      <c r="S22" s="96">
        <f>IF($A22="","",$I22)</f>
        <v/>
      </c>
      <c r="T22" s="97">
        <f>IF($A22="","",$L$61*$D22)</f>
        <v/>
      </c>
      <c r="U22" s="96">
        <f>IF($A22="","",$B22-$E$62-$F$62)</f>
        <v/>
      </c>
      <c r="V22" s="97">
        <f>IF($A22="","",$L$62*$D22)</f>
        <v/>
      </c>
      <c r="W22" s="96">
        <f>IF($A22="","",$G22)</f>
        <v/>
      </c>
      <c r="X22" s="97">
        <f>IF($A22="","",$L$63*$D22)</f>
        <v/>
      </c>
      <c r="Y22" s="96">
        <f>IF($A22="","",$S22)</f>
        <v/>
      </c>
      <c r="Z22" s="97">
        <f>IF($A22="","",$L$64*$D22)</f>
        <v/>
      </c>
      <c r="AA22" s="96">
        <f>IF($A22="","",$I22)</f>
        <v/>
      </c>
      <c r="AB22" s="97">
        <f>IF($A22="","",$L$65*$D22)</f>
        <v/>
      </c>
      <c r="AC22" s="96">
        <f>IF($A22="","",$G22)</f>
        <v/>
      </c>
      <c r="AD22" s="98">
        <f>IF($A22="","",$L$66*$D22)</f>
        <v/>
      </c>
      <c r="AE22" s="96">
        <f>IF($A22="","",$G22)</f>
        <v/>
      </c>
      <c r="AF22" s="97">
        <f>IF($A22="","",$L$67*$D22)</f>
        <v/>
      </c>
      <c r="AG22" s="96">
        <f>IF($A22="","",$C22)</f>
        <v/>
      </c>
      <c r="AH22" s="98">
        <f>IF($A22="","",$L$68*$D22)</f>
        <v/>
      </c>
      <c r="AI22" s="93">
        <f>IF($A22="","",$I22-68-68)</f>
        <v/>
      </c>
      <c r="AJ22" s="94">
        <f>IF($A22="","",$K22-68-68)</f>
        <v/>
      </c>
      <c r="AK22" s="95">
        <f>IF($A22="","",2*4*$D22)</f>
        <v/>
      </c>
      <c r="AL22">
        <f>IF($A22="","",$BC$7*$D22)</f>
        <v/>
      </c>
      <c r="AM22">
        <f>IF($A22="","",$BC$6*$D22)</f>
        <v/>
      </c>
      <c r="AN22">
        <f>IF($A22="","",$BC$9*$D22)</f>
        <v/>
      </c>
      <c r="AO22">
        <f>IF($A22="","",$BC$10*$D22)</f>
        <v/>
      </c>
      <c r="AP22">
        <f>IF($A22="","",2*$BC$6*$D22)</f>
        <v/>
      </c>
      <c r="AQ22">
        <f>IF($A22="","",IF($B22&gt;2800,2,IF($B22&gt;1400,1,0))*$BC$6*$D22)</f>
        <v/>
      </c>
      <c r="AR22">
        <f>IF($A22="","",2*$BC$6*$D22)</f>
        <v/>
      </c>
      <c r="AS22">
        <f>IF($A22="","",$BC$6*$D22)</f>
        <v/>
      </c>
      <c r="AT22">
        <f>IF($A22="","",2*$BC$6*$D22)</f>
        <v/>
      </c>
      <c r="AU22">
        <f>IF($A22="","",4*4*$D22)</f>
        <v/>
      </c>
      <c r="AV22">
        <f>IF($A22="","",16*4*$D22)</f>
        <v/>
      </c>
      <c r="AW22">
        <f>IF($A22="","",(2+MAX(0,ROUNDUP(($G22-1500)/500,0)))*$D22)</f>
        <v/>
      </c>
      <c r="AX22">
        <f>IF($A22="","",(2+MAX(0,ROUNDUP(($G22-1500)/500,0)))*$D22)</f>
        <v/>
      </c>
      <c r="AY22">
        <f>IF($A22="","",ROUND((2*2*($K22+$I22)*4*$D22+$S22*$T22)/1000,1))</f>
        <v/>
      </c>
    </row>
    <row r="23" ht="40.15" customHeight="1">
      <c r="A23" s="99" t="n"/>
      <c r="B23" s="88" t="n"/>
      <c r="C23" s="89" t="n"/>
      <c r="D23" s="90" t="n"/>
      <c r="E23" s="91">
        <f>IF($A23="","",$B23)</f>
        <v/>
      </c>
      <c r="F23" s="89">
        <f>IF($A23="","",$L$54*$D23)</f>
        <v/>
      </c>
      <c r="G23" s="91">
        <f>IF($A23="","",$C23-$E$55-$F$55)</f>
        <v/>
      </c>
      <c r="H23" s="89">
        <f>IF($A23="","",$L$55*$D23)</f>
        <v/>
      </c>
      <c r="I23" s="91">
        <f>IF($A23="","",$B23-$E$56-$F$56-$G$56-$H$56)</f>
        <v/>
      </c>
      <c r="J23" s="89">
        <f>IF($A23="","",$L$56*$D23)</f>
        <v/>
      </c>
      <c r="K23" s="91">
        <f>IF($A23="","",(($C23-$E$57-$F$57-$G$57-$H$57)/4)+(78*2)/4)</f>
        <v/>
      </c>
      <c r="L23" s="89">
        <f>IF($A23="","",$L$57*$D23)</f>
        <v/>
      </c>
      <c r="M23" s="91">
        <f>IF($A23="","",$I23-$E$58-$F$58)</f>
        <v/>
      </c>
      <c r="N23" s="89">
        <f>IF($A23="","",$L$58*$D23)</f>
        <v/>
      </c>
      <c r="O23" s="91">
        <f>IF($A23="","",$K23-$E$59-$F$59)</f>
        <v/>
      </c>
      <c r="P23" s="89">
        <f>IF($A23="","",$L$59*$D23)</f>
        <v/>
      </c>
      <c r="Q23" s="91">
        <f>IF($A23="","",$I23)</f>
        <v/>
      </c>
      <c r="R23" s="89">
        <f>IF($A23="","",$L$60*$D23)</f>
        <v/>
      </c>
      <c r="S23" s="91">
        <f>IF($A23="","",$I23)</f>
        <v/>
      </c>
      <c r="T23" s="89">
        <f>IF($A23="","",$L$61*$D23)</f>
        <v/>
      </c>
      <c r="U23" s="91">
        <f>IF($A23="","",$B23-$E$62-$F$62)</f>
        <v/>
      </c>
      <c r="V23" s="89">
        <f>IF($A23="","",$L$62*$D23)</f>
        <v/>
      </c>
      <c r="W23" s="91">
        <f>IF($A23="","",$G23)</f>
        <v/>
      </c>
      <c r="X23" s="89">
        <f>IF($A23="","",$L$63*$D23)</f>
        <v/>
      </c>
      <c r="Y23" s="91">
        <f>IF($A23="","",$S23)</f>
        <v/>
      </c>
      <c r="Z23" s="89">
        <f>IF($A23="","",$L$64*$D23)</f>
        <v/>
      </c>
      <c r="AA23" s="91">
        <f>IF($A23="","",$I23)</f>
        <v/>
      </c>
      <c r="AB23" s="89">
        <f>IF($A23="","",$L$65*$D23)</f>
        <v/>
      </c>
      <c r="AC23" s="91">
        <f>IF($A23="","",$G23)</f>
        <v/>
      </c>
      <c r="AD23" s="92">
        <f>IF($A23="","",$L$66*$D23)</f>
        <v/>
      </c>
      <c r="AE23" s="91">
        <f>IF($A23="","",$G23)</f>
        <v/>
      </c>
      <c r="AF23" s="89">
        <f>IF($A23="","",$L$67*$D23)</f>
        <v/>
      </c>
      <c r="AG23" s="91">
        <f>IF($A23="","",$C23)</f>
        <v/>
      </c>
      <c r="AH23" s="92">
        <f>IF($A23="","",$L$68*$D23)</f>
        <v/>
      </c>
      <c r="AI23" s="93">
        <f>IF($A23="","",$I23-68-68)</f>
        <v/>
      </c>
      <c r="AJ23" s="94">
        <f>IF($A23="","",$K23-68-68)</f>
        <v/>
      </c>
      <c r="AK23" s="95">
        <f>IF($A23="","",2*4*$D23)</f>
        <v/>
      </c>
      <c r="AL23">
        <f>IF($A23="","",$BC$7*$D23)</f>
        <v/>
      </c>
      <c r="AM23">
        <f>IF($A23="","",$BC$6*$D23)</f>
        <v/>
      </c>
      <c r="AN23">
        <f>IF($A23="","",$BC$9*$D23)</f>
        <v/>
      </c>
      <c r="AO23">
        <f>IF($A23="","",$BC$10*$D23)</f>
        <v/>
      </c>
      <c r="AP23">
        <f>IF($A23="","",2*$BC$6*$D23)</f>
        <v/>
      </c>
      <c r="AQ23">
        <f>IF($A23="","",IF($B23&gt;2800,2,IF($B23&gt;1400,1,0))*$BC$6*$D23)</f>
        <v/>
      </c>
      <c r="AR23">
        <f>IF($A23="","",2*$BC$6*$D23)</f>
        <v/>
      </c>
      <c r="AS23">
        <f>IF($A23="","",$BC$6*$D23)</f>
        <v/>
      </c>
      <c r="AT23">
        <f>IF($A23="","",2*$BC$6*$D23)</f>
        <v/>
      </c>
      <c r="AU23">
        <f>IF($A23="","",4*4*$D23)</f>
        <v/>
      </c>
      <c r="AV23">
        <f>IF($A23="","",16*4*$D23)</f>
        <v/>
      </c>
      <c r="AW23">
        <f>IF($A23="","",(2+MAX(0,ROUNDUP(($G23-1500)/500,0)))*$D23)</f>
        <v/>
      </c>
      <c r="AX23">
        <f>IF($A23="","",(2+MAX(0,ROUNDUP(($G23-1500)/500,0)))*$D23)</f>
        <v/>
      </c>
      <c r="AY23">
        <f>IF($A23="","",ROUND((2*2*($K23+$I23)*4*$D23+$S23*$T23)/1000,1))</f>
        <v/>
      </c>
    </row>
    <row r="24" ht="40.15" customHeight="1">
      <c r="A24" s="99" t="n"/>
      <c r="B24" s="88" t="n"/>
      <c r="C24" s="89" t="n"/>
      <c r="D24" s="90" t="n"/>
      <c r="E24" s="96">
        <f>IF($A24="","",$B24)</f>
        <v/>
      </c>
      <c r="F24" s="97">
        <f>IF($A24="","",$L$54*$D24)</f>
        <v/>
      </c>
      <c r="G24" s="96">
        <f>IF($A24="","",$C24-$E$55-$F$55)</f>
        <v/>
      </c>
      <c r="H24" s="97">
        <f>IF($A24="","",$L$55*$D24)</f>
        <v/>
      </c>
      <c r="I24" s="96">
        <f>IF($A24="","",$B24-$E$56-$F$56-$G$56-$H$56)</f>
        <v/>
      </c>
      <c r="J24" s="97">
        <f>IF($A24="","",$L$56*$D24)</f>
        <v/>
      </c>
      <c r="K24" s="96">
        <f>IF($A24="","",(($C24-$E$57-$F$57-$G$57-$H$57)/4)+(78*2)/4)</f>
        <v/>
      </c>
      <c r="L24" s="97">
        <f>IF($A24="","",$L$57*$D24)</f>
        <v/>
      </c>
      <c r="M24" s="96">
        <f>IF($A24="","",$I24-$E$58-$F$58)</f>
        <v/>
      </c>
      <c r="N24" s="97">
        <f>IF($A24="","",$L$58*$D24)</f>
        <v/>
      </c>
      <c r="O24" s="96">
        <f>IF($A24="","",$K24-$E$59-$F$59)</f>
        <v/>
      </c>
      <c r="P24" s="97">
        <f>IF($A24="","",$L$59*$D24)</f>
        <v/>
      </c>
      <c r="Q24" s="96">
        <f>IF($A24="","",$I24)</f>
        <v/>
      </c>
      <c r="R24" s="97">
        <f>IF($A24="","",$L$60*$D24)</f>
        <v/>
      </c>
      <c r="S24" s="96">
        <f>IF($A24="","",$I24)</f>
        <v/>
      </c>
      <c r="T24" s="97">
        <f>IF($A24="","",$L$61*$D24)</f>
        <v/>
      </c>
      <c r="U24" s="96">
        <f>IF($A24="","",$B24-$E$62-$F$62)</f>
        <v/>
      </c>
      <c r="V24" s="97">
        <f>IF($A24="","",$L$62*$D24)</f>
        <v/>
      </c>
      <c r="W24" s="96">
        <f>IF($A24="","",$G24)</f>
        <v/>
      </c>
      <c r="X24" s="97">
        <f>IF($A24="","",$L$63*$D24)</f>
        <v/>
      </c>
      <c r="Y24" s="96">
        <f>IF($A24="","",$S24)</f>
        <v/>
      </c>
      <c r="Z24" s="97">
        <f>IF($A24="","",$L$64*$D24)</f>
        <v/>
      </c>
      <c r="AA24" s="96">
        <f>IF($A24="","",$I24)</f>
        <v/>
      </c>
      <c r="AB24" s="97">
        <f>IF($A24="","",$L$65*$D24)</f>
        <v/>
      </c>
      <c r="AC24" s="96">
        <f>IF($A24="","",$G24)</f>
        <v/>
      </c>
      <c r="AD24" s="98">
        <f>IF($A24="","",$L$66*$D24)</f>
        <v/>
      </c>
      <c r="AE24" s="96">
        <f>IF($A24="","",$G24)</f>
        <v/>
      </c>
      <c r="AF24" s="97">
        <f>IF($A24="","",$L$67*$D24)</f>
        <v/>
      </c>
      <c r="AG24" s="96">
        <f>IF($A24="","",$C24)</f>
        <v/>
      </c>
      <c r="AH24" s="98">
        <f>IF($A24="","",$L$68*$D24)</f>
        <v/>
      </c>
      <c r="AI24" s="93">
        <f>IF($A24="","",$I24-68-68)</f>
        <v/>
      </c>
      <c r="AJ24" s="94">
        <f>IF($A24="","",$K24-68-68)</f>
        <v/>
      </c>
      <c r="AK24" s="95">
        <f>IF($A24="","",2*4*$D24)</f>
        <v/>
      </c>
      <c r="AL24">
        <f>IF($A24="","",$BC$7*$D24)</f>
        <v/>
      </c>
      <c r="AM24">
        <f>IF($A24="","",$BC$6*$D24)</f>
        <v/>
      </c>
      <c r="AN24">
        <f>IF($A24="","",$BC$9*$D24)</f>
        <v/>
      </c>
      <c r="AO24">
        <f>IF($A24="","",$BC$10*$D24)</f>
        <v/>
      </c>
      <c r="AP24">
        <f>IF($A24="","",2*$BC$6*$D24)</f>
        <v/>
      </c>
      <c r="AQ24">
        <f>IF($A24="","",IF($B24&gt;2800,2,IF($B24&gt;1400,1,0))*$BC$6*$D24)</f>
        <v/>
      </c>
      <c r="AR24">
        <f>IF($A24="","",2*$BC$6*$D24)</f>
        <v/>
      </c>
      <c r="AS24">
        <f>IF($A24="","",$BC$6*$D24)</f>
        <v/>
      </c>
      <c r="AT24">
        <f>IF($A24="","",2*$BC$6*$D24)</f>
        <v/>
      </c>
      <c r="AU24">
        <f>IF($A24="","",4*4*$D24)</f>
        <v/>
      </c>
      <c r="AV24">
        <f>IF($A24="","",16*4*$D24)</f>
        <v/>
      </c>
      <c r="AW24">
        <f>IF($A24="","",(2+MAX(0,ROUNDUP(($G24-1500)/500,0)))*$D24)</f>
        <v/>
      </c>
      <c r="AX24">
        <f>IF($A24="","",(2+MAX(0,ROUNDUP(($G24-1500)/500,0)))*$D24)</f>
        <v/>
      </c>
      <c r="AY24">
        <f>IF($A24="","",ROUND((2*2*($K24+$I24)*4*$D24+$S24*$T24)/1000,1))</f>
        <v/>
      </c>
    </row>
    <row r="25" ht="40.15" customHeight="1">
      <c r="A25" s="99" t="n"/>
      <c r="B25" s="88" t="n"/>
      <c r="C25" s="89" t="n"/>
      <c r="D25" s="90" t="n"/>
      <c r="E25" s="91">
        <f>IF($A25="","",$B25)</f>
        <v/>
      </c>
      <c r="F25" s="89">
        <f>IF($A25="","",$L$54*$D25)</f>
        <v/>
      </c>
      <c r="G25" s="91">
        <f>IF($A25="","",$C25-$E$55-$F$55)</f>
        <v/>
      </c>
      <c r="H25" s="89">
        <f>IF($A25="","",$L$55*$D25)</f>
        <v/>
      </c>
      <c r="I25" s="91">
        <f>IF($A25="","",$B25-$E$56-$F$56-$G$56-$H$56)</f>
        <v/>
      </c>
      <c r="J25" s="89">
        <f>IF($A25="","",$L$56*$D25)</f>
        <v/>
      </c>
      <c r="K25" s="91">
        <f>IF($A25="","",(($C25-$E$57-$F$57-$G$57-$H$57)/4)+(78*2)/4)</f>
        <v/>
      </c>
      <c r="L25" s="89">
        <f>IF($A25="","",$L$57*$D25)</f>
        <v/>
      </c>
      <c r="M25" s="91">
        <f>IF($A25="","",$I25-$E$58-$F$58)</f>
        <v/>
      </c>
      <c r="N25" s="89">
        <f>IF($A25="","",$L$58*$D25)</f>
        <v/>
      </c>
      <c r="O25" s="91">
        <f>IF($A25="","",$K25-$E$59-$F$59)</f>
        <v/>
      </c>
      <c r="P25" s="89">
        <f>IF($A25="","",$L$59*$D25)</f>
        <v/>
      </c>
      <c r="Q25" s="91">
        <f>IF($A25="","",$I25)</f>
        <v/>
      </c>
      <c r="R25" s="89">
        <f>IF($A25="","",$L$60*$D25)</f>
        <v/>
      </c>
      <c r="S25" s="91">
        <f>IF($A25="","",$I25)</f>
        <v/>
      </c>
      <c r="T25" s="89">
        <f>IF($A25="","",$L$61*$D25)</f>
        <v/>
      </c>
      <c r="U25" s="91">
        <f>IF($A25="","",$B25-$E$62-$F$62)</f>
        <v/>
      </c>
      <c r="V25" s="89">
        <f>IF($A25="","",$L$62*$D25)</f>
        <v/>
      </c>
      <c r="W25" s="91">
        <f>IF($A25="","",$G25)</f>
        <v/>
      </c>
      <c r="X25" s="89">
        <f>IF($A25="","",$L$63*$D25)</f>
        <v/>
      </c>
      <c r="Y25" s="91">
        <f>IF($A25="","",$S25)</f>
        <v/>
      </c>
      <c r="Z25" s="89">
        <f>IF($A25="","",$L$64*$D25)</f>
        <v/>
      </c>
      <c r="AA25" s="91">
        <f>IF($A25="","",$I25)</f>
        <v/>
      </c>
      <c r="AB25" s="89">
        <f>IF($A25="","",$L$65*$D25)</f>
        <v/>
      </c>
      <c r="AC25" s="91">
        <f>IF($A25="","",$G25)</f>
        <v/>
      </c>
      <c r="AD25" s="92">
        <f>IF($A25="","",$L$66*$D25)</f>
        <v/>
      </c>
      <c r="AE25" s="91">
        <f>IF($A25="","",$G25)</f>
        <v/>
      </c>
      <c r="AF25" s="89">
        <f>IF($A25="","",$L$67*$D25)</f>
        <v/>
      </c>
      <c r="AG25" s="91">
        <f>IF($A25="","",$C25)</f>
        <v/>
      </c>
      <c r="AH25" s="92">
        <f>IF($A25="","",$L$68*$D25)</f>
        <v/>
      </c>
      <c r="AI25" s="93">
        <f>IF($A25="","",$I25-68-68)</f>
        <v/>
      </c>
      <c r="AJ25" s="94">
        <f>IF($A25="","",$K25-68-68)</f>
        <v/>
      </c>
      <c r="AK25" s="95">
        <f>IF($A25="","",2*4*$D25)</f>
        <v/>
      </c>
      <c r="AL25">
        <f>IF($A25="","",$BC$7*$D25)</f>
        <v/>
      </c>
      <c r="AM25">
        <f>IF($A25="","",$BC$6*$D25)</f>
        <v/>
      </c>
      <c r="AN25">
        <f>IF($A25="","",$BC$9*$D25)</f>
        <v/>
      </c>
      <c r="AO25">
        <f>IF($A25="","",$BC$10*$D25)</f>
        <v/>
      </c>
      <c r="AP25">
        <f>IF($A25="","",2*$BC$6*$D25)</f>
        <v/>
      </c>
      <c r="AQ25">
        <f>IF($A25="","",IF($B25&gt;2800,2,IF($B25&gt;1400,1,0))*$BC$6*$D25)</f>
        <v/>
      </c>
      <c r="AR25">
        <f>IF($A25="","",2*$BC$6*$D25)</f>
        <v/>
      </c>
      <c r="AS25">
        <f>IF($A25="","",$BC$6*$D25)</f>
        <v/>
      </c>
      <c r="AT25">
        <f>IF($A25="","",2*$BC$6*$D25)</f>
        <v/>
      </c>
      <c r="AU25">
        <f>IF($A25="","",4*4*$D25)</f>
        <v/>
      </c>
      <c r="AV25">
        <f>IF($A25="","",16*4*$D25)</f>
        <v/>
      </c>
      <c r="AW25">
        <f>IF($A25="","",(2+MAX(0,ROUNDUP(($G25-1500)/500,0)))*$D25)</f>
        <v/>
      </c>
      <c r="AX25">
        <f>IF($A25="","",(2+MAX(0,ROUNDUP(($G25-1500)/500,0)))*$D25)</f>
        <v/>
      </c>
      <c r="AY25">
        <f>IF($A25="","",ROUND((2*2*($K25+$I25)*4*$D25+$S25*$T25)/1000,1))</f>
        <v/>
      </c>
    </row>
    <row r="26" ht="40.15" customHeight="1">
      <c r="A26" s="99" t="n"/>
      <c r="B26" s="88" t="n"/>
      <c r="C26" s="89" t="n"/>
      <c r="D26" s="90" t="n"/>
      <c r="E26" s="96">
        <f>IF($A26="","",$B26)</f>
        <v/>
      </c>
      <c r="F26" s="97">
        <f>IF($A26="","",$L$54*$D26)</f>
        <v/>
      </c>
      <c r="G26" s="96">
        <f>IF($A26="","",$C26-$E$55-$F$55)</f>
        <v/>
      </c>
      <c r="H26" s="97">
        <f>IF($A26="","",$L$55*$D26)</f>
        <v/>
      </c>
      <c r="I26" s="96">
        <f>IF($A26="","",$B26-$E$56-$F$56-$G$56-$H$56)</f>
        <v/>
      </c>
      <c r="J26" s="97">
        <f>IF($A26="","",$L$56*$D26)</f>
        <v/>
      </c>
      <c r="K26" s="96">
        <f>IF($A26="","",(($C26-$E$57-$F$57-$G$57-$H$57)/4)+(78*2)/4)</f>
        <v/>
      </c>
      <c r="L26" s="97">
        <f>IF($A26="","",$L$57*$D26)</f>
        <v/>
      </c>
      <c r="M26" s="96">
        <f>IF($A26="","",$I26-$E$58-$F$58)</f>
        <v/>
      </c>
      <c r="N26" s="97">
        <f>IF($A26="","",$L$58*$D26)</f>
        <v/>
      </c>
      <c r="O26" s="96">
        <f>IF($A26="","",$K26-$E$59-$F$59)</f>
        <v/>
      </c>
      <c r="P26" s="97">
        <f>IF($A26="","",$L$59*$D26)</f>
        <v/>
      </c>
      <c r="Q26" s="96">
        <f>IF($A26="","",$I26)</f>
        <v/>
      </c>
      <c r="R26" s="97">
        <f>IF($A26="","",$L$60*$D26)</f>
        <v/>
      </c>
      <c r="S26" s="96">
        <f>IF($A26="","",$I26)</f>
        <v/>
      </c>
      <c r="T26" s="97">
        <f>IF($A26="","",$L$61*$D26)</f>
        <v/>
      </c>
      <c r="U26" s="96">
        <f>IF($A26="","",$B26-$E$62-$F$62)</f>
        <v/>
      </c>
      <c r="V26" s="97">
        <f>IF($A26="","",$L$62*$D26)</f>
        <v/>
      </c>
      <c r="W26" s="96">
        <f>IF($A26="","",$G26)</f>
        <v/>
      </c>
      <c r="X26" s="97">
        <f>IF($A26="","",$L$63*$D26)</f>
        <v/>
      </c>
      <c r="Y26" s="96">
        <f>IF($A26="","",$S26)</f>
        <v/>
      </c>
      <c r="Z26" s="97">
        <f>IF($A26="","",$L$64*$D26)</f>
        <v/>
      </c>
      <c r="AA26" s="96">
        <f>IF($A26="","",$I26)</f>
        <v/>
      </c>
      <c r="AB26" s="97">
        <f>IF($A26="","",$L$65*$D26)</f>
        <v/>
      </c>
      <c r="AC26" s="96">
        <f>IF($A26="","",$G26)</f>
        <v/>
      </c>
      <c r="AD26" s="98">
        <f>IF($A26="","",$L$66*$D26)</f>
        <v/>
      </c>
      <c r="AE26" s="96">
        <f>IF($A26="","",$G26)</f>
        <v/>
      </c>
      <c r="AF26" s="97">
        <f>IF($A26="","",$L$67*$D26)</f>
        <v/>
      </c>
      <c r="AG26" s="96">
        <f>IF($A26="","",$C26)</f>
        <v/>
      </c>
      <c r="AH26" s="98">
        <f>IF($A26="","",$L$68*$D26)</f>
        <v/>
      </c>
      <c r="AI26" s="93">
        <f>IF($A26="","",$I26-68-68)</f>
        <v/>
      </c>
      <c r="AJ26" s="94">
        <f>IF($A26="","",$K26-68-68)</f>
        <v/>
      </c>
      <c r="AK26" s="95">
        <f>IF($A26="","",2*4*$D26)</f>
        <v/>
      </c>
      <c r="AL26">
        <f>IF($A26="","",$BC$7*$D26)</f>
        <v/>
      </c>
      <c r="AM26">
        <f>IF($A26="","",$BC$6*$D26)</f>
        <v/>
      </c>
      <c r="AN26">
        <f>IF($A26="","",$BC$9*$D26)</f>
        <v/>
      </c>
      <c r="AO26">
        <f>IF($A26="","",$BC$10*$D26)</f>
        <v/>
      </c>
      <c r="AP26">
        <f>IF($A26="","",2*$BC$6*$D26)</f>
        <v/>
      </c>
      <c r="AQ26">
        <f>IF($A26="","",IF($B26&gt;2800,2,IF($B26&gt;1400,1,0))*$BC$6*$D26)</f>
        <v/>
      </c>
      <c r="AR26">
        <f>IF($A26="","",2*$BC$6*$D26)</f>
        <v/>
      </c>
      <c r="AS26">
        <f>IF($A26="","",$BC$6*$D26)</f>
        <v/>
      </c>
      <c r="AT26">
        <f>IF($A26="","",2*$BC$6*$D26)</f>
        <v/>
      </c>
      <c r="AU26">
        <f>IF($A26="","",4*4*$D26)</f>
        <v/>
      </c>
      <c r="AV26">
        <f>IF($A26="","",16*4*$D26)</f>
        <v/>
      </c>
      <c r="AW26">
        <f>IF($A26="","",(2+MAX(0,ROUNDUP(($G26-1500)/500,0)))*$D26)</f>
        <v/>
      </c>
      <c r="AX26">
        <f>IF($A26="","",(2+MAX(0,ROUNDUP(($G26-1500)/500,0)))*$D26)</f>
        <v/>
      </c>
      <c r="AY26">
        <f>IF($A26="","",ROUND((2*2*($K26+$I26)*4*$D26+$S26*$T26)/1000,1))</f>
        <v/>
      </c>
    </row>
    <row r="27" ht="40.15" customHeight="1">
      <c r="A27" s="99" t="n"/>
      <c r="B27" s="88" t="n"/>
      <c r="C27" s="89" t="n"/>
      <c r="D27" s="90" t="n"/>
      <c r="E27" s="91">
        <f>IF($A27="","",$B27)</f>
        <v/>
      </c>
      <c r="F27" s="89">
        <f>IF($A27="","",$L$54*$D27)</f>
        <v/>
      </c>
      <c r="G27" s="91">
        <f>IF($A27="","",$C27-$E$55-$F$55)</f>
        <v/>
      </c>
      <c r="H27" s="89">
        <f>IF($A27="","",$L$55*$D27)</f>
        <v/>
      </c>
      <c r="I27" s="91">
        <f>IF($A27="","",$B27-$E$56-$F$56-$G$56-$H$56)</f>
        <v/>
      </c>
      <c r="J27" s="89">
        <f>IF($A27="","",$L$56*$D27)</f>
        <v/>
      </c>
      <c r="K27" s="91">
        <f>IF($A27="","",(($C27-$E$57-$F$57-$G$57-$H$57)/4)+(78*2)/4)</f>
        <v/>
      </c>
      <c r="L27" s="89">
        <f>IF($A27="","",$L$57*$D27)</f>
        <v/>
      </c>
      <c r="M27" s="91">
        <f>IF($A27="","",$I27-$E$58-$F$58)</f>
        <v/>
      </c>
      <c r="N27" s="89">
        <f>IF($A27="","",$L$58*$D27)</f>
        <v/>
      </c>
      <c r="O27" s="91">
        <f>IF($A27="","",$K27-$E$59-$F$59)</f>
        <v/>
      </c>
      <c r="P27" s="89">
        <f>IF($A27="","",$L$59*$D27)</f>
        <v/>
      </c>
      <c r="Q27" s="91">
        <f>IF($A27="","",$I27)</f>
        <v/>
      </c>
      <c r="R27" s="89">
        <f>IF($A27="","",$L$60*$D27)</f>
        <v/>
      </c>
      <c r="S27" s="91">
        <f>IF($A27="","",$I27)</f>
        <v/>
      </c>
      <c r="T27" s="89">
        <f>IF($A27="","",$L$61*$D27)</f>
        <v/>
      </c>
      <c r="U27" s="91">
        <f>IF($A27="","",$B27-$E$62-$F$62)</f>
        <v/>
      </c>
      <c r="V27" s="89">
        <f>IF($A27="","",$L$62*$D27)</f>
        <v/>
      </c>
      <c r="W27" s="91">
        <f>IF($A27="","",$G27)</f>
        <v/>
      </c>
      <c r="X27" s="89">
        <f>IF($A27="","",$L$63*$D27)</f>
        <v/>
      </c>
      <c r="Y27" s="91">
        <f>IF($A27="","",$S27)</f>
        <v/>
      </c>
      <c r="Z27" s="89">
        <f>IF($A27="","",$L$64*$D27)</f>
        <v/>
      </c>
      <c r="AA27" s="91">
        <f>IF($A27="","",$I27)</f>
        <v/>
      </c>
      <c r="AB27" s="89">
        <f>IF($A27="","",$L$65*$D27)</f>
        <v/>
      </c>
      <c r="AC27" s="91">
        <f>IF($A27="","",$G27)</f>
        <v/>
      </c>
      <c r="AD27" s="92">
        <f>IF($A27="","",$L$66*$D27)</f>
        <v/>
      </c>
      <c r="AE27" s="91">
        <f>IF($A27="","",$G27)</f>
        <v/>
      </c>
      <c r="AF27" s="89">
        <f>IF($A27="","",$L$67*$D27)</f>
        <v/>
      </c>
      <c r="AG27" s="91">
        <f>IF($A27="","",$C27)</f>
        <v/>
      </c>
      <c r="AH27" s="92">
        <f>IF($A27="","",$L$68*$D27)</f>
        <v/>
      </c>
      <c r="AI27" s="93">
        <f>IF($A27="","",$I27-68-68)</f>
        <v/>
      </c>
      <c r="AJ27" s="94">
        <f>IF($A27="","",$K27-68-68)</f>
        <v/>
      </c>
      <c r="AK27" s="95">
        <f>IF($A27="","",2*4*$D27)</f>
        <v/>
      </c>
      <c r="AL27">
        <f>IF($A27="","",$BC$7*$D27)</f>
        <v/>
      </c>
      <c r="AM27">
        <f>IF($A27="","",$BC$6*$D27)</f>
        <v/>
      </c>
      <c r="AN27">
        <f>IF($A27="","",$BC$9*$D27)</f>
        <v/>
      </c>
      <c r="AO27">
        <f>IF($A27="","",$BC$10*$D27)</f>
        <v/>
      </c>
      <c r="AP27">
        <f>IF($A27="","",2*$BC$6*$D27)</f>
        <v/>
      </c>
      <c r="AQ27">
        <f>IF($A27="","",IF($B27&gt;2800,2,IF($B27&gt;1400,1,0))*$BC$6*$D27)</f>
        <v/>
      </c>
      <c r="AR27">
        <f>IF($A27="","",2*$BC$6*$D27)</f>
        <v/>
      </c>
      <c r="AS27">
        <f>IF($A27="","",$BC$6*$D27)</f>
        <v/>
      </c>
      <c r="AT27">
        <f>IF($A27="","",2*$BC$6*$D27)</f>
        <v/>
      </c>
      <c r="AU27">
        <f>IF($A27="","",4*4*$D27)</f>
        <v/>
      </c>
      <c r="AV27">
        <f>IF($A27="","",16*4*$D27)</f>
        <v/>
      </c>
      <c r="AW27">
        <f>IF($A27="","",(2+MAX(0,ROUNDUP(($G27-1500)/500,0)))*$D27)</f>
        <v/>
      </c>
      <c r="AX27">
        <f>IF($A27="","",(2+MAX(0,ROUNDUP(($G27-1500)/500,0)))*$D27)</f>
        <v/>
      </c>
      <c r="AY27">
        <f>IF($A27="","",ROUND((2*2*($K27+$I27)*4*$D27+$S27*$T27)/1000,1))</f>
        <v/>
      </c>
    </row>
    <row r="28" ht="40.15" customHeight="1">
      <c r="A28" s="99" t="n"/>
      <c r="B28" s="88" t="n"/>
      <c r="C28" s="89" t="n"/>
      <c r="D28" s="90" t="n"/>
      <c r="E28" s="96">
        <f>IF($A28="","",$B28)</f>
        <v/>
      </c>
      <c r="F28" s="97">
        <f>IF($A28="","",$L$54*$D28)</f>
        <v/>
      </c>
      <c r="G28" s="96">
        <f>IF($A28="","",$C28-$E$55-$F$55)</f>
        <v/>
      </c>
      <c r="H28" s="97">
        <f>IF($A28="","",$L$55*$D28)</f>
        <v/>
      </c>
      <c r="I28" s="96">
        <f>IF($A28="","",$B28-$E$56-$F$56-$G$56-$H$56)</f>
        <v/>
      </c>
      <c r="J28" s="97">
        <f>IF($A28="","",$L$56*$D28)</f>
        <v/>
      </c>
      <c r="K28" s="96">
        <f>IF($A28="","",(($C28-$E$57-$F$57-$G$57-$H$57)/4)+(78*2)/4)</f>
        <v/>
      </c>
      <c r="L28" s="97">
        <f>IF($A28="","",$L$57*$D28)</f>
        <v/>
      </c>
      <c r="M28" s="96">
        <f>IF($A28="","",$I28-$E$58-$F$58)</f>
        <v/>
      </c>
      <c r="N28" s="97">
        <f>IF($A28="","",$L$58*$D28)</f>
        <v/>
      </c>
      <c r="O28" s="96">
        <f>IF($A28="","",$K28-$E$59-$F$59)</f>
        <v/>
      </c>
      <c r="P28" s="97">
        <f>IF($A28="","",$L$59*$D28)</f>
        <v/>
      </c>
      <c r="Q28" s="96">
        <f>IF($A28="","",$I28)</f>
        <v/>
      </c>
      <c r="R28" s="97">
        <f>IF($A28="","",$L$60*$D28)</f>
        <v/>
      </c>
      <c r="S28" s="96">
        <f>IF($A28="","",$I28)</f>
        <v/>
      </c>
      <c r="T28" s="97">
        <f>IF($A28="","",$L$61*$D28)</f>
        <v/>
      </c>
      <c r="U28" s="96">
        <f>IF($A28="","",$B28-$E$62-$F$62)</f>
        <v/>
      </c>
      <c r="V28" s="97">
        <f>IF($A28="","",$L$62*$D28)</f>
        <v/>
      </c>
      <c r="W28" s="96">
        <f>IF($A28="","",$G28)</f>
        <v/>
      </c>
      <c r="X28" s="97">
        <f>IF($A28="","",$L$63*$D28)</f>
        <v/>
      </c>
      <c r="Y28" s="96">
        <f>IF($A28="","",$S28)</f>
        <v/>
      </c>
      <c r="Z28" s="97">
        <f>IF($A28="","",$L$64*$D28)</f>
        <v/>
      </c>
      <c r="AA28" s="96">
        <f>IF($A28="","",$I28)</f>
        <v/>
      </c>
      <c r="AB28" s="97">
        <f>IF($A28="","",$L$65*$D28)</f>
        <v/>
      </c>
      <c r="AC28" s="96">
        <f>IF($A28="","",$G28)</f>
        <v/>
      </c>
      <c r="AD28" s="98">
        <f>IF($A28="","",$L$66*$D28)</f>
        <v/>
      </c>
      <c r="AE28" s="96">
        <f>IF($A28="","",$G28)</f>
        <v/>
      </c>
      <c r="AF28" s="97">
        <f>IF($A28="","",$L$67*$D28)</f>
        <v/>
      </c>
      <c r="AG28" s="96">
        <f>IF($A28="","",$C28)</f>
        <v/>
      </c>
      <c r="AH28" s="98">
        <f>IF($A28="","",$L$68*$D28)</f>
        <v/>
      </c>
      <c r="AI28" s="93">
        <f>IF($A28="","",$I28-68-68)</f>
        <v/>
      </c>
      <c r="AJ28" s="94">
        <f>IF($A28="","",$K28-68-68)</f>
        <v/>
      </c>
      <c r="AK28" s="95">
        <f>IF($A28="","",2*4*$D28)</f>
        <v/>
      </c>
      <c r="AL28">
        <f>IF($A28="","",$BC$7*$D28)</f>
        <v/>
      </c>
      <c r="AM28">
        <f>IF($A28="","",$BC$6*$D28)</f>
        <v/>
      </c>
      <c r="AN28">
        <f>IF($A28="","",$BC$9*$D28)</f>
        <v/>
      </c>
      <c r="AO28">
        <f>IF($A28="","",$BC$10*$D28)</f>
        <v/>
      </c>
      <c r="AP28">
        <f>IF($A28="","",2*$BC$6*$D28)</f>
        <v/>
      </c>
      <c r="AQ28">
        <f>IF($A28="","",IF($B28&gt;2800,2,IF($B28&gt;1400,1,0))*$BC$6*$D28)</f>
        <v/>
      </c>
      <c r="AR28">
        <f>IF($A28="","",2*$BC$6*$D28)</f>
        <v/>
      </c>
      <c r="AS28">
        <f>IF($A28="","",$BC$6*$D28)</f>
        <v/>
      </c>
      <c r="AT28">
        <f>IF($A28="","",2*$BC$6*$D28)</f>
        <v/>
      </c>
      <c r="AU28">
        <f>IF($A28="","",4*4*$D28)</f>
        <v/>
      </c>
      <c r="AV28">
        <f>IF($A28="","",16*4*$D28)</f>
        <v/>
      </c>
      <c r="AW28">
        <f>IF($A28="","",(2+MAX(0,ROUNDUP(($G28-1500)/500,0)))*$D28)</f>
        <v/>
      </c>
      <c r="AX28">
        <f>IF($A28="","",(2+MAX(0,ROUNDUP(($G28-1500)/500,0)))*$D28)</f>
        <v/>
      </c>
      <c r="AY28">
        <f>IF($A28="","",ROUND((2*2*($K28+$I28)*4*$D28+$S28*$T28)/1000,1))</f>
        <v/>
      </c>
    </row>
    <row r="29" ht="40.15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9" t="n"/>
    </row>
    <row r="30" ht="40.15" customHeight="1">
      <c r="A30" s="70" t="inlineStr">
        <is>
          <t>จำนวนเส้น 6.4 ม. ที่ต้องสั่ง →</t>
        </is>
      </c>
      <c r="B30" s="20" t="n"/>
      <c r="C30" s="20" t="n"/>
      <c r="D30" s="21" t="n"/>
      <c r="E30" s="72">
        <f>E$7</f>
        <v/>
      </c>
      <c r="F30" s="72">
        <f>(ROUNDUP(F49/6400,0))</f>
        <v/>
      </c>
      <c r="G30" s="72">
        <f>G$7</f>
        <v/>
      </c>
      <c r="H30" s="72">
        <f>(ROUNDUP(H49/6400,0))</f>
        <v/>
      </c>
      <c r="I30" s="72">
        <f>I$7</f>
        <v/>
      </c>
      <c r="J30" s="20" t="n"/>
      <c r="K30" s="21" t="n"/>
      <c r="L30" s="72">
        <f>(ROUNDUP(SUM(J49:L49)/6400,0))</f>
        <v/>
      </c>
      <c r="M30" s="72">
        <f>M$7</f>
        <v/>
      </c>
      <c r="N30" s="20" t="n"/>
      <c r="O30" s="21" t="n"/>
      <c r="P30" s="72">
        <f>(ROUNDUP(SUM(N49:P49)/6400,0))</f>
        <v/>
      </c>
      <c r="Q30" s="72">
        <f>Q$7</f>
        <v/>
      </c>
      <c r="R30" s="72">
        <f>(ROUNDUP(R49/6400,0))</f>
        <v/>
      </c>
      <c r="S30" s="72">
        <f>S$7</f>
        <v/>
      </c>
      <c r="T30" s="72">
        <f>(ROUNDUP(T49/6400,0))</f>
        <v/>
      </c>
      <c r="U30" s="72">
        <f>U$7</f>
        <v/>
      </c>
      <c r="V30" s="72">
        <f>(ROUNDUP(V49/6400,0))</f>
        <v/>
      </c>
      <c r="W30" s="72">
        <f>W$7</f>
        <v/>
      </c>
      <c r="X30" s="72">
        <f>(ROUNDUP(X49/6400,0))</f>
        <v/>
      </c>
      <c r="Y30" s="72">
        <f>Y$7</f>
        <v/>
      </c>
      <c r="Z30" s="20" t="n"/>
      <c r="AA30" s="20" t="n"/>
      <c r="AB30" s="20" t="n"/>
      <c r="AC30" s="21" t="n"/>
      <c r="AD30" s="72">
        <f>(ROUNDUP(SUM(Z49:AD49)/6400,0))</f>
        <v/>
      </c>
      <c r="AE30" s="72">
        <f>AE$7</f>
        <v/>
      </c>
      <c r="AF30" s="72">
        <f>(ROUNDUP(AF49/6400,0))</f>
        <v/>
      </c>
      <c r="AG30" s="72">
        <f>AG$7</f>
        <v/>
      </c>
      <c r="AH30" s="72">
        <f>(ROUNDUP(AH49/6400,0))</f>
        <v/>
      </c>
      <c r="AJ30" t="inlineStr">
        <is>
          <t>รวม</t>
        </is>
      </c>
      <c r="AK30">
        <f>SUM(AK11:AK28)</f>
        <v/>
      </c>
      <c r="AL30">
        <f>SUM(AL11:AL28)</f>
        <v/>
      </c>
      <c r="AM30">
        <f>SUM(AM11:AM28)</f>
        <v/>
      </c>
      <c r="AN30">
        <f>SUM(AN11:AN28)</f>
        <v/>
      </c>
      <c r="AO30">
        <f>SUM(AO11:AO28)</f>
        <v/>
      </c>
      <c r="AP30">
        <f>SUM(AP11:AP28)</f>
        <v/>
      </c>
      <c r="AQ30">
        <f>SUM(AQ11:AQ28)</f>
        <v/>
      </c>
      <c r="AR30">
        <f>SUM(AR11:AR28)</f>
        <v/>
      </c>
      <c r="AS30">
        <f>SUM(AS11:AS28)</f>
        <v/>
      </c>
      <c r="AT30">
        <f>SUM(AT11:AT28)</f>
        <v/>
      </c>
      <c r="AU30">
        <f>SUM(AU11:AU28)</f>
        <v/>
      </c>
      <c r="AV30">
        <f>SUM(AV11:AV28)</f>
        <v/>
      </c>
      <c r="AW30">
        <f>SUM(AW11:AW28)</f>
        <v/>
      </c>
      <c r="AX30">
        <f>SUM(AX11:AX28)</f>
        <v/>
      </c>
      <c r="AY30">
        <f>SUM(AY11:AY28)</f>
        <v/>
      </c>
    </row>
    <row r="31" hidden="1" ht="40.15" customHeight="1">
      <c r="F31" s="73">
        <f>IF($A11="","",F11*E11)</f>
        <v/>
      </c>
      <c r="H31" s="73">
        <f>IF($A11="","",H11*G11)</f>
        <v/>
      </c>
      <c r="I31" s="73" t="n"/>
      <c r="J31" s="73">
        <f>IF($A11="","",J11*I11)</f>
        <v/>
      </c>
      <c r="K31" s="73" t="n"/>
      <c r="L31" s="73">
        <f>IF($A11="","",L11*K11)</f>
        <v/>
      </c>
      <c r="M31" s="73" t="n"/>
      <c r="N31" s="73">
        <f>IF($A11="","",N11*M11)</f>
        <v/>
      </c>
      <c r="O31" s="73" t="n"/>
      <c r="P31" s="73">
        <f>IF($A11="","",P11*O11)</f>
        <v/>
      </c>
      <c r="Q31" s="73" t="n"/>
      <c r="R31" s="73">
        <f>IF($A11="","",R11*Q11)</f>
        <v/>
      </c>
      <c r="S31" s="73" t="n"/>
      <c r="T31" s="73">
        <f>IF($A11="","",T11*S11)</f>
        <v/>
      </c>
      <c r="U31" s="73" t="n"/>
      <c r="V31" s="73">
        <f>IF($A11="","",V11*U11)</f>
        <v/>
      </c>
      <c r="W31" s="73" t="n"/>
      <c r="X31" s="73">
        <f>IF($A11="","",X11*W11)</f>
        <v/>
      </c>
      <c r="Y31" s="73" t="n"/>
      <c r="Z31" s="73">
        <f>IF($A11="","",Z11*Y11)</f>
        <v/>
      </c>
      <c r="AA31" s="73" t="n"/>
      <c r="AB31" s="73">
        <f>IF($A11="","",AB11*AA11)</f>
        <v/>
      </c>
      <c r="AC31" s="73" t="n"/>
      <c r="AD31" s="73">
        <f>IF($A11="","",AD11*AC11)</f>
        <v/>
      </c>
      <c r="AE31" s="73" t="n"/>
      <c r="AF31" s="73">
        <f>IF($A11="","",AF11*AE11)</f>
        <v/>
      </c>
      <c r="AG31" s="73" t="n"/>
      <c r="AH31" s="73">
        <f>IF($A11="","",AH11*AG11)</f>
        <v/>
      </c>
    </row>
    <row r="32" hidden="1" ht="40.15" customHeight="1">
      <c r="F32" s="73">
        <f>IF($A12="","",F12*E12)</f>
        <v/>
      </c>
      <c r="H32" s="73">
        <f>IF($A12="","",H12*G12)</f>
        <v/>
      </c>
      <c r="I32" s="73" t="n"/>
      <c r="J32" s="73">
        <f>IF($A12="","",J12*I12)</f>
        <v/>
      </c>
      <c r="K32" s="73" t="n"/>
      <c r="L32" s="73">
        <f>IF($A12="","",L12*K12)</f>
        <v/>
      </c>
      <c r="M32" s="73" t="n"/>
      <c r="N32" s="73">
        <f>IF($A12="","",N12*M12)</f>
        <v/>
      </c>
      <c r="O32" s="73" t="n"/>
      <c r="P32" s="73">
        <f>IF($A12="","",P12*O12)</f>
        <v/>
      </c>
      <c r="Q32" s="73" t="n"/>
      <c r="R32" s="73">
        <f>IF($A12="","",R12*Q12)</f>
        <v/>
      </c>
      <c r="S32" s="73" t="n"/>
      <c r="T32" s="73">
        <f>IF($A12="","",T12*S12)</f>
        <v/>
      </c>
      <c r="U32" s="73" t="n"/>
      <c r="V32" s="73">
        <f>IF($A12="","",V12*U12)</f>
        <v/>
      </c>
      <c r="W32" s="73" t="n"/>
      <c r="X32" s="73">
        <f>IF($A12="","",X12*W12)</f>
        <v/>
      </c>
      <c r="Y32" s="73" t="n"/>
      <c r="Z32" s="73">
        <f>IF($A12="","",Z12*Y12)</f>
        <v/>
      </c>
      <c r="AA32" s="73" t="n"/>
      <c r="AB32" s="73">
        <f>IF($A12="","",AB12*AA12)</f>
        <v/>
      </c>
      <c r="AC32" s="73" t="n"/>
      <c r="AD32" s="73">
        <f>IF($A12="","",AD12*AC12)</f>
        <v/>
      </c>
      <c r="AE32" s="73" t="n"/>
      <c r="AF32" s="73">
        <f>IF($A12="","",AF12*AE12)</f>
        <v/>
      </c>
      <c r="AG32" s="73" t="n"/>
      <c r="AH32" s="73">
        <f>IF($A12="","",AH12*AG12)</f>
        <v/>
      </c>
    </row>
    <row r="33" hidden="1" ht="40.15" customHeight="1">
      <c r="F33" s="73">
        <f>IF($A13="","",F13*E13)</f>
        <v/>
      </c>
      <c r="H33" s="73">
        <f>IF($A13="","",H13*G13)</f>
        <v/>
      </c>
      <c r="I33" s="73" t="n"/>
      <c r="J33" s="73">
        <f>IF($A13="","",J13*I13)</f>
        <v/>
      </c>
      <c r="K33" s="73" t="n"/>
      <c r="L33" s="73">
        <f>IF($A13="","",L13*K13)</f>
        <v/>
      </c>
      <c r="M33" s="73" t="n"/>
      <c r="N33" s="73">
        <f>IF($A13="","",N13*M13)</f>
        <v/>
      </c>
      <c r="O33" s="73" t="n"/>
      <c r="P33" s="73">
        <f>IF($A13="","",P13*O13)</f>
        <v/>
      </c>
      <c r="Q33" s="73" t="n"/>
      <c r="R33" s="73">
        <f>IF($A13="","",R13*Q13)</f>
        <v/>
      </c>
      <c r="S33" s="73" t="n"/>
      <c r="T33" s="73">
        <f>IF($A13="","",T13*S13)</f>
        <v/>
      </c>
      <c r="U33" s="73" t="n"/>
      <c r="V33" s="73">
        <f>IF($A13="","",V13*U13)</f>
        <v/>
      </c>
      <c r="W33" s="73" t="n"/>
      <c r="X33" s="73">
        <f>IF($A13="","",X13*W13)</f>
        <v/>
      </c>
      <c r="Y33" s="73" t="n"/>
      <c r="Z33" s="73">
        <f>IF($A13="","",Z13*Y13)</f>
        <v/>
      </c>
      <c r="AA33" s="73" t="n"/>
      <c r="AB33" s="73">
        <f>IF($A13="","",AB13*AA13)</f>
        <v/>
      </c>
      <c r="AC33" s="73" t="n"/>
      <c r="AD33" s="73">
        <f>IF($A13="","",AD13*AC13)</f>
        <v/>
      </c>
      <c r="AE33" s="73" t="n"/>
      <c r="AF33" s="73">
        <f>IF($A13="","",AF13*AE13)</f>
        <v/>
      </c>
      <c r="AG33" s="73" t="n"/>
      <c r="AH33" s="73">
        <f>IF($A13="","",AH13*AG13)</f>
        <v/>
      </c>
    </row>
    <row r="34" hidden="1" ht="40.15" customHeight="1">
      <c r="F34" s="73">
        <f>IF($A14="","",F14*E14)</f>
        <v/>
      </c>
      <c r="H34" s="73">
        <f>IF($A14="","",H14*G14)</f>
        <v/>
      </c>
      <c r="I34" s="73" t="n"/>
      <c r="J34" s="73">
        <f>IF($A14="","",J14*I14)</f>
        <v/>
      </c>
      <c r="K34" s="73" t="n"/>
      <c r="L34" s="73">
        <f>IF($A14="","",L14*K14)</f>
        <v/>
      </c>
      <c r="M34" s="73" t="n"/>
      <c r="N34" s="73">
        <f>IF($A14="","",N14*M14)</f>
        <v/>
      </c>
      <c r="O34" s="73" t="n"/>
      <c r="P34" s="73">
        <f>IF($A14="","",P14*O14)</f>
        <v/>
      </c>
      <c r="Q34" s="73" t="n"/>
      <c r="R34" s="73">
        <f>IF($A14="","",R14*Q14)</f>
        <v/>
      </c>
      <c r="S34" s="73" t="n"/>
      <c r="T34" s="73">
        <f>IF($A14="","",T14*S14)</f>
        <v/>
      </c>
      <c r="U34" s="73" t="n"/>
      <c r="V34" s="73">
        <f>IF($A14="","",V14*U14)</f>
        <v/>
      </c>
      <c r="W34" s="73" t="n"/>
      <c r="X34" s="73">
        <f>IF($A14="","",X14*W14)</f>
        <v/>
      </c>
      <c r="Y34" s="73" t="n"/>
      <c r="Z34" s="73">
        <f>IF($A14="","",Z14*Y14)</f>
        <v/>
      </c>
      <c r="AA34" s="73" t="n"/>
      <c r="AB34" s="73">
        <f>IF($A14="","",AB14*AA14)</f>
        <v/>
      </c>
      <c r="AC34" s="73" t="n"/>
      <c r="AD34" s="73">
        <f>IF($A14="","",AD14*AC14)</f>
        <v/>
      </c>
      <c r="AE34" s="73" t="n"/>
      <c r="AF34" s="73">
        <f>IF($A14="","",AF14*AE14)</f>
        <v/>
      </c>
      <c r="AG34" s="73" t="n"/>
      <c r="AH34" s="73">
        <f>IF($A14="","",AH14*AG14)</f>
        <v/>
      </c>
    </row>
    <row r="35" hidden="1" ht="40.15" customHeight="1">
      <c r="F35" s="73">
        <f>IF($A15="","",F15*E15)</f>
        <v/>
      </c>
      <c r="H35" s="73">
        <f>IF($A15="","",H15*G15)</f>
        <v/>
      </c>
      <c r="I35" s="73" t="n"/>
      <c r="J35" s="73">
        <f>IF($A15="","",J15*I15)</f>
        <v/>
      </c>
      <c r="K35" s="73" t="n"/>
      <c r="L35" s="73">
        <f>IF($A15="","",L15*K15)</f>
        <v/>
      </c>
      <c r="M35" s="73" t="n"/>
      <c r="N35" s="73">
        <f>IF($A15="","",N15*M15)</f>
        <v/>
      </c>
      <c r="O35" s="73" t="n"/>
      <c r="P35" s="73">
        <f>IF($A15="","",P15*O15)</f>
        <v/>
      </c>
      <c r="Q35" s="73" t="n"/>
      <c r="R35" s="73">
        <f>IF($A15="","",R15*Q15)</f>
        <v/>
      </c>
      <c r="S35" s="73" t="n"/>
      <c r="T35" s="73">
        <f>IF($A15="","",T15*S15)</f>
        <v/>
      </c>
      <c r="U35" s="73" t="n"/>
      <c r="V35" s="73">
        <f>IF($A15="","",V15*U15)</f>
        <v/>
      </c>
      <c r="W35" s="73" t="n"/>
      <c r="X35" s="73">
        <f>IF($A15="","",X15*W15)</f>
        <v/>
      </c>
      <c r="Y35" s="73" t="n"/>
      <c r="Z35" s="73">
        <f>IF($A15="","",Z15*Y15)</f>
        <v/>
      </c>
      <c r="AA35" s="73" t="n"/>
      <c r="AB35" s="73">
        <f>IF($A15="","",AB15*AA15)</f>
        <v/>
      </c>
      <c r="AC35" s="73" t="n"/>
      <c r="AD35" s="73">
        <f>IF($A15="","",AD15*AC15)</f>
        <v/>
      </c>
      <c r="AE35" s="73" t="n"/>
      <c r="AF35" s="73">
        <f>IF($A15="","",AF15*AE15)</f>
        <v/>
      </c>
      <c r="AG35" s="73" t="n"/>
      <c r="AH35" s="73">
        <f>IF($A15="","",AH15*AG15)</f>
        <v/>
      </c>
    </row>
    <row r="36" hidden="1">
      <c r="F36" s="73">
        <f>IF($A16="","",F16*E16)</f>
        <v/>
      </c>
      <c r="H36" s="73">
        <f>IF($A16="","",H16*G16)</f>
        <v/>
      </c>
      <c r="I36" s="73" t="n"/>
      <c r="J36" s="73">
        <f>IF($A16="","",J16*I16)</f>
        <v/>
      </c>
      <c r="K36" s="73" t="n"/>
      <c r="L36" s="73">
        <f>IF($A16="","",L16*K16)</f>
        <v/>
      </c>
      <c r="M36" s="73" t="n"/>
      <c r="N36" s="73">
        <f>IF($A16="","",N16*M16)</f>
        <v/>
      </c>
      <c r="O36" s="73" t="n"/>
      <c r="P36" s="73">
        <f>IF($A16="","",P16*O16)</f>
        <v/>
      </c>
      <c r="Q36" s="73" t="n"/>
      <c r="R36" s="73">
        <f>IF($A16="","",R16*Q16)</f>
        <v/>
      </c>
      <c r="S36" s="73" t="n"/>
      <c r="T36" s="73">
        <f>IF($A16="","",T16*S16)</f>
        <v/>
      </c>
      <c r="U36" s="73" t="n"/>
      <c r="V36" s="73">
        <f>IF($A16="","",V16*U16)</f>
        <v/>
      </c>
      <c r="W36" s="73" t="n"/>
      <c r="X36" s="73">
        <f>IF($A16="","",X16*W16)</f>
        <v/>
      </c>
      <c r="Y36" s="73" t="n"/>
      <c r="Z36" s="73">
        <f>IF($A16="","",Z16*Y16)</f>
        <v/>
      </c>
      <c r="AA36" s="73" t="n"/>
      <c r="AB36" s="73">
        <f>IF($A16="","",AB16*AA16)</f>
        <v/>
      </c>
      <c r="AC36" s="73" t="n"/>
      <c r="AD36" s="73">
        <f>IF($A16="","",AD16*AC16)</f>
        <v/>
      </c>
      <c r="AE36" s="73" t="n"/>
      <c r="AF36" s="73">
        <f>IF($A16="","",AF16*AE16)</f>
        <v/>
      </c>
      <c r="AG36" s="73" t="n"/>
      <c r="AH36" s="73">
        <f>IF($A16="","",AH16*AG16)</f>
        <v/>
      </c>
    </row>
    <row r="37" hidden="1">
      <c r="F37" s="73">
        <f>IF($A17="","",F17*E17)</f>
        <v/>
      </c>
      <c r="H37" s="73">
        <f>IF($A17="","",H17*G17)</f>
        <v/>
      </c>
      <c r="I37" s="73" t="n"/>
      <c r="J37" s="73">
        <f>IF($A17="","",J17*I17)</f>
        <v/>
      </c>
      <c r="K37" s="73" t="n"/>
      <c r="L37" s="73">
        <f>IF($A17="","",L17*K17)</f>
        <v/>
      </c>
      <c r="M37" s="73" t="n"/>
      <c r="N37" s="73">
        <f>IF($A17="","",N17*M17)</f>
        <v/>
      </c>
      <c r="O37" s="73" t="n"/>
      <c r="P37" s="73">
        <f>IF($A17="","",P17*O17)</f>
        <v/>
      </c>
      <c r="Q37" s="73" t="n"/>
      <c r="R37" s="73">
        <f>IF($A17="","",R17*Q17)</f>
        <v/>
      </c>
      <c r="S37" s="73" t="n"/>
      <c r="T37" s="73">
        <f>IF($A17="","",T17*S17)</f>
        <v/>
      </c>
      <c r="U37" s="73" t="n"/>
      <c r="V37" s="73">
        <f>IF($A17="","",V17*U17)</f>
        <v/>
      </c>
      <c r="W37" s="73" t="n"/>
      <c r="X37" s="73">
        <f>IF($A17="","",X17*W17)</f>
        <v/>
      </c>
      <c r="Y37" s="73" t="n"/>
      <c r="Z37" s="73">
        <f>IF($A17="","",Z17*Y17)</f>
        <v/>
      </c>
      <c r="AA37" s="73" t="n"/>
      <c r="AB37" s="73">
        <f>IF($A17="","",AB17*AA17)</f>
        <v/>
      </c>
      <c r="AC37" s="73" t="n"/>
      <c r="AD37" s="73">
        <f>IF($A17="","",AD17*AC17)</f>
        <v/>
      </c>
      <c r="AE37" s="73" t="n"/>
      <c r="AF37" s="73">
        <f>IF($A17="","",AF17*AE17)</f>
        <v/>
      </c>
      <c r="AG37" s="73" t="n"/>
      <c r="AH37" s="73">
        <f>IF($A17="","",AH17*AG17)</f>
        <v/>
      </c>
    </row>
    <row r="38" hidden="1">
      <c r="F38" s="73">
        <f>IF($A18="","",F18*E18)</f>
        <v/>
      </c>
      <c r="H38" s="73">
        <f>IF($A18="","",H18*G18)</f>
        <v/>
      </c>
      <c r="I38" s="73" t="n"/>
      <c r="J38" s="73">
        <f>IF($A18="","",J18*I18)</f>
        <v/>
      </c>
      <c r="K38" s="73" t="n"/>
      <c r="L38" s="73">
        <f>IF($A18="","",L18*K18)</f>
        <v/>
      </c>
      <c r="M38" s="73" t="n"/>
      <c r="N38" s="73">
        <f>IF($A18="","",N18*M18)</f>
        <v/>
      </c>
      <c r="O38" s="73" t="n"/>
      <c r="P38" s="73">
        <f>IF($A18="","",P18*O18)</f>
        <v/>
      </c>
      <c r="Q38" s="73" t="n"/>
      <c r="R38" s="73">
        <f>IF($A18="","",R18*Q18)</f>
        <v/>
      </c>
      <c r="S38" s="73" t="n"/>
      <c r="T38" s="73">
        <f>IF($A18="","",T18*S18)</f>
        <v/>
      </c>
      <c r="U38" s="73" t="n"/>
      <c r="V38" s="73">
        <f>IF($A18="","",V18*U18)</f>
        <v/>
      </c>
      <c r="W38" s="73" t="n"/>
      <c r="X38" s="73">
        <f>IF($A18="","",X18*W18)</f>
        <v/>
      </c>
      <c r="Y38" s="73" t="n"/>
      <c r="Z38" s="73">
        <f>IF($A18="","",Z18*Y18)</f>
        <v/>
      </c>
      <c r="AA38" s="73" t="n"/>
      <c r="AB38" s="73">
        <f>IF($A18="","",AB18*AA18)</f>
        <v/>
      </c>
      <c r="AC38" s="73" t="n"/>
      <c r="AD38" s="73">
        <f>IF($A18="","",AD18*AC18)</f>
        <v/>
      </c>
      <c r="AE38" s="73" t="n"/>
      <c r="AF38" s="73">
        <f>IF($A18="","",AF18*AE18)</f>
        <v/>
      </c>
      <c r="AG38" s="73" t="n"/>
      <c r="AH38" s="73">
        <f>IF($A18="","",AH18*AG18)</f>
        <v/>
      </c>
    </row>
    <row r="39" hidden="1">
      <c r="F39" s="73">
        <f>IF($A19="","",F19*E19)</f>
        <v/>
      </c>
      <c r="H39" s="73">
        <f>IF($A19="","",H19*G19)</f>
        <v/>
      </c>
      <c r="I39" s="73" t="n"/>
      <c r="J39" s="73">
        <f>IF($A19="","",J19*I19)</f>
        <v/>
      </c>
      <c r="K39" s="73" t="n"/>
      <c r="L39" s="73">
        <f>IF($A19="","",L19*K19)</f>
        <v/>
      </c>
      <c r="M39" s="73" t="n"/>
      <c r="N39" s="73">
        <f>IF($A19="","",N19*M19)</f>
        <v/>
      </c>
      <c r="O39" s="73" t="n"/>
      <c r="P39" s="73">
        <f>IF($A19="","",P19*O19)</f>
        <v/>
      </c>
      <c r="Q39" s="73" t="n"/>
      <c r="R39" s="73">
        <f>IF($A19="","",R19*Q19)</f>
        <v/>
      </c>
      <c r="S39" s="73" t="n"/>
      <c r="T39" s="73">
        <f>IF($A19="","",T19*S19)</f>
        <v/>
      </c>
      <c r="U39" s="73" t="n"/>
      <c r="V39" s="73">
        <f>IF($A19="","",V19*U19)</f>
        <v/>
      </c>
      <c r="W39" s="73" t="n"/>
      <c r="X39" s="73">
        <f>IF($A19="","",X19*W19)</f>
        <v/>
      </c>
      <c r="Y39" s="73" t="n"/>
      <c r="Z39" s="73">
        <f>IF($A19="","",Z19*Y19)</f>
        <v/>
      </c>
      <c r="AA39" s="73" t="n"/>
      <c r="AB39" s="73">
        <f>IF($A19="","",AB19*AA19)</f>
        <v/>
      </c>
      <c r="AC39" s="73" t="n"/>
      <c r="AD39" s="73">
        <f>IF($A19="","",AD19*AC19)</f>
        <v/>
      </c>
      <c r="AE39" s="73" t="n"/>
      <c r="AF39" s="73">
        <f>IF($A19="","",AF19*AE19)</f>
        <v/>
      </c>
      <c r="AG39" s="73" t="n"/>
      <c r="AH39" s="73">
        <f>IF($A19="","",AH19*AG19)</f>
        <v/>
      </c>
    </row>
    <row r="40" hidden="1">
      <c r="F40" s="73">
        <f>IF($A20="","",F20*E20)</f>
        <v/>
      </c>
      <c r="H40" s="73">
        <f>IF($A20="","",H20*G20)</f>
        <v/>
      </c>
      <c r="I40" s="73" t="n"/>
      <c r="J40" s="73">
        <f>IF($A20="","",J20*I20)</f>
        <v/>
      </c>
      <c r="K40" s="73" t="n"/>
      <c r="L40" s="73">
        <f>IF($A20="","",L20*K20)</f>
        <v/>
      </c>
      <c r="M40" s="73" t="n"/>
      <c r="N40" s="73">
        <f>IF($A20="","",N20*M20)</f>
        <v/>
      </c>
      <c r="O40" s="73" t="n"/>
      <c r="P40" s="73">
        <f>IF($A20="","",P20*O20)</f>
        <v/>
      </c>
      <c r="Q40" s="73" t="n"/>
      <c r="R40" s="73">
        <f>IF($A20="","",R20*Q20)</f>
        <v/>
      </c>
      <c r="S40" s="73" t="n"/>
      <c r="T40" s="73">
        <f>IF($A20="","",T20*S20)</f>
        <v/>
      </c>
      <c r="U40" s="73" t="n"/>
      <c r="V40" s="73">
        <f>IF($A20="","",V20*U20)</f>
        <v/>
      </c>
      <c r="W40" s="73" t="n"/>
      <c r="X40" s="73">
        <f>IF($A20="","",X20*W20)</f>
        <v/>
      </c>
      <c r="Y40" s="73" t="n"/>
      <c r="Z40" s="73">
        <f>IF($A20="","",Z20*Y20)</f>
        <v/>
      </c>
      <c r="AA40" s="73" t="n"/>
      <c r="AB40" s="73">
        <f>IF($A20="","",AB20*AA20)</f>
        <v/>
      </c>
      <c r="AC40" s="73" t="n"/>
      <c r="AD40" s="73">
        <f>IF($A20="","",AD20*AC20)</f>
        <v/>
      </c>
      <c r="AE40" s="73" t="n"/>
      <c r="AF40" s="73">
        <f>IF($A20="","",AF20*AE20)</f>
        <v/>
      </c>
      <c r="AG40" s="73" t="n"/>
      <c r="AH40" s="73">
        <f>IF($A20="","",AH20*AG20)</f>
        <v/>
      </c>
    </row>
    <row r="41" hidden="1">
      <c r="F41" s="73">
        <f>IF($A21="","",F21*E21)</f>
        <v/>
      </c>
      <c r="H41" s="73">
        <f>IF($A21="","",H21*G21)</f>
        <v/>
      </c>
      <c r="I41" s="73" t="n"/>
      <c r="J41" s="73">
        <f>IF($A21="","",J21*I21)</f>
        <v/>
      </c>
      <c r="K41" s="73" t="n"/>
      <c r="L41" s="73">
        <f>IF($A21="","",L21*K21)</f>
        <v/>
      </c>
      <c r="M41" s="73" t="n"/>
      <c r="N41" s="73">
        <f>IF($A21="","",N21*M21)</f>
        <v/>
      </c>
      <c r="O41" s="73" t="n"/>
      <c r="P41" s="73">
        <f>IF($A21="","",P21*O21)</f>
        <v/>
      </c>
      <c r="Q41" s="73" t="n"/>
      <c r="R41" s="73">
        <f>IF($A21="","",R21*Q21)</f>
        <v/>
      </c>
      <c r="S41" s="73" t="n"/>
      <c r="T41" s="73">
        <f>IF($A21="","",T21*S21)</f>
        <v/>
      </c>
      <c r="U41" s="73" t="n"/>
      <c r="V41" s="73">
        <f>IF($A21="","",V21*U21)</f>
        <v/>
      </c>
      <c r="W41" s="73" t="n"/>
      <c r="X41" s="73">
        <f>IF($A21="","",X21*W21)</f>
        <v/>
      </c>
      <c r="Y41" s="73" t="n"/>
      <c r="Z41" s="73">
        <f>IF($A21="","",Z21*Y21)</f>
        <v/>
      </c>
      <c r="AA41" s="73" t="n"/>
      <c r="AB41" s="73">
        <f>IF($A21="","",AB21*AA21)</f>
        <v/>
      </c>
      <c r="AC41" s="73" t="n"/>
      <c r="AD41" s="73">
        <f>IF($A21="","",AD21*AC21)</f>
        <v/>
      </c>
      <c r="AE41" s="73" t="n"/>
      <c r="AF41" s="73">
        <f>IF($A21="","",AF21*AE21)</f>
        <v/>
      </c>
      <c r="AG41" s="73" t="n"/>
      <c r="AH41" s="73">
        <f>IF($A21="","",AH21*AG21)</f>
        <v/>
      </c>
    </row>
    <row r="42" hidden="1">
      <c r="F42" s="73">
        <f>IF($A22="","",F22*E22)</f>
        <v/>
      </c>
      <c r="H42" s="73">
        <f>IF($A22="","",H22*G22)</f>
        <v/>
      </c>
      <c r="I42" s="73" t="n"/>
      <c r="J42" s="73">
        <f>IF($A22="","",J22*I22)</f>
        <v/>
      </c>
      <c r="K42" s="73" t="n"/>
      <c r="L42" s="73">
        <f>IF($A22="","",L22*K22)</f>
        <v/>
      </c>
      <c r="M42" s="73" t="n"/>
      <c r="N42" s="73">
        <f>IF($A22="","",N22*M22)</f>
        <v/>
      </c>
      <c r="O42" s="73" t="n"/>
      <c r="P42" s="73">
        <f>IF($A22="","",P22*O22)</f>
        <v/>
      </c>
      <c r="Q42" s="73" t="n"/>
      <c r="R42" s="73">
        <f>IF($A22="","",R22*Q22)</f>
        <v/>
      </c>
      <c r="S42" s="73" t="n"/>
      <c r="T42" s="73">
        <f>IF($A22="","",T22*S22)</f>
        <v/>
      </c>
      <c r="U42" s="73" t="n"/>
      <c r="V42" s="73">
        <f>IF($A22="","",V22*U22)</f>
        <v/>
      </c>
      <c r="W42" s="73" t="n"/>
      <c r="X42" s="73">
        <f>IF($A22="","",X22*W22)</f>
        <v/>
      </c>
      <c r="Y42" s="73" t="n"/>
      <c r="Z42" s="73">
        <f>IF($A22="","",Z22*Y22)</f>
        <v/>
      </c>
      <c r="AA42" s="73" t="n"/>
      <c r="AB42" s="73">
        <f>IF($A22="","",AB22*AA22)</f>
        <v/>
      </c>
      <c r="AC42" s="73" t="n"/>
      <c r="AD42" s="73">
        <f>IF($A22="","",AD22*AC22)</f>
        <v/>
      </c>
      <c r="AE42" s="73" t="n"/>
      <c r="AF42" s="73">
        <f>IF($A22="","",AF22*AE22)</f>
        <v/>
      </c>
      <c r="AG42" s="73" t="n"/>
      <c r="AH42" s="73">
        <f>IF($A22="","",AH22*AG22)</f>
        <v/>
      </c>
    </row>
    <row r="43" hidden="1">
      <c r="F43" s="73">
        <f>IF($A23="","",F23*E23)</f>
        <v/>
      </c>
      <c r="H43" s="73">
        <f>IF($A23="","",H23*G23)</f>
        <v/>
      </c>
      <c r="I43" s="73" t="n"/>
      <c r="J43" s="73">
        <f>IF($A23="","",J23*I23)</f>
        <v/>
      </c>
      <c r="K43" s="73" t="n"/>
      <c r="L43" s="73">
        <f>IF($A23="","",L23*K23)</f>
        <v/>
      </c>
      <c r="M43" s="73" t="n"/>
      <c r="N43" s="73">
        <f>IF($A23="","",N23*M23)</f>
        <v/>
      </c>
      <c r="O43" s="73" t="n"/>
      <c r="P43" s="73">
        <f>IF($A23="","",P23*O23)</f>
        <v/>
      </c>
      <c r="Q43" s="73" t="n"/>
      <c r="R43" s="73">
        <f>IF($A23="","",R23*Q23)</f>
        <v/>
      </c>
      <c r="S43" s="73" t="n"/>
      <c r="T43" s="73">
        <f>IF($A23="","",T23*S23)</f>
        <v/>
      </c>
      <c r="U43" s="73" t="n"/>
      <c r="V43" s="73">
        <f>IF($A23="","",V23*U23)</f>
        <v/>
      </c>
      <c r="W43" s="73" t="n"/>
      <c r="X43" s="73">
        <f>IF($A23="","",X23*W23)</f>
        <v/>
      </c>
      <c r="Y43" s="73" t="n"/>
      <c r="Z43" s="73">
        <f>IF($A23="","",Z23*Y23)</f>
        <v/>
      </c>
      <c r="AA43" s="73" t="n"/>
      <c r="AB43" s="73">
        <f>IF($A23="","",AB23*AA23)</f>
        <v/>
      </c>
      <c r="AC43" s="73" t="n"/>
      <c r="AD43" s="73">
        <f>IF($A23="","",AD23*AC23)</f>
        <v/>
      </c>
      <c r="AE43" s="73" t="n"/>
      <c r="AF43" s="73">
        <f>IF($A23="","",AF23*AE23)</f>
        <v/>
      </c>
      <c r="AG43" s="73" t="n"/>
      <c r="AH43" s="73">
        <f>IF($A23="","",AH23*AG23)</f>
        <v/>
      </c>
    </row>
    <row r="44" hidden="1">
      <c r="F44" s="73">
        <f>IF($A24="","",F24*E24)</f>
        <v/>
      </c>
      <c r="H44" s="73">
        <f>IF($A24="","",H24*G24)</f>
        <v/>
      </c>
      <c r="I44" s="73" t="n"/>
      <c r="J44" s="73">
        <f>IF($A24="","",J24*I24)</f>
        <v/>
      </c>
      <c r="K44" s="73" t="n"/>
      <c r="L44" s="73">
        <f>IF($A24="","",L24*K24)</f>
        <v/>
      </c>
      <c r="M44" s="73" t="n"/>
      <c r="N44" s="73">
        <f>IF($A24="","",N24*M24)</f>
        <v/>
      </c>
      <c r="O44" s="73" t="n"/>
      <c r="P44" s="73">
        <f>IF($A24="","",P24*O24)</f>
        <v/>
      </c>
      <c r="Q44" s="73" t="n"/>
      <c r="R44" s="73">
        <f>IF($A24="","",R24*Q24)</f>
        <v/>
      </c>
      <c r="S44" s="73" t="n"/>
      <c r="T44" s="73">
        <f>IF($A24="","",T24*S24)</f>
        <v/>
      </c>
      <c r="U44" s="73" t="n"/>
      <c r="V44" s="73">
        <f>IF($A24="","",V24*U24)</f>
        <v/>
      </c>
      <c r="W44" s="73" t="n"/>
      <c r="X44" s="73">
        <f>IF($A24="","",X24*W24)</f>
        <v/>
      </c>
      <c r="Y44" s="73" t="n"/>
      <c r="Z44" s="73">
        <f>IF($A24="","",Z24*Y24)</f>
        <v/>
      </c>
      <c r="AA44" s="73" t="n"/>
      <c r="AB44" s="73">
        <f>IF($A24="","",AB24*AA24)</f>
        <v/>
      </c>
      <c r="AC44" s="73" t="n"/>
      <c r="AD44" s="73">
        <f>IF($A24="","",AD24*AC24)</f>
        <v/>
      </c>
      <c r="AE44" s="73" t="n"/>
      <c r="AF44" s="73">
        <f>IF($A24="","",AF24*AE24)</f>
        <v/>
      </c>
      <c r="AG44" s="73" t="n"/>
      <c r="AH44" s="73">
        <f>IF($A24="","",AH24*AG24)</f>
        <v/>
      </c>
    </row>
    <row r="45" hidden="1">
      <c r="F45" s="73">
        <f>IF($A25="","",F25*E25)</f>
        <v/>
      </c>
      <c r="H45" s="73">
        <f>IF($A25="","",H25*G25)</f>
        <v/>
      </c>
      <c r="I45" s="73" t="n"/>
      <c r="J45" s="73">
        <f>IF($A25="","",J25*I25)</f>
        <v/>
      </c>
      <c r="K45" s="73" t="n"/>
      <c r="L45" s="73">
        <f>IF($A25="","",L25*K25)</f>
        <v/>
      </c>
      <c r="M45" s="73" t="n"/>
      <c r="N45" s="73">
        <f>IF($A25="","",N25*M25)</f>
        <v/>
      </c>
      <c r="O45" s="73" t="n"/>
      <c r="P45" s="73">
        <f>IF($A25="","",P25*O25)</f>
        <v/>
      </c>
      <c r="Q45" s="73" t="n"/>
      <c r="R45" s="73">
        <f>IF($A25="","",R25*Q25)</f>
        <v/>
      </c>
      <c r="S45" s="73" t="n"/>
      <c r="T45" s="73">
        <f>IF($A25="","",T25*S25)</f>
        <v/>
      </c>
      <c r="U45" s="73" t="n"/>
      <c r="V45" s="73">
        <f>IF($A25="","",V25*U25)</f>
        <v/>
      </c>
      <c r="W45" s="73" t="n"/>
      <c r="X45" s="73">
        <f>IF($A25="","",X25*W25)</f>
        <v/>
      </c>
      <c r="Y45" s="73" t="n"/>
      <c r="Z45" s="73">
        <f>IF($A25="","",Z25*Y25)</f>
        <v/>
      </c>
      <c r="AA45" s="73" t="n"/>
      <c r="AB45" s="73">
        <f>IF($A25="","",AB25*AA25)</f>
        <v/>
      </c>
      <c r="AC45" s="73" t="n"/>
      <c r="AD45" s="73">
        <f>IF($A25="","",AD25*AC25)</f>
        <v/>
      </c>
      <c r="AE45" s="73" t="n"/>
      <c r="AF45" s="73">
        <f>IF($A25="","",AF25*AE25)</f>
        <v/>
      </c>
      <c r="AG45" s="73" t="n"/>
      <c r="AH45" s="73">
        <f>IF($A25="","",AH25*AG25)</f>
        <v/>
      </c>
    </row>
    <row r="46" hidden="1">
      <c r="F46" s="73">
        <f>IF($A26="","",F26*E26)</f>
        <v/>
      </c>
      <c r="H46" s="73">
        <f>IF($A26="","",H26*G26)</f>
        <v/>
      </c>
      <c r="I46" s="73" t="n"/>
      <c r="J46" s="73">
        <f>IF($A26="","",J26*I26)</f>
        <v/>
      </c>
      <c r="K46" s="73" t="n"/>
      <c r="L46" s="73">
        <f>IF($A26="","",L26*K26)</f>
        <v/>
      </c>
      <c r="M46" s="73" t="n"/>
      <c r="N46" s="73">
        <f>IF($A26="","",N26*M26)</f>
        <v/>
      </c>
      <c r="O46" s="73" t="n"/>
      <c r="P46" s="73">
        <f>IF($A26="","",P26*O26)</f>
        <v/>
      </c>
      <c r="Q46" s="73" t="n"/>
      <c r="R46" s="73">
        <f>IF($A26="","",R26*Q26)</f>
        <v/>
      </c>
      <c r="S46" s="73" t="n"/>
      <c r="T46" s="73">
        <f>IF($A26="","",T26*S26)</f>
        <v/>
      </c>
      <c r="U46" s="73" t="n"/>
      <c r="V46" s="73">
        <f>IF($A26="","",V26*U26)</f>
        <v/>
      </c>
      <c r="W46" s="73" t="n"/>
      <c r="X46" s="73">
        <f>IF($A26="","",X26*W26)</f>
        <v/>
      </c>
      <c r="Y46" s="73" t="n"/>
      <c r="Z46" s="73">
        <f>IF($A26="","",Z26*Y26)</f>
        <v/>
      </c>
      <c r="AA46" s="73" t="n"/>
      <c r="AB46" s="73">
        <f>IF($A26="","",AB26*AA26)</f>
        <v/>
      </c>
      <c r="AC46" s="73" t="n"/>
      <c r="AD46" s="73">
        <f>IF($A26="","",AD26*AC26)</f>
        <v/>
      </c>
      <c r="AE46" s="73" t="n"/>
      <c r="AF46" s="73">
        <f>IF($A26="","",AF26*AE26)</f>
        <v/>
      </c>
      <c r="AG46" s="73" t="n"/>
      <c r="AH46" s="73">
        <f>IF($A26="","",AH26*AG26)</f>
        <v/>
      </c>
    </row>
    <row r="47" hidden="1">
      <c r="F47" s="73">
        <f>IF($A27="","",F27*E27)</f>
        <v/>
      </c>
      <c r="H47" s="73">
        <f>IF($A27="","",H27*G27)</f>
        <v/>
      </c>
      <c r="I47" s="73" t="n"/>
      <c r="J47" s="73">
        <f>IF($A27="","",J27*I27)</f>
        <v/>
      </c>
      <c r="K47" s="73" t="n"/>
      <c r="L47" s="73">
        <f>IF($A27="","",L27*K27)</f>
        <v/>
      </c>
      <c r="M47" s="73" t="n"/>
      <c r="N47" s="73">
        <f>IF($A27="","",N27*M27)</f>
        <v/>
      </c>
      <c r="O47" s="73" t="n"/>
      <c r="P47" s="73">
        <f>IF($A27="","",P27*O27)</f>
        <v/>
      </c>
      <c r="Q47" s="73" t="n"/>
      <c r="R47" s="73">
        <f>IF($A27="","",R27*Q27)</f>
        <v/>
      </c>
      <c r="S47" s="73" t="n"/>
      <c r="T47" s="73">
        <f>IF($A27="","",T27*S27)</f>
        <v/>
      </c>
      <c r="U47" s="73" t="n"/>
      <c r="V47" s="73">
        <f>IF($A27="","",V27*U27)</f>
        <v/>
      </c>
      <c r="W47" s="73" t="n"/>
      <c r="X47" s="73">
        <f>IF($A27="","",X27*W27)</f>
        <v/>
      </c>
      <c r="Y47" s="73" t="n"/>
      <c r="Z47" s="73">
        <f>IF($A27="","",Z27*Y27)</f>
        <v/>
      </c>
      <c r="AA47" s="73" t="n"/>
      <c r="AB47" s="73">
        <f>IF($A27="","",AB27*AA27)</f>
        <v/>
      </c>
      <c r="AC47" s="73" t="n"/>
      <c r="AD47" s="73">
        <f>IF($A27="","",AD27*AC27)</f>
        <v/>
      </c>
      <c r="AE47" s="73" t="n"/>
      <c r="AF47" s="73">
        <f>IF($A27="","",AF27*AE27)</f>
        <v/>
      </c>
      <c r="AG47" s="73" t="n"/>
      <c r="AH47" s="73">
        <f>IF($A27="","",AH27*AG27)</f>
        <v/>
      </c>
    </row>
    <row r="48" hidden="1">
      <c r="F48" s="73">
        <f>IF($A28="","",F28*E28)</f>
        <v/>
      </c>
      <c r="H48" s="73">
        <f>IF($A28="","",H28*G28)</f>
        <v/>
      </c>
      <c r="I48" s="73" t="n"/>
      <c r="J48" s="73">
        <f>IF($A28="","",J28*I28)</f>
        <v/>
      </c>
      <c r="K48" s="73" t="n"/>
      <c r="L48" s="73">
        <f>IF($A28="","",L28*K28)</f>
        <v/>
      </c>
      <c r="M48" s="73" t="n"/>
      <c r="N48" s="73">
        <f>IF($A28="","",N28*M28)</f>
        <v/>
      </c>
      <c r="O48" s="73" t="n"/>
      <c r="P48" s="73">
        <f>IF($A28="","",P28*O28)</f>
        <v/>
      </c>
      <c r="Q48" s="73" t="n"/>
      <c r="R48" s="73">
        <f>IF($A28="","",R28*Q28)</f>
        <v/>
      </c>
      <c r="S48" s="73" t="n"/>
      <c r="T48" s="73">
        <f>IF($A28="","",T28*S28)</f>
        <v/>
      </c>
      <c r="U48" s="73" t="n"/>
      <c r="V48" s="73">
        <f>IF($A28="","",V28*U28)</f>
        <v/>
      </c>
      <c r="W48" s="73" t="n"/>
      <c r="X48" s="73">
        <f>IF($A28="","",X28*W28)</f>
        <v/>
      </c>
      <c r="Y48" s="73" t="n"/>
      <c r="Z48" s="73">
        <f>IF($A28="","",Z28*Y28)</f>
        <v/>
      </c>
      <c r="AA48" s="73" t="n"/>
      <c r="AB48" s="73">
        <f>IF($A28="","",AB28*AA28)</f>
        <v/>
      </c>
      <c r="AC48" s="73" t="n"/>
      <c r="AD48" s="73">
        <f>IF($A28="","",AD28*AC28)</f>
        <v/>
      </c>
      <c r="AE48" s="73" t="n"/>
      <c r="AF48" s="73">
        <f>IF($A28="","",AF28*AE28)</f>
        <v/>
      </c>
      <c r="AG48" s="73" t="n"/>
      <c r="AH48" s="73">
        <f>IF($A28="","",AH28*AG28)</f>
        <v/>
      </c>
    </row>
    <row r="49" hidden="1">
      <c r="F49" s="74">
        <f>SUMIF(F31:F48,"&gt;0")</f>
        <v/>
      </c>
      <c r="H49" s="74">
        <f>SUMIF(H31:H48,"&gt;0")</f>
        <v/>
      </c>
      <c r="I49" s="74" t="n"/>
      <c r="J49" s="74">
        <f>SUMIF(J31:J48,"&gt;0")</f>
        <v/>
      </c>
      <c r="K49" s="74" t="n"/>
      <c r="L49" s="74">
        <f>SUMIF(L31:L48,"&gt;0")</f>
        <v/>
      </c>
      <c r="N49" s="74">
        <f>SUMIF(N31:N48,"&gt;0")</f>
        <v/>
      </c>
      <c r="O49" s="74" t="n"/>
      <c r="P49" s="74">
        <f>SUMIF(P31:P48,"&gt;0")</f>
        <v/>
      </c>
      <c r="R49" s="74">
        <f>SUMIF(R31:R48,"&gt;0")</f>
        <v/>
      </c>
      <c r="S49" s="74" t="n"/>
      <c r="T49" s="74">
        <f>SUMIF(T31:T48,"&gt;0")</f>
        <v/>
      </c>
      <c r="U49" s="74" t="n"/>
      <c r="V49" s="74">
        <f>SUMIF(V31:V48,"&gt;0")</f>
        <v/>
      </c>
      <c r="W49" s="74" t="n"/>
      <c r="X49" s="74">
        <f>SUMIF(X31:X48,"&gt;0")</f>
        <v/>
      </c>
      <c r="Y49" s="74" t="n"/>
      <c r="Z49" s="74">
        <f>SUMIF(Z31:Z48,"&gt;0")</f>
        <v/>
      </c>
      <c r="AB49" s="74">
        <f>SUMIF(AB31:AB48,"&gt;0")</f>
        <v/>
      </c>
      <c r="AC49" s="74" t="n"/>
      <c r="AD49" s="74">
        <f>SUMIF(AD31:AD48,"&gt;0")</f>
        <v/>
      </c>
      <c r="AE49" s="74" t="n"/>
      <c r="AF49" s="74">
        <f>SUMIF(AF31:AF48,"&gt;0")</f>
        <v/>
      </c>
      <c r="AH49" s="74">
        <f>SUMIF(AH31:AH48,"&gt;0")</f>
        <v/>
      </c>
    </row>
    <row r="52">
      <c r="A52" s="75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</row>
    <row r="53">
      <c r="A53" s="77" t="inlineStr">
        <is>
          <t>#</t>
        </is>
      </c>
      <c r="B53" s="77" t="inlineStr">
        <is>
          <t>โปรไฟล์</t>
        </is>
      </c>
      <c r="C53" s="77" t="inlineStr">
        <is>
          <t>รหัส</t>
        </is>
      </c>
      <c r="D53" s="77" t="inlineStr">
        <is>
          <t>สูตรตัด (เดิม)</t>
        </is>
      </c>
      <c r="E53" s="77" t="inlineStr">
        <is>
          <t>หัก1</t>
        </is>
      </c>
      <c r="F53" s="77" t="inlineStr">
        <is>
          <t>หัก2</t>
        </is>
      </c>
      <c r="G53" s="77" t="inlineStr">
        <is>
          <t>หัก3</t>
        </is>
      </c>
      <c r="H53" s="77" t="inlineStr">
        <is>
          <t>หัก4</t>
        </is>
      </c>
      <c r="I53" s="77" t="inlineStr">
        <is>
          <t>หัก5</t>
        </is>
      </c>
      <c r="J53" s="77" t="inlineStr">
        <is>
          <t>หัก6</t>
        </is>
      </c>
      <c r="K53" s="77" t="inlineStr">
        <is>
          <t>หัก7</t>
        </is>
      </c>
      <c r="L53" s="77" t="inlineStr">
        <is>
          <t>จำนวน/ชุด</t>
        </is>
      </c>
      <c r="M53" s="122" t="n"/>
    </row>
    <row r="54" ht="44" customHeight="1">
      <c r="A54" s="78" t="n">
        <v>1</v>
      </c>
      <c r="B54" s="79" t="inlineStr">
        <is>
          <t>เฟรมข้าง</t>
        </is>
      </c>
      <c r="C54" s="80" t="inlineStr">
        <is>
          <t>F7978</t>
        </is>
      </c>
      <c r="D54" s="81" t="inlineStr">
        <is>
          <t>สูง</t>
        </is>
      </c>
      <c r="E54" s="82" t="n"/>
      <c r="F54" s="82" t="n"/>
      <c r="G54" s="82" t="n"/>
      <c r="H54" s="82" t="n"/>
      <c r="I54" s="82" t="n"/>
      <c r="J54" s="82" t="n"/>
      <c r="K54" s="82" t="n"/>
      <c r="L54" s="83" t="n">
        <v>2</v>
      </c>
      <c r="M54" s="82" t="n"/>
    </row>
    <row r="55" ht="44" customHeight="1">
      <c r="A55" s="78" t="n">
        <v>2</v>
      </c>
      <c r="B55" s="79" t="inlineStr">
        <is>
          <t>เฟรม บน-ล่าง</t>
        </is>
      </c>
      <c r="C55" s="80" t="inlineStr">
        <is>
          <t>F7976</t>
        </is>
      </c>
      <c r="D55" s="81" t="inlineStr">
        <is>
          <t>กว้าง-21-21</t>
        </is>
      </c>
      <c r="E55" s="83" t="n">
        <v>21</v>
      </c>
      <c r="F55" s="83" t="n">
        <v>21</v>
      </c>
      <c r="G55" s="82" t="n"/>
      <c r="H55" s="82" t="n"/>
      <c r="I55" s="82" t="n"/>
      <c r="J55" s="82" t="n"/>
      <c r="K55" s="82" t="n"/>
      <c r="L55" s="83" t="n">
        <v>2</v>
      </c>
      <c r="M55" s="82" t="n"/>
    </row>
    <row r="56" ht="44" customHeight="1">
      <c r="A56" s="78" t="n">
        <v>3</v>
      </c>
      <c r="B56" s="79" t="inlineStr">
        <is>
          <t>เสา</t>
        </is>
      </c>
      <c r="C56" s="80" t="inlineStr">
        <is>
          <t>F7980</t>
        </is>
      </c>
      <c r="D56" s="81" t="inlineStr">
        <is>
          <t>สูง-21-19-13-21</t>
        </is>
      </c>
      <c r="E56" s="83" t="n">
        <v>21</v>
      </c>
      <c r="F56" s="83" t="n">
        <v>19</v>
      </c>
      <c r="G56" s="83" t="n">
        <v>13</v>
      </c>
      <c r="H56" s="83" t="n">
        <v>21</v>
      </c>
      <c r="I56" s="82" t="n"/>
      <c r="J56" s="82" t="n"/>
      <c r="K56" s="82" t="n"/>
      <c r="L56" s="83" t="n">
        <v>8</v>
      </c>
      <c r="M56" s="82" t="n"/>
    </row>
    <row r="57" ht="15" customHeight="1">
      <c r="A57" s="78" t="n">
        <v>4</v>
      </c>
      <c r="B57" s="79" t="inlineStr">
        <is>
          <t>ขวาง</t>
        </is>
      </c>
      <c r="C57" s="80" t="inlineStr">
        <is>
          <t>-</t>
        </is>
      </c>
      <c r="D57" s="81" t="inlineStr">
        <is>
          <t>((กว้าง-21-4.5-2.4-21)/4)+(78x2/4)</t>
        </is>
      </c>
      <c r="E57" s="83" t="n">
        <v>21</v>
      </c>
      <c r="F57" s="83" t="n">
        <v>4.5</v>
      </c>
      <c r="G57" s="83" t="n">
        <v>2.4</v>
      </c>
      <c r="H57" s="83" t="n">
        <v>21</v>
      </c>
      <c r="I57" s="82" t="n"/>
      <c r="J57" s="82" t="n"/>
      <c r="K57" s="82" t="n"/>
      <c r="L57" s="83" t="n">
        <v>8</v>
      </c>
      <c r="M57" s="82" t="n"/>
    </row>
    <row r="58" ht="44" customHeight="1">
      <c r="A58" s="78" t="n">
        <v>5</v>
      </c>
      <c r="B58" s="79" t="inlineStr">
        <is>
          <t>คิ้ว ตั้ง</t>
        </is>
      </c>
      <c r="C58" s="80" t="inlineStr">
        <is>
          <t>F7917</t>
        </is>
      </c>
      <c r="D58" s="81" t="inlineStr">
        <is>
          <t>เสา-78-78</t>
        </is>
      </c>
      <c r="E58" s="83" t="n">
        <v>78</v>
      </c>
      <c r="F58" s="83" t="n">
        <v>78</v>
      </c>
      <c r="G58" s="82" t="n"/>
      <c r="H58" s="82" t="n"/>
      <c r="I58" s="82" t="n"/>
      <c r="J58" s="82" t="n"/>
      <c r="K58" s="82" t="n"/>
      <c r="L58" s="83" t="n">
        <v>8</v>
      </c>
      <c r="M58" s="82" t="n"/>
    </row>
    <row r="59" ht="15" customHeight="1">
      <c r="A59" s="78" t="n">
        <v>6</v>
      </c>
      <c r="B59" s="79" t="inlineStr">
        <is>
          <t>คิ้ว ขวาง</t>
        </is>
      </c>
      <c r="C59" s="80" t="inlineStr">
        <is>
          <t>-</t>
        </is>
      </c>
      <c r="D59" s="81" t="inlineStr">
        <is>
          <t>ขวาง-63-63</t>
        </is>
      </c>
      <c r="E59" s="83" t="n">
        <v>63</v>
      </c>
      <c r="F59" s="83" t="n">
        <v>63</v>
      </c>
      <c r="G59" s="82" t="n"/>
      <c r="H59" s="82" t="n"/>
      <c r="I59" s="82" t="n"/>
      <c r="J59" s="82" t="n"/>
      <c r="K59" s="82" t="n"/>
      <c r="L59" s="83" t="n">
        <v>8</v>
      </c>
      <c r="M59" s="82" t="n"/>
    </row>
    <row r="60" ht="44" customHeight="1">
      <c r="A60" s="78" t="n">
        <v>7</v>
      </c>
      <c r="B60" s="79" t="inlineStr">
        <is>
          <t>เฟรม ล่าง</t>
        </is>
      </c>
      <c r="C60" s="80" t="inlineStr">
        <is>
          <t>F7925</t>
        </is>
      </c>
      <c r="D60" s="81" t="inlineStr">
        <is>
          <t>สูงกรอบบาน</t>
        </is>
      </c>
      <c r="E60" s="82" t="n"/>
      <c r="F60" s="82" t="n"/>
      <c r="G60" s="82" t="n"/>
      <c r="H60" s="82" t="n"/>
      <c r="I60" s="82" t="n"/>
      <c r="J60" s="82" t="n"/>
      <c r="K60" s="82" t="n"/>
      <c r="L60" s="83" t="n">
        <v>1</v>
      </c>
      <c r="M60" s="82" t="n"/>
    </row>
    <row r="61" ht="44" customHeight="1">
      <c r="A61" s="78" t="n">
        <v>8</v>
      </c>
      <c r="B61" s="79" t="inlineStr">
        <is>
          <t>ตบเกี่ยว</t>
        </is>
      </c>
      <c r="C61" s="80" t="inlineStr">
        <is>
          <t>F7983</t>
        </is>
      </c>
      <c r="D61" s="81" t="inlineStr">
        <is>
          <t>สูงกรอบบาน</t>
        </is>
      </c>
      <c r="E61" s="82" t="n"/>
      <c r="F61" s="82" t="n"/>
      <c r="G61" s="82" t="n"/>
      <c r="H61" s="82" t="n"/>
      <c r="I61" s="82" t="n"/>
      <c r="J61" s="82" t="n"/>
      <c r="K61" s="82" t="n"/>
      <c r="L61" s="83" t="n">
        <v>4</v>
      </c>
      <c r="M61" s="82" t="n"/>
    </row>
    <row r="62" ht="44" customHeight="1">
      <c r="A62" s="78" t="n">
        <v>9</v>
      </c>
      <c r="B62" s="79" t="inlineStr">
        <is>
          <t>ยูข้าง</t>
        </is>
      </c>
      <c r="C62" s="80" t="inlineStr">
        <is>
          <t>F7986</t>
        </is>
      </c>
      <c r="D62" s="81" t="inlineStr">
        <is>
          <t>สูง-45-45</t>
        </is>
      </c>
      <c r="E62" s="83" t="n">
        <v>45</v>
      </c>
      <c r="F62" s="83" t="n">
        <v>45</v>
      </c>
      <c r="G62" s="82" t="n"/>
      <c r="H62" s="82" t="n"/>
      <c r="I62" s="82" t="n"/>
      <c r="J62" s="82" t="n"/>
      <c r="K62" s="82" t="n"/>
      <c r="L62" s="83" t="n">
        <v>2</v>
      </c>
      <c r="M62" s="82" t="n"/>
    </row>
    <row r="63" ht="44" customHeight="1">
      <c r="A63" s="78" t="n">
        <v>10</v>
      </c>
      <c r="B63" s="79" t="inlineStr">
        <is>
          <t>ตบเฟรมบน</t>
        </is>
      </c>
      <c r="C63" s="80" t="inlineStr">
        <is>
          <t>F7993</t>
        </is>
      </c>
      <c r="D63" s="81" t="inlineStr">
        <is>
          <t>เท่าเฟรมบน</t>
        </is>
      </c>
      <c r="E63" s="82" t="n"/>
      <c r="F63" s="82" t="n"/>
      <c r="G63" s="82" t="n"/>
      <c r="H63" s="82" t="n"/>
      <c r="I63" s="82" t="n"/>
      <c r="J63" s="82" t="n"/>
      <c r="K63" s="82" t="n"/>
      <c r="L63" s="83" t="n">
        <v>3</v>
      </c>
      <c r="M63" s="82" t="n"/>
    </row>
    <row r="64" ht="44" customHeight="1">
      <c r="A64" s="78" t="n">
        <v>11</v>
      </c>
      <c r="B64" s="79" t="inlineStr">
        <is>
          <t>ปิดตบเกี่ยว</t>
        </is>
      </c>
      <c r="C64" s="80" t="inlineStr">
        <is>
          <t>F7988</t>
        </is>
      </c>
      <c r="D64" s="81" t="inlineStr">
        <is>
          <t>สูงกรอบบาน</t>
        </is>
      </c>
      <c r="E64" s="82" t="n"/>
      <c r="F64" s="82" t="n"/>
      <c r="G64" s="82" t="n"/>
      <c r="H64" s="82" t="n"/>
      <c r="I64" s="82" t="n"/>
      <c r="J64" s="82" t="n"/>
      <c r="K64" s="82" t="n"/>
      <c r="L64" s="83" t="n">
        <v>4</v>
      </c>
      <c r="M64" s="82" t="n"/>
    </row>
    <row r="65" ht="15" customHeight="1">
      <c r="A65" s="78" t="n">
        <v>12</v>
      </c>
      <c r="B65" s="79" t="inlineStr">
        <is>
          <t>ปิดรับล็อค</t>
        </is>
      </c>
      <c r="C65" s="80" t="inlineStr">
        <is>
          <t>-</t>
        </is>
      </c>
      <c r="D65" s="81" t="inlineStr">
        <is>
          <t>สูงกรอบบาน</t>
        </is>
      </c>
      <c r="E65" s="82" t="n"/>
      <c r="F65" s="82" t="n"/>
      <c r="G65" s="82" t="n"/>
      <c r="H65" s="82" t="n"/>
      <c r="I65" s="82" t="n"/>
      <c r="J65" s="82" t="n"/>
      <c r="K65" s="82" t="n"/>
      <c r="L65" s="83" t="n">
        <v>1</v>
      </c>
      <c r="M65" s="82" t="n"/>
    </row>
    <row r="66" ht="15" customHeight="1">
      <c r="A66" s="78" t="n">
        <v>13</v>
      </c>
      <c r="B66" s="79" t="inlineStr">
        <is>
          <t>ปิดตบกันสาด</t>
        </is>
      </c>
      <c r="C66" s="80" t="inlineStr">
        <is>
          <t>-</t>
        </is>
      </c>
      <c r="D66" s="81" t="inlineStr">
        <is>
          <t>กว้าง</t>
        </is>
      </c>
      <c r="E66" s="82" t="n"/>
      <c r="F66" s="82" t="n"/>
      <c r="G66" s="82" t="n"/>
      <c r="H66" s="82" t="n"/>
      <c r="I66" s="82" t="n"/>
      <c r="J66" s="82" t="n"/>
      <c r="K66" s="82" t="n"/>
      <c r="L66" s="83" t="n">
        <v>1</v>
      </c>
      <c r="M66" s="82" t="n"/>
    </row>
    <row r="67" ht="44" customHeight="1">
      <c r="A67" s="78" t="n">
        <v>14</v>
      </c>
      <c r="B67" s="79" t="inlineStr">
        <is>
          <t>รางเลื่อน</t>
        </is>
      </c>
      <c r="C67" s="80" t="inlineStr">
        <is>
          <t>F7994</t>
        </is>
      </c>
      <c r="D67" s="81" t="inlineStr">
        <is>
          <t>เท่าเฟรมล่าง</t>
        </is>
      </c>
      <c r="E67" s="82" t="n"/>
      <c r="F67" s="82" t="n"/>
      <c r="G67" s="82" t="n"/>
      <c r="H67" s="82" t="n"/>
      <c r="I67" s="82" t="n"/>
      <c r="J67" s="82" t="n"/>
      <c r="K67" s="82" t="n"/>
      <c r="L67" s="83" t="n">
        <v>2</v>
      </c>
      <c r="M67" s="82" t="n"/>
    </row>
    <row r="68" ht="44" customHeight="1">
      <c r="A68" s="78" t="n">
        <v>15</v>
      </c>
      <c r="B68" s="79" t="inlineStr">
        <is>
          <t>ตบกันสาด</t>
        </is>
      </c>
      <c r="C68" s="80" t="inlineStr">
        <is>
          <t>F7992</t>
        </is>
      </c>
      <c r="D68" s="81" t="inlineStr">
        <is>
          <t>กว้าง</t>
        </is>
      </c>
      <c r="E68" s="82" t="n"/>
      <c r="F68" s="82" t="n"/>
      <c r="G68" s="82" t="n"/>
      <c r="H68" s="82" t="n"/>
      <c r="I68" s="82" t="n"/>
      <c r="J68" s="82" t="n"/>
      <c r="K68" s="82" t="n"/>
      <c r="L68" s="83" t="n">
        <v>1</v>
      </c>
      <c r="M68" s="82" t="n"/>
    </row>
    <row r="69"/>
    <row r="70">
      <c r="A70" s="153" t="inlineStr">
        <is>
          <t>⑤ อุปกรณ์ + ตั้งค่ามือจับ (2 ชุด · บานเลื่อน 4)</t>
        </is>
      </c>
      <c r="F70" s="124" t="n"/>
    </row>
    <row r="71">
      <c r="A71" s="152" t="inlineStr">
        <is>
          <t>ประเภทบาน →</t>
        </is>
      </c>
      <c r="B71" s="150" t="inlineStr">
        <is>
          <t>ประตู</t>
        </is>
      </c>
      <c r="F71" s="126" t="n"/>
    </row>
    <row r="72">
      <c r="A72" s="152" t="inlineStr">
        <is>
          <t>ยี่ห้อมือจับ →</t>
        </is>
      </c>
      <c r="B72" s="150" t="inlineStr">
        <is>
          <t>เมโทร</t>
        </is>
      </c>
      <c r="F72" s="126" t="n"/>
    </row>
    <row r="73">
      <c r="A73" s="152" t="inlineStr">
        <is>
          <t>สีมือจับ →</t>
        </is>
      </c>
      <c r="B73" s="150" t="inlineStr">
        <is>
          <t>อบขาว</t>
        </is>
      </c>
      <c r="F73" s="126" t="n"/>
    </row>
    <row r="74">
      <c r="A74" s="152" t="inlineStr">
        <is>
          <t>มือจับ ชุด1 →</t>
        </is>
      </c>
      <c r="B74" s="150" t="inlineStr">
        <is>
          <t>กุญแจ+ล็อค</t>
        </is>
      </c>
      <c r="F74" s="126" t="n"/>
    </row>
    <row r="75">
      <c r="A75" s="156" t="inlineStr">
        <is>
          <t>มือจับ ชุด2 →</t>
        </is>
      </c>
      <c r="B75" s="150" t="inlineStr">
        <is>
          <t>ล็อค+ดัมมี่</t>
        </is>
      </c>
    </row>
    <row r="76">
      <c r="A76" s="154" t="inlineStr">
        <is>
          <t>⑤.1 สรุปอุปกรณ์ (จำนวนลิงก์อัตโนมัติ)</t>
        </is>
      </c>
    </row>
    <row r="77">
      <c r="A77" s="154" t="inlineStr">
        <is>
          <t>#</t>
        </is>
      </c>
      <c r="B77" s="154" t="inlineStr">
        <is>
          <t>อุปกรณ์</t>
        </is>
      </c>
      <c r="C77" s="154" t="inlineStr">
        <is>
          <t>รหัส SKU</t>
        </is>
      </c>
      <c r="D77" s="154" t="inlineStr">
        <is>
          <t>จำนวน</t>
        </is>
      </c>
      <c r="E77" s="154" t="inlineStr">
        <is>
          <t>หน่วย</t>
        </is>
      </c>
      <c r="F77" s="154" t="inlineStr">
        <is>
          <t>หมายเหตุ</t>
        </is>
      </c>
    </row>
    <row r="78">
      <c r="A78" s="149" t="n">
        <v>1</v>
      </c>
      <c r="B78" s="149" t="inlineStr">
        <is>
          <t>ล้อ 20</t>
        </is>
      </c>
      <c r="C78" s="150">
        <f>AK8</f>
        <v/>
      </c>
      <c r="D78" s="155">
        <f>AK30</f>
        <v/>
      </c>
      <c r="E78" s="149" t="inlineStr">
        <is>
          <t>ตัว</t>
        </is>
      </c>
      <c r="F78" s="149" t="inlineStr"/>
    </row>
    <row r="79">
      <c r="A79" s="149" t="n">
        <v>2</v>
      </c>
      <c r="B79" s="149" t="inlineStr">
        <is>
          <t>มือจับ กุญแจ</t>
        </is>
      </c>
      <c r="C79" s="150">
        <f>AL8</f>
        <v/>
      </c>
      <c r="D79" s="155">
        <f>AL30</f>
        <v/>
      </c>
      <c r="E79" s="149" t="inlineStr">
        <is>
          <t>ตัว</t>
        </is>
      </c>
      <c r="F79" s="149" t="inlineStr"/>
    </row>
    <row r="80">
      <c r="A80" s="149" t="n">
        <v>3</v>
      </c>
      <c r="B80" s="149" t="inlineStr">
        <is>
          <t>มือจับ ล็อค</t>
        </is>
      </c>
      <c r="C80" s="150">
        <f>AM8</f>
        <v/>
      </c>
      <c r="D80" s="155">
        <f>AM30</f>
        <v/>
      </c>
      <c r="E80" s="149" t="inlineStr">
        <is>
          <t>ตัว</t>
        </is>
      </c>
      <c r="F80" s="149" t="inlineStr"/>
    </row>
    <row r="81">
      <c r="A81" s="149" t="n">
        <v>4</v>
      </c>
      <c r="B81" s="149" t="inlineStr">
        <is>
          <t>มือจับ ดัมมี่</t>
        </is>
      </c>
      <c r="C81" s="150">
        <f>AN8</f>
        <v/>
      </c>
      <c r="D81" s="155">
        <f>AN30</f>
        <v/>
      </c>
      <c r="E81" s="149" t="inlineStr">
        <is>
          <t>ตัว</t>
        </is>
      </c>
      <c r="F81" s="149" t="inlineStr"/>
    </row>
    <row r="82">
      <c r="A82" s="149" t="n">
        <v>5</v>
      </c>
      <c r="B82" s="149" t="inlineStr">
        <is>
          <t>Digital lock</t>
        </is>
      </c>
      <c r="C82" s="150" t="inlineStr">
        <is>
          <t>-</t>
        </is>
      </c>
      <c r="D82" s="155">
        <f>AO30</f>
        <v/>
      </c>
      <c r="E82" s="149" t="inlineStr">
        <is>
          <t>ชุด</t>
        </is>
      </c>
      <c r="F82" s="149" t="inlineStr">
        <is>
          <t>ไม่ตัดสต็อก</t>
        </is>
      </c>
    </row>
    <row r="83">
      <c r="A83" s="149" t="n">
        <v>6</v>
      </c>
      <c r="B83" s="149" t="inlineStr">
        <is>
          <t>แกน A</t>
        </is>
      </c>
      <c r="C83" s="150">
        <f>AP8</f>
        <v/>
      </c>
      <c r="D83" s="155">
        <f>AP30</f>
        <v/>
      </c>
      <c r="E83" s="149" t="inlineStr">
        <is>
          <t>เส้น</t>
        </is>
      </c>
      <c r="F83" s="149" t="inlineStr"/>
    </row>
    <row r="84">
      <c r="A84" s="149" t="n">
        <v>7</v>
      </c>
      <c r="B84" s="149" t="inlineStr">
        <is>
          <t>แกน B</t>
        </is>
      </c>
      <c r="C84" s="150">
        <f>AQ8</f>
        <v/>
      </c>
      <c r="D84" s="155">
        <f>AQ30</f>
        <v/>
      </c>
      <c r="E84" s="149" t="inlineStr">
        <is>
          <t>เส้น</t>
        </is>
      </c>
      <c r="F84" s="149" t="inlineStr"/>
    </row>
    <row r="85">
      <c r="A85" s="149" t="n">
        <v>8</v>
      </c>
      <c r="B85" s="149" t="inlineStr">
        <is>
          <t>ปลายดำ</t>
        </is>
      </c>
      <c r="C85" s="150">
        <f>AR8</f>
        <v/>
      </c>
      <c r="D85" s="155">
        <f>AR30</f>
        <v/>
      </c>
      <c r="E85" s="149" t="inlineStr">
        <is>
          <t>ตัว</t>
        </is>
      </c>
      <c r="F85" s="149" t="inlineStr"/>
    </row>
    <row r="86">
      <c r="A86" s="149" t="n">
        <v>9</v>
      </c>
      <c r="B86" s="149" t="inlineStr">
        <is>
          <t>ตัวที เงิน</t>
        </is>
      </c>
      <c r="C86" s="150">
        <f>AS8</f>
        <v/>
      </c>
      <c r="D86" s="155">
        <f>AS30</f>
        <v/>
      </c>
      <c r="E86" s="149" t="inlineStr">
        <is>
          <t>ตัว</t>
        </is>
      </c>
      <c r="F86" s="149" t="inlineStr"/>
    </row>
    <row r="87">
      <c r="A87" s="149" t="n">
        <v>10</v>
      </c>
      <c r="B87" s="149" t="inlineStr">
        <is>
          <t>ก้ามปู</t>
        </is>
      </c>
      <c r="C87" s="150">
        <f>AT8</f>
        <v/>
      </c>
      <c r="D87" s="155">
        <f>AT30</f>
        <v/>
      </c>
      <c r="E87" s="149" t="inlineStr">
        <is>
          <t>ตัว</t>
        </is>
      </c>
      <c r="F87" s="149" t="inlineStr"/>
    </row>
    <row r="88">
      <c r="A88" s="149" t="n">
        <v>11</v>
      </c>
      <c r="B88" s="149" t="inlineStr">
        <is>
          <t>สปิงก็อท</t>
        </is>
      </c>
      <c r="C88" s="150">
        <f>AU8</f>
        <v/>
      </c>
      <c r="D88" s="155">
        <f>AU30</f>
        <v/>
      </c>
      <c r="E88" s="149" t="inlineStr">
        <is>
          <t>ตัว</t>
        </is>
      </c>
      <c r="F88" s="149" t="inlineStr"/>
    </row>
    <row r="89">
      <c r="A89" s="149" t="n">
        <v>12</v>
      </c>
      <c r="B89" s="149" t="inlineStr">
        <is>
          <t>ฉากประกอบมุม</t>
        </is>
      </c>
      <c r="C89" s="150">
        <f>AV8</f>
        <v/>
      </c>
      <c r="D89" s="155">
        <f>AV30</f>
        <v/>
      </c>
      <c r="E89" s="149" t="inlineStr">
        <is>
          <t>ตัว</t>
        </is>
      </c>
      <c r="F89" s="149" t="inlineStr"/>
    </row>
    <row r="90">
      <c r="A90" s="149" t="n">
        <v>13</v>
      </c>
      <c r="B90" s="149" t="inlineStr">
        <is>
          <t>ยางรูน้ำ</t>
        </is>
      </c>
      <c r="C90" s="150">
        <f>AW8</f>
        <v/>
      </c>
      <c r="D90" s="155">
        <f>AW30</f>
        <v/>
      </c>
      <c r="E90" s="149" t="inlineStr">
        <is>
          <t>ตัว</t>
        </is>
      </c>
      <c r="F90" s="149" t="inlineStr"/>
    </row>
    <row r="91">
      <c r="A91" s="149" t="n">
        <v>14</v>
      </c>
      <c r="B91" s="149" t="inlineStr">
        <is>
          <t>วาวรูน้ำ</t>
        </is>
      </c>
      <c r="C91" s="150">
        <f>AX8</f>
        <v/>
      </c>
      <c r="D91" s="155">
        <f>AX30</f>
        <v/>
      </c>
      <c r="E91" s="149" t="inlineStr">
        <is>
          <t>ตัว</t>
        </is>
      </c>
      <c r="F91" s="149" t="inlineStr"/>
    </row>
    <row r="92">
      <c r="A92" s="149" t="n">
        <v>15</v>
      </c>
      <c r="B92" s="149" t="inlineStr">
        <is>
          <t>สักหลาด 5×3</t>
        </is>
      </c>
      <c r="C92" s="150">
        <f>AY8</f>
        <v/>
      </c>
      <c r="D92" s="155">
        <f>AY30</f>
        <v/>
      </c>
      <c r="E92" s="149" t="inlineStr">
        <is>
          <t>เมตร</t>
        </is>
      </c>
      <c r="F92" s="149" t="inlineStr">
        <is>
          <t>เก็บเป็นเมตร</t>
        </is>
      </c>
    </row>
  </sheetData>
  <mergeCells count="61">
    <mergeCell ref="Q7:R7"/>
    <mergeCell ref="U9:V9"/>
    <mergeCell ref="I6:J6"/>
    <mergeCell ref="AE7:AF7"/>
    <mergeCell ref="O6:P6"/>
    <mergeCell ref="U6:V6"/>
    <mergeCell ref="K9:L9"/>
    <mergeCell ref="W6:X6"/>
    <mergeCell ref="M9:N9"/>
    <mergeCell ref="O9:P9"/>
    <mergeCell ref="G8:H8"/>
    <mergeCell ref="M30:O30"/>
    <mergeCell ref="Y9:Z9"/>
    <mergeCell ref="E8:F8"/>
    <mergeCell ref="Q8:R8"/>
    <mergeCell ref="AA9:AB9"/>
    <mergeCell ref="S8:T8"/>
    <mergeCell ref="Y7:AD7"/>
    <mergeCell ref="Y30:AC30"/>
    <mergeCell ref="G7:H7"/>
    <mergeCell ref="AA6:AB6"/>
    <mergeCell ref="S7:T7"/>
    <mergeCell ref="A30:D30"/>
    <mergeCell ref="G6:H6"/>
    <mergeCell ref="AC8:AD8"/>
    <mergeCell ref="E9:F9"/>
    <mergeCell ref="AE8:AF8"/>
    <mergeCell ref="U7:V7"/>
    <mergeCell ref="W7:X7"/>
    <mergeCell ref="A8:A9"/>
    <mergeCell ref="E6:F6"/>
    <mergeCell ref="A6:D6"/>
    <mergeCell ref="K8:L8"/>
    <mergeCell ref="M6:N6"/>
    <mergeCell ref="Q6:R6"/>
    <mergeCell ref="S6:T6"/>
    <mergeCell ref="D8:D9"/>
    <mergeCell ref="A7:D7"/>
    <mergeCell ref="Y6:Z6"/>
    <mergeCell ref="Q9:R9"/>
    <mergeCell ref="I7:L7"/>
    <mergeCell ref="I8:J8"/>
    <mergeCell ref="S9:T9"/>
    <mergeCell ref="I30:K30"/>
    <mergeCell ref="M8:N8"/>
    <mergeCell ref="W9:X9"/>
    <mergeCell ref="AC9:AD9"/>
    <mergeCell ref="O8:P8"/>
    <mergeCell ref="U8:V8"/>
    <mergeCell ref="AE9:AF9"/>
    <mergeCell ref="W8:X8"/>
    <mergeCell ref="B8:C9"/>
    <mergeCell ref="AC6:AD6"/>
    <mergeCell ref="E7:F7"/>
    <mergeCell ref="AE6:AF6"/>
    <mergeCell ref="M7:P7"/>
    <mergeCell ref="Y8:Z8"/>
    <mergeCell ref="K6:L6"/>
    <mergeCell ref="G9:H9"/>
    <mergeCell ref="AA8:AB8"/>
    <mergeCell ref="I9:J9"/>
  </mergeCells>
  <dataValidations count="5">
    <dataValidation sqref="B71" showDropDown="0" showInputMessage="0" showErrorMessage="0" allowBlank="1" type="list">
      <formula1>"ประตู,หน้าต่าง"</formula1>
    </dataValidation>
    <dataValidation sqref="B72" showDropDown="0" showInputMessage="0" showErrorMessage="0" allowBlank="1" type="list">
      <formula1>"เมโทร,Align"</formula1>
    </dataValidation>
    <dataValidation sqref="B73" showDropDown="0" showInputMessage="0" showErrorMessage="0" allowBlank="1" type="list">
      <formula1>"อบขาว,ดำ"</formula1>
    </dataValidation>
    <dataValidation sqref="B74" showDropDown="0" showInputMessage="0" showErrorMessage="0" allowBlank="1" type="list">
      <formula1>=$BD$1:$BD$4</formula1>
    </dataValidation>
    <dataValidation sqref="B75" showDropDown="0" showInputMessage="0" showErrorMessage="0" allowBlank="1" type="list">
      <formula1>=$BD$1:$BD$4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92"/>
  <sheetViews>
    <sheetView showGridLines="0"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26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6.75" customWidth="1" min="32" max="32"/>
    <col width="12.75" customWidth="1" min="33" max="33"/>
    <col width="6.75" customWidth="1" min="34" max="34"/>
    <col width="12.75" customWidth="1" min="35" max="35"/>
    <col width="12.75" customWidth="1" min="36" max="36"/>
    <col width="8.75" customWidth="1" min="37" max="37"/>
    <col width="8.875" customWidth="1" min="38" max="38"/>
    <col hidden="1" width="13" customWidth="1" min="53" max="53"/>
    <col hidden="1" width="13" customWidth="1" min="54" max="54"/>
    <col hidden="1" width="13" customWidth="1" min="55" max="55"/>
    <col hidden="1" width="13" customWidth="1" min="56" max="56"/>
  </cols>
  <sheetData>
    <row r="1" ht="40.15" customHeight="1">
      <c r="A1" s="1" t="inlineStr">
        <is>
          <t>JR ALUMINIUM &amp; GLASS  —  ใบรายการตัด · FUJI เลื่อนแบ่ง6-กลาง   (หน่วย: มม.)</t>
        </is>
      </c>
      <c r="B1" s="2" t="n"/>
      <c r="D1" s="3" t="n"/>
      <c r="E1" s="4" t="n"/>
      <c r="F1" s="3" t="n"/>
      <c r="G1" s="4" t="n"/>
      <c r="H1" s="3" t="n"/>
      <c r="I1" s="3" t="n"/>
      <c r="J1" s="3" t="n"/>
      <c r="K1" s="6" t="n"/>
      <c r="L1" s="6" t="n"/>
      <c r="M1" s="5" t="n"/>
      <c r="N1" s="5" t="n"/>
      <c r="O1" s="3" t="n"/>
      <c r="P1" s="7" t="n"/>
      <c r="Q1" s="5" t="n"/>
      <c r="R1" s="5" t="n"/>
      <c r="S1" s="6" t="n"/>
      <c r="T1" s="6" t="n"/>
      <c r="U1" s="5" t="n"/>
      <c r="V1" s="5" t="n"/>
      <c r="W1" s="5" t="n"/>
      <c r="X1" s="5" t="n"/>
      <c r="Y1" s="3" t="n"/>
      <c r="Z1" s="3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BA1" t="inlineStr">
        <is>
          <t>เมโทรกุญแจอบขาว</t>
        </is>
      </c>
      <c r="BB1" t="inlineStr">
        <is>
          <t>JR00368</t>
        </is>
      </c>
      <c r="BD1">
        <f>IF($B$71="ประตู","กุญแจ+ล็อค","ล็อค")</f>
        <v/>
      </c>
    </row>
    <row r="2" ht="40.15" customHeight="1">
      <c r="A2" s="6" t="n"/>
      <c r="B2" s="6" t="n"/>
      <c r="C2" s="6" t="n"/>
      <c r="D2" s="6" t="n"/>
      <c r="E2" s="8" t="n"/>
      <c r="F2" s="6" t="n"/>
      <c r="G2" s="8" t="n"/>
      <c r="H2" s="6" t="n"/>
      <c r="I2" s="6" t="n"/>
      <c r="J2" s="6" t="n"/>
      <c r="K2" s="6" t="n"/>
      <c r="L2" s="6" t="n"/>
      <c r="M2" s="9" t="n"/>
      <c r="N2" s="9" t="n"/>
      <c r="O2" s="6" t="n"/>
      <c r="P2" s="6" t="n"/>
      <c r="Q2" s="9" t="n"/>
      <c r="R2" s="9" t="n"/>
      <c r="S2" s="9" t="n"/>
      <c r="T2" s="9" t="n"/>
      <c r="U2" s="9" t="n"/>
      <c r="V2" s="9" t="n"/>
      <c r="W2" s="9" t="n"/>
      <c r="X2" s="9" t="n"/>
      <c r="Y2" s="6" t="n"/>
      <c r="Z2" s="6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BA2" t="inlineStr">
        <is>
          <t>เมโทรกุญแจดำ</t>
        </is>
      </c>
      <c r="BB2" t="inlineStr">
        <is>
          <t>JR00371</t>
        </is>
      </c>
      <c r="BD2">
        <f>IF($B$71="ประตู","ล็อค+ดัมมี่","ดัมมี่")</f>
        <v/>
      </c>
    </row>
    <row r="3" ht="40.15" customHeight="1">
      <c r="A3" s="130">
        <f>HYPERLINK("#สารบัญ!A1","← สารบัญ")</f>
        <v/>
      </c>
      <c r="B3" s="84" t="n"/>
      <c r="C3" s="85" t="n"/>
      <c r="D3" s="6" t="n"/>
      <c r="E3" s="8" t="n"/>
      <c r="F3" s="6" t="n"/>
      <c r="G3" s="8" t="n"/>
      <c r="H3" s="6" t="n"/>
      <c r="I3" s="6" t="n"/>
      <c r="J3" s="6" t="n"/>
      <c r="K3" s="6" t="n"/>
      <c r="L3" s="6" t="n"/>
      <c r="M3" s="11" t="n"/>
      <c r="N3" s="11" t="n"/>
      <c r="O3" s="6" t="n"/>
      <c r="P3" s="6" t="n"/>
      <c r="Q3" s="11" t="n"/>
      <c r="R3" s="11" t="n"/>
      <c r="U3" s="11" t="n"/>
      <c r="V3" s="11" t="n"/>
      <c r="W3" s="11" t="n"/>
      <c r="X3" s="11" t="n"/>
      <c r="Y3" s="6" t="n"/>
      <c r="Z3" s="6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BA3" t="inlineStr">
        <is>
          <t>เมโทรล็อคอบขาว</t>
        </is>
      </c>
      <c r="BB3" t="inlineStr">
        <is>
          <t>JR00369</t>
        </is>
      </c>
      <c r="BD3">
        <f>IF($B$71="ประตู","ดัมมี่+ดัมมี่","")</f>
        <v/>
      </c>
    </row>
    <row r="4" ht="40.15" customHeight="1">
      <c r="A4" s="6" t="n"/>
      <c r="B4" s="6" t="n"/>
      <c r="C4" s="6" t="n"/>
      <c r="F4" s="6" t="n"/>
      <c r="H4" s="6" t="n"/>
      <c r="I4" s="6" t="n"/>
      <c r="J4" s="6" t="n"/>
      <c r="K4" s="6" t="n"/>
      <c r="L4" s="6" t="n"/>
      <c r="O4" s="6" t="n"/>
      <c r="P4" s="6" t="n"/>
      <c r="Y4" s="6" t="n"/>
      <c r="Z4" s="6" t="n"/>
      <c r="BA4" t="inlineStr">
        <is>
          <t>เมโทรล็อคดำ</t>
        </is>
      </c>
      <c r="BB4" t="inlineStr">
        <is>
          <t>JR00372</t>
        </is>
      </c>
      <c r="BD4">
        <f>IF($B$71="ประตู","Digital lock","")</f>
        <v/>
      </c>
    </row>
    <row r="5" ht="40.15" customHeight="1">
      <c r="A5" s="6" t="n"/>
      <c r="B5" s="6" t="n"/>
      <c r="C5" s="6" t="n"/>
      <c r="D5" s="6" t="n"/>
      <c r="E5" s="8" t="n"/>
      <c r="F5" s="6" t="n"/>
      <c r="G5" s="8" t="n"/>
      <c r="H5" s="6" t="n"/>
      <c r="I5" s="6" t="n"/>
      <c r="J5" s="6" t="n"/>
      <c r="L5" s="6" t="n"/>
      <c r="O5" s="6" t="n"/>
      <c r="P5" s="6" t="n"/>
      <c r="Y5" s="6" t="n"/>
      <c r="Z5" s="6" t="n"/>
      <c r="BA5" t="inlineStr">
        <is>
          <t>เมโทรดัมมี่อบขาว</t>
        </is>
      </c>
      <c r="BB5" t="inlineStr">
        <is>
          <t>JR00370</t>
        </is>
      </c>
    </row>
    <row r="6" ht="60" customHeight="1">
      <c r="A6" s="13" t="inlineStr">
        <is>
          <t>สูตรตัด</t>
        </is>
      </c>
      <c r="B6" s="14" t="n"/>
      <c r="C6" s="14" t="n"/>
      <c r="D6" s="15" t="n"/>
      <c r="E6" s="16" t="inlineStr">
        <is>
          <t>สูง</t>
        </is>
      </c>
      <c r="F6" s="17" t="n"/>
      <c r="G6" s="16" t="inlineStr">
        <is>
          <t>กว้าง-21-21</t>
        </is>
      </c>
      <c r="H6" s="17" t="n"/>
      <c r="I6" s="16" t="inlineStr">
        <is>
          <t>สูง-14-13-21</t>
        </is>
      </c>
      <c r="J6" s="17" t="n"/>
      <c r="K6" s="16" t="inlineStr">
        <is>
          <t>((กว้าง-21-6-3-21)/6)+(78x4/6)</t>
        </is>
      </c>
      <c r="L6" s="17" t="n"/>
      <c r="M6" s="16" t="inlineStr">
        <is>
          <t>เสา-78-78</t>
        </is>
      </c>
      <c r="N6" s="17" t="n"/>
      <c r="O6" s="16" t="inlineStr">
        <is>
          <t>ขวาง-63-63</t>
        </is>
      </c>
      <c r="P6" s="17" t="n"/>
      <c r="Q6" s="16" t="inlineStr">
        <is>
          <t>สูงกรอบบาน</t>
        </is>
      </c>
      <c r="R6" s="17" t="n"/>
      <c r="S6" s="16" t="inlineStr">
        <is>
          <t>สูงกรอบบาน</t>
        </is>
      </c>
      <c r="T6" s="17" t="n"/>
      <c r="U6" s="16" t="inlineStr">
        <is>
          <t>สูง-45-8</t>
        </is>
      </c>
      <c r="V6" s="17" t="n"/>
      <c r="W6" s="16" t="inlineStr">
        <is>
          <t>เท่าเฟรมบน</t>
        </is>
      </c>
      <c r="X6" s="17" t="n"/>
      <c r="Y6" s="16" t="inlineStr">
        <is>
          <t>สูงกรอบบาน</t>
        </is>
      </c>
      <c r="Z6" s="17" t="n"/>
      <c r="AA6" s="16" t="inlineStr">
        <is>
          <t>สูงกรอบบาน</t>
        </is>
      </c>
      <c r="AB6" s="17" t="n"/>
      <c r="AC6" s="16" t="inlineStr">
        <is>
          <t>กว้าง</t>
        </is>
      </c>
      <c r="AD6" s="17" t="n"/>
      <c r="AE6" s="16" t="inlineStr">
        <is>
          <t>เท่าเฟรมล่าง</t>
        </is>
      </c>
      <c r="AF6" s="17" t="n"/>
      <c r="AG6" s="16" t="inlineStr">
        <is>
          <t>กว้าง</t>
        </is>
      </c>
      <c r="AI6" s="18" t="n"/>
      <c r="AJ6" s="18" t="n"/>
      <c r="AK6" s="18" t="n"/>
      <c r="BA6" t="inlineStr">
        <is>
          <t>เมโทรดัมมี่ดำ</t>
        </is>
      </c>
      <c r="BB6" t="inlineStr">
        <is>
          <t>JR00373</t>
        </is>
      </c>
      <c r="BC6">
        <f>(COUNTIF($B$74:$B$75,"กุญแจ+ล็อค")+COUNTIF($B$74:$B$75,"ล็อค+ดัมมี่")+COUNTIF($B$74:$B$75,"ล็อค"))</f>
        <v/>
      </c>
    </row>
    <row r="7" ht="40.15" customHeight="1">
      <c r="A7" s="19" t="inlineStr">
        <is>
          <t>ใส่ข้อมูล</t>
        </is>
      </c>
      <c r="B7" s="20" t="n"/>
      <c r="C7" s="20" t="n"/>
      <c r="D7" s="21" t="n"/>
      <c r="E7" s="22" t="inlineStr">
        <is>
          <t>F7978</t>
        </is>
      </c>
      <c r="F7" s="15" t="n"/>
      <c r="G7" s="22" t="inlineStr">
        <is>
          <t>F7902</t>
        </is>
      </c>
      <c r="H7" s="15" t="n"/>
      <c r="I7" s="22" t="inlineStr">
        <is>
          <t>F7980</t>
        </is>
      </c>
      <c r="J7" s="14" t="n"/>
      <c r="K7" s="14" t="n"/>
      <c r="L7" s="15" t="n"/>
      <c r="M7" s="22" t="inlineStr">
        <is>
          <t>F7919</t>
        </is>
      </c>
      <c r="N7" s="14" t="n"/>
      <c r="O7" s="14" t="n"/>
      <c r="P7" s="15" t="n"/>
      <c r="Q7" s="22" t="inlineStr">
        <is>
          <t>F7925</t>
        </is>
      </c>
      <c r="R7" s="15" t="n"/>
      <c r="S7" s="22" t="inlineStr">
        <is>
          <t>F7983</t>
        </is>
      </c>
      <c r="T7" s="15" t="n"/>
      <c r="U7" s="23" t="inlineStr">
        <is>
          <t>F7986</t>
        </is>
      </c>
      <c r="V7" s="15" t="n"/>
      <c r="W7" s="86" t="inlineStr">
        <is>
          <t>F7993</t>
        </is>
      </c>
      <c r="X7" s="14" t="n"/>
      <c r="Y7" s="22" t="inlineStr">
        <is>
          <t>F7988</t>
        </is>
      </c>
      <c r="Z7" s="14" t="n"/>
      <c r="AA7" s="14" t="n"/>
      <c r="AB7" s="14" t="n"/>
      <c r="AC7" s="14" t="n"/>
      <c r="AD7" s="15" t="n"/>
      <c r="AE7" s="22" t="inlineStr">
        <is>
          <t>F7994</t>
        </is>
      </c>
      <c r="AF7" s="15" t="n"/>
      <c r="AG7" s="22" t="inlineStr">
        <is>
          <t>F7992</t>
        </is>
      </c>
      <c r="AI7" s="24" t="n"/>
      <c r="AJ7" s="25" t="inlineStr">
        <is>
          <t>ขนาดกระจก</t>
        </is>
      </c>
      <c r="AK7" s="26" t="n"/>
      <c r="BA7" t="inlineStr">
        <is>
          <t>Alignกุญแจอบขาว</t>
        </is>
      </c>
      <c r="BB7" t="inlineStr">
        <is>
          <t>JR00377</t>
        </is>
      </c>
      <c r="BC7">
        <f>COUNTIF($B$74:$B$75,"กุญแจ+ล็อค")</f>
        <v/>
      </c>
    </row>
    <row r="8" ht="40.15" customHeight="1">
      <c r="A8" s="27" t="inlineStr">
        <is>
          <t>แผน</t>
        </is>
      </c>
      <c r="B8" s="28" t="inlineStr">
        <is>
          <t>ขนาดชิ้นงาน
(mm)</t>
        </is>
      </c>
      <c r="C8" s="29" t="n"/>
      <c r="D8" s="27" t="inlineStr">
        <is>
          <t>ชุด</t>
        </is>
      </c>
      <c r="E8" s="30" t="n"/>
      <c r="F8" s="31" t="n"/>
      <c r="G8" s="32" t="n"/>
      <c r="H8" s="33" t="n"/>
      <c r="I8" s="32" t="n"/>
      <c r="J8" s="33" t="n"/>
      <c r="K8" s="34" t="n"/>
      <c r="L8" s="31" t="n"/>
      <c r="M8" s="32" t="n"/>
      <c r="N8" s="33" t="n"/>
      <c r="O8" s="34" t="n"/>
      <c r="P8" s="31" t="n"/>
      <c r="Q8" s="34" t="n"/>
      <c r="R8" s="31" t="n"/>
      <c r="S8" s="30" t="n"/>
      <c r="T8" s="31" t="n"/>
      <c r="U8" s="34" t="n"/>
      <c r="V8" s="31" t="n"/>
      <c r="W8" s="32" t="n"/>
      <c r="X8" s="33" t="n"/>
      <c r="Y8" s="32" t="n"/>
      <c r="Z8" s="33" t="n"/>
      <c r="AA8" s="35" t="n"/>
      <c r="AB8" s="33" t="n"/>
      <c r="AC8" s="34" t="n"/>
      <c r="AD8" s="31" t="n"/>
      <c r="AE8" s="30" t="n"/>
      <c r="AF8" s="31" t="n"/>
      <c r="AG8" s="30" t="n"/>
      <c r="AI8" s="36" t="n"/>
      <c r="AJ8" s="37" t="inlineStr">
        <is>
          <t>กรอบบาน</t>
        </is>
      </c>
      <c r="AK8" s="38" t="inlineStr">
        <is>
          <t>JR00577</t>
        </is>
      </c>
      <c r="AL8">
        <f>VLOOKUP($B$72&amp;"กุญแจ"&amp;$B$73,$BA$1:$BB$12,2,0)</f>
        <v/>
      </c>
      <c r="AM8">
        <f>VLOOKUP($B$72&amp;"ล็อค"&amp;$B$73,$BA$1:$BB$12,2,0)</f>
        <v/>
      </c>
      <c r="AN8">
        <f>VLOOKUP($B$72&amp;"ดัมมี่"&amp;$B$73,$BA$1:$BB$12,2,0)</f>
        <v/>
      </c>
      <c r="AO8" t="inlineStr"/>
      <c r="AP8" t="inlineStr">
        <is>
          <t>JR00478</t>
        </is>
      </c>
      <c r="AQ8" t="inlineStr">
        <is>
          <t>JR00479</t>
        </is>
      </c>
      <c r="AR8" t="inlineStr">
        <is>
          <t>JR00476</t>
        </is>
      </c>
      <c r="AS8" t="inlineStr">
        <is>
          <t>JR00475</t>
        </is>
      </c>
      <c r="AT8" t="inlineStr">
        <is>
          <t>JR00477</t>
        </is>
      </c>
      <c r="AU8" t="inlineStr">
        <is>
          <t>JR00592</t>
        </is>
      </c>
      <c r="AV8" t="inlineStr">
        <is>
          <t>JR00480</t>
        </is>
      </c>
      <c r="AW8" t="inlineStr">
        <is>
          <t>JR00589</t>
        </is>
      </c>
      <c r="AX8" t="inlineStr">
        <is>
          <t>JR00485</t>
        </is>
      </c>
      <c r="AY8" t="inlineStr">
        <is>
          <t>JR00794</t>
        </is>
      </c>
      <c r="BA8" t="inlineStr">
        <is>
          <t>Alignล็อคอบขาว</t>
        </is>
      </c>
      <c r="BB8" t="inlineStr">
        <is>
          <t>JR00378</t>
        </is>
      </c>
    </row>
    <row r="9" ht="40.15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เฟรม-ล่าง</t>
        </is>
      </c>
      <c r="H9" s="43" t="n"/>
      <c r="I9" s="42" t="inlineStr">
        <is>
          <t>เสา</t>
        </is>
      </c>
      <c r="J9" s="43" t="n"/>
      <c r="K9" s="42" t="inlineStr">
        <is>
          <t>ขวาง</t>
        </is>
      </c>
      <c r="L9" s="43" t="n"/>
      <c r="M9" s="42" t="inlineStr">
        <is>
          <t>คิ้ว ตั้ง</t>
        </is>
      </c>
      <c r="N9" s="43" t="n"/>
      <c r="O9" s="42" t="inlineStr">
        <is>
          <t>คิ้ว ขวาง</t>
        </is>
      </c>
      <c r="P9" s="43" t="n"/>
      <c r="Q9" s="42" t="inlineStr">
        <is>
          <t>เฟรม ล่าง</t>
        </is>
      </c>
      <c r="R9" s="43" t="n"/>
      <c r="S9" s="42" t="inlineStr">
        <is>
          <t>ตบเกี่ยว</t>
        </is>
      </c>
      <c r="T9" s="43" t="n"/>
      <c r="U9" s="44" t="inlineStr">
        <is>
          <t>ยูข้าง</t>
        </is>
      </c>
      <c r="V9" s="43" t="n"/>
      <c r="W9" s="44" t="inlineStr">
        <is>
          <t>ตบเฟรมบน</t>
        </is>
      </c>
      <c r="X9" s="43" t="n"/>
      <c r="Y9" s="42" t="inlineStr">
        <is>
          <t>ปิดตบเกี่ยว</t>
        </is>
      </c>
      <c r="Z9" s="43" t="n"/>
      <c r="AA9" s="42" t="inlineStr">
        <is>
          <t>ปิดรับล็อค</t>
        </is>
      </c>
      <c r="AB9" s="43" t="n"/>
      <c r="AC9" s="42" t="inlineStr">
        <is>
          <t>ปิดตบกันสาด</t>
        </is>
      </c>
      <c r="AD9" s="43" t="n"/>
      <c r="AE9" s="44" t="inlineStr">
        <is>
          <t>รางเลื่อน</t>
        </is>
      </c>
      <c r="AF9" s="43" t="n"/>
      <c r="AG9" s="42" t="inlineStr">
        <is>
          <t>ตบกันสาด</t>
        </is>
      </c>
      <c r="AI9" s="45" t="inlineStr">
        <is>
          <t>SH-68-68</t>
        </is>
      </c>
      <c r="AJ9" s="46" t="inlineStr">
        <is>
          <t>SW-68-68</t>
        </is>
      </c>
      <c r="AK9" s="47" t="inlineStr">
        <is>
          <t>ล้อ 20</t>
        </is>
      </c>
      <c r="AL9" t="inlineStr">
        <is>
          <t>มือจับ กุญแจ</t>
        </is>
      </c>
      <c r="AM9" t="inlineStr">
        <is>
          <t>มือจับ ล็อค</t>
        </is>
      </c>
      <c r="AN9" t="inlineStr">
        <is>
          <t>มือจับ ดัมมี่</t>
        </is>
      </c>
      <c r="AO9" t="inlineStr">
        <is>
          <t>Digital lock</t>
        </is>
      </c>
      <c r="AP9" t="inlineStr">
        <is>
          <t>แกน A</t>
        </is>
      </c>
      <c r="AQ9" t="inlineStr">
        <is>
          <t>แกน B</t>
        </is>
      </c>
      <c r="AR9" t="inlineStr">
        <is>
          <t>ปลายดำ</t>
        </is>
      </c>
      <c r="AS9" t="inlineStr">
        <is>
          <t>ตัวที เงิน</t>
        </is>
      </c>
      <c r="AT9" t="inlineStr">
        <is>
          <t>ก้ามปู</t>
        </is>
      </c>
      <c r="AU9" t="inlineStr">
        <is>
          <t>สปิงก็อท</t>
        </is>
      </c>
      <c r="AV9" t="inlineStr">
        <is>
          <t>ฉากประกอบมุม</t>
        </is>
      </c>
      <c r="AW9" t="inlineStr">
        <is>
          <t>ยางรูน้ำ</t>
        </is>
      </c>
      <c r="AX9" t="inlineStr">
        <is>
          <t>วาวรูน้ำ</t>
        </is>
      </c>
      <c r="AY9" t="inlineStr">
        <is>
          <t>สักหลาด(ม.)</t>
        </is>
      </c>
      <c r="BA9" t="inlineStr">
        <is>
          <t>Alignดัมมี่อบขาว</t>
        </is>
      </c>
      <c r="BB9" t="inlineStr">
        <is>
          <t>JR00379</t>
        </is>
      </c>
      <c r="BC9">
        <f>(COUNTIF($B$74:$B$75,"ล็อค+ดัมมี่")+2*COUNTIF($B$74:$B$75,"ดัมมี่+ดัมมี่")+COUNTIF($B$74:$B$75,"ดัมมี่"))</f>
        <v/>
      </c>
    </row>
    <row r="10" ht="40.15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4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3" t="inlineStr">
        <is>
          <t>จำนวน</t>
        </is>
      </c>
      <c r="S10" s="52" t="inlineStr">
        <is>
          <t>ยาว</t>
        </is>
      </c>
      <c r="T10" s="53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3" t="inlineStr">
        <is>
          <t>จำนวน</t>
        </is>
      </c>
      <c r="AA10" s="52" t="inlineStr">
        <is>
          <t>ยาว</t>
        </is>
      </c>
      <c r="AB10" s="54" t="inlineStr">
        <is>
          <t>จำนวน</t>
        </is>
      </c>
      <c r="AC10" s="52" t="inlineStr">
        <is>
          <t>ยาว</t>
        </is>
      </c>
      <c r="AD10" s="54" t="inlineStr">
        <is>
          <t>จำนวน</t>
        </is>
      </c>
      <c r="AE10" s="52" t="inlineStr">
        <is>
          <t>ยาว</t>
        </is>
      </c>
      <c r="AF10" s="54" t="inlineStr">
        <is>
          <t>จำนวน</t>
        </is>
      </c>
      <c r="AG10" s="52" t="inlineStr">
        <is>
          <t>ยาว</t>
        </is>
      </c>
      <c r="AH10" s="54" t="inlineStr">
        <is>
          <t>จำนวน</t>
        </is>
      </c>
      <c r="AI10" s="55" t="inlineStr">
        <is>
          <t>H</t>
        </is>
      </c>
      <c r="AJ10" s="56" t="inlineStr">
        <is>
          <t>W</t>
        </is>
      </c>
      <c r="AK10" s="57" t="inlineStr">
        <is>
          <t>จำนวน</t>
        </is>
      </c>
      <c r="AL10" t="inlineStr">
        <is>
          <t>จำนวน</t>
        </is>
      </c>
      <c r="AM10" t="inlineStr">
        <is>
          <t>จำนวน</t>
        </is>
      </c>
      <c r="AN10" t="inlineStr">
        <is>
          <t>จำนวน</t>
        </is>
      </c>
      <c r="AO10" t="inlineStr">
        <is>
          <t>จำนวน</t>
        </is>
      </c>
      <c r="AP10" t="inlineStr">
        <is>
          <t>จำนวน</t>
        </is>
      </c>
      <c r="AQ10" t="inlineStr">
        <is>
          <t>จำนวน</t>
        </is>
      </c>
      <c r="AR10" t="inlineStr">
        <is>
          <t>จำนวน</t>
        </is>
      </c>
      <c r="AS10" t="inlineStr">
        <is>
          <t>จำนวน</t>
        </is>
      </c>
      <c r="AT10" t="inlineStr">
        <is>
          <t>จำนวน</t>
        </is>
      </c>
      <c r="AU10" t="inlineStr">
        <is>
          <t>จำนวน</t>
        </is>
      </c>
      <c r="AV10" t="inlineStr">
        <is>
          <t>จำนวน</t>
        </is>
      </c>
      <c r="AW10" t="inlineStr">
        <is>
          <t>จำนวน</t>
        </is>
      </c>
      <c r="AX10" t="inlineStr">
        <is>
          <t>จำนวน</t>
        </is>
      </c>
      <c r="AY10" t="inlineStr">
        <is>
          <t>จำนวน</t>
        </is>
      </c>
      <c r="BA10" t="inlineStr">
        <is>
          <t>Alignกุญแจดำ</t>
        </is>
      </c>
      <c r="BB10" t="inlineStr">
        <is>
          <t>JR00374</t>
        </is>
      </c>
      <c r="BC10">
        <f>COUNTIF($B$74:$B$75,"Digital lock")</f>
        <v/>
      </c>
    </row>
    <row r="11" ht="40.15" customHeight="1">
      <c r="A11" s="99" t="n">
        <v>11</v>
      </c>
      <c r="B11" s="88" t="n">
        <v>2750</v>
      </c>
      <c r="C11" s="89" t="n">
        <v>3665</v>
      </c>
      <c r="D11" s="90" t="n">
        <v>1</v>
      </c>
      <c r="E11" s="91">
        <f>IF($A11="","",$B11)</f>
        <v/>
      </c>
      <c r="F11" s="89">
        <f>IF($A11="","",$L$54*$D11)</f>
        <v/>
      </c>
      <c r="G11" s="91">
        <f>IF($A11="","",$C11-$E$55-$F$55)</f>
        <v/>
      </c>
      <c r="H11" s="89">
        <f>IF($A11="","",$L$55*$D11)</f>
        <v/>
      </c>
      <c r="I11" s="91">
        <f>IF($A11="","",$B11-$E$56-$F$56-$G$56)</f>
        <v/>
      </c>
      <c r="J11" s="89">
        <f>IF($A11="","",$L$56*$D11)</f>
        <v/>
      </c>
      <c r="K11" s="91">
        <f>IF($A11="","",(($C11-$E$57-$F$57-$G$57-$H$57)/6)+(78*4)/6)</f>
        <v/>
      </c>
      <c r="L11" s="89">
        <f>IF($A11="","",$L$57*$D11)</f>
        <v/>
      </c>
      <c r="M11" s="91">
        <f>IF($A11="","",$I11-$E$58-$F$58)</f>
        <v/>
      </c>
      <c r="N11" s="89">
        <f>IF($A11="","",$L$58*$D11)</f>
        <v/>
      </c>
      <c r="O11" s="91">
        <f>IF($A11="","",$K11-$E$59-$F$59)</f>
        <v/>
      </c>
      <c r="P11" s="89">
        <f>IF($A11="","",$L$59*$D11)</f>
        <v/>
      </c>
      <c r="Q11" s="91">
        <f>IF($A11="","",$I11)</f>
        <v/>
      </c>
      <c r="R11" s="89">
        <f>IF($A11="","",$L$60*$D11)</f>
        <v/>
      </c>
      <c r="S11" s="91">
        <f>IF($A11="","",$I11)</f>
        <v/>
      </c>
      <c r="T11" s="89">
        <f>IF($A11="","",$L$61*$D11)</f>
        <v/>
      </c>
      <c r="U11" s="91">
        <f>IF($A11="","",$B11-$E$62-$F$62)</f>
        <v/>
      </c>
      <c r="V11" s="89">
        <f>IF($A11="","",$L$62*$D11)</f>
        <v/>
      </c>
      <c r="W11" s="91">
        <f>IF($A11="","",$G11)</f>
        <v/>
      </c>
      <c r="X11" s="89">
        <f>IF($A11="","",$L$63*$D11)</f>
        <v/>
      </c>
      <c r="Y11" s="91">
        <f>IF($A11="","",$S11)</f>
        <v/>
      </c>
      <c r="Z11" s="89">
        <f>IF($A11="","",$L$64*$D11)</f>
        <v/>
      </c>
      <c r="AA11" s="91">
        <f>IF($A11="","",$I11)</f>
        <v/>
      </c>
      <c r="AB11" s="89">
        <f>IF($A11="","",$L$65*$D11)</f>
        <v/>
      </c>
      <c r="AC11" s="91">
        <f>IF($A11="","",$C11)</f>
        <v/>
      </c>
      <c r="AD11" s="92">
        <f>IF($A11="","",$L$66*$D11)</f>
        <v/>
      </c>
      <c r="AE11" s="91">
        <f>IF($A11="","",$G11)</f>
        <v/>
      </c>
      <c r="AF11" s="89">
        <f>IF($A11="","",$L$67*$D11)</f>
        <v/>
      </c>
      <c r="AG11" s="91">
        <f>IF($A11="","",$C11)</f>
        <v/>
      </c>
      <c r="AH11" s="92">
        <f>IF($A11="","",$L$68*$D11)</f>
        <v/>
      </c>
      <c r="AI11" s="93">
        <f>IF($A11="","",$I11-68-68)</f>
        <v/>
      </c>
      <c r="AJ11" s="134">
        <f>IF($A11="","",$K11-68-68)</f>
        <v/>
      </c>
      <c r="AK11" s="95">
        <f>IF($A11="","",2*4*$D11)</f>
        <v/>
      </c>
      <c r="AL11">
        <f>IF($A11="","",$BC$7*$D11)</f>
        <v/>
      </c>
      <c r="AM11">
        <f>IF($A11="","",$BC$6*$D11)</f>
        <v/>
      </c>
      <c r="AN11">
        <f>IF($A11="","",$BC$9*$D11)</f>
        <v/>
      </c>
      <c r="AO11">
        <f>IF($A11="","",$BC$10*$D11)</f>
        <v/>
      </c>
      <c r="AP11">
        <f>IF($A11="","",2*$BC$6*$D11)</f>
        <v/>
      </c>
      <c r="AQ11">
        <f>IF($A11="","",IF($B11&gt;2800,2,IF($B11&gt;1400,1,0))*$BC$6*$D11)</f>
        <v/>
      </c>
      <c r="AR11">
        <f>IF($A11="","",2*$BC$6*$D11)</f>
        <v/>
      </c>
      <c r="AS11">
        <f>IF($A11="","",$BC$6*$D11)</f>
        <v/>
      </c>
      <c r="AT11">
        <f>IF($A11="","",2*$BC$6*$D11)</f>
        <v/>
      </c>
      <c r="AU11">
        <f>IF($A11="","",4*4*$D11)</f>
        <v/>
      </c>
      <c r="AV11">
        <f>IF($A11="","",16*4*$D11)</f>
        <v/>
      </c>
      <c r="AW11">
        <f>IF($A11="","",(2+MAX(0,ROUNDUP(($G11-1500)/500,0)))*$D11)</f>
        <v/>
      </c>
      <c r="AX11">
        <f>IF($A11="","",(2+MAX(0,ROUNDUP(($G11-1500)/500,0)))*$D11)</f>
        <v/>
      </c>
      <c r="AY11">
        <f>IF($A11="","",ROUND((2*2*($K11+$I11)*4*$D11+$S11*$T11)/1000,1))</f>
        <v/>
      </c>
      <c r="BA11" t="inlineStr">
        <is>
          <t>Alignล็อคดำ</t>
        </is>
      </c>
      <c r="BB11" t="inlineStr">
        <is>
          <t>JR00375</t>
        </is>
      </c>
    </row>
    <row r="12" ht="40.15" customHeight="1">
      <c r="A12" s="99" t="n"/>
      <c r="B12" s="88" t="n"/>
      <c r="C12" s="89" t="n"/>
      <c r="D12" s="90" t="n"/>
      <c r="E12" s="96">
        <f>IF($A12="","",$B12)</f>
        <v/>
      </c>
      <c r="F12" s="97">
        <f>IF($A12="","",$L$54*$D12)</f>
        <v/>
      </c>
      <c r="G12" s="96">
        <f>IF($A12="","",$C12-$E$55-$F$55)</f>
        <v/>
      </c>
      <c r="H12" s="97">
        <f>IF($A12="","",$L$55*$D12)</f>
        <v/>
      </c>
      <c r="I12" s="96">
        <f>IF($A12="","",$B12-$E$56-$F$56-$G$56)</f>
        <v/>
      </c>
      <c r="J12" s="97">
        <f>IF($A12="","",$L$56*$D12)</f>
        <v/>
      </c>
      <c r="K12" s="96">
        <f>IF($A12="","",(($C12-$E$57-$F$57-$G$57-$H$57)/6)+(78*4)/6)</f>
        <v/>
      </c>
      <c r="L12" s="97">
        <f>IF($A12="","",$L$57*$D12)</f>
        <v/>
      </c>
      <c r="M12" s="96">
        <f>IF($A12="","",$I12-$E$58-$F$58)</f>
        <v/>
      </c>
      <c r="N12" s="97">
        <f>IF($A12="","",$L$58*$D12)</f>
        <v/>
      </c>
      <c r="O12" s="96">
        <f>IF($A12="","",$K12-$E$59-$F$59)</f>
        <v/>
      </c>
      <c r="P12" s="97">
        <f>IF($A12="","",$L$59*$D12)</f>
        <v/>
      </c>
      <c r="Q12" s="96">
        <f>IF($A12="","",$I12)</f>
        <v/>
      </c>
      <c r="R12" s="97">
        <f>IF($A12="","",$L$60*$D12)</f>
        <v/>
      </c>
      <c r="S12" s="96">
        <f>IF($A12="","",$I12)</f>
        <v/>
      </c>
      <c r="T12" s="97">
        <f>IF($A12="","",$L$61*$D12)</f>
        <v/>
      </c>
      <c r="U12" s="96">
        <f>IF($A12="","",$B12-$E$62-$F$62)</f>
        <v/>
      </c>
      <c r="V12" s="97">
        <f>IF($A12="","",$L$62*$D12)</f>
        <v/>
      </c>
      <c r="W12" s="96">
        <f>IF($A12="","",$G12)</f>
        <v/>
      </c>
      <c r="X12" s="97">
        <f>IF($A12="","",$L$63*$D12)</f>
        <v/>
      </c>
      <c r="Y12" s="96">
        <f>IF($A12="","",$S12)</f>
        <v/>
      </c>
      <c r="Z12" s="97">
        <f>IF($A12="","",$L$64*$D12)</f>
        <v/>
      </c>
      <c r="AA12" s="96">
        <f>IF($A12="","",$I12)</f>
        <v/>
      </c>
      <c r="AB12" s="97">
        <f>IF($A12="","",$L$65*$D12)</f>
        <v/>
      </c>
      <c r="AC12" s="96">
        <f>IF($A12="","",$C12)</f>
        <v/>
      </c>
      <c r="AD12" s="98">
        <f>IF($A12="","",$L$66*$D12)</f>
        <v/>
      </c>
      <c r="AE12" s="96">
        <f>IF($A12="","",$G12)</f>
        <v/>
      </c>
      <c r="AF12" s="97">
        <f>IF($A12="","",$L$67*$D12)</f>
        <v/>
      </c>
      <c r="AG12" s="96">
        <f>IF($A12="","",$C12)</f>
        <v/>
      </c>
      <c r="AH12" s="98">
        <f>IF($A12="","",$L$68*$D12)</f>
        <v/>
      </c>
      <c r="AI12" s="93">
        <f>IF($A12="","",$I12-68-68)</f>
        <v/>
      </c>
      <c r="AJ12" s="94">
        <f>IF($A12="","",$K12-68-68)</f>
        <v/>
      </c>
      <c r="AK12" s="95">
        <f>IF($A12="","",2*4*$D12)</f>
        <v/>
      </c>
      <c r="AL12">
        <f>IF($A12="","",$BC$7*$D12)</f>
        <v/>
      </c>
      <c r="AM12">
        <f>IF($A12="","",$BC$6*$D12)</f>
        <v/>
      </c>
      <c r="AN12">
        <f>IF($A12="","",$BC$9*$D12)</f>
        <v/>
      </c>
      <c r="AO12">
        <f>IF($A12="","",$BC$10*$D12)</f>
        <v/>
      </c>
      <c r="AP12">
        <f>IF($A12="","",2*$BC$6*$D12)</f>
        <v/>
      </c>
      <c r="AQ12">
        <f>IF($A12="","",IF($B12&gt;2800,2,IF($B12&gt;1400,1,0))*$BC$6*$D12)</f>
        <v/>
      </c>
      <c r="AR12">
        <f>IF($A12="","",2*$BC$6*$D12)</f>
        <v/>
      </c>
      <c r="AS12">
        <f>IF($A12="","",$BC$6*$D12)</f>
        <v/>
      </c>
      <c r="AT12">
        <f>IF($A12="","",2*$BC$6*$D12)</f>
        <v/>
      </c>
      <c r="AU12">
        <f>IF($A12="","",4*4*$D12)</f>
        <v/>
      </c>
      <c r="AV12">
        <f>IF($A12="","",16*4*$D12)</f>
        <v/>
      </c>
      <c r="AW12">
        <f>IF($A12="","",(2+MAX(0,ROUNDUP(($G12-1500)/500,0)))*$D12)</f>
        <v/>
      </c>
      <c r="AX12">
        <f>IF($A12="","",(2+MAX(0,ROUNDUP(($G12-1500)/500,0)))*$D12)</f>
        <v/>
      </c>
      <c r="AY12">
        <f>IF($A12="","",ROUND((2*2*($K12+$I12)*4*$D12+$S12*$T12)/1000,1))</f>
        <v/>
      </c>
      <c r="BA12" t="inlineStr">
        <is>
          <t>Alignดัมมี่ดำ</t>
        </is>
      </c>
      <c r="BB12" t="inlineStr">
        <is>
          <t>JR00376</t>
        </is>
      </c>
    </row>
    <row r="13" ht="40.15" customHeight="1">
      <c r="A13" s="99" t="n"/>
      <c r="B13" s="88" t="n"/>
      <c r="C13" s="89" t="n"/>
      <c r="D13" s="90" t="n"/>
      <c r="E13" s="91">
        <f>IF($A13="","",$B13)</f>
        <v/>
      </c>
      <c r="F13" s="89">
        <f>IF($A13="","",$L$54*$D13)</f>
        <v/>
      </c>
      <c r="G13" s="91">
        <f>IF($A13="","",$C13-$E$55-$F$55)</f>
        <v/>
      </c>
      <c r="H13" s="89">
        <f>IF($A13="","",$L$55*$D13)</f>
        <v/>
      </c>
      <c r="I13" s="91">
        <f>IF($A13="","",$B13-$E$56-$F$56-$G$56)</f>
        <v/>
      </c>
      <c r="J13" s="89">
        <f>IF($A13="","",$L$56*$D13)</f>
        <v/>
      </c>
      <c r="K13" s="91">
        <f>IF($A13="","",(($C13-$E$57-$F$57-$G$57-$H$57)/6)+(78*4)/6)</f>
        <v/>
      </c>
      <c r="L13" s="89">
        <f>IF($A13="","",$L$57*$D13)</f>
        <v/>
      </c>
      <c r="M13" s="91">
        <f>IF($A13="","",$I13-$E$58-$F$58)</f>
        <v/>
      </c>
      <c r="N13" s="89">
        <f>IF($A13="","",$L$58*$D13)</f>
        <v/>
      </c>
      <c r="O13" s="91">
        <f>IF($A13="","",$K13-$E$59-$F$59)</f>
        <v/>
      </c>
      <c r="P13" s="89">
        <f>IF($A13="","",$L$59*$D13)</f>
        <v/>
      </c>
      <c r="Q13" s="91">
        <f>IF($A13="","",$I13)</f>
        <v/>
      </c>
      <c r="R13" s="89">
        <f>IF($A13="","",$L$60*$D13)</f>
        <v/>
      </c>
      <c r="S13" s="91">
        <f>IF($A13="","",$I13)</f>
        <v/>
      </c>
      <c r="T13" s="89">
        <f>IF($A13="","",$L$61*$D13)</f>
        <v/>
      </c>
      <c r="U13" s="91">
        <f>IF($A13="","",$B13-$E$62-$F$62)</f>
        <v/>
      </c>
      <c r="V13" s="89">
        <f>IF($A13="","",$L$62*$D13)</f>
        <v/>
      </c>
      <c r="W13" s="91">
        <f>IF($A13="","",$G13)</f>
        <v/>
      </c>
      <c r="X13" s="89">
        <f>IF($A13="","",$L$63*$D13)</f>
        <v/>
      </c>
      <c r="Y13" s="91">
        <f>IF($A13="","",$S13)</f>
        <v/>
      </c>
      <c r="Z13" s="89">
        <f>IF($A13="","",$L$64*$D13)</f>
        <v/>
      </c>
      <c r="AA13" s="91">
        <f>IF($A13="","",$I13)</f>
        <v/>
      </c>
      <c r="AB13" s="89">
        <f>IF($A13="","",$L$65*$D13)</f>
        <v/>
      </c>
      <c r="AC13" s="91">
        <f>IF($A13="","",$C13)</f>
        <v/>
      </c>
      <c r="AD13" s="92">
        <f>IF($A13="","",$L$66*$D13)</f>
        <v/>
      </c>
      <c r="AE13" s="91">
        <f>IF($A13="","",$G13)</f>
        <v/>
      </c>
      <c r="AF13" s="89">
        <f>IF($A13="","",$L$67*$D13)</f>
        <v/>
      </c>
      <c r="AG13" s="91">
        <f>IF($A13="","",$C13)</f>
        <v/>
      </c>
      <c r="AH13" s="92">
        <f>IF($A13="","",$L$68*$D13)</f>
        <v/>
      </c>
      <c r="AI13" s="93">
        <f>IF($A13="","",$I13-68-68)</f>
        <v/>
      </c>
      <c r="AJ13" s="94">
        <f>IF($A13="","",$K13-68-68)</f>
        <v/>
      </c>
      <c r="AK13" s="95">
        <f>IF($A13="","",2*4*$D13)</f>
        <v/>
      </c>
      <c r="AL13">
        <f>IF($A13="","",$BC$7*$D13)</f>
        <v/>
      </c>
      <c r="AM13">
        <f>IF($A13="","",$BC$6*$D13)</f>
        <v/>
      </c>
      <c r="AN13">
        <f>IF($A13="","",$BC$9*$D13)</f>
        <v/>
      </c>
      <c r="AO13">
        <f>IF($A13="","",$BC$10*$D13)</f>
        <v/>
      </c>
      <c r="AP13">
        <f>IF($A13="","",2*$BC$6*$D13)</f>
        <v/>
      </c>
      <c r="AQ13">
        <f>IF($A13="","",IF($B13&gt;2800,2,IF($B13&gt;1400,1,0))*$BC$6*$D13)</f>
        <v/>
      </c>
      <c r="AR13">
        <f>IF($A13="","",2*$BC$6*$D13)</f>
        <v/>
      </c>
      <c r="AS13">
        <f>IF($A13="","",$BC$6*$D13)</f>
        <v/>
      </c>
      <c r="AT13">
        <f>IF($A13="","",2*$BC$6*$D13)</f>
        <v/>
      </c>
      <c r="AU13">
        <f>IF($A13="","",4*4*$D13)</f>
        <v/>
      </c>
      <c r="AV13">
        <f>IF($A13="","",16*4*$D13)</f>
        <v/>
      </c>
      <c r="AW13">
        <f>IF($A13="","",(2+MAX(0,ROUNDUP(($G13-1500)/500,0)))*$D13)</f>
        <v/>
      </c>
      <c r="AX13">
        <f>IF($A13="","",(2+MAX(0,ROUNDUP(($G13-1500)/500,0)))*$D13)</f>
        <v/>
      </c>
      <c r="AY13">
        <f>IF($A13="","",ROUND((2*2*($K13+$I13)*4*$D13+$S13*$T13)/1000,1))</f>
        <v/>
      </c>
    </row>
    <row r="14" ht="40.15" customHeight="1">
      <c r="A14" s="99" t="n"/>
      <c r="B14" s="88" t="n"/>
      <c r="C14" s="89" t="n"/>
      <c r="D14" s="90" t="n"/>
      <c r="E14" s="96">
        <f>IF($A14="","",$B14)</f>
        <v/>
      </c>
      <c r="F14" s="97">
        <f>IF($A14="","",$L$54*$D14)</f>
        <v/>
      </c>
      <c r="G14" s="96">
        <f>IF($A14="","",$C14-$E$55-$F$55)</f>
        <v/>
      </c>
      <c r="H14" s="97">
        <f>IF($A14="","",$L$55*$D14)</f>
        <v/>
      </c>
      <c r="I14" s="96">
        <f>IF($A14="","",$B14-$E$56-$F$56-$G$56)</f>
        <v/>
      </c>
      <c r="J14" s="97">
        <f>IF($A14="","",$L$56*$D14)</f>
        <v/>
      </c>
      <c r="K14" s="96">
        <f>IF($A14="","",(($C14-$E$57-$F$57-$G$57-$H$57)/6)+(78*4)/6)</f>
        <v/>
      </c>
      <c r="L14" s="97">
        <f>IF($A14="","",$L$57*$D14)</f>
        <v/>
      </c>
      <c r="M14" s="96">
        <f>IF($A14="","",$I14-$E$58-$F$58)</f>
        <v/>
      </c>
      <c r="N14" s="97">
        <f>IF($A14="","",$L$58*$D14)</f>
        <v/>
      </c>
      <c r="O14" s="96">
        <f>IF($A14="","",$K14-$E$59-$F$59)</f>
        <v/>
      </c>
      <c r="P14" s="97">
        <f>IF($A14="","",$L$59*$D14)</f>
        <v/>
      </c>
      <c r="Q14" s="96">
        <f>IF($A14="","",$I14)</f>
        <v/>
      </c>
      <c r="R14" s="97">
        <f>IF($A14="","",$L$60*$D14)</f>
        <v/>
      </c>
      <c r="S14" s="96">
        <f>IF($A14="","",$I14)</f>
        <v/>
      </c>
      <c r="T14" s="97">
        <f>IF($A14="","",$L$61*$D14)</f>
        <v/>
      </c>
      <c r="U14" s="96">
        <f>IF($A14="","",$B14-$E$62-$F$62)</f>
        <v/>
      </c>
      <c r="V14" s="97">
        <f>IF($A14="","",$L$62*$D14)</f>
        <v/>
      </c>
      <c r="W14" s="96">
        <f>IF($A14="","",$G14)</f>
        <v/>
      </c>
      <c r="X14" s="97">
        <f>IF($A14="","",$L$63*$D14)</f>
        <v/>
      </c>
      <c r="Y14" s="96">
        <f>IF($A14="","",$S14)</f>
        <v/>
      </c>
      <c r="Z14" s="97">
        <f>IF($A14="","",$L$64*$D14)</f>
        <v/>
      </c>
      <c r="AA14" s="96">
        <f>IF($A14="","",$I14)</f>
        <v/>
      </c>
      <c r="AB14" s="97">
        <f>IF($A14="","",$L$65*$D14)</f>
        <v/>
      </c>
      <c r="AC14" s="96">
        <f>IF($A14="","",$C14)</f>
        <v/>
      </c>
      <c r="AD14" s="98">
        <f>IF($A14="","",$L$66*$D14)</f>
        <v/>
      </c>
      <c r="AE14" s="96">
        <f>IF($A14="","",$G14)</f>
        <v/>
      </c>
      <c r="AF14" s="97">
        <f>IF($A14="","",$L$67*$D14)</f>
        <v/>
      </c>
      <c r="AG14" s="96">
        <f>IF($A14="","",$C14)</f>
        <v/>
      </c>
      <c r="AH14" s="98">
        <f>IF($A14="","",$L$68*$D14)</f>
        <v/>
      </c>
      <c r="AI14" s="93">
        <f>IF($A14="","",$I14-68-68)</f>
        <v/>
      </c>
      <c r="AJ14" s="94">
        <f>IF($A14="","",$K14-68-68)</f>
        <v/>
      </c>
      <c r="AK14" s="95">
        <f>IF($A14="","",2*4*$D14)</f>
        <v/>
      </c>
      <c r="AL14">
        <f>IF($A14="","",$BC$7*$D14)</f>
        <v/>
      </c>
      <c r="AM14">
        <f>IF($A14="","",$BC$6*$D14)</f>
        <v/>
      </c>
      <c r="AN14">
        <f>IF($A14="","",$BC$9*$D14)</f>
        <v/>
      </c>
      <c r="AO14">
        <f>IF($A14="","",$BC$10*$D14)</f>
        <v/>
      </c>
      <c r="AP14">
        <f>IF($A14="","",2*$BC$6*$D14)</f>
        <v/>
      </c>
      <c r="AQ14">
        <f>IF($A14="","",IF($B14&gt;2800,2,IF($B14&gt;1400,1,0))*$BC$6*$D14)</f>
        <v/>
      </c>
      <c r="AR14">
        <f>IF($A14="","",2*$BC$6*$D14)</f>
        <v/>
      </c>
      <c r="AS14">
        <f>IF($A14="","",$BC$6*$D14)</f>
        <v/>
      </c>
      <c r="AT14">
        <f>IF($A14="","",2*$BC$6*$D14)</f>
        <v/>
      </c>
      <c r="AU14">
        <f>IF($A14="","",4*4*$D14)</f>
        <v/>
      </c>
      <c r="AV14">
        <f>IF($A14="","",16*4*$D14)</f>
        <v/>
      </c>
      <c r="AW14">
        <f>IF($A14="","",(2+MAX(0,ROUNDUP(($G14-1500)/500,0)))*$D14)</f>
        <v/>
      </c>
      <c r="AX14">
        <f>IF($A14="","",(2+MAX(0,ROUNDUP(($G14-1500)/500,0)))*$D14)</f>
        <v/>
      </c>
      <c r="AY14">
        <f>IF($A14="","",ROUND((2*2*($K14+$I14)*4*$D14+$S14*$T14)/1000,1))</f>
        <v/>
      </c>
    </row>
    <row r="15" ht="40.15" customHeight="1">
      <c r="A15" s="99" t="n"/>
      <c r="B15" s="88" t="n"/>
      <c r="C15" s="89" t="n"/>
      <c r="D15" s="90" t="n"/>
      <c r="E15" s="91">
        <f>IF($A15="","",$B15)</f>
        <v/>
      </c>
      <c r="F15" s="89">
        <f>IF($A15="","",$L$54*$D15)</f>
        <v/>
      </c>
      <c r="G15" s="91">
        <f>IF($A15="","",$C15-$E$55-$F$55)</f>
        <v/>
      </c>
      <c r="H15" s="89">
        <f>IF($A15="","",$L$55*$D15)</f>
        <v/>
      </c>
      <c r="I15" s="91">
        <f>IF($A15="","",$B15-$E$56-$F$56-$G$56)</f>
        <v/>
      </c>
      <c r="J15" s="89">
        <f>IF($A15="","",$L$56*$D15)</f>
        <v/>
      </c>
      <c r="K15" s="91">
        <f>IF($A15="","",(($C15-$E$57-$F$57-$G$57-$H$57)/6)+(78*4)/6)</f>
        <v/>
      </c>
      <c r="L15" s="89">
        <f>IF($A15="","",$L$57*$D15)</f>
        <v/>
      </c>
      <c r="M15" s="91">
        <f>IF($A15="","",$I15-$E$58-$F$58)</f>
        <v/>
      </c>
      <c r="N15" s="89">
        <f>IF($A15="","",$L$58*$D15)</f>
        <v/>
      </c>
      <c r="O15" s="91">
        <f>IF($A15="","",$K15-$E$59-$F$59)</f>
        <v/>
      </c>
      <c r="P15" s="89">
        <f>IF($A15="","",$L$59*$D15)</f>
        <v/>
      </c>
      <c r="Q15" s="91">
        <f>IF($A15="","",$I15)</f>
        <v/>
      </c>
      <c r="R15" s="89">
        <f>IF($A15="","",$L$60*$D15)</f>
        <v/>
      </c>
      <c r="S15" s="91">
        <f>IF($A15="","",$I15)</f>
        <v/>
      </c>
      <c r="T15" s="89">
        <f>IF($A15="","",$L$61*$D15)</f>
        <v/>
      </c>
      <c r="U15" s="91">
        <f>IF($A15="","",$B15-$E$62-$F$62)</f>
        <v/>
      </c>
      <c r="V15" s="89">
        <f>IF($A15="","",$L$62*$D15)</f>
        <v/>
      </c>
      <c r="W15" s="91">
        <f>IF($A15="","",$G15)</f>
        <v/>
      </c>
      <c r="X15" s="89">
        <f>IF($A15="","",$L$63*$D15)</f>
        <v/>
      </c>
      <c r="Y15" s="91">
        <f>IF($A15="","",$S15)</f>
        <v/>
      </c>
      <c r="Z15" s="89">
        <f>IF($A15="","",$L$64*$D15)</f>
        <v/>
      </c>
      <c r="AA15" s="91">
        <f>IF($A15="","",$I15)</f>
        <v/>
      </c>
      <c r="AB15" s="89">
        <f>IF($A15="","",$L$65*$D15)</f>
        <v/>
      </c>
      <c r="AC15" s="91">
        <f>IF($A15="","",$C15)</f>
        <v/>
      </c>
      <c r="AD15" s="92">
        <f>IF($A15="","",$L$66*$D15)</f>
        <v/>
      </c>
      <c r="AE15" s="91">
        <f>IF($A15="","",$G15)</f>
        <v/>
      </c>
      <c r="AF15" s="89">
        <f>IF($A15="","",$L$67*$D15)</f>
        <v/>
      </c>
      <c r="AG15" s="91">
        <f>IF($A15="","",$C15)</f>
        <v/>
      </c>
      <c r="AH15" s="92">
        <f>IF($A15="","",$L$68*$D15)</f>
        <v/>
      </c>
      <c r="AI15" s="93">
        <f>IF($A15="","",$I15-68-68)</f>
        <v/>
      </c>
      <c r="AJ15" s="94">
        <f>IF($A15="","",$K15-68-68)</f>
        <v/>
      </c>
      <c r="AK15" s="95">
        <f>IF($A15="","",2*4*$D15)</f>
        <v/>
      </c>
      <c r="AL15">
        <f>IF($A15="","",$BC$7*$D15)</f>
        <v/>
      </c>
      <c r="AM15">
        <f>IF($A15="","",$BC$6*$D15)</f>
        <v/>
      </c>
      <c r="AN15">
        <f>IF($A15="","",$BC$9*$D15)</f>
        <v/>
      </c>
      <c r="AO15">
        <f>IF($A15="","",$BC$10*$D15)</f>
        <v/>
      </c>
      <c r="AP15">
        <f>IF($A15="","",2*$BC$6*$D15)</f>
        <v/>
      </c>
      <c r="AQ15">
        <f>IF($A15="","",IF($B15&gt;2800,2,IF($B15&gt;1400,1,0))*$BC$6*$D15)</f>
        <v/>
      </c>
      <c r="AR15">
        <f>IF($A15="","",2*$BC$6*$D15)</f>
        <v/>
      </c>
      <c r="AS15">
        <f>IF($A15="","",$BC$6*$D15)</f>
        <v/>
      </c>
      <c r="AT15">
        <f>IF($A15="","",2*$BC$6*$D15)</f>
        <v/>
      </c>
      <c r="AU15">
        <f>IF($A15="","",4*4*$D15)</f>
        <v/>
      </c>
      <c r="AV15">
        <f>IF($A15="","",16*4*$D15)</f>
        <v/>
      </c>
      <c r="AW15">
        <f>IF($A15="","",(2+MAX(0,ROUNDUP(($G15-1500)/500,0)))*$D15)</f>
        <v/>
      </c>
      <c r="AX15">
        <f>IF($A15="","",(2+MAX(0,ROUNDUP(($G15-1500)/500,0)))*$D15)</f>
        <v/>
      </c>
      <c r="AY15">
        <f>IF($A15="","",ROUND((2*2*($K15+$I15)*4*$D15+$S15*$T15)/1000,1))</f>
        <v/>
      </c>
    </row>
    <row r="16" ht="40.15" customHeight="1">
      <c r="A16" s="99" t="n"/>
      <c r="B16" s="88" t="n"/>
      <c r="C16" s="89" t="n"/>
      <c r="D16" s="90" t="n"/>
      <c r="E16" s="96">
        <f>IF($A16="","",$B16)</f>
        <v/>
      </c>
      <c r="F16" s="97">
        <f>IF($A16="","",$L$54*$D16)</f>
        <v/>
      </c>
      <c r="G16" s="96">
        <f>IF($A16="","",$C16-$E$55-$F$55)</f>
        <v/>
      </c>
      <c r="H16" s="97">
        <f>IF($A16="","",$L$55*$D16)</f>
        <v/>
      </c>
      <c r="I16" s="96">
        <f>IF($A16="","",$B16-$E$56-$F$56-$G$56)</f>
        <v/>
      </c>
      <c r="J16" s="97">
        <f>IF($A16="","",$L$56*$D16)</f>
        <v/>
      </c>
      <c r="K16" s="96">
        <f>IF($A16="","",(($C16-$E$57-$F$57-$G$57-$H$57)/6)+(78*4)/6)</f>
        <v/>
      </c>
      <c r="L16" s="97">
        <f>IF($A16="","",$L$57*$D16)</f>
        <v/>
      </c>
      <c r="M16" s="96">
        <f>IF($A16="","",$I16-$E$58-$F$58)</f>
        <v/>
      </c>
      <c r="N16" s="97">
        <f>IF($A16="","",$L$58*$D16)</f>
        <v/>
      </c>
      <c r="O16" s="96">
        <f>IF($A16="","",$K16-$E$59-$F$59)</f>
        <v/>
      </c>
      <c r="P16" s="97">
        <f>IF($A16="","",$L$59*$D16)</f>
        <v/>
      </c>
      <c r="Q16" s="96">
        <f>IF($A16="","",$I16)</f>
        <v/>
      </c>
      <c r="R16" s="97">
        <f>IF($A16="","",$L$60*$D16)</f>
        <v/>
      </c>
      <c r="S16" s="96">
        <f>IF($A16="","",$I16)</f>
        <v/>
      </c>
      <c r="T16" s="97">
        <f>IF($A16="","",$L$61*$D16)</f>
        <v/>
      </c>
      <c r="U16" s="96">
        <f>IF($A16="","",$B16-$E$62-$F$62)</f>
        <v/>
      </c>
      <c r="V16" s="97">
        <f>IF($A16="","",$L$62*$D16)</f>
        <v/>
      </c>
      <c r="W16" s="96">
        <f>IF($A16="","",$G16)</f>
        <v/>
      </c>
      <c r="X16" s="97">
        <f>IF($A16="","",$L$63*$D16)</f>
        <v/>
      </c>
      <c r="Y16" s="96">
        <f>IF($A16="","",$S16)</f>
        <v/>
      </c>
      <c r="Z16" s="97">
        <f>IF($A16="","",$L$64*$D16)</f>
        <v/>
      </c>
      <c r="AA16" s="96">
        <f>IF($A16="","",$I16)</f>
        <v/>
      </c>
      <c r="AB16" s="97">
        <f>IF($A16="","",$L$65*$D16)</f>
        <v/>
      </c>
      <c r="AC16" s="96">
        <f>IF($A16="","",$C16)</f>
        <v/>
      </c>
      <c r="AD16" s="98">
        <f>IF($A16="","",$L$66*$D16)</f>
        <v/>
      </c>
      <c r="AE16" s="96">
        <f>IF($A16="","",$G16)</f>
        <v/>
      </c>
      <c r="AF16" s="97">
        <f>IF($A16="","",$L$67*$D16)</f>
        <v/>
      </c>
      <c r="AG16" s="96">
        <f>IF($A16="","",$C16)</f>
        <v/>
      </c>
      <c r="AH16" s="98">
        <f>IF($A16="","",$L$68*$D16)</f>
        <v/>
      </c>
      <c r="AI16" s="93">
        <f>IF($A16="","",$I16-68-68)</f>
        <v/>
      </c>
      <c r="AJ16" s="94">
        <f>IF($A16="","",$K16-68-68)</f>
        <v/>
      </c>
      <c r="AK16" s="95">
        <f>IF($A16="","",2*4*$D16)</f>
        <v/>
      </c>
      <c r="AL16">
        <f>IF($A16="","",$BC$7*$D16)</f>
        <v/>
      </c>
      <c r="AM16">
        <f>IF($A16="","",$BC$6*$D16)</f>
        <v/>
      </c>
      <c r="AN16">
        <f>IF($A16="","",$BC$9*$D16)</f>
        <v/>
      </c>
      <c r="AO16">
        <f>IF($A16="","",$BC$10*$D16)</f>
        <v/>
      </c>
      <c r="AP16">
        <f>IF($A16="","",2*$BC$6*$D16)</f>
        <v/>
      </c>
      <c r="AQ16">
        <f>IF($A16="","",IF($B16&gt;2800,2,IF($B16&gt;1400,1,0))*$BC$6*$D16)</f>
        <v/>
      </c>
      <c r="AR16">
        <f>IF($A16="","",2*$BC$6*$D16)</f>
        <v/>
      </c>
      <c r="AS16">
        <f>IF($A16="","",$BC$6*$D16)</f>
        <v/>
      </c>
      <c r="AT16">
        <f>IF($A16="","",2*$BC$6*$D16)</f>
        <v/>
      </c>
      <c r="AU16">
        <f>IF($A16="","",4*4*$D16)</f>
        <v/>
      </c>
      <c r="AV16">
        <f>IF($A16="","",16*4*$D16)</f>
        <v/>
      </c>
      <c r="AW16">
        <f>IF($A16="","",(2+MAX(0,ROUNDUP(($G16-1500)/500,0)))*$D16)</f>
        <v/>
      </c>
      <c r="AX16">
        <f>IF($A16="","",(2+MAX(0,ROUNDUP(($G16-1500)/500,0)))*$D16)</f>
        <v/>
      </c>
      <c r="AY16">
        <f>IF($A16="","",ROUND((2*2*($K16+$I16)*4*$D16+$S16*$T16)/1000,1))</f>
        <v/>
      </c>
    </row>
    <row r="17" ht="40.15" customHeight="1">
      <c r="A17" s="99" t="n"/>
      <c r="B17" s="88" t="n"/>
      <c r="C17" s="89" t="n"/>
      <c r="D17" s="90" t="n"/>
      <c r="E17" s="91">
        <f>IF($A17="","",$B17)</f>
        <v/>
      </c>
      <c r="F17" s="89">
        <f>IF($A17="","",$L$54*$D17)</f>
        <v/>
      </c>
      <c r="G17" s="91">
        <f>IF($A17="","",$C17-$E$55-$F$55)</f>
        <v/>
      </c>
      <c r="H17" s="89">
        <f>IF($A17="","",$L$55*$D17)</f>
        <v/>
      </c>
      <c r="I17" s="91">
        <f>IF($A17="","",$B17-$E$56-$F$56-$G$56)</f>
        <v/>
      </c>
      <c r="J17" s="89">
        <f>IF($A17="","",$L$56*$D17)</f>
        <v/>
      </c>
      <c r="K17" s="91">
        <f>IF($A17="","",(($C17-$E$57-$F$57-$G$57-$H$57)/6)+(78*4)/6)</f>
        <v/>
      </c>
      <c r="L17" s="89">
        <f>IF($A17="","",$L$57*$D17)</f>
        <v/>
      </c>
      <c r="M17" s="91">
        <f>IF($A17="","",$I17-$E$58-$F$58)</f>
        <v/>
      </c>
      <c r="N17" s="89">
        <f>IF($A17="","",$L$58*$D17)</f>
        <v/>
      </c>
      <c r="O17" s="91">
        <f>IF($A17="","",$K17-$E$59-$F$59)</f>
        <v/>
      </c>
      <c r="P17" s="89">
        <f>IF($A17="","",$L$59*$D17)</f>
        <v/>
      </c>
      <c r="Q17" s="91">
        <f>IF($A17="","",$I17)</f>
        <v/>
      </c>
      <c r="R17" s="89">
        <f>IF($A17="","",$L$60*$D17)</f>
        <v/>
      </c>
      <c r="S17" s="91">
        <f>IF($A17="","",$I17)</f>
        <v/>
      </c>
      <c r="T17" s="89">
        <f>IF($A17="","",$L$61*$D17)</f>
        <v/>
      </c>
      <c r="U17" s="91">
        <f>IF($A17="","",$B17-$E$62-$F$62)</f>
        <v/>
      </c>
      <c r="V17" s="89">
        <f>IF($A17="","",$L$62*$D17)</f>
        <v/>
      </c>
      <c r="W17" s="91">
        <f>IF($A17="","",$G17)</f>
        <v/>
      </c>
      <c r="X17" s="89">
        <f>IF($A17="","",$L$63*$D17)</f>
        <v/>
      </c>
      <c r="Y17" s="91">
        <f>IF($A17="","",$S17)</f>
        <v/>
      </c>
      <c r="Z17" s="89">
        <f>IF($A17="","",$L$64*$D17)</f>
        <v/>
      </c>
      <c r="AA17" s="91">
        <f>IF($A17="","",$I17)</f>
        <v/>
      </c>
      <c r="AB17" s="89">
        <f>IF($A17="","",$L$65*$D17)</f>
        <v/>
      </c>
      <c r="AC17" s="91">
        <f>IF($A17="","",$C17)</f>
        <v/>
      </c>
      <c r="AD17" s="92">
        <f>IF($A17="","",$L$66*$D17)</f>
        <v/>
      </c>
      <c r="AE17" s="91">
        <f>IF($A17="","",$G17)</f>
        <v/>
      </c>
      <c r="AF17" s="89">
        <f>IF($A17="","",$L$67*$D17)</f>
        <v/>
      </c>
      <c r="AG17" s="91">
        <f>IF($A17="","",$C17)</f>
        <v/>
      </c>
      <c r="AH17" s="92">
        <f>IF($A17="","",$L$68*$D17)</f>
        <v/>
      </c>
      <c r="AI17" s="93">
        <f>IF($A17="","",$I17-68-68)</f>
        <v/>
      </c>
      <c r="AJ17" s="94">
        <f>IF($A17="","",$K17-68-68)</f>
        <v/>
      </c>
      <c r="AK17" s="95">
        <f>IF($A17="","",2*4*$D17)</f>
        <v/>
      </c>
      <c r="AL17">
        <f>IF($A17="","",$BC$7*$D17)</f>
        <v/>
      </c>
      <c r="AM17">
        <f>IF($A17="","",$BC$6*$D17)</f>
        <v/>
      </c>
      <c r="AN17">
        <f>IF($A17="","",$BC$9*$D17)</f>
        <v/>
      </c>
      <c r="AO17">
        <f>IF($A17="","",$BC$10*$D17)</f>
        <v/>
      </c>
      <c r="AP17">
        <f>IF($A17="","",2*$BC$6*$D17)</f>
        <v/>
      </c>
      <c r="AQ17">
        <f>IF($A17="","",IF($B17&gt;2800,2,IF($B17&gt;1400,1,0))*$BC$6*$D17)</f>
        <v/>
      </c>
      <c r="AR17">
        <f>IF($A17="","",2*$BC$6*$D17)</f>
        <v/>
      </c>
      <c r="AS17">
        <f>IF($A17="","",$BC$6*$D17)</f>
        <v/>
      </c>
      <c r="AT17">
        <f>IF($A17="","",2*$BC$6*$D17)</f>
        <v/>
      </c>
      <c r="AU17">
        <f>IF($A17="","",4*4*$D17)</f>
        <v/>
      </c>
      <c r="AV17">
        <f>IF($A17="","",16*4*$D17)</f>
        <v/>
      </c>
      <c r="AW17">
        <f>IF($A17="","",(2+MAX(0,ROUNDUP(($G17-1500)/500,0)))*$D17)</f>
        <v/>
      </c>
      <c r="AX17">
        <f>IF($A17="","",(2+MAX(0,ROUNDUP(($G17-1500)/500,0)))*$D17)</f>
        <v/>
      </c>
      <c r="AY17">
        <f>IF($A17="","",ROUND((2*2*($K17+$I17)*4*$D17+$S17*$T17)/1000,1))</f>
        <v/>
      </c>
    </row>
    <row r="18" ht="40.15" customHeight="1">
      <c r="A18" s="99" t="n"/>
      <c r="B18" s="88" t="n"/>
      <c r="C18" s="89" t="n"/>
      <c r="D18" s="90" t="n"/>
      <c r="E18" s="96">
        <f>IF($A18="","",$B18)</f>
        <v/>
      </c>
      <c r="F18" s="97">
        <f>IF($A18="","",$L$54*$D18)</f>
        <v/>
      </c>
      <c r="G18" s="96">
        <f>IF($A18="","",$C18-$E$55-$F$55)</f>
        <v/>
      </c>
      <c r="H18" s="97">
        <f>IF($A18="","",$L$55*$D18)</f>
        <v/>
      </c>
      <c r="I18" s="96">
        <f>IF($A18="","",$B18-$E$56-$F$56-$G$56)</f>
        <v/>
      </c>
      <c r="J18" s="97">
        <f>IF($A18="","",$L$56*$D18)</f>
        <v/>
      </c>
      <c r="K18" s="96">
        <f>IF($A18="","",(($C18-$E$57-$F$57-$G$57-$H$57)/6)+(78*4)/6)</f>
        <v/>
      </c>
      <c r="L18" s="97">
        <f>IF($A18="","",$L$57*$D18)</f>
        <v/>
      </c>
      <c r="M18" s="96">
        <f>IF($A18="","",$I18-$E$58-$F$58)</f>
        <v/>
      </c>
      <c r="N18" s="97">
        <f>IF($A18="","",$L$58*$D18)</f>
        <v/>
      </c>
      <c r="O18" s="96">
        <f>IF($A18="","",$K18-$E$59-$F$59)</f>
        <v/>
      </c>
      <c r="P18" s="97">
        <f>IF($A18="","",$L$59*$D18)</f>
        <v/>
      </c>
      <c r="Q18" s="96">
        <f>IF($A18="","",$I18)</f>
        <v/>
      </c>
      <c r="R18" s="97">
        <f>IF($A18="","",$L$60*$D18)</f>
        <v/>
      </c>
      <c r="S18" s="96">
        <f>IF($A18="","",$I18)</f>
        <v/>
      </c>
      <c r="T18" s="97">
        <f>IF($A18="","",$L$61*$D18)</f>
        <v/>
      </c>
      <c r="U18" s="96">
        <f>IF($A18="","",$B18-$E$62-$F$62)</f>
        <v/>
      </c>
      <c r="V18" s="97">
        <f>IF($A18="","",$L$62*$D18)</f>
        <v/>
      </c>
      <c r="W18" s="96">
        <f>IF($A18="","",$G18)</f>
        <v/>
      </c>
      <c r="X18" s="97">
        <f>IF($A18="","",$L$63*$D18)</f>
        <v/>
      </c>
      <c r="Y18" s="96">
        <f>IF($A18="","",$S18)</f>
        <v/>
      </c>
      <c r="Z18" s="97">
        <f>IF($A18="","",$L$64*$D18)</f>
        <v/>
      </c>
      <c r="AA18" s="96">
        <f>IF($A18="","",$I18)</f>
        <v/>
      </c>
      <c r="AB18" s="97">
        <f>IF($A18="","",$L$65*$D18)</f>
        <v/>
      </c>
      <c r="AC18" s="96">
        <f>IF($A18="","",$C18)</f>
        <v/>
      </c>
      <c r="AD18" s="98">
        <f>IF($A18="","",$L$66*$D18)</f>
        <v/>
      </c>
      <c r="AE18" s="96">
        <f>IF($A18="","",$G18)</f>
        <v/>
      </c>
      <c r="AF18" s="97">
        <f>IF($A18="","",$L$67*$D18)</f>
        <v/>
      </c>
      <c r="AG18" s="96">
        <f>IF($A18="","",$C18)</f>
        <v/>
      </c>
      <c r="AH18" s="98">
        <f>IF($A18="","",$L$68*$D18)</f>
        <v/>
      </c>
      <c r="AI18" s="93">
        <f>IF($A18="","",$I18-68-68)</f>
        <v/>
      </c>
      <c r="AJ18" s="94">
        <f>IF($A18="","",$K18-68-68)</f>
        <v/>
      </c>
      <c r="AK18" s="95">
        <f>IF($A18="","",2*4*$D18)</f>
        <v/>
      </c>
      <c r="AL18">
        <f>IF($A18="","",$BC$7*$D18)</f>
        <v/>
      </c>
      <c r="AM18">
        <f>IF($A18="","",$BC$6*$D18)</f>
        <v/>
      </c>
      <c r="AN18">
        <f>IF($A18="","",$BC$9*$D18)</f>
        <v/>
      </c>
      <c r="AO18">
        <f>IF($A18="","",$BC$10*$D18)</f>
        <v/>
      </c>
      <c r="AP18">
        <f>IF($A18="","",2*$BC$6*$D18)</f>
        <v/>
      </c>
      <c r="AQ18">
        <f>IF($A18="","",IF($B18&gt;2800,2,IF($B18&gt;1400,1,0))*$BC$6*$D18)</f>
        <v/>
      </c>
      <c r="AR18">
        <f>IF($A18="","",2*$BC$6*$D18)</f>
        <v/>
      </c>
      <c r="AS18">
        <f>IF($A18="","",$BC$6*$D18)</f>
        <v/>
      </c>
      <c r="AT18">
        <f>IF($A18="","",2*$BC$6*$D18)</f>
        <v/>
      </c>
      <c r="AU18">
        <f>IF($A18="","",4*4*$D18)</f>
        <v/>
      </c>
      <c r="AV18">
        <f>IF($A18="","",16*4*$D18)</f>
        <v/>
      </c>
      <c r="AW18">
        <f>IF($A18="","",(2+MAX(0,ROUNDUP(($G18-1500)/500,0)))*$D18)</f>
        <v/>
      </c>
      <c r="AX18">
        <f>IF($A18="","",(2+MAX(0,ROUNDUP(($G18-1500)/500,0)))*$D18)</f>
        <v/>
      </c>
      <c r="AY18">
        <f>IF($A18="","",ROUND((2*2*($K18+$I18)*4*$D18+$S18*$T18)/1000,1))</f>
        <v/>
      </c>
    </row>
    <row r="19" ht="40.15" customHeight="1">
      <c r="A19" s="99" t="n"/>
      <c r="B19" s="88" t="n"/>
      <c r="C19" s="89" t="n"/>
      <c r="D19" s="90" t="n"/>
      <c r="E19" s="91">
        <f>IF($A19="","",$B19)</f>
        <v/>
      </c>
      <c r="F19" s="89">
        <f>IF($A19="","",$L$54*$D19)</f>
        <v/>
      </c>
      <c r="G19" s="91">
        <f>IF($A19="","",$C19-$E$55-$F$55)</f>
        <v/>
      </c>
      <c r="H19" s="89">
        <f>IF($A19="","",$L$55*$D19)</f>
        <v/>
      </c>
      <c r="I19" s="91">
        <f>IF($A19="","",$B19-$E$56-$F$56-$G$56)</f>
        <v/>
      </c>
      <c r="J19" s="89">
        <f>IF($A19="","",$L$56*$D19)</f>
        <v/>
      </c>
      <c r="K19" s="91">
        <f>IF($A19="","",(($C19-$E$57-$F$57-$G$57-$H$57)/6)+(78*4)/6)</f>
        <v/>
      </c>
      <c r="L19" s="89">
        <f>IF($A19="","",$L$57*$D19)</f>
        <v/>
      </c>
      <c r="M19" s="91">
        <f>IF($A19="","",$I19-$E$58-$F$58)</f>
        <v/>
      </c>
      <c r="N19" s="89">
        <f>IF($A19="","",$L$58*$D19)</f>
        <v/>
      </c>
      <c r="O19" s="91">
        <f>IF($A19="","",$K19-$E$59-$F$59)</f>
        <v/>
      </c>
      <c r="P19" s="89">
        <f>IF($A19="","",$L$59*$D19)</f>
        <v/>
      </c>
      <c r="Q19" s="91">
        <f>IF($A19="","",$I19)</f>
        <v/>
      </c>
      <c r="R19" s="89">
        <f>IF($A19="","",$L$60*$D19)</f>
        <v/>
      </c>
      <c r="S19" s="91">
        <f>IF($A19="","",$I19)</f>
        <v/>
      </c>
      <c r="T19" s="89">
        <f>IF($A19="","",$L$61*$D19)</f>
        <v/>
      </c>
      <c r="U19" s="91">
        <f>IF($A19="","",$B19-$E$62-$F$62)</f>
        <v/>
      </c>
      <c r="V19" s="89">
        <f>IF($A19="","",$L$62*$D19)</f>
        <v/>
      </c>
      <c r="W19" s="91">
        <f>IF($A19="","",$G19)</f>
        <v/>
      </c>
      <c r="X19" s="89">
        <f>IF($A19="","",$L$63*$D19)</f>
        <v/>
      </c>
      <c r="Y19" s="91">
        <f>IF($A19="","",$S19)</f>
        <v/>
      </c>
      <c r="Z19" s="89">
        <f>IF($A19="","",$L$64*$D19)</f>
        <v/>
      </c>
      <c r="AA19" s="91">
        <f>IF($A19="","",$I19)</f>
        <v/>
      </c>
      <c r="AB19" s="89">
        <f>IF($A19="","",$L$65*$D19)</f>
        <v/>
      </c>
      <c r="AC19" s="91">
        <f>IF($A19="","",$C19)</f>
        <v/>
      </c>
      <c r="AD19" s="92">
        <f>IF($A19="","",$L$66*$D19)</f>
        <v/>
      </c>
      <c r="AE19" s="91">
        <f>IF($A19="","",$G19)</f>
        <v/>
      </c>
      <c r="AF19" s="89">
        <f>IF($A19="","",$L$67*$D19)</f>
        <v/>
      </c>
      <c r="AG19" s="91">
        <f>IF($A19="","",$C19)</f>
        <v/>
      </c>
      <c r="AH19" s="92">
        <f>IF($A19="","",$L$68*$D19)</f>
        <v/>
      </c>
      <c r="AI19" s="93">
        <f>IF($A19="","",$I19-68-68)</f>
        <v/>
      </c>
      <c r="AJ19" s="94">
        <f>IF($A19="","",$K19-68-68)</f>
        <v/>
      </c>
      <c r="AK19" s="95">
        <f>IF($A19="","",2*4*$D19)</f>
        <v/>
      </c>
      <c r="AL19">
        <f>IF($A19="","",$BC$7*$D19)</f>
        <v/>
      </c>
      <c r="AM19">
        <f>IF($A19="","",$BC$6*$D19)</f>
        <v/>
      </c>
      <c r="AN19">
        <f>IF($A19="","",$BC$9*$D19)</f>
        <v/>
      </c>
      <c r="AO19">
        <f>IF($A19="","",$BC$10*$D19)</f>
        <v/>
      </c>
      <c r="AP19">
        <f>IF($A19="","",2*$BC$6*$D19)</f>
        <v/>
      </c>
      <c r="AQ19">
        <f>IF($A19="","",IF($B19&gt;2800,2,IF($B19&gt;1400,1,0))*$BC$6*$D19)</f>
        <v/>
      </c>
      <c r="AR19">
        <f>IF($A19="","",2*$BC$6*$D19)</f>
        <v/>
      </c>
      <c r="AS19">
        <f>IF($A19="","",$BC$6*$D19)</f>
        <v/>
      </c>
      <c r="AT19">
        <f>IF($A19="","",2*$BC$6*$D19)</f>
        <v/>
      </c>
      <c r="AU19">
        <f>IF($A19="","",4*4*$D19)</f>
        <v/>
      </c>
      <c r="AV19">
        <f>IF($A19="","",16*4*$D19)</f>
        <v/>
      </c>
      <c r="AW19">
        <f>IF($A19="","",(2+MAX(0,ROUNDUP(($G19-1500)/500,0)))*$D19)</f>
        <v/>
      </c>
      <c r="AX19">
        <f>IF($A19="","",(2+MAX(0,ROUNDUP(($G19-1500)/500,0)))*$D19)</f>
        <v/>
      </c>
      <c r="AY19">
        <f>IF($A19="","",ROUND((2*2*($K19+$I19)*4*$D19+$S19*$T19)/1000,1))</f>
        <v/>
      </c>
    </row>
    <row r="20" ht="40.15" customHeight="1">
      <c r="A20" s="99" t="n"/>
      <c r="B20" s="88" t="n"/>
      <c r="C20" s="89" t="n"/>
      <c r="D20" s="90" t="n"/>
      <c r="E20" s="96">
        <f>IF($A20="","",$B20)</f>
        <v/>
      </c>
      <c r="F20" s="97">
        <f>IF($A20="","",$L$54*$D20)</f>
        <v/>
      </c>
      <c r="G20" s="96">
        <f>IF($A20="","",$C20-$E$55-$F$55)</f>
        <v/>
      </c>
      <c r="H20" s="97">
        <f>IF($A20="","",$L$55*$D20)</f>
        <v/>
      </c>
      <c r="I20" s="96">
        <f>IF($A20="","",$B20-$E$56-$F$56-$G$56)</f>
        <v/>
      </c>
      <c r="J20" s="97">
        <f>IF($A20="","",$L$56*$D20)</f>
        <v/>
      </c>
      <c r="K20" s="96">
        <f>IF($A20="","",(($C20-$E$57-$F$57-$G$57-$H$57)/6)+(78*4)/6)</f>
        <v/>
      </c>
      <c r="L20" s="97">
        <f>IF($A20="","",$L$57*$D20)</f>
        <v/>
      </c>
      <c r="M20" s="96">
        <f>IF($A20="","",$I20-$E$58-$F$58)</f>
        <v/>
      </c>
      <c r="N20" s="97">
        <f>IF($A20="","",$L$58*$D20)</f>
        <v/>
      </c>
      <c r="O20" s="96">
        <f>IF($A20="","",$K20-$E$59-$F$59)</f>
        <v/>
      </c>
      <c r="P20" s="97">
        <f>IF($A20="","",$L$59*$D20)</f>
        <v/>
      </c>
      <c r="Q20" s="96">
        <f>IF($A20="","",$I20)</f>
        <v/>
      </c>
      <c r="R20" s="97">
        <f>IF($A20="","",$L$60*$D20)</f>
        <v/>
      </c>
      <c r="S20" s="96">
        <f>IF($A20="","",$I20)</f>
        <v/>
      </c>
      <c r="T20" s="97">
        <f>IF($A20="","",$L$61*$D20)</f>
        <v/>
      </c>
      <c r="U20" s="96">
        <f>IF($A20="","",$B20-$E$62-$F$62)</f>
        <v/>
      </c>
      <c r="V20" s="97">
        <f>IF($A20="","",$L$62*$D20)</f>
        <v/>
      </c>
      <c r="W20" s="96">
        <f>IF($A20="","",$G20)</f>
        <v/>
      </c>
      <c r="X20" s="97">
        <f>IF($A20="","",$L$63*$D20)</f>
        <v/>
      </c>
      <c r="Y20" s="96">
        <f>IF($A20="","",$S20)</f>
        <v/>
      </c>
      <c r="Z20" s="97">
        <f>IF($A20="","",$L$64*$D20)</f>
        <v/>
      </c>
      <c r="AA20" s="96">
        <f>IF($A20="","",$I20)</f>
        <v/>
      </c>
      <c r="AB20" s="97">
        <f>IF($A20="","",$L$65*$D20)</f>
        <v/>
      </c>
      <c r="AC20" s="96">
        <f>IF($A20="","",$C20)</f>
        <v/>
      </c>
      <c r="AD20" s="98">
        <f>IF($A20="","",$L$66*$D20)</f>
        <v/>
      </c>
      <c r="AE20" s="96">
        <f>IF($A20="","",$G20)</f>
        <v/>
      </c>
      <c r="AF20" s="97">
        <f>IF($A20="","",$L$67*$D20)</f>
        <v/>
      </c>
      <c r="AG20" s="96">
        <f>IF($A20="","",$C20)</f>
        <v/>
      </c>
      <c r="AH20" s="98">
        <f>IF($A20="","",$L$68*$D20)</f>
        <v/>
      </c>
      <c r="AI20" s="93">
        <f>IF($A20="","",$I20-68-68)</f>
        <v/>
      </c>
      <c r="AJ20" s="94">
        <f>IF($A20="","",$K20-68-68)</f>
        <v/>
      </c>
      <c r="AK20" s="95">
        <f>IF($A20="","",2*4*$D20)</f>
        <v/>
      </c>
      <c r="AL20">
        <f>IF($A20="","",$BC$7*$D20)</f>
        <v/>
      </c>
      <c r="AM20">
        <f>IF($A20="","",$BC$6*$D20)</f>
        <v/>
      </c>
      <c r="AN20">
        <f>IF($A20="","",$BC$9*$D20)</f>
        <v/>
      </c>
      <c r="AO20">
        <f>IF($A20="","",$BC$10*$D20)</f>
        <v/>
      </c>
      <c r="AP20">
        <f>IF($A20="","",2*$BC$6*$D20)</f>
        <v/>
      </c>
      <c r="AQ20">
        <f>IF($A20="","",IF($B20&gt;2800,2,IF($B20&gt;1400,1,0))*$BC$6*$D20)</f>
        <v/>
      </c>
      <c r="AR20">
        <f>IF($A20="","",2*$BC$6*$D20)</f>
        <v/>
      </c>
      <c r="AS20">
        <f>IF($A20="","",$BC$6*$D20)</f>
        <v/>
      </c>
      <c r="AT20">
        <f>IF($A20="","",2*$BC$6*$D20)</f>
        <v/>
      </c>
      <c r="AU20">
        <f>IF($A20="","",4*4*$D20)</f>
        <v/>
      </c>
      <c r="AV20">
        <f>IF($A20="","",16*4*$D20)</f>
        <v/>
      </c>
      <c r="AW20">
        <f>IF($A20="","",(2+MAX(0,ROUNDUP(($G20-1500)/500,0)))*$D20)</f>
        <v/>
      </c>
      <c r="AX20">
        <f>IF($A20="","",(2+MAX(0,ROUNDUP(($G20-1500)/500,0)))*$D20)</f>
        <v/>
      </c>
      <c r="AY20">
        <f>IF($A20="","",ROUND((2*2*($K20+$I20)*4*$D20+$S20*$T20)/1000,1))</f>
        <v/>
      </c>
    </row>
    <row r="21" ht="40.15" customHeight="1">
      <c r="A21" s="99" t="n"/>
      <c r="B21" s="88" t="n"/>
      <c r="C21" s="89" t="n"/>
      <c r="D21" s="90" t="n"/>
      <c r="E21" s="91">
        <f>IF($A21="","",$B21)</f>
        <v/>
      </c>
      <c r="F21" s="89">
        <f>IF($A21="","",$L$54*$D21)</f>
        <v/>
      </c>
      <c r="G21" s="91">
        <f>IF($A21="","",$C21-$E$55-$F$55)</f>
        <v/>
      </c>
      <c r="H21" s="89">
        <f>IF($A21="","",$L$55*$D21)</f>
        <v/>
      </c>
      <c r="I21" s="91">
        <f>IF($A21="","",$B21-$E$56-$F$56-$G$56)</f>
        <v/>
      </c>
      <c r="J21" s="89">
        <f>IF($A21="","",$L$56*$D21)</f>
        <v/>
      </c>
      <c r="K21" s="91">
        <f>IF($A21="","",(($C21-$E$57-$F$57-$G$57-$H$57)/6)+(78*4)/6)</f>
        <v/>
      </c>
      <c r="L21" s="89">
        <f>IF($A21="","",$L$57*$D21)</f>
        <v/>
      </c>
      <c r="M21" s="91">
        <f>IF($A21="","",$I21-$E$58-$F$58)</f>
        <v/>
      </c>
      <c r="N21" s="89">
        <f>IF($A21="","",$L$58*$D21)</f>
        <v/>
      </c>
      <c r="O21" s="91">
        <f>IF($A21="","",$K21-$E$59-$F$59)</f>
        <v/>
      </c>
      <c r="P21" s="89">
        <f>IF($A21="","",$L$59*$D21)</f>
        <v/>
      </c>
      <c r="Q21" s="91">
        <f>IF($A21="","",$I21)</f>
        <v/>
      </c>
      <c r="R21" s="89">
        <f>IF($A21="","",$L$60*$D21)</f>
        <v/>
      </c>
      <c r="S21" s="91">
        <f>IF($A21="","",$I21)</f>
        <v/>
      </c>
      <c r="T21" s="89">
        <f>IF($A21="","",$L$61*$D21)</f>
        <v/>
      </c>
      <c r="U21" s="91">
        <f>IF($A21="","",$B21-$E$62-$F$62)</f>
        <v/>
      </c>
      <c r="V21" s="89">
        <f>IF($A21="","",$L$62*$D21)</f>
        <v/>
      </c>
      <c r="W21" s="91">
        <f>IF($A21="","",$G21)</f>
        <v/>
      </c>
      <c r="X21" s="89">
        <f>IF($A21="","",$L$63*$D21)</f>
        <v/>
      </c>
      <c r="Y21" s="91">
        <f>IF($A21="","",$S21)</f>
        <v/>
      </c>
      <c r="Z21" s="89">
        <f>IF($A21="","",$L$64*$D21)</f>
        <v/>
      </c>
      <c r="AA21" s="91">
        <f>IF($A21="","",$I21)</f>
        <v/>
      </c>
      <c r="AB21" s="89">
        <f>IF($A21="","",$L$65*$D21)</f>
        <v/>
      </c>
      <c r="AC21" s="91">
        <f>IF($A21="","",$C21)</f>
        <v/>
      </c>
      <c r="AD21" s="92">
        <f>IF($A21="","",$L$66*$D21)</f>
        <v/>
      </c>
      <c r="AE21" s="91">
        <f>IF($A21="","",$G21)</f>
        <v/>
      </c>
      <c r="AF21" s="89">
        <f>IF($A21="","",$L$67*$D21)</f>
        <v/>
      </c>
      <c r="AG21" s="91">
        <f>IF($A21="","",$C21)</f>
        <v/>
      </c>
      <c r="AH21" s="92">
        <f>IF($A21="","",$L$68*$D21)</f>
        <v/>
      </c>
      <c r="AI21" s="93">
        <f>IF($A21="","",$I21-68-68)</f>
        <v/>
      </c>
      <c r="AJ21" s="94">
        <f>IF($A21="","",$K21-68-68)</f>
        <v/>
      </c>
      <c r="AK21" s="95">
        <f>IF($A21="","",2*4*$D21)</f>
        <v/>
      </c>
      <c r="AL21">
        <f>IF($A21="","",$BC$7*$D21)</f>
        <v/>
      </c>
      <c r="AM21">
        <f>IF($A21="","",$BC$6*$D21)</f>
        <v/>
      </c>
      <c r="AN21">
        <f>IF($A21="","",$BC$9*$D21)</f>
        <v/>
      </c>
      <c r="AO21">
        <f>IF($A21="","",$BC$10*$D21)</f>
        <v/>
      </c>
      <c r="AP21">
        <f>IF($A21="","",2*$BC$6*$D21)</f>
        <v/>
      </c>
      <c r="AQ21">
        <f>IF($A21="","",IF($B21&gt;2800,2,IF($B21&gt;1400,1,0))*$BC$6*$D21)</f>
        <v/>
      </c>
      <c r="AR21">
        <f>IF($A21="","",2*$BC$6*$D21)</f>
        <v/>
      </c>
      <c r="AS21">
        <f>IF($A21="","",$BC$6*$D21)</f>
        <v/>
      </c>
      <c r="AT21">
        <f>IF($A21="","",2*$BC$6*$D21)</f>
        <v/>
      </c>
      <c r="AU21">
        <f>IF($A21="","",4*4*$D21)</f>
        <v/>
      </c>
      <c r="AV21">
        <f>IF($A21="","",16*4*$D21)</f>
        <v/>
      </c>
      <c r="AW21">
        <f>IF($A21="","",(2+MAX(0,ROUNDUP(($G21-1500)/500,0)))*$D21)</f>
        <v/>
      </c>
      <c r="AX21">
        <f>IF($A21="","",(2+MAX(0,ROUNDUP(($G21-1500)/500,0)))*$D21)</f>
        <v/>
      </c>
      <c r="AY21">
        <f>IF($A21="","",ROUND((2*2*($K21+$I21)*4*$D21+$S21*$T21)/1000,1))</f>
        <v/>
      </c>
    </row>
    <row r="22" ht="40.15" customHeight="1">
      <c r="A22" s="99" t="n"/>
      <c r="B22" s="88" t="n"/>
      <c r="C22" s="89" t="n"/>
      <c r="D22" s="90" t="n"/>
      <c r="E22" s="96">
        <f>IF($A22="","",$B22)</f>
        <v/>
      </c>
      <c r="F22" s="97">
        <f>IF($A22="","",$L$54*$D22)</f>
        <v/>
      </c>
      <c r="G22" s="96">
        <f>IF($A22="","",$C22-$E$55-$F$55)</f>
        <v/>
      </c>
      <c r="H22" s="97">
        <f>IF($A22="","",$L$55*$D22)</f>
        <v/>
      </c>
      <c r="I22" s="96">
        <f>IF($A22="","",$B22-$E$56-$F$56-$G$56)</f>
        <v/>
      </c>
      <c r="J22" s="97">
        <f>IF($A22="","",$L$56*$D22)</f>
        <v/>
      </c>
      <c r="K22" s="96">
        <f>IF($A22="","",(($C22-$E$57-$F$57-$G$57-$H$57)/6)+(78*4)/6)</f>
        <v/>
      </c>
      <c r="L22" s="97">
        <f>IF($A22="","",$L$57*$D22)</f>
        <v/>
      </c>
      <c r="M22" s="96">
        <f>IF($A22="","",$I22-$E$58-$F$58)</f>
        <v/>
      </c>
      <c r="N22" s="97">
        <f>IF($A22="","",$L$58*$D22)</f>
        <v/>
      </c>
      <c r="O22" s="96">
        <f>IF($A22="","",$K22-$E$59-$F$59)</f>
        <v/>
      </c>
      <c r="P22" s="97">
        <f>IF($A22="","",$L$59*$D22)</f>
        <v/>
      </c>
      <c r="Q22" s="96">
        <f>IF($A22="","",$I22)</f>
        <v/>
      </c>
      <c r="R22" s="97">
        <f>IF($A22="","",$L$60*$D22)</f>
        <v/>
      </c>
      <c r="S22" s="96">
        <f>IF($A22="","",$I22)</f>
        <v/>
      </c>
      <c r="T22" s="97">
        <f>IF($A22="","",$L$61*$D22)</f>
        <v/>
      </c>
      <c r="U22" s="96">
        <f>IF($A22="","",$B22-$E$62-$F$62)</f>
        <v/>
      </c>
      <c r="V22" s="97">
        <f>IF($A22="","",$L$62*$D22)</f>
        <v/>
      </c>
      <c r="W22" s="96">
        <f>IF($A22="","",$G22)</f>
        <v/>
      </c>
      <c r="X22" s="97">
        <f>IF($A22="","",$L$63*$D22)</f>
        <v/>
      </c>
      <c r="Y22" s="96">
        <f>IF($A22="","",$S22)</f>
        <v/>
      </c>
      <c r="Z22" s="97">
        <f>IF($A22="","",$L$64*$D22)</f>
        <v/>
      </c>
      <c r="AA22" s="96">
        <f>IF($A22="","",$I22)</f>
        <v/>
      </c>
      <c r="AB22" s="97">
        <f>IF($A22="","",$L$65*$D22)</f>
        <v/>
      </c>
      <c r="AC22" s="96">
        <f>IF($A22="","",$C22)</f>
        <v/>
      </c>
      <c r="AD22" s="98">
        <f>IF($A22="","",$L$66*$D22)</f>
        <v/>
      </c>
      <c r="AE22" s="96">
        <f>IF($A22="","",$G22)</f>
        <v/>
      </c>
      <c r="AF22" s="97">
        <f>IF($A22="","",$L$67*$D22)</f>
        <v/>
      </c>
      <c r="AG22" s="96">
        <f>IF($A22="","",$C22)</f>
        <v/>
      </c>
      <c r="AH22" s="98">
        <f>IF($A22="","",$L$68*$D22)</f>
        <v/>
      </c>
      <c r="AI22" s="93">
        <f>IF($A22="","",$I22-68-68)</f>
        <v/>
      </c>
      <c r="AJ22" s="94">
        <f>IF($A22="","",$K22-68-68)</f>
        <v/>
      </c>
      <c r="AK22" s="95">
        <f>IF($A22="","",2*4*$D22)</f>
        <v/>
      </c>
      <c r="AL22">
        <f>IF($A22="","",$BC$7*$D22)</f>
        <v/>
      </c>
      <c r="AM22">
        <f>IF($A22="","",$BC$6*$D22)</f>
        <v/>
      </c>
      <c r="AN22">
        <f>IF($A22="","",$BC$9*$D22)</f>
        <v/>
      </c>
      <c r="AO22">
        <f>IF($A22="","",$BC$10*$D22)</f>
        <v/>
      </c>
      <c r="AP22">
        <f>IF($A22="","",2*$BC$6*$D22)</f>
        <v/>
      </c>
      <c r="AQ22">
        <f>IF($A22="","",IF($B22&gt;2800,2,IF($B22&gt;1400,1,0))*$BC$6*$D22)</f>
        <v/>
      </c>
      <c r="AR22">
        <f>IF($A22="","",2*$BC$6*$D22)</f>
        <v/>
      </c>
      <c r="AS22">
        <f>IF($A22="","",$BC$6*$D22)</f>
        <v/>
      </c>
      <c r="AT22">
        <f>IF($A22="","",2*$BC$6*$D22)</f>
        <v/>
      </c>
      <c r="AU22">
        <f>IF($A22="","",4*4*$D22)</f>
        <v/>
      </c>
      <c r="AV22">
        <f>IF($A22="","",16*4*$D22)</f>
        <v/>
      </c>
      <c r="AW22">
        <f>IF($A22="","",(2+MAX(0,ROUNDUP(($G22-1500)/500,0)))*$D22)</f>
        <v/>
      </c>
      <c r="AX22">
        <f>IF($A22="","",(2+MAX(0,ROUNDUP(($G22-1500)/500,0)))*$D22)</f>
        <v/>
      </c>
      <c r="AY22">
        <f>IF($A22="","",ROUND((2*2*($K22+$I22)*4*$D22+$S22*$T22)/1000,1))</f>
        <v/>
      </c>
    </row>
    <row r="23" ht="40.15" customHeight="1">
      <c r="A23" s="99" t="n"/>
      <c r="B23" s="88" t="n"/>
      <c r="C23" s="89" t="n"/>
      <c r="D23" s="90" t="n"/>
      <c r="E23" s="91">
        <f>IF($A23="","",$B23)</f>
        <v/>
      </c>
      <c r="F23" s="89">
        <f>IF($A23="","",$L$54*$D23)</f>
        <v/>
      </c>
      <c r="G23" s="91">
        <f>IF($A23="","",$C23-$E$55-$F$55)</f>
        <v/>
      </c>
      <c r="H23" s="89">
        <f>IF($A23="","",$L$55*$D23)</f>
        <v/>
      </c>
      <c r="I23" s="91">
        <f>IF($A23="","",$B23-$E$56-$F$56-$G$56)</f>
        <v/>
      </c>
      <c r="J23" s="89">
        <f>IF($A23="","",$L$56*$D23)</f>
        <v/>
      </c>
      <c r="K23" s="91">
        <f>IF($A23="","",(($C23-$E$57-$F$57-$G$57-$H$57)/6)+(78*4)/6)</f>
        <v/>
      </c>
      <c r="L23" s="89">
        <f>IF($A23="","",$L$57*$D23)</f>
        <v/>
      </c>
      <c r="M23" s="91">
        <f>IF($A23="","",$I23-$E$58-$F$58)</f>
        <v/>
      </c>
      <c r="N23" s="89">
        <f>IF($A23="","",$L$58*$D23)</f>
        <v/>
      </c>
      <c r="O23" s="91">
        <f>IF($A23="","",$K23-$E$59-$F$59)</f>
        <v/>
      </c>
      <c r="P23" s="89">
        <f>IF($A23="","",$L$59*$D23)</f>
        <v/>
      </c>
      <c r="Q23" s="91">
        <f>IF($A23="","",$I23)</f>
        <v/>
      </c>
      <c r="R23" s="89">
        <f>IF($A23="","",$L$60*$D23)</f>
        <v/>
      </c>
      <c r="S23" s="91">
        <f>IF($A23="","",$I23)</f>
        <v/>
      </c>
      <c r="T23" s="89">
        <f>IF($A23="","",$L$61*$D23)</f>
        <v/>
      </c>
      <c r="U23" s="91">
        <f>IF($A23="","",$B23-$E$62-$F$62)</f>
        <v/>
      </c>
      <c r="V23" s="89">
        <f>IF($A23="","",$L$62*$D23)</f>
        <v/>
      </c>
      <c r="W23" s="91">
        <f>IF($A23="","",$G23)</f>
        <v/>
      </c>
      <c r="X23" s="89">
        <f>IF($A23="","",$L$63*$D23)</f>
        <v/>
      </c>
      <c r="Y23" s="91">
        <f>IF($A23="","",$S23)</f>
        <v/>
      </c>
      <c r="Z23" s="89">
        <f>IF($A23="","",$L$64*$D23)</f>
        <v/>
      </c>
      <c r="AA23" s="91">
        <f>IF($A23="","",$I23)</f>
        <v/>
      </c>
      <c r="AB23" s="89">
        <f>IF($A23="","",$L$65*$D23)</f>
        <v/>
      </c>
      <c r="AC23" s="91">
        <f>IF($A23="","",$C23)</f>
        <v/>
      </c>
      <c r="AD23" s="92">
        <f>IF($A23="","",$L$66*$D23)</f>
        <v/>
      </c>
      <c r="AE23" s="91">
        <f>IF($A23="","",$G23)</f>
        <v/>
      </c>
      <c r="AF23" s="89">
        <f>IF($A23="","",$L$67*$D23)</f>
        <v/>
      </c>
      <c r="AG23" s="91">
        <f>IF($A23="","",$C23)</f>
        <v/>
      </c>
      <c r="AH23" s="92">
        <f>IF($A23="","",$L$68*$D23)</f>
        <v/>
      </c>
      <c r="AI23" s="93">
        <f>IF($A23="","",$I23-68-68)</f>
        <v/>
      </c>
      <c r="AJ23" s="94">
        <f>IF($A23="","",$K23-68-68)</f>
        <v/>
      </c>
      <c r="AK23" s="95">
        <f>IF($A23="","",2*4*$D23)</f>
        <v/>
      </c>
      <c r="AL23">
        <f>IF($A23="","",$BC$7*$D23)</f>
        <v/>
      </c>
      <c r="AM23">
        <f>IF($A23="","",$BC$6*$D23)</f>
        <v/>
      </c>
      <c r="AN23">
        <f>IF($A23="","",$BC$9*$D23)</f>
        <v/>
      </c>
      <c r="AO23">
        <f>IF($A23="","",$BC$10*$D23)</f>
        <v/>
      </c>
      <c r="AP23">
        <f>IF($A23="","",2*$BC$6*$D23)</f>
        <v/>
      </c>
      <c r="AQ23">
        <f>IF($A23="","",IF($B23&gt;2800,2,IF($B23&gt;1400,1,0))*$BC$6*$D23)</f>
        <v/>
      </c>
      <c r="AR23">
        <f>IF($A23="","",2*$BC$6*$D23)</f>
        <v/>
      </c>
      <c r="AS23">
        <f>IF($A23="","",$BC$6*$D23)</f>
        <v/>
      </c>
      <c r="AT23">
        <f>IF($A23="","",2*$BC$6*$D23)</f>
        <v/>
      </c>
      <c r="AU23">
        <f>IF($A23="","",4*4*$D23)</f>
        <v/>
      </c>
      <c r="AV23">
        <f>IF($A23="","",16*4*$D23)</f>
        <v/>
      </c>
      <c r="AW23">
        <f>IF($A23="","",(2+MAX(0,ROUNDUP(($G23-1500)/500,0)))*$D23)</f>
        <v/>
      </c>
      <c r="AX23">
        <f>IF($A23="","",(2+MAX(0,ROUNDUP(($G23-1500)/500,0)))*$D23)</f>
        <v/>
      </c>
      <c r="AY23">
        <f>IF($A23="","",ROUND((2*2*($K23+$I23)*4*$D23+$S23*$T23)/1000,1))</f>
        <v/>
      </c>
    </row>
    <row r="24" ht="40.15" customHeight="1">
      <c r="A24" s="99" t="n"/>
      <c r="B24" s="88" t="n"/>
      <c r="C24" s="89" t="n"/>
      <c r="D24" s="90" t="n"/>
      <c r="E24" s="96">
        <f>IF($A24="","",$B24)</f>
        <v/>
      </c>
      <c r="F24" s="97">
        <f>IF($A24="","",$L$54*$D24)</f>
        <v/>
      </c>
      <c r="G24" s="96">
        <f>IF($A24="","",$C24-$E$55-$F$55)</f>
        <v/>
      </c>
      <c r="H24" s="97">
        <f>IF($A24="","",$L$55*$D24)</f>
        <v/>
      </c>
      <c r="I24" s="96">
        <f>IF($A24="","",$B24-$E$56-$F$56-$G$56)</f>
        <v/>
      </c>
      <c r="J24" s="97">
        <f>IF($A24="","",$L$56*$D24)</f>
        <v/>
      </c>
      <c r="K24" s="96">
        <f>IF($A24="","",(($C24-$E$57-$F$57-$G$57-$H$57)/6)+(78*4)/6)</f>
        <v/>
      </c>
      <c r="L24" s="97">
        <f>IF($A24="","",$L$57*$D24)</f>
        <v/>
      </c>
      <c r="M24" s="96">
        <f>IF($A24="","",$I24-$E$58-$F$58)</f>
        <v/>
      </c>
      <c r="N24" s="97">
        <f>IF($A24="","",$L$58*$D24)</f>
        <v/>
      </c>
      <c r="O24" s="96">
        <f>IF($A24="","",$K24-$E$59-$F$59)</f>
        <v/>
      </c>
      <c r="P24" s="97">
        <f>IF($A24="","",$L$59*$D24)</f>
        <v/>
      </c>
      <c r="Q24" s="96">
        <f>IF($A24="","",$I24)</f>
        <v/>
      </c>
      <c r="R24" s="97">
        <f>IF($A24="","",$L$60*$D24)</f>
        <v/>
      </c>
      <c r="S24" s="96">
        <f>IF($A24="","",$I24)</f>
        <v/>
      </c>
      <c r="T24" s="97">
        <f>IF($A24="","",$L$61*$D24)</f>
        <v/>
      </c>
      <c r="U24" s="96">
        <f>IF($A24="","",$B24-$E$62-$F$62)</f>
        <v/>
      </c>
      <c r="V24" s="97">
        <f>IF($A24="","",$L$62*$D24)</f>
        <v/>
      </c>
      <c r="W24" s="96">
        <f>IF($A24="","",$G24)</f>
        <v/>
      </c>
      <c r="X24" s="97">
        <f>IF($A24="","",$L$63*$D24)</f>
        <v/>
      </c>
      <c r="Y24" s="96">
        <f>IF($A24="","",$S24)</f>
        <v/>
      </c>
      <c r="Z24" s="97">
        <f>IF($A24="","",$L$64*$D24)</f>
        <v/>
      </c>
      <c r="AA24" s="96">
        <f>IF($A24="","",$I24)</f>
        <v/>
      </c>
      <c r="AB24" s="97">
        <f>IF($A24="","",$L$65*$D24)</f>
        <v/>
      </c>
      <c r="AC24" s="96">
        <f>IF($A24="","",$C24)</f>
        <v/>
      </c>
      <c r="AD24" s="98">
        <f>IF($A24="","",$L$66*$D24)</f>
        <v/>
      </c>
      <c r="AE24" s="96">
        <f>IF($A24="","",$G24)</f>
        <v/>
      </c>
      <c r="AF24" s="97">
        <f>IF($A24="","",$L$67*$D24)</f>
        <v/>
      </c>
      <c r="AG24" s="96">
        <f>IF($A24="","",$C24)</f>
        <v/>
      </c>
      <c r="AH24" s="98">
        <f>IF($A24="","",$L$68*$D24)</f>
        <v/>
      </c>
      <c r="AI24" s="93">
        <f>IF($A24="","",$I24-68-68)</f>
        <v/>
      </c>
      <c r="AJ24" s="94">
        <f>IF($A24="","",$K24-68-68)</f>
        <v/>
      </c>
      <c r="AK24" s="95">
        <f>IF($A24="","",2*4*$D24)</f>
        <v/>
      </c>
      <c r="AL24">
        <f>IF($A24="","",$BC$7*$D24)</f>
        <v/>
      </c>
      <c r="AM24">
        <f>IF($A24="","",$BC$6*$D24)</f>
        <v/>
      </c>
      <c r="AN24">
        <f>IF($A24="","",$BC$9*$D24)</f>
        <v/>
      </c>
      <c r="AO24">
        <f>IF($A24="","",$BC$10*$D24)</f>
        <v/>
      </c>
      <c r="AP24">
        <f>IF($A24="","",2*$BC$6*$D24)</f>
        <v/>
      </c>
      <c r="AQ24">
        <f>IF($A24="","",IF($B24&gt;2800,2,IF($B24&gt;1400,1,0))*$BC$6*$D24)</f>
        <v/>
      </c>
      <c r="AR24">
        <f>IF($A24="","",2*$BC$6*$D24)</f>
        <v/>
      </c>
      <c r="AS24">
        <f>IF($A24="","",$BC$6*$D24)</f>
        <v/>
      </c>
      <c r="AT24">
        <f>IF($A24="","",2*$BC$6*$D24)</f>
        <v/>
      </c>
      <c r="AU24">
        <f>IF($A24="","",4*4*$D24)</f>
        <v/>
      </c>
      <c r="AV24">
        <f>IF($A24="","",16*4*$D24)</f>
        <v/>
      </c>
      <c r="AW24">
        <f>IF($A24="","",(2+MAX(0,ROUNDUP(($G24-1500)/500,0)))*$D24)</f>
        <v/>
      </c>
      <c r="AX24">
        <f>IF($A24="","",(2+MAX(0,ROUNDUP(($G24-1500)/500,0)))*$D24)</f>
        <v/>
      </c>
      <c r="AY24">
        <f>IF($A24="","",ROUND((2*2*($K24+$I24)*4*$D24+$S24*$T24)/1000,1))</f>
        <v/>
      </c>
    </row>
    <row r="25" ht="40.15" customHeight="1">
      <c r="A25" s="99" t="n"/>
      <c r="B25" s="88" t="n"/>
      <c r="C25" s="89" t="n"/>
      <c r="D25" s="90" t="n"/>
      <c r="E25" s="91">
        <f>IF($A25="","",$B25)</f>
        <v/>
      </c>
      <c r="F25" s="89">
        <f>IF($A25="","",$L$54*$D25)</f>
        <v/>
      </c>
      <c r="G25" s="91">
        <f>IF($A25="","",$C25-$E$55-$F$55)</f>
        <v/>
      </c>
      <c r="H25" s="89">
        <f>IF($A25="","",$L$55*$D25)</f>
        <v/>
      </c>
      <c r="I25" s="91">
        <f>IF($A25="","",$B25-$E$56-$F$56-$G$56)</f>
        <v/>
      </c>
      <c r="J25" s="89">
        <f>IF($A25="","",$L$56*$D25)</f>
        <v/>
      </c>
      <c r="K25" s="91">
        <f>IF($A25="","",(($C25-$E$57-$F$57-$G$57-$H$57)/6)+(78*4)/6)</f>
        <v/>
      </c>
      <c r="L25" s="89">
        <f>IF($A25="","",$L$57*$D25)</f>
        <v/>
      </c>
      <c r="M25" s="91">
        <f>IF($A25="","",$I25-$E$58-$F$58)</f>
        <v/>
      </c>
      <c r="N25" s="89">
        <f>IF($A25="","",$L$58*$D25)</f>
        <v/>
      </c>
      <c r="O25" s="91">
        <f>IF($A25="","",$K25-$E$59-$F$59)</f>
        <v/>
      </c>
      <c r="P25" s="89">
        <f>IF($A25="","",$L$59*$D25)</f>
        <v/>
      </c>
      <c r="Q25" s="91">
        <f>IF($A25="","",$I25)</f>
        <v/>
      </c>
      <c r="R25" s="89">
        <f>IF($A25="","",$L$60*$D25)</f>
        <v/>
      </c>
      <c r="S25" s="91">
        <f>IF($A25="","",$I25)</f>
        <v/>
      </c>
      <c r="T25" s="89">
        <f>IF($A25="","",$L$61*$D25)</f>
        <v/>
      </c>
      <c r="U25" s="91">
        <f>IF($A25="","",$B25-$E$62-$F$62)</f>
        <v/>
      </c>
      <c r="V25" s="89">
        <f>IF($A25="","",$L$62*$D25)</f>
        <v/>
      </c>
      <c r="W25" s="91">
        <f>IF($A25="","",$G25)</f>
        <v/>
      </c>
      <c r="X25" s="89">
        <f>IF($A25="","",$L$63*$D25)</f>
        <v/>
      </c>
      <c r="Y25" s="91">
        <f>IF($A25="","",$S25)</f>
        <v/>
      </c>
      <c r="Z25" s="89">
        <f>IF($A25="","",$L$64*$D25)</f>
        <v/>
      </c>
      <c r="AA25" s="91">
        <f>IF($A25="","",$I25)</f>
        <v/>
      </c>
      <c r="AB25" s="89">
        <f>IF($A25="","",$L$65*$D25)</f>
        <v/>
      </c>
      <c r="AC25" s="91">
        <f>IF($A25="","",$C25)</f>
        <v/>
      </c>
      <c r="AD25" s="92">
        <f>IF($A25="","",$L$66*$D25)</f>
        <v/>
      </c>
      <c r="AE25" s="91">
        <f>IF($A25="","",$G25)</f>
        <v/>
      </c>
      <c r="AF25" s="89">
        <f>IF($A25="","",$L$67*$D25)</f>
        <v/>
      </c>
      <c r="AG25" s="91">
        <f>IF($A25="","",$C25)</f>
        <v/>
      </c>
      <c r="AH25" s="92">
        <f>IF($A25="","",$L$68*$D25)</f>
        <v/>
      </c>
      <c r="AI25" s="93">
        <f>IF($A25="","",$I25-68-68)</f>
        <v/>
      </c>
      <c r="AJ25" s="94">
        <f>IF($A25="","",$K25-68-68)</f>
        <v/>
      </c>
      <c r="AK25" s="95">
        <f>IF($A25="","",2*4*$D25)</f>
        <v/>
      </c>
      <c r="AL25">
        <f>IF($A25="","",$BC$7*$D25)</f>
        <v/>
      </c>
      <c r="AM25">
        <f>IF($A25="","",$BC$6*$D25)</f>
        <v/>
      </c>
      <c r="AN25">
        <f>IF($A25="","",$BC$9*$D25)</f>
        <v/>
      </c>
      <c r="AO25">
        <f>IF($A25="","",$BC$10*$D25)</f>
        <v/>
      </c>
      <c r="AP25">
        <f>IF($A25="","",2*$BC$6*$D25)</f>
        <v/>
      </c>
      <c r="AQ25">
        <f>IF($A25="","",IF($B25&gt;2800,2,IF($B25&gt;1400,1,0))*$BC$6*$D25)</f>
        <v/>
      </c>
      <c r="AR25">
        <f>IF($A25="","",2*$BC$6*$D25)</f>
        <v/>
      </c>
      <c r="AS25">
        <f>IF($A25="","",$BC$6*$D25)</f>
        <v/>
      </c>
      <c r="AT25">
        <f>IF($A25="","",2*$BC$6*$D25)</f>
        <v/>
      </c>
      <c r="AU25">
        <f>IF($A25="","",4*4*$D25)</f>
        <v/>
      </c>
      <c r="AV25">
        <f>IF($A25="","",16*4*$D25)</f>
        <v/>
      </c>
      <c r="AW25">
        <f>IF($A25="","",(2+MAX(0,ROUNDUP(($G25-1500)/500,0)))*$D25)</f>
        <v/>
      </c>
      <c r="AX25">
        <f>IF($A25="","",(2+MAX(0,ROUNDUP(($G25-1500)/500,0)))*$D25)</f>
        <v/>
      </c>
      <c r="AY25">
        <f>IF($A25="","",ROUND((2*2*($K25+$I25)*4*$D25+$S25*$T25)/1000,1))</f>
        <v/>
      </c>
    </row>
    <row r="26" ht="40.15" customHeight="1">
      <c r="A26" s="99" t="n"/>
      <c r="B26" s="88" t="n"/>
      <c r="C26" s="89" t="n"/>
      <c r="D26" s="90" t="n"/>
      <c r="E26" s="96">
        <f>IF($A26="","",$B26)</f>
        <v/>
      </c>
      <c r="F26" s="97">
        <f>IF($A26="","",$L$54*$D26)</f>
        <v/>
      </c>
      <c r="G26" s="96">
        <f>IF($A26="","",$C26-$E$55-$F$55)</f>
        <v/>
      </c>
      <c r="H26" s="97">
        <f>IF($A26="","",$L$55*$D26)</f>
        <v/>
      </c>
      <c r="I26" s="96">
        <f>IF($A26="","",$B26-$E$56-$F$56-$G$56)</f>
        <v/>
      </c>
      <c r="J26" s="97">
        <f>IF($A26="","",$L$56*$D26)</f>
        <v/>
      </c>
      <c r="K26" s="96">
        <f>IF($A26="","",(($C26-$E$57-$F$57-$G$57-$H$57)/6)+(78*4)/6)</f>
        <v/>
      </c>
      <c r="L26" s="97">
        <f>IF($A26="","",$L$57*$D26)</f>
        <v/>
      </c>
      <c r="M26" s="96">
        <f>IF($A26="","",$I26-$E$58-$F$58)</f>
        <v/>
      </c>
      <c r="N26" s="97">
        <f>IF($A26="","",$L$58*$D26)</f>
        <v/>
      </c>
      <c r="O26" s="96">
        <f>IF($A26="","",$K26-$E$59-$F$59)</f>
        <v/>
      </c>
      <c r="P26" s="97">
        <f>IF($A26="","",$L$59*$D26)</f>
        <v/>
      </c>
      <c r="Q26" s="96">
        <f>IF($A26="","",$I26)</f>
        <v/>
      </c>
      <c r="R26" s="97">
        <f>IF($A26="","",$L$60*$D26)</f>
        <v/>
      </c>
      <c r="S26" s="96">
        <f>IF($A26="","",$I26)</f>
        <v/>
      </c>
      <c r="T26" s="97">
        <f>IF($A26="","",$L$61*$D26)</f>
        <v/>
      </c>
      <c r="U26" s="96">
        <f>IF($A26="","",$B26-$E$62-$F$62)</f>
        <v/>
      </c>
      <c r="V26" s="97">
        <f>IF($A26="","",$L$62*$D26)</f>
        <v/>
      </c>
      <c r="W26" s="96">
        <f>IF($A26="","",$G26)</f>
        <v/>
      </c>
      <c r="X26" s="97">
        <f>IF($A26="","",$L$63*$D26)</f>
        <v/>
      </c>
      <c r="Y26" s="96">
        <f>IF($A26="","",$S26)</f>
        <v/>
      </c>
      <c r="Z26" s="97">
        <f>IF($A26="","",$L$64*$D26)</f>
        <v/>
      </c>
      <c r="AA26" s="96">
        <f>IF($A26="","",$I26)</f>
        <v/>
      </c>
      <c r="AB26" s="97">
        <f>IF($A26="","",$L$65*$D26)</f>
        <v/>
      </c>
      <c r="AC26" s="96">
        <f>IF($A26="","",$C26)</f>
        <v/>
      </c>
      <c r="AD26" s="98">
        <f>IF($A26="","",$L$66*$D26)</f>
        <v/>
      </c>
      <c r="AE26" s="96">
        <f>IF($A26="","",$G26)</f>
        <v/>
      </c>
      <c r="AF26" s="97">
        <f>IF($A26="","",$L$67*$D26)</f>
        <v/>
      </c>
      <c r="AG26" s="96">
        <f>IF($A26="","",$C26)</f>
        <v/>
      </c>
      <c r="AH26" s="98">
        <f>IF($A26="","",$L$68*$D26)</f>
        <v/>
      </c>
      <c r="AI26" s="93">
        <f>IF($A26="","",$I26-68-68)</f>
        <v/>
      </c>
      <c r="AJ26" s="94">
        <f>IF($A26="","",$K26-68-68)</f>
        <v/>
      </c>
      <c r="AK26" s="95">
        <f>IF($A26="","",2*4*$D26)</f>
        <v/>
      </c>
      <c r="AL26">
        <f>IF($A26="","",$BC$7*$D26)</f>
        <v/>
      </c>
      <c r="AM26">
        <f>IF($A26="","",$BC$6*$D26)</f>
        <v/>
      </c>
      <c r="AN26">
        <f>IF($A26="","",$BC$9*$D26)</f>
        <v/>
      </c>
      <c r="AO26">
        <f>IF($A26="","",$BC$10*$D26)</f>
        <v/>
      </c>
      <c r="AP26">
        <f>IF($A26="","",2*$BC$6*$D26)</f>
        <v/>
      </c>
      <c r="AQ26">
        <f>IF($A26="","",IF($B26&gt;2800,2,IF($B26&gt;1400,1,0))*$BC$6*$D26)</f>
        <v/>
      </c>
      <c r="AR26">
        <f>IF($A26="","",2*$BC$6*$D26)</f>
        <v/>
      </c>
      <c r="AS26">
        <f>IF($A26="","",$BC$6*$D26)</f>
        <v/>
      </c>
      <c r="AT26">
        <f>IF($A26="","",2*$BC$6*$D26)</f>
        <v/>
      </c>
      <c r="AU26">
        <f>IF($A26="","",4*4*$D26)</f>
        <v/>
      </c>
      <c r="AV26">
        <f>IF($A26="","",16*4*$D26)</f>
        <v/>
      </c>
      <c r="AW26">
        <f>IF($A26="","",(2+MAX(0,ROUNDUP(($G26-1500)/500,0)))*$D26)</f>
        <v/>
      </c>
      <c r="AX26">
        <f>IF($A26="","",(2+MAX(0,ROUNDUP(($G26-1500)/500,0)))*$D26)</f>
        <v/>
      </c>
      <c r="AY26">
        <f>IF($A26="","",ROUND((2*2*($K26+$I26)*4*$D26+$S26*$T26)/1000,1))</f>
        <v/>
      </c>
    </row>
    <row r="27" ht="40.15" customHeight="1">
      <c r="A27" s="99" t="n"/>
      <c r="B27" s="88" t="n"/>
      <c r="C27" s="89" t="n"/>
      <c r="D27" s="90" t="n"/>
      <c r="E27" s="91">
        <f>IF($A27="","",$B27)</f>
        <v/>
      </c>
      <c r="F27" s="89">
        <f>IF($A27="","",$L$54*$D27)</f>
        <v/>
      </c>
      <c r="G27" s="91">
        <f>IF($A27="","",$C27-$E$55-$F$55)</f>
        <v/>
      </c>
      <c r="H27" s="89">
        <f>IF($A27="","",$L$55*$D27)</f>
        <v/>
      </c>
      <c r="I27" s="91">
        <f>IF($A27="","",$B27-$E$56-$F$56-$G$56)</f>
        <v/>
      </c>
      <c r="J27" s="89">
        <f>IF($A27="","",$L$56*$D27)</f>
        <v/>
      </c>
      <c r="K27" s="91">
        <f>IF($A27="","",(($C27-$E$57-$F$57-$G$57-$H$57)/6)+(78*4)/6)</f>
        <v/>
      </c>
      <c r="L27" s="89">
        <f>IF($A27="","",$L$57*$D27)</f>
        <v/>
      </c>
      <c r="M27" s="91">
        <f>IF($A27="","",$I27-$E$58-$F$58)</f>
        <v/>
      </c>
      <c r="N27" s="89">
        <f>IF($A27="","",$L$58*$D27)</f>
        <v/>
      </c>
      <c r="O27" s="91">
        <f>IF($A27="","",$K27-$E$59-$F$59)</f>
        <v/>
      </c>
      <c r="P27" s="89">
        <f>IF($A27="","",$L$59*$D27)</f>
        <v/>
      </c>
      <c r="Q27" s="91">
        <f>IF($A27="","",$I27)</f>
        <v/>
      </c>
      <c r="R27" s="89">
        <f>IF($A27="","",$L$60*$D27)</f>
        <v/>
      </c>
      <c r="S27" s="91">
        <f>IF($A27="","",$I27)</f>
        <v/>
      </c>
      <c r="T27" s="89">
        <f>IF($A27="","",$L$61*$D27)</f>
        <v/>
      </c>
      <c r="U27" s="91">
        <f>IF($A27="","",$B27-$E$62-$F$62)</f>
        <v/>
      </c>
      <c r="V27" s="89">
        <f>IF($A27="","",$L$62*$D27)</f>
        <v/>
      </c>
      <c r="W27" s="91">
        <f>IF($A27="","",$G27)</f>
        <v/>
      </c>
      <c r="X27" s="89">
        <f>IF($A27="","",$L$63*$D27)</f>
        <v/>
      </c>
      <c r="Y27" s="91">
        <f>IF($A27="","",$S27)</f>
        <v/>
      </c>
      <c r="Z27" s="89">
        <f>IF($A27="","",$L$64*$D27)</f>
        <v/>
      </c>
      <c r="AA27" s="91">
        <f>IF($A27="","",$I27)</f>
        <v/>
      </c>
      <c r="AB27" s="89">
        <f>IF($A27="","",$L$65*$D27)</f>
        <v/>
      </c>
      <c r="AC27" s="91">
        <f>IF($A27="","",$C27)</f>
        <v/>
      </c>
      <c r="AD27" s="92">
        <f>IF($A27="","",$L$66*$D27)</f>
        <v/>
      </c>
      <c r="AE27" s="91">
        <f>IF($A27="","",$G27)</f>
        <v/>
      </c>
      <c r="AF27" s="89">
        <f>IF($A27="","",$L$67*$D27)</f>
        <v/>
      </c>
      <c r="AG27" s="91">
        <f>IF($A27="","",$C27)</f>
        <v/>
      </c>
      <c r="AH27" s="92">
        <f>IF($A27="","",$L$68*$D27)</f>
        <v/>
      </c>
      <c r="AI27" s="93">
        <f>IF($A27="","",$I27-68-68)</f>
        <v/>
      </c>
      <c r="AJ27" s="94">
        <f>IF($A27="","",$K27-68-68)</f>
        <v/>
      </c>
      <c r="AK27" s="95">
        <f>IF($A27="","",2*4*$D27)</f>
        <v/>
      </c>
      <c r="AL27">
        <f>IF($A27="","",$BC$7*$D27)</f>
        <v/>
      </c>
      <c r="AM27">
        <f>IF($A27="","",$BC$6*$D27)</f>
        <v/>
      </c>
      <c r="AN27">
        <f>IF($A27="","",$BC$9*$D27)</f>
        <v/>
      </c>
      <c r="AO27">
        <f>IF($A27="","",$BC$10*$D27)</f>
        <v/>
      </c>
      <c r="AP27">
        <f>IF($A27="","",2*$BC$6*$D27)</f>
        <v/>
      </c>
      <c r="AQ27">
        <f>IF($A27="","",IF($B27&gt;2800,2,IF($B27&gt;1400,1,0))*$BC$6*$D27)</f>
        <v/>
      </c>
      <c r="AR27">
        <f>IF($A27="","",2*$BC$6*$D27)</f>
        <v/>
      </c>
      <c r="AS27">
        <f>IF($A27="","",$BC$6*$D27)</f>
        <v/>
      </c>
      <c r="AT27">
        <f>IF($A27="","",2*$BC$6*$D27)</f>
        <v/>
      </c>
      <c r="AU27">
        <f>IF($A27="","",4*4*$D27)</f>
        <v/>
      </c>
      <c r="AV27">
        <f>IF($A27="","",16*4*$D27)</f>
        <v/>
      </c>
      <c r="AW27">
        <f>IF($A27="","",(2+MAX(0,ROUNDUP(($G27-1500)/500,0)))*$D27)</f>
        <v/>
      </c>
      <c r="AX27">
        <f>IF($A27="","",(2+MAX(0,ROUNDUP(($G27-1500)/500,0)))*$D27)</f>
        <v/>
      </c>
      <c r="AY27">
        <f>IF($A27="","",ROUND((2*2*($K27+$I27)*4*$D27+$S27*$T27)/1000,1))</f>
        <v/>
      </c>
    </row>
    <row r="28" ht="40.15" customHeight="1">
      <c r="A28" s="99" t="n"/>
      <c r="B28" s="88" t="n"/>
      <c r="C28" s="89" t="n"/>
      <c r="D28" s="90" t="n"/>
      <c r="E28" s="96">
        <f>IF($A28="","",$B28)</f>
        <v/>
      </c>
      <c r="F28" s="97">
        <f>IF($A28="","",$L$54*$D28)</f>
        <v/>
      </c>
      <c r="G28" s="96">
        <f>IF($A28="","",$C28-$E$55-$F$55)</f>
        <v/>
      </c>
      <c r="H28" s="97">
        <f>IF($A28="","",$L$55*$D28)</f>
        <v/>
      </c>
      <c r="I28" s="96">
        <f>IF($A28="","",$B28-$E$56-$F$56-$G$56)</f>
        <v/>
      </c>
      <c r="J28" s="97">
        <f>IF($A28="","",$L$56*$D28)</f>
        <v/>
      </c>
      <c r="K28" s="96">
        <f>IF($A28="","",(($C28-$E$57-$F$57-$G$57-$H$57)/6)+(78*4)/6)</f>
        <v/>
      </c>
      <c r="L28" s="97">
        <f>IF($A28="","",$L$57*$D28)</f>
        <v/>
      </c>
      <c r="M28" s="96">
        <f>IF($A28="","",$I28-$E$58-$F$58)</f>
        <v/>
      </c>
      <c r="N28" s="97">
        <f>IF($A28="","",$L$58*$D28)</f>
        <v/>
      </c>
      <c r="O28" s="96">
        <f>IF($A28="","",$K28-$E$59-$F$59)</f>
        <v/>
      </c>
      <c r="P28" s="97">
        <f>IF($A28="","",$L$59*$D28)</f>
        <v/>
      </c>
      <c r="Q28" s="96">
        <f>IF($A28="","",$I28)</f>
        <v/>
      </c>
      <c r="R28" s="97">
        <f>IF($A28="","",$L$60*$D28)</f>
        <v/>
      </c>
      <c r="S28" s="96">
        <f>IF($A28="","",$I28)</f>
        <v/>
      </c>
      <c r="T28" s="97">
        <f>IF($A28="","",$L$61*$D28)</f>
        <v/>
      </c>
      <c r="U28" s="96">
        <f>IF($A28="","",$B28-$E$62-$F$62)</f>
        <v/>
      </c>
      <c r="V28" s="97">
        <f>IF($A28="","",$L$62*$D28)</f>
        <v/>
      </c>
      <c r="W28" s="96">
        <f>IF($A28="","",$G28)</f>
        <v/>
      </c>
      <c r="X28" s="97">
        <f>IF($A28="","",$L$63*$D28)</f>
        <v/>
      </c>
      <c r="Y28" s="96">
        <f>IF($A28="","",$S28)</f>
        <v/>
      </c>
      <c r="Z28" s="97">
        <f>IF($A28="","",$L$64*$D28)</f>
        <v/>
      </c>
      <c r="AA28" s="96">
        <f>IF($A28="","",$I28)</f>
        <v/>
      </c>
      <c r="AB28" s="97">
        <f>IF($A28="","",$L$65*$D28)</f>
        <v/>
      </c>
      <c r="AC28" s="96">
        <f>IF($A28="","",$C28)</f>
        <v/>
      </c>
      <c r="AD28" s="98">
        <f>IF($A28="","",$L$66*$D28)</f>
        <v/>
      </c>
      <c r="AE28" s="96">
        <f>IF($A28="","",$G28)</f>
        <v/>
      </c>
      <c r="AF28" s="97">
        <f>IF($A28="","",$L$67*$D28)</f>
        <v/>
      </c>
      <c r="AG28" s="96">
        <f>IF($A28="","",$C28)</f>
        <v/>
      </c>
      <c r="AH28" s="98">
        <f>IF($A28="","",$L$68*$D28)</f>
        <v/>
      </c>
      <c r="AI28" s="93">
        <f>IF($A28="","",$I28-68-68)</f>
        <v/>
      </c>
      <c r="AJ28" s="94">
        <f>IF($A28="","",$K28-68-68)</f>
        <v/>
      </c>
      <c r="AK28" s="95">
        <f>IF($A28="","",2*4*$D28)</f>
        <v/>
      </c>
      <c r="AL28">
        <f>IF($A28="","",$BC$7*$D28)</f>
        <v/>
      </c>
      <c r="AM28">
        <f>IF($A28="","",$BC$6*$D28)</f>
        <v/>
      </c>
      <c r="AN28">
        <f>IF($A28="","",$BC$9*$D28)</f>
        <v/>
      </c>
      <c r="AO28">
        <f>IF($A28="","",$BC$10*$D28)</f>
        <v/>
      </c>
      <c r="AP28">
        <f>IF($A28="","",2*$BC$6*$D28)</f>
        <v/>
      </c>
      <c r="AQ28">
        <f>IF($A28="","",IF($B28&gt;2800,2,IF($B28&gt;1400,1,0))*$BC$6*$D28)</f>
        <v/>
      </c>
      <c r="AR28">
        <f>IF($A28="","",2*$BC$6*$D28)</f>
        <v/>
      </c>
      <c r="AS28">
        <f>IF($A28="","",$BC$6*$D28)</f>
        <v/>
      </c>
      <c r="AT28">
        <f>IF($A28="","",2*$BC$6*$D28)</f>
        <v/>
      </c>
      <c r="AU28">
        <f>IF($A28="","",4*4*$D28)</f>
        <v/>
      </c>
      <c r="AV28">
        <f>IF($A28="","",16*4*$D28)</f>
        <v/>
      </c>
      <c r="AW28">
        <f>IF($A28="","",(2+MAX(0,ROUNDUP(($G28-1500)/500,0)))*$D28)</f>
        <v/>
      </c>
      <c r="AX28">
        <f>IF($A28="","",(2+MAX(0,ROUNDUP(($G28-1500)/500,0)))*$D28)</f>
        <v/>
      </c>
      <c r="AY28">
        <f>IF($A28="","",ROUND((2*2*($K28+$I28)*4*$D28+$S28*$T28)/1000,1))</f>
        <v/>
      </c>
    </row>
    <row r="29" ht="40.15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9" t="n"/>
    </row>
    <row r="30" ht="40.15" customHeight="1">
      <c r="A30" s="70" t="inlineStr">
        <is>
          <t>จำนวนเส้น 6.4 ม. ที่ต้องสั่ง →</t>
        </is>
      </c>
      <c r="B30" s="20" t="n"/>
      <c r="C30" s="20" t="n"/>
      <c r="D30" s="21" t="n"/>
      <c r="E30" s="72">
        <f>E$7</f>
        <v/>
      </c>
      <c r="F30" s="72">
        <f>(ROUNDUP(F49/6400,0))</f>
        <v/>
      </c>
      <c r="G30" s="72">
        <f>G$7</f>
        <v/>
      </c>
      <c r="H30" s="72">
        <f>(ROUNDUP(H49/6400,0))</f>
        <v/>
      </c>
      <c r="I30" s="72">
        <f>I$7</f>
        <v/>
      </c>
      <c r="J30" s="20" t="n"/>
      <c r="K30" s="21" t="n"/>
      <c r="L30" s="72">
        <f>(ROUNDUP(SUM(J49:L49)/6400,0))</f>
        <v/>
      </c>
      <c r="M30" s="72">
        <f>M$7</f>
        <v/>
      </c>
      <c r="N30" s="20" t="n"/>
      <c r="O30" s="21" t="n"/>
      <c r="P30" s="72">
        <f>(ROUNDUP(SUM(N49:P49)/6400,0))</f>
        <v/>
      </c>
      <c r="Q30" s="72">
        <f>Q$7</f>
        <v/>
      </c>
      <c r="R30" s="72">
        <f>(ROUNDUP(R49/6400,0))</f>
        <v/>
      </c>
      <c r="S30" s="72">
        <f>S$7</f>
        <v/>
      </c>
      <c r="T30" s="72">
        <f>(ROUNDUP(T49/6400,0))</f>
        <v/>
      </c>
      <c r="U30" s="72">
        <f>U$7</f>
        <v/>
      </c>
      <c r="V30" s="72">
        <f>(ROUNDUP(V49/6400,0))</f>
        <v/>
      </c>
      <c r="W30" s="72">
        <f>W$7</f>
        <v/>
      </c>
      <c r="X30" s="72">
        <f>(ROUNDUP(X49/6400,0))</f>
        <v/>
      </c>
      <c r="Y30" s="72">
        <f>Y$7</f>
        <v/>
      </c>
      <c r="Z30" s="20" t="n"/>
      <c r="AA30" s="20" t="n"/>
      <c r="AB30" s="20" t="n"/>
      <c r="AC30" s="21" t="n"/>
      <c r="AD30" s="72">
        <f>(ROUNDUP(SUM(Z49:AD49)/6400,0))</f>
        <v/>
      </c>
      <c r="AE30" s="72">
        <f>AE$7</f>
        <v/>
      </c>
      <c r="AF30" s="72">
        <f>(ROUNDUP(AF49/6400,0))</f>
        <v/>
      </c>
      <c r="AG30" s="72">
        <f>AG$7</f>
        <v/>
      </c>
      <c r="AH30" s="72">
        <f>(ROUNDUP(AH49/6400,0))</f>
        <v/>
      </c>
      <c r="AJ30" t="inlineStr">
        <is>
          <t>รวม</t>
        </is>
      </c>
      <c r="AK30">
        <f>SUM(AK11:AK28)</f>
        <v/>
      </c>
      <c r="AL30">
        <f>SUM(AL11:AL28)</f>
        <v/>
      </c>
      <c r="AM30">
        <f>SUM(AM11:AM28)</f>
        <v/>
      </c>
      <c r="AN30">
        <f>SUM(AN11:AN28)</f>
        <v/>
      </c>
      <c r="AO30">
        <f>SUM(AO11:AO28)</f>
        <v/>
      </c>
      <c r="AP30">
        <f>SUM(AP11:AP28)</f>
        <v/>
      </c>
      <c r="AQ30">
        <f>SUM(AQ11:AQ28)</f>
        <v/>
      </c>
      <c r="AR30">
        <f>SUM(AR11:AR28)</f>
        <v/>
      </c>
      <c r="AS30">
        <f>SUM(AS11:AS28)</f>
        <v/>
      </c>
      <c r="AT30">
        <f>SUM(AT11:AT28)</f>
        <v/>
      </c>
      <c r="AU30">
        <f>SUM(AU11:AU28)</f>
        <v/>
      </c>
      <c r="AV30">
        <f>SUM(AV11:AV28)</f>
        <v/>
      </c>
      <c r="AW30">
        <f>SUM(AW11:AW28)</f>
        <v/>
      </c>
      <c r="AX30">
        <f>SUM(AX11:AX28)</f>
        <v/>
      </c>
      <c r="AY30">
        <f>SUM(AY11:AY28)</f>
        <v/>
      </c>
    </row>
    <row r="31" hidden="1" ht="40.15" customHeight="1">
      <c r="F31" s="73">
        <f>IF($A11="","",F11*E11)</f>
        <v/>
      </c>
      <c r="H31" s="73">
        <f>IF($A11="","",H11*G11)</f>
        <v/>
      </c>
      <c r="I31" s="73" t="n"/>
      <c r="J31" s="73">
        <f>IF($A11="","",J11*I11)</f>
        <v/>
      </c>
      <c r="K31" s="73" t="n"/>
      <c r="L31" s="73">
        <f>IF($A11="","",L11*K11)</f>
        <v/>
      </c>
      <c r="M31" s="73" t="n"/>
      <c r="N31" s="73">
        <f>IF($A11="","",N11*M11)</f>
        <v/>
      </c>
      <c r="O31" s="73" t="n"/>
      <c r="P31" s="73">
        <f>IF($A11="","",P11*O11)</f>
        <v/>
      </c>
      <c r="Q31" s="73" t="n"/>
      <c r="R31" s="73">
        <f>IF($A11="","",R11*Q11)</f>
        <v/>
      </c>
      <c r="S31" s="73" t="n"/>
      <c r="T31" s="73">
        <f>IF($A11="","",T11*S11)</f>
        <v/>
      </c>
      <c r="U31" s="73" t="n"/>
      <c r="V31" s="73">
        <f>IF($A11="","",V11*U11)</f>
        <v/>
      </c>
      <c r="W31" s="73" t="n"/>
      <c r="X31" s="73">
        <f>IF($A11="","",X11*W11)</f>
        <v/>
      </c>
      <c r="Y31" s="73" t="n"/>
      <c r="Z31" s="73">
        <f>IF($A11="","",Z11*Y11)</f>
        <v/>
      </c>
      <c r="AA31" s="73" t="n"/>
      <c r="AB31" s="73">
        <f>IF($A11="","",AB11*AA11)</f>
        <v/>
      </c>
      <c r="AC31" s="73" t="n"/>
      <c r="AD31" s="73">
        <f>IF($A11="","",AD11*AC11)</f>
        <v/>
      </c>
      <c r="AE31" s="73" t="n"/>
      <c r="AF31" s="73">
        <f>IF($A11="","",AF11*AE11)</f>
        <v/>
      </c>
      <c r="AG31" s="73" t="n"/>
      <c r="AH31" s="73">
        <f>IF($A11="","",AH11*AG11)</f>
        <v/>
      </c>
    </row>
    <row r="32" hidden="1" ht="40.15" customHeight="1">
      <c r="F32" s="73">
        <f>IF($A12="","",F12*E12)</f>
        <v/>
      </c>
      <c r="H32" s="73">
        <f>IF($A12="","",H12*G12)</f>
        <v/>
      </c>
      <c r="I32" s="73" t="n"/>
      <c r="J32" s="73">
        <f>IF($A12="","",J12*I12)</f>
        <v/>
      </c>
      <c r="K32" s="73" t="n"/>
      <c r="L32" s="73">
        <f>IF($A12="","",L12*K12)</f>
        <v/>
      </c>
      <c r="M32" s="73" t="n"/>
      <c r="N32" s="73">
        <f>IF($A12="","",N12*M12)</f>
        <v/>
      </c>
      <c r="O32" s="73" t="n"/>
      <c r="P32" s="73">
        <f>IF($A12="","",P12*O12)</f>
        <v/>
      </c>
      <c r="Q32" s="73" t="n"/>
      <c r="R32" s="73">
        <f>IF($A12="","",R12*Q12)</f>
        <v/>
      </c>
      <c r="S32" s="73" t="n"/>
      <c r="T32" s="73">
        <f>IF($A12="","",T12*S12)</f>
        <v/>
      </c>
      <c r="U32" s="73" t="n"/>
      <c r="V32" s="73">
        <f>IF($A12="","",V12*U12)</f>
        <v/>
      </c>
      <c r="W32" s="73" t="n"/>
      <c r="X32" s="73">
        <f>IF($A12="","",X12*W12)</f>
        <v/>
      </c>
      <c r="Y32" s="73" t="n"/>
      <c r="Z32" s="73">
        <f>IF($A12="","",Z12*Y12)</f>
        <v/>
      </c>
      <c r="AA32" s="73" t="n"/>
      <c r="AB32" s="73">
        <f>IF($A12="","",AB12*AA12)</f>
        <v/>
      </c>
      <c r="AC32" s="73" t="n"/>
      <c r="AD32" s="73">
        <f>IF($A12="","",AD12*AC12)</f>
        <v/>
      </c>
      <c r="AE32" s="73" t="n"/>
      <c r="AF32" s="73">
        <f>IF($A12="","",AF12*AE12)</f>
        <v/>
      </c>
      <c r="AG32" s="73" t="n"/>
      <c r="AH32" s="73">
        <f>IF($A12="","",AH12*AG12)</f>
        <v/>
      </c>
    </row>
    <row r="33" hidden="1" ht="40.15" customHeight="1">
      <c r="F33" s="73">
        <f>IF($A13="","",F13*E13)</f>
        <v/>
      </c>
      <c r="H33" s="73">
        <f>IF($A13="","",H13*G13)</f>
        <v/>
      </c>
      <c r="I33" s="73" t="n"/>
      <c r="J33" s="73">
        <f>IF($A13="","",J13*I13)</f>
        <v/>
      </c>
      <c r="K33" s="73" t="n"/>
      <c r="L33" s="73">
        <f>IF($A13="","",L13*K13)</f>
        <v/>
      </c>
      <c r="M33" s="73" t="n"/>
      <c r="N33" s="73">
        <f>IF($A13="","",N13*M13)</f>
        <v/>
      </c>
      <c r="O33" s="73" t="n"/>
      <c r="P33" s="73">
        <f>IF($A13="","",P13*O13)</f>
        <v/>
      </c>
      <c r="Q33" s="73" t="n"/>
      <c r="R33" s="73">
        <f>IF($A13="","",R13*Q13)</f>
        <v/>
      </c>
      <c r="S33" s="73" t="n"/>
      <c r="T33" s="73">
        <f>IF($A13="","",T13*S13)</f>
        <v/>
      </c>
      <c r="U33" s="73" t="n"/>
      <c r="V33" s="73">
        <f>IF($A13="","",V13*U13)</f>
        <v/>
      </c>
      <c r="W33" s="73" t="n"/>
      <c r="X33" s="73">
        <f>IF($A13="","",X13*W13)</f>
        <v/>
      </c>
      <c r="Y33" s="73" t="n"/>
      <c r="Z33" s="73">
        <f>IF($A13="","",Z13*Y13)</f>
        <v/>
      </c>
      <c r="AA33" s="73" t="n"/>
      <c r="AB33" s="73">
        <f>IF($A13="","",AB13*AA13)</f>
        <v/>
      </c>
      <c r="AC33" s="73" t="n"/>
      <c r="AD33" s="73">
        <f>IF($A13="","",AD13*AC13)</f>
        <v/>
      </c>
      <c r="AE33" s="73" t="n"/>
      <c r="AF33" s="73">
        <f>IF($A13="","",AF13*AE13)</f>
        <v/>
      </c>
      <c r="AG33" s="73" t="n"/>
      <c r="AH33" s="73">
        <f>IF($A13="","",AH13*AG13)</f>
        <v/>
      </c>
    </row>
    <row r="34" hidden="1" ht="40.15" customHeight="1">
      <c r="F34" s="73">
        <f>IF($A14="","",F14*E14)</f>
        <v/>
      </c>
      <c r="H34" s="73">
        <f>IF($A14="","",H14*G14)</f>
        <v/>
      </c>
      <c r="I34" s="73" t="n"/>
      <c r="J34" s="73">
        <f>IF($A14="","",J14*I14)</f>
        <v/>
      </c>
      <c r="K34" s="73" t="n"/>
      <c r="L34" s="73">
        <f>IF($A14="","",L14*K14)</f>
        <v/>
      </c>
      <c r="M34" s="73" t="n"/>
      <c r="N34" s="73">
        <f>IF($A14="","",N14*M14)</f>
        <v/>
      </c>
      <c r="O34" s="73" t="n"/>
      <c r="P34" s="73">
        <f>IF($A14="","",P14*O14)</f>
        <v/>
      </c>
      <c r="Q34" s="73" t="n"/>
      <c r="R34" s="73">
        <f>IF($A14="","",R14*Q14)</f>
        <v/>
      </c>
      <c r="S34" s="73" t="n"/>
      <c r="T34" s="73">
        <f>IF($A14="","",T14*S14)</f>
        <v/>
      </c>
      <c r="U34" s="73" t="n"/>
      <c r="V34" s="73">
        <f>IF($A14="","",V14*U14)</f>
        <v/>
      </c>
      <c r="W34" s="73" t="n"/>
      <c r="X34" s="73">
        <f>IF($A14="","",X14*W14)</f>
        <v/>
      </c>
      <c r="Y34" s="73" t="n"/>
      <c r="Z34" s="73">
        <f>IF($A14="","",Z14*Y14)</f>
        <v/>
      </c>
      <c r="AA34" s="73" t="n"/>
      <c r="AB34" s="73">
        <f>IF($A14="","",AB14*AA14)</f>
        <v/>
      </c>
      <c r="AC34" s="73" t="n"/>
      <c r="AD34" s="73">
        <f>IF($A14="","",AD14*AC14)</f>
        <v/>
      </c>
      <c r="AE34" s="73" t="n"/>
      <c r="AF34" s="73">
        <f>IF($A14="","",AF14*AE14)</f>
        <v/>
      </c>
      <c r="AG34" s="73" t="n"/>
      <c r="AH34" s="73">
        <f>IF($A14="","",AH14*AG14)</f>
        <v/>
      </c>
    </row>
    <row r="35" hidden="1" ht="40.15" customHeight="1">
      <c r="F35" s="73">
        <f>IF($A15="","",F15*E15)</f>
        <v/>
      </c>
      <c r="H35" s="73">
        <f>IF($A15="","",H15*G15)</f>
        <v/>
      </c>
      <c r="I35" s="73" t="n"/>
      <c r="J35" s="73">
        <f>IF($A15="","",J15*I15)</f>
        <v/>
      </c>
      <c r="K35" s="73" t="n"/>
      <c r="L35" s="73">
        <f>IF($A15="","",L15*K15)</f>
        <v/>
      </c>
      <c r="M35" s="73" t="n"/>
      <c r="N35" s="73">
        <f>IF($A15="","",N15*M15)</f>
        <v/>
      </c>
      <c r="O35" s="73" t="n"/>
      <c r="P35" s="73">
        <f>IF($A15="","",P15*O15)</f>
        <v/>
      </c>
      <c r="Q35" s="73" t="n"/>
      <c r="R35" s="73">
        <f>IF($A15="","",R15*Q15)</f>
        <v/>
      </c>
      <c r="S35" s="73" t="n"/>
      <c r="T35" s="73">
        <f>IF($A15="","",T15*S15)</f>
        <v/>
      </c>
      <c r="U35" s="73" t="n"/>
      <c r="V35" s="73">
        <f>IF($A15="","",V15*U15)</f>
        <v/>
      </c>
      <c r="W35" s="73" t="n"/>
      <c r="X35" s="73">
        <f>IF($A15="","",X15*W15)</f>
        <v/>
      </c>
      <c r="Y35" s="73" t="n"/>
      <c r="Z35" s="73">
        <f>IF($A15="","",Z15*Y15)</f>
        <v/>
      </c>
      <c r="AA35" s="73" t="n"/>
      <c r="AB35" s="73">
        <f>IF($A15="","",AB15*AA15)</f>
        <v/>
      </c>
      <c r="AC35" s="73" t="n"/>
      <c r="AD35" s="73">
        <f>IF($A15="","",AD15*AC15)</f>
        <v/>
      </c>
      <c r="AE35" s="73" t="n"/>
      <c r="AF35" s="73">
        <f>IF($A15="","",AF15*AE15)</f>
        <v/>
      </c>
      <c r="AG35" s="73" t="n"/>
      <c r="AH35" s="73">
        <f>IF($A15="","",AH15*AG15)</f>
        <v/>
      </c>
    </row>
    <row r="36" hidden="1">
      <c r="F36" s="73">
        <f>IF($A16="","",F16*E16)</f>
        <v/>
      </c>
      <c r="H36" s="73">
        <f>IF($A16="","",H16*G16)</f>
        <v/>
      </c>
      <c r="I36" s="73" t="n"/>
      <c r="J36" s="73">
        <f>IF($A16="","",J16*I16)</f>
        <v/>
      </c>
      <c r="K36" s="73" t="n"/>
      <c r="L36" s="73">
        <f>IF($A16="","",L16*K16)</f>
        <v/>
      </c>
      <c r="M36" s="73" t="n"/>
      <c r="N36" s="73">
        <f>IF($A16="","",N16*M16)</f>
        <v/>
      </c>
      <c r="O36" s="73" t="n"/>
      <c r="P36" s="73">
        <f>IF($A16="","",P16*O16)</f>
        <v/>
      </c>
      <c r="Q36" s="73" t="n"/>
      <c r="R36" s="73">
        <f>IF($A16="","",R16*Q16)</f>
        <v/>
      </c>
      <c r="S36" s="73" t="n"/>
      <c r="T36" s="73">
        <f>IF($A16="","",T16*S16)</f>
        <v/>
      </c>
      <c r="U36" s="73" t="n"/>
      <c r="V36" s="73">
        <f>IF($A16="","",V16*U16)</f>
        <v/>
      </c>
      <c r="W36" s="73" t="n"/>
      <c r="X36" s="73">
        <f>IF($A16="","",X16*W16)</f>
        <v/>
      </c>
      <c r="Y36" s="73" t="n"/>
      <c r="Z36" s="73">
        <f>IF($A16="","",Z16*Y16)</f>
        <v/>
      </c>
      <c r="AA36" s="73" t="n"/>
      <c r="AB36" s="73">
        <f>IF($A16="","",AB16*AA16)</f>
        <v/>
      </c>
      <c r="AC36" s="73" t="n"/>
      <c r="AD36" s="73">
        <f>IF($A16="","",AD16*AC16)</f>
        <v/>
      </c>
      <c r="AE36" s="73" t="n"/>
      <c r="AF36" s="73">
        <f>IF($A16="","",AF16*AE16)</f>
        <v/>
      </c>
      <c r="AG36" s="73" t="n"/>
      <c r="AH36" s="73">
        <f>IF($A16="","",AH16*AG16)</f>
        <v/>
      </c>
    </row>
    <row r="37" hidden="1">
      <c r="F37" s="73">
        <f>IF($A17="","",F17*E17)</f>
        <v/>
      </c>
      <c r="H37" s="73">
        <f>IF($A17="","",H17*G17)</f>
        <v/>
      </c>
      <c r="I37" s="73" t="n"/>
      <c r="J37" s="73">
        <f>IF($A17="","",J17*I17)</f>
        <v/>
      </c>
      <c r="K37" s="73" t="n"/>
      <c r="L37" s="73">
        <f>IF($A17="","",L17*K17)</f>
        <v/>
      </c>
      <c r="M37" s="73" t="n"/>
      <c r="N37" s="73">
        <f>IF($A17="","",N17*M17)</f>
        <v/>
      </c>
      <c r="O37" s="73" t="n"/>
      <c r="P37" s="73">
        <f>IF($A17="","",P17*O17)</f>
        <v/>
      </c>
      <c r="Q37" s="73" t="n"/>
      <c r="R37" s="73">
        <f>IF($A17="","",R17*Q17)</f>
        <v/>
      </c>
      <c r="S37" s="73" t="n"/>
      <c r="T37" s="73">
        <f>IF($A17="","",T17*S17)</f>
        <v/>
      </c>
      <c r="U37" s="73" t="n"/>
      <c r="V37" s="73">
        <f>IF($A17="","",V17*U17)</f>
        <v/>
      </c>
      <c r="W37" s="73" t="n"/>
      <c r="X37" s="73">
        <f>IF($A17="","",X17*W17)</f>
        <v/>
      </c>
      <c r="Y37" s="73" t="n"/>
      <c r="Z37" s="73">
        <f>IF($A17="","",Z17*Y17)</f>
        <v/>
      </c>
      <c r="AA37" s="73" t="n"/>
      <c r="AB37" s="73">
        <f>IF($A17="","",AB17*AA17)</f>
        <v/>
      </c>
      <c r="AC37" s="73" t="n"/>
      <c r="AD37" s="73">
        <f>IF($A17="","",AD17*AC17)</f>
        <v/>
      </c>
      <c r="AE37" s="73" t="n"/>
      <c r="AF37" s="73">
        <f>IF($A17="","",AF17*AE17)</f>
        <v/>
      </c>
      <c r="AG37" s="73" t="n"/>
      <c r="AH37" s="73">
        <f>IF($A17="","",AH17*AG17)</f>
        <v/>
      </c>
    </row>
    <row r="38" hidden="1">
      <c r="F38" s="73">
        <f>IF($A18="","",F18*E18)</f>
        <v/>
      </c>
      <c r="H38" s="73">
        <f>IF($A18="","",H18*G18)</f>
        <v/>
      </c>
      <c r="I38" s="73" t="n"/>
      <c r="J38" s="73">
        <f>IF($A18="","",J18*I18)</f>
        <v/>
      </c>
      <c r="K38" s="73" t="n"/>
      <c r="L38" s="73">
        <f>IF($A18="","",L18*K18)</f>
        <v/>
      </c>
      <c r="M38" s="73" t="n"/>
      <c r="N38" s="73">
        <f>IF($A18="","",N18*M18)</f>
        <v/>
      </c>
      <c r="O38" s="73" t="n"/>
      <c r="P38" s="73">
        <f>IF($A18="","",P18*O18)</f>
        <v/>
      </c>
      <c r="Q38" s="73" t="n"/>
      <c r="R38" s="73">
        <f>IF($A18="","",R18*Q18)</f>
        <v/>
      </c>
      <c r="S38" s="73" t="n"/>
      <c r="T38" s="73">
        <f>IF($A18="","",T18*S18)</f>
        <v/>
      </c>
      <c r="U38" s="73" t="n"/>
      <c r="V38" s="73">
        <f>IF($A18="","",V18*U18)</f>
        <v/>
      </c>
      <c r="W38" s="73" t="n"/>
      <c r="X38" s="73">
        <f>IF($A18="","",X18*W18)</f>
        <v/>
      </c>
      <c r="Y38" s="73" t="n"/>
      <c r="Z38" s="73">
        <f>IF($A18="","",Z18*Y18)</f>
        <v/>
      </c>
      <c r="AA38" s="73" t="n"/>
      <c r="AB38" s="73">
        <f>IF($A18="","",AB18*AA18)</f>
        <v/>
      </c>
      <c r="AC38" s="73" t="n"/>
      <c r="AD38" s="73">
        <f>IF($A18="","",AD18*AC18)</f>
        <v/>
      </c>
      <c r="AE38" s="73" t="n"/>
      <c r="AF38" s="73">
        <f>IF($A18="","",AF18*AE18)</f>
        <v/>
      </c>
      <c r="AG38" s="73" t="n"/>
      <c r="AH38" s="73">
        <f>IF($A18="","",AH18*AG18)</f>
        <v/>
      </c>
    </row>
    <row r="39" hidden="1">
      <c r="F39" s="73">
        <f>IF($A19="","",F19*E19)</f>
        <v/>
      </c>
      <c r="H39" s="73">
        <f>IF($A19="","",H19*G19)</f>
        <v/>
      </c>
      <c r="I39" s="73" t="n"/>
      <c r="J39" s="73">
        <f>IF($A19="","",J19*I19)</f>
        <v/>
      </c>
      <c r="K39" s="73" t="n"/>
      <c r="L39" s="73">
        <f>IF($A19="","",L19*K19)</f>
        <v/>
      </c>
      <c r="M39" s="73" t="n"/>
      <c r="N39" s="73">
        <f>IF($A19="","",N19*M19)</f>
        <v/>
      </c>
      <c r="O39" s="73" t="n"/>
      <c r="P39" s="73">
        <f>IF($A19="","",P19*O19)</f>
        <v/>
      </c>
      <c r="Q39" s="73" t="n"/>
      <c r="R39" s="73">
        <f>IF($A19="","",R19*Q19)</f>
        <v/>
      </c>
      <c r="S39" s="73" t="n"/>
      <c r="T39" s="73">
        <f>IF($A19="","",T19*S19)</f>
        <v/>
      </c>
      <c r="U39" s="73" t="n"/>
      <c r="V39" s="73">
        <f>IF($A19="","",V19*U19)</f>
        <v/>
      </c>
      <c r="W39" s="73" t="n"/>
      <c r="X39" s="73">
        <f>IF($A19="","",X19*W19)</f>
        <v/>
      </c>
      <c r="Y39" s="73" t="n"/>
      <c r="Z39" s="73">
        <f>IF($A19="","",Z19*Y19)</f>
        <v/>
      </c>
      <c r="AA39" s="73" t="n"/>
      <c r="AB39" s="73">
        <f>IF($A19="","",AB19*AA19)</f>
        <v/>
      </c>
      <c r="AC39" s="73" t="n"/>
      <c r="AD39" s="73">
        <f>IF($A19="","",AD19*AC19)</f>
        <v/>
      </c>
      <c r="AE39" s="73" t="n"/>
      <c r="AF39" s="73">
        <f>IF($A19="","",AF19*AE19)</f>
        <v/>
      </c>
      <c r="AG39" s="73" t="n"/>
      <c r="AH39" s="73">
        <f>IF($A19="","",AH19*AG19)</f>
        <v/>
      </c>
    </row>
    <row r="40" hidden="1">
      <c r="F40" s="73">
        <f>IF($A20="","",F20*E20)</f>
        <v/>
      </c>
      <c r="H40" s="73">
        <f>IF($A20="","",H20*G20)</f>
        <v/>
      </c>
      <c r="I40" s="73" t="n"/>
      <c r="J40" s="73">
        <f>IF($A20="","",J20*I20)</f>
        <v/>
      </c>
      <c r="K40" s="73" t="n"/>
      <c r="L40" s="73">
        <f>IF($A20="","",L20*K20)</f>
        <v/>
      </c>
      <c r="M40" s="73" t="n"/>
      <c r="N40" s="73">
        <f>IF($A20="","",N20*M20)</f>
        <v/>
      </c>
      <c r="O40" s="73" t="n"/>
      <c r="P40" s="73">
        <f>IF($A20="","",P20*O20)</f>
        <v/>
      </c>
      <c r="Q40" s="73" t="n"/>
      <c r="R40" s="73">
        <f>IF($A20="","",R20*Q20)</f>
        <v/>
      </c>
      <c r="S40" s="73" t="n"/>
      <c r="T40" s="73">
        <f>IF($A20="","",T20*S20)</f>
        <v/>
      </c>
      <c r="U40" s="73" t="n"/>
      <c r="V40" s="73">
        <f>IF($A20="","",V20*U20)</f>
        <v/>
      </c>
      <c r="W40" s="73" t="n"/>
      <c r="X40" s="73">
        <f>IF($A20="","",X20*W20)</f>
        <v/>
      </c>
      <c r="Y40" s="73" t="n"/>
      <c r="Z40" s="73">
        <f>IF($A20="","",Z20*Y20)</f>
        <v/>
      </c>
      <c r="AA40" s="73" t="n"/>
      <c r="AB40" s="73">
        <f>IF($A20="","",AB20*AA20)</f>
        <v/>
      </c>
      <c r="AC40" s="73" t="n"/>
      <c r="AD40" s="73">
        <f>IF($A20="","",AD20*AC20)</f>
        <v/>
      </c>
      <c r="AE40" s="73" t="n"/>
      <c r="AF40" s="73">
        <f>IF($A20="","",AF20*AE20)</f>
        <v/>
      </c>
      <c r="AG40" s="73" t="n"/>
      <c r="AH40" s="73">
        <f>IF($A20="","",AH20*AG20)</f>
        <v/>
      </c>
    </row>
    <row r="41" hidden="1">
      <c r="F41" s="73">
        <f>IF($A21="","",F21*E21)</f>
        <v/>
      </c>
      <c r="H41" s="73">
        <f>IF($A21="","",H21*G21)</f>
        <v/>
      </c>
      <c r="I41" s="73" t="n"/>
      <c r="J41" s="73">
        <f>IF($A21="","",J21*I21)</f>
        <v/>
      </c>
      <c r="K41" s="73" t="n"/>
      <c r="L41" s="73">
        <f>IF($A21="","",L21*K21)</f>
        <v/>
      </c>
      <c r="M41" s="73" t="n"/>
      <c r="N41" s="73">
        <f>IF($A21="","",N21*M21)</f>
        <v/>
      </c>
      <c r="O41" s="73" t="n"/>
      <c r="P41" s="73">
        <f>IF($A21="","",P21*O21)</f>
        <v/>
      </c>
      <c r="Q41" s="73" t="n"/>
      <c r="R41" s="73">
        <f>IF($A21="","",R21*Q21)</f>
        <v/>
      </c>
      <c r="S41" s="73" t="n"/>
      <c r="T41" s="73">
        <f>IF($A21="","",T21*S21)</f>
        <v/>
      </c>
      <c r="U41" s="73" t="n"/>
      <c r="V41" s="73">
        <f>IF($A21="","",V21*U21)</f>
        <v/>
      </c>
      <c r="W41" s="73" t="n"/>
      <c r="X41" s="73">
        <f>IF($A21="","",X21*W21)</f>
        <v/>
      </c>
      <c r="Y41" s="73" t="n"/>
      <c r="Z41" s="73">
        <f>IF($A21="","",Z21*Y21)</f>
        <v/>
      </c>
      <c r="AA41" s="73" t="n"/>
      <c r="AB41" s="73">
        <f>IF($A21="","",AB21*AA21)</f>
        <v/>
      </c>
      <c r="AC41" s="73" t="n"/>
      <c r="AD41" s="73">
        <f>IF($A21="","",AD21*AC21)</f>
        <v/>
      </c>
      <c r="AE41" s="73" t="n"/>
      <c r="AF41" s="73">
        <f>IF($A21="","",AF21*AE21)</f>
        <v/>
      </c>
      <c r="AG41" s="73" t="n"/>
      <c r="AH41" s="73">
        <f>IF($A21="","",AH21*AG21)</f>
        <v/>
      </c>
    </row>
    <row r="42" hidden="1">
      <c r="F42" s="73">
        <f>IF($A22="","",F22*E22)</f>
        <v/>
      </c>
      <c r="H42" s="73">
        <f>IF($A22="","",H22*G22)</f>
        <v/>
      </c>
      <c r="I42" s="73" t="n"/>
      <c r="J42" s="73">
        <f>IF($A22="","",J22*I22)</f>
        <v/>
      </c>
      <c r="K42" s="73" t="n"/>
      <c r="L42" s="73">
        <f>IF($A22="","",L22*K22)</f>
        <v/>
      </c>
      <c r="M42" s="73" t="n"/>
      <c r="N42" s="73">
        <f>IF($A22="","",N22*M22)</f>
        <v/>
      </c>
      <c r="O42" s="73" t="n"/>
      <c r="P42" s="73">
        <f>IF($A22="","",P22*O22)</f>
        <v/>
      </c>
      <c r="Q42" s="73" t="n"/>
      <c r="R42" s="73">
        <f>IF($A22="","",R22*Q22)</f>
        <v/>
      </c>
      <c r="S42" s="73" t="n"/>
      <c r="T42" s="73">
        <f>IF($A22="","",T22*S22)</f>
        <v/>
      </c>
      <c r="U42" s="73" t="n"/>
      <c r="V42" s="73">
        <f>IF($A22="","",V22*U22)</f>
        <v/>
      </c>
      <c r="W42" s="73" t="n"/>
      <c r="X42" s="73">
        <f>IF($A22="","",X22*W22)</f>
        <v/>
      </c>
      <c r="Y42" s="73" t="n"/>
      <c r="Z42" s="73">
        <f>IF($A22="","",Z22*Y22)</f>
        <v/>
      </c>
      <c r="AA42" s="73" t="n"/>
      <c r="AB42" s="73">
        <f>IF($A22="","",AB22*AA22)</f>
        <v/>
      </c>
      <c r="AC42" s="73" t="n"/>
      <c r="AD42" s="73">
        <f>IF($A22="","",AD22*AC22)</f>
        <v/>
      </c>
      <c r="AE42" s="73" t="n"/>
      <c r="AF42" s="73">
        <f>IF($A22="","",AF22*AE22)</f>
        <v/>
      </c>
      <c r="AG42" s="73" t="n"/>
      <c r="AH42" s="73">
        <f>IF($A22="","",AH22*AG22)</f>
        <v/>
      </c>
    </row>
    <row r="43" hidden="1">
      <c r="F43" s="73">
        <f>IF($A23="","",F23*E23)</f>
        <v/>
      </c>
      <c r="H43" s="73">
        <f>IF($A23="","",H23*G23)</f>
        <v/>
      </c>
      <c r="I43" s="73" t="n"/>
      <c r="J43" s="73">
        <f>IF($A23="","",J23*I23)</f>
        <v/>
      </c>
      <c r="K43" s="73" t="n"/>
      <c r="L43" s="73">
        <f>IF($A23="","",L23*K23)</f>
        <v/>
      </c>
      <c r="M43" s="73" t="n"/>
      <c r="N43" s="73">
        <f>IF($A23="","",N23*M23)</f>
        <v/>
      </c>
      <c r="O43" s="73" t="n"/>
      <c r="P43" s="73">
        <f>IF($A23="","",P23*O23)</f>
        <v/>
      </c>
      <c r="Q43" s="73" t="n"/>
      <c r="R43" s="73">
        <f>IF($A23="","",R23*Q23)</f>
        <v/>
      </c>
      <c r="S43" s="73" t="n"/>
      <c r="T43" s="73">
        <f>IF($A23="","",T23*S23)</f>
        <v/>
      </c>
      <c r="U43" s="73" t="n"/>
      <c r="V43" s="73">
        <f>IF($A23="","",V23*U23)</f>
        <v/>
      </c>
      <c r="W43" s="73" t="n"/>
      <c r="X43" s="73">
        <f>IF($A23="","",X23*W23)</f>
        <v/>
      </c>
      <c r="Y43" s="73" t="n"/>
      <c r="Z43" s="73">
        <f>IF($A23="","",Z23*Y23)</f>
        <v/>
      </c>
      <c r="AA43" s="73" t="n"/>
      <c r="AB43" s="73">
        <f>IF($A23="","",AB23*AA23)</f>
        <v/>
      </c>
      <c r="AC43" s="73" t="n"/>
      <c r="AD43" s="73">
        <f>IF($A23="","",AD23*AC23)</f>
        <v/>
      </c>
      <c r="AE43" s="73" t="n"/>
      <c r="AF43" s="73">
        <f>IF($A23="","",AF23*AE23)</f>
        <v/>
      </c>
      <c r="AG43" s="73" t="n"/>
      <c r="AH43" s="73">
        <f>IF($A23="","",AH23*AG23)</f>
        <v/>
      </c>
    </row>
    <row r="44" hidden="1">
      <c r="F44" s="73">
        <f>IF($A24="","",F24*E24)</f>
        <v/>
      </c>
      <c r="H44" s="73">
        <f>IF($A24="","",H24*G24)</f>
        <v/>
      </c>
      <c r="I44" s="73" t="n"/>
      <c r="J44" s="73">
        <f>IF($A24="","",J24*I24)</f>
        <v/>
      </c>
      <c r="K44" s="73" t="n"/>
      <c r="L44" s="73">
        <f>IF($A24="","",L24*K24)</f>
        <v/>
      </c>
      <c r="M44" s="73" t="n"/>
      <c r="N44" s="73">
        <f>IF($A24="","",N24*M24)</f>
        <v/>
      </c>
      <c r="O44" s="73" t="n"/>
      <c r="P44" s="73">
        <f>IF($A24="","",P24*O24)</f>
        <v/>
      </c>
      <c r="Q44" s="73" t="n"/>
      <c r="R44" s="73">
        <f>IF($A24="","",R24*Q24)</f>
        <v/>
      </c>
      <c r="S44" s="73" t="n"/>
      <c r="T44" s="73">
        <f>IF($A24="","",T24*S24)</f>
        <v/>
      </c>
      <c r="U44" s="73" t="n"/>
      <c r="V44" s="73">
        <f>IF($A24="","",V24*U24)</f>
        <v/>
      </c>
      <c r="W44" s="73" t="n"/>
      <c r="X44" s="73">
        <f>IF($A24="","",X24*W24)</f>
        <v/>
      </c>
      <c r="Y44" s="73" t="n"/>
      <c r="Z44" s="73">
        <f>IF($A24="","",Z24*Y24)</f>
        <v/>
      </c>
      <c r="AA44" s="73" t="n"/>
      <c r="AB44" s="73">
        <f>IF($A24="","",AB24*AA24)</f>
        <v/>
      </c>
      <c r="AC44" s="73" t="n"/>
      <c r="AD44" s="73">
        <f>IF($A24="","",AD24*AC24)</f>
        <v/>
      </c>
      <c r="AE44" s="73" t="n"/>
      <c r="AF44" s="73">
        <f>IF($A24="","",AF24*AE24)</f>
        <v/>
      </c>
      <c r="AG44" s="73" t="n"/>
      <c r="AH44" s="73">
        <f>IF($A24="","",AH24*AG24)</f>
        <v/>
      </c>
    </row>
    <row r="45" hidden="1">
      <c r="F45" s="73">
        <f>IF($A25="","",F25*E25)</f>
        <v/>
      </c>
      <c r="H45" s="73">
        <f>IF($A25="","",H25*G25)</f>
        <v/>
      </c>
      <c r="I45" s="73" t="n"/>
      <c r="J45" s="73">
        <f>IF($A25="","",J25*I25)</f>
        <v/>
      </c>
      <c r="K45" s="73" t="n"/>
      <c r="L45" s="73">
        <f>IF($A25="","",L25*K25)</f>
        <v/>
      </c>
      <c r="M45" s="73" t="n"/>
      <c r="N45" s="73">
        <f>IF($A25="","",N25*M25)</f>
        <v/>
      </c>
      <c r="O45" s="73" t="n"/>
      <c r="P45" s="73">
        <f>IF($A25="","",P25*O25)</f>
        <v/>
      </c>
      <c r="Q45" s="73" t="n"/>
      <c r="R45" s="73">
        <f>IF($A25="","",R25*Q25)</f>
        <v/>
      </c>
      <c r="S45" s="73" t="n"/>
      <c r="T45" s="73">
        <f>IF($A25="","",T25*S25)</f>
        <v/>
      </c>
      <c r="U45" s="73" t="n"/>
      <c r="V45" s="73">
        <f>IF($A25="","",V25*U25)</f>
        <v/>
      </c>
      <c r="W45" s="73" t="n"/>
      <c r="X45" s="73">
        <f>IF($A25="","",X25*W25)</f>
        <v/>
      </c>
      <c r="Y45" s="73" t="n"/>
      <c r="Z45" s="73">
        <f>IF($A25="","",Z25*Y25)</f>
        <v/>
      </c>
      <c r="AA45" s="73" t="n"/>
      <c r="AB45" s="73">
        <f>IF($A25="","",AB25*AA25)</f>
        <v/>
      </c>
      <c r="AC45" s="73" t="n"/>
      <c r="AD45" s="73">
        <f>IF($A25="","",AD25*AC25)</f>
        <v/>
      </c>
      <c r="AE45" s="73" t="n"/>
      <c r="AF45" s="73">
        <f>IF($A25="","",AF25*AE25)</f>
        <v/>
      </c>
      <c r="AG45" s="73" t="n"/>
      <c r="AH45" s="73">
        <f>IF($A25="","",AH25*AG25)</f>
        <v/>
      </c>
    </row>
    <row r="46" hidden="1">
      <c r="F46" s="73">
        <f>IF($A26="","",F26*E26)</f>
        <v/>
      </c>
      <c r="H46" s="73">
        <f>IF($A26="","",H26*G26)</f>
        <v/>
      </c>
      <c r="I46" s="73" t="n"/>
      <c r="J46" s="73">
        <f>IF($A26="","",J26*I26)</f>
        <v/>
      </c>
      <c r="K46" s="73" t="n"/>
      <c r="L46" s="73">
        <f>IF($A26="","",L26*K26)</f>
        <v/>
      </c>
      <c r="M46" s="73" t="n"/>
      <c r="N46" s="73">
        <f>IF($A26="","",N26*M26)</f>
        <v/>
      </c>
      <c r="O46" s="73" t="n"/>
      <c r="P46" s="73">
        <f>IF($A26="","",P26*O26)</f>
        <v/>
      </c>
      <c r="Q46" s="73" t="n"/>
      <c r="R46" s="73">
        <f>IF($A26="","",R26*Q26)</f>
        <v/>
      </c>
      <c r="S46" s="73" t="n"/>
      <c r="T46" s="73">
        <f>IF($A26="","",T26*S26)</f>
        <v/>
      </c>
      <c r="U46" s="73" t="n"/>
      <c r="V46" s="73">
        <f>IF($A26="","",V26*U26)</f>
        <v/>
      </c>
      <c r="W46" s="73" t="n"/>
      <c r="X46" s="73">
        <f>IF($A26="","",X26*W26)</f>
        <v/>
      </c>
      <c r="Y46" s="73" t="n"/>
      <c r="Z46" s="73">
        <f>IF($A26="","",Z26*Y26)</f>
        <v/>
      </c>
      <c r="AA46" s="73" t="n"/>
      <c r="AB46" s="73">
        <f>IF($A26="","",AB26*AA26)</f>
        <v/>
      </c>
      <c r="AC46" s="73" t="n"/>
      <c r="AD46" s="73">
        <f>IF($A26="","",AD26*AC26)</f>
        <v/>
      </c>
      <c r="AE46" s="73" t="n"/>
      <c r="AF46" s="73">
        <f>IF($A26="","",AF26*AE26)</f>
        <v/>
      </c>
      <c r="AG46" s="73" t="n"/>
      <c r="AH46" s="73">
        <f>IF($A26="","",AH26*AG26)</f>
        <v/>
      </c>
    </row>
    <row r="47" hidden="1">
      <c r="F47" s="73">
        <f>IF($A27="","",F27*E27)</f>
        <v/>
      </c>
      <c r="H47" s="73">
        <f>IF($A27="","",H27*G27)</f>
        <v/>
      </c>
      <c r="I47" s="73" t="n"/>
      <c r="J47" s="73">
        <f>IF($A27="","",J27*I27)</f>
        <v/>
      </c>
      <c r="K47" s="73" t="n"/>
      <c r="L47" s="73">
        <f>IF($A27="","",L27*K27)</f>
        <v/>
      </c>
      <c r="M47" s="73" t="n"/>
      <c r="N47" s="73">
        <f>IF($A27="","",N27*M27)</f>
        <v/>
      </c>
      <c r="O47" s="73" t="n"/>
      <c r="P47" s="73">
        <f>IF($A27="","",P27*O27)</f>
        <v/>
      </c>
      <c r="Q47" s="73" t="n"/>
      <c r="R47" s="73">
        <f>IF($A27="","",R27*Q27)</f>
        <v/>
      </c>
      <c r="S47" s="73" t="n"/>
      <c r="T47" s="73">
        <f>IF($A27="","",T27*S27)</f>
        <v/>
      </c>
      <c r="U47" s="73" t="n"/>
      <c r="V47" s="73">
        <f>IF($A27="","",V27*U27)</f>
        <v/>
      </c>
      <c r="W47" s="73" t="n"/>
      <c r="X47" s="73">
        <f>IF($A27="","",X27*W27)</f>
        <v/>
      </c>
      <c r="Y47" s="73" t="n"/>
      <c r="Z47" s="73">
        <f>IF($A27="","",Z27*Y27)</f>
        <v/>
      </c>
      <c r="AA47" s="73" t="n"/>
      <c r="AB47" s="73">
        <f>IF($A27="","",AB27*AA27)</f>
        <v/>
      </c>
      <c r="AC47" s="73" t="n"/>
      <c r="AD47" s="73">
        <f>IF($A27="","",AD27*AC27)</f>
        <v/>
      </c>
      <c r="AE47" s="73" t="n"/>
      <c r="AF47" s="73">
        <f>IF($A27="","",AF27*AE27)</f>
        <v/>
      </c>
      <c r="AG47" s="73" t="n"/>
      <c r="AH47" s="73">
        <f>IF($A27="","",AH27*AG27)</f>
        <v/>
      </c>
    </row>
    <row r="48" hidden="1">
      <c r="F48" s="73">
        <f>IF($A28="","",F28*E28)</f>
        <v/>
      </c>
      <c r="H48" s="73">
        <f>IF($A28="","",H28*G28)</f>
        <v/>
      </c>
      <c r="I48" s="73" t="n"/>
      <c r="J48" s="73">
        <f>IF($A28="","",J28*I28)</f>
        <v/>
      </c>
      <c r="K48" s="73" t="n"/>
      <c r="L48" s="73">
        <f>IF($A28="","",L28*K28)</f>
        <v/>
      </c>
      <c r="M48" s="73" t="n"/>
      <c r="N48" s="73">
        <f>IF($A28="","",N28*M28)</f>
        <v/>
      </c>
      <c r="O48" s="73" t="n"/>
      <c r="P48" s="73">
        <f>IF($A28="","",P28*O28)</f>
        <v/>
      </c>
      <c r="Q48" s="73" t="n"/>
      <c r="R48" s="73">
        <f>IF($A28="","",R28*Q28)</f>
        <v/>
      </c>
      <c r="S48" s="73" t="n"/>
      <c r="T48" s="73">
        <f>IF($A28="","",T28*S28)</f>
        <v/>
      </c>
      <c r="U48" s="73" t="n"/>
      <c r="V48" s="73">
        <f>IF($A28="","",V28*U28)</f>
        <v/>
      </c>
      <c r="W48" s="73" t="n"/>
      <c r="X48" s="73">
        <f>IF($A28="","",X28*W28)</f>
        <v/>
      </c>
      <c r="Y48" s="73" t="n"/>
      <c r="Z48" s="73">
        <f>IF($A28="","",Z28*Y28)</f>
        <v/>
      </c>
      <c r="AA48" s="73" t="n"/>
      <c r="AB48" s="73">
        <f>IF($A28="","",AB28*AA28)</f>
        <v/>
      </c>
      <c r="AC48" s="73" t="n"/>
      <c r="AD48" s="73">
        <f>IF($A28="","",AD28*AC28)</f>
        <v/>
      </c>
      <c r="AE48" s="73" t="n"/>
      <c r="AF48" s="73">
        <f>IF($A28="","",AF28*AE28)</f>
        <v/>
      </c>
      <c r="AG48" s="73" t="n"/>
      <c r="AH48" s="73">
        <f>IF($A28="","",AH28*AG28)</f>
        <v/>
      </c>
    </row>
    <row r="49" hidden="1">
      <c r="F49" s="74">
        <f>SUMIF(F31:F48,"&gt;0")</f>
        <v/>
      </c>
      <c r="H49" s="74">
        <f>SUMIF(H31:H48,"&gt;0")</f>
        <v/>
      </c>
      <c r="I49" s="74" t="n"/>
      <c r="J49" s="74">
        <f>SUMIF(J31:J48,"&gt;0")</f>
        <v/>
      </c>
      <c r="K49" s="74" t="n"/>
      <c r="L49" s="74">
        <f>SUMIF(L31:L48,"&gt;0")</f>
        <v/>
      </c>
      <c r="N49" s="74">
        <f>SUMIF(N31:N48,"&gt;0")</f>
        <v/>
      </c>
      <c r="O49" s="74" t="n"/>
      <c r="P49" s="74">
        <f>SUMIF(P31:P48,"&gt;0")</f>
        <v/>
      </c>
      <c r="R49" s="74">
        <f>SUMIF(R31:R48,"&gt;0")</f>
        <v/>
      </c>
      <c r="S49" s="74" t="n"/>
      <c r="T49" s="74">
        <f>SUMIF(T31:T48,"&gt;0")</f>
        <v/>
      </c>
      <c r="U49" s="74" t="n"/>
      <c r="V49" s="74">
        <f>SUMIF(V31:V48,"&gt;0")</f>
        <v/>
      </c>
      <c r="W49" s="74" t="n"/>
      <c r="X49" s="74">
        <f>SUMIF(X31:X48,"&gt;0")</f>
        <v/>
      </c>
      <c r="Y49" s="74" t="n"/>
      <c r="Z49" s="74">
        <f>SUMIF(Z31:Z48,"&gt;0")</f>
        <v/>
      </c>
      <c r="AB49" s="74">
        <f>SUMIF(AB31:AB48,"&gt;0")</f>
        <v/>
      </c>
      <c r="AC49" s="74" t="n"/>
      <c r="AD49" s="74">
        <f>SUMIF(AD31:AD48,"&gt;0")</f>
        <v/>
      </c>
      <c r="AE49" s="74" t="n"/>
      <c r="AF49" s="74">
        <f>SUMIF(AF31:AF48,"&gt;0")</f>
        <v/>
      </c>
      <c r="AH49" s="74">
        <f>SUMIF(AH31:AH48,"&gt;0")</f>
        <v/>
      </c>
    </row>
    <row r="52">
      <c r="A52" s="75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</row>
    <row r="53">
      <c r="A53" s="77" t="inlineStr">
        <is>
          <t>#</t>
        </is>
      </c>
      <c r="B53" s="77" t="inlineStr">
        <is>
          <t>โปรไฟล์</t>
        </is>
      </c>
      <c r="C53" s="77" t="inlineStr">
        <is>
          <t>รหัส</t>
        </is>
      </c>
      <c r="D53" s="77" t="inlineStr">
        <is>
          <t>สูตรตัด (เดิม)</t>
        </is>
      </c>
      <c r="E53" s="77" t="inlineStr">
        <is>
          <t>หัก1</t>
        </is>
      </c>
      <c r="F53" s="77" t="inlineStr">
        <is>
          <t>หัก2</t>
        </is>
      </c>
      <c r="G53" s="77" t="inlineStr">
        <is>
          <t>หัก3</t>
        </is>
      </c>
      <c r="H53" s="77" t="inlineStr">
        <is>
          <t>หัก4</t>
        </is>
      </c>
      <c r="I53" s="77" t="inlineStr">
        <is>
          <t>หัก5</t>
        </is>
      </c>
      <c r="J53" s="77" t="inlineStr">
        <is>
          <t>หัก6</t>
        </is>
      </c>
      <c r="K53" s="77" t="inlineStr">
        <is>
          <t>หัก7</t>
        </is>
      </c>
      <c r="L53" s="77" t="inlineStr">
        <is>
          <t>จำนวน/ชุด</t>
        </is>
      </c>
      <c r="M53" s="122" t="n"/>
    </row>
    <row r="54" ht="44" customHeight="1">
      <c r="A54" s="78" t="n">
        <v>1</v>
      </c>
      <c r="B54" s="79" t="inlineStr">
        <is>
          <t>เฟรมข้าง</t>
        </is>
      </c>
      <c r="C54" s="80" t="inlineStr">
        <is>
          <t>F7978</t>
        </is>
      </c>
      <c r="D54" s="81" t="inlineStr">
        <is>
          <t>สูง</t>
        </is>
      </c>
      <c r="E54" s="82" t="n"/>
      <c r="F54" s="82" t="n"/>
      <c r="G54" s="82" t="n"/>
      <c r="H54" s="82" t="n"/>
      <c r="I54" s="82" t="n"/>
      <c r="J54" s="82" t="n"/>
      <c r="K54" s="82" t="n"/>
      <c r="L54" s="83" t="n">
        <v>2</v>
      </c>
      <c r="M54" s="82" t="n"/>
    </row>
    <row r="55" ht="44" customHeight="1">
      <c r="A55" s="78" t="n">
        <v>2</v>
      </c>
      <c r="B55" s="79" t="inlineStr">
        <is>
          <t>เฟรม-ล่าง</t>
        </is>
      </c>
      <c r="C55" s="80" t="inlineStr">
        <is>
          <t>F7902</t>
        </is>
      </c>
      <c r="D55" s="81" t="inlineStr">
        <is>
          <t>กว้าง-21-21</t>
        </is>
      </c>
      <c r="E55" s="83" t="n">
        <v>21</v>
      </c>
      <c r="F55" s="83" t="n">
        <v>21</v>
      </c>
      <c r="G55" s="82" t="n"/>
      <c r="H55" s="82" t="n"/>
      <c r="I55" s="82" t="n"/>
      <c r="J55" s="82" t="n"/>
      <c r="K55" s="82" t="n"/>
      <c r="L55" s="83" t="n">
        <v>2</v>
      </c>
      <c r="M55" s="82" t="n"/>
    </row>
    <row r="56" ht="44" customHeight="1">
      <c r="A56" s="78" t="n">
        <v>3</v>
      </c>
      <c r="B56" s="79" t="inlineStr">
        <is>
          <t>เสา</t>
        </is>
      </c>
      <c r="C56" s="80" t="inlineStr">
        <is>
          <t>F7980</t>
        </is>
      </c>
      <c r="D56" s="81" t="inlineStr">
        <is>
          <t>สูง-14-13-21</t>
        </is>
      </c>
      <c r="E56" s="83" t="n">
        <v>14</v>
      </c>
      <c r="F56" s="83" t="n">
        <v>13</v>
      </c>
      <c r="G56" s="83" t="n">
        <v>21</v>
      </c>
      <c r="H56" s="82" t="n"/>
      <c r="I56" s="82" t="n"/>
      <c r="J56" s="82" t="n"/>
      <c r="K56" s="82" t="n"/>
      <c r="L56" s="83" t="n">
        <v>12</v>
      </c>
      <c r="M56" s="82" t="n"/>
    </row>
    <row r="57" ht="15" customHeight="1">
      <c r="A57" s="78" t="n">
        <v>4</v>
      </c>
      <c r="B57" s="79" t="inlineStr">
        <is>
          <t>ขวาง</t>
        </is>
      </c>
      <c r="C57" s="80" t="inlineStr">
        <is>
          <t>-</t>
        </is>
      </c>
      <c r="D57" s="81" t="inlineStr">
        <is>
          <t>((กว้าง-21-6-3-21)/6)+(78x4/6)</t>
        </is>
      </c>
      <c r="E57" s="83" t="n">
        <v>21</v>
      </c>
      <c r="F57" s="83" t="n">
        <v>6</v>
      </c>
      <c r="G57" s="83" t="n">
        <v>3</v>
      </c>
      <c r="H57" s="83" t="n">
        <v>21</v>
      </c>
      <c r="I57" s="82" t="n"/>
      <c r="J57" s="82" t="n"/>
      <c r="K57" s="82" t="n"/>
      <c r="L57" s="83" t="n">
        <v>12</v>
      </c>
      <c r="M57" s="82" t="n"/>
    </row>
    <row r="58" ht="44" customHeight="1">
      <c r="A58" s="78" t="n">
        <v>5</v>
      </c>
      <c r="B58" s="79" t="inlineStr">
        <is>
          <t>คิ้ว ตั้ง</t>
        </is>
      </c>
      <c r="C58" s="80" t="inlineStr">
        <is>
          <t>F7919</t>
        </is>
      </c>
      <c r="D58" s="81" t="inlineStr">
        <is>
          <t>เสา-78-78</t>
        </is>
      </c>
      <c r="E58" s="83" t="n">
        <v>78</v>
      </c>
      <c r="F58" s="83" t="n">
        <v>78</v>
      </c>
      <c r="G58" s="82" t="n"/>
      <c r="H58" s="82" t="n"/>
      <c r="I58" s="82" t="n"/>
      <c r="J58" s="82" t="n"/>
      <c r="K58" s="82" t="n"/>
      <c r="L58" s="83" t="n">
        <v>12</v>
      </c>
      <c r="M58" s="82" t="n"/>
    </row>
    <row r="59" ht="15" customHeight="1">
      <c r="A59" s="78" t="n">
        <v>6</v>
      </c>
      <c r="B59" s="79" t="inlineStr">
        <is>
          <t>คิ้ว ขวาง</t>
        </is>
      </c>
      <c r="C59" s="80" t="inlineStr">
        <is>
          <t>-</t>
        </is>
      </c>
      <c r="D59" s="81" t="inlineStr">
        <is>
          <t>ขวาง-63-63</t>
        </is>
      </c>
      <c r="E59" s="83" t="n">
        <v>63</v>
      </c>
      <c r="F59" s="83" t="n">
        <v>63</v>
      </c>
      <c r="G59" s="82" t="n"/>
      <c r="H59" s="82" t="n"/>
      <c r="I59" s="82" t="n"/>
      <c r="J59" s="82" t="n"/>
      <c r="K59" s="82" t="n"/>
      <c r="L59" s="83" t="n">
        <v>12</v>
      </c>
      <c r="M59" s="82" t="n"/>
    </row>
    <row r="60" ht="44" customHeight="1">
      <c r="A60" s="78" t="n">
        <v>7</v>
      </c>
      <c r="B60" s="79" t="inlineStr">
        <is>
          <t>เฟรม ล่าง</t>
        </is>
      </c>
      <c r="C60" s="80" t="inlineStr">
        <is>
          <t>F7925</t>
        </is>
      </c>
      <c r="D60" s="81" t="inlineStr">
        <is>
          <t>สูงกรอบบาน</t>
        </is>
      </c>
      <c r="E60" s="82" t="n"/>
      <c r="F60" s="82" t="n"/>
      <c r="G60" s="82" t="n"/>
      <c r="H60" s="82" t="n"/>
      <c r="I60" s="82" t="n"/>
      <c r="J60" s="82" t="n"/>
      <c r="K60" s="82" t="n"/>
      <c r="L60" s="83" t="n">
        <v>1</v>
      </c>
      <c r="M60" s="82" t="n"/>
    </row>
    <row r="61" ht="44" customHeight="1">
      <c r="A61" s="78" t="n">
        <v>8</v>
      </c>
      <c r="B61" s="79" t="inlineStr">
        <is>
          <t>ตบเกี่ยว</t>
        </is>
      </c>
      <c r="C61" s="80" t="inlineStr">
        <is>
          <t>F7983</t>
        </is>
      </c>
      <c r="D61" s="81" t="inlineStr">
        <is>
          <t>สูงกรอบบาน</t>
        </is>
      </c>
      <c r="E61" s="82" t="n"/>
      <c r="F61" s="82" t="n"/>
      <c r="G61" s="82" t="n"/>
      <c r="H61" s="82" t="n"/>
      <c r="I61" s="82" t="n"/>
      <c r="J61" s="82" t="n"/>
      <c r="K61" s="82" t="n"/>
      <c r="L61" s="83" t="n">
        <v>8</v>
      </c>
      <c r="M61" s="82" t="n"/>
    </row>
    <row r="62" ht="44" customHeight="1">
      <c r="A62" s="78" t="n">
        <v>9</v>
      </c>
      <c r="B62" s="79" t="inlineStr">
        <is>
          <t>ยูข้าง</t>
        </is>
      </c>
      <c r="C62" s="80" t="inlineStr">
        <is>
          <t>F7986</t>
        </is>
      </c>
      <c r="D62" s="81" t="inlineStr">
        <is>
          <t>สูง-45-8</t>
        </is>
      </c>
      <c r="E62" s="83" t="n">
        <v>45</v>
      </c>
      <c r="F62" s="83" t="n">
        <v>8</v>
      </c>
      <c r="G62" s="82" t="n"/>
      <c r="H62" s="82" t="n"/>
      <c r="I62" s="82" t="n"/>
      <c r="J62" s="82" t="n"/>
      <c r="K62" s="82" t="n"/>
      <c r="L62" s="83" t="n">
        <v>2</v>
      </c>
      <c r="M62" s="82" t="n"/>
    </row>
    <row r="63" ht="44" customHeight="1">
      <c r="A63" s="78" t="n">
        <v>10</v>
      </c>
      <c r="B63" s="79" t="inlineStr">
        <is>
          <t>ตบเฟรมบน</t>
        </is>
      </c>
      <c r="C63" s="80" t="inlineStr">
        <is>
          <t>F7993</t>
        </is>
      </c>
      <c r="D63" s="81" t="inlineStr">
        <is>
          <t>เท่าเฟรมบน</t>
        </is>
      </c>
      <c r="E63" s="82" t="n"/>
      <c r="F63" s="82" t="n"/>
      <c r="G63" s="82" t="n"/>
      <c r="H63" s="82" t="n"/>
      <c r="I63" s="82" t="n"/>
      <c r="J63" s="82" t="n"/>
      <c r="K63" s="82" t="n"/>
      <c r="L63" s="83" t="n">
        <v>3</v>
      </c>
      <c r="M63" s="82" t="n"/>
    </row>
    <row r="64" ht="44" customHeight="1">
      <c r="A64" s="78" t="n">
        <v>11</v>
      </c>
      <c r="B64" s="79" t="inlineStr">
        <is>
          <t>ปิดตบเกี่ยว</t>
        </is>
      </c>
      <c r="C64" s="80" t="inlineStr">
        <is>
          <t>F7988</t>
        </is>
      </c>
      <c r="D64" s="81" t="inlineStr">
        <is>
          <t>สูงกรอบบาน</t>
        </is>
      </c>
      <c r="E64" s="82" t="n"/>
      <c r="F64" s="82" t="n"/>
      <c r="G64" s="82" t="n"/>
      <c r="H64" s="82" t="n"/>
      <c r="I64" s="82" t="n"/>
      <c r="J64" s="82" t="n"/>
      <c r="K64" s="82" t="n"/>
      <c r="L64" s="83" t="n">
        <v>8</v>
      </c>
      <c r="M64" s="82" t="n"/>
    </row>
    <row r="65" ht="15" customHeight="1">
      <c r="A65" s="78" t="n">
        <v>12</v>
      </c>
      <c r="B65" s="79" t="inlineStr">
        <is>
          <t>ปิดรับล็อค</t>
        </is>
      </c>
      <c r="C65" s="80" t="inlineStr">
        <is>
          <t>-</t>
        </is>
      </c>
      <c r="D65" s="81" t="inlineStr">
        <is>
          <t>สูงกรอบบาน</t>
        </is>
      </c>
      <c r="E65" s="82" t="n"/>
      <c r="F65" s="82" t="n"/>
      <c r="G65" s="82" t="n"/>
      <c r="H65" s="82" t="n"/>
      <c r="I65" s="82" t="n"/>
      <c r="J65" s="82" t="n"/>
      <c r="K65" s="82" t="n"/>
      <c r="L65" s="83" t="n">
        <v>1</v>
      </c>
      <c r="M65" s="82" t="n"/>
    </row>
    <row r="66" ht="15" customHeight="1">
      <c r="A66" s="78" t="n">
        <v>13</v>
      </c>
      <c r="B66" s="79" t="inlineStr">
        <is>
          <t>ปิดตบกันสาด</t>
        </is>
      </c>
      <c r="C66" s="80" t="inlineStr">
        <is>
          <t>-</t>
        </is>
      </c>
      <c r="D66" s="81" t="inlineStr">
        <is>
          <t>กว้าง</t>
        </is>
      </c>
      <c r="E66" s="82" t="n"/>
      <c r="F66" s="82" t="n"/>
      <c r="G66" s="82" t="n"/>
      <c r="H66" s="82" t="n"/>
      <c r="I66" s="82" t="n"/>
      <c r="J66" s="82" t="n"/>
      <c r="K66" s="82" t="n"/>
      <c r="L66" s="83" t="n">
        <v>1</v>
      </c>
      <c r="M66" s="82" t="n"/>
    </row>
    <row r="67" ht="44" customHeight="1">
      <c r="A67" s="78" t="n">
        <v>14</v>
      </c>
      <c r="B67" s="79" t="inlineStr">
        <is>
          <t>รางเลื่อน</t>
        </is>
      </c>
      <c r="C67" s="80" t="inlineStr">
        <is>
          <t>F7994</t>
        </is>
      </c>
      <c r="D67" s="81" t="inlineStr">
        <is>
          <t>เท่าเฟรมล่าง</t>
        </is>
      </c>
      <c r="E67" s="82" t="n"/>
      <c r="F67" s="82" t="n"/>
      <c r="G67" s="82" t="n"/>
      <c r="H67" s="82" t="n"/>
      <c r="I67" s="82" t="n"/>
      <c r="J67" s="82" t="n"/>
      <c r="K67" s="82" t="n"/>
      <c r="L67" s="83" t="n">
        <v>3</v>
      </c>
      <c r="M67" s="82" t="n"/>
    </row>
    <row r="68" ht="44" customHeight="1">
      <c r="A68" s="78" t="n">
        <v>15</v>
      </c>
      <c r="B68" s="79" t="inlineStr">
        <is>
          <t>ตบกันสาด</t>
        </is>
      </c>
      <c r="C68" s="80" t="inlineStr">
        <is>
          <t>F7992</t>
        </is>
      </c>
      <c r="D68" s="81" t="inlineStr">
        <is>
          <t>กว้าง</t>
        </is>
      </c>
      <c r="E68" s="82" t="n"/>
      <c r="F68" s="82" t="n"/>
      <c r="G68" s="82" t="n"/>
      <c r="H68" s="82" t="n"/>
      <c r="I68" s="82" t="n"/>
      <c r="J68" s="82" t="n"/>
      <c r="K68" s="82" t="n"/>
      <c r="L68" s="83" t="n">
        <v>1</v>
      </c>
      <c r="M68" s="82" t="n"/>
    </row>
    <row r="69"/>
    <row r="70">
      <c r="A70" s="153" t="inlineStr">
        <is>
          <t>⑤ อุปกรณ์ + ตั้งค่ามือจับ (2 ชุด · บานเลื่อน 4)</t>
        </is>
      </c>
      <c r="F70" s="124" t="n"/>
    </row>
    <row r="71">
      <c r="A71" s="152" t="inlineStr">
        <is>
          <t>ประเภทบาน →</t>
        </is>
      </c>
      <c r="B71" s="150" t="inlineStr">
        <is>
          <t>ประตู</t>
        </is>
      </c>
      <c r="F71" s="126" t="n"/>
    </row>
    <row r="72">
      <c r="A72" s="152" t="inlineStr">
        <is>
          <t>ยี่ห้อมือจับ →</t>
        </is>
      </c>
      <c r="B72" s="150" t="inlineStr">
        <is>
          <t>เมโทร</t>
        </is>
      </c>
      <c r="F72" s="126" t="n"/>
    </row>
    <row r="73">
      <c r="A73" s="152" t="inlineStr">
        <is>
          <t>สีมือจับ →</t>
        </is>
      </c>
      <c r="B73" s="150" t="inlineStr">
        <is>
          <t>อบขาว</t>
        </is>
      </c>
      <c r="F73" s="126" t="n"/>
    </row>
    <row r="74">
      <c r="A74" s="152" t="inlineStr">
        <is>
          <t>มือจับ ชุด1 →</t>
        </is>
      </c>
      <c r="B74" s="150" t="inlineStr">
        <is>
          <t>กุญแจ+ล็อค</t>
        </is>
      </c>
      <c r="F74" s="126" t="n"/>
    </row>
    <row r="75">
      <c r="A75" s="156" t="inlineStr">
        <is>
          <t>มือจับ ชุด2 →</t>
        </is>
      </c>
      <c r="B75" s="150" t="inlineStr">
        <is>
          <t>ล็อค+ดัมมี่</t>
        </is>
      </c>
    </row>
    <row r="76">
      <c r="A76" s="154" t="inlineStr">
        <is>
          <t>⑤.1 สรุปอุปกรณ์ (จำนวนลิงก์อัตโนมัติ)</t>
        </is>
      </c>
    </row>
    <row r="77">
      <c r="A77" s="154" t="inlineStr">
        <is>
          <t>#</t>
        </is>
      </c>
      <c r="B77" s="154" t="inlineStr">
        <is>
          <t>อุปกรณ์</t>
        </is>
      </c>
      <c r="C77" s="154" t="inlineStr">
        <is>
          <t>รหัส SKU</t>
        </is>
      </c>
      <c r="D77" s="154" t="inlineStr">
        <is>
          <t>จำนวน</t>
        </is>
      </c>
      <c r="E77" s="154" t="inlineStr">
        <is>
          <t>หน่วย</t>
        </is>
      </c>
      <c r="F77" s="154" t="inlineStr">
        <is>
          <t>หมายเหตุ</t>
        </is>
      </c>
    </row>
    <row r="78">
      <c r="A78" s="149" t="n">
        <v>1</v>
      </c>
      <c r="B78" s="149" t="inlineStr">
        <is>
          <t>ล้อ 20</t>
        </is>
      </c>
      <c r="C78" s="150">
        <f>AK8</f>
        <v/>
      </c>
      <c r="D78" s="155">
        <f>AK30</f>
        <v/>
      </c>
      <c r="E78" s="149" t="inlineStr">
        <is>
          <t>ตัว</t>
        </is>
      </c>
      <c r="F78" s="149" t="inlineStr"/>
    </row>
    <row r="79">
      <c r="A79" s="149" t="n">
        <v>2</v>
      </c>
      <c r="B79" s="149" t="inlineStr">
        <is>
          <t>มือจับ กุญแจ</t>
        </is>
      </c>
      <c r="C79" s="150">
        <f>AL8</f>
        <v/>
      </c>
      <c r="D79" s="155">
        <f>AL30</f>
        <v/>
      </c>
      <c r="E79" s="149" t="inlineStr">
        <is>
          <t>ตัว</t>
        </is>
      </c>
      <c r="F79" s="149" t="inlineStr"/>
    </row>
    <row r="80">
      <c r="A80" s="149" t="n">
        <v>3</v>
      </c>
      <c r="B80" s="149" t="inlineStr">
        <is>
          <t>มือจับ ล็อค</t>
        </is>
      </c>
      <c r="C80" s="150">
        <f>AM8</f>
        <v/>
      </c>
      <c r="D80" s="155">
        <f>AM30</f>
        <v/>
      </c>
      <c r="E80" s="149" t="inlineStr">
        <is>
          <t>ตัว</t>
        </is>
      </c>
      <c r="F80" s="149" t="inlineStr"/>
    </row>
    <row r="81">
      <c r="A81" s="149" t="n">
        <v>4</v>
      </c>
      <c r="B81" s="149" t="inlineStr">
        <is>
          <t>มือจับ ดัมมี่</t>
        </is>
      </c>
      <c r="C81" s="150">
        <f>AN8</f>
        <v/>
      </c>
      <c r="D81" s="155">
        <f>AN30</f>
        <v/>
      </c>
      <c r="E81" s="149" t="inlineStr">
        <is>
          <t>ตัว</t>
        </is>
      </c>
      <c r="F81" s="149" t="inlineStr"/>
    </row>
    <row r="82">
      <c r="A82" s="149" t="n">
        <v>5</v>
      </c>
      <c r="B82" s="149" t="inlineStr">
        <is>
          <t>Digital lock</t>
        </is>
      </c>
      <c r="C82" s="150" t="inlineStr">
        <is>
          <t>-</t>
        </is>
      </c>
      <c r="D82" s="155">
        <f>AO30</f>
        <v/>
      </c>
      <c r="E82" s="149" t="inlineStr">
        <is>
          <t>ชุด</t>
        </is>
      </c>
      <c r="F82" s="149" t="inlineStr">
        <is>
          <t>ไม่ตัดสต็อก</t>
        </is>
      </c>
    </row>
    <row r="83">
      <c r="A83" s="149" t="n">
        <v>6</v>
      </c>
      <c r="B83" s="149" t="inlineStr">
        <is>
          <t>แกน A</t>
        </is>
      </c>
      <c r="C83" s="150">
        <f>AP8</f>
        <v/>
      </c>
      <c r="D83" s="155">
        <f>AP30</f>
        <v/>
      </c>
      <c r="E83" s="149" t="inlineStr">
        <is>
          <t>เส้น</t>
        </is>
      </c>
      <c r="F83" s="149" t="inlineStr"/>
    </row>
    <row r="84">
      <c r="A84" s="149" t="n">
        <v>7</v>
      </c>
      <c r="B84" s="149" t="inlineStr">
        <is>
          <t>แกน B</t>
        </is>
      </c>
      <c r="C84" s="150">
        <f>AQ8</f>
        <v/>
      </c>
      <c r="D84" s="155">
        <f>AQ30</f>
        <v/>
      </c>
      <c r="E84" s="149" t="inlineStr">
        <is>
          <t>เส้น</t>
        </is>
      </c>
      <c r="F84" s="149" t="inlineStr"/>
    </row>
    <row r="85">
      <c r="A85" s="149" t="n">
        <v>8</v>
      </c>
      <c r="B85" s="149" t="inlineStr">
        <is>
          <t>ปลายดำ</t>
        </is>
      </c>
      <c r="C85" s="150">
        <f>AR8</f>
        <v/>
      </c>
      <c r="D85" s="155">
        <f>AR30</f>
        <v/>
      </c>
      <c r="E85" s="149" t="inlineStr">
        <is>
          <t>ตัว</t>
        </is>
      </c>
      <c r="F85" s="149" t="inlineStr"/>
    </row>
    <row r="86">
      <c r="A86" s="149" t="n">
        <v>9</v>
      </c>
      <c r="B86" s="149" t="inlineStr">
        <is>
          <t>ตัวที เงิน</t>
        </is>
      </c>
      <c r="C86" s="150">
        <f>AS8</f>
        <v/>
      </c>
      <c r="D86" s="155">
        <f>AS30</f>
        <v/>
      </c>
      <c r="E86" s="149" t="inlineStr">
        <is>
          <t>ตัว</t>
        </is>
      </c>
      <c r="F86" s="149" t="inlineStr"/>
    </row>
    <row r="87">
      <c r="A87" s="149" t="n">
        <v>10</v>
      </c>
      <c r="B87" s="149" t="inlineStr">
        <is>
          <t>ก้ามปู</t>
        </is>
      </c>
      <c r="C87" s="150">
        <f>AT8</f>
        <v/>
      </c>
      <c r="D87" s="155">
        <f>AT30</f>
        <v/>
      </c>
      <c r="E87" s="149" t="inlineStr">
        <is>
          <t>ตัว</t>
        </is>
      </c>
      <c r="F87" s="149" t="inlineStr"/>
    </row>
    <row r="88">
      <c r="A88" s="149" t="n">
        <v>11</v>
      </c>
      <c r="B88" s="149" t="inlineStr">
        <is>
          <t>สปิงก็อท</t>
        </is>
      </c>
      <c r="C88" s="150">
        <f>AU8</f>
        <v/>
      </c>
      <c r="D88" s="155">
        <f>AU30</f>
        <v/>
      </c>
      <c r="E88" s="149" t="inlineStr">
        <is>
          <t>ตัว</t>
        </is>
      </c>
      <c r="F88" s="149" t="inlineStr"/>
    </row>
    <row r="89">
      <c r="A89" s="149" t="n">
        <v>12</v>
      </c>
      <c r="B89" s="149" t="inlineStr">
        <is>
          <t>ฉากประกอบมุม</t>
        </is>
      </c>
      <c r="C89" s="150">
        <f>AV8</f>
        <v/>
      </c>
      <c r="D89" s="155">
        <f>AV30</f>
        <v/>
      </c>
      <c r="E89" s="149" t="inlineStr">
        <is>
          <t>ตัว</t>
        </is>
      </c>
      <c r="F89" s="149" t="inlineStr"/>
    </row>
    <row r="90">
      <c r="A90" s="149" t="n">
        <v>13</v>
      </c>
      <c r="B90" s="149" t="inlineStr">
        <is>
          <t>ยางรูน้ำ</t>
        </is>
      </c>
      <c r="C90" s="150">
        <f>AW8</f>
        <v/>
      </c>
      <c r="D90" s="155">
        <f>AW30</f>
        <v/>
      </c>
      <c r="E90" s="149" t="inlineStr">
        <is>
          <t>ตัว</t>
        </is>
      </c>
      <c r="F90" s="149" t="inlineStr"/>
    </row>
    <row r="91">
      <c r="A91" s="149" t="n">
        <v>14</v>
      </c>
      <c r="B91" s="149" t="inlineStr">
        <is>
          <t>วาวรูน้ำ</t>
        </is>
      </c>
      <c r="C91" s="150">
        <f>AX8</f>
        <v/>
      </c>
      <c r="D91" s="155">
        <f>AX30</f>
        <v/>
      </c>
      <c r="E91" s="149" t="inlineStr">
        <is>
          <t>ตัว</t>
        </is>
      </c>
      <c r="F91" s="149" t="inlineStr"/>
    </row>
    <row r="92">
      <c r="A92" s="149" t="n">
        <v>15</v>
      </c>
      <c r="B92" s="149" t="inlineStr">
        <is>
          <t>สักหลาด 5×3</t>
        </is>
      </c>
      <c r="C92" s="150">
        <f>AY8</f>
        <v/>
      </c>
      <c r="D92" s="155">
        <f>AY30</f>
        <v/>
      </c>
      <c r="E92" s="149" t="inlineStr">
        <is>
          <t>เมตร</t>
        </is>
      </c>
      <c r="F92" s="149" t="inlineStr">
        <is>
          <t>เก็บเป็นเมตร</t>
        </is>
      </c>
    </row>
  </sheetData>
  <mergeCells count="61">
    <mergeCell ref="Q7:R7"/>
    <mergeCell ref="U9:V9"/>
    <mergeCell ref="I6:J6"/>
    <mergeCell ref="AE7:AF7"/>
    <mergeCell ref="O6:P6"/>
    <mergeCell ref="U6:V6"/>
    <mergeCell ref="K9:L9"/>
    <mergeCell ref="W6:X6"/>
    <mergeCell ref="M9:N9"/>
    <mergeCell ref="O9:P9"/>
    <mergeCell ref="G8:H8"/>
    <mergeCell ref="M30:O30"/>
    <mergeCell ref="Y9:Z9"/>
    <mergeCell ref="E8:F8"/>
    <mergeCell ref="Q8:R8"/>
    <mergeCell ref="AA9:AB9"/>
    <mergeCell ref="S8:T8"/>
    <mergeCell ref="Y7:AD7"/>
    <mergeCell ref="Y30:AC30"/>
    <mergeCell ref="G7:H7"/>
    <mergeCell ref="AA6:AB6"/>
    <mergeCell ref="S7:T7"/>
    <mergeCell ref="A30:D30"/>
    <mergeCell ref="G6:H6"/>
    <mergeCell ref="AC8:AD8"/>
    <mergeCell ref="E9:F9"/>
    <mergeCell ref="AE8:AF8"/>
    <mergeCell ref="U7:V7"/>
    <mergeCell ref="W7:X7"/>
    <mergeCell ref="A8:A9"/>
    <mergeCell ref="E6:F6"/>
    <mergeCell ref="A6:D6"/>
    <mergeCell ref="K8:L8"/>
    <mergeCell ref="M6:N6"/>
    <mergeCell ref="Q6:R6"/>
    <mergeCell ref="S6:T6"/>
    <mergeCell ref="D8:D9"/>
    <mergeCell ref="A7:D7"/>
    <mergeCell ref="Y6:Z6"/>
    <mergeCell ref="Q9:R9"/>
    <mergeCell ref="I7:L7"/>
    <mergeCell ref="I8:J8"/>
    <mergeCell ref="S9:T9"/>
    <mergeCell ref="I30:K30"/>
    <mergeCell ref="M8:N8"/>
    <mergeCell ref="W9:X9"/>
    <mergeCell ref="AC9:AD9"/>
    <mergeCell ref="O8:P8"/>
    <mergeCell ref="U8:V8"/>
    <mergeCell ref="AE9:AF9"/>
    <mergeCell ref="W8:X8"/>
    <mergeCell ref="B8:C9"/>
    <mergeCell ref="AC6:AD6"/>
    <mergeCell ref="E7:F7"/>
    <mergeCell ref="AE6:AF6"/>
    <mergeCell ref="M7:P7"/>
    <mergeCell ref="Y8:Z8"/>
    <mergeCell ref="K6:L6"/>
    <mergeCell ref="G9:H9"/>
    <mergeCell ref="AA8:AB8"/>
    <mergeCell ref="I9:J9"/>
  </mergeCells>
  <dataValidations count="5">
    <dataValidation sqref="B71" showDropDown="0" showInputMessage="0" showErrorMessage="0" allowBlank="1" type="list">
      <formula1>"ประตู,หน้าต่าง"</formula1>
    </dataValidation>
    <dataValidation sqref="B72" showDropDown="0" showInputMessage="0" showErrorMessage="0" allowBlank="1" type="list">
      <formula1>"เมโทร,Align"</formula1>
    </dataValidation>
    <dataValidation sqref="B73" showDropDown="0" showInputMessage="0" showErrorMessage="0" allowBlank="1" type="list">
      <formula1>"อบขาว,ดำ"</formula1>
    </dataValidation>
    <dataValidation sqref="B74" showDropDown="0" showInputMessage="0" showErrorMessage="0" allowBlank="1" type="list">
      <formula1>=$BD$1:$BD$4</formula1>
    </dataValidation>
    <dataValidation sqref="B75" showDropDown="0" showInputMessage="0" showErrorMessage="0" allowBlank="1" type="list">
      <formula1>=$BD$1:$BD$4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92"/>
  <sheetViews>
    <sheetView showGridLines="0"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26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6.75" customWidth="1" min="32" max="32"/>
    <col width="12.75" customWidth="1" min="33" max="33"/>
    <col width="12.75" customWidth="1" min="34" max="34"/>
    <col width="8.75" customWidth="1" min="35" max="35"/>
    <col width="8.875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</cols>
  <sheetData>
    <row r="1" ht="40.15" customHeight="1">
      <c r="A1" s="1" t="inlineStr">
        <is>
          <t>JR ALUMINIUM &amp; GLASS  —  ใบรายการตัด · FUJI เลื่อนสลับ   (หน่วย: มม.)</t>
        </is>
      </c>
      <c r="B1" s="2" t="n"/>
      <c r="D1" s="3" t="n"/>
      <c r="E1" s="4" t="n"/>
      <c r="F1" s="3" t="n"/>
      <c r="G1" s="5" t="n"/>
      <c r="H1" s="5" t="n"/>
      <c r="I1" s="6" t="n"/>
      <c r="J1" s="5" t="n"/>
      <c r="K1" s="3" t="n"/>
      <c r="L1" s="3" t="n"/>
      <c r="M1" s="6" t="n"/>
      <c r="N1" s="6" t="n"/>
      <c r="O1" s="5" t="n"/>
      <c r="P1" s="5" t="n"/>
      <c r="Q1" s="3" t="n"/>
      <c r="R1" s="7" t="n"/>
      <c r="S1" s="6" t="n"/>
      <c r="T1" s="6" t="n"/>
      <c r="U1" s="5" t="n"/>
      <c r="V1" s="5" t="n"/>
      <c r="W1" s="5" t="n"/>
      <c r="X1" s="5" t="n"/>
      <c r="Y1" s="5" t="n"/>
      <c r="Z1" s="5" t="n"/>
      <c r="AA1" s="3" t="n"/>
      <c r="AB1" s="3" t="n"/>
      <c r="AC1" s="3" t="n"/>
      <c r="AD1" s="3" t="n"/>
      <c r="AE1" s="5" t="n"/>
      <c r="AF1" s="5" t="n"/>
      <c r="AG1" s="5" t="n"/>
      <c r="AH1" s="5" t="n"/>
      <c r="AI1" s="5" t="n"/>
      <c r="AJ1" s="5" t="n"/>
      <c r="AK1" s="5" t="n"/>
      <c r="BA1" t="inlineStr">
        <is>
          <t>เมโทรกุญแจอบขาว</t>
        </is>
      </c>
      <c r="BB1" t="inlineStr">
        <is>
          <t>JR00368</t>
        </is>
      </c>
      <c r="BD1">
        <f>IF($B$71="ประตู","กุญแจ+ล็อค","ล็อค")</f>
        <v/>
      </c>
    </row>
    <row r="2" ht="40.15" customHeight="1">
      <c r="A2" s="6" t="n"/>
      <c r="B2" s="6" t="n"/>
      <c r="C2" s="6" t="n"/>
      <c r="D2" s="6" t="n"/>
      <c r="E2" s="8" t="n"/>
      <c r="F2" s="6" t="n"/>
      <c r="G2" s="9" t="n"/>
      <c r="H2" s="9" t="n"/>
      <c r="I2" s="9" t="n"/>
      <c r="J2" s="9" t="n"/>
      <c r="K2" s="6" t="n"/>
      <c r="L2" s="6" t="n"/>
      <c r="M2" s="6" t="n"/>
      <c r="N2" s="6" t="n"/>
      <c r="O2" s="9" t="n"/>
      <c r="P2" s="9" t="n"/>
      <c r="Q2" s="6" t="n"/>
      <c r="R2" s="6" t="n"/>
      <c r="S2" s="9" t="n"/>
      <c r="T2" s="9" t="n"/>
      <c r="U2" s="9" t="n"/>
      <c r="V2" s="9" t="n"/>
      <c r="W2" s="9" t="n"/>
      <c r="X2" s="9" t="n"/>
      <c r="Y2" s="9" t="n"/>
      <c r="Z2" s="9" t="n"/>
      <c r="AA2" s="6" t="n"/>
      <c r="AB2" s="6" t="n"/>
      <c r="AC2" s="6" t="n"/>
      <c r="AD2" s="6" t="n"/>
      <c r="AE2" s="9" t="n"/>
      <c r="AF2" s="9" t="n"/>
      <c r="AG2" s="9" t="n"/>
      <c r="AH2" s="9" t="n"/>
      <c r="AI2" s="9" t="n"/>
      <c r="AJ2" s="9" t="n"/>
      <c r="AK2" s="9" t="n"/>
      <c r="BA2" t="inlineStr">
        <is>
          <t>เมโทรกุญแจดำ</t>
        </is>
      </c>
      <c r="BB2" t="inlineStr">
        <is>
          <t>JR00371</t>
        </is>
      </c>
      <c r="BD2">
        <f>IF($B$71="ประตู","ล็อค+ดัมมี่","ดัมมี่")</f>
        <v/>
      </c>
    </row>
    <row r="3" ht="40.15" customHeight="1">
      <c r="A3" s="130">
        <f>HYPERLINK("#สารบัญ!A1","← สารบัญ")</f>
        <v/>
      </c>
      <c r="B3" s="84" t="inlineStr">
        <is>
          <t>แบบบาน (รูป)</t>
        </is>
      </c>
      <c r="C3" s="85" t="n"/>
      <c r="D3" s="85" t="n"/>
      <c r="E3" s="100" t="n"/>
      <c r="F3" s="6" t="n"/>
      <c r="G3" s="11" t="n"/>
      <c r="H3" s="11" t="n"/>
      <c r="I3" s="9" t="n"/>
      <c r="J3" s="9" t="n"/>
      <c r="K3" s="6" t="n"/>
      <c r="L3" s="6" t="n"/>
      <c r="M3" s="6" t="n"/>
      <c r="N3" s="6" t="n"/>
      <c r="O3" s="11" t="n"/>
      <c r="P3" s="11" t="n"/>
      <c r="Q3" s="6" t="n"/>
      <c r="R3" s="6" t="n"/>
      <c r="U3" s="11" t="n"/>
      <c r="V3" s="11" t="n"/>
      <c r="W3" s="11" t="n"/>
      <c r="X3" s="11" t="n"/>
      <c r="Y3" s="11" t="n"/>
      <c r="Z3" s="11" t="n"/>
      <c r="AA3" s="6" t="n"/>
      <c r="AB3" s="6" t="n"/>
      <c r="AC3" s="6" t="n"/>
      <c r="AD3" s="6" t="n"/>
      <c r="AE3" s="11" t="n"/>
      <c r="AF3" s="11" t="n"/>
      <c r="AG3" s="11" t="n"/>
      <c r="AH3" s="11" t="n"/>
      <c r="AI3" s="11" t="n"/>
      <c r="AJ3" s="11" t="n"/>
      <c r="AK3" s="11" t="n"/>
      <c r="BA3" t="inlineStr">
        <is>
          <t>เมโทรล็อคอบขาว</t>
        </is>
      </c>
      <c r="BB3" t="inlineStr">
        <is>
          <t>JR00369</t>
        </is>
      </c>
      <c r="BD3">
        <f>IF($B$71="ประตู","ดัมมี่+ดัมมี่","")</f>
        <v/>
      </c>
    </row>
    <row r="4" ht="40.15" customHeight="1">
      <c r="A4" s="6" t="n"/>
      <c r="B4" s="6" t="n"/>
      <c r="C4" s="6" t="n"/>
      <c r="F4" s="6" t="n"/>
      <c r="I4" s="9" t="n"/>
      <c r="J4" s="9" t="n"/>
      <c r="K4" s="6" t="n"/>
      <c r="L4" s="6" t="n"/>
      <c r="M4" s="6" t="n"/>
      <c r="N4" s="6" t="n"/>
      <c r="Q4" s="6" t="n"/>
      <c r="R4" s="6" t="n"/>
      <c r="AA4" s="6" t="n"/>
      <c r="AB4" s="6" t="n"/>
      <c r="AC4" s="6" t="n"/>
      <c r="AD4" s="6" t="n"/>
      <c r="BA4" t="inlineStr">
        <is>
          <t>เมโทรล็อคดำ</t>
        </is>
      </c>
      <c r="BB4" t="inlineStr">
        <is>
          <t>JR00372</t>
        </is>
      </c>
      <c r="BD4">
        <f>IF($B$71="ประตู","Digital lock","")</f>
        <v/>
      </c>
    </row>
    <row r="5" ht="40.15" customHeight="1">
      <c r="A5" s="6" t="n"/>
      <c r="B5" s="6" t="n"/>
      <c r="C5" s="6" t="n"/>
      <c r="D5" s="6" t="n"/>
      <c r="E5" s="8" t="n"/>
      <c r="F5" s="6" t="n"/>
      <c r="K5" s="6" t="n"/>
      <c r="L5" s="6" t="n"/>
      <c r="N5" s="6" t="n"/>
      <c r="Q5" s="6" t="n"/>
      <c r="R5" s="6" t="n"/>
      <c r="AA5" s="6" t="n"/>
      <c r="AB5" s="6" t="n"/>
      <c r="AC5" s="6" t="n"/>
      <c r="AD5" s="6" t="n"/>
      <c r="BA5" t="inlineStr">
        <is>
          <t>เมโทรดัมมี่อบขาว</t>
        </is>
      </c>
      <c r="BB5" t="inlineStr">
        <is>
          <t>JR00370</t>
        </is>
      </c>
    </row>
    <row r="6" ht="60" customHeight="1">
      <c r="A6" s="13" t="inlineStr">
        <is>
          <t>สูตรตัด</t>
        </is>
      </c>
      <c r="B6" s="14" t="n"/>
      <c r="C6" s="14" t="n"/>
      <c r="D6" s="15" t="n"/>
      <c r="E6" s="16" t="inlineStr">
        <is>
          <t>สูง</t>
        </is>
      </c>
      <c r="F6" s="17" t="n"/>
      <c r="G6" s="16" t="inlineStr">
        <is>
          <t>กว้าง-21-21</t>
        </is>
      </c>
      <c r="H6" s="17" t="n"/>
      <c r="I6" s="16" t="inlineStr">
        <is>
          <t>กว้าง</t>
        </is>
      </c>
      <c r="J6" s="17" t="n"/>
      <c r="K6" s="16" t="inlineStr">
        <is>
          <t>สูง-21-19-13-21</t>
        </is>
      </c>
      <c r="L6" s="17" t="n"/>
      <c r="M6" s="16" t="inlineStr">
        <is>
          <t>((กว้าง-21-3-1.2-3-21)/2)+(78x1/2)</t>
        </is>
      </c>
      <c r="N6" s="17" t="n"/>
      <c r="O6" s="16" t="inlineStr">
        <is>
          <t>เสา-78-78</t>
        </is>
      </c>
      <c r="P6" s="17" t="n"/>
      <c r="Q6" s="16" t="inlineStr">
        <is>
          <t>ขวาง-63-63</t>
        </is>
      </c>
      <c r="R6" s="17" t="n"/>
      <c r="S6" s="16" t="inlineStr">
        <is>
          <t>สูงกรอบบาน</t>
        </is>
      </c>
      <c r="T6" s="17" t="n"/>
      <c r="U6" s="16" t="inlineStr">
        <is>
          <t>สูง-45-45</t>
        </is>
      </c>
      <c r="V6" s="17" t="n"/>
      <c r="W6" s="16" t="inlineStr">
        <is>
          <t>เท่าเฟรมบน</t>
        </is>
      </c>
      <c r="X6" s="17" t="n"/>
      <c r="Y6" s="16" t="inlineStr">
        <is>
          <t>สูง-45-45</t>
        </is>
      </c>
      <c r="Z6" s="17" t="n"/>
      <c r="AA6" s="16" t="inlineStr">
        <is>
          <t>สูงกรอบบาน</t>
        </is>
      </c>
      <c r="AB6" s="17" t="n"/>
      <c r="AC6" s="16" t="inlineStr">
        <is>
          <t>กว้าง</t>
        </is>
      </c>
      <c r="AD6" s="17" t="n"/>
      <c r="AE6" s="16" t="inlineStr">
        <is>
          <t>เท่าเฟรมล่าง</t>
        </is>
      </c>
      <c r="AF6" s="17" t="n"/>
      <c r="AG6" s="18" t="n"/>
      <c r="AH6" s="18" t="n"/>
      <c r="AI6" s="18" t="n"/>
      <c r="BA6" t="inlineStr">
        <is>
          <t>เมโทรดัมมี่ดำ</t>
        </is>
      </c>
      <c r="BB6" t="inlineStr">
        <is>
          <t>JR00373</t>
        </is>
      </c>
      <c r="BC6">
        <f>(COUNTIF($B$74:$B$75,"กุญแจ+ล็อค")+COUNTIF($B$74:$B$75,"ล็อค+ดัมมี่")+COUNTIF($B$74:$B$75,"ล็อค"))</f>
        <v/>
      </c>
    </row>
    <row r="7" ht="40.15" customHeight="1">
      <c r="A7" s="19" t="inlineStr">
        <is>
          <t>ใส่ข้อมูล</t>
        </is>
      </c>
      <c r="B7" s="20" t="n"/>
      <c r="C7" s="20" t="n"/>
      <c r="D7" s="21" t="n"/>
      <c r="E7" s="22" t="inlineStr">
        <is>
          <t>F7978</t>
        </is>
      </c>
      <c r="F7" s="15" t="n"/>
      <c r="G7" s="22" t="inlineStr">
        <is>
          <t>F7976</t>
        </is>
      </c>
      <c r="H7" s="15" t="n"/>
      <c r="I7" s="22" t="inlineStr">
        <is>
          <t>F7992</t>
        </is>
      </c>
      <c r="J7" s="15" t="n"/>
      <c r="K7" s="22" t="inlineStr">
        <is>
          <t>F7980</t>
        </is>
      </c>
      <c r="L7" s="14" t="n"/>
      <c r="M7" s="14" t="n"/>
      <c r="N7" s="15" t="n"/>
      <c r="O7" s="22" t="inlineStr">
        <is>
          <t>F7919</t>
        </is>
      </c>
      <c r="P7" s="14" t="n"/>
      <c r="Q7" s="14" t="n"/>
      <c r="R7" s="15" t="n"/>
      <c r="S7" s="22" t="inlineStr">
        <is>
          <t>F7983</t>
        </is>
      </c>
      <c r="T7" s="15" t="n"/>
      <c r="U7" s="22" t="inlineStr">
        <is>
          <t>F7986</t>
        </is>
      </c>
      <c r="V7" s="15" t="n"/>
      <c r="W7" s="22" t="inlineStr">
        <is>
          <t>F7993</t>
        </is>
      </c>
      <c r="X7" s="15" t="n"/>
      <c r="Y7" s="22" t="inlineStr">
        <is>
          <t>F7988</t>
        </is>
      </c>
      <c r="Z7" s="14" t="n"/>
      <c r="AA7" s="14" t="n"/>
      <c r="AB7" s="14" t="n"/>
      <c r="AC7" s="14" t="n"/>
      <c r="AD7" s="15" t="n"/>
      <c r="AE7" s="22" t="inlineStr">
        <is>
          <t>F7994</t>
        </is>
      </c>
      <c r="AF7" s="15" t="n"/>
      <c r="AG7" s="24" t="n"/>
      <c r="AH7" s="25" t="inlineStr">
        <is>
          <t>ขนาดกระจก</t>
        </is>
      </c>
      <c r="AI7" s="26" t="n"/>
      <c r="BA7" t="inlineStr">
        <is>
          <t>Alignกุญแจอบขาว</t>
        </is>
      </c>
      <c r="BB7" t="inlineStr">
        <is>
          <t>JR00377</t>
        </is>
      </c>
      <c r="BC7">
        <f>COUNTIF($B$74:$B$75,"กุญแจ+ล็อค")</f>
        <v/>
      </c>
    </row>
    <row r="8" ht="40.15" customHeight="1">
      <c r="A8" s="27" t="inlineStr">
        <is>
          <t>แผน</t>
        </is>
      </c>
      <c r="B8" s="28" t="inlineStr">
        <is>
          <t>ขนาดชิ้นงาน
(mm)</t>
        </is>
      </c>
      <c r="C8" s="29" t="n"/>
      <c r="D8" s="27" t="inlineStr">
        <is>
          <t>ชุด</t>
        </is>
      </c>
      <c r="E8" s="30" t="n"/>
      <c r="F8" s="31" t="n"/>
      <c r="G8" s="30" t="n"/>
      <c r="H8" s="31" t="n"/>
      <c r="I8" s="30" t="n"/>
      <c r="J8" s="31" t="n"/>
      <c r="K8" s="32" t="n"/>
      <c r="L8" s="33" t="n"/>
      <c r="M8" s="34" t="n"/>
      <c r="N8" s="31" t="n"/>
      <c r="O8" s="32" t="n"/>
      <c r="P8" s="33" t="n"/>
      <c r="Q8" s="34" t="n"/>
      <c r="R8" s="31" t="n"/>
      <c r="S8" s="32" t="n"/>
      <c r="T8" s="33" t="n"/>
      <c r="U8" s="32" t="n"/>
      <c r="V8" s="33" t="n"/>
      <c r="W8" s="32" t="n"/>
      <c r="X8" s="33" t="n"/>
      <c r="Y8" s="32" t="n"/>
      <c r="Z8" s="33" t="n"/>
      <c r="AA8" s="35" t="n"/>
      <c r="AB8" s="33" t="n"/>
      <c r="AC8" s="34" t="n"/>
      <c r="AD8" s="31" t="n"/>
      <c r="AE8" s="30" t="n"/>
      <c r="AF8" s="31" t="n"/>
      <c r="AG8" s="36" t="n"/>
      <c r="AH8" s="37" t="inlineStr">
        <is>
          <t>กรอบบาน</t>
        </is>
      </c>
      <c r="AI8" s="38" t="n"/>
      <c r="AK8" s="136" t="inlineStr">
        <is>
          <t>JR00577</t>
        </is>
      </c>
      <c r="AL8" s="136">
        <f>VLOOKUP($B$72&amp;"กุญแจ"&amp;$B$73,$BA$1:$BB$12,2,0)</f>
        <v/>
      </c>
      <c r="AM8" s="136">
        <f>VLOOKUP($B$72&amp;"ล็อค"&amp;$B$73,$BA$1:$BB$12,2,0)</f>
        <v/>
      </c>
      <c r="AN8" s="136">
        <f>VLOOKUP($B$72&amp;"ดัมมี่"&amp;$B$73,$BA$1:$BB$12,2,0)</f>
        <v/>
      </c>
      <c r="AO8" s="136" t="inlineStr"/>
      <c r="AP8" s="136" t="inlineStr">
        <is>
          <t>JR00478</t>
        </is>
      </c>
      <c r="AQ8" s="136" t="inlineStr">
        <is>
          <t>JR00479</t>
        </is>
      </c>
      <c r="AR8" s="136" t="inlineStr">
        <is>
          <t>JR00476</t>
        </is>
      </c>
      <c r="AS8" s="136" t="inlineStr">
        <is>
          <t>JR00475</t>
        </is>
      </c>
      <c r="AT8" s="136" t="inlineStr">
        <is>
          <t>JR00477</t>
        </is>
      </c>
      <c r="AU8" s="136" t="inlineStr">
        <is>
          <t>JR00592</t>
        </is>
      </c>
      <c r="AV8" s="136" t="inlineStr">
        <is>
          <t>JR00480</t>
        </is>
      </c>
      <c r="AW8" s="136" t="inlineStr">
        <is>
          <t>JR00589</t>
        </is>
      </c>
      <c r="AX8" s="136" t="inlineStr">
        <is>
          <t>JR00485</t>
        </is>
      </c>
      <c r="AY8" s="136" t="inlineStr">
        <is>
          <t>JR00794</t>
        </is>
      </c>
      <c r="AZ8" s="138" t="n"/>
      <c r="BA8" t="inlineStr">
        <is>
          <t>Alignล็อคอบขาว</t>
        </is>
      </c>
      <c r="BB8" t="inlineStr">
        <is>
          <t>JR00378</t>
        </is>
      </c>
    </row>
    <row r="9" ht="40.15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 บน-ล่าง</t>
        </is>
      </c>
      <c r="H9" s="43" t="n"/>
      <c r="I9" s="42" t="inlineStr">
        <is>
          <t>ตบกันสาด</t>
        </is>
      </c>
      <c r="J9" s="43" t="n"/>
      <c r="K9" s="42" t="inlineStr">
        <is>
          <t>เสา</t>
        </is>
      </c>
      <c r="L9" s="43" t="n"/>
      <c r="M9" s="42" t="inlineStr">
        <is>
          <t>ขวาง</t>
        </is>
      </c>
      <c r="N9" s="43" t="n"/>
      <c r="O9" s="42" t="inlineStr">
        <is>
          <t>คิ้ว ตั้ง</t>
        </is>
      </c>
      <c r="P9" s="43" t="n"/>
      <c r="Q9" s="42" t="inlineStr">
        <is>
          <t>คิ้ว ขวาง</t>
        </is>
      </c>
      <c r="R9" s="43" t="n"/>
      <c r="S9" s="42" t="inlineStr">
        <is>
          <t>ตบเกี่ยว</t>
        </is>
      </c>
      <c r="T9" s="43" t="n"/>
      <c r="U9" s="44" t="inlineStr">
        <is>
          <t>ยูข้าง</t>
        </is>
      </c>
      <c r="V9" s="43" t="n"/>
      <c r="W9" s="44" t="inlineStr">
        <is>
          <t>ตบเฟรมบน</t>
        </is>
      </c>
      <c r="X9" s="43" t="n"/>
      <c r="Y9" s="44" t="inlineStr">
        <is>
          <t>ตบยูข้าง</t>
        </is>
      </c>
      <c r="Z9" s="43" t="n"/>
      <c r="AA9" s="42" t="inlineStr">
        <is>
          <t>ปิดตบเกี่ยว</t>
        </is>
      </c>
      <c r="AB9" s="43" t="n"/>
      <c r="AC9" s="42" t="inlineStr">
        <is>
          <t>ตบกันสาด</t>
        </is>
      </c>
      <c r="AD9" s="43" t="n"/>
      <c r="AE9" s="44" t="inlineStr">
        <is>
          <t>ราง</t>
        </is>
      </c>
      <c r="AF9" s="43" t="n"/>
      <c r="AG9" s="45" t="inlineStr">
        <is>
          <t>SH-68-68</t>
        </is>
      </c>
      <c r="AH9" s="46" t="inlineStr">
        <is>
          <t>SW-68-68</t>
        </is>
      </c>
      <c r="AI9" s="47" t="n"/>
      <c r="AK9" s="137" t="inlineStr">
        <is>
          <t>ล้อ 20</t>
        </is>
      </c>
      <c r="AL9" s="137" t="inlineStr">
        <is>
          <t>มือจับ กุญแจ</t>
        </is>
      </c>
      <c r="AM9" s="137" t="inlineStr">
        <is>
          <t>มือจับ ล็อค</t>
        </is>
      </c>
      <c r="AN9" s="137" t="inlineStr">
        <is>
          <t>มือจับ ดัมมี่</t>
        </is>
      </c>
      <c r="AO9" s="137" t="inlineStr">
        <is>
          <t>Digital lock</t>
        </is>
      </c>
      <c r="AP9" s="137" t="inlineStr">
        <is>
          <t>แกน A</t>
        </is>
      </c>
      <c r="AQ9" s="137" t="inlineStr">
        <is>
          <t>แกน B</t>
        </is>
      </c>
      <c r="AR9" s="137" t="inlineStr">
        <is>
          <t>ปลายดำ</t>
        </is>
      </c>
      <c r="AS9" s="137" t="inlineStr">
        <is>
          <t>ตัวที เงิน</t>
        </is>
      </c>
      <c r="AT9" s="137" t="inlineStr">
        <is>
          <t>ก้ามปู</t>
        </is>
      </c>
      <c r="AU9" s="137" t="inlineStr">
        <is>
          <t>สปิงก็อท</t>
        </is>
      </c>
      <c r="AV9" s="137" t="inlineStr">
        <is>
          <t>ฉากประกอบมุม</t>
        </is>
      </c>
      <c r="AW9" s="137" t="inlineStr">
        <is>
          <t>ยางรูน้ำ</t>
        </is>
      </c>
      <c r="AX9" s="137" t="inlineStr">
        <is>
          <t>วาวรูน้ำ</t>
        </is>
      </c>
      <c r="AY9" s="137" t="inlineStr">
        <is>
          <t>สักหลาด(ม.)</t>
        </is>
      </c>
      <c r="AZ9" s="146" t="n"/>
      <c r="BA9" t="inlineStr">
        <is>
          <t>Alignดัมมี่อบขาว</t>
        </is>
      </c>
      <c r="BB9" t="inlineStr">
        <is>
          <t>JR00379</t>
        </is>
      </c>
      <c r="BC9">
        <f>(COUNTIF($B$74:$B$75,"ล็อค+ดัมมี่")+2*COUNTIF($B$74:$B$75,"ดัมมี่+ดัมมี่")+COUNTIF($B$74:$B$75,"ดัมมี่"))</f>
        <v/>
      </c>
    </row>
    <row r="10" ht="40.15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3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3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4" t="inlineStr">
        <is>
          <t>จำนวน</t>
        </is>
      </c>
      <c r="AA10" s="52" t="inlineStr">
        <is>
          <t>ยาว</t>
        </is>
      </c>
      <c r="AB10" s="53" t="inlineStr">
        <is>
          <t>จำนวน</t>
        </is>
      </c>
      <c r="AC10" s="52" t="inlineStr">
        <is>
          <t>ยาว</t>
        </is>
      </c>
      <c r="AD10" s="53" t="inlineStr">
        <is>
          <t>จำนวน</t>
        </is>
      </c>
      <c r="AE10" s="52" t="inlineStr">
        <is>
          <t>ยาว</t>
        </is>
      </c>
      <c r="AF10" s="54" t="inlineStr">
        <is>
          <t>จำนวน</t>
        </is>
      </c>
      <c r="AG10" s="55" t="inlineStr">
        <is>
          <t>H</t>
        </is>
      </c>
      <c r="AH10" s="56" t="inlineStr">
        <is>
          <t>W</t>
        </is>
      </c>
      <c r="AI10" s="57" t="inlineStr">
        <is>
          <t>จำนวน</t>
        </is>
      </c>
      <c r="AK10" s="137" t="inlineStr">
        <is>
          <t>จำนวน</t>
        </is>
      </c>
      <c r="AL10" s="137" t="inlineStr">
        <is>
          <t>จำนวน</t>
        </is>
      </c>
      <c r="AM10" s="137" t="inlineStr">
        <is>
          <t>จำนวน</t>
        </is>
      </c>
      <c r="AN10" s="137" t="inlineStr">
        <is>
          <t>จำนวน</t>
        </is>
      </c>
      <c r="AO10" s="137" t="inlineStr">
        <is>
          <t>จำนวน</t>
        </is>
      </c>
      <c r="AP10" s="137" t="inlineStr">
        <is>
          <t>จำนวน</t>
        </is>
      </c>
      <c r="AQ10" s="137" t="inlineStr">
        <is>
          <t>จำนวน</t>
        </is>
      </c>
      <c r="AR10" s="137" t="inlineStr">
        <is>
          <t>จำนวน</t>
        </is>
      </c>
      <c r="AS10" s="137" t="inlineStr">
        <is>
          <t>จำนวน</t>
        </is>
      </c>
      <c r="AT10" s="137" t="inlineStr">
        <is>
          <t>จำนวน</t>
        </is>
      </c>
      <c r="AU10" s="137" t="inlineStr">
        <is>
          <t>จำนวน</t>
        </is>
      </c>
      <c r="AV10" s="137" t="inlineStr">
        <is>
          <t>จำนวน</t>
        </is>
      </c>
      <c r="AW10" s="137" t="inlineStr">
        <is>
          <t>จำนวน</t>
        </is>
      </c>
      <c r="AX10" s="137" t="inlineStr">
        <is>
          <t>จำนวน</t>
        </is>
      </c>
      <c r="AY10" s="137" t="inlineStr">
        <is>
          <t>จำนวน</t>
        </is>
      </c>
      <c r="AZ10" s="146" t="n"/>
      <c r="BA10" t="inlineStr">
        <is>
          <t>Alignกุญแจดำ</t>
        </is>
      </c>
      <c r="BB10" t="inlineStr">
        <is>
          <t>JR00374</t>
        </is>
      </c>
      <c r="BC10">
        <f>COUNTIF($B$74:$B$75,"Digital lock")</f>
        <v/>
      </c>
    </row>
    <row r="11" ht="40.15" customHeight="1">
      <c r="A11" s="101" t="inlineStr">
        <is>
          <t>D1</t>
        </is>
      </c>
      <c r="B11" s="102" t="n">
        <v>500</v>
      </c>
      <c r="C11" s="92" t="n">
        <v>700</v>
      </c>
      <c r="D11" s="103" t="n">
        <v>15</v>
      </c>
      <c r="E11" s="104">
        <f>IF($A11="","",$B11)</f>
        <v/>
      </c>
      <c r="F11" s="92">
        <f>IF($A11="","",$L$54*$D11)</f>
        <v/>
      </c>
      <c r="G11" s="104">
        <f>IF($A11="","",$C11-$E$55-$F$55)</f>
        <v/>
      </c>
      <c r="H11" s="92">
        <f>IF($A11="","",$L$55*$D11)</f>
        <v/>
      </c>
      <c r="I11" s="104">
        <f>IF($A11="","",$C11)</f>
        <v/>
      </c>
      <c r="J11" s="92">
        <f>IF($A11="","",$L$56*$D11)</f>
        <v/>
      </c>
      <c r="K11" s="104">
        <f>IF($A11="","",$B11-$E$57-$F$57-$G$57-$H$57)</f>
        <v/>
      </c>
      <c r="L11" s="92">
        <f>IF($A11="","",$L$57*$D11)</f>
        <v/>
      </c>
      <c r="M11" s="104">
        <f>IF($A11="","",(($C11-$E$58-$F$58-$G$58-$H$58-$I$58)/2)+(78*1)/2)</f>
        <v/>
      </c>
      <c r="N11" s="92">
        <f>IF($A11="","",$L$58*$D11)</f>
        <v/>
      </c>
      <c r="O11" s="104">
        <f>IF($A11="","",$K11-$E$59-$F$59)</f>
        <v/>
      </c>
      <c r="P11" s="92">
        <f>IF($A11="","",$L$59*$D11)</f>
        <v/>
      </c>
      <c r="Q11" s="104">
        <f>IF($A11="","",$M11-$E$60-$F$60)</f>
        <v/>
      </c>
      <c r="R11" s="92">
        <f>IF($A11="","",$L$60*$D11)</f>
        <v/>
      </c>
      <c r="S11" s="104">
        <f>IF($A11="","",$K11)</f>
        <v/>
      </c>
      <c r="T11" s="92">
        <f>IF($A11="","",$L$61*$D11)</f>
        <v/>
      </c>
      <c r="U11" s="104">
        <f>IF($A11="","",$B11-$E$62-$F$62)</f>
        <v/>
      </c>
      <c r="V11" s="92">
        <f>IF($A11="","",$L$62*$D11)</f>
        <v/>
      </c>
      <c r="W11" s="104">
        <f>IF($A11="","",$C11-$E$63-$F$63)</f>
        <v/>
      </c>
      <c r="X11" s="92">
        <f>IF($A11="","",$L$63*$D11)</f>
        <v/>
      </c>
      <c r="Y11" s="104">
        <f>IF($A11="","",$B11-$E$64-$F$64)</f>
        <v/>
      </c>
      <c r="Z11" s="92">
        <f>IF($A11="","",$L$64*$D11)</f>
        <v/>
      </c>
      <c r="AA11" s="104">
        <f>IF($A11="","",$S11)</f>
        <v/>
      </c>
      <c r="AB11" s="92">
        <f>IF($A11="","",$L$65*$D11)</f>
        <v/>
      </c>
      <c r="AC11" s="104">
        <f>IF($A11="","",$C11)</f>
        <v/>
      </c>
      <c r="AD11" s="92">
        <f>IF($A11="","",$L$66*$D11)</f>
        <v/>
      </c>
      <c r="AE11" s="104">
        <f>IF($A11="","",$C11-$E$67-$F$67)</f>
        <v/>
      </c>
      <c r="AF11" s="92">
        <f>IF($A11="","",$L$67*$D11)</f>
        <v/>
      </c>
      <c r="AG11" s="105">
        <f>IF($A11="","",$K11-68-68)</f>
        <v/>
      </c>
      <c r="AH11" s="135">
        <f>IF($A11="","",$M11-68-68)</f>
        <v/>
      </c>
      <c r="AI11" s="107">
        <f>IF($A11="","",2*$D11)</f>
        <v/>
      </c>
      <c r="AK11" s="138">
        <f>IF($A11="","",2*2*$D11)</f>
        <v/>
      </c>
      <c r="AL11" s="138">
        <f>IF($A11="","",$BC$7*$D11)</f>
        <v/>
      </c>
      <c r="AM11" s="138">
        <f>IF($A11="","",$BC$6*$D11)</f>
        <v/>
      </c>
      <c r="AN11" s="138">
        <f>IF($A11="","",$BC$9*$D11)</f>
        <v/>
      </c>
      <c r="AO11" s="138">
        <f>IF($A11="","",$BC$10*$D11)</f>
        <v/>
      </c>
      <c r="AP11" s="138">
        <f>IF($A11="","",2*$BC$6*$D11)</f>
        <v/>
      </c>
      <c r="AQ11" s="138">
        <f>IF($A11="","",IF($B11&gt;2800,2,IF($B11&gt;1400,1,0))*$BC$6*$D11)</f>
        <v/>
      </c>
      <c r="AR11" s="138">
        <f>IF($A11="","",2*$BC$6*$D11)</f>
        <v/>
      </c>
      <c r="AS11" s="138">
        <f>IF($A11="","",$BC$6*$D11)</f>
        <v/>
      </c>
      <c r="AT11" s="138">
        <f>IF($A11="","",2*$BC$6*$D11)</f>
        <v/>
      </c>
      <c r="AU11" s="138">
        <f>IF($A11="","",4*2*$D11)</f>
        <v/>
      </c>
      <c r="AV11" s="138">
        <f>IF($A11="","",16*2*$D11)</f>
        <v/>
      </c>
      <c r="AW11" s="138">
        <f>IF($A11="","",(2+MAX(0,ROUNDUP(($G11-1500)/500,0)))*$D11)</f>
        <v/>
      </c>
      <c r="AX11" s="138">
        <f>IF($A11="","",(2+MAX(0,ROUNDUP(($G11-1500)/500,0)))*$D11)</f>
        <v/>
      </c>
      <c r="AY11" s="138">
        <f>IF($A11="","",ROUND((2*2*($M11+$K11)*2*$D11+$S11*$T11)/1000,1))</f>
        <v/>
      </c>
      <c r="AZ11" s="138" t="n"/>
      <c r="BA11" t="inlineStr">
        <is>
          <t>Alignล็อคดำ</t>
        </is>
      </c>
      <c r="BB11" t="inlineStr">
        <is>
          <t>JR00375</t>
        </is>
      </c>
    </row>
    <row r="12" ht="40.15" customHeight="1">
      <c r="A12" s="101" t="n"/>
      <c r="B12" s="102" t="n"/>
      <c r="C12" s="92" t="n"/>
      <c r="D12" s="103" t="n"/>
      <c r="E12" s="108">
        <f>IF($A12="","",$B12)</f>
        <v/>
      </c>
      <c r="F12" s="98">
        <f>IF($A12="","",$L$54*$D12)</f>
        <v/>
      </c>
      <c r="G12" s="108">
        <f>IF($A12="","",$C12-$E$55-$F$55)</f>
        <v/>
      </c>
      <c r="H12" s="98">
        <f>IF($A12="","",$L$55*$D12)</f>
        <v/>
      </c>
      <c r="I12" s="108">
        <f>IF($A12="","",$C12)</f>
        <v/>
      </c>
      <c r="J12" s="98">
        <f>IF($A12="","",$L$56*$D12)</f>
        <v/>
      </c>
      <c r="K12" s="108">
        <f>IF($A12="","",$B12-$E$57-$F$57-$G$57-$H$57)</f>
        <v/>
      </c>
      <c r="L12" s="98">
        <f>IF($A12="","",$L$57*$D12)</f>
        <v/>
      </c>
      <c r="M12" s="108">
        <f>IF($A12="","",(($C12-$E$58-$F$58-$G$58-$H$58-$I$58)/2)+(78*1)/2)</f>
        <v/>
      </c>
      <c r="N12" s="98">
        <f>IF($A12="","",$L$58*$D12)</f>
        <v/>
      </c>
      <c r="O12" s="108">
        <f>IF($A12="","",$K12-$E$59-$F$59)</f>
        <v/>
      </c>
      <c r="P12" s="98">
        <f>IF($A12="","",$L$59*$D12)</f>
        <v/>
      </c>
      <c r="Q12" s="108">
        <f>IF($A12="","",$M12-$E$60-$F$60)</f>
        <v/>
      </c>
      <c r="R12" s="98">
        <f>IF($A12="","",$L$60*$D12)</f>
        <v/>
      </c>
      <c r="S12" s="108">
        <f>IF($A12="","",$K12)</f>
        <v/>
      </c>
      <c r="T12" s="98">
        <f>IF($A12="","",$L$61*$D12)</f>
        <v/>
      </c>
      <c r="U12" s="108">
        <f>IF($A12="","",$B12-$E$62-$F$62)</f>
        <v/>
      </c>
      <c r="V12" s="98">
        <f>IF($A12="","",$L$62*$D12)</f>
        <v/>
      </c>
      <c r="W12" s="108">
        <f>IF($A12="","",$C12-$E$63-$F$63)</f>
        <v/>
      </c>
      <c r="X12" s="98">
        <f>IF($A12="","",$L$63*$D12)</f>
        <v/>
      </c>
      <c r="Y12" s="108">
        <f>IF($A12="","",$B12-$E$64-$F$64)</f>
        <v/>
      </c>
      <c r="Z12" s="98">
        <f>IF($A12="","",$L$64*$D12)</f>
        <v/>
      </c>
      <c r="AA12" s="108">
        <f>IF($A12="","",$S12)</f>
        <v/>
      </c>
      <c r="AB12" s="98">
        <f>IF($A12="","",$L$65*$D12)</f>
        <v/>
      </c>
      <c r="AC12" s="108">
        <f>IF($A12="","",$C12)</f>
        <v/>
      </c>
      <c r="AD12" s="98">
        <f>IF($A12="","",$L$66*$D12)</f>
        <v/>
      </c>
      <c r="AE12" s="108">
        <f>IF($A12="","",$C12-$E$67-$F$67)</f>
        <v/>
      </c>
      <c r="AF12" s="98">
        <f>IF($A12="","",$L$67*$D12)</f>
        <v/>
      </c>
      <c r="AG12" s="105">
        <f>IF($A12="","",$K12-68-68)</f>
        <v/>
      </c>
      <c r="AH12" s="106">
        <f>IF($A12="","",$M12-68-68)</f>
        <v/>
      </c>
      <c r="AI12" s="107">
        <f>IF($A12="","",2*$D12)</f>
        <v/>
      </c>
      <c r="AK12" s="138">
        <f>IF($A12="","",2*2*$D12)</f>
        <v/>
      </c>
      <c r="AL12" s="138">
        <f>IF($A12="","",$BC$7*$D12)</f>
        <v/>
      </c>
      <c r="AM12" s="138">
        <f>IF($A12="","",$BC$6*$D12)</f>
        <v/>
      </c>
      <c r="AN12" s="138">
        <f>IF($A12="","",$BC$9*$D12)</f>
        <v/>
      </c>
      <c r="AO12" s="138">
        <f>IF($A12="","",$BC$10*$D12)</f>
        <v/>
      </c>
      <c r="AP12" s="138">
        <f>IF($A12="","",2*$BC$6*$D12)</f>
        <v/>
      </c>
      <c r="AQ12" s="138">
        <f>IF($A12="","",IF($B12&gt;2800,2,IF($B12&gt;1400,1,0))*$BC$6*$D12)</f>
        <v/>
      </c>
      <c r="AR12" s="138">
        <f>IF($A12="","",2*$BC$6*$D12)</f>
        <v/>
      </c>
      <c r="AS12" s="138">
        <f>IF($A12="","",$BC$6*$D12)</f>
        <v/>
      </c>
      <c r="AT12" s="138">
        <f>IF($A12="","",2*$BC$6*$D12)</f>
        <v/>
      </c>
      <c r="AU12" s="138">
        <f>IF($A12="","",4*2*$D12)</f>
        <v/>
      </c>
      <c r="AV12" s="138">
        <f>IF($A12="","",16*2*$D12)</f>
        <v/>
      </c>
      <c r="AW12" s="138">
        <f>IF($A12="","",(2+MAX(0,ROUNDUP(($G12-1500)/500,0)))*$D12)</f>
        <v/>
      </c>
      <c r="AX12" s="138">
        <f>IF($A12="","",(2+MAX(0,ROUNDUP(($G12-1500)/500,0)))*$D12)</f>
        <v/>
      </c>
      <c r="AY12" s="138">
        <f>IF($A12="","",ROUND((2*2*($M12+$K12)*2*$D12+$S12*$T12)/1000,1))</f>
        <v/>
      </c>
      <c r="AZ12" s="138" t="n"/>
      <c r="BA12" t="inlineStr">
        <is>
          <t>Alignดัมมี่ดำ</t>
        </is>
      </c>
      <c r="BB12" t="inlineStr">
        <is>
          <t>JR00376</t>
        </is>
      </c>
    </row>
    <row r="13" ht="40.15" customHeight="1">
      <c r="A13" s="101" t="n"/>
      <c r="B13" s="102" t="n"/>
      <c r="C13" s="92" t="n"/>
      <c r="D13" s="103" t="n"/>
      <c r="E13" s="104">
        <f>IF($A13="","",$B13)</f>
        <v/>
      </c>
      <c r="F13" s="92">
        <f>IF($A13="","",$L$54*$D13)</f>
        <v/>
      </c>
      <c r="G13" s="104">
        <f>IF($A13="","",$C13-$E$55-$F$55)</f>
        <v/>
      </c>
      <c r="H13" s="92">
        <f>IF($A13="","",$L$55*$D13)</f>
        <v/>
      </c>
      <c r="I13" s="104">
        <f>IF($A13="","",$C13)</f>
        <v/>
      </c>
      <c r="J13" s="92">
        <f>IF($A13="","",$L$56*$D13)</f>
        <v/>
      </c>
      <c r="K13" s="104">
        <f>IF($A13="","",$B13-$E$57-$F$57-$G$57-$H$57)</f>
        <v/>
      </c>
      <c r="L13" s="92">
        <f>IF($A13="","",$L$57*$D13)</f>
        <v/>
      </c>
      <c r="M13" s="104">
        <f>IF($A13="","",(($C13-$E$58-$F$58-$G$58-$H$58-$I$58)/2)+(78*1)/2)</f>
        <v/>
      </c>
      <c r="N13" s="92">
        <f>IF($A13="","",$L$58*$D13)</f>
        <v/>
      </c>
      <c r="O13" s="104">
        <f>IF($A13="","",$K13-$E$59-$F$59)</f>
        <v/>
      </c>
      <c r="P13" s="92">
        <f>IF($A13="","",$L$59*$D13)</f>
        <v/>
      </c>
      <c r="Q13" s="104">
        <f>IF($A13="","",$M13-$E$60-$F$60)</f>
        <v/>
      </c>
      <c r="R13" s="92">
        <f>IF($A13="","",$L$60*$D13)</f>
        <v/>
      </c>
      <c r="S13" s="104">
        <f>IF($A13="","",$K13)</f>
        <v/>
      </c>
      <c r="T13" s="92">
        <f>IF($A13="","",$L$61*$D13)</f>
        <v/>
      </c>
      <c r="U13" s="104">
        <f>IF($A13="","",$B13-$E$62-$F$62)</f>
        <v/>
      </c>
      <c r="V13" s="92">
        <f>IF($A13="","",$L$62*$D13)</f>
        <v/>
      </c>
      <c r="W13" s="104">
        <f>IF($A13="","",$C13-$E$63-$F$63)</f>
        <v/>
      </c>
      <c r="X13" s="92">
        <f>IF($A13="","",$L$63*$D13)</f>
        <v/>
      </c>
      <c r="Y13" s="104">
        <f>IF($A13="","",$B13-$E$64-$F$64)</f>
        <v/>
      </c>
      <c r="Z13" s="92">
        <f>IF($A13="","",$L$64*$D13)</f>
        <v/>
      </c>
      <c r="AA13" s="104">
        <f>IF($A13="","",$S13)</f>
        <v/>
      </c>
      <c r="AB13" s="92">
        <f>IF($A13="","",$L$65*$D13)</f>
        <v/>
      </c>
      <c r="AC13" s="104">
        <f>IF($A13="","",$C13)</f>
        <v/>
      </c>
      <c r="AD13" s="92">
        <f>IF($A13="","",$L$66*$D13)</f>
        <v/>
      </c>
      <c r="AE13" s="104">
        <f>IF($A13="","",$C13-$E$67-$F$67)</f>
        <v/>
      </c>
      <c r="AF13" s="92">
        <f>IF($A13="","",$L$67*$D13)</f>
        <v/>
      </c>
      <c r="AG13" s="105">
        <f>IF($A13="","",$K13-68-68)</f>
        <v/>
      </c>
      <c r="AH13" s="106">
        <f>IF($A13="","",$M13-68-68)</f>
        <v/>
      </c>
      <c r="AI13" s="107">
        <f>IF($A13="","",2*$D13)</f>
        <v/>
      </c>
      <c r="AK13" s="138">
        <f>IF($A13="","",2*2*$D13)</f>
        <v/>
      </c>
      <c r="AL13" s="138">
        <f>IF($A13="","",$BC$7*$D13)</f>
        <v/>
      </c>
      <c r="AM13" s="138">
        <f>IF($A13="","",$BC$6*$D13)</f>
        <v/>
      </c>
      <c r="AN13" s="138">
        <f>IF($A13="","",$BC$9*$D13)</f>
        <v/>
      </c>
      <c r="AO13" s="138">
        <f>IF($A13="","",$BC$10*$D13)</f>
        <v/>
      </c>
      <c r="AP13" s="138">
        <f>IF($A13="","",2*$BC$6*$D13)</f>
        <v/>
      </c>
      <c r="AQ13" s="138">
        <f>IF($A13="","",IF($B13&gt;2800,2,IF($B13&gt;1400,1,0))*$BC$6*$D13)</f>
        <v/>
      </c>
      <c r="AR13" s="138">
        <f>IF($A13="","",2*$BC$6*$D13)</f>
        <v/>
      </c>
      <c r="AS13" s="138">
        <f>IF($A13="","",$BC$6*$D13)</f>
        <v/>
      </c>
      <c r="AT13" s="138">
        <f>IF($A13="","",2*$BC$6*$D13)</f>
        <v/>
      </c>
      <c r="AU13" s="138">
        <f>IF($A13="","",4*2*$D13)</f>
        <v/>
      </c>
      <c r="AV13" s="138">
        <f>IF($A13="","",16*2*$D13)</f>
        <v/>
      </c>
      <c r="AW13" s="138">
        <f>IF($A13="","",(2+MAX(0,ROUNDUP(($G13-1500)/500,0)))*$D13)</f>
        <v/>
      </c>
      <c r="AX13" s="138">
        <f>IF($A13="","",(2+MAX(0,ROUNDUP(($G13-1500)/500,0)))*$D13)</f>
        <v/>
      </c>
      <c r="AY13" s="138">
        <f>IF($A13="","",ROUND((2*2*($M13+$K13)*2*$D13+$S13*$T13)/1000,1))</f>
        <v/>
      </c>
      <c r="AZ13" s="138" t="n"/>
    </row>
    <row r="14" ht="40.15" customHeight="1">
      <c r="A14" s="101" t="n"/>
      <c r="B14" s="102" t="n"/>
      <c r="C14" s="92" t="n"/>
      <c r="D14" s="103" t="n"/>
      <c r="E14" s="108">
        <f>IF($A14="","",$B14)</f>
        <v/>
      </c>
      <c r="F14" s="98">
        <f>IF($A14="","",$L$54*$D14)</f>
        <v/>
      </c>
      <c r="G14" s="108">
        <f>IF($A14="","",$C14-$E$55-$F$55)</f>
        <v/>
      </c>
      <c r="H14" s="98">
        <f>IF($A14="","",$L$55*$D14)</f>
        <v/>
      </c>
      <c r="I14" s="108">
        <f>IF($A14="","",$C14)</f>
        <v/>
      </c>
      <c r="J14" s="98">
        <f>IF($A14="","",$L$56*$D14)</f>
        <v/>
      </c>
      <c r="K14" s="108">
        <f>IF($A14="","",$B14-$E$57-$F$57-$G$57-$H$57)</f>
        <v/>
      </c>
      <c r="L14" s="98">
        <f>IF($A14="","",$L$57*$D14)</f>
        <v/>
      </c>
      <c r="M14" s="108">
        <f>IF($A14="","",(($C14-$E$58-$F$58-$G$58-$H$58-$I$58)/2)+(78*1)/2)</f>
        <v/>
      </c>
      <c r="N14" s="98">
        <f>IF($A14="","",$L$58*$D14)</f>
        <v/>
      </c>
      <c r="O14" s="108">
        <f>IF($A14="","",$K14-$E$59-$F$59)</f>
        <v/>
      </c>
      <c r="P14" s="98">
        <f>IF($A14="","",$L$59*$D14)</f>
        <v/>
      </c>
      <c r="Q14" s="108">
        <f>IF($A14="","",$M14-$E$60-$F$60)</f>
        <v/>
      </c>
      <c r="R14" s="98">
        <f>IF($A14="","",$L$60*$D14)</f>
        <v/>
      </c>
      <c r="S14" s="108">
        <f>IF($A14="","",$K14)</f>
        <v/>
      </c>
      <c r="T14" s="98">
        <f>IF($A14="","",$L$61*$D14)</f>
        <v/>
      </c>
      <c r="U14" s="108">
        <f>IF($A14="","",$B14-$E$62-$F$62)</f>
        <v/>
      </c>
      <c r="V14" s="98">
        <f>IF($A14="","",$L$62*$D14)</f>
        <v/>
      </c>
      <c r="W14" s="108">
        <f>IF($A14="","",$C14-$E$63-$F$63)</f>
        <v/>
      </c>
      <c r="X14" s="98">
        <f>IF($A14="","",$L$63*$D14)</f>
        <v/>
      </c>
      <c r="Y14" s="108">
        <f>IF($A14="","",$B14-$E$64-$F$64)</f>
        <v/>
      </c>
      <c r="Z14" s="98">
        <f>IF($A14="","",$L$64*$D14)</f>
        <v/>
      </c>
      <c r="AA14" s="108">
        <f>IF($A14="","",$S14)</f>
        <v/>
      </c>
      <c r="AB14" s="98">
        <f>IF($A14="","",$L$65*$D14)</f>
        <v/>
      </c>
      <c r="AC14" s="108">
        <f>IF($A14="","",$C14)</f>
        <v/>
      </c>
      <c r="AD14" s="98">
        <f>IF($A14="","",$L$66*$D14)</f>
        <v/>
      </c>
      <c r="AE14" s="108">
        <f>IF($A14="","",$C14-$E$67-$F$67)</f>
        <v/>
      </c>
      <c r="AF14" s="98">
        <f>IF($A14="","",$L$67*$D14)</f>
        <v/>
      </c>
      <c r="AG14" s="105">
        <f>IF($A14="","",$K14-68-68)</f>
        <v/>
      </c>
      <c r="AH14" s="106">
        <f>IF($A14="","",$M14-68-68)</f>
        <v/>
      </c>
      <c r="AI14" s="107">
        <f>IF($A14="","",2*$D14)</f>
        <v/>
      </c>
      <c r="AK14" s="138">
        <f>IF($A14="","",2*2*$D14)</f>
        <v/>
      </c>
      <c r="AL14" s="138">
        <f>IF($A14="","",$BC$7*$D14)</f>
        <v/>
      </c>
      <c r="AM14" s="138">
        <f>IF($A14="","",$BC$6*$D14)</f>
        <v/>
      </c>
      <c r="AN14" s="138">
        <f>IF($A14="","",$BC$9*$D14)</f>
        <v/>
      </c>
      <c r="AO14" s="138">
        <f>IF($A14="","",$BC$10*$D14)</f>
        <v/>
      </c>
      <c r="AP14" s="138">
        <f>IF($A14="","",2*$BC$6*$D14)</f>
        <v/>
      </c>
      <c r="AQ14" s="138">
        <f>IF($A14="","",IF($B14&gt;2800,2,IF($B14&gt;1400,1,0))*$BC$6*$D14)</f>
        <v/>
      </c>
      <c r="AR14" s="138">
        <f>IF($A14="","",2*$BC$6*$D14)</f>
        <v/>
      </c>
      <c r="AS14" s="138">
        <f>IF($A14="","",$BC$6*$D14)</f>
        <v/>
      </c>
      <c r="AT14" s="138">
        <f>IF($A14="","",2*$BC$6*$D14)</f>
        <v/>
      </c>
      <c r="AU14" s="138">
        <f>IF($A14="","",4*2*$D14)</f>
        <v/>
      </c>
      <c r="AV14" s="138">
        <f>IF($A14="","",16*2*$D14)</f>
        <v/>
      </c>
      <c r="AW14" s="138">
        <f>IF($A14="","",(2+MAX(0,ROUNDUP(($G14-1500)/500,0)))*$D14)</f>
        <v/>
      </c>
      <c r="AX14" s="138">
        <f>IF($A14="","",(2+MAX(0,ROUNDUP(($G14-1500)/500,0)))*$D14)</f>
        <v/>
      </c>
      <c r="AY14" s="138">
        <f>IF($A14="","",ROUND((2*2*($M14+$K14)*2*$D14+$S14*$T14)/1000,1))</f>
        <v/>
      </c>
      <c r="AZ14" s="138" t="n"/>
    </row>
    <row r="15" ht="40.15" customHeight="1">
      <c r="A15" s="101" t="n"/>
      <c r="B15" s="102" t="n"/>
      <c r="C15" s="92" t="n"/>
      <c r="D15" s="103" t="n"/>
      <c r="E15" s="104">
        <f>IF($A15="","",$B15)</f>
        <v/>
      </c>
      <c r="F15" s="92">
        <f>IF($A15="","",$L$54*$D15)</f>
        <v/>
      </c>
      <c r="G15" s="104">
        <f>IF($A15="","",$C15-$E$55-$F$55)</f>
        <v/>
      </c>
      <c r="H15" s="92">
        <f>IF($A15="","",$L$55*$D15)</f>
        <v/>
      </c>
      <c r="I15" s="104">
        <f>IF($A15="","",$C15)</f>
        <v/>
      </c>
      <c r="J15" s="92">
        <f>IF($A15="","",$L$56*$D15)</f>
        <v/>
      </c>
      <c r="K15" s="104">
        <f>IF($A15="","",$B15-$E$57-$F$57-$G$57-$H$57)</f>
        <v/>
      </c>
      <c r="L15" s="92">
        <f>IF($A15="","",$L$57*$D15)</f>
        <v/>
      </c>
      <c r="M15" s="104">
        <f>IF($A15="","",(($C15-$E$58-$F$58-$G$58-$H$58-$I$58)/2)+(78*1)/2)</f>
        <v/>
      </c>
      <c r="N15" s="92">
        <f>IF($A15="","",$L$58*$D15)</f>
        <v/>
      </c>
      <c r="O15" s="104">
        <f>IF($A15="","",$K15-$E$59-$F$59)</f>
        <v/>
      </c>
      <c r="P15" s="92">
        <f>IF($A15="","",$L$59*$D15)</f>
        <v/>
      </c>
      <c r="Q15" s="104">
        <f>IF($A15="","",$M15-$E$60-$F$60)</f>
        <v/>
      </c>
      <c r="R15" s="92">
        <f>IF($A15="","",$L$60*$D15)</f>
        <v/>
      </c>
      <c r="S15" s="104">
        <f>IF($A15="","",$K15)</f>
        <v/>
      </c>
      <c r="T15" s="92">
        <f>IF($A15="","",$L$61*$D15)</f>
        <v/>
      </c>
      <c r="U15" s="104">
        <f>IF($A15="","",$B15-$E$62-$F$62)</f>
        <v/>
      </c>
      <c r="V15" s="92">
        <f>IF($A15="","",$L$62*$D15)</f>
        <v/>
      </c>
      <c r="W15" s="104">
        <f>IF($A15="","",$C15-$E$63-$F$63)</f>
        <v/>
      </c>
      <c r="X15" s="92">
        <f>IF($A15="","",$L$63*$D15)</f>
        <v/>
      </c>
      <c r="Y15" s="104">
        <f>IF($A15="","",$B15-$E$64-$F$64)</f>
        <v/>
      </c>
      <c r="Z15" s="92">
        <f>IF($A15="","",$L$64*$D15)</f>
        <v/>
      </c>
      <c r="AA15" s="104">
        <f>IF($A15="","",$S15)</f>
        <v/>
      </c>
      <c r="AB15" s="92">
        <f>IF($A15="","",$L$65*$D15)</f>
        <v/>
      </c>
      <c r="AC15" s="104">
        <f>IF($A15="","",$C15)</f>
        <v/>
      </c>
      <c r="AD15" s="92">
        <f>IF($A15="","",$L$66*$D15)</f>
        <v/>
      </c>
      <c r="AE15" s="104">
        <f>IF($A15="","",$C15-$E$67-$F$67)</f>
        <v/>
      </c>
      <c r="AF15" s="92">
        <f>IF($A15="","",$L$67*$D15)</f>
        <v/>
      </c>
      <c r="AG15" s="105">
        <f>IF($A15="","",$K15-68-68)</f>
        <v/>
      </c>
      <c r="AH15" s="106">
        <f>IF($A15="","",$M15-68-68)</f>
        <v/>
      </c>
      <c r="AI15" s="107">
        <f>IF($A15="","",2*$D15)</f>
        <v/>
      </c>
      <c r="AK15" s="138">
        <f>IF($A15="","",2*2*$D15)</f>
        <v/>
      </c>
      <c r="AL15" s="138">
        <f>IF($A15="","",$BC$7*$D15)</f>
        <v/>
      </c>
      <c r="AM15" s="138">
        <f>IF($A15="","",$BC$6*$D15)</f>
        <v/>
      </c>
      <c r="AN15" s="138">
        <f>IF($A15="","",$BC$9*$D15)</f>
        <v/>
      </c>
      <c r="AO15" s="138">
        <f>IF($A15="","",$BC$10*$D15)</f>
        <v/>
      </c>
      <c r="AP15" s="138">
        <f>IF($A15="","",2*$BC$6*$D15)</f>
        <v/>
      </c>
      <c r="AQ15" s="138">
        <f>IF($A15="","",IF($B15&gt;2800,2,IF($B15&gt;1400,1,0))*$BC$6*$D15)</f>
        <v/>
      </c>
      <c r="AR15" s="138">
        <f>IF($A15="","",2*$BC$6*$D15)</f>
        <v/>
      </c>
      <c r="AS15" s="138">
        <f>IF($A15="","",$BC$6*$D15)</f>
        <v/>
      </c>
      <c r="AT15" s="138">
        <f>IF($A15="","",2*$BC$6*$D15)</f>
        <v/>
      </c>
      <c r="AU15" s="138">
        <f>IF($A15="","",4*2*$D15)</f>
        <v/>
      </c>
      <c r="AV15" s="138">
        <f>IF($A15="","",16*2*$D15)</f>
        <v/>
      </c>
      <c r="AW15" s="138">
        <f>IF($A15="","",(2+MAX(0,ROUNDUP(($G15-1500)/500,0)))*$D15)</f>
        <v/>
      </c>
      <c r="AX15" s="138">
        <f>IF($A15="","",(2+MAX(0,ROUNDUP(($G15-1500)/500,0)))*$D15)</f>
        <v/>
      </c>
      <c r="AY15" s="138">
        <f>IF($A15="","",ROUND((2*2*($M15+$K15)*2*$D15+$S15*$T15)/1000,1))</f>
        <v/>
      </c>
      <c r="AZ15" s="138" t="n"/>
    </row>
    <row r="16" ht="40.15" customHeight="1">
      <c r="A16" s="101" t="n"/>
      <c r="B16" s="102" t="n"/>
      <c r="C16" s="92" t="n"/>
      <c r="D16" s="103" t="n"/>
      <c r="E16" s="108">
        <f>IF($A16="","",$B16)</f>
        <v/>
      </c>
      <c r="F16" s="98">
        <f>IF($A16="","",$L$54*$D16)</f>
        <v/>
      </c>
      <c r="G16" s="108">
        <f>IF($A16="","",$C16-$E$55-$F$55)</f>
        <v/>
      </c>
      <c r="H16" s="98">
        <f>IF($A16="","",$L$55*$D16)</f>
        <v/>
      </c>
      <c r="I16" s="108">
        <f>IF($A16="","",$C16)</f>
        <v/>
      </c>
      <c r="J16" s="98">
        <f>IF($A16="","",$L$56*$D16)</f>
        <v/>
      </c>
      <c r="K16" s="108">
        <f>IF($A16="","",$B16-$E$57-$F$57-$G$57-$H$57)</f>
        <v/>
      </c>
      <c r="L16" s="98">
        <f>IF($A16="","",$L$57*$D16)</f>
        <v/>
      </c>
      <c r="M16" s="108">
        <f>IF($A16="","",(($C16-$E$58-$F$58-$G$58-$H$58-$I$58)/2)+(78*1)/2)</f>
        <v/>
      </c>
      <c r="N16" s="98">
        <f>IF($A16="","",$L$58*$D16)</f>
        <v/>
      </c>
      <c r="O16" s="108">
        <f>IF($A16="","",$K16-$E$59-$F$59)</f>
        <v/>
      </c>
      <c r="P16" s="98">
        <f>IF($A16="","",$L$59*$D16)</f>
        <v/>
      </c>
      <c r="Q16" s="108">
        <f>IF($A16="","",$M16-$E$60-$F$60)</f>
        <v/>
      </c>
      <c r="R16" s="98">
        <f>IF($A16="","",$L$60*$D16)</f>
        <v/>
      </c>
      <c r="S16" s="108">
        <f>IF($A16="","",$K16)</f>
        <v/>
      </c>
      <c r="T16" s="98">
        <f>IF($A16="","",$L$61*$D16)</f>
        <v/>
      </c>
      <c r="U16" s="108">
        <f>IF($A16="","",$B16-$E$62-$F$62)</f>
        <v/>
      </c>
      <c r="V16" s="98">
        <f>IF($A16="","",$L$62*$D16)</f>
        <v/>
      </c>
      <c r="W16" s="108">
        <f>IF($A16="","",$C16-$E$63-$F$63)</f>
        <v/>
      </c>
      <c r="X16" s="98">
        <f>IF($A16="","",$L$63*$D16)</f>
        <v/>
      </c>
      <c r="Y16" s="108">
        <f>IF($A16="","",$B16-$E$64-$F$64)</f>
        <v/>
      </c>
      <c r="Z16" s="98">
        <f>IF($A16="","",$L$64*$D16)</f>
        <v/>
      </c>
      <c r="AA16" s="108">
        <f>IF($A16="","",$S16)</f>
        <v/>
      </c>
      <c r="AB16" s="98">
        <f>IF($A16="","",$L$65*$D16)</f>
        <v/>
      </c>
      <c r="AC16" s="108">
        <f>IF($A16="","",$C16)</f>
        <v/>
      </c>
      <c r="AD16" s="98">
        <f>IF($A16="","",$L$66*$D16)</f>
        <v/>
      </c>
      <c r="AE16" s="108">
        <f>IF($A16="","",$C16-$E$67-$F$67)</f>
        <v/>
      </c>
      <c r="AF16" s="98">
        <f>IF($A16="","",$L$67*$D16)</f>
        <v/>
      </c>
      <c r="AG16" s="105">
        <f>IF($A16="","",$K16-68-68)</f>
        <v/>
      </c>
      <c r="AH16" s="106">
        <f>IF($A16="","",$M16-68-68)</f>
        <v/>
      </c>
      <c r="AI16" s="107">
        <f>IF($A16="","",2*$D16)</f>
        <v/>
      </c>
      <c r="AK16" s="138">
        <f>IF($A16="","",2*2*$D16)</f>
        <v/>
      </c>
      <c r="AL16" s="138">
        <f>IF($A16="","",$BC$7*$D16)</f>
        <v/>
      </c>
      <c r="AM16" s="138">
        <f>IF($A16="","",$BC$6*$D16)</f>
        <v/>
      </c>
      <c r="AN16" s="138">
        <f>IF($A16="","",$BC$9*$D16)</f>
        <v/>
      </c>
      <c r="AO16" s="138">
        <f>IF($A16="","",$BC$10*$D16)</f>
        <v/>
      </c>
      <c r="AP16" s="138">
        <f>IF($A16="","",2*$BC$6*$D16)</f>
        <v/>
      </c>
      <c r="AQ16" s="138">
        <f>IF($A16="","",IF($B16&gt;2800,2,IF($B16&gt;1400,1,0))*$BC$6*$D16)</f>
        <v/>
      </c>
      <c r="AR16" s="138">
        <f>IF($A16="","",2*$BC$6*$D16)</f>
        <v/>
      </c>
      <c r="AS16" s="138">
        <f>IF($A16="","",$BC$6*$D16)</f>
        <v/>
      </c>
      <c r="AT16" s="138">
        <f>IF($A16="","",2*$BC$6*$D16)</f>
        <v/>
      </c>
      <c r="AU16" s="138">
        <f>IF($A16="","",4*2*$D16)</f>
        <v/>
      </c>
      <c r="AV16" s="138">
        <f>IF($A16="","",16*2*$D16)</f>
        <v/>
      </c>
      <c r="AW16" s="138">
        <f>IF($A16="","",(2+MAX(0,ROUNDUP(($G16-1500)/500,0)))*$D16)</f>
        <v/>
      </c>
      <c r="AX16" s="138">
        <f>IF($A16="","",(2+MAX(0,ROUNDUP(($G16-1500)/500,0)))*$D16)</f>
        <v/>
      </c>
      <c r="AY16" s="138">
        <f>IF($A16="","",ROUND((2*2*($M16+$K16)*2*$D16+$S16*$T16)/1000,1))</f>
        <v/>
      </c>
      <c r="AZ16" s="138" t="n"/>
    </row>
    <row r="17" ht="40.15" customHeight="1">
      <c r="A17" s="101" t="n"/>
      <c r="B17" s="102" t="n"/>
      <c r="C17" s="92" t="n"/>
      <c r="D17" s="103" t="n"/>
      <c r="E17" s="104">
        <f>IF($A17="","",$B17)</f>
        <v/>
      </c>
      <c r="F17" s="92">
        <f>IF($A17="","",$L$54*$D17)</f>
        <v/>
      </c>
      <c r="G17" s="104">
        <f>IF($A17="","",$C17-$E$55-$F$55)</f>
        <v/>
      </c>
      <c r="H17" s="92">
        <f>IF($A17="","",$L$55*$D17)</f>
        <v/>
      </c>
      <c r="I17" s="104">
        <f>IF($A17="","",$C17)</f>
        <v/>
      </c>
      <c r="J17" s="92">
        <f>IF($A17="","",$L$56*$D17)</f>
        <v/>
      </c>
      <c r="K17" s="104">
        <f>IF($A17="","",$B17-$E$57-$F$57-$G$57-$H$57)</f>
        <v/>
      </c>
      <c r="L17" s="92">
        <f>IF($A17="","",$L$57*$D17)</f>
        <v/>
      </c>
      <c r="M17" s="104">
        <f>IF($A17="","",(($C17-$E$58-$F$58-$G$58-$H$58-$I$58)/2)+(78*1)/2)</f>
        <v/>
      </c>
      <c r="N17" s="92">
        <f>IF($A17="","",$L$58*$D17)</f>
        <v/>
      </c>
      <c r="O17" s="104">
        <f>IF($A17="","",$K17-$E$59-$F$59)</f>
        <v/>
      </c>
      <c r="P17" s="92">
        <f>IF($A17="","",$L$59*$D17)</f>
        <v/>
      </c>
      <c r="Q17" s="104">
        <f>IF($A17="","",$M17-$E$60-$F$60)</f>
        <v/>
      </c>
      <c r="R17" s="92">
        <f>IF($A17="","",$L$60*$D17)</f>
        <v/>
      </c>
      <c r="S17" s="104">
        <f>IF($A17="","",$K17)</f>
        <v/>
      </c>
      <c r="T17" s="92">
        <f>IF($A17="","",$L$61*$D17)</f>
        <v/>
      </c>
      <c r="U17" s="104">
        <f>IF($A17="","",$B17-$E$62-$F$62)</f>
        <v/>
      </c>
      <c r="V17" s="92">
        <f>IF($A17="","",$L$62*$D17)</f>
        <v/>
      </c>
      <c r="W17" s="104">
        <f>IF($A17="","",$C17-$E$63-$F$63)</f>
        <v/>
      </c>
      <c r="X17" s="92">
        <f>IF($A17="","",$L$63*$D17)</f>
        <v/>
      </c>
      <c r="Y17" s="104">
        <f>IF($A17="","",$B17-$E$64-$F$64)</f>
        <v/>
      </c>
      <c r="Z17" s="92">
        <f>IF($A17="","",$L$64*$D17)</f>
        <v/>
      </c>
      <c r="AA17" s="104">
        <f>IF($A17="","",$S17)</f>
        <v/>
      </c>
      <c r="AB17" s="92">
        <f>IF($A17="","",$L$65*$D17)</f>
        <v/>
      </c>
      <c r="AC17" s="104">
        <f>IF($A17="","",$C17)</f>
        <v/>
      </c>
      <c r="AD17" s="92">
        <f>IF($A17="","",$L$66*$D17)</f>
        <v/>
      </c>
      <c r="AE17" s="104">
        <f>IF($A17="","",$C17-$E$67-$F$67)</f>
        <v/>
      </c>
      <c r="AF17" s="92">
        <f>IF($A17="","",$L$67*$D17)</f>
        <v/>
      </c>
      <c r="AG17" s="105">
        <f>IF($A17="","",$K17-68-68)</f>
        <v/>
      </c>
      <c r="AH17" s="106">
        <f>IF($A17="","",$M17-68-68)</f>
        <v/>
      </c>
      <c r="AI17" s="107">
        <f>IF($A17="","",2*$D17)</f>
        <v/>
      </c>
      <c r="AK17" s="138">
        <f>IF($A17="","",2*2*$D17)</f>
        <v/>
      </c>
      <c r="AL17" s="138">
        <f>IF($A17="","",$BC$7*$D17)</f>
        <v/>
      </c>
      <c r="AM17" s="138">
        <f>IF($A17="","",$BC$6*$D17)</f>
        <v/>
      </c>
      <c r="AN17" s="138">
        <f>IF($A17="","",$BC$9*$D17)</f>
        <v/>
      </c>
      <c r="AO17" s="138">
        <f>IF($A17="","",$BC$10*$D17)</f>
        <v/>
      </c>
      <c r="AP17" s="138">
        <f>IF($A17="","",2*$BC$6*$D17)</f>
        <v/>
      </c>
      <c r="AQ17" s="138">
        <f>IF($A17="","",IF($B17&gt;2800,2,IF($B17&gt;1400,1,0))*$BC$6*$D17)</f>
        <v/>
      </c>
      <c r="AR17" s="138">
        <f>IF($A17="","",2*$BC$6*$D17)</f>
        <v/>
      </c>
      <c r="AS17" s="138">
        <f>IF($A17="","",$BC$6*$D17)</f>
        <v/>
      </c>
      <c r="AT17" s="138">
        <f>IF($A17="","",2*$BC$6*$D17)</f>
        <v/>
      </c>
      <c r="AU17" s="138">
        <f>IF($A17="","",4*2*$D17)</f>
        <v/>
      </c>
      <c r="AV17" s="138">
        <f>IF($A17="","",16*2*$D17)</f>
        <v/>
      </c>
      <c r="AW17" s="138">
        <f>IF($A17="","",(2+MAX(0,ROUNDUP(($G17-1500)/500,0)))*$D17)</f>
        <v/>
      </c>
      <c r="AX17" s="138">
        <f>IF($A17="","",(2+MAX(0,ROUNDUP(($G17-1500)/500,0)))*$D17)</f>
        <v/>
      </c>
      <c r="AY17" s="138">
        <f>IF($A17="","",ROUND((2*2*($M17+$K17)*2*$D17+$S17*$T17)/1000,1))</f>
        <v/>
      </c>
      <c r="AZ17" s="138" t="n"/>
    </row>
    <row r="18" ht="40.15" customHeight="1">
      <c r="A18" s="101" t="n"/>
      <c r="B18" s="102" t="n"/>
      <c r="C18" s="92" t="n"/>
      <c r="D18" s="103" t="n"/>
      <c r="E18" s="108">
        <f>IF($A18="","",$B18)</f>
        <v/>
      </c>
      <c r="F18" s="98">
        <f>IF($A18="","",$L$54*$D18)</f>
        <v/>
      </c>
      <c r="G18" s="108">
        <f>IF($A18="","",$C18-$E$55-$F$55)</f>
        <v/>
      </c>
      <c r="H18" s="98">
        <f>IF($A18="","",$L$55*$D18)</f>
        <v/>
      </c>
      <c r="I18" s="108">
        <f>IF($A18="","",$C18)</f>
        <v/>
      </c>
      <c r="J18" s="98">
        <f>IF($A18="","",$L$56*$D18)</f>
        <v/>
      </c>
      <c r="K18" s="108">
        <f>IF($A18="","",$B18-$E$57-$F$57-$G$57-$H$57)</f>
        <v/>
      </c>
      <c r="L18" s="98">
        <f>IF($A18="","",$L$57*$D18)</f>
        <v/>
      </c>
      <c r="M18" s="108">
        <f>IF($A18="","",(($C18-$E$58-$F$58-$G$58-$H$58-$I$58)/2)+(78*1)/2)</f>
        <v/>
      </c>
      <c r="N18" s="98">
        <f>IF($A18="","",$L$58*$D18)</f>
        <v/>
      </c>
      <c r="O18" s="108">
        <f>IF($A18="","",$K18-$E$59-$F$59)</f>
        <v/>
      </c>
      <c r="P18" s="98">
        <f>IF($A18="","",$L$59*$D18)</f>
        <v/>
      </c>
      <c r="Q18" s="108">
        <f>IF($A18="","",$M18-$E$60-$F$60)</f>
        <v/>
      </c>
      <c r="R18" s="98">
        <f>IF($A18="","",$L$60*$D18)</f>
        <v/>
      </c>
      <c r="S18" s="108">
        <f>IF($A18="","",$K18)</f>
        <v/>
      </c>
      <c r="T18" s="98">
        <f>IF($A18="","",$L$61*$D18)</f>
        <v/>
      </c>
      <c r="U18" s="108">
        <f>IF($A18="","",$B18-$E$62-$F$62)</f>
        <v/>
      </c>
      <c r="V18" s="98">
        <f>IF($A18="","",$L$62*$D18)</f>
        <v/>
      </c>
      <c r="W18" s="108">
        <f>IF($A18="","",$C18-$E$63-$F$63)</f>
        <v/>
      </c>
      <c r="X18" s="98">
        <f>IF($A18="","",$L$63*$D18)</f>
        <v/>
      </c>
      <c r="Y18" s="108">
        <f>IF($A18="","",$B18-$E$64-$F$64)</f>
        <v/>
      </c>
      <c r="Z18" s="98">
        <f>IF($A18="","",$L$64*$D18)</f>
        <v/>
      </c>
      <c r="AA18" s="108">
        <f>IF($A18="","",$S18)</f>
        <v/>
      </c>
      <c r="AB18" s="98">
        <f>IF($A18="","",$L$65*$D18)</f>
        <v/>
      </c>
      <c r="AC18" s="108">
        <f>IF($A18="","",$C18)</f>
        <v/>
      </c>
      <c r="AD18" s="98">
        <f>IF($A18="","",$L$66*$D18)</f>
        <v/>
      </c>
      <c r="AE18" s="108">
        <f>IF($A18="","",$C18-$E$67-$F$67)</f>
        <v/>
      </c>
      <c r="AF18" s="98">
        <f>IF($A18="","",$L$67*$D18)</f>
        <v/>
      </c>
      <c r="AG18" s="105">
        <f>IF($A18="","",$K18-68-68)</f>
        <v/>
      </c>
      <c r="AH18" s="106">
        <f>IF($A18="","",$M18-68-68)</f>
        <v/>
      </c>
      <c r="AI18" s="107">
        <f>IF($A18="","",2*$D18)</f>
        <v/>
      </c>
      <c r="AK18" s="138">
        <f>IF($A18="","",2*2*$D18)</f>
        <v/>
      </c>
      <c r="AL18" s="138">
        <f>IF($A18="","",$BC$7*$D18)</f>
        <v/>
      </c>
      <c r="AM18" s="138">
        <f>IF($A18="","",$BC$6*$D18)</f>
        <v/>
      </c>
      <c r="AN18" s="138">
        <f>IF($A18="","",$BC$9*$D18)</f>
        <v/>
      </c>
      <c r="AO18" s="138">
        <f>IF($A18="","",$BC$10*$D18)</f>
        <v/>
      </c>
      <c r="AP18" s="138">
        <f>IF($A18="","",2*$BC$6*$D18)</f>
        <v/>
      </c>
      <c r="AQ18" s="138">
        <f>IF($A18="","",IF($B18&gt;2800,2,IF($B18&gt;1400,1,0))*$BC$6*$D18)</f>
        <v/>
      </c>
      <c r="AR18" s="138">
        <f>IF($A18="","",2*$BC$6*$D18)</f>
        <v/>
      </c>
      <c r="AS18" s="138">
        <f>IF($A18="","",$BC$6*$D18)</f>
        <v/>
      </c>
      <c r="AT18" s="138">
        <f>IF($A18="","",2*$BC$6*$D18)</f>
        <v/>
      </c>
      <c r="AU18" s="138">
        <f>IF($A18="","",4*2*$D18)</f>
        <v/>
      </c>
      <c r="AV18" s="138">
        <f>IF($A18="","",16*2*$D18)</f>
        <v/>
      </c>
      <c r="AW18" s="138">
        <f>IF($A18="","",(2+MAX(0,ROUNDUP(($G18-1500)/500,0)))*$D18)</f>
        <v/>
      </c>
      <c r="AX18" s="138">
        <f>IF($A18="","",(2+MAX(0,ROUNDUP(($G18-1500)/500,0)))*$D18)</f>
        <v/>
      </c>
      <c r="AY18" s="138">
        <f>IF($A18="","",ROUND((2*2*($M18+$K18)*2*$D18+$S18*$T18)/1000,1))</f>
        <v/>
      </c>
      <c r="AZ18" s="138" t="n"/>
    </row>
    <row r="19" ht="40.15" customHeight="1">
      <c r="A19" s="101" t="n"/>
      <c r="B19" s="102" t="n"/>
      <c r="C19" s="92" t="n"/>
      <c r="D19" s="103" t="n"/>
      <c r="E19" s="104">
        <f>IF($A19="","",$B19)</f>
        <v/>
      </c>
      <c r="F19" s="92">
        <f>IF($A19="","",$L$54*$D19)</f>
        <v/>
      </c>
      <c r="G19" s="104">
        <f>IF($A19="","",$C19-$E$55-$F$55)</f>
        <v/>
      </c>
      <c r="H19" s="92">
        <f>IF($A19="","",$L$55*$D19)</f>
        <v/>
      </c>
      <c r="I19" s="104">
        <f>IF($A19="","",$C19)</f>
        <v/>
      </c>
      <c r="J19" s="92">
        <f>IF($A19="","",$L$56*$D19)</f>
        <v/>
      </c>
      <c r="K19" s="104">
        <f>IF($A19="","",$B19-$E$57-$F$57-$G$57-$H$57)</f>
        <v/>
      </c>
      <c r="L19" s="92">
        <f>IF($A19="","",$L$57*$D19)</f>
        <v/>
      </c>
      <c r="M19" s="104">
        <f>IF($A19="","",(($C19-$E$58-$F$58-$G$58-$H$58-$I$58)/2)+(78*1)/2)</f>
        <v/>
      </c>
      <c r="N19" s="92">
        <f>IF($A19="","",$L$58*$D19)</f>
        <v/>
      </c>
      <c r="O19" s="104">
        <f>IF($A19="","",$K19-$E$59-$F$59)</f>
        <v/>
      </c>
      <c r="P19" s="92">
        <f>IF($A19="","",$L$59*$D19)</f>
        <v/>
      </c>
      <c r="Q19" s="104">
        <f>IF($A19="","",$M19-$E$60-$F$60)</f>
        <v/>
      </c>
      <c r="R19" s="92">
        <f>IF($A19="","",$L$60*$D19)</f>
        <v/>
      </c>
      <c r="S19" s="104">
        <f>IF($A19="","",$K19)</f>
        <v/>
      </c>
      <c r="T19" s="92">
        <f>IF($A19="","",$L$61*$D19)</f>
        <v/>
      </c>
      <c r="U19" s="104">
        <f>IF($A19="","",$B19-$E$62-$F$62)</f>
        <v/>
      </c>
      <c r="V19" s="92">
        <f>IF($A19="","",$L$62*$D19)</f>
        <v/>
      </c>
      <c r="W19" s="104">
        <f>IF($A19="","",$C19-$E$63-$F$63)</f>
        <v/>
      </c>
      <c r="X19" s="92">
        <f>IF($A19="","",$L$63*$D19)</f>
        <v/>
      </c>
      <c r="Y19" s="104">
        <f>IF($A19="","",$B19-$E$64-$F$64)</f>
        <v/>
      </c>
      <c r="Z19" s="92">
        <f>IF($A19="","",$L$64*$D19)</f>
        <v/>
      </c>
      <c r="AA19" s="104">
        <f>IF($A19="","",$S19)</f>
        <v/>
      </c>
      <c r="AB19" s="92">
        <f>IF($A19="","",$L$65*$D19)</f>
        <v/>
      </c>
      <c r="AC19" s="104">
        <f>IF($A19="","",$C19)</f>
        <v/>
      </c>
      <c r="AD19" s="92">
        <f>IF($A19="","",$L$66*$D19)</f>
        <v/>
      </c>
      <c r="AE19" s="104">
        <f>IF($A19="","",$C19-$E$67-$F$67)</f>
        <v/>
      </c>
      <c r="AF19" s="92">
        <f>IF($A19="","",$L$67*$D19)</f>
        <v/>
      </c>
      <c r="AG19" s="105">
        <f>IF($A19="","",$K19-68-68)</f>
        <v/>
      </c>
      <c r="AH19" s="106">
        <f>IF($A19="","",$M19-68-68)</f>
        <v/>
      </c>
      <c r="AI19" s="107">
        <f>IF($A19="","",2*$D19)</f>
        <v/>
      </c>
      <c r="AK19" s="138">
        <f>IF($A19="","",2*2*$D19)</f>
        <v/>
      </c>
      <c r="AL19" s="138">
        <f>IF($A19="","",$BC$7*$D19)</f>
        <v/>
      </c>
      <c r="AM19" s="138">
        <f>IF($A19="","",$BC$6*$D19)</f>
        <v/>
      </c>
      <c r="AN19" s="138">
        <f>IF($A19="","",$BC$9*$D19)</f>
        <v/>
      </c>
      <c r="AO19" s="138">
        <f>IF($A19="","",$BC$10*$D19)</f>
        <v/>
      </c>
      <c r="AP19" s="138">
        <f>IF($A19="","",2*$BC$6*$D19)</f>
        <v/>
      </c>
      <c r="AQ19" s="138">
        <f>IF($A19="","",IF($B19&gt;2800,2,IF($B19&gt;1400,1,0))*$BC$6*$D19)</f>
        <v/>
      </c>
      <c r="AR19" s="138">
        <f>IF($A19="","",2*$BC$6*$D19)</f>
        <v/>
      </c>
      <c r="AS19" s="138">
        <f>IF($A19="","",$BC$6*$D19)</f>
        <v/>
      </c>
      <c r="AT19" s="138">
        <f>IF($A19="","",2*$BC$6*$D19)</f>
        <v/>
      </c>
      <c r="AU19" s="138">
        <f>IF($A19="","",4*2*$D19)</f>
        <v/>
      </c>
      <c r="AV19" s="138">
        <f>IF($A19="","",16*2*$D19)</f>
        <v/>
      </c>
      <c r="AW19" s="138">
        <f>IF($A19="","",(2+MAX(0,ROUNDUP(($G19-1500)/500,0)))*$D19)</f>
        <v/>
      </c>
      <c r="AX19" s="138">
        <f>IF($A19="","",(2+MAX(0,ROUNDUP(($G19-1500)/500,0)))*$D19)</f>
        <v/>
      </c>
      <c r="AY19" s="138">
        <f>IF($A19="","",ROUND((2*2*($M19+$K19)*2*$D19+$S19*$T19)/1000,1))</f>
        <v/>
      </c>
      <c r="AZ19" s="138" t="n"/>
    </row>
    <row r="20" ht="40.15" customHeight="1">
      <c r="A20" s="101" t="n"/>
      <c r="B20" s="102" t="n"/>
      <c r="C20" s="92" t="n"/>
      <c r="D20" s="103" t="n"/>
      <c r="E20" s="108">
        <f>IF($A20="","",$B20)</f>
        <v/>
      </c>
      <c r="F20" s="98">
        <f>IF($A20="","",$L$54*$D20)</f>
        <v/>
      </c>
      <c r="G20" s="108">
        <f>IF($A20="","",$C20-$E$55-$F$55)</f>
        <v/>
      </c>
      <c r="H20" s="98">
        <f>IF($A20="","",$L$55*$D20)</f>
        <v/>
      </c>
      <c r="I20" s="108">
        <f>IF($A20="","",$C20)</f>
        <v/>
      </c>
      <c r="J20" s="98">
        <f>IF($A20="","",$L$56*$D20)</f>
        <v/>
      </c>
      <c r="K20" s="108">
        <f>IF($A20="","",$B20-$E$57-$F$57-$G$57-$H$57)</f>
        <v/>
      </c>
      <c r="L20" s="98">
        <f>IF($A20="","",$L$57*$D20)</f>
        <v/>
      </c>
      <c r="M20" s="108">
        <f>IF($A20="","",(($C20-$E$58-$F$58-$G$58-$H$58-$I$58)/2)+(78*1)/2)</f>
        <v/>
      </c>
      <c r="N20" s="98">
        <f>IF($A20="","",$L$58*$D20)</f>
        <v/>
      </c>
      <c r="O20" s="108">
        <f>IF($A20="","",$K20-$E$59-$F$59)</f>
        <v/>
      </c>
      <c r="P20" s="98">
        <f>IF($A20="","",$L$59*$D20)</f>
        <v/>
      </c>
      <c r="Q20" s="108">
        <f>IF($A20="","",$M20-$E$60-$F$60)</f>
        <v/>
      </c>
      <c r="R20" s="98">
        <f>IF($A20="","",$L$60*$D20)</f>
        <v/>
      </c>
      <c r="S20" s="108">
        <f>IF($A20="","",$K20)</f>
        <v/>
      </c>
      <c r="T20" s="98">
        <f>IF($A20="","",$L$61*$D20)</f>
        <v/>
      </c>
      <c r="U20" s="108">
        <f>IF($A20="","",$B20-$E$62-$F$62)</f>
        <v/>
      </c>
      <c r="V20" s="98">
        <f>IF($A20="","",$L$62*$D20)</f>
        <v/>
      </c>
      <c r="W20" s="108">
        <f>IF($A20="","",$C20-$E$63-$F$63)</f>
        <v/>
      </c>
      <c r="X20" s="98">
        <f>IF($A20="","",$L$63*$D20)</f>
        <v/>
      </c>
      <c r="Y20" s="108">
        <f>IF($A20="","",$B20-$E$64-$F$64)</f>
        <v/>
      </c>
      <c r="Z20" s="98">
        <f>IF($A20="","",$L$64*$D20)</f>
        <v/>
      </c>
      <c r="AA20" s="108">
        <f>IF($A20="","",$S20)</f>
        <v/>
      </c>
      <c r="AB20" s="98">
        <f>IF($A20="","",$L$65*$D20)</f>
        <v/>
      </c>
      <c r="AC20" s="108">
        <f>IF($A20="","",$C20)</f>
        <v/>
      </c>
      <c r="AD20" s="98">
        <f>IF($A20="","",$L$66*$D20)</f>
        <v/>
      </c>
      <c r="AE20" s="108">
        <f>IF($A20="","",$C20-$E$67-$F$67)</f>
        <v/>
      </c>
      <c r="AF20" s="98">
        <f>IF($A20="","",$L$67*$D20)</f>
        <v/>
      </c>
      <c r="AG20" s="105">
        <f>IF($A20="","",$K20-68-68)</f>
        <v/>
      </c>
      <c r="AH20" s="106">
        <f>IF($A20="","",$M20-68-68)</f>
        <v/>
      </c>
      <c r="AI20" s="107">
        <f>IF($A20="","",2*$D20)</f>
        <v/>
      </c>
      <c r="AK20" s="138">
        <f>IF($A20="","",2*2*$D20)</f>
        <v/>
      </c>
      <c r="AL20" s="138">
        <f>IF($A20="","",$BC$7*$D20)</f>
        <v/>
      </c>
      <c r="AM20" s="138">
        <f>IF($A20="","",$BC$6*$D20)</f>
        <v/>
      </c>
      <c r="AN20" s="138">
        <f>IF($A20="","",$BC$9*$D20)</f>
        <v/>
      </c>
      <c r="AO20" s="138">
        <f>IF($A20="","",$BC$10*$D20)</f>
        <v/>
      </c>
      <c r="AP20" s="138">
        <f>IF($A20="","",2*$BC$6*$D20)</f>
        <v/>
      </c>
      <c r="AQ20" s="138">
        <f>IF($A20="","",IF($B20&gt;2800,2,IF($B20&gt;1400,1,0))*$BC$6*$D20)</f>
        <v/>
      </c>
      <c r="AR20" s="138">
        <f>IF($A20="","",2*$BC$6*$D20)</f>
        <v/>
      </c>
      <c r="AS20" s="138">
        <f>IF($A20="","",$BC$6*$D20)</f>
        <v/>
      </c>
      <c r="AT20" s="138">
        <f>IF($A20="","",2*$BC$6*$D20)</f>
        <v/>
      </c>
      <c r="AU20" s="138">
        <f>IF($A20="","",4*2*$D20)</f>
        <v/>
      </c>
      <c r="AV20" s="138">
        <f>IF($A20="","",16*2*$D20)</f>
        <v/>
      </c>
      <c r="AW20" s="138">
        <f>IF($A20="","",(2+MAX(0,ROUNDUP(($G20-1500)/500,0)))*$D20)</f>
        <v/>
      </c>
      <c r="AX20" s="138">
        <f>IF($A20="","",(2+MAX(0,ROUNDUP(($G20-1500)/500,0)))*$D20)</f>
        <v/>
      </c>
      <c r="AY20" s="138">
        <f>IF($A20="","",ROUND((2*2*($M20+$K20)*2*$D20+$S20*$T20)/1000,1))</f>
        <v/>
      </c>
      <c r="AZ20" s="138" t="n"/>
    </row>
    <row r="21" ht="40.15" customHeight="1">
      <c r="A21" s="101" t="n"/>
      <c r="B21" s="102" t="n"/>
      <c r="C21" s="92" t="n"/>
      <c r="D21" s="103" t="n"/>
      <c r="E21" s="104">
        <f>IF($A21="","",$B21)</f>
        <v/>
      </c>
      <c r="F21" s="92">
        <f>IF($A21="","",$L$54*$D21)</f>
        <v/>
      </c>
      <c r="G21" s="104">
        <f>IF($A21="","",$C21-$E$55-$F$55)</f>
        <v/>
      </c>
      <c r="H21" s="92">
        <f>IF($A21="","",$L$55*$D21)</f>
        <v/>
      </c>
      <c r="I21" s="104">
        <f>IF($A21="","",$C21)</f>
        <v/>
      </c>
      <c r="J21" s="92">
        <f>IF($A21="","",$L$56*$D21)</f>
        <v/>
      </c>
      <c r="K21" s="104">
        <f>IF($A21="","",$B21-$E$57-$F$57-$G$57-$H$57)</f>
        <v/>
      </c>
      <c r="L21" s="92">
        <f>IF($A21="","",$L$57*$D21)</f>
        <v/>
      </c>
      <c r="M21" s="104">
        <f>IF($A21="","",(($C21-$E$58-$F$58-$G$58-$H$58-$I$58)/2)+(78*1)/2)</f>
        <v/>
      </c>
      <c r="N21" s="92">
        <f>IF($A21="","",$L$58*$D21)</f>
        <v/>
      </c>
      <c r="O21" s="104">
        <f>IF($A21="","",$K21-$E$59-$F$59)</f>
        <v/>
      </c>
      <c r="P21" s="92">
        <f>IF($A21="","",$L$59*$D21)</f>
        <v/>
      </c>
      <c r="Q21" s="104">
        <f>IF($A21="","",$M21-$E$60-$F$60)</f>
        <v/>
      </c>
      <c r="R21" s="92">
        <f>IF($A21="","",$L$60*$D21)</f>
        <v/>
      </c>
      <c r="S21" s="104">
        <f>IF($A21="","",$K21)</f>
        <v/>
      </c>
      <c r="T21" s="92">
        <f>IF($A21="","",$L$61*$D21)</f>
        <v/>
      </c>
      <c r="U21" s="104">
        <f>IF($A21="","",$B21-$E$62-$F$62)</f>
        <v/>
      </c>
      <c r="V21" s="92">
        <f>IF($A21="","",$L$62*$D21)</f>
        <v/>
      </c>
      <c r="W21" s="104">
        <f>IF($A21="","",$C21-$E$63-$F$63)</f>
        <v/>
      </c>
      <c r="X21" s="92">
        <f>IF($A21="","",$L$63*$D21)</f>
        <v/>
      </c>
      <c r="Y21" s="104">
        <f>IF($A21="","",$B21-$E$64-$F$64)</f>
        <v/>
      </c>
      <c r="Z21" s="92">
        <f>IF($A21="","",$L$64*$D21)</f>
        <v/>
      </c>
      <c r="AA21" s="104">
        <f>IF($A21="","",$S21)</f>
        <v/>
      </c>
      <c r="AB21" s="92">
        <f>IF($A21="","",$L$65*$D21)</f>
        <v/>
      </c>
      <c r="AC21" s="104">
        <f>IF($A21="","",$C21)</f>
        <v/>
      </c>
      <c r="AD21" s="92">
        <f>IF($A21="","",$L$66*$D21)</f>
        <v/>
      </c>
      <c r="AE21" s="104">
        <f>IF($A21="","",$C21-$E$67-$F$67)</f>
        <v/>
      </c>
      <c r="AF21" s="92">
        <f>IF($A21="","",$L$67*$D21)</f>
        <v/>
      </c>
      <c r="AG21" s="105">
        <f>IF($A21="","",$K21-68-68)</f>
        <v/>
      </c>
      <c r="AH21" s="106">
        <f>IF($A21="","",$M21-68-68)</f>
        <v/>
      </c>
      <c r="AI21" s="107">
        <f>IF($A21="","",2*$D21)</f>
        <v/>
      </c>
      <c r="AK21" s="138">
        <f>IF($A21="","",2*2*$D21)</f>
        <v/>
      </c>
      <c r="AL21" s="138">
        <f>IF($A21="","",$BC$7*$D21)</f>
        <v/>
      </c>
      <c r="AM21" s="138">
        <f>IF($A21="","",$BC$6*$D21)</f>
        <v/>
      </c>
      <c r="AN21" s="138">
        <f>IF($A21="","",$BC$9*$D21)</f>
        <v/>
      </c>
      <c r="AO21" s="138">
        <f>IF($A21="","",$BC$10*$D21)</f>
        <v/>
      </c>
      <c r="AP21" s="138">
        <f>IF($A21="","",2*$BC$6*$D21)</f>
        <v/>
      </c>
      <c r="AQ21" s="138">
        <f>IF($A21="","",IF($B21&gt;2800,2,IF($B21&gt;1400,1,0))*$BC$6*$D21)</f>
        <v/>
      </c>
      <c r="AR21" s="138">
        <f>IF($A21="","",2*$BC$6*$D21)</f>
        <v/>
      </c>
      <c r="AS21" s="138">
        <f>IF($A21="","",$BC$6*$D21)</f>
        <v/>
      </c>
      <c r="AT21" s="138">
        <f>IF($A21="","",2*$BC$6*$D21)</f>
        <v/>
      </c>
      <c r="AU21" s="138">
        <f>IF($A21="","",4*2*$D21)</f>
        <v/>
      </c>
      <c r="AV21" s="138">
        <f>IF($A21="","",16*2*$D21)</f>
        <v/>
      </c>
      <c r="AW21" s="138">
        <f>IF($A21="","",(2+MAX(0,ROUNDUP(($G21-1500)/500,0)))*$D21)</f>
        <v/>
      </c>
      <c r="AX21" s="138">
        <f>IF($A21="","",(2+MAX(0,ROUNDUP(($G21-1500)/500,0)))*$D21)</f>
        <v/>
      </c>
      <c r="AY21" s="138">
        <f>IF($A21="","",ROUND((2*2*($M21+$K21)*2*$D21+$S21*$T21)/1000,1))</f>
        <v/>
      </c>
      <c r="AZ21" s="138" t="n"/>
    </row>
    <row r="22" ht="40.15" customHeight="1">
      <c r="A22" s="101" t="n"/>
      <c r="B22" s="102" t="n"/>
      <c r="C22" s="92" t="n"/>
      <c r="D22" s="103" t="n"/>
      <c r="E22" s="108">
        <f>IF($A22="","",$B22)</f>
        <v/>
      </c>
      <c r="F22" s="98">
        <f>IF($A22="","",$L$54*$D22)</f>
        <v/>
      </c>
      <c r="G22" s="108">
        <f>IF($A22="","",$C22-$E$55-$F$55)</f>
        <v/>
      </c>
      <c r="H22" s="98">
        <f>IF($A22="","",$L$55*$D22)</f>
        <v/>
      </c>
      <c r="I22" s="108">
        <f>IF($A22="","",$C22)</f>
        <v/>
      </c>
      <c r="J22" s="98">
        <f>IF($A22="","",$L$56*$D22)</f>
        <v/>
      </c>
      <c r="K22" s="108">
        <f>IF($A22="","",$B22-$E$57-$F$57-$G$57-$H$57)</f>
        <v/>
      </c>
      <c r="L22" s="98">
        <f>IF($A22="","",$L$57*$D22)</f>
        <v/>
      </c>
      <c r="M22" s="108">
        <f>IF($A22="","",(($C22-$E$58-$F$58-$G$58-$H$58-$I$58)/2)+(78*1)/2)</f>
        <v/>
      </c>
      <c r="N22" s="98">
        <f>IF($A22="","",$L$58*$D22)</f>
        <v/>
      </c>
      <c r="O22" s="108">
        <f>IF($A22="","",$K22-$E$59-$F$59)</f>
        <v/>
      </c>
      <c r="P22" s="98">
        <f>IF($A22="","",$L$59*$D22)</f>
        <v/>
      </c>
      <c r="Q22" s="108">
        <f>IF($A22="","",$M22-$E$60-$F$60)</f>
        <v/>
      </c>
      <c r="R22" s="98">
        <f>IF($A22="","",$L$60*$D22)</f>
        <v/>
      </c>
      <c r="S22" s="108">
        <f>IF($A22="","",$K22)</f>
        <v/>
      </c>
      <c r="T22" s="98">
        <f>IF($A22="","",$L$61*$D22)</f>
        <v/>
      </c>
      <c r="U22" s="108">
        <f>IF($A22="","",$B22-$E$62-$F$62)</f>
        <v/>
      </c>
      <c r="V22" s="98">
        <f>IF($A22="","",$L$62*$D22)</f>
        <v/>
      </c>
      <c r="W22" s="108">
        <f>IF($A22="","",$C22-$E$63-$F$63)</f>
        <v/>
      </c>
      <c r="X22" s="98">
        <f>IF($A22="","",$L$63*$D22)</f>
        <v/>
      </c>
      <c r="Y22" s="108">
        <f>IF($A22="","",$B22-$E$64-$F$64)</f>
        <v/>
      </c>
      <c r="Z22" s="98">
        <f>IF($A22="","",$L$64*$D22)</f>
        <v/>
      </c>
      <c r="AA22" s="108">
        <f>IF($A22="","",$S22)</f>
        <v/>
      </c>
      <c r="AB22" s="98">
        <f>IF($A22="","",$L$65*$D22)</f>
        <v/>
      </c>
      <c r="AC22" s="108">
        <f>IF($A22="","",$C22)</f>
        <v/>
      </c>
      <c r="AD22" s="98">
        <f>IF($A22="","",$L$66*$D22)</f>
        <v/>
      </c>
      <c r="AE22" s="108">
        <f>IF($A22="","",$C22-$E$67-$F$67)</f>
        <v/>
      </c>
      <c r="AF22" s="98">
        <f>IF($A22="","",$L$67*$D22)</f>
        <v/>
      </c>
      <c r="AG22" s="105">
        <f>IF($A22="","",$K22-68-68)</f>
        <v/>
      </c>
      <c r="AH22" s="106">
        <f>IF($A22="","",$M22-68-68)</f>
        <v/>
      </c>
      <c r="AI22" s="107">
        <f>IF($A22="","",2*$D22)</f>
        <v/>
      </c>
      <c r="AK22" s="138">
        <f>IF($A22="","",2*2*$D22)</f>
        <v/>
      </c>
      <c r="AL22" s="138">
        <f>IF($A22="","",$BC$7*$D22)</f>
        <v/>
      </c>
      <c r="AM22" s="138">
        <f>IF($A22="","",$BC$6*$D22)</f>
        <v/>
      </c>
      <c r="AN22" s="138">
        <f>IF($A22="","",$BC$9*$D22)</f>
        <v/>
      </c>
      <c r="AO22" s="138">
        <f>IF($A22="","",$BC$10*$D22)</f>
        <v/>
      </c>
      <c r="AP22" s="138">
        <f>IF($A22="","",2*$BC$6*$D22)</f>
        <v/>
      </c>
      <c r="AQ22" s="138">
        <f>IF($A22="","",IF($B22&gt;2800,2,IF($B22&gt;1400,1,0))*$BC$6*$D22)</f>
        <v/>
      </c>
      <c r="AR22" s="138">
        <f>IF($A22="","",2*$BC$6*$D22)</f>
        <v/>
      </c>
      <c r="AS22" s="138">
        <f>IF($A22="","",$BC$6*$D22)</f>
        <v/>
      </c>
      <c r="AT22" s="138">
        <f>IF($A22="","",2*$BC$6*$D22)</f>
        <v/>
      </c>
      <c r="AU22" s="138">
        <f>IF($A22="","",4*2*$D22)</f>
        <v/>
      </c>
      <c r="AV22" s="138">
        <f>IF($A22="","",16*2*$D22)</f>
        <v/>
      </c>
      <c r="AW22" s="138">
        <f>IF($A22="","",(2+MAX(0,ROUNDUP(($G22-1500)/500,0)))*$D22)</f>
        <v/>
      </c>
      <c r="AX22" s="138">
        <f>IF($A22="","",(2+MAX(0,ROUNDUP(($G22-1500)/500,0)))*$D22)</f>
        <v/>
      </c>
      <c r="AY22" s="138">
        <f>IF($A22="","",ROUND((2*2*($M22+$K22)*2*$D22+$S22*$T22)/1000,1))</f>
        <v/>
      </c>
      <c r="AZ22" s="138" t="n"/>
    </row>
    <row r="23" ht="40.15" customHeight="1">
      <c r="A23" s="101" t="n"/>
      <c r="B23" s="102" t="n"/>
      <c r="C23" s="92" t="n"/>
      <c r="D23" s="103" t="n"/>
      <c r="E23" s="104">
        <f>IF($A23="","",$B23)</f>
        <v/>
      </c>
      <c r="F23" s="92">
        <f>IF($A23="","",$L$54*$D23)</f>
        <v/>
      </c>
      <c r="G23" s="104">
        <f>IF($A23="","",$C23-$E$55-$F$55)</f>
        <v/>
      </c>
      <c r="H23" s="92">
        <f>IF($A23="","",$L$55*$D23)</f>
        <v/>
      </c>
      <c r="I23" s="104">
        <f>IF($A23="","",$C23)</f>
        <v/>
      </c>
      <c r="J23" s="92">
        <f>IF($A23="","",$L$56*$D23)</f>
        <v/>
      </c>
      <c r="K23" s="104">
        <f>IF($A23="","",$B23-$E$57-$F$57-$G$57-$H$57)</f>
        <v/>
      </c>
      <c r="L23" s="92">
        <f>IF($A23="","",$L$57*$D23)</f>
        <v/>
      </c>
      <c r="M23" s="104">
        <f>IF($A23="","",(($C23-$E$58-$F$58-$G$58-$H$58-$I$58)/2)+(78*1)/2)</f>
        <v/>
      </c>
      <c r="N23" s="92">
        <f>IF($A23="","",$L$58*$D23)</f>
        <v/>
      </c>
      <c r="O23" s="104">
        <f>IF($A23="","",$K23-$E$59-$F$59)</f>
        <v/>
      </c>
      <c r="P23" s="92">
        <f>IF($A23="","",$L$59*$D23)</f>
        <v/>
      </c>
      <c r="Q23" s="104">
        <f>IF($A23="","",$M23-$E$60-$F$60)</f>
        <v/>
      </c>
      <c r="R23" s="92">
        <f>IF($A23="","",$L$60*$D23)</f>
        <v/>
      </c>
      <c r="S23" s="104">
        <f>IF($A23="","",$K23)</f>
        <v/>
      </c>
      <c r="T23" s="92">
        <f>IF($A23="","",$L$61*$D23)</f>
        <v/>
      </c>
      <c r="U23" s="104">
        <f>IF($A23="","",$B23-$E$62-$F$62)</f>
        <v/>
      </c>
      <c r="V23" s="92">
        <f>IF($A23="","",$L$62*$D23)</f>
        <v/>
      </c>
      <c r="W23" s="104">
        <f>IF($A23="","",$C23-$E$63-$F$63)</f>
        <v/>
      </c>
      <c r="X23" s="92">
        <f>IF($A23="","",$L$63*$D23)</f>
        <v/>
      </c>
      <c r="Y23" s="104">
        <f>IF($A23="","",$B23-$E$64-$F$64)</f>
        <v/>
      </c>
      <c r="Z23" s="92">
        <f>IF($A23="","",$L$64*$D23)</f>
        <v/>
      </c>
      <c r="AA23" s="104">
        <f>IF($A23="","",$S23)</f>
        <v/>
      </c>
      <c r="AB23" s="92">
        <f>IF($A23="","",$L$65*$D23)</f>
        <v/>
      </c>
      <c r="AC23" s="104">
        <f>IF($A23="","",$C23)</f>
        <v/>
      </c>
      <c r="AD23" s="92">
        <f>IF($A23="","",$L$66*$D23)</f>
        <v/>
      </c>
      <c r="AE23" s="104">
        <f>IF($A23="","",$C23-$E$67-$F$67)</f>
        <v/>
      </c>
      <c r="AF23" s="92">
        <f>IF($A23="","",$L$67*$D23)</f>
        <v/>
      </c>
      <c r="AG23" s="105">
        <f>IF($A23="","",$K23-68-68)</f>
        <v/>
      </c>
      <c r="AH23" s="106">
        <f>IF($A23="","",$M23-68-68)</f>
        <v/>
      </c>
      <c r="AI23" s="107">
        <f>IF($A23="","",2*$D23)</f>
        <v/>
      </c>
      <c r="AK23" s="138">
        <f>IF($A23="","",2*2*$D23)</f>
        <v/>
      </c>
      <c r="AL23" s="138">
        <f>IF($A23="","",$BC$7*$D23)</f>
        <v/>
      </c>
      <c r="AM23" s="138">
        <f>IF($A23="","",$BC$6*$D23)</f>
        <v/>
      </c>
      <c r="AN23" s="138">
        <f>IF($A23="","",$BC$9*$D23)</f>
        <v/>
      </c>
      <c r="AO23" s="138">
        <f>IF($A23="","",$BC$10*$D23)</f>
        <v/>
      </c>
      <c r="AP23" s="138">
        <f>IF($A23="","",2*$BC$6*$D23)</f>
        <v/>
      </c>
      <c r="AQ23" s="138">
        <f>IF($A23="","",IF($B23&gt;2800,2,IF($B23&gt;1400,1,0))*$BC$6*$D23)</f>
        <v/>
      </c>
      <c r="AR23" s="138">
        <f>IF($A23="","",2*$BC$6*$D23)</f>
        <v/>
      </c>
      <c r="AS23" s="138">
        <f>IF($A23="","",$BC$6*$D23)</f>
        <v/>
      </c>
      <c r="AT23" s="138">
        <f>IF($A23="","",2*$BC$6*$D23)</f>
        <v/>
      </c>
      <c r="AU23" s="138">
        <f>IF($A23="","",4*2*$D23)</f>
        <v/>
      </c>
      <c r="AV23" s="138">
        <f>IF($A23="","",16*2*$D23)</f>
        <v/>
      </c>
      <c r="AW23" s="138">
        <f>IF($A23="","",(2+MAX(0,ROUNDUP(($G23-1500)/500,0)))*$D23)</f>
        <v/>
      </c>
      <c r="AX23" s="138">
        <f>IF($A23="","",(2+MAX(0,ROUNDUP(($G23-1500)/500,0)))*$D23)</f>
        <v/>
      </c>
      <c r="AY23" s="138">
        <f>IF($A23="","",ROUND((2*2*($M23+$K23)*2*$D23+$S23*$T23)/1000,1))</f>
        <v/>
      </c>
      <c r="AZ23" s="138" t="n"/>
    </row>
    <row r="24" ht="40.15" customHeight="1">
      <c r="A24" s="101" t="n"/>
      <c r="B24" s="102" t="n"/>
      <c r="C24" s="92" t="n"/>
      <c r="D24" s="103" t="n"/>
      <c r="E24" s="108">
        <f>IF($A24="","",$B24)</f>
        <v/>
      </c>
      <c r="F24" s="98">
        <f>IF($A24="","",$L$54*$D24)</f>
        <v/>
      </c>
      <c r="G24" s="108">
        <f>IF($A24="","",$C24-$E$55-$F$55)</f>
        <v/>
      </c>
      <c r="H24" s="98">
        <f>IF($A24="","",$L$55*$D24)</f>
        <v/>
      </c>
      <c r="I24" s="108">
        <f>IF($A24="","",$C24)</f>
        <v/>
      </c>
      <c r="J24" s="98">
        <f>IF($A24="","",$L$56*$D24)</f>
        <v/>
      </c>
      <c r="K24" s="108">
        <f>IF($A24="","",$B24-$E$57-$F$57-$G$57-$H$57)</f>
        <v/>
      </c>
      <c r="L24" s="98">
        <f>IF($A24="","",$L$57*$D24)</f>
        <v/>
      </c>
      <c r="M24" s="108">
        <f>IF($A24="","",(($C24-$E$58-$F$58-$G$58-$H$58-$I$58)/2)+(78*1)/2)</f>
        <v/>
      </c>
      <c r="N24" s="98">
        <f>IF($A24="","",$L$58*$D24)</f>
        <v/>
      </c>
      <c r="O24" s="108">
        <f>IF($A24="","",$K24-$E$59-$F$59)</f>
        <v/>
      </c>
      <c r="P24" s="98">
        <f>IF($A24="","",$L$59*$D24)</f>
        <v/>
      </c>
      <c r="Q24" s="108">
        <f>IF($A24="","",$M24-$E$60-$F$60)</f>
        <v/>
      </c>
      <c r="R24" s="98">
        <f>IF($A24="","",$L$60*$D24)</f>
        <v/>
      </c>
      <c r="S24" s="108">
        <f>IF($A24="","",$K24)</f>
        <v/>
      </c>
      <c r="T24" s="98">
        <f>IF($A24="","",$L$61*$D24)</f>
        <v/>
      </c>
      <c r="U24" s="108">
        <f>IF($A24="","",$B24-$E$62-$F$62)</f>
        <v/>
      </c>
      <c r="V24" s="98">
        <f>IF($A24="","",$L$62*$D24)</f>
        <v/>
      </c>
      <c r="W24" s="108">
        <f>IF($A24="","",$C24-$E$63-$F$63)</f>
        <v/>
      </c>
      <c r="X24" s="98">
        <f>IF($A24="","",$L$63*$D24)</f>
        <v/>
      </c>
      <c r="Y24" s="108">
        <f>IF($A24="","",$B24-$E$64-$F$64)</f>
        <v/>
      </c>
      <c r="Z24" s="98">
        <f>IF($A24="","",$L$64*$D24)</f>
        <v/>
      </c>
      <c r="AA24" s="108">
        <f>IF($A24="","",$S24)</f>
        <v/>
      </c>
      <c r="AB24" s="98">
        <f>IF($A24="","",$L$65*$D24)</f>
        <v/>
      </c>
      <c r="AC24" s="108">
        <f>IF($A24="","",$C24)</f>
        <v/>
      </c>
      <c r="AD24" s="98">
        <f>IF($A24="","",$L$66*$D24)</f>
        <v/>
      </c>
      <c r="AE24" s="108">
        <f>IF($A24="","",$C24-$E$67-$F$67)</f>
        <v/>
      </c>
      <c r="AF24" s="98">
        <f>IF($A24="","",$L$67*$D24)</f>
        <v/>
      </c>
      <c r="AG24" s="105">
        <f>IF($A24="","",$K24-68-68)</f>
        <v/>
      </c>
      <c r="AH24" s="106">
        <f>IF($A24="","",$M24-68-68)</f>
        <v/>
      </c>
      <c r="AI24" s="107">
        <f>IF($A24="","",2*$D24)</f>
        <v/>
      </c>
      <c r="AK24" s="138">
        <f>IF($A24="","",2*2*$D24)</f>
        <v/>
      </c>
      <c r="AL24" s="138">
        <f>IF($A24="","",$BC$7*$D24)</f>
        <v/>
      </c>
      <c r="AM24" s="138">
        <f>IF($A24="","",$BC$6*$D24)</f>
        <v/>
      </c>
      <c r="AN24" s="138">
        <f>IF($A24="","",$BC$9*$D24)</f>
        <v/>
      </c>
      <c r="AO24" s="138">
        <f>IF($A24="","",$BC$10*$D24)</f>
        <v/>
      </c>
      <c r="AP24" s="138">
        <f>IF($A24="","",2*$BC$6*$D24)</f>
        <v/>
      </c>
      <c r="AQ24" s="138">
        <f>IF($A24="","",IF($B24&gt;2800,2,IF($B24&gt;1400,1,0))*$BC$6*$D24)</f>
        <v/>
      </c>
      <c r="AR24" s="138">
        <f>IF($A24="","",2*$BC$6*$D24)</f>
        <v/>
      </c>
      <c r="AS24" s="138">
        <f>IF($A24="","",$BC$6*$D24)</f>
        <v/>
      </c>
      <c r="AT24" s="138">
        <f>IF($A24="","",2*$BC$6*$D24)</f>
        <v/>
      </c>
      <c r="AU24" s="138">
        <f>IF($A24="","",4*2*$D24)</f>
        <v/>
      </c>
      <c r="AV24" s="138">
        <f>IF($A24="","",16*2*$D24)</f>
        <v/>
      </c>
      <c r="AW24" s="138">
        <f>IF($A24="","",(2+MAX(0,ROUNDUP(($G24-1500)/500,0)))*$D24)</f>
        <v/>
      </c>
      <c r="AX24" s="138">
        <f>IF($A24="","",(2+MAX(0,ROUNDUP(($G24-1500)/500,0)))*$D24)</f>
        <v/>
      </c>
      <c r="AY24" s="138">
        <f>IF($A24="","",ROUND((2*2*($M24+$K24)*2*$D24+$S24*$T24)/1000,1))</f>
        <v/>
      </c>
      <c r="AZ24" s="138" t="n"/>
    </row>
    <row r="25" ht="40.15" customHeight="1">
      <c r="A25" s="101" t="n"/>
      <c r="B25" s="102" t="n"/>
      <c r="C25" s="92" t="n"/>
      <c r="D25" s="103" t="n"/>
      <c r="E25" s="104">
        <f>IF($A25="","",$B25)</f>
        <v/>
      </c>
      <c r="F25" s="92">
        <f>IF($A25="","",$L$54*$D25)</f>
        <v/>
      </c>
      <c r="G25" s="104">
        <f>IF($A25="","",$C25-$E$55-$F$55)</f>
        <v/>
      </c>
      <c r="H25" s="92">
        <f>IF($A25="","",$L$55*$D25)</f>
        <v/>
      </c>
      <c r="I25" s="104">
        <f>IF($A25="","",$C25)</f>
        <v/>
      </c>
      <c r="J25" s="92">
        <f>IF($A25="","",$L$56*$D25)</f>
        <v/>
      </c>
      <c r="K25" s="104">
        <f>IF($A25="","",$B25-$E$57-$F$57-$G$57-$H$57)</f>
        <v/>
      </c>
      <c r="L25" s="92">
        <f>IF($A25="","",$L$57*$D25)</f>
        <v/>
      </c>
      <c r="M25" s="104">
        <f>IF($A25="","",(($C25-$E$58-$F$58-$G$58-$H$58-$I$58)/2)+(78*1)/2)</f>
        <v/>
      </c>
      <c r="N25" s="92">
        <f>IF($A25="","",$L$58*$D25)</f>
        <v/>
      </c>
      <c r="O25" s="104">
        <f>IF($A25="","",$K25-$E$59-$F$59)</f>
        <v/>
      </c>
      <c r="P25" s="92">
        <f>IF($A25="","",$L$59*$D25)</f>
        <v/>
      </c>
      <c r="Q25" s="104">
        <f>IF($A25="","",$M25-$E$60-$F$60)</f>
        <v/>
      </c>
      <c r="R25" s="92">
        <f>IF($A25="","",$L$60*$D25)</f>
        <v/>
      </c>
      <c r="S25" s="104">
        <f>IF($A25="","",$K25)</f>
        <v/>
      </c>
      <c r="T25" s="92">
        <f>IF($A25="","",$L$61*$D25)</f>
        <v/>
      </c>
      <c r="U25" s="104">
        <f>IF($A25="","",$B25-$E$62-$F$62)</f>
        <v/>
      </c>
      <c r="V25" s="92">
        <f>IF($A25="","",$L$62*$D25)</f>
        <v/>
      </c>
      <c r="W25" s="104">
        <f>IF($A25="","",$C25-$E$63-$F$63)</f>
        <v/>
      </c>
      <c r="X25" s="92">
        <f>IF($A25="","",$L$63*$D25)</f>
        <v/>
      </c>
      <c r="Y25" s="104">
        <f>IF($A25="","",$B25-$E$64-$F$64)</f>
        <v/>
      </c>
      <c r="Z25" s="92">
        <f>IF($A25="","",$L$64*$D25)</f>
        <v/>
      </c>
      <c r="AA25" s="104">
        <f>IF($A25="","",$S25)</f>
        <v/>
      </c>
      <c r="AB25" s="92">
        <f>IF($A25="","",$L$65*$D25)</f>
        <v/>
      </c>
      <c r="AC25" s="104">
        <f>IF($A25="","",$C25)</f>
        <v/>
      </c>
      <c r="AD25" s="92">
        <f>IF($A25="","",$L$66*$D25)</f>
        <v/>
      </c>
      <c r="AE25" s="104">
        <f>IF($A25="","",$C25-$E$67-$F$67)</f>
        <v/>
      </c>
      <c r="AF25" s="92">
        <f>IF($A25="","",$L$67*$D25)</f>
        <v/>
      </c>
      <c r="AG25" s="105">
        <f>IF($A25="","",$K25-68-68)</f>
        <v/>
      </c>
      <c r="AH25" s="106">
        <f>IF($A25="","",$M25-68-68)</f>
        <v/>
      </c>
      <c r="AI25" s="107">
        <f>IF($A25="","",2*$D25)</f>
        <v/>
      </c>
      <c r="AK25" s="138">
        <f>IF($A25="","",2*2*$D25)</f>
        <v/>
      </c>
      <c r="AL25" s="138">
        <f>IF($A25="","",$BC$7*$D25)</f>
        <v/>
      </c>
      <c r="AM25" s="138">
        <f>IF($A25="","",$BC$6*$D25)</f>
        <v/>
      </c>
      <c r="AN25" s="138">
        <f>IF($A25="","",$BC$9*$D25)</f>
        <v/>
      </c>
      <c r="AO25" s="138">
        <f>IF($A25="","",$BC$10*$D25)</f>
        <v/>
      </c>
      <c r="AP25" s="138">
        <f>IF($A25="","",2*$BC$6*$D25)</f>
        <v/>
      </c>
      <c r="AQ25" s="138">
        <f>IF($A25="","",IF($B25&gt;2800,2,IF($B25&gt;1400,1,0))*$BC$6*$D25)</f>
        <v/>
      </c>
      <c r="AR25" s="138">
        <f>IF($A25="","",2*$BC$6*$D25)</f>
        <v/>
      </c>
      <c r="AS25" s="138">
        <f>IF($A25="","",$BC$6*$D25)</f>
        <v/>
      </c>
      <c r="AT25" s="138">
        <f>IF($A25="","",2*$BC$6*$D25)</f>
        <v/>
      </c>
      <c r="AU25" s="138">
        <f>IF($A25="","",4*2*$D25)</f>
        <v/>
      </c>
      <c r="AV25" s="138">
        <f>IF($A25="","",16*2*$D25)</f>
        <v/>
      </c>
      <c r="AW25" s="138">
        <f>IF($A25="","",(2+MAX(0,ROUNDUP(($G25-1500)/500,0)))*$D25)</f>
        <v/>
      </c>
      <c r="AX25" s="138">
        <f>IF($A25="","",(2+MAX(0,ROUNDUP(($G25-1500)/500,0)))*$D25)</f>
        <v/>
      </c>
      <c r="AY25" s="138">
        <f>IF($A25="","",ROUND((2*2*($M25+$K25)*2*$D25+$S25*$T25)/1000,1))</f>
        <v/>
      </c>
      <c r="AZ25" s="138" t="n"/>
    </row>
    <row r="26" ht="40.15" customHeight="1">
      <c r="A26" s="101" t="n"/>
      <c r="B26" s="102" t="n"/>
      <c r="C26" s="92" t="n"/>
      <c r="D26" s="103" t="n"/>
      <c r="E26" s="108">
        <f>IF($A26="","",$B26)</f>
        <v/>
      </c>
      <c r="F26" s="98">
        <f>IF($A26="","",$L$54*$D26)</f>
        <v/>
      </c>
      <c r="G26" s="108">
        <f>IF($A26="","",$C26-$E$55-$F$55)</f>
        <v/>
      </c>
      <c r="H26" s="98">
        <f>IF($A26="","",$L$55*$D26)</f>
        <v/>
      </c>
      <c r="I26" s="108">
        <f>IF($A26="","",$C26)</f>
        <v/>
      </c>
      <c r="J26" s="98">
        <f>IF($A26="","",$L$56*$D26)</f>
        <v/>
      </c>
      <c r="K26" s="108">
        <f>IF($A26="","",$B26-$E$57-$F$57-$G$57-$H$57)</f>
        <v/>
      </c>
      <c r="L26" s="98">
        <f>IF($A26="","",$L$57*$D26)</f>
        <v/>
      </c>
      <c r="M26" s="108">
        <f>IF($A26="","",(($C26-$E$58-$F$58-$G$58-$H$58-$I$58)/2)+(78*1)/2)</f>
        <v/>
      </c>
      <c r="N26" s="98">
        <f>IF($A26="","",$L$58*$D26)</f>
        <v/>
      </c>
      <c r="O26" s="108">
        <f>IF($A26="","",$K26-$E$59-$F$59)</f>
        <v/>
      </c>
      <c r="P26" s="98">
        <f>IF($A26="","",$L$59*$D26)</f>
        <v/>
      </c>
      <c r="Q26" s="108">
        <f>IF($A26="","",$M26-$E$60-$F$60)</f>
        <v/>
      </c>
      <c r="R26" s="98">
        <f>IF($A26="","",$L$60*$D26)</f>
        <v/>
      </c>
      <c r="S26" s="108">
        <f>IF($A26="","",$K26)</f>
        <v/>
      </c>
      <c r="T26" s="98">
        <f>IF($A26="","",$L$61*$D26)</f>
        <v/>
      </c>
      <c r="U26" s="108">
        <f>IF($A26="","",$B26-$E$62-$F$62)</f>
        <v/>
      </c>
      <c r="V26" s="98">
        <f>IF($A26="","",$L$62*$D26)</f>
        <v/>
      </c>
      <c r="W26" s="108">
        <f>IF($A26="","",$C26-$E$63-$F$63)</f>
        <v/>
      </c>
      <c r="X26" s="98">
        <f>IF($A26="","",$L$63*$D26)</f>
        <v/>
      </c>
      <c r="Y26" s="108">
        <f>IF($A26="","",$B26-$E$64-$F$64)</f>
        <v/>
      </c>
      <c r="Z26" s="98">
        <f>IF($A26="","",$L$64*$D26)</f>
        <v/>
      </c>
      <c r="AA26" s="108">
        <f>IF($A26="","",$S26)</f>
        <v/>
      </c>
      <c r="AB26" s="98">
        <f>IF($A26="","",$L$65*$D26)</f>
        <v/>
      </c>
      <c r="AC26" s="108">
        <f>IF($A26="","",$C26)</f>
        <v/>
      </c>
      <c r="AD26" s="98">
        <f>IF($A26="","",$L$66*$D26)</f>
        <v/>
      </c>
      <c r="AE26" s="108">
        <f>IF($A26="","",$C26-$E$67-$F$67)</f>
        <v/>
      </c>
      <c r="AF26" s="98">
        <f>IF($A26="","",$L$67*$D26)</f>
        <v/>
      </c>
      <c r="AG26" s="105">
        <f>IF($A26="","",$K26-68-68)</f>
        <v/>
      </c>
      <c r="AH26" s="106">
        <f>IF($A26="","",$M26-68-68)</f>
        <v/>
      </c>
      <c r="AI26" s="107">
        <f>IF($A26="","",2*$D26)</f>
        <v/>
      </c>
      <c r="AK26" s="138">
        <f>IF($A26="","",2*2*$D26)</f>
        <v/>
      </c>
      <c r="AL26" s="138">
        <f>IF($A26="","",$BC$7*$D26)</f>
        <v/>
      </c>
      <c r="AM26" s="138">
        <f>IF($A26="","",$BC$6*$D26)</f>
        <v/>
      </c>
      <c r="AN26" s="138">
        <f>IF($A26="","",$BC$9*$D26)</f>
        <v/>
      </c>
      <c r="AO26" s="138">
        <f>IF($A26="","",$BC$10*$D26)</f>
        <v/>
      </c>
      <c r="AP26" s="138">
        <f>IF($A26="","",2*$BC$6*$D26)</f>
        <v/>
      </c>
      <c r="AQ26" s="138">
        <f>IF($A26="","",IF($B26&gt;2800,2,IF($B26&gt;1400,1,0))*$BC$6*$D26)</f>
        <v/>
      </c>
      <c r="AR26" s="138">
        <f>IF($A26="","",2*$BC$6*$D26)</f>
        <v/>
      </c>
      <c r="AS26" s="138">
        <f>IF($A26="","",$BC$6*$D26)</f>
        <v/>
      </c>
      <c r="AT26" s="138">
        <f>IF($A26="","",2*$BC$6*$D26)</f>
        <v/>
      </c>
      <c r="AU26" s="138">
        <f>IF($A26="","",4*2*$D26)</f>
        <v/>
      </c>
      <c r="AV26" s="138">
        <f>IF($A26="","",16*2*$D26)</f>
        <v/>
      </c>
      <c r="AW26" s="138">
        <f>IF($A26="","",(2+MAX(0,ROUNDUP(($G26-1500)/500,0)))*$D26)</f>
        <v/>
      </c>
      <c r="AX26" s="138">
        <f>IF($A26="","",(2+MAX(0,ROUNDUP(($G26-1500)/500,0)))*$D26)</f>
        <v/>
      </c>
      <c r="AY26" s="138">
        <f>IF($A26="","",ROUND((2*2*($M26+$K26)*2*$D26+$S26*$T26)/1000,1))</f>
        <v/>
      </c>
      <c r="AZ26" s="138" t="n"/>
    </row>
    <row r="27" ht="40.15" customHeight="1">
      <c r="A27" s="101" t="n"/>
      <c r="B27" s="102" t="n"/>
      <c r="C27" s="92" t="n"/>
      <c r="D27" s="103" t="n"/>
      <c r="E27" s="104">
        <f>IF($A27="","",$B27)</f>
        <v/>
      </c>
      <c r="F27" s="92">
        <f>IF($A27="","",$L$54*$D27)</f>
        <v/>
      </c>
      <c r="G27" s="104">
        <f>IF($A27="","",$C27-$E$55-$F$55)</f>
        <v/>
      </c>
      <c r="H27" s="92">
        <f>IF($A27="","",$L$55*$D27)</f>
        <v/>
      </c>
      <c r="I27" s="104">
        <f>IF($A27="","",$C27)</f>
        <v/>
      </c>
      <c r="J27" s="92">
        <f>IF($A27="","",$L$56*$D27)</f>
        <v/>
      </c>
      <c r="K27" s="104">
        <f>IF($A27="","",$B27-$E$57-$F$57-$G$57-$H$57)</f>
        <v/>
      </c>
      <c r="L27" s="92">
        <f>IF($A27="","",$L$57*$D27)</f>
        <v/>
      </c>
      <c r="M27" s="104">
        <f>IF($A27="","",(($C27-$E$58-$F$58-$G$58-$H$58-$I$58)/2)+(78*1)/2)</f>
        <v/>
      </c>
      <c r="N27" s="92">
        <f>IF($A27="","",$L$58*$D27)</f>
        <v/>
      </c>
      <c r="O27" s="104">
        <f>IF($A27="","",$K27-$E$59-$F$59)</f>
        <v/>
      </c>
      <c r="P27" s="92">
        <f>IF($A27="","",$L$59*$D27)</f>
        <v/>
      </c>
      <c r="Q27" s="104">
        <f>IF($A27="","",$M27-$E$60-$F$60)</f>
        <v/>
      </c>
      <c r="R27" s="92">
        <f>IF($A27="","",$L$60*$D27)</f>
        <v/>
      </c>
      <c r="S27" s="104">
        <f>IF($A27="","",$K27)</f>
        <v/>
      </c>
      <c r="T27" s="92">
        <f>IF($A27="","",$L$61*$D27)</f>
        <v/>
      </c>
      <c r="U27" s="104">
        <f>IF($A27="","",$B27-$E$62-$F$62)</f>
        <v/>
      </c>
      <c r="V27" s="92">
        <f>IF($A27="","",$L$62*$D27)</f>
        <v/>
      </c>
      <c r="W27" s="104">
        <f>IF($A27="","",$C27-$E$63-$F$63)</f>
        <v/>
      </c>
      <c r="X27" s="92">
        <f>IF($A27="","",$L$63*$D27)</f>
        <v/>
      </c>
      <c r="Y27" s="104">
        <f>IF($A27="","",$B27-$E$64-$F$64)</f>
        <v/>
      </c>
      <c r="Z27" s="92">
        <f>IF($A27="","",$L$64*$D27)</f>
        <v/>
      </c>
      <c r="AA27" s="104">
        <f>IF($A27="","",$S27)</f>
        <v/>
      </c>
      <c r="AB27" s="92">
        <f>IF($A27="","",$L$65*$D27)</f>
        <v/>
      </c>
      <c r="AC27" s="104">
        <f>IF($A27="","",$C27)</f>
        <v/>
      </c>
      <c r="AD27" s="92">
        <f>IF($A27="","",$L$66*$D27)</f>
        <v/>
      </c>
      <c r="AE27" s="104">
        <f>IF($A27="","",$C27-$E$67-$F$67)</f>
        <v/>
      </c>
      <c r="AF27" s="92">
        <f>IF($A27="","",$L$67*$D27)</f>
        <v/>
      </c>
      <c r="AG27" s="105">
        <f>IF($A27="","",$K27-68-68)</f>
        <v/>
      </c>
      <c r="AH27" s="106">
        <f>IF($A27="","",$M27-68-68)</f>
        <v/>
      </c>
      <c r="AI27" s="107">
        <f>IF($A27="","",2*$D27)</f>
        <v/>
      </c>
      <c r="AK27" s="138">
        <f>IF($A27="","",2*2*$D27)</f>
        <v/>
      </c>
      <c r="AL27" s="138">
        <f>IF($A27="","",$BC$7*$D27)</f>
        <v/>
      </c>
      <c r="AM27" s="138">
        <f>IF($A27="","",$BC$6*$D27)</f>
        <v/>
      </c>
      <c r="AN27" s="138">
        <f>IF($A27="","",$BC$9*$D27)</f>
        <v/>
      </c>
      <c r="AO27" s="138">
        <f>IF($A27="","",$BC$10*$D27)</f>
        <v/>
      </c>
      <c r="AP27" s="138">
        <f>IF($A27="","",2*$BC$6*$D27)</f>
        <v/>
      </c>
      <c r="AQ27" s="138">
        <f>IF($A27="","",IF($B27&gt;2800,2,IF($B27&gt;1400,1,0))*$BC$6*$D27)</f>
        <v/>
      </c>
      <c r="AR27" s="138">
        <f>IF($A27="","",2*$BC$6*$D27)</f>
        <v/>
      </c>
      <c r="AS27" s="138">
        <f>IF($A27="","",$BC$6*$D27)</f>
        <v/>
      </c>
      <c r="AT27" s="138">
        <f>IF($A27="","",2*$BC$6*$D27)</f>
        <v/>
      </c>
      <c r="AU27" s="138">
        <f>IF($A27="","",4*2*$D27)</f>
        <v/>
      </c>
      <c r="AV27" s="138">
        <f>IF($A27="","",16*2*$D27)</f>
        <v/>
      </c>
      <c r="AW27" s="138">
        <f>IF($A27="","",(2+MAX(0,ROUNDUP(($G27-1500)/500,0)))*$D27)</f>
        <v/>
      </c>
      <c r="AX27" s="138">
        <f>IF($A27="","",(2+MAX(0,ROUNDUP(($G27-1500)/500,0)))*$D27)</f>
        <v/>
      </c>
      <c r="AY27" s="138">
        <f>IF($A27="","",ROUND((2*2*($M27+$K27)*2*$D27+$S27*$T27)/1000,1))</f>
        <v/>
      </c>
      <c r="AZ27" s="138" t="n"/>
    </row>
    <row r="28" ht="40.15" customHeight="1">
      <c r="A28" s="101" t="n"/>
      <c r="B28" s="102" t="n"/>
      <c r="C28" s="92" t="n"/>
      <c r="D28" s="103" t="n"/>
      <c r="E28" s="108">
        <f>IF($A28="","",$B28)</f>
        <v/>
      </c>
      <c r="F28" s="98">
        <f>IF($A28="","",$L$54*$D28)</f>
        <v/>
      </c>
      <c r="G28" s="108">
        <f>IF($A28="","",$C28-$E$55-$F$55)</f>
        <v/>
      </c>
      <c r="H28" s="98">
        <f>IF($A28="","",$L$55*$D28)</f>
        <v/>
      </c>
      <c r="I28" s="108">
        <f>IF($A28="","",$C28)</f>
        <v/>
      </c>
      <c r="J28" s="98">
        <f>IF($A28="","",$L$56*$D28)</f>
        <v/>
      </c>
      <c r="K28" s="108">
        <f>IF($A28="","",$B28-$E$57-$F$57-$G$57-$H$57)</f>
        <v/>
      </c>
      <c r="L28" s="98">
        <f>IF($A28="","",$L$57*$D28)</f>
        <v/>
      </c>
      <c r="M28" s="108">
        <f>IF($A28="","",(($C28-$E$58-$F$58-$G$58-$H$58-$I$58)/2)+(78*1)/2)</f>
        <v/>
      </c>
      <c r="N28" s="98">
        <f>IF($A28="","",$L$58*$D28)</f>
        <v/>
      </c>
      <c r="O28" s="108">
        <f>IF($A28="","",$K28-$E$59-$F$59)</f>
        <v/>
      </c>
      <c r="P28" s="98">
        <f>IF($A28="","",$L$59*$D28)</f>
        <v/>
      </c>
      <c r="Q28" s="108">
        <f>IF($A28="","",$M28-$E$60-$F$60)</f>
        <v/>
      </c>
      <c r="R28" s="98">
        <f>IF($A28="","",$L$60*$D28)</f>
        <v/>
      </c>
      <c r="S28" s="108">
        <f>IF($A28="","",$K28)</f>
        <v/>
      </c>
      <c r="T28" s="98">
        <f>IF($A28="","",$L$61*$D28)</f>
        <v/>
      </c>
      <c r="U28" s="108">
        <f>IF($A28="","",$B28-$E$62-$F$62)</f>
        <v/>
      </c>
      <c r="V28" s="98">
        <f>IF($A28="","",$L$62*$D28)</f>
        <v/>
      </c>
      <c r="W28" s="108">
        <f>IF($A28="","",$C28-$E$63-$F$63)</f>
        <v/>
      </c>
      <c r="X28" s="98">
        <f>IF($A28="","",$L$63*$D28)</f>
        <v/>
      </c>
      <c r="Y28" s="108">
        <f>IF($A28="","",$B28-$E$64-$F$64)</f>
        <v/>
      </c>
      <c r="Z28" s="98">
        <f>IF($A28="","",$L$64*$D28)</f>
        <v/>
      </c>
      <c r="AA28" s="108">
        <f>IF($A28="","",$S28)</f>
        <v/>
      </c>
      <c r="AB28" s="98">
        <f>IF($A28="","",$L$65*$D28)</f>
        <v/>
      </c>
      <c r="AC28" s="108">
        <f>IF($A28="","",$C28)</f>
        <v/>
      </c>
      <c r="AD28" s="98">
        <f>IF($A28="","",$L$66*$D28)</f>
        <v/>
      </c>
      <c r="AE28" s="108">
        <f>IF($A28="","",$C28-$E$67-$F$67)</f>
        <v/>
      </c>
      <c r="AF28" s="98">
        <f>IF($A28="","",$L$67*$D28)</f>
        <v/>
      </c>
      <c r="AG28" s="105">
        <f>IF($A28="","",$K28-68-68)</f>
        <v/>
      </c>
      <c r="AH28" s="106">
        <f>IF($A28="","",$M28-68-68)</f>
        <v/>
      </c>
      <c r="AI28" s="107">
        <f>IF($A28="","",2*$D28)</f>
        <v/>
      </c>
      <c r="AK28" s="138">
        <f>IF($A28="","",2*2*$D28)</f>
        <v/>
      </c>
      <c r="AL28" s="138">
        <f>IF($A28="","",$BC$7*$D28)</f>
        <v/>
      </c>
      <c r="AM28" s="138">
        <f>IF($A28="","",$BC$6*$D28)</f>
        <v/>
      </c>
      <c r="AN28" s="138">
        <f>IF($A28="","",$BC$9*$D28)</f>
        <v/>
      </c>
      <c r="AO28" s="138">
        <f>IF($A28="","",$BC$10*$D28)</f>
        <v/>
      </c>
      <c r="AP28" s="138">
        <f>IF($A28="","",2*$BC$6*$D28)</f>
        <v/>
      </c>
      <c r="AQ28" s="138">
        <f>IF($A28="","",IF($B28&gt;2800,2,IF($B28&gt;1400,1,0))*$BC$6*$D28)</f>
        <v/>
      </c>
      <c r="AR28" s="138">
        <f>IF($A28="","",2*$BC$6*$D28)</f>
        <v/>
      </c>
      <c r="AS28" s="138">
        <f>IF($A28="","",$BC$6*$D28)</f>
        <v/>
      </c>
      <c r="AT28" s="138">
        <f>IF($A28="","",2*$BC$6*$D28)</f>
        <v/>
      </c>
      <c r="AU28" s="138">
        <f>IF($A28="","",4*2*$D28)</f>
        <v/>
      </c>
      <c r="AV28" s="138">
        <f>IF($A28="","",16*2*$D28)</f>
        <v/>
      </c>
      <c r="AW28" s="138">
        <f>IF($A28="","",(2+MAX(0,ROUNDUP(($G28-1500)/500,0)))*$D28)</f>
        <v/>
      </c>
      <c r="AX28" s="138">
        <f>IF($A28="","",(2+MAX(0,ROUNDUP(($G28-1500)/500,0)))*$D28)</f>
        <v/>
      </c>
      <c r="AY28" s="138">
        <f>IF($A28="","",ROUND((2*2*($M28+$K28)*2*$D28+$S28*$T28)/1000,1))</f>
        <v/>
      </c>
      <c r="AZ28" s="138" t="n"/>
    </row>
    <row r="29" ht="40.15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9" t="n"/>
    </row>
    <row r="30" ht="40.15" customHeight="1">
      <c r="A30" s="70" t="inlineStr">
        <is>
          <t>จำนวนเส้น 6.4 ม. ที่ต้องสั่ง →</t>
        </is>
      </c>
      <c r="E30" s="71">
        <f>E$7</f>
        <v/>
      </c>
      <c r="F30" s="72">
        <f>(ROUNDUP(F49/6400,0))</f>
        <v/>
      </c>
      <c r="G30" s="72">
        <f>G$7</f>
        <v/>
      </c>
      <c r="H30" s="72">
        <f>(ROUNDUP(H49/6400,0))</f>
        <v/>
      </c>
      <c r="I30" s="72">
        <f>I$7</f>
        <v/>
      </c>
      <c r="J30" s="72">
        <f>(ROUNDUP(J49/6400,0))</f>
        <v/>
      </c>
      <c r="K30" s="72">
        <f>K$7</f>
        <v/>
      </c>
      <c r="N30" s="72">
        <f>(ROUNDUP(SUM(L49:N49)/6400,0))</f>
        <v/>
      </c>
      <c r="O30" s="72">
        <f>O$7</f>
        <v/>
      </c>
      <c r="R30" s="72">
        <f>(ROUNDUP(SUM(P49:R49)/6400,0))</f>
        <v/>
      </c>
      <c r="S30" s="72">
        <f>S$7</f>
        <v/>
      </c>
      <c r="T30" s="72">
        <f>(ROUNDUP(T49/6400,0))</f>
        <v/>
      </c>
      <c r="U30" s="72">
        <f>U$7</f>
        <v/>
      </c>
      <c r="V30" s="72">
        <f>(ROUNDUP(V49/6400,0))</f>
        <v/>
      </c>
      <c r="W30" s="72">
        <f>W$7</f>
        <v/>
      </c>
      <c r="X30" s="72">
        <f>(ROUNDUP(X49/5000,0))</f>
        <v/>
      </c>
      <c r="Y30" s="72">
        <f>Y$7</f>
        <v/>
      </c>
      <c r="AD30" s="72">
        <f>(ROUNDUP(SUM(Z49:AD49)/6400,0))</f>
        <v/>
      </c>
      <c r="AE30" s="72">
        <f>AE$7</f>
        <v/>
      </c>
      <c r="AF30" s="72">
        <f>(ROUNDUP(AF49/5000,0))</f>
        <v/>
      </c>
      <c r="AJ30" s="139" t="inlineStr">
        <is>
          <t>รวม</t>
        </is>
      </c>
      <c r="AK30" s="140">
        <f>SUM(AK11:AK28)</f>
        <v/>
      </c>
      <c r="AL30" s="140">
        <f>SUM(AL11:AL28)</f>
        <v/>
      </c>
      <c r="AM30" s="140">
        <f>SUM(AM11:AM28)</f>
        <v/>
      </c>
      <c r="AN30" s="140">
        <f>SUM(AN11:AN28)</f>
        <v/>
      </c>
      <c r="AO30" s="140">
        <f>SUM(AO11:AO28)</f>
        <v/>
      </c>
      <c r="AP30" s="140">
        <f>SUM(AP11:AP28)</f>
        <v/>
      </c>
      <c r="AQ30" s="140">
        <f>SUM(AQ11:AQ28)</f>
        <v/>
      </c>
      <c r="AR30" s="140">
        <f>SUM(AR11:AR28)</f>
        <v/>
      </c>
      <c r="AS30" s="140">
        <f>SUM(AS11:AS28)</f>
        <v/>
      </c>
      <c r="AT30" s="140">
        <f>SUM(AT11:AT28)</f>
        <v/>
      </c>
      <c r="AU30" s="140">
        <f>SUM(AU11:AU28)</f>
        <v/>
      </c>
      <c r="AV30" s="140">
        <f>SUM(AV11:AV28)</f>
        <v/>
      </c>
      <c r="AW30" s="140">
        <f>SUM(AW11:AW28)</f>
        <v/>
      </c>
      <c r="AX30" s="140">
        <f>SUM(AX11:AX28)</f>
        <v/>
      </c>
      <c r="AY30" s="140">
        <f>SUM(AY11:AY28)</f>
        <v/>
      </c>
      <c r="AZ30" s="147" t="n"/>
    </row>
    <row r="31" hidden="1" ht="40.15" customHeight="1">
      <c r="F31" s="73">
        <f>IF($A11="","",F11*E11)</f>
        <v/>
      </c>
      <c r="G31" s="73" t="n"/>
      <c r="H31" s="73">
        <f>IF($A11="","",H11*G11)</f>
        <v/>
      </c>
      <c r="I31" s="73" t="n"/>
      <c r="J31" s="73">
        <f>IF($A11="","",J11*I11)</f>
        <v/>
      </c>
      <c r="K31" s="73" t="n"/>
      <c r="L31" s="73">
        <f>IF($A11="","",L11*K11)</f>
        <v/>
      </c>
      <c r="M31" s="73" t="n"/>
      <c r="N31" s="73">
        <f>IF($A11="","",N11*M11)</f>
        <v/>
      </c>
      <c r="O31" s="73" t="n"/>
      <c r="P31" s="73">
        <f>IF($A11="","",P11*O11)</f>
        <v/>
      </c>
      <c r="Q31" s="73" t="n"/>
      <c r="R31" s="73">
        <f>IF($A11="","",R11*Q11)</f>
        <v/>
      </c>
      <c r="S31" s="73" t="n"/>
      <c r="T31" s="73">
        <f>IF($A11="","",T11*S11)</f>
        <v/>
      </c>
      <c r="U31" s="73" t="n"/>
      <c r="V31" s="73">
        <f>IF($A11="","",V11*U11)</f>
        <v/>
      </c>
      <c r="W31" s="73" t="n"/>
      <c r="X31" s="73">
        <f>IF($A11="","",X11*W11)</f>
        <v/>
      </c>
      <c r="Y31" s="73" t="n"/>
      <c r="Z31" s="73">
        <f>IF($A11="","",Z11*Y11)</f>
        <v/>
      </c>
      <c r="AA31" s="73" t="n"/>
      <c r="AB31" s="73">
        <f>IF($A11="","",AB11*AA11)</f>
        <v/>
      </c>
      <c r="AC31" s="73" t="n"/>
      <c r="AD31" s="73">
        <f>IF($A11="","",AD11*AC11)</f>
        <v/>
      </c>
      <c r="AE31" s="73" t="n"/>
      <c r="AF31" s="73">
        <f>IF($A11="","",AF11*AE11)</f>
        <v/>
      </c>
    </row>
    <row r="32" hidden="1" ht="40.15" customHeight="1">
      <c r="F32" s="73">
        <f>IF($A12="","",F12*E12)</f>
        <v/>
      </c>
      <c r="G32" s="73" t="n"/>
      <c r="H32" s="73">
        <f>IF($A12="","",H12*G12)</f>
        <v/>
      </c>
      <c r="I32" s="73" t="n"/>
      <c r="J32" s="73">
        <f>IF($A12="","",J12*I12)</f>
        <v/>
      </c>
      <c r="K32" s="73" t="n"/>
      <c r="L32" s="73">
        <f>IF($A12="","",L12*K12)</f>
        <v/>
      </c>
      <c r="M32" s="73" t="n"/>
      <c r="N32" s="73">
        <f>IF($A12="","",N12*M12)</f>
        <v/>
      </c>
      <c r="O32" s="73" t="n"/>
      <c r="P32" s="73">
        <f>IF($A12="","",P12*O12)</f>
        <v/>
      </c>
      <c r="Q32" s="73" t="n"/>
      <c r="R32" s="73">
        <f>IF($A12="","",R12*Q12)</f>
        <v/>
      </c>
      <c r="S32" s="73" t="n"/>
      <c r="T32" s="73">
        <f>IF($A12="","",T12*S12)</f>
        <v/>
      </c>
      <c r="U32" s="73" t="n"/>
      <c r="V32" s="73">
        <f>IF($A12="","",V12*U12)</f>
        <v/>
      </c>
      <c r="W32" s="73" t="n"/>
      <c r="X32" s="73">
        <f>IF($A12="","",X12*W12)</f>
        <v/>
      </c>
      <c r="Y32" s="73" t="n"/>
      <c r="Z32" s="73">
        <f>IF($A12="","",Z12*Y12)</f>
        <v/>
      </c>
      <c r="AA32" s="73" t="n"/>
      <c r="AB32" s="73">
        <f>IF($A12="","",AB12*AA12)</f>
        <v/>
      </c>
      <c r="AC32" s="73" t="n"/>
      <c r="AD32" s="73">
        <f>IF($A12="","",AD12*AC12)</f>
        <v/>
      </c>
      <c r="AE32" s="73" t="n"/>
      <c r="AF32" s="73">
        <f>IF($A12="","",AF12*AE12)</f>
        <v/>
      </c>
    </row>
    <row r="33" hidden="1" ht="40.15" customHeight="1">
      <c r="F33" s="73">
        <f>IF($A13="","",F13*E13)</f>
        <v/>
      </c>
      <c r="G33" s="73" t="n"/>
      <c r="H33" s="73">
        <f>IF($A13="","",H13*G13)</f>
        <v/>
      </c>
      <c r="I33" s="73" t="n"/>
      <c r="J33" s="73">
        <f>IF($A13="","",J13*I13)</f>
        <v/>
      </c>
      <c r="K33" s="73" t="n"/>
      <c r="L33" s="73">
        <f>IF($A13="","",L13*K13)</f>
        <v/>
      </c>
      <c r="M33" s="73" t="n"/>
      <c r="N33" s="73">
        <f>IF($A13="","",N13*M13)</f>
        <v/>
      </c>
      <c r="O33" s="73" t="n"/>
      <c r="P33" s="73">
        <f>IF($A13="","",P13*O13)</f>
        <v/>
      </c>
      <c r="Q33" s="73" t="n"/>
      <c r="R33" s="73">
        <f>IF($A13="","",R13*Q13)</f>
        <v/>
      </c>
      <c r="S33" s="73" t="n"/>
      <c r="T33" s="73">
        <f>IF($A13="","",T13*S13)</f>
        <v/>
      </c>
      <c r="U33" s="73" t="n"/>
      <c r="V33" s="73">
        <f>IF($A13="","",V13*U13)</f>
        <v/>
      </c>
      <c r="W33" s="73" t="n"/>
      <c r="X33" s="73">
        <f>IF($A13="","",X13*W13)</f>
        <v/>
      </c>
      <c r="Y33" s="73" t="n"/>
      <c r="Z33" s="73">
        <f>IF($A13="","",Z13*Y13)</f>
        <v/>
      </c>
      <c r="AA33" s="73" t="n"/>
      <c r="AB33" s="73">
        <f>IF($A13="","",AB13*AA13)</f>
        <v/>
      </c>
      <c r="AC33" s="73" t="n"/>
      <c r="AD33" s="73">
        <f>IF($A13="","",AD13*AC13)</f>
        <v/>
      </c>
      <c r="AE33" s="73" t="n"/>
      <c r="AF33" s="73">
        <f>IF($A13="","",AF13*AE13)</f>
        <v/>
      </c>
    </row>
    <row r="34" hidden="1" ht="40.15" customHeight="1">
      <c r="F34" s="73">
        <f>IF($A14="","",F14*E14)</f>
        <v/>
      </c>
      <c r="G34" s="73" t="n"/>
      <c r="H34" s="73">
        <f>IF($A14="","",H14*G14)</f>
        <v/>
      </c>
      <c r="I34" s="73" t="n"/>
      <c r="J34" s="73">
        <f>IF($A14="","",J14*I14)</f>
        <v/>
      </c>
      <c r="K34" s="73" t="n"/>
      <c r="L34" s="73">
        <f>IF($A14="","",L14*K14)</f>
        <v/>
      </c>
      <c r="M34" s="73" t="n"/>
      <c r="N34" s="73">
        <f>IF($A14="","",N14*M14)</f>
        <v/>
      </c>
      <c r="O34" s="73" t="n"/>
      <c r="P34" s="73">
        <f>IF($A14="","",P14*O14)</f>
        <v/>
      </c>
      <c r="Q34" s="73" t="n"/>
      <c r="R34" s="73">
        <f>IF($A14="","",R14*Q14)</f>
        <v/>
      </c>
      <c r="S34" s="73" t="n"/>
      <c r="T34" s="73">
        <f>IF($A14="","",T14*S14)</f>
        <v/>
      </c>
      <c r="U34" s="73" t="n"/>
      <c r="V34" s="73">
        <f>IF($A14="","",V14*U14)</f>
        <v/>
      </c>
      <c r="W34" s="73" t="n"/>
      <c r="X34" s="73">
        <f>IF($A14="","",X14*W14)</f>
        <v/>
      </c>
      <c r="Y34" s="73" t="n"/>
      <c r="Z34" s="73">
        <f>IF($A14="","",Z14*Y14)</f>
        <v/>
      </c>
      <c r="AA34" s="73" t="n"/>
      <c r="AB34" s="73">
        <f>IF($A14="","",AB14*AA14)</f>
        <v/>
      </c>
      <c r="AC34" s="73" t="n"/>
      <c r="AD34" s="73">
        <f>IF($A14="","",AD14*AC14)</f>
        <v/>
      </c>
      <c r="AE34" s="73" t="n"/>
      <c r="AF34" s="73">
        <f>IF($A14="","",AF14*AE14)</f>
        <v/>
      </c>
    </row>
    <row r="35" hidden="1" ht="40.15" customHeight="1">
      <c r="F35" s="73">
        <f>IF($A15="","",F15*E15)</f>
        <v/>
      </c>
      <c r="G35" s="73" t="n"/>
      <c r="H35" s="73">
        <f>IF($A15="","",H15*G15)</f>
        <v/>
      </c>
      <c r="I35" s="73" t="n"/>
      <c r="J35" s="73">
        <f>IF($A15="","",J15*I15)</f>
        <v/>
      </c>
      <c r="K35" s="73" t="n"/>
      <c r="L35" s="73">
        <f>IF($A15="","",L15*K15)</f>
        <v/>
      </c>
      <c r="M35" s="73" t="n"/>
      <c r="N35" s="73">
        <f>IF($A15="","",N15*M15)</f>
        <v/>
      </c>
      <c r="O35" s="73" t="n"/>
      <c r="P35" s="73">
        <f>IF($A15="","",P15*O15)</f>
        <v/>
      </c>
      <c r="Q35" s="73" t="n"/>
      <c r="R35" s="73">
        <f>IF($A15="","",R15*Q15)</f>
        <v/>
      </c>
      <c r="S35" s="73" t="n"/>
      <c r="T35" s="73">
        <f>IF($A15="","",T15*S15)</f>
        <v/>
      </c>
      <c r="U35" s="73" t="n"/>
      <c r="V35" s="73">
        <f>IF($A15="","",V15*U15)</f>
        <v/>
      </c>
      <c r="W35" s="73" t="n"/>
      <c r="X35" s="73">
        <f>IF($A15="","",X15*W15)</f>
        <v/>
      </c>
      <c r="Y35" s="73" t="n"/>
      <c r="Z35" s="73">
        <f>IF($A15="","",Z15*Y15)</f>
        <v/>
      </c>
      <c r="AA35" s="73" t="n"/>
      <c r="AB35" s="73">
        <f>IF($A15="","",AB15*AA15)</f>
        <v/>
      </c>
      <c r="AC35" s="73" t="n"/>
      <c r="AD35" s="73">
        <f>IF($A15="","",AD15*AC15)</f>
        <v/>
      </c>
      <c r="AE35" s="73" t="n"/>
      <c r="AF35" s="73">
        <f>IF($A15="","",AF15*AE15)</f>
        <v/>
      </c>
    </row>
    <row r="36" hidden="1">
      <c r="F36" s="73">
        <f>IF($A16="","",F16*E16)</f>
        <v/>
      </c>
      <c r="G36" s="73" t="n"/>
      <c r="H36" s="73">
        <f>IF($A16="","",H16*G16)</f>
        <v/>
      </c>
      <c r="I36" s="73" t="n"/>
      <c r="J36" s="73">
        <f>IF($A16="","",J16*I16)</f>
        <v/>
      </c>
      <c r="K36" s="73" t="n"/>
      <c r="L36" s="73">
        <f>IF($A16="","",L16*K16)</f>
        <v/>
      </c>
      <c r="M36" s="73" t="n"/>
      <c r="N36" s="73">
        <f>IF($A16="","",N16*M16)</f>
        <v/>
      </c>
      <c r="O36" s="73" t="n"/>
      <c r="P36" s="73">
        <f>IF($A16="","",P16*O16)</f>
        <v/>
      </c>
      <c r="Q36" s="73" t="n"/>
      <c r="R36" s="73">
        <f>IF($A16="","",R16*Q16)</f>
        <v/>
      </c>
      <c r="S36" s="73" t="n"/>
      <c r="T36" s="73">
        <f>IF($A16="","",T16*S16)</f>
        <v/>
      </c>
      <c r="U36" s="73" t="n"/>
      <c r="V36" s="73">
        <f>IF($A16="","",V16*U16)</f>
        <v/>
      </c>
      <c r="W36" s="73" t="n"/>
      <c r="X36" s="73">
        <f>IF($A16="","",X16*W16)</f>
        <v/>
      </c>
      <c r="Y36" s="73" t="n"/>
      <c r="Z36" s="73">
        <f>IF($A16="","",Z16*Y16)</f>
        <v/>
      </c>
      <c r="AA36" s="73" t="n"/>
      <c r="AB36" s="73">
        <f>IF($A16="","",AB16*AA16)</f>
        <v/>
      </c>
      <c r="AC36" s="73" t="n"/>
      <c r="AD36" s="73">
        <f>IF($A16="","",AD16*AC16)</f>
        <v/>
      </c>
      <c r="AE36" s="73" t="n"/>
      <c r="AF36" s="73">
        <f>IF($A16="","",AF16*AE16)</f>
        <v/>
      </c>
    </row>
    <row r="37" hidden="1">
      <c r="F37" s="73">
        <f>IF($A17="","",F17*E17)</f>
        <v/>
      </c>
      <c r="G37" s="73" t="n"/>
      <c r="H37" s="73">
        <f>IF($A17="","",H17*G17)</f>
        <v/>
      </c>
      <c r="I37" s="73" t="n"/>
      <c r="J37" s="73">
        <f>IF($A17="","",J17*I17)</f>
        <v/>
      </c>
      <c r="K37" s="73" t="n"/>
      <c r="L37" s="73">
        <f>IF($A17="","",L17*K17)</f>
        <v/>
      </c>
      <c r="M37" s="73" t="n"/>
      <c r="N37" s="73">
        <f>IF($A17="","",N17*M17)</f>
        <v/>
      </c>
      <c r="O37" s="73" t="n"/>
      <c r="P37" s="73">
        <f>IF($A17="","",P17*O17)</f>
        <v/>
      </c>
      <c r="Q37" s="73" t="n"/>
      <c r="R37" s="73">
        <f>IF($A17="","",R17*Q17)</f>
        <v/>
      </c>
      <c r="S37" s="73" t="n"/>
      <c r="T37" s="73">
        <f>IF($A17="","",T17*S17)</f>
        <v/>
      </c>
      <c r="U37" s="73" t="n"/>
      <c r="V37" s="73">
        <f>IF($A17="","",V17*U17)</f>
        <v/>
      </c>
      <c r="W37" s="73" t="n"/>
      <c r="X37" s="73">
        <f>IF($A17="","",X17*W17)</f>
        <v/>
      </c>
      <c r="Y37" s="73" t="n"/>
      <c r="Z37" s="73">
        <f>IF($A17="","",Z17*Y17)</f>
        <v/>
      </c>
      <c r="AA37" s="73" t="n"/>
      <c r="AB37" s="73">
        <f>IF($A17="","",AB17*AA17)</f>
        <v/>
      </c>
      <c r="AC37" s="73" t="n"/>
      <c r="AD37" s="73">
        <f>IF($A17="","",AD17*AC17)</f>
        <v/>
      </c>
      <c r="AE37" s="73" t="n"/>
      <c r="AF37" s="73">
        <f>IF($A17="","",AF17*AE17)</f>
        <v/>
      </c>
    </row>
    <row r="38" hidden="1">
      <c r="F38" s="73">
        <f>IF($A18="","",F18*E18)</f>
        <v/>
      </c>
      <c r="G38" s="73" t="n"/>
      <c r="H38" s="73">
        <f>IF($A18="","",H18*G18)</f>
        <v/>
      </c>
      <c r="I38" s="73" t="n"/>
      <c r="J38" s="73">
        <f>IF($A18="","",J18*I18)</f>
        <v/>
      </c>
      <c r="K38" s="73" t="n"/>
      <c r="L38" s="73">
        <f>IF($A18="","",L18*K18)</f>
        <v/>
      </c>
      <c r="M38" s="73" t="n"/>
      <c r="N38" s="73">
        <f>IF($A18="","",N18*M18)</f>
        <v/>
      </c>
      <c r="O38" s="73" t="n"/>
      <c r="P38" s="73">
        <f>IF($A18="","",P18*O18)</f>
        <v/>
      </c>
      <c r="Q38" s="73" t="n"/>
      <c r="R38" s="73">
        <f>IF($A18="","",R18*Q18)</f>
        <v/>
      </c>
      <c r="S38" s="73" t="n"/>
      <c r="T38" s="73">
        <f>IF($A18="","",T18*S18)</f>
        <v/>
      </c>
      <c r="U38" s="73" t="n"/>
      <c r="V38" s="73">
        <f>IF($A18="","",V18*U18)</f>
        <v/>
      </c>
      <c r="W38" s="73" t="n"/>
      <c r="X38" s="73">
        <f>IF($A18="","",X18*W18)</f>
        <v/>
      </c>
      <c r="Y38" s="73" t="n"/>
      <c r="Z38" s="73">
        <f>IF($A18="","",Z18*Y18)</f>
        <v/>
      </c>
      <c r="AA38" s="73" t="n"/>
      <c r="AB38" s="73">
        <f>IF($A18="","",AB18*AA18)</f>
        <v/>
      </c>
      <c r="AC38" s="73" t="n"/>
      <c r="AD38" s="73">
        <f>IF($A18="","",AD18*AC18)</f>
        <v/>
      </c>
      <c r="AE38" s="73" t="n"/>
      <c r="AF38" s="73">
        <f>IF($A18="","",AF18*AE18)</f>
        <v/>
      </c>
    </row>
    <row r="39" hidden="1">
      <c r="F39" s="73">
        <f>IF($A19="","",F19*E19)</f>
        <v/>
      </c>
      <c r="G39" s="73" t="n"/>
      <c r="H39" s="73">
        <f>IF($A19="","",H19*G19)</f>
        <v/>
      </c>
      <c r="I39" s="73" t="n"/>
      <c r="J39" s="73">
        <f>IF($A19="","",J19*I19)</f>
        <v/>
      </c>
      <c r="K39" s="73" t="n"/>
      <c r="L39" s="73">
        <f>IF($A19="","",L19*K19)</f>
        <v/>
      </c>
      <c r="M39" s="73" t="n"/>
      <c r="N39" s="73">
        <f>IF($A19="","",N19*M19)</f>
        <v/>
      </c>
      <c r="O39" s="73" t="n"/>
      <c r="P39" s="73">
        <f>IF($A19="","",P19*O19)</f>
        <v/>
      </c>
      <c r="Q39" s="73" t="n"/>
      <c r="R39" s="73">
        <f>IF($A19="","",R19*Q19)</f>
        <v/>
      </c>
      <c r="S39" s="73" t="n"/>
      <c r="T39" s="73">
        <f>IF($A19="","",T19*S19)</f>
        <v/>
      </c>
      <c r="U39" s="73" t="n"/>
      <c r="V39" s="73">
        <f>IF($A19="","",V19*U19)</f>
        <v/>
      </c>
      <c r="W39" s="73" t="n"/>
      <c r="X39" s="73">
        <f>IF($A19="","",X19*W19)</f>
        <v/>
      </c>
      <c r="Y39" s="73" t="n"/>
      <c r="Z39" s="73">
        <f>IF($A19="","",Z19*Y19)</f>
        <v/>
      </c>
      <c r="AA39" s="73" t="n"/>
      <c r="AB39" s="73">
        <f>IF($A19="","",AB19*AA19)</f>
        <v/>
      </c>
      <c r="AC39" s="73" t="n"/>
      <c r="AD39" s="73">
        <f>IF($A19="","",AD19*AC19)</f>
        <v/>
      </c>
      <c r="AE39" s="73" t="n"/>
      <c r="AF39" s="73">
        <f>IF($A19="","",AF19*AE19)</f>
        <v/>
      </c>
    </row>
    <row r="40" hidden="1">
      <c r="F40" s="73">
        <f>IF($A20="","",F20*E20)</f>
        <v/>
      </c>
      <c r="G40" s="73" t="n"/>
      <c r="H40" s="73">
        <f>IF($A20="","",H20*G20)</f>
        <v/>
      </c>
      <c r="I40" s="73" t="n"/>
      <c r="J40" s="73">
        <f>IF($A20="","",J20*I20)</f>
        <v/>
      </c>
      <c r="K40" s="73" t="n"/>
      <c r="L40" s="73">
        <f>IF($A20="","",L20*K20)</f>
        <v/>
      </c>
      <c r="M40" s="73" t="n"/>
      <c r="N40" s="73">
        <f>IF($A20="","",N20*M20)</f>
        <v/>
      </c>
      <c r="O40" s="73" t="n"/>
      <c r="P40" s="73">
        <f>IF($A20="","",P20*O20)</f>
        <v/>
      </c>
      <c r="Q40" s="73" t="n"/>
      <c r="R40" s="73">
        <f>IF($A20="","",R20*Q20)</f>
        <v/>
      </c>
      <c r="S40" s="73" t="n"/>
      <c r="T40" s="73">
        <f>IF($A20="","",T20*S20)</f>
        <v/>
      </c>
      <c r="U40" s="73" t="n"/>
      <c r="V40" s="73">
        <f>IF($A20="","",V20*U20)</f>
        <v/>
      </c>
      <c r="W40" s="73" t="n"/>
      <c r="X40" s="73">
        <f>IF($A20="","",X20*W20)</f>
        <v/>
      </c>
      <c r="Y40" s="73" t="n"/>
      <c r="Z40" s="73">
        <f>IF($A20="","",Z20*Y20)</f>
        <v/>
      </c>
      <c r="AA40" s="73" t="n"/>
      <c r="AB40" s="73">
        <f>IF($A20="","",AB20*AA20)</f>
        <v/>
      </c>
      <c r="AC40" s="73" t="n"/>
      <c r="AD40" s="73">
        <f>IF($A20="","",AD20*AC20)</f>
        <v/>
      </c>
      <c r="AE40" s="73" t="n"/>
      <c r="AF40" s="73">
        <f>IF($A20="","",AF20*AE20)</f>
        <v/>
      </c>
    </row>
    <row r="41" hidden="1">
      <c r="F41" s="73">
        <f>IF($A21="","",F21*E21)</f>
        <v/>
      </c>
      <c r="G41" s="73" t="n"/>
      <c r="H41" s="73">
        <f>IF($A21="","",H21*G21)</f>
        <v/>
      </c>
      <c r="I41" s="73" t="n"/>
      <c r="J41" s="73">
        <f>IF($A21="","",J21*I21)</f>
        <v/>
      </c>
      <c r="K41" s="73" t="n"/>
      <c r="L41" s="73">
        <f>IF($A21="","",L21*K21)</f>
        <v/>
      </c>
      <c r="M41" s="73" t="n"/>
      <c r="N41" s="73">
        <f>IF($A21="","",N21*M21)</f>
        <v/>
      </c>
      <c r="O41" s="73" t="n"/>
      <c r="P41" s="73">
        <f>IF($A21="","",P21*O21)</f>
        <v/>
      </c>
      <c r="Q41" s="73" t="n"/>
      <c r="R41" s="73">
        <f>IF($A21="","",R21*Q21)</f>
        <v/>
      </c>
      <c r="S41" s="73" t="n"/>
      <c r="T41" s="73">
        <f>IF($A21="","",T21*S21)</f>
        <v/>
      </c>
      <c r="U41" s="73" t="n"/>
      <c r="V41" s="73">
        <f>IF($A21="","",V21*U21)</f>
        <v/>
      </c>
      <c r="W41" s="73" t="n"/>
      <c r="X41" s="73">
        <f>IF($A21="","",X21*W21)</f>
        <v/>
      </c>
      <c r="Y41" s="73" t="n"/>
      <c r="Z41" s="73">
        <f>IF($A21="","",Z21*Y21)</f>
        <v/>
      </c>
      <c r="AA41" s="73" t="n"/>
      <c r="AB41" s="73">
        <f>IF($A21="","",AB21*AA21)</f>
        <v/>
      </c>
      <c r="AC41" s="73" t="n"/>
      <c r="AD41" s="73">
        <f>IF($A21="","",AD21*AC21)</f>
        <v/>
      </c>
      <c r="AE41" s="73" t="n"/>
      <c r="AF41" s="73">
        <f>IF($A21="","",AF21*AE21)</f>
        <v/>
      </c>
    </row>
    <row r="42" hidden="1">
      <c r="F42" s="73">
        <f>IF($A22="","",F22*E22)</f>
        <v/>
      </c>
      <c r="G42" s="73" t="n"/>
      <c r="H42" s="73">
        <f>IF($A22="","",H22*G22)</f>
        <v/>
      </c>
      <c r="I42" s="73" t="n"/>
      <c r="J42" s="73">
        <f>IF($A22="","",J22*I22)</f>
        <v/>
      </c>
      <c r="K42" s="73" t="n"/>
      <c r="L42" s="73">
        <f>IF($A22="","",L22*K22)</f>
        <v/>
      </c>
      <c r="M42" s="73" t="n"/>
      <c r="N42" s="73">
        <f>IF($A22="","",N22*M22)</f>
        <v/>
      </c>
      <c r="O42" s="73" t="n"/>
      <c r="P42" s="73">
        <f>IF($A22="","",P22*O22)</f>
        <v/>
      </c>
      <c r="Q42" s="73" t="n"/>
      <c r="R42" s="73">
        <f>IF($A22="","",R22*Q22)</f>
        <v/>
      </c>
      <c r="S42" s="73" t="n"/>
      <c r="T42" s="73">
        <f>IF($A22="","",T22*S22)</f>
        <v/>
      </c>
      <c r="U42" s="73" t="n"/>
      <c r="V42" s="73">
        <f>IF($A22="","",V22*U22)</f>
        <v/>
      </c>
      <c r="W42" s="73" t="n"/>
      <c r="X42" s="73">
        <f>IF($A22="","",X22*W22)</f>
        <v/>
      </c>
      <c r="Y42" s="73" t="n"/>
      <c r="Z42" s="73">
        <f>IF($A22="","",Z22*Y22)</f>
        <v/>
      </c>
      <c r="AA42" s="73" t="n"/>
      <c r="AB42" s="73">
        <f>IF($A22="","",AB22*AA22)</f>
        <v/>
      </c>
      <c r="AC42" s="73" t="n"/>
      <c r="AD42" s="73">
        <f>IF($A22="","",AD22*AC22)</f>
        <v/>
      </c>
      <c r="AE42" s="73" t="n"/>
      <c r="AF42" s="73">
        <f>IF($A22="","",AF22*AE22)</f>
        <v/>
      </c>
    </row>
    <row r="43" hidden="1">
      <c r="F43" s="73">
        <f>IF($A23="","",F23*E23)</f>
        <v/>
      </c>
      <c r="G43" s="73" t="n"/>
      <c r="H43" s="73">
        <f>IF($A23="","",H23*G23)</f>
        <v/>
      </c>
      <c r="I43" s="73" t="n"/>
      <c r="J43" s="73">
        <f>IF($A23="","",J23*I23)</f>
        <v/>
      </c>
      <c r="K43" s="73" t="n"/>
      <c r="L43" s="73">
        <f>IF($A23="","",L23*K23)</f>
        <v/>
      </c>
      <c r="M43" s="73" t="n"/>
      <c r="N43" s="73">
        <f>IF($A23="","",N23*M23)</f>
        <v/>
      </c>
      <c r="O43" s="73" t="n"/>
      <c r="P43" s="73">
        <f>IF($A23="","",P23*O23)</f>
        <v/>
      </c>
      <c r="Q43" s="73" t="n"/>
      <c r="R43" s="73">
        <f>IF($A23="","",R23*Q23)</f>
        <v/>
      </c>
      <c r="S43" s="73" t="n"/>
      <c r="T43" s="73">
        <f>IF($A23="","",T23*S23)</f>
        <v/>
      </c>
      <c r="U43" s="73" t="n"/>
      <c r="V43" s="73">
        <f>IF($A23="","",V23*U23)</f>
        <v/>
      </c>
      <c r="W43" s="73" t="n"/>
      <c r="X43" s="73">
        <f>IF($A23="","",X23*W23)</f>
        <v/>
      </c>
      <c r="Y43" s="73" t="n"/>
      <c r="Z43" s="73">
        <f>IF($A23="","",Z23*Y23)</f>
        <v/>
      </c>
      <c r="AA43" s="73" t="n"/>
      <c r="AB43" s="73">
        <f>IF($A23="","",AB23*AA23)</f>
        <v/>
      </c>
      <c r="AC43" s="73" t="n"/>
      <c r="AD43" s="73">
        <f>IF($A23="","",AD23*AC23)</f>
        <v/>
      </c>
      <c r="AE43" s="73" t="n"/>
      <c r="AF43" s="73">
        <f>IF($A23="","",AF23*AE23)</f>
        <v/>
      </c>
    </row>
    <row r="44" hidden="1">
      <c r="F44" s="73">
        <f>IF($A24="","",F24*E24)</f>
        <v/>
      </c>
      <c r="G44" s="73" t="n"/>
      <c r="H44" s="73">
        <f>IF($A24="","",H24*G24)</f>
        <v/>
      </c>
      <c r="I44" s="73" t="n"/>
      <c r="J44" s="73">
        <f>IF($A24="","",J24*I24)</f>
        <v/>
      </c>
      <c r="K44" s="73" t="n"/>
      <c r="L44" s="73">
        <f>IF($A24="","",L24*K24)</f>
        <v/>
      </c>
      <c r="M44" s="73" t="n"/>
      <c r="N44" s="73">
        <f>IF($A24="","",N24*M24)</f>
        <v/>
      </c>
      <c r="O44" s="73" t="n"/>
      <c r="P44" s="73">
        <f>IF($A24="","",P24*O24)</f>
        <v/>
      </c>
      <c r="Q44" s="73" t="n"/>
      <c r="R44" s="73">
        <f>IF($A24="","",R24*Q24)</f>
        <v/>
      </c>
      <c r="S44" s="73" t="n"/>
      <c r="T44" s="73">
        <f>IF($A24="","",T24*S24)</f>
        <v/>
      </c>
      <c r="U44" s="73" t="n"/>
      <c r="V44" s="73">
        <f>IF($A24="","",V24*U24)</f>
        <v/>
      </c>
      <c r="W44" s="73" t="n"/>
      <c r="X44" s="73">
        <f>IF($A24="","",X24*W24)</f>
        <v/>
      </c>
      <c r="Y44" s="73" t="n"/>
      <c r="Z44" s="73">
        <f>IF($A24="","",Z24*Y24)</f>
        <v/>
      </c>
      <c r="AA44" s="73" t="n"/>
      <c r="AB44" s="73">
        <f>IF($A24="","",AB24*AA24)</f>
        <v/>
      </c>
      <c r="AC44" s="73" t="n"/>
      <c r="AD44" s="73">
        <f>IF($A24="","",AD24*AC24)</f>
        <v/>
      </c>
      <c r="AE44" s="73" t="n"/>
      <c r="AF44" s="73">
        <f>IF($A24="","",AF24*AE24)</f>
        <v/>
      </c>
    </row>
    <row r="45" hidden="1">
      <c r="F45" s="73">
        <f>IF($A25="","",F25*E25)</f>
        <v/>
      </c>
      <c r="G45" s="73" t="n"/>
      <c r="H45" s="73">
        <f>IF($A25="","",H25*G25)</f>
        <v/>
      </c>
      <c r="I45" s="73" t="n"/>
      <c r="J45" s="73">
        <f>IF($A25="","",J25*I25)</f>
        <v/>
      </c>
      <c r="K45" s="73" t="n"/>
      <c r="L45" s="73">
        <f>IF($A25="","",L25*K25)</f>
        <v/>
      </c>
      <c r="M45" s="73" t="n"/>
      <c r="N45" s="73">
        <f>IF($A25="","",N25*M25)</f>
        <v/>
      </c>
      <c r="O45" s="73" t="n"/>
      <c r="P45" s="73">
        <f>IF($A25="","",P25*O25)</f>
        <v/>
      </c>
      <c r="Q45" s="73" t="n"/>
      <c r="R45" s="73">
        <f>IF($A25="","",R25*Q25)</f>
        <v/>
      </c>
      <c r="S45" s="73" t="n"/>
      <c r="T45" s="73">
        <f>IF($A25="","",T25*S25)</f>
        <v/>
      </c>
      <c r="U45" s="73" t="n"/>
      <c r="V45" s="73">
        <f>IF($A25="","",V25*U25)</f>
        <v/>
      </c>
      <c r="W45" s="73" t="n"/>
      <c r="X45" s="73">
        <f>IF($A25="","",X25*W25)</f>
        <v/>
      </c>
      <c r="Y45" s="73" t="n"/>
      <c r="Z45" s="73">
        <f>IF($A25="","",Z25*Y25)</f>
        <v/>
      </c>
      <c r="AA45" s="73" t="n"/>
      <c r="AB45" s="73">
        <f>IF($A25="","",AB25*AA25)</f>
        <v/>
      </c>
      <c r="AC45" s="73" t="n"/>
      <c r="AD45" s="73">
        <f>IF($A25="","",AD25*AC25)</f>
        <v/>
      </c>
      <c r="AE45" s="73" t="n"/>
      <c r="AF45" s="73">
        <f>IF($A25="","",AF25*AE25)</f>
        <v/>
      </c>
    </row>
    <row r="46" hidden="1">
      <c r="F46" s="73">
        <f>IF($A26="","",F26*E26)</f>
        <v/>
      </c>
      <c r="G46" s="73" t="n"/>
      <c r="H46" s="73">
        <f>IF($A26="","",H26*G26)</f>
        <v/>
      </c>
      <c r="I46" s="73" t="n"/>
      <c r="J46" s="73">
        <f>IF($A26="","",J26*I26)</f>
        <v/>
      </c>
      <c r="K46" s="73" t="n"/>
      <c r="L46" s="73">
        <f>IF($A26="","",L26*K26)</f>
        <v/>
      </c>
      <c r="M46" s="73" t="n"/>
      <c r="N46" s="73">
        <f>IF($A26="","",N26*M26)</f>
        <v/>
      </c>
      <c r="O46" s="73" t="n"/>
      <c r="P46" s="73">
        <f>IF($A26="","",P26*O26)</f>
        <v/>
      </c>
      <c r="Q46" s="73" t="n"/>
      <c r="R46" s="73">
        <f>IF($A26="","",R26*Q26)</f>
        <v/>
      </c>
      <c r="S46" s="73" t="n"/>
      <c r="T46" s="73">
        <f>IF($A26="","",T26*S26)</f>
        <v/>
      </c>
      <c r="U46" s="73" t="n"/>
      <c r="V46" s="73">
        <f>IF($A26="","",V26*U26)</f>
        <v/>
      </c>
      <c r="W46" s="73" t="n"/>
      <c r="X46" s="73">
        <f>IF($A26="","",X26*W26)</f>
        <v/>
      </c>
      <c r="Y46" s="73" t="n"/>
      <c r="Z46" s="73">
        <f>IF($A26="","",Z26*Y26)</f>
        <v/>
      </c>
      <c r="AA46" s="73" t="n"/>
      <c r="AB46" s="73">
        <f>IF($A26="","",AB26*AA26)</f>
        <v/>
      </c>
      <c r="AC46" s="73" t="n"/>
      <c r="AD46" s="73">
        <f>IF($A26="","",AD26*AC26)</f>
        <v/>
      </c>
      <c r="AE46" s="73" t="n"/>
      <c r="AF46" s="73">
        <f>IF($A26="","",AF26*AE26)</f>
        <v/>
      </c>
    </row>
    <row r="47" hidden="1">
      <c r="F47" s="73">
        <f>IF($A27="","",F27*E27)</f>
        <v/>
      </c>
      <c r="G47" s="73" t="n"/>
      <c r="H47" s="73">
        <f>IF($A27="","",H27*G27)</f>
        <v/>
      </c>
      <c r="I47" s="73" t="n"/>
      <c r="J47" s="73">
        <f>IF($A27="","",J27*I27)</f>
        <v/>
      </c>
      <c r="K47" s="73" t="n"/>
      <c r="L47" s="73">
        <f>IF($A27="","",L27*K27)</f>
        <v/>
      </c>
      <c r="M47" s="73" t="n"/>
      <c r="N47" s="73">
        <f>IF($A27="","",N27*M27)</f>
        <v/>
      </c>
      <c r="O47" s="73" t="n"/>
      <c r="P47" s="73">
        <f>IF($A27="","",P27*O27)</f>
        <v/>
      </c>
      <c r="Q47" s="73" t="n"/>
      <c r="R47" s="73">
        <f>IF($A27="","",R27*Q27)</f>
        <v/>
      </c>
      <c r="S47" s="73" t="n"/>
      <c r="T47" s="73">
        <f>IF($A27="","",T27*S27)</f>
        <v/>
      </c>
      <c r="U47" s="73" t="n"/>
      <c r="V47" s="73">
        <f>IF($A27="","",V27*U27)</f>
        <v/>
      </c>
      <c r="W47" s="73" t="n"/>
      <c r="X47" s="73">
        <f>IF($A27="","",X27*W27)</f>
        <v/>
      </c>
      <c r="Y47" s="73" t="n"/>
      <c r="Z47" s="73">
        <f>IF($A27="","",Z27*Y27)</f>
        <v/>
      </c>
      <c r="AA47" s="73" t="n"/>
      <c r="AB47" s="73">
        <f>IF($A27="","",AB27*AA27)</f>
        <v/>
      </c>
      <c r="AC47" s="73" t="n"/>
      <c r="AD47" s="73">
        <f>IF($A27="","",AD27*AC27)</f>
        <v/>
      </c>
      <c r="AE47" s="73" t="n"/>
      <c r="AF47" s="73">
        <f>IF($A27="","",AF27*AE27)</f>
        <v/>
      </c>
    </row>
    <row r="48" hidden="1">
      <c r="F48" s="73">
        <f>IF($A28="","",F28*E28)</f>
        <v/>
      </c>
      <c r="G48" s="73" t="n"/>
      <c r="H48" s="73">
        <f>IF($A28="","",H28*G28)</f>
        <v/>
      </c>
      <c r="I48" s="73" t="n"/>
      <c r="J48" s="73">
        <f>IF($A28="","",J28*I28)</f>
        <v/>
      </c>
      <c r="K48" s="73" t="n"/>
      <c r="L48" s="73">
        <f>IF($A28="","",L28*K28)</f>
        <v/>
      </c>
      <c r="M48" s="73" t="n"/>
      <c r="N48" s="73">
        <f>IF($A28="","",N28*M28)</f>
        <v/>
      </c>
      <c r="O48" s="73" t="n"/>
      <c r="P48" s="73">
        <f>IF($A28="","",P28*O28)</f>
        <v/>
      </c>
      <c r="Q48" s="73" t="n"/>
      <c r="R48" s="73">
        <f>IF($A28="","",R28*Q28)</f>
        <v/>
      </c>
      <c r="S48" s="73" t="n"/>
      <c r="T48" s="73">
        <f>IF($A28="","",T28*S28)</f>
        <v/>
      </c>
      <c r="U48" s="73" t="n"/>
      <c r="V48" s="73">
        <f>IF($A28="","",V28*U28)</f>
        <v/>
      </c>
      <c r="W48" s="73" t="n"/>
      <c r="X48" s="73">
        <f>IF($A28="","",X28*W28)</f>
        <v/>
      </c>
      <c r="Y48" s="73" t="n"/>
      <c r="Z48" s="73">
        <f>IF($A28="","",Z28*Y28)</f>
        <v/>
      </c>
      <c r="AA48" s="73" t="n"/>
      <c r="AB48" s="73">
        <f>IF($A28="","",AB28*AA28)</f>
        <v/>
      </c>
      <c r="AC48" s="73" t="n"/>
      <c r="AD48" s="73">
        <f>IF($A28="","",AD28*AC28)</f>
        <v/>
      </c>
      <c r="AE48" s="73" t="n"/>
      <c r="AF48" s="73">
        <f>IF($A28="","",AF28*AE28)</f>
        <v/>
      </c>
    </row>
    <row r="49" hidden="1">
      <c r="F49" s="74">
        <f>SUMIF(F31:F48,"&gt;0")</f>
        <v/>
      </c>
      <c r="H49" s="74">
        <f>SUMIF(H31:H48,"&gt;0")</f>
        <v/>
      </c>
      <c r="I49" s="74" t="n"/>
      <c r="J49" s="74">
        <f>SUMIF(J31:J48,"&gt;0")</f>
        <v/>
      </c>
      <c r="K49" s="74" t="n"/>
      <c r="L49" s="74">
        <f>SUMIF(L31:L48,"&gt;0")</f>
        <v/>
      </c>
      <c r="M49" s="74" t="n"/>
      <c r="N49" s="74">
        <f>SUMIF(N31:N48,"&gt;0")</f>
        <v/>
      </c>
      <c r="P49" s="74">
        <f>SUMIF(P31:P48,"&gt;0")</f>
        <v/>
      </c>
      <c r="Q49" s="74" t="n"/>
      <c r="R49" s="74">
        <f>SUMIF(R31:R48,"&gt;0")</f>
        <v/>
      </c>
      <c r="S49" s="74" t="n"/>
      <c r="T49" s="74">
        <f>SUMIF(T31:T48,"&gt;0")</f>
        <v/>
      </c>
      <c r="U49" s="74" t="n"/>
      <c r="V49" s="74">
        <f>SUMIF(V31:V48,"&gt;0")</f>
        <v/>
      </c>
      <c r="X49" s="74">
        <f>SUMIF(X31:X48,"&gt;0")</f>
        <v/>
      </c>
      <c r="Y49" s="74" t="n"/>
      <c r="Z49" s="74">
        <f>SUMIF(Z31:Z48,"&gt;0")</f>
        <v/>
      </c>
      <c r="AA49" s="74" t="n"/>
      <c r="AB49" s="74">
        <f>SUMIF(AB31:AB48,"&gt;0")</f>
        <v/>
      </c>
      <c r="AC49" s="74" t="n"/>
      <c r="AD49" s="74">
        <f>SUMIF(AD31:AD48,"&gt;0")</f>
        <v/>
      </c>
      <c r="AE49" s="74" t="n"/>
      <c r="AF49" s="74">
        <f>SUMIF(AF31:AF48,"&gt;0")</f>
        <v/>
      </c>
    </row>
    <row r="52">
      <c r="A52" s="75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</row>
    <row r="53">
      <c r="A53" s="77" t="inlineStr">
        <is>
          <t>#</t>
        </is>
      </c>
      <c r="B53" s="77" t="inlineStr">
        <is>
          <t>โปรไฟล์</t>
        </is>
      </c>
      <c r="C53" s="77" t="inlineStr">
        <is>
          <t>รหัส</t>
        </is>
      </c>
      <c r="D53" s="77" t="inlineStr">
        <is>
          <t>สูตรตัด (เดิม)</t>
        </is>
      </c>
      <c r="E53" s="77" t="inlineStr">
        <is>
          <t>หัก1</t>
        </is>
      </c>
      <c r="F53" s="77" t="inlineStr">
        <is>
          <t>หัก2</t>
        </is>
      </c>
      <c r="G53" s="77" t="inlineStr">
        <is>
          <t>หัก3</t>
        </is>
      </c>
      <c r="H53" s="77" t="inlineStr">
        <is>
          <t>หัก4</t>
        </is>
      </c>
      <c r="I53" s="77" t="inlineStr">
        <is>
          <t>หัก5</t>
        </is>
      </c>
      <c r="J53" s="77" t="inlineStr">
        <is>
          <t>หัก6</t>
        </is>
      </c>
      <c r="K53" s="77" t="inlineStr">
        <is>
          <t>หัก7</t>
        </is>
      </c>
      <c r="L53" s="77" t="inlineStr">
        <is>
          <t>จำนวน/ชุด</t>
        </is>
      </c>
      <c r="M53" s="122" t="n"/>
    </row>
    <row r="54" ht="44" customHeight="1">
      <c r="A54" s="78" t="n">
        <v>1</v>
      </c>
      <c r="B54" s="79" t="inlineStr">
        <is>
          <t>เฟรมข้าง</t>
        </is>
      </c>
      <c r="C54" s="80" t="inlineStr">
        <is>
          <t>F7978</t>
        </is>
      </c>
      <c r="D54" s="81" t="inlineStr">
        <is>
          <t>สูง</t>
        </is>
      </c>
      <c r="E54" s="82" t="n"/>
      <c r="F54" s="82" t="n"/>
      <c r="G54" s="82" t="n"/>
      <c r="H54" s="82" t="n"/>
      <c r="I54" s="82" t="n"/>
      <c r="J54" s="82" t="n"/>
      <c r="K54" s="82" t="n"/>
      <c r="L54" s="83" t="n">
        <v>2</v>
      </c>
      <c r="M54" s="82" t="n"/>
    </row>
    <row r="55" ht="44" customHeight="1">
      <c r="A55" s="78" t="n">
        <v>2</v>
      </c>
      <c r="B55" s="79" t="inlineStr">
        <is>
          <t>เฟรม บน-ล่าง</t>
        </is>
      </c>
      <c r="C55" s="80" t="inlineStr">
        <is>
          <t>F7976</t>
        </is>
      </c>
      <c r="D55" s="81" t="inlineStr">
        <is>
          <t>กว้าง-21-21</t>
        </is>
      </c>
      <c r="E55" s="83" t="n">
        <v>21</v>
      </c>
      <c r="F55" s="83" t="n">
        <v>21</v>
      </c>
      <c r="G55" s="82" t="n"/>
      <c r="H55" s="82" t="n"/>
      <c r="I55" s="82" t="n"/>
      <c r="J55" s="82" t="n"/>
      <c r="K55" s="82" t="n"/>
      <c r="L55" s="83" t="n">
        <v>2</v>
      </c>
      <c r="M55" s="82" t="n"/>
    </row>
    <row r="56" ht="44" customHeight="1">
      <c r="A56" s="78" t="n">
        <v>3</v>
      </c>
      <c r="B56" s="79" t="inlineStr">
        <is>
          <t>ตบกันสาด</t>
        </is>
      </c>
      <c r="C56" s="80" t="inlineStr">
        <is>
          <t>F7992</t>
        </is>
      </c>
      <c r="D56" s="81" t="inlineStr">
        <is>
          <t>กว้าง</t>
        </is>
      </c>
      <c r="E56" s="82" t="n"/>
      <c r="F56" s="82" t="n"/>
      <c r="G56" s="82" t="n"/>
      <c r="H56" s="82" t="n"/>
      <c r="I56" s="82" t="n"/>
      <c r="J56" s="82" t="n"/>
      <c r="K56" s="82" t="n"/>
      <c r="L56" s="83" t="n">
        <v>1</v>
      </c>
      <c r="M56" s="82" t="n"/>
    </row>
    <row r="57" ht="44" customHeight="1">
      <c r="A57" s="78" t="n">
        <v>4</v>
      </c>
      <c r="B57" s="79" t="inlineStr">
        <is>
          <t>เสา</t>
        </is>
      </c>
      <c r="C57" s="80" t="inlineStr">
        <is>
          <t>F7980</t>
        </is>
      </c>
      <c r="D57" s="81" t="inlineStr">
        <is>
          <t>สูง-21-19-13-21</t>
        </is>
      </c>
      <c r="E57" s="83" t="n">
        <v>21</v>
      </c>
      <c r="F57" s="83" t="n">
        <v>19</v>
      </c>
      <c r="G57" s="83" t="n">
        <v>13</v>
      </c>
      <c r="H57" s="83" t="n">
        <v>21</v>
      </c>
      <c r="I57" s="82" t="n"/>
      <c r="J57" s="82" t="n"/>
      <c r="K57" s="82" t="n"/>
      <c r="L57" s="83" t="n">
        <v>4</v>
      </c>
      <c r="M57" s="82" t="n"/>
    </row>
    <row r="58" ht="15" customHeight="1">
      <c r="A58" s="78" t="n">
        <v>5</v>
      </c>
      <c r="B58" s="79" t="inlineStr">
        <is>
          <t>ขวาง</t>
        </is>
      </c>
      <c r="C58" s="80" t="inlineStr">
        <is>
          <t>-</t>
        </is>
      </c>
      <c r="D58" s="81" t="inlineStr">
        <is>
          <t>((กว้าง-21-3-1.2-3-21)/2)+(78x1/2)</t>
        </is>
      </c>
      <c r="E58" s="83" t="n">
        <v>21</v>
      </c>
      <c r="F58" s="83" t="n">
        <v>3</v>
      </c>
      <c r="G58" s="83" t="n">
        <v>1.2</v>
      </c>
      <c r="H58" s="83" t="n">
        <v>3</v>
      </c>
      <c r="I58" s="83" t="n">
        <v>21</v>
      </c>
      <c r="J58" s="82" t="n"/>
      <c r="K58" s="82" t="n"/>
      <c r="L58" s="83" t="n">
        <v>4</v>
      </c>
      <c r="M58" s="82" t="n"/>
    </row>
    <row r="59" ht="44" customHeight="1">
      <c r="A59" s="78" t="n">
        <v>6</v>
      </c>
      <c r="B59" s="79" t="inlineStr">
        <is>
          <t>คิ้ว ตั้ง</t>
        </is>
      </c>
      <c r="C59" s="80" t="inlineStr">
        <is>
          <t>F7919</t>
        </is>
      </c>
      <c r="D59" s="81" t="inlineStr">
        <is>
          <t>เสา-78-78</t>
        </is>
      </c>
      <c r="E59" s="83" t="n">
        <v>78</v>
      </c>
      <c r="F59" s="83" t="n">
        <v>78</v>
      </c>
      <c r="G59" s="82" t="n"/>
      <c r="H59" s="82" t="n"/>
      <c r="I59" s="82" t="n"/>
      <c r="J59" s="82" t="n"/>
      <c r="K59" s="82" t="n"/>
      <c r="L59" s="83" t="n">
        <v>4</v>
      </c>
      <c r="M59" s="82" t="n"/>
    </row>
    <row r="60" ht="15" customHeight="1">
      <c r="A60" s="78" t="n">
        <v>7</v>
      </c>
      <c r="B60" s="79" t="inlineStr">
        <is>
          <t>คิ้ว ขวาง</t>
        </is>
      </c>
      <c r="C60" s="80" t="inlineStr">
        <is>
          <t>-</t>
        </is>
      </c>
      <c r="D60" s="81" t="inlineStr">
        <is>
          <t>ขวาง-63-63</t>
        </is>
      </c>
      <c r="E60" s="83" t="n">
        <v>63</v>
      </c>
      <c r="F60" s="83" t="n">
        <v>63</v>
      </c>
      <c r="G60" s="82" t="n"/>
      <c r="H60" s="82" t="n"/>
      <c r="I60" s="82" t="n"/>
      <c r="J60" s="82" t="n"/>
      <c r="K60" s="82" t="n"/>
      <c r="L60" s="83" t="n">
        <v>4</v>
      </c>
      <c r="M60" s="82" t="n"/>
    </row>
    <row r="61" ht="44" customHeight="1">
      <c r="A61" s="78" t="n">
        <v>8</v>
      </c>
      <c r="B61" s="79" t="inlineStr">
        <is>
          <t>ตบเกี่ยว</t>
        </is>
      </c>
      <c r="C61" s="80" t="inlineStr">
        <is>
          <t>F7983</t>
        </is>
      </c>
      <c r="D61" s="81" t="inlineStr">
        <is>
          <t>สูงกรอบบาน</t>
        </is>
      </c>
      <c r="E61" s="82" t="n"/>
      <c r="F61" s="82" t="n"/>
      <c r="G61" s="82" t="n"/>
      <c r="H61" s="82" t="n"/>
      <c r="I61" s="82" t="n"/>
      <c r="J61" s="82" t="n"/>
      <c r="K61" s="82" t="n"/>
      <c r="L61" s="83" t="n">
        <v>2</v>
      </c>
      <c r="M61" s="82" t="n"/>
    </row>
    <row r="62" ht="44" customHeight="1">
      <c r="A62" s="78" t="n">
        <v>9</v>
      </c>
      <c r="B62" s="79" t="inlineStr">
        <is>
          <t>ยูข้าง</t>
        </is>
      </c>
      <c r="C62" s="80" t="inlineStr">
        <is>
          <t>F7986</t>
        </is>
      </c>
      <c r="D62" s="81" t="inlineStr">
        <is>
          <t>สูง-45-45</t>
        </is>
      </c>
      <c r="E62" s="83" t="n">
        <v>45</v>
      </c>
      <c r="F62" s="83" t="n">
        <v>45</v>
      </c>
      <c r="G62" s="82" t="n"/>
      <c r="H62" s="82" t="n"/>
      <c r="I62" s="82" t="n"/>
      <c r="J62" s="82" t="n"/>
      <c r="K62" s="82" t="n"/>
      <c r="L62" s="83" t="n">
        <v>2</v>
      </c>
      <c r="M62" s="82" t="n"/>
    </row>
    <row r="63" ht="44" customHeight="1">
      <c r="A63" s="78" t="n">
        <v>10</v>
      </c>
      <c r="B63" s="79" t="inlineStr">
        <is>
          <t>ตบเฟรมบน</t>
        </is>
      </c>
      <c r="C63" s="80" t="inlineStr">
        <is>
          <t>F7993</t>
        </is>
      </c>
      <c r="D63" s="81" t="inlineStr">
        <is>
          <t>เท่าเฟรมบน</t>
        </is>
      </c>
      <c r="E63" s="83" t="n">
        <v>21</v>
      </c>
      <c r="F63" s="83" t="n">
        <v>21</v>
      </c>
      <c r="G63" s="82" t="n"/>
      <c r="H63" s="82" t="n"/>
      <c r="I63" s="82" t="n"/>
      <c r="J63" s="82" t="n"/>
      <c r="K63" s="82" t="n"/>
      <c r="L63" s="83" t="n">
        <v>3</v>
      </c>
      <c r="M63" s="82" t="n"/>
    </row>
    <row r="64" ht="44" customHeight="1">
      <c r="A64" s="78" t="n">
        <v>11</v>
      </c>
      <c r="B64" s="79" t="inlineStr">
        <is>
          <t>ตบยูข้าง</t>
        </is>
      </c>
      <c r="C64" s="80" t="inlineStr">
        <is>
          <t>F7988</t>
        </is>
      </c>
      <c r="D64" s="81" t="inlineStr">
        <is>
          <t>สูง-45-45</t>
        </is>
      </c>
      <c r="E64" s="83" t="n">
        <v>45</v>
      </c>
      <c r="F64" s="83" t="n">
        <v>45</v>
      </c>
      <c r="G64" s="82" t="n"/>
      <c r="H64" s="82" t="n"/>
      <c r="I64" s="82" t="n"/>
      <c r="J64" s="82" t="n"/>
      <c r="K64" s="82" t="n"/>
      <c r="L64" s="83" t="n">
        <v>2</v>
      </c>
      <c r="M64" s="82" t="n"/>
    </row>
    <row r="65" ht="15" customHeight="1">
      <c r="A65" s="78" t="n">
        <v>12</v>
      </c>
      <c r="B65" s="79" t="inlineStr">
        <is>
          <t>ปิดตบเกี่ยว</t>
        </is>
      </c>
      <c r="C65" s="80" t="inlineStr">
        <is>
          <t>-</t>
        </is>
      </c>
      <c r="D65" s="81" t="inlineStr">
        <is>
          <t>สูงกรอบบาน</t>
        </is>
      </c>
      <c r="E65" s="82" t="n"/>
      <c r="F65" s="82" t="n"/>
      <c r="G65" s="82" t="n"/>
      <c r="H65" s="82" t="n"/>
      <c r="I65" s="82" t="n"/>
      <c r="J65" s="82" t="n"/>
      <c r="K65" s="82" t="n"/>
      <c r="L65" s="83" t="n">
        <v>2</v>
      </c>
      <c r="M65" s="82" t="n"/>
    </row>
    <row r="66" ht="15" customHeight="1">
      <c r="A66" s="78" t="n">
        <v>13</v>
      </c>
      <c r="B66" s="79" t="inlineStr">
        <is>
          <t>ตบกันสาด</t>
        </is>
      </c>
      <c r="C66" s="80" t="inlineStr">
        <is>
          <t>-</t>
        </is>
      </c>
      <c r="D66" s="81" t="inlineStr">
        <is>
          <t>กว้าง</t>
        </is>
      </c>
      <c r="E66" s="82" t="n"/>
      <c r="F66" s="82" t="n"/>
      <c r="G66" s="82" t="n"/>
      <c r="H66" s="82" t="n"/>
      <c r="I66" s="82" t="n"/>
      <c r="J66" s="82" t="n"/>
      <c r="K66" s="82" t="n"/>
      <c r="L66" s="83" t="n">
        <v>1</v>
      </c>
      <c r="M66" s="82" t="n"/>
    </row>
    <row r="67" ht="44" customHeight="1">
      <c r="A67" s="78" t="n">
        <v>14</v>
      </c>
      <c r="B67" s="79" t="inlineStr">
        <is>
          <t>ราง</t>
        </is>
      </c>
      <c r="C67" s="80" t="inlineStr">
        <is>
          <t>F7994</t>
        </is>
      </c>
      <c r="D67" s="81" t="inlineStr">
        <is>
          <t>เท่าเฟรมล่าง</t>
        </is>
      </c>
      <c r="E67" s="83" t="n">
        <v>21</v>
      </c>
      <c r="F67" s="83" t="n">
        <v>21</v>
      </c>
      <c r="G67" s="82" t="n"/>
      <c r="H67" s="82" t="n"/>
      <c r="I67" s="82" t="n"/>
      <c r="J67" s="82" t="n"/>
      <c r="K67" s="82" t="n"/>
      <c r="L67" s="83" t="n">
        <v>3</v>
      </c>
      <c r="M67" s="82" t="n"/>
    </row>
    <row r="69">
      <c r="A69" s="123" t="n"/>
      <c r="F69" s="124" t="n"/>
    </row>
    <row r="70">
      <c r="A70" s="153" t="inlineStr">
        <is>
          <t>⑤ อุปกรณ์ + ตั้งค่ามือจับ (2 ชุด · บานเลื่อน 2)</t>
        </is>
      </c>
      <c r="F70" s="126" t="n"/>
    </row>
    <row r="71">
      <c r="A71" s="152" t="inlineStr">
        <is>
          <t>ประเภทบาน →</t>
        </is>
      </c>
      <c r="B71" s="150" t="inlineStr">
        <is>
          <t>ประตู</t>
        </is>
      </c>
      <c r="F71" s="126" t="n"/>
    </row>
    <row r="72">
      <c r="A72" s="152" t="inlineStr">
        <is>
          <t>ยี่ห้อมือจับ →</t>
        </is>
      </c>
      <c r="B72" s="150" t="inlineStr">
        <is>
          <t>เมโทร</t>
        </is>
      </c>
      <c r="F72" s="126" t="n"/>
    </row>
    <row r="73">
      <c r="A73" s="152" t="inlineStr">
        <is>
          <t>สีมือจับ →</t>
        </is>
      </c>
      <c r="B73" s="150" t="inlineStr">
        <is>
          <t>อบขาว</t>
        </is>
      </c>
      <c r="F73" s="126" t="n"/>
    </row>
    <row r="74">
      <c r="A74" s="156" t="inlineStr">
        <is>
          <t>มือจับ ชุด1 →</t>
        </is>
      </c>
      <c r="B74" s="150" t="inlineStr">
        <is>
          <t>กุญแจ+ล็อค</t>
        </is>
      </c>
    </row>
    <row r="75">
      <c r="A75" s="149" t="inlineStr">
        <is>
          <t>มือจับ ชุด2 →</t>
        </is>
      </c>
      <c r="B75" s="150" t="inlineStr">
        <is>
          <t>ล็อค+ดัมมี่</t>
        </is>
      </c>
    </row>
    <row r="76">
      <c r="A76" s="154" t="inlineStr">
        <is>
          <t>⑤.1 สรุปอุปกรณ์ (จำนวนลิงก์อัตโนมัติ)</t>
        </is>
      </c>
    </row>
    <row r="77">
      <c r="A77" s="154" t="inlineStr">
        <is>
          <t>#</t>
        </is>
      </c>
      <c r="B77" s="154" t="inlineStr">
        <is>
          <t>อุปกรณ์</t>
        </is>
      </c>
      <c r="C77" s="154" t="inlineStr">
        <is>
          <t>รหัส SKU</t>
        </is>
      </c>
      <c r="D77" s="154" t="inlineStr">
        <is>
          <t>จำนวน</t>
        </is>
      </c>
      <c r="E77" s="154" t="inlineStr">
        <is>
          <t>หน่วย</t>
        </is>
      </c>
      <c r="F77" s="154" t="inlineStr">
        <is>
          <t>หมายเหตุ</t>
        </is>
      </c>
    </row>
    <row r="78">
      <c r="A78" s="149" t="n">
        <v>1</v>
      </c>
      <c r="B78" s="149" t="inlineStr">
        <is>
          <t>ล้อ 20</t>
        </is>
      </c>
      <c r="C78" s="150">
        <f>AK8</f>
        <v/>
      </c>
      <c r="D78" s="155">
        <f>AK30</f>
        <v/>
      </c>
      <c r="E78" s="149" t="inlineStr">
        <is>
          <t>ตัว</t>
        </is>
      </c>
      <c r="F78" s="149" t="inlineStr"/>
    </row>
    <row r="79">
      <c r="A79" s="149" t="n">
        <v>2</v>
      </c>
      <c r="B79" s="149" t="inlineStr">
        <is>
          <t>มือจับ กุญแจ</t>
        </is>
      </c>
      <c r="C79" s="150">
        <f>AL8</f>
        <v/>
      </c>
      <c r="D79" s="155">
        <f>AL30</f>
        <v/>
      </c>
      <c r="E79" s="149" t="inlineStr">
        <is>
          <t>ตัว</t>
        </is>
      </c>
      <c r="F79" s="149" t="inlineStr"/>
    </row>
    <row r="80">
      <c r="A80" s="149" t="n">
        <v>3</v>
      </c>
      <c r="B80" s="149" t="inlineStr">
        <is>
          <t>มือจับ ล็อค</t>
        </is>
      </c>
      <c r="C80" s="150">
        <f>AM8</f>
        <v/>
      </c>
      <c r="D80" s="155">
        <f>AM30</f>
        <v/>
      </c>
      <c r="E80" s="149" t="inlineStr">
        <is>
          <t>ตัว</t>
        </is>
      </c>
      <c r="F80" s="149" t="inlineStr"/>
    </row>
    <row r="81">
      <c r="A81" s="149" t="n">
        <v>4</v>
      </c>
      <c r="B81" s="149" t="inlineStr">
        <is>
          <t>มือจับ ดัมมี่</t>
        </is>
      </c>
      <c r="C81" s="150">
        <f>AN8</f>
        <v/>
      </c>
      <c r="D81" s="155">
        <f>AN30</f>
        <v/>
      </c>
      <c r="E81" s="149" t="inlineStr">
        <is>
          <t>ตัว</t>
        </is>
      </c>
      <c r="F81" s="149" t="inlineStr"/>
    </row>
    <row r="82">
      <c r="A82" s="149" t="n">
        <v>5</v>
      </c>
      <c r="B82" s="149" t="inlineStr">
        <is>
          <t>Digital lock</t>
        </is>
      </c>
      <c r="C82" s="150" t="inlineStr">
        <is>
          <t>-</t>
        </is>
      </c>
      <c r="D82" s="155">
        <f>AO30</f>
        <v/>
      </c>
      <c r="E82" s="149" t="inlineStr">
        <is>
          <t>ชุด</t>
        </is>
      </c>
      <c r="F82" s="149" t="inlineStr">
        <is>
          <t>ไม่ตัดสต็อก</t>
        </is>
      </c>
    </row>
    <row r="83">
      <c r="A83" s="149" t="n">
        <v>6</v>
      </c>
      <c r="B83" s="149" t="inlineStr">
        <is>
          <t>แกน A</t>
        </is>
      </c>
      <c r="C83" s="150">
        <f>AP8</f>
        <v/>
      </c>
      <c r="D83" s="155">
        <f>AP30</f>
        <v/>
      </c>
      <c r="E83" s="149" t="inlineStr">
        <is>
          <t>เส้น</t>
        </is>
      </c>
      <c r="F83" s="149" t="inlineStr"/>
    </row>
    <row r="84">
      <c r="A84" s="149" t="n">
        <v>7</v>
      </c>
      <c r="B84" s="149" t="inlineStr">
        <is>
          <t>แกน B</t>
        </is>
      </c>
      <c r="C84" s="150">
        <f>AQ8</f>
        <v/>
      </c>
      <c r="D84" s="155">
        <f>AQ30</f>
        <v/>
      </c>
      <c r="E84" s="149" t="inlineStr">
        <is>
          <t>เส้น</t>
        </is>
      </c>
      <c r="F84" s="149" t="inlineStr"/>
    </row>
    <row r="85">
      <c r="A85" s="149" t="n">
        <v>8</v>
      </c>
      <c r="B85" s="149" t="inlineStr">
        <is>
          <t>ปลายดำ</t>
        </is>
      </c>
      <c r="C85" s="150">
        <f>AR8</f>
        <v/>
      </c>
      <c r="D85" s="155">
        <f>AR30</f>
        <v/>
      </c>
      <c r="E85" s="149" t="inlineStr">
        <is>
          <t>ตัว</t>
        </is>
      </c>
      <c r="F85" s="149" t="inlineStr"/>
    </row>
    <row r="86">
      <c r="A86" s="149" t="n">
        <v>9</v>
      </c>
      <c r="B86" s="149" t="inlineStr">
        <is>
          <t>ตัวที เงิน</t>
        </is>
      </c>
      <c r="C86" s="150">
        <f>AS8</f>
        <v/>
      </c>
      <c r="D86" s="155">
        <f>AS30</f>
        <v/>
      </c>
      <c r="E86" s="149" t="inlineStr">
        <is>
          <t>ตัว</t>
        </is>
      </c>
      <c r="F86" s="149" t="inlineStr"/>
    </row>
    <row r="87">
      <c r="A87" s="149" t="n">
        <v>10</v>
      </c>
      <c r="B87" s="149" t="inlineStr">
        <is>
          <t>ก้ามปู</t>
        </is>
      </c>
      <c r="C87" s="150">
        <f>AT8</f>
        <v/>
      </c>
      <c r="D87" s="155">
        <f>AT30</f>
        <v/>
      </c>
      <c r="E87" s="149" t="inlineStr">
        <is>
          <t>ตัว</t>
        </is>
      </c>
      <c r="F87" s="149" t="inlineStr"/>
    </row>
    <row r="88">
      <c r="A88" s="149" t="n">
        <v>11</v>
      </c>
      <c r="B88" s="149" t="inlineStr">
        <is>
          <t>สปิงก็อท</t>
        </is>
      </c>
      <c r="C88" s="150">
        <f>AU8</f>
        <v/>
      </c>
      <c r="D88" s="155">
        <f>AU30</f>
        <v/>
      </c>
      <c r="E88" s="149" t="inlineStr">
        <is>
          <t>ตัว</t>
        </is>
      </c>
      <c r="F88" s="149" t="inlineStr"/>
    </row>
    <row r="89">
      <c r="A89" s="149" t="n">
        <v>12</v>
      </c>
      <c r="B89" s="149" t="inlineStr">
        <is>
          <t>ฉากประกอบมุม</t>
        </is>
      </c>
      <c r="C89" s="150">
        <f>AV8</f>
        <v/>
      </c>
      <c r="D89" s="155">
        <f>AV30</f>
        <v/>
      </c>
      <c r="E89" s="149" t="inlineStr">
        <is>
          <t>ตัว</t>
        </is>
      </c>
      <c r="F89" s="149" t="inlineStr"/>
    </row>
    <row r="90">
      <c r="A90" s="149" t="n">
        <v>13</v>
      </c>
      <c r="B90" s="149" t="inlineStr">
        <is>
          <t>ยางรูน้ำ</t>
        </is>
      </c>
      <c r="C90" s="150">
        <f>AW8</f>
        <v/>
      </c>
      <c r="D90" s="155">
        <f>AW30</f>
        <v/>
      </c>
      <c r="E90" s="149" t="inlineStr">
        <is>
          <t>ตัว</t>
        </is>
      </c>
      <c r="F90" s="149" t="inlineStr"/>
    </row>
    <row r="91">
      <c r="A91" s="149" t="n">
        <v>14</v>
      </c>
      <c r="B91" s="149" t="inlineStr">
        <is>
          <t>วาวรูน้ำ</t>
        </is>
      </c>
      <c r="C91" s="150">
        <f>AX8</f>
        <v/>
      </c>
      <c r="D91" s="155">
        <f>AX30</f>
        <v/>
      </c>
      <c r="E91" s="149" t="inlineStr">
        <is>
          <t>ตัว</t>
        </is>
      </c>
      <c r="F91" s="149" t="inlineStr"/>
    </row>
    <row r="92">
      <c r="A92" s="149" t="n">
        <v>15</v>
      </c>
      <c r="B92" s="149" t="inlineStr">
        <is>
          <t>สักหลาด 5×3</t>
        </is>
      </c>
      <c r="C92" s="150">
        <f>AY8</f>
        <v/>
      </c>
      <c r="D92" s="155">
        <f>AY30</f>
        <v/>
      </c>
      <c r="E92" s="149" t="inlineStr">
        <is>
          <t>เมตร</t>
        </is>
      </c>
      <c r="F92" s="149" t="inlineStr">
        <is>
          <t>เก็บเป็นเมตร</t>
        </is>
      </c>
    </row>
  </sheetData>
  <mergeCells count="57">
    <mergeCell ref="U9:V9"/>
    <mergeCell ref="I6:J6"/>
    <mergeCell ref="AE7:AF7"/>
    <mergeCell ref="O6:P6"/>
    <mergeCell ref="U6:V6"/>
    <mergeCell ref="K9:L9"/>
    <mergeCell ref="W6:X6"/>
    <mergeCell ref="M9:N9"/>
    <mergeCell ref="K7:N7"/>
    <mergeCell ref="O9:P9"/>
    <mergeCell ref="G8:H8"/>
    <mergeCell ref="E8:F8"/>
    <mergeCell ref="Y9:Z9"/>
    <mergeCell ref="Q8:R8"/>
    <mergeCell ref="AA9:AB9"/>
    <mergeCell ref="S8:T8"/>
    <mergeCell ref="Y7:AD7"/>
    <mergeCell ref="G7:H7"/>
    <mergeCell ref="AA6:AB6"/>
    <mergeCell ref="S7:T7"/>
    <mergeCell ref="I7:J7"/>
    <mergeCell ref="O7:R7"/>
    <mergeCell ref="G6:H6"/>
    <mergeCell ref="AC8:AD8"/>
    <mergeCell ref="E9:F9"/>
    <mergeCell ref="AE8:AF8"/>
    <mergeCell ref="U7:V7"/>
    <mergeCell ref="W7:X7"/>
    <mergeCell ref="A8:A9"/>
    <mergeCell ref="E6:F6"/>
    <mergeCell ref="A6:D6"/>
    <mergeCell ref="M6:N6"/>
    <mergeCell ref="K8:L8"/>
    <mergeCell ref="Q6:R6"/>
    <mergeCell ref="S6:T6"/>
    <mergeCell ref="Y6:Z6"/>
    <mergeCell ref="A7:D7"/>
    <mergeCell ref="D8:D9"/>
    <mergeCell ref="Q9:R9"/>
    <mergeCell ref="I8:J8"/>
    <mergeCell ref="S9:T9"/>
    <mergeCell ref="M8:N8"/>
    <mergeCell ref="W9:X9"/>
    <mergeCell ref="AC9:AD9"/>
    <mergeCell ref="O8:P8"/>
    <mergeCell ref="U8:V8"/>
    <mergeCell ref="AE9:AF9"/>
    <mergeCell ref="W8:X8"/>
    <mergeCell ref="B8:C9"/>
    <mergeCell ref="AC6:AD6"/>
    <mergeCell ref="E7:F7"/>
    <mergeCell ref="AE6:AF6"/>
    <mergeCell ref="Y8:Z8"/>
    <mergeCell ref="K6:L6"/>
    <mergeCell ref="G9:H9"/>
    <mergeCell ref="AA8:AB8"/>
    <mergeCell ref="I9:J9"/>
  </mergeCells>
  <dataValidations count="10">
    <dataValidation sqref="B71" showDropDown="0" showInputMessage="0" showErrorMessage="0" allowBlank="1" type="list">
      <formula1>"ประตู,หน้าต่าง"</formula1>
    </dataValidation>
    <dataValidation sqref="B72" showDropDown="0" showInputMessage="0" showErrorMessage="0" allowBlank="1" type="list">
      <formula1>"เมโทร,Align"</formula1>
    </dataValidation>
    <dataValidation sqref="B73" showDropDown="0" showInputMessage="0" showErrorMessage="0" allowBlank="1" type="list">
      <formula1>"อบขาว,ดำ"</formula1>
    </dataValidation>
    <dataValidation sqref="B74" showDropDown="0" showInputMessage="0" showErrorMessage="0" allowBlank="1" type="list">
      <formula1>=$BD$1:$BD$4</formula1>
    </dataValidation>
    <dataValidation sqref="B75" showDropDown="0" showInputMessage="0" showErrorMessage="0" allowBlank="1" type="list">
      <formula1>=$BD$1:$BD$4</formula1>
    </dataValidation>
    <dataValidation sqref="B71" showDropDown="0" showInputMessage="0" showErrorMessage="0" allowBlank="1" type="list">
      <formula1>"ประตู,หน้าต่าง"</formula1>
    </dataValidation>
    <dataValidation sqref="B72" showDropDown="0" showInputMessage="0" showErrorMessage="0" allowBlank="1" type="list">
      <formula1>"เมโทร,Align"</formula1>
    </dataValidation>
    <dataValidation sqref="B73" showDropDown="0" showInputMessage="0" showErrorMessage="0" allowBlank="1" type="list">
      <formula1>"อบขาว,ดำ"</formula1>
    </dataValidation>
    <dataValidation sqref="B74" showDropDown="0" showInputMessage="0" showErrorMessage="0" allowBlank="1" type="list">
      <formula1>=$BD$1:$BD$4</formula1>
    </dataValidation>
    <dataValidation sqref="B75" showDropDown="0" showInputMessage="0" showErrorMessage="0" allowBlank="1" type="list">
      <formula1>=$BD$1:$BD$4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D91"/>
  <sheetViews>
    <sheetView showGridLines="0"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26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6.75" customWidth="1" min="32" max="32"/>
    <col width="12.75" customWidth="1" min="33" max="33"/>
    <col width="6.75" customWidth="1" min="34" max="34"/>
    <col width="12.75" customWidth="1" min="35" max="35"/>
    <col width="12.75" customWidth="1" min="36" max="36"/>
    <col width="8.75" customWidth="1" min="37" max="37"/>
    <col width="8.875" customWidth="1" min="38" max="38"/>
    <col hidden="1" width="13" customWidth="1" min="53" max="53"/>
    <col hidden="1" width="13" customWidth="1" min="54" max="54"/>
    <col hidden="1" width="13" customWidth="1" min="55" max="55"/>
    <col hidden="1" width="13" customWidth="1" min="56" max="56"/>
  </cols>
  <sheetData>
    <row r="1" ht="40.15" customHeight="1">
      <c r="A1" s="1" t="inlineStr">
        <is>
          <t>JR ALUMINIUM &amp; GLASS  —  ใบรายการตัด · FUJI เลื่อน-ติดตาย78   (หน่วย: มม.)</t>
        </is>
      </c>
      <c r="B1" s="2" t="n"/>
      <c r="D1" s="3" t="n"/>
      <c r="E1" s="4" t="n"/>
      <c r="F1" s="3" t="n"/>
      <c r="G1" s="5" t="n"/>
      <c r="H1" s="5" t="n"/>
      <c r="I1" s="6" t="n"/>
      <c r="J1" s="5" t="n"/>
      <c r="K1" s="3" t="n"/>
      <c r="L1" s="3" t="n"/>
      <c r="M1" s="6" t="n"/>
      <c r="N1" s="6" t="n"/>
      <c r="O1" s="5" t="n"/>
      <c r="P1" s="5" t="n"/>
      <c r="Q1" s="3" t="n"/>
      <c r="R1" s="7" t="n"/>
      <c r="S1" s="6" t="n"/>
      <c r="T1" s="6" t="n"/>
      <c r="U1" s="5" t="n"/>
      <c r="V1" s="5" t="n"/>
      <c r="W1" s="5" t="n"/>
      <c r="X1" s="5" t="n"/>
      <c r="Y1" s="5" t="n"/>
      <c r="Z1" s="5" t="n"/>
      <c r="AA1" s="3" t="n"/>
      <c r="AB1" s="3" t="n"/>
      <c r="AC1" s="3" t="n"/>
      <c r="AD1" s="3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BA1" t="inlineStr">
        <is>
          <t>เมโทรกุญแจอบขาว</t>
        </is>
      </c>
      <c r="BB1" t="inlineStr">
        <is>
          <t>JR00368</t>
        </is>
      </c>
      <c r="BD1">
        <f>IF($B$71="ประตู","กุญแจ+ล็อค","ล็อค")</f>
        <v/>
      </c>
    </row>
    <row r="2" ht="40.15" customHeight="1">
      <c r="A2" s="6" t="n"/>
      <c r="B2" s="109" t="inlineStr">
        <is>
          <t>Mockup</t>
        </is>
      </c>
      <c r="C2" s="85" t="n"/>
      <c r="D2" s="6" t="n"/>
      <c r="E2" s="8" t="n"/>
      <c r="F2" s="6" t="n"/>
      <c r="G2" s="9" t="n"/>
      <c r="H2" s="9" t="n"/>
      <c r="I2" s="9" t="n"/>
      <c r="J2" s="9" t="n"/>
      <c r="K2" s="6" t="n"/>
      <c r="L2" s="6" t="n"/>
      <c r="M2" s="6" t="n"/>
      <c r="N2" s="6" t="n"/>
      <c r="O2" s="9" t="n"/>
      <c r="P2" s="9" t="n"/>
      <c r="Q2" s="6" t="n"/>
      <c r="R2" s="6" t="n"/>
      <c r="S2" s="9" t="n"/>
      <c r="T2" s="9" t="n"/>
      <c r="U2" s="9" t="n"/>
      <c r="V2" s="9" t="n"/>
      <c r="W2" s="9" t="n"/>
      <c r="X2" s="9" t="n"/>
      <c r="Y2" s="9" t="n"/>
      <c r="Z2" s="9" t="n"/>
      <c r="AA2" s="6" t="n"/>
      <c r="AB2" s="6" t="n"/>
      <c r="AC2" s="6" t="n"/>
      <c r="AD2" s="6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BA2" t="inlineStr">
        <is>
          <t>เมโทรกุญแจดำ</t>
        </is>
      </c>
      <c r="BB2" t="inlineStr">
        <is>
          <t>JR00371</t>
        </is>
      </c>
      <c r="BD2">
        <f>IF($B$71="ประตู","ล็อค+ดัมมี่","ดัมมี่")</f>
        <v/>
      </c>
    </row>
    <row r="3" ht="40.15" customHeight="1">
      <c r="A3" s="130">
        <f>HYPERLINK("#สารบัญ!A1","← สารบัญ")</f>
        <v/>
      </c>
      <c r="B3" s="6" t="n"/>
      <c r="C3" s="6" t="n"/>
      <c r="D3" s="6" t="n"/>
      <c r="E3" s="8" t="n"/>
      <c r="F3" s="6" t="n"/>
      <c r="G3" s="11" t="n"/>
      <c r="H3" s="11" t="n"/>
      <c r="I3" s="9" t="n"/>
      <c r="J3" s="9" t="n"/>
      <c r="K3" s="6" t="n"/>
      <c r="L3" s="6" t="n"/>
      <c r="M3" s="6" t="n"/>
      <c r="N3" s="6" t="n"/>
      <c r="O3" s="11" t="n"/>
      <c r="P3" s="11" t="n"/>
      <c r="Q3" s="6" t="n"/>
      <c r="R3" s="6" t="n"/>
      <c r="U3" s="11" t="n"/>
      <c r="V3" s="11" t="n"/>
      <c r="W3" s="11" t="n"/>
      <c r="X3" s="11" t="n"/>
      <c r="Y3" s="11" t="n"/>
      <c r="Z3" s="11" t="n"/>
      <c r="AA3" s="6" t="n"/>
      <c r="AB3" s="6" t="n"/>
      <c r="AC3" s="6" t="n"/>
      <c r="AD3" s="6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BA3" t="inlineStr">
        <is>
          <t>เมโทรล็อคอบขาว</t>
        </is>
      </c>
      <c r="BB3" t="inlineStr">
        <is>
          <t>JR00369</t>
        </is>
      </c>
      <c r="BD3">
        <f>IF($B$71="ประตู","ดัมมี่+ดัมมี่","")</f>
        <v/>
      </c>
    </row>
    <row r="4" ht="40.15" customHeight="1">
      <c r="A4" s="6" t="n"/>
      <c r="B4" s="6" t="n"/>
      <c r="C4" s="6" t="n"/>
      <c r="F4" s="6" t="n"/>
      <c r="I4" s="9" t="n"/>
      <c r="J4" s="9" t="n"/>
      <c r="K4" s="6" t="n"/>
      <c r="L4" s="6" t="n"/>
      <c r="M4" s="6" t="n"/>
      <c r="N4" s="6" t="n"/>
      <c r="Q4" s="6" t="n"/>
      <c r="R4" s="6" t="n"/>
      <c r="AA4" s="6" t="n"/>
      <c r="AB4" s="6" t="n"/>
      <c r="AC4" s="6" t="n"/>
      <c r="AD4" s="6" t="n"/>
      <c r="BA4" t="inlineStr">
        <is>
          <t>เมโทรล็อคดำ</t>
        </is>
      </c>
      <c r="BB4" t="inlineStr">
        <is>
          <t>JR00372</t>
        </is>
      </c>
      <c r="BD4">
        <f>IF($B$71="ประตู","Digital lock","")</f>
        <v/>
      </c>
    </row>
    <row r="5" ht="40.15" customHeight="1">
      <c r="A5" s="6" t="n"/>
      <c r="B5" s="6" t="n"/>
      <c r="C5" s="6" t="n"/>
      <c r="D5" s="6" t="n"/>
      <c r="E5" s="8" t="n"/>
      <c r="F5" s="6" t="n"/>
      <c r="K5" s="6" t="n"/>
      <c r="L5" s="6" t="n"/>
      <c r="N5" s="6" t="n"/>
      <c r="Q5" s="6" t="n"/>
      <c r="R5" s="6" t="n"/>
      <c r="AA5" s="6" t="n"/>
      <c r="AB5" s="6" t="n"/>
      <c r="AC5" s="6" t="n"/>
      <c r="AD5" s="6" t="n"/>
      <c r="BA5" t="inlineStr">
        <is>
          <t>เมโทรดัมมี่อบขาว</t>
        </is>
      </c>
      <c r="BB5" t="inlineStr">
        <is>
          <t>JR00370</t>
        </is>
      </c>
    </row>
    <row r="6" ht="60" customHeight="1">
      <c r="A6" s="13" t="inlineStr">
        <is>
          <t>สูตรตัด</t>
        </is>
      </c>
      <c r="B6" s="14" t="n"/>
      <c r="C6" s="14" t="n"/>
      <c r="D6" s="15" t="n"/>
      <c r="E6" s="16" t="inlineStr">
        <is>
          <t>สูง</t>
        </is>
      </c>
      <c r="F6" s="17" t="n"/>
      <c r="G6" s="16" t="inlineStr">
        <is>
          <t>กว้าง-21-21</t>
        </is>
      </c>
      <c r="H6" s="17" t="n"/>
      <c r="I6" s="16" t="inlineStr">
        <is>
          <t>กว้าง</t>
        </is>
      </c>
      <c r="J6" s="17" t="n"/>
      <c r="K6" s="16" t="inlineStr">
        <is>
          <t>สูง-21-19-13-21</t>
        </is>
      </c>
      <c r="L6" s="17" t="n"/>
      <c r="M6" s="16" t="inlineStr">
        <is>
          <t>((กว้าง-21-1.2-3-21)/2)+(78x1/2)</t>
        </is>
      </c>
      <c r="N6" s="17" t="n"/>
      <c r="O6" s="16" t="inlineStr">
        <is>
          <t>เสา-78-78</t>
        </is>
      </c>
      <c r="P6" s="17" t="n"/>
      <c r="Q6" s="16" t="inlineStr">
        <is>
          <t>ขวาง-63-63</t>
        </is>
      </c>
      <c r="R6" s="17" t="n"/>
      <c r="S6" s="16" t="inlineStr">
        <is>
          <t>สูงกรอบบาน</t>
        </is>
      </c>
      <c r="T6" s="17" t="n"/>
      <c r="U6" s="16" t="inlineStr">
        <is>
          <t>สูง-45-45</t>
        </is>
      </c>
      <c r="V6" s="17" t="n"/>
      <c r="W6" s="16" t="inlineStr">
        <is>
          <t>เท่าเฟรมบน</t>
        </is>
      </c>
      <c r="X6" s="17" t="n"/>
      <c r="Y6" s="16" t="inlineStr">
        <is>
          <t>สูง-45-45</t>
        </is>
      </c>
      <c r="Z6" s="17" t="n"/>
      <c r="AA6" s="16" t="inlineStr">
        <is>
          <t>สูงกรอบบาน</t>
        </is>
      </c>
      <c r="AB6" s="17" t="n"/>
      <c r="AC6" s="16" t="inlineStr">
        <is>
          <t>กว้าง</t>
        </is>
      </c>
      <c r="AD6" s="17" t="n"/>
      <c r="AE6" s="16" t="inlineStr">
        <is>
          <t>เท่าเฟรมล่าง</t>
        </is>
      </c>
      <c r="AF6" s="17" t="n"/>
      <c r="AG6" s="16" t="inlineStr">
        <is>
          <t>กว้าง-ขวาง-21-21-1.2</t>
        </is>
      </c>
      <c r="AI6" s="18" t="n"/>
      <c r="AJ6" s="18" t="n"/>
      <c r="AK6" s="18" t="n"/>
      <c r="BA6" t="inlineStr">
        <is>
          <t>เมโทรดัมมี่ดำ</t>
        </is>
      </c>
      <c r="BB6" t="inlineStr">
        <is>
          <t>JR00373</t>
        </is>
      </c>
      <c r="BC6">
        <f>(COUNTIF($B$74:$B$74,"กุญแจ+ล็อค")+COUNTIF($B$74:$B$74,"ล็อค+ดัมมี่")+COUNTIF($B$74:$B$74,"ล็อค"))</f>
        <v/>
      </c>
    </row>
    <row r="7" ht="40.15" customHeight="1">
      <c r="A7" s="19" t="inlineStr">
        <is>
          <t>ใส่ข้อมูล</t>
        </is>
      </c>
      <c r="B7" s="20" t="n"/>
      <c r="C7" s="20" t="n"/>
      <c r="D7" s="21" t="n"/>
      <c r="E7" s="22" t="inlineStr">
        <is>
          <t>F7978</t>
        </is>
      </c>
      <c r="F7" s="15" t="n"/>
      <c r="G7" s="22" t="inlineStr">
        <is>
          <t>F7976</t>
        </is>
      </c>
      <c r="H7" s="15" t="n"/>
      <c r="I7" s="22" t="inlineStr">
        <is>
          <t>F7992</t>
        </is>
      </c>
      <c r="J7" s="15" t="n"/>
      <c r="K7" s="22" t="inlineStr">
        <is>
          <t>F7980</t>
        </is>
      </c>
      <c r="L7" s="14" t="n"/>
      <c r="M7" s="14" t="n"/>
      <c r="N7" s="15" t="n"/>
      <c r="O7" s="22" t="inlineStr">
        <is>
          <t>F7919</t>
        </is>
      </c>
      <c r="P7" s="14" t="n"/>
      <c r="Q7" s="14" t="n"/>
      <c r="R7" s="15" t="n"/>
      <c r="S7" s="22" t="inlineStr">
        <is>
          <t>F7983</t>
        </is>
      </c>
      <c r="T7" s="15" t="n"/>
      <c r="U7" s="22" t="inlineStr">
        <is>
          <t>F7986</t>
        </is>
      </c>
      <c r="V7" s="15" t="n"/>
      <c r="W7" s="22" t="inlineStr">
        <is>
          <t>F7993</t>
        </is>
      </c>
      <c r="X7" s="15" t="n"/>
      <c r="Y7" s="22" t="inlineStr">
        <is>
          <t>F7988</t>
        </is>
      </c>
      <c r="Z7" s="14" t="n"/>
      <c r="AA7" s="14" t="n"/>
      <c r="AB7" s="14" t="n"/>
      <c r="AC7" s="14" t="n"/>
      <c r="AD7" s="15" t="n"/>
      <c r="AE7" s="22" t="inlineStr">
        <is>
          <t>F7994</t>
        </is>
      </c>
      <c r="AF7" s="15" t="n"/>
      <c r="AG7" s="22" t="inlineStr">
        <is>
          <t>F7991</t>
        </is>
      </c>
      <c r="AI7" s="24" t="n"/>
      <c r="AJ7" s="25" t="inlineStr">
        <is>
          <t>ขนาดกระจก</t>
        </is>
      </c>
      <c r="AK7" s="26" t="n"/>
      <c r="BA7" t="inlineStr">
        <is>
          <t>Alignกุญแจอบขาว</t>
        </is>
      </c>
      <c r="BB7" t="inlineStr">
        <is>
          <t>JR00377</t>
        </is>
      </c>
      <c r="BC7">
        <f>COUNTIF($B$74:$B$74,"กุญแจ+ล็อค")</f>
        <v/>
      </c>
    </row>
    <row r="8" ht="40.15" customHeight="1">
      <c r="A8" s="27" t="inlineStr">
        <is>
          <t>แผน</t>
        </is>
      </c>
      <c r="B8" s="28" t="inlineStr">
        <is>
          <t>ขนาดชิ้นงาน
(mm)</t>
        </is>
      </c>
      <c r="C8" s="29" t="n"/>
      <c r="D8" s="27" t="inlineStr">
        <is>
          <t>ชุด</t>
        </is>
      </c>
      <c r="E8" s="30" t="n"/>
      <c r="F8" s="31" t="n"/>
      <c r="G8" s="30" t="n"/>
      <c r="H8" s="31" t="n"/>
      <c r="I8" s="30" t="n"/>
      <c r="J8" s="31" t="n"/>
      <c r="K8" s="32" t="n"/>
      <c r="L8" s="33" t="n"/>
      <c r="M8" s="34" t="n"/>
      <c r="N8" s="31" t="n"/>
      <c r="O8" s="32" t="n"/>
      <c r="P8" s="33" t="n"/>
      <c r="Q8" s="34" t="n"/>
      <c r="R8" s="31" t="n"/>
      <c r="S8" s="32" t="n"/>
      <c r="T8" s="33" t="n"/>
      <c r="U8" s="32" t="n"/>
      <c r="V8" s="33" t="n"/>
      <c r="W8" s="32" t="n"/>
      <c r="X8" s="33" t="n"/>
      <c r="Y8" s="32" t="n"/>
      <c r="Z8" s="33" t="n"/>
      <c r="AA8" s="35" t="n"/>
      <c r="AB8" s="33" t="n"/>
      <c r="AC8" s="34" t="n"/>
      <c r="AD8" s="31" t="n"/>
      <c r="AE8" s="30" t="n"/>
      <c r="AF8" s="31" t="n"/>
      <c r="AG8" s="30" t="n"/>
      <c r="AI8" s="36" t="n"/>
      <c r="AJ8" s="37" t="inlineStr">
        <is>
          <t>กรอบบาน</t>
        </is>
      </c>
      <c r="AK8" s="38" t="inlineStr">
        <is>
          <t>JR00577</t>
        </is>
      </c>
      <c r="AL8">
        <f>VLOOKUP($B$72&amp;"กุญแจ"&amp;$B$73,$BA$1:$BB$12,2,0)</f>
        <v/>
      </c>
      <c r="AM8">
        <f>VLOOKUP($B$72&amp;"ล็อค"&amp;$B$73,$BA$1:$BB$12,2,0)</f>
        <v/>
      </c>
      <c r="AN8">
        <f>VLOOKUP($B$72&amp;"ดัมมี่"&amp;$B$73,$BA$1:$BB$12,2,0)</f>
        <v/>
      </c>
      <c r="AO8" t="inlineStr"/>
      <c r="AP8" t="inlineStr">
        <is>
          <t>JR00478</t>
        </is>
      </c>
      <c r="AQ8" t="inlineStr">
        <is>
          <t>JR00479</t>
        </is>
      </c>
      <c r="AR8" t="inlineStr">
        <is>
          <t>JR00476</t>
        </is>
      </c>
      <c r="AS8" t="inlineStr">
        <is>
          <t>JR00475</t>
        </is>
      </c>
      <c r="AT8" t="inlineStr">
        <is>
          <t>JR00477</t>
        </is>
      </c>
      <c r="AU8" t="inlineStr">
        <is>
          <t>JR00592</t>
        </is>
      </c>
      <c r="AV8" t="inlineStr">
        <is>
          <t>JR00480</t>
        </is>
      </c>
      <c r="AW8" t="inlineStr">
        <is>
          <t>JR00589</t>
        </is>
      </c>
      <c r="AX8" t="inlineStr">
        <is>
          <t>JR00485</t>
        </is>
      </c>
      <c r="AY8" t="inlineStr">
        <is>
          <t>JR00794</t>
        </is>
      </c>
      <c r="BA8" t="inlineStr">
        <is>
          <t>Alignล็อคอบขาว</t>
        </is>
      </c>
      <c r="BB8" t="inlineStr">
        <is>
          <t>JR00378</t>
        </is>
      </c>
    </row>
    <row r="9" ht="40.15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 บน-ล่าง</t>
        </is>
      </c>
      <c r="H9" s="43" t="n"/>
      <c r="I9" s="42" t="inlineStr">
        <is>
          <t>ตบกันสาด</t>
        </is>
      </c>
      <c r="J9" s="43" t="n"/>
      <c r="K9" s="42" t="inlineStr">
        <is>
          <t>เสา</t>
        </is>
      </c>
      <c r="L9" s="43" t="n"/>
      <c r="M9" s="42" t="inlineStr">
        <is>
          <t>ขวาง</t>
        </is>
      </c>
      <c r="N9" s="43" t="n"/>
      <c r="O9" s="42" t="inlineStr">
        <is>
          <t>คิ้ว ตั้ง</t>
        </is>
      </c>
      <c r="P9" s="43" t="n"/>
      <c r="Q9" s="42" t="inlineStr">
        <is>
          <t>คิ้ว ขวาง</t>
        </is>
      </c>
      <c r="R9" s="43" t="n"/>
      <c r="S9" s="42" t="inlineStr">
        <is>
          <t>ตบเกี่ยว</t>
        </is>
      </c>
      <c r="T9" s="43" t="n"/>
      <c r="U9" s="44" t="inlineStr">
        <is>
          <t>ยูข้าง</t>
        </is>
      </c>
      <c r="V9" s="43" t="n"/>
      <c r="W9" s="44" t="inlineStr">
        <is>
          <t>ตบเฟรมบน</t>
        </is>
      </c>
      <c r="X9" s="43" t="n"/>
      <c r="Y9" s="44" t="inlineStr">
        <is>
          <t>ตบยูข้าง</t>
        </is>
      </c>
      <c r="Z9" s="43" t="n"/>
      <c r="AA9" s="42" t="inlineStr">
        <is>
          <t>ปิดตบเกี่ยว</t>
        </is>
      </c>
      <c r="AB9" s="43" t="n"/>
      <c r="AC9" s="42" t="inlineStr">
        <is>
          <t>ตบกันสาด</t>
        </is>
      </c>
      <c r="AD9" s="43" t="n"/>
      <c r="AE9" s="44" t="inlineStr">
        <is>
          <t>ราง</t>
        </is>
      </c>
      <c r="AF9" s="43" t="n"/>
      <c r="AG9" s="44" t="inlineStr">
        <is>
          <t>ตบธรณี</t>
        </is>
      </c>
      <c r="AI9" s="45" t="inlineStr">
        <is>
          <t>SH-68-68</t>
        </is>
      </c>
      <c r="AJ9" s="46" t="inlineStr">
        <is>
          <t>SW-68-68</t>
        </is>
      </c>
      <c r="AK9" s="47" t="inlineStr">
        <is>
          <t>ล้อ 20</t>
        </is>
      </c>
      <c r="AL9" t="inlineStr">
        <is>
          <t>มือจับ กุญแจ</t>
        </is>
      </c>
      <c r="AM9" t="inlineStr">
        <is>
          <t>มือจับ ล็อค</t>
        </is>
      </c>
      <c r="AN9" t="inlineStr">
        <is>
          <t>มือจับ ดัมมี่</t>
        </is>
      </c>
      <c r="AO9" t="inlineStr">
        <is>
          <t>Digital lock</t>
        </is>
      </c>
      <c r="AP9" t="inlineStr">
        <is>
          <t>แกน A</t>
        </is>
      </c>
      <c r="AQ9" t="inlineStr">
        <is>
          <t>แกน B</t>
        </is>
      </c>
      <c r="AR9" t="inlineStr">
        <is>
          <t>ปลายดำ</t>
        </is>
      </c>
      <c r="AS9" t="inlineStr">
        <is>
          <t>ตัวที เงิน</t>
        </is>
      </c>
      <c r="AT9" t="inlineStr">
        <is>
          <t>ก้ามปู</t>
        </is>
      </c>
      <c r="AU9" t="inlineStr">
        <is>
          <t>สปิงก็อท</t>
        </is>
      </c>
      <c r="AV9" t="inlineStr">
        <is>
          <t>ฉากประกอบมุม</t>
        </is>
      </c>
      <c r="AW9" t="inlineStr">
        <is>
          <t>ยางรูน้ำ</t>
        </is>
      </c>
      <c r="AX9" t="inlineStr">
        <is>
          <t>วาวรูน้ำ</t>
        </is>
      </c>
      <c r="AY9" t="inlineStr">
        <is>
          <t>สักหลาด(ม.)</t>
        </is>
      </c>
      <c r="BA9" t="inlineStr">
        <is>
          <t>Alignดัมมี่อบขาว</t>
        </is>
      </c>
      <c r="BB9" t="inlineStr">
        <is>
          <t>JR00379</t>
        </is>
      </c>
      <c r="BC9">
        <f>(COUNTIF($B$74:$B$74,"ล็อค+ดัมมี่")+2*COUNTIF($B$74:$B$74,"ดัมมี่+ดัมมี่")+COUNTIF($B$74:$B$74,"ดัมมี่"))</f>
        <v/>
      </c>
    </row>
    <row r="10" ht="40.15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3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3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4" t="inlineStr">
        <is>
          <t>จำนวน</t>
        </is>
      </c>
      <c r="AA10" s="52" t="inlineStr">
        <is>
          <t>ยาว</t>
        </is>
      </c>
      <c r="AB10" s="53" t="inlineStr">
        <is>
          <t>จำนวน</t>
        </is>
      </c>
      <c r="AC10" s="52" t="inlineStr">
        <is>
          <t>ยาว</t>
        </is>
      </c>
      <c r="AD10" s="53" t="inlineStr">
        <is>
          <t>จำนวน</t>
        </is>
      </c>
      <c r="AE10" s="52" t="inlineStr">
        <is>
          <t>ยาว</t>
        </is>
      </c>
      <c r="AF10" s="54" t="inlineStr">
        <is>
          <t>จำนวน</t>
        </is>
      </c>
      <c r="AG10" s="52" t="inlineStr">
        <is>
          <t>ยาว</t>
        </is>
      </c>
      <c r="AH10" s="54" t="inlineStr">
        <is>
          <t>จำนวน</t>
        </is>
      </c>
      <c r="AI10" s="55" t="inlineStr">
        <is>
          <t>H</t>
        </is>
      </c>
      <c r="AJ10" s="56" t="inlineStr">
        <is>
          <t>W</t>
        </is>
      </c>
      <c r="AK10" s="57" t="inlineStr">
        <is>
          <t>จำนวน</t>
        </is>
      </c>
      <c r="AL10" t="inlineStr">
        <is>
          <t>จำนวน</t>
        </is>
      </c>
      <c r="AM10" t="inlineStr">
        <is>
          <t>จำนวน</t>
        </is>
      </c>
      <c r="AN10" t="inlineStr">
        <is>
          <t>จำนวน</t>
        </is>
      </c>
      <c r="AO10" t="inlineStr">
        <is>
          <t>จำนวน</t>
        </is>
      </c>
      <c r="AP10" t="inlineStr">
        <is>
          <t>จำนวน</t>
        </is>
      </c>
      <c r="AQ10" t="inlineStr">
        <is>
          <t>จำนวน</t>
        </is>
      </c>
      <c r="AR10" t="inlineStr">
        <is>
          <t>จำนวน</t>
        </is>
      </c>
      <c r="AS10" t="inlineStr">
        <is>
          <t>จำนวน</t>
        </is>
      </c>
      <c r="AT10" t="inlineStr">
        <is>
          <t>จำนวน</t>
        </is>
      </c>
      <c r="AU10" t="inlineStr">
        <is>
          <t>จำนวน</t>
        </is>
      </c>
      <c r="AV10" t="inlineStr">
        <is>
          <t>จำนวน</t>
        </is>
      </c>
      <c r="AW10" t="inlineStr">
        <is>
          <t>จำนวน</t>
        </is>
      </c>
      <c r="AX10" t="inlineStr">
        <is>
          <t>จำนวน</t>
        </is>
      </c>
      <c r="AY10" t="inlineStr">
        <is>
          <t>จำนวน</t>
        </is>
      </c>
      <c r="BA10" t="inlineStr">
        <is>
          <t>Alignกุญแจดำ</t>
        </is>
      </c>
      <c r="BB10" t="inlineStr">
        <is>
          <t>JR00374</t>
        </is>
      </c>
      <c r="BC10">
        <f>COUNTIF($B$74:$B$74,"Digital lock")</f>
        <v/>
      </c>
    </row>
    <row r="11" ht="40.15" customHeight="1">
      <c r="A11" s="101" t="inlineStr">
        <is>
          <t>D1</t>
        </is>
      </c>
      <c r="B11" s="102" t="n">
        <v>3054</v>
      </c>
      <c r="C11" s="92" t="n">
        <v>3054</v>
      </c>
      <c r="D11" s="103" t="n">
        <v>1</v>
      </c>
      <c r="E11" s="104">
        <f>IF($A11="","",$B11)</f>
        <v/>
      </c>
      <c r="F11" s="92">
        <f>IF($A11="","",$L$54*$D11)</f>
        <v/>
      </c>
      <c r="G11" s="104">
        <f>IF($A11="","",$C11-$E$55-$F$55)</f>
        <v/>
      </c>
      <c r="H11" s="92">
        <f>IF($A11="","",$L$55*$D11)</f>
        <v/>
      </c>
      <c r="I11" s="104">
        <f>IF($A11="","",$C11)</f>
        <v/>
      </c>
      <c r="J11" s="92">
        <f>IF($A11="","",$L$56*$D11)</f>
        <v/>
      </c>
      <c r="K11" s="104">
        <f>IF($A11="","",$B11-$E$57-$F$57-$G$57-$H$57)</f>
        <v/>
      </c>
      <c r="L11" s="92">
        <f>IF($A11="","",$L$57*$D11)</f>
        <v/>
      </c>
      <c r="M11" s="104">
        <f>IF($A11="","",(($C11-$E$58-$F$58-$G$58-$H$58)/2)+(78*1)/2)</f>
        <v/>
      </c>
      <c r="N11" s="92">
        <f>IF($A11="","",$L$58*$D11)</f>
        <v/>
      </c>
      <c r="O11" s="104">
        <f>IF($A11="","",$K11-$E$59-$F$59)</f>
        <v/>
      </c>
      <c r="P11" s="92">
        <f>IF($A11="","",$L$59*$D11)</f>
        <v/>
      </c>
      <c r="Q11" s="104">
        <f>IF($A11="","",$M11-$E$60-$F$60)</f>
        <v/>
      </c>
      <c r="R11" s="92">
        <f>IF($A11="","",$L$60*$D11)</f>
        <v/>
      </c>
      <c r="S11" s="104">
        <f>IF($A11="","",$K11)</f>
        <v/>
      </c>
      <c r="T11" s="92">
        <f>IF($A11="","",$L$61*$D11)</f>
        <v/>
      </c>
      <c r="U11" s="104">
        <f>IF($A11="","",$B11-$E$62-$F$62)</f>
        <v/>
      </c>
      <c r="V11" s="92">
        <f>IF($A11="","",$L$62*$D11)</f>
        <v/>
      </c>
      <c r="W11" s="104">
        <f>IF($A11="","",$C11-$E$63-$F$63)</f>
        <v/>
      </c>
      <c r="X11" s="92">
        <f>IF($A11="","",$L$63*$D11)</f>
        <v/>
      </c>
      <c r="Y11" s="104">
        <f>IF($A11="","",$B11-$E$64-$F$64)</f>
        <v/>
      </c>
      <c r="Z11" s="92">
        <f>IF($A11="","",$L$64*$D11)</f>
        <v/>
      </c>
      <c r="AA11" s="104">
        <f>IF($A11="","",$S11)</f>
        <v/>
      </c>
      <c r="AB11" s="92">
        <f>IF($A11="","",$L$65*$D11)</f>
        <v/>
      </c>
      <c r="AC11" s="104">
        <f>IF($A11="","",$C11)</f>
        <v/>
      </c>
      <c r="AD11" s="92">
        <f>IF($A11="","",$L$66*$D11)</f>
        <v/>
      </c>
      <c r="AE11" s="104">
        <f>IF($A11="","",$C11-$E$67-$F$67)</f>
        <v/>
      </c>
      <c r="AF11" s="92">
        <f>IF($A11="","",$L$67*$D11)</f>
        <v/>
      </c>
      <c r="AG11" s="104">
        <f>IF($A11="","",$C11-$M11-$E$68-$F$68-$G$68)</f>
        <v/>
      </c>
      <c r="AH11" s="92">
        <f>IF($A11="","",$L$68*$D11)</f>
        <v/>
      </c>
      <c r="AI11" s="105">
        <f>IF($A11="","",$K11-68-68)</f>
        <v/>
      </c>
      <c r="AJ11" s="135">
        <f>IF($A11="","",$M11-68-68)</f>
        <v/>
      </c>
      <c r="AK11" s="107">
        <f>IF($A11="","",2*1*$D11)</f>
        <v/>
      </c>
      <c r="AL11">
        <f>IF($A11="","",$BC$7*$D11)</f>
        <v/>
      </c>
      <c r="AM11">
        <f>IF($A11="","",$BC$6*$D11)</f>
        <v/>
      </c>
      <c r="AN11">
        <f>IF($A11="","",$BC$9*$D11)</f>
        <v/>
      </c>
      <c r="AO11">
        <f>IF($A11="","",$BC$10*$D11)</f>
        <v/>
      </c>
      <c r="AP11">
        <f>IF($A11="","",2*$BC$6*$D11)</f>
        <v/>
      </c>
      <c r="AQ11">
        <f>IF($A11="","",IF($B11&gt;2800,2,IF($B11&gt;1400,1,0))*$BC$6*$D11)</f>
        <v/>
      </c>
      <c r="AR11">
        <f>IF($A11="","",2*$BC$6*$D11)</f>
        <v/>
      </c>
      <c r="AS11">
        <f>IF($A11="","",$BC$6*$D11)</f>
        <v/>
      </c>
      <c r="AT11">
        <f>IF($A11="","",2*$BC$6*$D11)</f>
        <v/>
      </c>
      <c r="AU11">
        <f>IF($A11="","",4*1*$D11)</f>
        <v/>
      </c>
      <c r="AV11">
        <f>IF($A11="","",16*1*$D11)</f>
        <v/>
      </c>
      <c r="AW11">
        <f>IF($A11="","",(2+MAX(0,ROUNDUP(($G11-1500)/500,0)))*$D11)</f>
        <v/>
      </c>
      <c r="AX11">
        <f>IF($A11="","",(2+MAX(0,ROUNDUP(($G11-1500)/500,0)))*$D11)</f>
        <v/>
      </c>
      <c r="AY11">
        <f>IF($A11="","",ROUND((2*2*($M11+$K11)*1*$D11+$S11*$T11)/1000,1))</f>
        <v/>
      </c>
      <c r="BA11" t="inlineStr">
        <is>
          <t>Alignล็อคดำ</t>
        </is>
      </c>
      <c r="BB11" t="inlineStr">
        <is>
          <t>JR00375</t>
        </is>
      </c>
    </row>
    <row r="12" ht="40.15" customHeight="1">
      <c r="A12" s="101" t="n"/>
      <c r="B12" s="102" t="n"/>
      <c r="C12" s="92" t="n"/>
      <c r="D12" s="103" t="n"/>
      <c r="E12" s="108">
        <f>IF($A12="","",$B12)</f>
        <v/>
      </c>
      <c r="F12" s="98">
        <f>IF($A12="","",$L$54*$D12)</f>
        <v/>
      </c>
      <c r="G12" s="108">
        <f>IF($A12="","",$C12-$E$55-$F$55)</f>
        <v/>
      </c>
      <c r="H12" s="98">
        <f>IF($A12="","",$L$55*$D12)</f>
        <v/>
      </c>
      <c r="I12" s="108">
        <f>IF($A12="","",$C12)</f>
        <v/>
      </c>
      <c r="J12" s="98">
        <f>IF($A12="","",$L$56*$D12)</f>
        <v/>
      </c>
      <c r="K12" s="108">
        <f>IF($A12="","",$B12-$E$57-$F$57-$G$57-$H$57)</f>
        <v/>
      </c>
      <c r="L12" s="98">
        <f>IF($A12="","",$L$57*$D12)</f>
        <v/>
      </c>
      <c r="M12" s="108">
        <f>IF($A12="","",(($C12-$E$58-$F$58-$G$58-$H$58)/2)+(78*1)/2)</f>
        <v/>
      </c>
      <c r="N12" s="98">
        <f>IF($A12="","",$L$58*$D12)</f>
        <v/>
      </c>
      <c r="O12" s="108">
        <f>IF($A12="","",$K12-$E$59-$F$59)</f>
        <v/>
      </c>
      <c r="P12" s="98">
        <f>IF($A12="","",$L$59*$D12)</f>
        <v/>
      </c>
      <c r="Q12" s="108">
        <f>IF($A12="","",$M12-$E$60-$F$60)</f>
        <v/>
      </c>
      <c r="R12" s="98">
        <f>IF($A12="","",$L$60*$D12)</f>
        <v/>
      </c>
      <c r="S12" s="108">
        <f>IF($A12="","",$K12)</f>
        <v/>
      </c>
      <c r="T12" s="98">
        <f>IF($A12="","",$L$61*$D12)</f>
        <v/>
      </c>
      <c r="U12" s="108">
        <f>IF($A12="","",$B12-$E$62-$F$62)</f>
        <v/>
      </c>
      <c r="V12" s="98">
        <f>IF($A12="","",$L$62*$D12)</f>
        <v/>
      </c>
      <c r="W12" s="108">
        <f>IF($A12="","",$C12-$E$63-$F$63)</f>
        <v/>
      </c>
      <c r="X12" s="98">
        <f>IF($A12="","",$L$63*$D12)</f>
        <v/>
      </c>
      <c r="Y12" s="108">
        <f>IF($A12="","",$B12-$E$64-$F$64)</f>
        <v/>
      </c>
      <c r="Z12" s="98">
        <f>IF($A12="","",$L$64*$D12)</f>
        <v/>
      </c>
      <c r="AA12" s="108">
        <f>IF($A12="","",$S12)</f>
        <v/>
      </c>
      <c r="AB12" s="98">
        <f>IF($A12="","",$L$65*$D12)</f>
        <v/>
      </c>
      <c r="AC12" s="108">
        <f>IF($A12="","",$C12)</f>
        <v/>
      </c>
      <c r="AD12" s="98">
        <f>IF($A12="","",$L$66*$D12)</f>
        <v/>
      </c>
      <c r="AE12" s="108">
        <f>IF($A12="","",$C12-$E$67-$F$67)</f>
        <v/>
      </c>
      <c r="AF12" s="98">
        <f>IF($A12="","",$L$67*$D12)</f>
        <v/>
      </c>
      <c r="AG12" s="108">
        <f>IF($A12="","",$C12-$M12-$E$68-$F$68-$G$68)</f>
        <v/>
      </c>
      <c r="AH12" s="98">
        <f>IF($A12="","",$L$68*$D12)</f>
        <v/>
      </c>
      <c r="AI12" s="105">
        <f>IF($A12="","",$K12-68-68)</f>
        <v/>
      </c>
      <c r="AJ12" s="106">
        <f>IF($A12="","",$M12-68-68)</f>
        <v/>
      </c>
      <c r="AK12" s="107">
        <f>IF($A12="","",2*1*$D12)</f>
        <v/>
      </c>
      <c r="AL12">
        <f>IF($A12="","",$BC$7*$D12)</f>
        <v/>
      </c>
      <c r="AM12">
        <f>IF($A12="","",$BC$6*$D12)</f>
        <v/>
      </c>
      <c r="AN12">
        <f>IF($A12="","",$BC$9*$D12)</f>
        <v/>
      </c>
      <c r="AO12">
        <f>IF($A12="","",$BC$10*$D12)</f>
        <v/>
      </c>
      <c r="AP12">
        <f>IF($A12="","",2*$BC$6*$D12)</f>
        <v/>
      </c>
      <c r="AQ12">
        <f>IF($A12="","",IF($B12&gt;2800,2,IF($B12&gt;1400,1,0))*$BC$6*$D12)</f>
        <v/>
      </c>
      <c r="AR12">
        <f>IF($A12="","",2*$BC$6*$D12)</f>
        <v/>
      </c>
      <c r="AS12">
        <f>IF($A12="","",$BC$6*$D12)</f>
        <v/>
      </c>
      <c r="AT12">
        <f>IF($A12="","",2*$BC$6*$D12)</f>
        <v/>
      </c>
      <c r="AU12">
        <f>IF($A12="","",4*1*$D12)</f>
        <v/>
      </c>
      <c r="AV12">
        <f>IF($A12="","",16*1*$D12)</f>
        <v/>
      </c>
      <c r="AW12">
        <f>IF($A12="","",(2+MAX(0,ROUNDUP(($G12-1500)/500,0)))*$D12)</f>
        <v/>
      </c>
      <c r="AX12">
        <f>IF($A12="","",(2+MAX(0,ROUNDUP(($G12-1500)/500,0)))*$D12)</f>
        <v/>
      </c>
      <c r="AY12">
        <f>IF($A12="","",ROUND((2*2*($M12+$K12)*1*$D12+$S12*$T12)/1000,1))</f>
        <v/>
      </c>
      <c r="BA12" t="inlineStr">
        <is>
          <t>Alignดัมมี่ดำ</t>
        </is>
      </c>
      <c r="BB12" t="inlineStr">
        <is>
          <t>JR00376</t>
        </is>
      </c>
    </row>
    <row r="13" ht="40.15" customHeight="1">
      <c r="A13" s="101" t="n"/>
      <c r="B13" s="102" t="n"/>
      <c r="C13" s="92" t="n"/>
      <c r="D13" s="103" t="n"/>
      <c r="E13" s="104">
        <f>IF($A13="","",$B13)</f>
        <v/>
      </c>
      <c r="F13" s="92">
        <f>IF($A13="","",$L$54*$D13)</f>
        <v/>
      </c>
      <c r="G13" s="104">
        <f>IF($A13="","",$C13-$E$55-$F$55)</f>
        <v/>
      </c>
      <c r="H13" s="92">
        <f>IF($A13="","",$L$55*$D13)</f>
        <v/>
      </c>
      <c r="I13" s="104">
        <f>IF($A13="","",$C13)</f>
        <v/>
      </c>
      <c r="J13" s="92">
        <f>IF($A13="","",$L$56*$D13)</f>
        <v/>
      </c>
      <c r="K13" s="104">
        <f>IF($A13="","",$B13-$E$57-$F$57-$G$57-$H$57)</f>
        <v/>
      </c>
      <c r="L13" s="92">
        <f>IF($A13="","",$L$57*$D13)</f>
        <v/>
      </c>
      <c r="M13" s="104">
        <f>IF($A13="","",(($C13-$E$58-$F$58-$G$58-$H$58)/2)+(78*1)/2)</f>
        <v/>
      </c>
      <c r="N13" s="92">
        <f>IF($A13="","",$L$58*$D13)</f>
        <v/>
      </c>
      <c r="O13" s="104">
        <f>IF($A13="","",$K13-$E$59-$F$59)</f>
        <v/>
      </c>
      <c r="P13" s="92">
        <f>IF($A13="","",$L$59*$D13)</f>
        <v/>
      </c>
      <c r="Q13" s="104">
        <f>IF($A13="","",$M13-$E$60-$F$60)</f>
        <v/>
      </c>
      <c r="R13" s="92">
        <f>IF($A13="","",$L$60*$D13)</f>
        <v/>
      </c>
      <c r="S13" s="104">
        <f>IF($A13="","",$K13)</f>
        <v/>
      </c>
      <c r="T13" s="92">
        <f>IF($A13="","",$L$61*$D13)</f>
        <v/>
      </c>
      <c r="U13" s="104">
        <f>IF($A13="","",$B13-$E$62-$F$62)</f>
        <v/>
      </c>
      <c r="V13" s="92">
        <f>IF($A13="","",$L$62*$D13)</f>
        <v/>
      </c>
      <c r="W13" s="104">
        <f>IF($A13="","",$C13-$E$63-$F$63)</f>
        <v/>
      </c>
      <c r="X13" s="92">
        <f>IF($A13="","",$L$63*$D13)</f>
        <v/>
      </c>
      <c r="Y13" s="104">
        <f>IF($A13="","",$B13-$E$64-$F$64)</f>
        <v/>
      </c>
      <c r="Z13" s="92">
        <f>IF($A13="","",$L$64*$D13)</f>
        <v/>
      </c>
      <c r="AA13" s="104">
        <f>IF($A13="","",$S13)</f>
        <v/>
      </c>
      <c r="AB13" s="92">
        <f>IF($A13="","",$L$65*$D13)</f>
        <v/>
      </c>
      <c r="AC13" s="104">
        <f>IF($A13="","",$C13)</f>
        <v/>
      </c>
      <c r="AD13" s="92">
        <f>IF($A13="","",$L$66*$D13)</f>
        <v/>
      </c>
      <c r="AE13" s="104">
        <f>IF($A13="","",$C13-$E$67-$F$67)</f>
        <v/>
      </c>
      <c r="AF13" s="92">
        <f>IF($A13="","",$L$67*$D13)</f>
        <v/>
      </c>
      <c r="AG13" s="104">
        <f>IF($A13="","",$C13-$M13-$E$68-$F$68-$G$68)</f>
        <v/>
      </c>
      <c r="AH13" s="92">
        <f>IF($A13="","",$L$68*$D13)</f>
        <v/>
      </c>
      <c r="AI13" s="105">
        <f>IF($A13="","",$K13-68-68)</f>
        <v/>
      </c>
      <c r="AJ13" s="106">
        <f>IF($A13="","",$M13-68-68)</f>
        <v/>
      </c>
      <c r="AK13" s="107">
        <f>IF($A13="","",2*1*$D13)</f>
        <v/>
      </c>
      <c r="AL13">
        <f>IF($A13="","",$BC$7*$D13)</f>
        <v/>
      </c>
      <c r="AM13">
        <f>IF($A13="","",$BC$6*$D13)</f>
        <v/>
      </c>
      <c r="AN13">
        <f>IF($A13="","",$BC$9*$D13)</f>
        <v/>
      </c>
      <c r="AO13">
        <f>IF($A13="","",$BC$10*$D13)</f>
        <v/>
      </c>
      <c r="AP13">
        <f>IF($A13="","",2*$BC$6*$D13)</f>
        <v/>
      </c>
      <c r="AQ13">
        <f>IF($A13="","",IF($B13&gt;2800,2,IF($B13&gt;1400,1,0))*$BC$6*$D13)</f>
        <v/>
      </c>
      <c r="AR13">
        <f>IF($A13="","",2*$BC$6*$D13)</f>
        <v/>
      </c>
      <c r="AS13">
        <f>IF($A13="","",$BC$6*$D13)</f>
        <v/>
      </c>
      <c r="AT13">
        <f>IF($A13="","",2*$BC$6*$D13)</f>
        <v/>
      </c>
      <c r="AU13">
        <f>IF($A13="","",4*1*$D13)</f>
        <v/>
      </c>
      <c r="AV13">
        <f>IF($A13="","",16*1*$D13)</f>
        <v/>
      </c>
      <c r="AW13">
        <f>IF($A13="","",(2+MAX(0,ROUNDUP(($G13-1500)/500,0)))*$D13)</f>
        <v/>
      </c>
      <c r="AX13">
        <f>IF($A13="","",(2+MAX(0,ROUNDUP(($G13-1500)/500,0)))*$D13)</f>
        <v/>
      </c>
      <c r="AY13">
        <f>IF($A13="","",ROUND((2*2*($M13+$K13)*1*$D13+$S13*$T13)/1000,1))</f>
        <v/>
      </c>
    </row>
    <row r="14" ht="40.15" customHeight="1">
      <c r="A14" s="101" t="n"/>
      <c r="B14" s="102" t="n"/>
      <c r="C14" s="92" t="n"/>
      <c r="D14" s="103" t="n"/>
      <c r="E14" s="108">
        <f>IF($A14="","",$B14)</f>
        <v/>
      </c>
      <c r="F14" s="98">
        <f>IF($A14="","",$L$54*$D14)</f>
        <v/>
      </c>
      <c r="G14" s="108">
        <f>IF($A14="","",$C14-$E$55-$F$55)</f>
        <v/>
      </c>
      <c r="H14" s="98">
        <f>IF($A14="","",$L$55*$D14)</f>
        <v/>
      </c>
      <c r="I14" s="108">
        <f>IF($A14="","",$C14)</f>
        <v/>
      </c>
      <c r="J14" s="98">
        <f>IF($A14="","",$L$56*$D14)</f>
        <v/>
      </c>
      <c r="K14" s="108">
        <f>IF($A14="","",$B14-$E$57-$F$57-$G$57-$H$57)</f>
        <v/>
      </c>
      <c r="L14" s="98">
        <f>IF($A14="","",$L$57*$D14)</f>
        <v/>
      </c>
      <c r="M14" s="108">
        <f>IF($A14="","",(($C14-$E$58-$F$58-$G$58-$H$58)/2)+(78*1)/2)</f>
        <v/>
      </c>
      <c r="N14" s="98">
        <f>IF($A14="","",$L$58*$D14)</f>
        <v/>
      </c>
      <c r="O14" s="108">
        <f>IF($A14="","",$K14-$E$59-$F$59)</f>
        <v/>
      </c>
      <c r="P14" s="98">
        <f>IF($A14="","",$L$59*$D14)</f>
        <v/>
      </c>
      <c r="Q14" s="108">
        <f>IF($A14="","",$M14-$E$60-$F$60)</f>
        <v/>
      </c>
      <c r="R14" s="98">
        <f>IF($A14="","",$L$60*$D14)</f>
        <v/>
      </c>
      <c r="S14" s="108">
        <f>IF($A14="","",$K14)</f>
        <v/>
      </c>
      <c r="T14" s="98">
        <f>IF($A14="","",$L$61*$D14)</f>
        <v/>
      </c>
      <c r="U14" s="108">
        <f>IF($A14="","",$B14-$E$62-$F$62)</f>
        <v/>
      </c>
      <c r="V14" s="98">
        <f>IF($A14="","",$L$62*$D14)</f>
        <v/>
      </c>
      <c r="W14" s="108">
        <f>IF($A14="","",$C14-$E$63-$F$63)</f>
        <v/>
      </c>
      <c r="X14" s="98">
        <f>IF($A14="","",$L$63*$D14)</f>
        <v/>
      </c>
      <c r="Y14" s="108">
        <f>IF($A14="","",$B14-$E$64-$F$64)</f>
        <v/>
      </c>
      <c r="Z14" s="98">
        <f>IF($A14="","",$L$64*$D14)</f>
        <v/>
      </c>
      <c r="AA14" s="108">
        <f>IF($A14="","",$S14)</f>
        <v/>
      </c>
      <c r="AB14" s="98">
        <f>IF($A14="","",$L$65*$D14)</f>
        <v/>
      </c>
      <c r="AC14" s="108">
        <f>IF($A14="","",$C14)</f>
        <v/>
      </c>
      <c r="AD14" s="98">
        <f>IF($A14="","",$L$66*$D14)</f>
        <v/>
      </c>
      <c r="AE14" s="108">
        <f>IF($A14="","",$C14-$E$67-$F$67)</f>
        <v/>
      </c>
      <c r="AF14" s="98">
        <f>IF($A14="","",$L$67*$D14)</f>
        <v/>
      </c>
      <c r="AG14" s="108">
        <f>IF($A14="","",$C14-$M14-$E$68-$F$68-$G$68)</f>
        <v/>
      </c>
      <c r="AH14" s="98">
        <f>IF($A14="","",$L$68*$D14)</f>
        <v/>
      </c>
      <c r="AI14" s="105">
        <f>IF($A14="","",$K14-68-68)</f>
        <v/>
      </c>
      <c r="AJ14" s="106">
        <f>IF($A14="","",$M14-68-68)</f>
        <v/>
      </c>
      <c r="AK14" s="107">
        <f>IF($A14="","",2*1*$D14)</f>
        <v/>
      </c>
      <c r="AL14">
        <f>IF($A14="","",$BC$7*$D14)</f>
        <v/>
      </c>
      <c r="AM14">
        <f>IF($A14="","",$BC$6*$D14)</f>
        <v/>
      </c>
      <c r="AN14">
        <f>IF($A14="","",$BC$9*$D14)</f>
        <v/>
      </c>
      <c r="AO14">
        <f>IF($A14="","",$BC$10*$D14)</f>
        <v/>
      </c>
      <c r="AP14">
        <f>IF($A14="","",2*$BC$6*$D14)</f>
        <v/>
      </c>
      <c r="AQ14">
        <f>IF($A14="","",IF($B14&gt;2800,2,IF($B14&gt;1400,1,0))*$BC$6*$D14)</f>
        <v/>
      </c>
      <c r="AR14">
        <f>IF($A14="","",2*$BC$6*$D14)</f>
        <v/>
      </c>
      <c r="AS14">
        <f>IF($A14="","",$BC$6*$D14)</f>
        <v/>
      </c>
      <c r="AT14">
        <f>IF($A14="","",2*$BC$6*$D14)</f>
        <v/>
      </c>
      <c r="AU14">
        <f>IF($A14="","",4*1*$D14)</f>
        <v/>
      </c>
      <c r="AV14">
        <f>IF($A14="","",16*1*$D14)</f>
        <v/>
      </c>
      <c r="AW14">
        <f>IF($A14="","",(2+MAX(0,ROUNDUP(($G14-1500)/500,0)))*$D14)</f>
        <v/>
      </c>
      <c r="AX14">
        <f>IF($A14="","",(2+MAX(0,ROUNDUP(($G14-1500)/500,0)))*$D14)</f>
        <v/>
      </c>
      <c r="AY14">
        <f>IF($A14="","",ROUND((2*2*($M14+$K14)*1*$D14+$S14*$T14)/1000,1))</f>
        <v/>
      </c>
    </row>
    <row r="15" ht="40.15" customHeight="1">
      <c r="A15" s="101" t="n"/>
      <c r="B15" s="102" t="n"/>
      <c r="C15" s="92" t="n"/>
      <c r="D15" s="103" t="n"/>
      <c r="E15" s="104">
        <f>IF($A15="","",$B15)</f>
        <v/>
      </c>
      <c r="F15" s="92">
        <f>IF($A15="","",$L$54*$D15)</f>
        <v/>
      </c>
      <c r="G15" s="104">
        <f>IF($A15="","",$C15-$E$55-$F$55)</f>
        <v/>
      </c>
      <c r="H15" s="92">
        <f>IF($A15="","",$L$55*$D15)</f>
        <v/>
      </c>
      <c r="I15" s="104">
        <f>IF($A15="","",$C15)</f>
        <v/>
      </c>
      <c r="J15" s="92">
        <f>IF($A15="","",$L$56*$D15)</f>
        <v/>
      </c>
      <c r="K15" s="104">
        <f>IF($A15="","",$B15-$E$57-$F$57-$G$57-$H$57)</f>
        <v/>
      </c>
      <c r="L15" s="92">
        <f>IF($A15="","",$L$57*$D15)</f>
        <v/>
      </c>
      <c r="M15" s="104">
        <f>IF($A15="","",(($C15-$E$58-$F$58-$G$58-$H$58)/2)+(78*1)/2)</f>
        <v/>
      </c>
      <c r="N15" s="92">
        <f>IF($A15="","",$L$58*$D15)</f>
        <v/>
      </c>
      <c r="O15" s="104">
        <f>IF($A15="","",$K15-$E$59-$F$59)</f>
        <v/>
      </c>
      <c r="P15" s="92">
        <f>IF($A15="","",$L$59*$D15)</f>
        <v/>
      </c>
      <c r="Q15" s="104">
        <f>IF($A15="","",$M15-$E$60-$F$60)</f>
        <v/>
      </c>
      <c r="R15" s="92">
        <f>IF($A15="","",$L$60*$D15)</f>
        <v/>
      </c>
      <c r="S15" s="104">
        <f>IF($A15="","",$K15)</f>
        <v/>
      </c>
      <c r="T15" s="92">
        <f>IF($A15="","",$L$61*$D15)</f>
        <v/>
      </c>
      <c r="U15" s="104">
        <f>IF($A15="","",$B15-$E$62-$F$62)</f>
        <v/>
      </c>
      <c r="V15" s="92">
        <f>IF($A15="","",$L$62*$D15)</f>
        <v/>
      </c>
      <c r="W15" s="104">
        <f>IF($A15="","",$C15-$E$63-$F$63)</f>
        <v/>
      </c>
      <c r="X15" s="92">
        <f>IF($A15="","",$L$63*$D15)</f>
        <v/>
      </c>
      <c r="Y15" s="104">
        <f>IF($A15="","",$B15-$E$64-$F$64)</f>
        <v/>
      </c>
      <c r="Z15" s="92">
        <f>IF($A15="","",$L$64*$D15)</f>
        <v/>
      </c>
      <c r="AA15" s="104">
        <f>IF($A15="","",$S15)</f>
        <v/>
      </c>
      <c r="AB15" s="92">
        <f>IF($A15="","",$L$65*$D15)</f>
        <v/>
      </c>
      <c r="AC15" s="104">
        <f>IF($A15="","",$C15)</f>
        <v/>
      </c>
      <c r="AD15" s="92">
        <f>IF($A15="","",$L$66*$D15)</f>
        <v/>
      </c>
      <c r="AE15" s="104">
        <f>IF($A15="","",$C15-$E$67-$F$67)</f>
        <v/>
      </c>
      <c r="AF15" s="92">
        <f>IF($A15="","",$L$67*$D15)</f>
        <v/>
      </c>
      <c r="AG15" s="104">
        <f>IF($A15="","",$C15-$M15-$E$68-$F$68-$G$68)</f>
        <v/>
      </c>
      <c r="AH15" s="92">
        <f>IF($A15="","",$L$68*$D15)</f>
        <v/>
      </c>
      <c r="AI15" s="105">
        <f>IF($A15="","",$K15-68-68)</f>
        <v/>
      </c>
      <c r="AJ15" s="106">
        <f>IF($A15="","",$M15-68-68)</f>
        <v/>
      </c>
      <c r="AK15" s="107">
        <f>IF($A15="","",2*1*$D15)</f>
        <v/>
      </c>
      <c r="AL15">
        <f>IF($A15="","",$BC$7*$D15)</f>
        <v/>
      </c>
      <c r="AM15">
        <f>IF($A15="","",$BC$6*$D15)</f>
        <v/>
      </c>
      <c r="AN15">
        <f>IF($A15="","",$BC$9*$D15)</f>
        <v/>
      </c>
      <c r="AO15">
        <f>IF($A15="","",$BC$10*$D15)</f>
        <v/>
      </c>
      <c r="AP15">
        <f>IF($A15="","",2*$BC$6*$D15)</f>
        <v/>
      </c>
      <c r="AQ15">
        <f>IF($A15="","",IF($B15&gt;2800,2,IF($B15&gt;1400,1,0))*$BC$6*$D15)</f>
        <v/>
      </c>
      <c r="AR15">
        <f>IF($A15="","",2*$BC$6*$D15)</f>
        <v/>
      </c>
      <c r="AS15">
        <f>IF($A15="","",$BC$6*$D15)</f>
        <v/>
      </c>
      <c r="AT15">
        <f>IF($A15="","",2*$BC$6*$D15)</f>
        <v/>
      </c>
      <c r="AU15">
        <f>IF($A15="","",4*1*$D15)</f>
        <v/>
      </c>
      <c r="AV15">
        <f>IF($A15="","",16*1*$D15)</f>
        <v/>
      </c>
      <c r="AW15">
        <f>IF($A15="","",(2+MAX(0,ROUNDUP(($G15-1500)/500,0)))*$D15)</f>
        <v/>
      </c>
      <c r="AX15">
        <f>IF($A15="","",(2+MAX(0,ROUNDUP(($G15-1500)/500,0)))*$D15)</f>
        <v/>
      </c>
      <c r="AY15">
        <f>IF($A15="","",ROUND((2*2*($M15+$K15)*1*$D15+$S15*$T15)/1000,1))</f>
        <v/>
      </c>
    </row>
    <row r="16" ht="40.15" customHeight="1">
      <c r="A16" s="101" t="n"/>
      <c r="B16" s="102" t="n"/>
      <c r="C16" s="92" t="n"/>
      <c r="D16" s="103" t="n"/>
      <c r="E16" s="108">
        <f>IF($A16="","",$B16)</f>
        <v/>
      </c>
      <c r="F16" s="98">
        <f>IF($A16="","",$L$54*$D16)</f>
        <v/>
      </c>
      <c r="G16" s="108">
        <f>IF($A16="","",$C16-$E$55-$F$55)</f>
        <v/>
      </c>
      <c r="H16" s="98">
        <f>IF($A16="","",$L$55*$D16)</f>
        <v/>
      </c>
      <c r="I16" s="108">
        <f>IF($A16="","",$C16)</f>
        <v/>
      </c>
      <c r="J16" s="98">
        <f>IF($A16="","",$L$56*$D16)</f>
        <v/>
      </c>
      <c r="K16" s="108">
        <f>IF($A16="","",$B16-$E$57-$F$57-$G$57-$H$57)</f>
        <v/>
      </c>
      <c r="L16" s="98">
        <f>IF($A16="","",$L$57*$D16)</f>
        <v/>
      </c>
      <c r="M16" s="108">
        <f>IF($A16="","",(($C16-$E$58-$F$58-$G$58-$H$58)/2)+(78*1)/2)</f>
        <v/>
      </c>
      <c r="N16" s="98">
        <f>IF($A16="","",$L$58*$D16)</f>
        <v/>
      </c>
      <c r="O16" s="108">
        <f>IF($A16="","",$K16-$E$59-$F$59)</f>
        <v/>
      </c>
      <c r="P16" s="98">
        <f>IF($A16="","",$L$59*$D16)</f>
        <v/>
      </c>
      <c r="Q16" s="108">
        <f>IF($A16="","",$M16-$E$60-$F$60)</f>
        <v/>
      </c>
      <c r="R16" s="98">
        <f>IF($A16="","",$L$60*$D16)</f>
        <v/>
      </c>
      <c r="S16" s="108">
        <f>IF($A16="","",$K16)</f>
        <v/>
      </c>
      <c r="T16" s="98">
        <f>IF($A16="","",$L$61*$D16)</f>
        <v/>
      </c>
      <c r="U16" s="108">
        <f>IF($A16="","",$B16-$E$62-$F$62)</f>
        <v/>
      </c>
      <c r="V16" s="98">
        <f>IF($A16="","",$L$62*$D16)</f>
        <v/>
      </c>
      <c r="W16" s="108">
        <f>IF($A16="","",$C16-$E$63-$F$63)</f>
        <v/>
      </c>
      <c r="X16" s="98">
        <f>IF($A16="","",$L$63*$D16)</f>
        <v/>
      </c>
      <c r="Y16" s="108">
        <f>IF($A16="","",$B16-$E$64-$F$64)</f>
        <v/>
      </c>
      <c r="Z16" s="98">
        <f>IF($A16="","",$L$64*$D16)</f>
        <v/>
      </c>
      <c r="AA16" s="108">
        <f>IF($A16="","",$S16)</f>
        <v/>
      </c>
      <c r="AB16" s="98">
        <f>IF($A16="","",$L$65*$D16)</f>
        <v/>
      </c>
      <c r="AC16" s="108">
        <f>IF($A16="","",$C16)</f>
        <v/>
      </c>
      <c r="AD16" s="98">
        <f>IF($A16="","",$L$66*$D16)</f>
        <v/>
      </c>
      <c r="AE16" s="108">
        <f>IF($A16="","",$C16-$E$67-$F$67)</f>
        <v/>
      </c>
      <c r="AF16" s="98">
        <f>IF($A16="","",$L$67*$D16)</f>
        <v/>
      </c>
      <c r="AG16" s="108">
        <f>IF($A16="","",$C16-$M16-$E$68-$F$68-$G$68)</f>
        <v/>
      </c>
      <c r="AH16" s="98">
        <f>IF($A16="","",$L$68*$D16)</f>
        <v/>
      </c>
      <c r="AI16" s="105">
        <f>IF($A16="","",$K16-68-68)</f>
        <v/>
      </c>
      <c r="AJ16" s="106">
        <f>IF($A16="","",$M16-68-68)</f>
        <v/>
      </c>
      <c r="AK16" s="107">
        <f>IF($A16="","",2*1*$D16)</f>
        <v/>
      </c>
      <c r="AL16">
        <f>IF($A16="","",$BC$7*$D16)</f>
        <v/>
      </c>
      <c r="AM16">
        <f>IF($A16="","",$BC$6*$D16)</f>
        <v/>
      </c>
      <c r="AN16">
        <f>IF($A16="","",$BC$9*$D16)</f>
        <v/>
      </c>
      <c r="AO16">
        <f>IF($A16="","",$BC$10*$D16)</f>
        <v/>
      </c>
      <c r="AP16">
        <f>IF($A16="","",2*$BC$6*$D16)</f>
        <v/>
      </c>
      <c r="AQ16">
        <f>IF($A16="","",IF($B16&gt;2800,2,IF($B16&gt;1400,1,0))*$BC$6*$D16)</f>
        <v/>
      </c>
      <c r="AR16">
        <f>IF($A16="","",2*$BC$6*$D16)</f>
        <v/>
      </c>
      <c r="AS16">
        <f>IF($A16="","",$BC$6*$D16)</f>
        <v/>
      </c>
      <c r="AT16">
        <f>IF($A16="","",2*$BC$6*$D16)</f>
        <v/>
      </c>
      <c r="AU16">
        <f>IF($A16="","",4*1*$D16)</f>
        <v/>
      </c>
      <c r="AV16">
        <f>IF($A16="","",16*1*$D16)</f>
        <v/>
      </c>
      <c r="AW16">
        <f>IF($A16="","",(2+MAX(0,ROUNDUP(($G16-1500)/500,0)))*$D16)</f>
        <v/>
      </c>
      <c r="AX16">
        <f>IF($A16="","",(2+MAX(0,ROUNDUP(($G16-1500)/500,0)))*$D16)</f>
        <v/>
      </c>
      <c r="AY16">
        <f>IF($A16="","",ROUND((2*2*($M16+$K16)*1*$D16+$S16*$T16)/1000,1))</f>
        <v/>
      </c>
    </row>
    <row r="17" ht="40.15" customHeight="1">
      <c r="A17" s="101" t="n"/>
      <c r="B17" s="102" t="n"/>
      <c r="C17" s="92" t="n"/>
      <c r="D17" s="103" t="n"/>
      <c r="E17" s="104">
        <f>IF($A17="","",$B17)</f>
        <v/>
      </c>
      <c r="F17" s="92">
        <f>IF($A17="","",$L$54*$D17)</f>
        <v/>
      </c>
      <c r="G17" s="104">
        <f>IF($A17="","",$C17-$E$55-$F$55)</f>
        <v/>
      </c>
      <c r="H17" s="92">
        <f>IF($A17="","",$L$55*$D17)</f>
        <v/>
      </c>
      <c r="I17" s="104">
        <f>IF($A17="","",$C17)</f>
        <v/>
      </c>
      <c r="J17" s="92">
        <f>IF($A17="","",$L$56*$D17)</f>
        <v/>
      </c>
      <c r="K17" s="104">
        <f>IF($A17="","",$B17-$E$57-$F$57-$G$57-$H$57)</f>
        <v/>
      </c>
      <c r="L17" s="92">
        <f>IF($A17="","",$L$57*$D17)</f>
        <v/>
      </c>
      <c r="M17" s="104">
        <f>IF($A17="","",(($C17-$E$58-$F$58-$G$58-$H$58)/2)+(78*1)/2)</f>
        <v/>
      </c>
      <c r="N17" s="92">
        <f>IF($A17="","",$L$58*$D17)</f>
        <v/>
      </c>
      <c r="O17" s="104">
        <f>IF($A17="","",$K17-$E$59-$F$59)</f>
        <v/>
      </c>
      <c r="P17" s="92">
        <f>IF($A17="","",$L$59*$D17)</f>
        <v/>
      </c>
      <c r="Q17" s="104">
        <f>IF($A17="","",$M17-$E$60-$F$60)</f>
        <v/>
      </c>
      <c r="R17" s="92">
        <f>IF($A17="","",$L$60*$D17)</f>
        <v/>
      </c>
      <c r="S17" s="104">
        <f>IF($A17="","",$K17)</f>
        <v/>
      </c>
      <c r="T17" s="92">
        <f>IF($A17="","",$L$61*$D17)</f>
        <v/>
      </c>
      <c r="U17" s="104">
        <f>IF($A17="","",$B17-$E$62-$F$62)</f>
        <v/>
      </c>
      <c r="V17" s="92">
        <f>IF($A17="","",$L$62*$D17)</f>
        <v/>
      </c>
      <c r="W17" s="104">
        <f>IF($A17="","",$C17-$E$63-$F$63)</f>
        <v/>
      </c>
      <c r="X17" s="92">
        <f>IF($A17="","",$L$63*$D17)</f>
        <v/>
      </c>
      <c r="Y17" s="104">
        <f>IF($A17="","",$B17-$E$64-$F$64)</f>
        <v/>
      </c>
      <c r="Z17" s="92">
        <f>IF($A17="","",$L$64*$D17)</f>
        <v/>
      </c>
      <c r="AA17" s="104">
        <f>IF($A17="","",$S17)</f>
        <v/>
      </c>
      <c r="AB17" s="92">
        <f>IF($A17="","",$L$65*$D17)</f>
        <v/>
      </c>
      <c r="AC17" s="104">
        <f>IF($A17="","",$C17)</f>
        <v/>
      </c>
      <c r="AD17" s="92">
        <f>IF($A17="","",$L$66*$D17)</f>
        <v/>
      </c>
      <c r="AE17" s="104">
        <f>IF($A17="","",$C17-$E$67-$F$67)</f>
        <v/>
      </c>
      <c r="AF17" s="92">
        <f>IF($A17="","",$L$67*$D17)</f>
        <v/>
      </c>
      <c r="AG17" s="104">
        <f>IF($A17="","",$C17-$M17-$E$68-$F$68-$G$68)</f>
        <v/>
      </c>
      <c r="AH17" s="92">
        <f>IF($A17="","",$L$68*$D17)</f>
        <v/>
      </c>
      <c r="AI17" s="105">
        <f>IF($A17="","",$K17-68-68)</f>
        <v/>
      </c>
      <c r="AJ17" s="106">
        <f>IF($A17="","",$M17-68-68)</f>
        <v/>
      </c>
      <c r="AK17" s="107">
        <f>IF($A17="","",2*1*$D17)</f>
        <v/>
      </c>
      <c r="AL17">
        <f>IF($A17="","",$BC$7*$D17)</f>
        <v/>
      </c>
      <c r="AM17">
        <f>IF($A17="","",$BC$6*$D17)</f>
        <v/>
      </c>
      <c r="AN17">
        <f>IF($A17="","",$BC$9*$D17)</f>
        <v/>
      </c>
      <c r="AO17">
        <f>IF($A17="","",$BC$10*$D17)</f>
        <v/>
      </c>
      <c r="AP17">
        <f>IF($A17="","",2*$BC$6*$D17)</f>
        <v/>
      </c>
      <c r="AQ17">
        <f>IF($A17="","",IF($B17&gt;2800,2,IF($B17&gt;1400,1,0))*$BC$6*$D17)</f>
        <v/>
      </c>
      <c r="AR17">
        <f>IF($A17="","",2*$BC$6*$D17)</f>
        <v/>
      </c>
      <c r="AS17">
        <f>IF($A17="","",$BC$6*$D17)</f>
        <v/>
      </c>
      <c r="AT17">
        <f>IF($A17="","",2*$BC$6*$D17)</f>
        <v/>
      </c>
      <c r="AU17">
        <f>IF($A17="","",4*1*$D17)</f>
        <v/>
      </c>
      <c r="AV17">
        <f>IF($A17="","",16*1*$D17)</f>
        <v/>
      </c>
      <c r="AW17">
        <f>IF($A17="","",(2+MAX(0,ROUNDUP(($G17-1500)/500,0)))*$D17)</f>
        <v/>
      </c>
      <c r="AX17">
        <f>IF($A17="","",(2+MAX(0,ROUNDUP(($G17-1500)/500,0)))*$D17)</f>
        <v/>
      </c>
      <c r="AY17">
        <f>IF($A17="","",ROUND((2*2*($M17+$K17)*1*$D17+$S17*$T17)/1000,1))</f>
        <v/>
      </c>
    </row>
    <row r="18" ht="40.15" customHeight="1">
      <c r="A18" s="101" t="n"/>
      <c r="B18" s="102" t="n"/>
      <c r="C18" s="92" t="n"/>
      <c r="D18" s="103" t="n"/>
      <c r="E18" s="108">
        <f>IF($A18="","",$B18)</f>
        <v/>
      </c>
      <c r="F18" s="98">
        <f>IF($A18="","",$L$54*$D18)</f>
        <v/>
      </c>
      <c r="G18" s="108">
        <f>IF($A18="","",$C18-$E$55-$F$55)</f>
        <v/>
      </c>
      <c r="H18" s="98">
        <f>IF($A18="","",$L$55*$D18)</f>
        <v/>
      </c>
      <c r="I18" s="108">
        <f>IF($A18="","",$C18)</f>
        <v/>
      </c>
      <c r="J18" s="98">
        <f>IF($A18="","",$L$56*$D18)</f>
        <v/>
      </c>
      <c r="K18" s="108">
        <f>IF($A18="","",$B18-$E$57-$F$57-$G$57-$H$57)</f>
        <v/>
      </c>
      <c r="L18" s="98">
        <f>IF($A18="","",$L$57*$D18)</f>
        <v/>
      </c>
      <c r="M18" s="108">
        <f>IF($A18="","",(($C18-$E$58-$F$58-$G$58-$H$58)/2)+(78*1)/2)</f>
        <v/>
      </c>
      <c r="N18" s="98">
        <f>IF($A18="","",$L$58*$D18)</f>
        <v/>
      </c>
      <c r="O18" s="108">
        <f>IF($A18="","",$K18-$E$59-$F$59)</f>
        <v/>
      </c>
      <c r="P18" s="98">
        <f>IF($A18="","",$L$59*$D18)</f>
        <v/>
      </c>
      <c r="Q18" s="108">
        <f>IF($A18="","",$M18-$E$60-$F$60)</f>
        <v/>
      </c>
      <c r="R18" s="98">
        <f>IF($A18="","",$L$60*$D18)</f>
        <v/>
      </c>
      <c r="S18" s="108">
        <f>IF($A18="","",$K18)</f>
        <v/>
      </c>
      <c r="T18" s="98">
        <f>IF($A18="","",$L$61*$D18)</f>
        <v/>
      </c>
      <c r="U18" s="108">
        <f>IF($A18="","",$B18-$E$62-$F$62)</f>
        <v/>
      </c>
      <c r="V18" s="98">
        <f>IF($A18="","",$L$62*$D18)</f>
        <v/>
      </c>
      <c r="W18" s="108">
        <f>IF($A18="","",$C18-$E$63-$F$63)</f>
        <v/>
      </c>
      <c r="X18" s="98">
        <f>IF($A18="","",$L$63*$D18)</f>
        <v/>
      </c>
      <c r="Y18" s="108">
        <f>IF($A18="","",$B18-$E$64-$F$64)</f>
        <v/>
      </c>
      <c r="Z18" s="98">
        <f>IF($A18="","",$L$64*$D18)</f>
        <v/>
      </c>
      <c r="AA18" s="108">
        <f>IF($A18="","",$S18)</f>
        <v/>
      </c>
      <c r="AB18" s="98">
        <f>IF($A18="","",$L$65*$D18)</f>
        <v/>
      </c>
      <c r="AC18" s="108">
        <f>IF($A18="","",$C18)</f>
        <v/>
      </c>
      <c r="AD18" s="98">
        <f>IF($A18="","",$L$66*$D18)</f>
        <v/>
      </c>
      <c r="AE18" s="108">
        <f>IF($A18="","",$C18-$E$67-$F$67)</f>
        <v/>
      </c>
      <c r="AF18" s="98">
        <f>IF($A18="","",$L$67*$D18)</f>
        <v/>
      </c>
      <c r="AG18" s="108">
        <f>IF($A18="","",$C18-$M18-$E$68-$F$68-$G$68)</f>
        <v/>
      </c>
      <c r="AH18" s="98">
        <f>IF($A18="","",$L$68*$D18)</f>
        <v/>
      </c>
      <c r="AI18" s="105">
        <f>IF($A18="","",$K18-68-68)</f>
        <v/>
      </c>
      <c r="AJ18" s="106">
        <f>IF($A18="","",$M18-68-68)</f>
        <v/>
      </c>
      <c r="AK18" s="107">
        <f>IF($A18="","",2*1*$D18)</f>
        <v/>
      </c>
      <c r="AL18">
        <f>IF($A18="","",$BC$7*$D18)</f>
        <v/>
      </c>
      <c r="AM18">
        <f>IF($A18="","",$BC$6*$D18)</f>
        <v/>
      </c>
      <c r="AN18">
        <f>IF($A18="","",$BC$9*$D18)</f>
        <v/>
      </c>
      <c r="AO18">
        <f>IF($A18="","",$BC$10*$D18)</f>
        <v/>
      </c>
      <c r="AP18">
        <f>IF($A18="","",2*$BC$6*$D18)</f>
        <v/>
      </c>
      <c r="AQ18">
        <f>IF($A18="","",IF($B18&gt;2800,2,IF($B18&gt;1400,1,0))*$BC$6*$D18)</f>
        <v/>
      </c>
      <c r="AR18">
        <f>IF($A18="","",2*$BC$6*$D18)</f>
        <v/>
      </c>
      <c r="AS18">
        <f>IF($A18="","",$BC$6*$D18)</f>
        <v/>
      </c>
      <c r="AT18">
        <f>IF($A18="","",2*$BC$6*$D18)</f>
        <v/>
      </c>
      <c r="AU18">
        <f>IF($A18="","",4*1*$D18)</f>
        <v/>
      </c>
      <c r="AV18">
        <f>IF($A18="","",16*1*$D18)</f>
        <v/>
      </c>
      <c r="AW18">
        <f>IF($A18="","",(2+MAX(0,ROUNDUP(($G18-1500)/500,0)))*$D18)</f>
        <v/>
      </c>
      <c r="AX18">
        <f>IF($A18="","",(2+MAX(0,ROUNDUP(($G18-1500)/500,0)))*$D18)</f>
        <v/>
      </c>
      <c r="AY18">
        <f>IF($A18="","",ROUND((2*2*($M18+$K18)*1*$D18+$S18*$T18)/1000,1))</f>
        <v/>
      </c>
    </row>
    <row r="19" ht="40.15" customHeight="1">
      <c r="A19" s="101" t="n"/>
      <c r="B19" s="102" t="n"/>
      <c r="C19" s="92" t="n"/>
      <c r="D19" s="103" t="n"/>
      <c r="E19" s="104">
        <f>IF($A19="","",$B19)</f>
        <v/>
      </c>
      <c r="F19" s="92">
        <f>IF($A19="","",$L$54*$D19)</f>
        <v/>
      </c>
      <c r="G19" s="104">
        <f>IF($A19="","",$C19-$E$55-$F$55)</f>
        <v/>
      </c>
      <c r="H19" s="92">
        <f>IF($A19="","",$L$55*$D19)</f>
        <v/>
      </c>
      <c r="I19" s="104">
        <f>IF($A19="","",$C19)</f>
        <v/>
      </c>
      <c r="J19" s="92">
        <f>IF($A19="","",$L$56*$D19)</f>
        <v/>
      </c>
      <c r="K19" s="104">
        <f>IF($A19="","",$B19-$E$57-$F$57-$G$57-$H$57)</f>
        <v/>
      </c>
      <c r="L19" s="92">
        <f>IF($A19="","",$L$57*$D19)</f>
        <v/>
      </c>
      <c r="M19" s="104">
        <f>IF($A19="","",(($C19-$E$58-$F$58-$G$58-$H$58)/2)+(78*1)/2)</f>
        <v/>
      </c>
      <c r="N19" s="92">
        <f>IF($A19="","",$L$58*$D19)</f>
        <v/>
      </c>
      <c r="O19" s="104">
        <f>IF($A19="","",$K19-$E$59-$F$59)</f>
        <v/>
      </c>
      <c r="P19" s="92">
        <f>IF($A19="","",$L$59*$D19)</f>
        <v/>
      </c>
      <c r="Q19" s="104">
        <f>IF($A19="","",$M19-$E$60-$F$60)</f>
        <v/>
      </c>
      <c r="R19" s="92">
        <f>IF($A19="","",$L$60*$D19)</f>
        <v/>
      </c>
      <c r="S19" s="104">
        <f>IF($A19="","",$K19)</f>
        <v/>
      </c>
      <c r="T19" s="92">
        <f>IF($A19="","",$L$61*$D19)</f>
        <v/>
      </c>
      <c r="U19" s="104">
        <f>IF($A19="","",$B19-$E$62-$F$62)</f>
        <v/>
      </c>
      <c r="V19" s="92">
        <f>IF($A19="","",$L$62*$D19)</f>
        <v/>
      </c>
      <c r="W19" s="104">
        <f>IF($A19="","",$C19-$E$63-$F$63)</f>
        <v/>
      </c>
      <c r="X19" s="92">
        <f>IF($A19="","",$L$63*$D19)</f>
        <v/>
      </c>
      <c r="Y19" s="104">
        <f>IF($A19="","",$B19-$E$64-$F$64)</f>
        <v/>
      </c>
      <c r="Z19" s="92">
        <f>IF($A19="","",$L$64*$D19)</f>
        <v/>
      </c>
      <c r="AA19" s="104">
        <f>IF($A19="","",$S19)</f>
        <v/>
      </c>
      <c r="AB19" s="92">
        <f>IF($A19="","",$L$65*$D19)</f>
        <v/>
      </c>
      <c r="AC19" s="104">
        <f>IF($A19="","",$C19)</f>
        <v/>
      </c>
      <c r="AD19" s="92">
        <f>IF($A19="","",$L$66*$D19)</f>
        <v/>
      </c>
      <c r="AE19" s="104">
        <f>IF($A19="","",$C19-$E$67-$F$67)</f>
        <v/>
      </c>
      <c r="AF19" s="92">
        <f>IF($A19="","",$L$67*$D19)</f>
        <v/>
      </c>
      <c r="AG19" s="104">
        <f>IF($A19="","",$C19-$M19-$E$68-$F$68-$G$68)</f>
        <v/>
      </c>
      <c r="AH19" s="92">
        <f>IF($A19="","",$L$68*$D19)</f>
        <v/>
      </c>
      <c r="AI19" s="105">
        <f>IF($A19="","",$K19-68-68)</f>
        <v/>
      </c>
      <c r="AJ19" s="106">
        <f>IF($A19="","",$M19-68-68)</f>
        <v/>
      </c>
      <c r="AK19" s="107">
        <f>IF($A19="","",2*1*$D19)</f>
        <v/>
      </c>
      <c r="AL19">
        <f>IF($A19="","",$BC$7*$D19)</f>
        <v/>
      </c>
      <c r="AM19">
        <f>IF($A19="","",$BC$6*$D19)</f>
        <v/>
      </c>
      <c r="AN19">
        <f>IF($A19="","",$BC$9*$D19)</f>
        <v/>
      </c>
      <c r="AO19">
        <f>IF($A19="","",$BC$10*$D19)</f>
        <v/>
      </c>
      <c r="AP19">
        <f>IF($A19="","",2*$BC$6*$D19)</f>
        <v/>
      </c>
      <c r="AQ19">
        <f>IF($A19="","",IF($B19&gt;2800,2,IF($B19&gt;1400,1,0))*$BC$6*$D19)</f>
        <v/>
      </c>
      <c r="AR19">
        <f>IF($A19="","",2*$BC$6*$D19)</f>
        <v/>
      </c>
      <c r="AS19">
        <f>IF($A19="","",$BC$6*$D19)</f>
        <v/>
      </c>
      <c r="AT19">
        <f>IF($A19="","",2*$BC$6*$D19)</f>
        <v/>
      </c>
      <c r="AU19">
        <f>IF($A19="","",4*1*$D19)</f>
        <v/>
      </c>
      <c r="AV19">
        <f>IF($A19="","",16*1*$D19)</f>
        <v/>
      </c>
      <c r="AW19">
        <f>IF($A19="","",(2+MAX(0,ROUNDUP(($G19-1500)/500,0)))*$D19)</f>
        <v/>
      </c>
      <c r="AX19">
        <f>IF($A19="","",(2+MAX(0,ROUNDUP(($G19-1500)/500,0)))*$D19)</f>
        <v/>
      </c>
      <c r="AY19">
        <f>IF($A19="","",ROUND((2*2*($M19+$K19)*1*$D19+$S19*$T19)/1000,1))</f>
        <v/>
      </c>
    </row>
    <row r="20" ht="40.15" customHeight="1">
      <c r="A20" s="101" t="n"/>
      <c r="B20" s="102" t="n"/>
      <c r="C20" s="92" t="n"/>
      <c r="D20" s="103" t="n"/>
      <c r="E20" s="108">
        <f>IF($A20="","",$B20)</f>
        <v/>
      </c>
      <c r="F20" s="98">
        <f>IF($A20="","",$L$54*$D20)</f>
        <v/>
      </c>
      <c r="G20" s="108">
        <f>IF($A20="","",$C20-$E$55-$F$55)</f>
        <v/>
      </c>
      <c r="H20" s="98">
        <f>IF($A20="","",$L$55*$D20)</f>
        <v/>
      </c>
      <c r="I20" s="108">
        <f>IF($A20="","",$C20)</f>
        <v/>
      </c>
      <c r="J20" s="98">
        <f>IF($A20="","",$L$56*$D20)</f>
        <v/>
      </c>
      <c r="K20" s="108">
        <f>IF($A20="","",$B20-$E$57-$F$57-$G$57-$H$57)</f>
        <v/>
      </c>
      <c r="L20" s="98">
        <f>IF($A20="","",$L$57*$D20)</f>
        <v/>
      </c>
      <c r="M20" s="108">
        <f>IF($A20="","",(($C20-$E$58-$F$58-$G$58-$H$58)/2)+(78*1)/2)</f>
        <v/>
      </c>
      <c r="N20" s="98">
        <f>IF($A20="","",$L$58*$D20)</f>
        <v/>
      </c>
      <c r="O20" s="108">
        <f>IF($A20="","",$K20-$E$59-$F$59)</f>
        <v/>
      </c>
      <c r="P20" s="98">
        <f>IF($A20="","",$L$59*$D20)</f>
        <v/>
      </c>
      <c r="Q20" s="108">
        <f>IF($A20="","",$M20-$E$60-$F$60)</f>
        <v/>
      </c>
      <c r="R20" s="98">
        <f>IF($A20="","",$L$60*$D20)</f>
        <v/>
      </c>
      <c r="S20" s="108">
        <f>IF($A20="","",$K20)</f>
        <v/>
      </c>
      <c r="T20" s="98">
        <f>IF($A20="","",$L$61*$D20)</f>
        <v/>
      </c>
      <c r="U20" s="108">
        <f>IF($A20="","",$B20-$E$62-$F$62)</f>
        <v/>
      </c>
      <c r="V20" s="98">
        <f>IF($A20="","",$L$62*$D20)</f>
        <v/>
      </c>
      <c r="W20" s="108">
        <f>IF($A20="","",$C20-$E$63-$F$63)</f>
        <v/>
      </c>
      <c r="X20" s="98">
        <f>IF($A20="","",$L$63*$D20)</f>
        <v/>
      </c>
      <c r="Y20" s="108">
        <f>IF($A20="","",$B20-$E$64-$F$64)</f>
        <v/>
      </c>
      <c r="Z20" s="98">
        <f>IF($A20="","",$L$64*$D20)</f>
        <v/>
      </c>
      <c r="AA20" s="108">
        <f>IF($A20="","",$S20)</f>
        <v/>
      </c>
      <c r="AB20" s="98">
        <f>IF($A20="","",$L$65*$D20)</f>
        <v/>
      </c>
      <c r="AC20" s="108">
        <f>IF($A20="","",$C20)</f>
        <v/>
      </c>
      <c r="AD20" s="98">
        <f>IF($A20="","",$L$66*$D20)</f>
        <v/>
      </c>
      <c r="AE20" s="108">
        <f>IF($A20="","",$C20-$E$67-$F$67)</f>
        <v/>
      </c>
      <c r="AF20" s="98">
        <f>IF($A20="","",$L$67*$D20)</f>
        <v/>
      </c>
      <c r="AG20" s="108">
        <f>IF($A20="","",$C20-$M20-$E$68-$F$68-$G$68)</f>
        <v/>
      </c>
      <c r="AH20" s="98">
        <f>IF($A20="","",$L$68*$D20)</f>
        <v/>
      </c>
      <c r="AI20" s="105">
        <f>IF($A20="","",$K20-68-68)</f>
        <v/>
      </c>
      <c r="AJ20" s="106">
        <f>IF($A20="","",$M20-68-68)</f>
        <v/>
      </c>
      <c r="AK20" s="107">
        <f>IF($A20="","",2*1*$D20)</f>
        <v/>
      </c>
      <c r="AL20">
        <f>IF($A20="","",$BC$7*$D20)</f>
        <v/>
      </c>
      <c r="AM20">
        <f>IF($A20="","",$BC$6*$D20)</f>
        <v/>
      </c>
      <c r="AN20">
        <f>IF($A20="","",$BC$9*$D20)</f>
        <v/>
      </c>
      <c r="AO20">
        <f>IF($A20="","",$BC$10*$D20)</f>
        <v/>
      </c>
      <c r="AP20">
        <f>IF($A20="","",2*$BC$6*$D20)</f>
        <v/>
      </c>
      <c r="AQ20">
        <f>IF($A20="","",IF($B20&gt;2800,2,IF($B20&gt;1400,1,0))*$BC$6*$D20)</f>
        <v/>
      </c>
      <c r="AR20">
        <f>IF($A20="","",2*$BC$6*$D20)</f>
        <v/>
      </c>
      <c r="AS20">
        <f>IF($A20="","",$BC$6*$D20)</f>
        <v/>
      </c>
      <c r="AT20">
        <f>IF($A20="","",2*$BC$6*$D20)</f>
        <v/>
      </c>
      <c r="AU20">
        <f>IF($A20="","",4*1*$D20)</f>
        <v/>
      </c>
      <c r="AV20">
        <f>IF($A20="","",16*1*$D20)</f>
        <v/>
      </c>
      <c r="AW20">
        <f>IF($A20="","",(2+MAX(0,ROUNDUP(($G20-1500)/500,0)))*$D20)</f>
        <v/>
      </c>
      <c r="AX20">
        <f>IF($A20="","",(2+MAX(0,ROUNDUP(($G20-1500)/500,0)))*$D20)</f>
        <v/>
      </c>
      <c r="AY20">
        <f>IF($A20="","",ROUND((2*2*($M20+$K20)*1*$D20+$S20*$T20)/1000,1))</f>
        <v/>
      </c>
    </row>
    <row r="21" ht="40.15" customHeight="1">
      <c r="A21" s="101" t="n"/>
      <c r="B21" s="102" t="n"/>
      <c r="C21" s="92" t="n"/>
      <c r="D21" s="103" t="n"/>
      <c r="E21" s="104">
        <f>IF($A21="","",$B21)</f>
        <v/>
      </c>
      <c r="F21" s="92">
        <f>IF($A21="","",$L$54*$D21)</f>
        <v/>
      </c>
      <c r="G21" s="104">
        <f>IF($A21="","",$C21-$E$55-$F$55)</f>
        <v/>
      </c>
      <c r="H21" s="92">
        <f>IF($A21="","",$L$55*$D21)</f>
        <v/>
      </c>
      <c r="I21" s="104">
        <f>IF($A21="","",$C21)</f>
        <v/>
      </c>
      <c r="J21" s="92">
        <f>IF($A21="","",$L$56*$D21)</f>
        <v/>
      </c>
      <c r="K21" s="104">
        <f>IF($A21="","",$B21-$E$57-$F$57-$G$57-$H$57)</f>
        <v/>
      </c>
      <c r="L21" s="92">
        <f>IF($A21="","",$L$57*$D21)</f>
        <v/>
      </c>
      <c r="M21" s="104">
        <f>IF($A21="","",(($C21-$E$58-$F$58-$G$58-$H$58)/2)+(78*1)/2)</f>
        <v/>
      </c>
      <c r="N21" s="92">
        <f>IF($A21="","",$L$58*$D21)</f>
        <v/>
      </c>
      <c r="O21" s="104">
        <f>IF($A21="","",$K21-$E$59-$F$59)</f>
        <v/>
      </c>
      <c r="P21" s="92">
        <f>IF($A21="","",$L$59*$D21)</f>
        <v/>
      </c>
      <c r="Q21" s="104">
        <f>IF($A21="","",$M21-$E$60-$F$60)</f>
        <v/>
      </c>
      <c r="R21" s="92">
        <f>IF($A21="","",$L$60*$D21)</f>
        <v/>
      </c>
      <c r="S21" s="104">
        <f>IF($A21="","",$K21)</f>
        <v/>
      </c>
      <c r="T21" s="92">
        <f>IF($A21="","",$L$61*$D21)</f>
        <v/>
      </c>
      <c r="U21" s="104">
        <f>IF($A21="","",$B21-$E$62-$F$62)</f>
        <v/>
      </c>
      <c r="V21" s="92">
        <f>IF($A21="","",$L$62*$D21)</f>
        <v/>
      </c>
      <c r="W21" s="104">
        <f>IF($A21="","",$C21-$E$63-$F$63)</f>
        <v/>
      </c>
      <c r="X21" s="92">
        <f>IF($A21="","",$L$63*$D21)</f>
        <v/>
      </c>
      <c r="Y21" s="104">
        <f>IF($A21="","",$B21-$E$64-$F$64)</f>
        <v/>
      </c>
      <c r="Z21" s="92">
        <f>IF($A21="","",$L$64*$D21)</f>
        <v/>
      </c>
      <c r="AA21" s="104">
        <f>IF($A21="","",$S21)</f>
        <v/>
      </c>
      <c r="AB21" s="92">
        <f>IF($A21="","",$L$65*$D21)</f>
        <v/>
      </c>
      <c r="AC21" s="104">
        <f>IF($A21="","",$C21)</f>
        <v/>
      </c>
      <c r="AD21" s="92">
        <f>IF($A21="","",$L$66*$D21)</f>
        <v/>
      </c>
      <c r="AE21" s="104">
        <f>IF($A21="","",$C21-$E$67-$F$67)</f>
        <v/>
      </c>
      <c r="AF21" s="92">
        <f>IF($A21="","",$L$67*$D21)</f>
        <v/>
      </c>
      <c r="AG21" s="104">
        <f>IF($A21="","",$C21-$M21-$E$68-$F$68-$G$68)</f>
        <v/>
      </c>
      <c r="AH21" s="92">
        <f>IF($A21="","",$L$68*$D21)</f>
        <v/>
      </c>
      <c r="AI21" s="105">
        <f>IF($A21="","",$K21-68-68)</f>
        <v/>
      </c>
      <c r="AJ21" s="106">
        <f>IF($A21="","",$M21-68-68)</f>
        <v/>
      </c>
      <c r="AK21" s="107">
        <f>IF($A21="","",2*1*$D21)</f>
        <v/>
      </c>
      <c r="AL21">
        <f>IF($A21="","",$BC$7*$D21)</f>
        <v/>
      </c>
      <c r="AM21">
        <f>IF($A21="","",$BC$6*$D21)</f>
        <v/>
      </c>
      <c r="AN21">
        <f>IF($A21="","",$BC$9*$D21)</f>
        <v/>
      </c>
      <c r="AO21">
        <f>IF($A21="","",$BC$10*$D21)</f>
        <v/>
      </c>
      <c r="AP21">
        <f>IF($A21="","",2*$BC$6*$D21)</f>
        <v/>
      </c>
      <c r="AQ21">
        <f>IF($A21="","",IF($B21&gt;2800,2,IF($B21&gt;1400,1,0))*$BC$6*$D21)</f>
        <v/>
      </c>
      <c r="AR21">
        <f>IF($A21="","",2*$BC$6*$D21)</f>
        <v/>
      </c>
      <c r="AS21">
        <f>IF($A21="","",$BC$6*$D21)</f>
        <v/>
      </c>
      <c r="AT21">
        <f>IF($A21="","",2*$BC$6*$D21)</f>
        <v/>
      </c>
      <c r="AU21">
        <f>IF($A21="","",4*1*$D21)</f>
        <v/>
      </c>
      <c r="AV21">
        <f>IF($A21="","",16*1*$D21)</f>
        <v/>
      </c>
      <c r="AW21">
        <f>IF($A21="","",(2+MAX(0,ROUNDUP(($G21-1500)/500,0)))*$D21)</f>
        <v/>
      </c>
      <c r="AX21">
        <f>IF($A21="","",(2+MAX(0,ROUNDUP(($G21-1500)/500,0)))*$D21)</f>
        <v/>
      </c>
      <c r="AY21">
        <f>IF($A21="","",ROUND((2*2*($M21+$K21)*1*$D21+$S21*$T21)/1000,1))</f>
        <v/>
      </c>
    </row>
    <row r="22" ht="40.15" customHeight="1">
      <c r="A22" s="101" t="n"/>
      <c r="B22" s="102" t="n"/>
      <c r="C22" s="92" t="n"/>
      <c r="D22" s="103" t="n"/>
      <c r="E22" s="108">
        <f>IF($A22="","",$B22)</f>
        <v/>
      </c>
      <c r="F22" s="98">
        <f>IF($A22="","",$L$54*$D22)</f>
        <v/>
      </c>
      <c r="G22" s="108">
        <f>IF($A22="","",$C22-$E$55-$F$55)</f>
        <v/>
      </c>
      <c r="H22" s="98">
        <f>IF($A22="","",$L$55*$D22)</f>
        <v/>
      </c>
      <c r="I22" s="108">
        <f>IF($A22="","",$C22)</f>
        <v/>
      </c>
      <c r="J22" s="98">
        <f>IF($A22="","",$L$56*$D22)</f>
        <v/>
      </c>
      <c r="K22" s="108">
        <f>IF($A22="","",$B22-$E$57-$F$57-$G$57-$H$57)</f>
        <v/>
      </c>
      <c r="L22" s="98">
        <f>IF($A22="","",$L$57*$D22)</f>
        <v/>
      </c>
      <c r="M22" s="108">
        <f>IF($A22="","",(($C22-$E$58-$F$58-$G$58-$H$58)/2)+(78*1)/2)</f>
        <v/>
      </c>
      <c r="N22" s="98">
        <f>IF($A22="","",$L$58*$D22)</f>
        <v/>
      </c>
      <c r="O22" s="108">
        <f>IF($A22="","",$K22-$E$59-$F$59)</f>
        <v/>
      </c>
      <c r="P22" s="98">
        <f>IF($A22="","",$L$59*$D22)</f>
        <v/>
      </c>
      <c r="Q22" s="108">
        <f>IF($A22="","",$M22-$E$60-$F$60)</f>
        <v/>
      </c>
      <c r="R22" s="98">
        <f>IF($A22="","",$L$60*$D22)</f>
        <v/>
      </c>
      <c r="S22" s="108">
        <f>IF($A22="","",$K22)</f>
        <v/>
      </c>
      <c r="T22" s="98">
        <f>IF($A22="","",$L$61*$D22)</f>
        <v/>
      </c>
      <c r="U22" s="108">
        <f>IF($A22="","",$B22-$E$62-$F$62)</f>
        <v/>
      </c>
      <c r="V22" s="98">
        <f>IF($A22="","",$L$62*$D22)</f>
        <v/>
      </c>
      <c r="W22" s="108">
        <f>IF($A22="","",$C22-$E$63-$F$63)</f>
        <v/>
      </c>
      <c r="X22" s="98">
        <f>IF($A22="","",$L$63*$D22)</f>
        <v/>
      </c>
      <c r="Y22" s="108">
        <f>IF($A22="","",$B22-$E$64-$F$64)</f>
        <v/>
      </c>
      <c r="Z22" s="98">
        <f>IF($A22="","",$L$64*$D22)</f>
        <v/>
      </c>
      <c r="AA22" s="108">
        <f>IF($A22="","",$S22)</f>
        <v/>
      </c>
      <c r="AB22" s="98">
        <f>IF($A22="","",$L$65*$D22)</f>
        <v/>
      </c>
      <c r="AC22" s="108">
        <f>IF($A22="","",$C22)</f>
        <v/>
      </c>
      <c r="AD22" s="98">
        <f>IF($A22="","",$L$66*$D22)</f>
        <v/>
      </c>
      <c r="AE22" s="108">
        <f>IF($A22="","",$C22-$E$67-$F$67)</f>
        <v/>
      </c>
      <c r="AF22" s="98">
        <f>IF($A22="","",$L$67*$D22)</f>
        <v/>
      </c>
      <c r="AG22" s="108">
        <f>IF($A22="","",$C22-$M22-$E$68-$F$68-$G$68)</f>
        <v/>
      </c>
      <c r="AH22" s="98">
        <f>IF($A22="","",$L$68*$D22)</f>
        <v/>
      </c>
      <c r="AI22" s="105">
        <f>IF($A22="","",$K22-68-68)</f>
        <v/>
      </c>
      <c r="AJ22" s="106">
        <f>IF($A22="","",$M22-68-68)</f>
        <v/>
      </c>
      <c r="AK22" s="107">
        <f>IF($A22="","",2*1*$D22)</f>
        <v/>
      </c>
      <c r="AL22">
        <f>IF($A22="","",$BC$7*$D22)</f>
        <v/>
      </c>
      <c r="AM22">
        <f>IF($A22="","",$BC$6*$D22)</f>
        <v/>
      </c>
      <c r="AN22">
        <f>IF($A22="","",$BC$9*$D22)</f>
        <v/>
      </c>
      <c r="AO22">
        <f>IF($A22="","",$BC$10*$D22)</f>
        <v/>
      </c>
      <c r="AP22">
        <f>IF($A22="","",2*$BC$6*$D22)</f>
        <v/>
      </c>
      <c r="AQ22">
        <f>IF($A22="","",IF($B22&gt;2800,2,IF($B22&gt;1400,1,0))*$BC$6*$D22)</f>
        <v/>
      </c>
      <c r="AR22">
        <f>IF($A22="","",2*$BC$6*$D22)</f>
        <v/>
      </c>
      <c r="AS22">
        <f>IF($A22="","",$BC$6*$D22)</f>
        <v/>
      </c>
      <c r="AT22">
        <f>IF($A22="","",2*$BC$6*$D22)</f>
        <v/>
      </c>
      <c r="AU22">
        <f>IF($A22="","",4*1*$D22)</f>
        <v/>
      </c>
      <c r="AV22">
        <f>IF($A22="","",16*1*$D22)</f>
        <v/>
      </c>
      <c r="AW22">
        <f>IF($A22="","",(2+MAX(0,ROUNDUP(($G22-1500)/500,0)))*$D22)</f>
        <v/>
      </c>
      <c r="AX22">
        <f>IF($A22="","",(2+MAX(0,ROUNDUP(($G22-1500)/500,0)))*$D22)</f>
        <v/>
      </c>
      <c r="AY22">
        <f>IF($A22="","",ROUND((2*2*($M22+$K22)*1*$D22+$S22*$T22)/1000,1))</f>
        <v/>
      </c>
    </row>
    <row r="23" ht="40.15" customHeight="1">
      <c r="A23" s="101" t="n"/>
      <c r="B23" s="102" t="n"/>
      <c r="C23" s="92" t="n"/>
      <c r="D23" s="103" t="n"/>
      <c r="E23" s="104">
        <f>IF($A23="","",$B23)</f>
        <v/>
      </c>
      <c r="F23" s="92">
        <f>IF($A23="","",$L$54*$D23)</f>
        <v/>
      </c>
      <c r="G23" s="104">
        <f>IF($A23="","",$C23-$E$55-$F$55)</f>
        <v/>
      </c>
      <c r="H23" s="92">
        <f>IF($A23="","",$L$55*$D23)</f>
        <v/>
      </c>
      <c r="I23" s="104">
        <f>IF($A23="","",$C23)</f>
        <v/>
      </c>
      <c r="J23" s="92">
        <f>IF($A23="","",$L$56*$D23)</f>
        <v/>
      </c>
      <c r="K23" s="104">
        <f>IF($A23="","",$B23-$E$57-$F$57-$G$57-$H$57)</f>
        <v/>
      </c>
      <c r="L23" s="92">
        <f>IF($A23="","",$L$57*$D23)</f>
        <v/>
      </c>
      <c r="M23" s="104">
        <f>IF($A23="","",(($C23-$E$58-$F$58-$G$58-$H$58)/2)+(78*1)/2)</f>
        <v/>
      </c>
      <c r="N23" s="92">
        <f>IF($A23="","",$L$58*$D23)</f>
        <v/>
      </c>
      <c r="O23" s="104">
        <f>IF($A23="","",$K23-$E$59-$F$59)</f>
        <v/>
      </c>
      <c r="P23" s="92">
        <f>IF($A23="","",$L$59*$D23)</f>
        <v/>
      </c>
      <c r="Q23" s="104">
        <f>IF($A23="","",$M23-$E$60-$F$60)</f>
        <v/>
      </c>
      <c r="R23" s="92">
        <f>IF($A23="","",$L$60*$D23)</f>
        <v/>
      </c>
      <c r="S23" s="104">
        <f>IF($A23="","",$K23)</f>
        <v/>
      </c>
      <c r="T23" s="92">
        <f>IF($A23="","",$L$61*$D23)</f>
        <v/>
      </c>
      <c r="U23" s="104">
        <f>IF($A23="","",$B23-$E$62-$F$62)</f>
        <v/>
      </c>
      <c r="V23" s="92">
        <f>IF($A23="","",$L$62*$D23)</f>
        <v/>
      </c>
      <c r="W23" s="104">
        <f>IF($A23="","",$C23-$E$63-$F$63)</f>
        <v/>
      </c>
      <c r="X23" s="92">
        <f>IF($A23="","",$L$63*$D23)</f>
        <v/>
      </c>
      <c r="Y23" s="104">
        <f>IF($A23="","",$B23-$E$64-$F$64)</f>
        <v/>
      </c>
      <c r="Z23" s="92">
        <f>IF($A23="","",$L$64*$D23)</f>
        <v/>
      </c>
      <c r="AA23" s="104">
        <f>IF($A23="","",$S23)</f>
        <v/>
      </c>
      <c r="AB23" s="92">
        <f>IF($A23="","",$L$65*$D23)</f>
        <v/>
      </c>
      <c r="AC23" s="104">
        <f>IF($A23="","",$C23)</f>
        <v/>
      </c>
      <c r="AD23" s="92">
        <f>IF($A23="","",$L$66*$D23)</f>
        <v/>
      </c>
      <c r="AE23" s="104">
        <f>IF($A23="","",$C23-$E$67-$F$67)</f>
        <v/>
      </c>
      <c r="AF23" s="92">
        <f>IF($A23="","",$L$67*$D23)</f>
        <v/>
      </c>
      <c r="AG23" s="104">
        <f>IF($A23="","",$C23-$M23-$E$68-$F$68-$G$68)</f>
        <v/>
      </c>
      <c r="AH23" s="92">
        <f>IF($A23="","",$L$68*$D23)</f>
        <v/>
      </c>
      <c r="AI23" s="105">
        <f>IF($A23="","",$K23-68-68)</f>
        <v/>
      </c>
      <c r="AJ23" s="106">
        <f>IF($A23="","",$M23-68-68)</f>
        <v/>
      </c>
      <c r="AK23" s="107">
        <f>IF($A23="","",2*1*$D23)</f>
        <v/>
      </c>
      <c r="AL23">
        <f>IF($A23="","",$BC$7*$D23)</f>
        <v/>
      </c>
      <c r="AM23">
        <f>IF($A23="","",$BC$6*$D23)</f>
        <v/>
      </c>
      <c r="AN23">
        <f>IF($A23="","",$BC$9*$D23)</f>
        <v/>
      </c>
      <c r="AO23">
        <f>IF($A23="","",$BC$10*$D23)</f>
        <v/>
      </c>
      <c r="AP23">
        <f>IF($A23="","",2*$BC$6*$D23)</f>
        <v/>
      </c>
      <c r="AQ23">
        <f>IF($A23="","",IF($B23&gt;2800,2,IF($B23&gt;1400,1,0))*$BC$6*$D23)</f>
        <v/>
      </c>
      <c r="AR23">
        <f>IF($A23="","",2*$BC$6*$D23)</f>
        <v/>
      </c>
      <c r="AS23">
        <f>IF($A23="","",$BC$6*$D23)</f>
        <v/>
      </c>
      <c r="AT23">
        <f>IF($A23="","",2*$BC$6*$D23)</f>
        <v/>
      </c>
      <c r="AU23">
        <f>IF($A23="","",4*1*$D23)</f>
        <v/>
      </c>
      <c r="AV23">
        <f>IF($A23="","",16*1*$D23)</f>
        <v/>
      </c>
      <c r="AW23">
        <f>IF($A23="","",(2+MAX(0,ROUNDUP(($G23-1500)/500,0)))*$D23)</f>
        <v/>
      </c>
      <c r="AX23">
        <f>IF($A23="","",(2+MAX(0,ROUNDUP(($G23-1500)/500,0)))*$D23)</f>
        <v/>
      </c>
      <c r="AY23">
        <f>IF($A23="","",ROUND((2*2*($M23+$K23)*1*$D23+$S23*$T23)/1000,1))</f>
        <v/>
      </c>
    </row>
    <row r="24" ht="40.15" customHeight="1">
      <c r="A24" s="101" t="n"/>
      <c r="B24" s="102" t="n"/>
      <c r="C24" s="92" t="n"/>
      <c r="D24" s="103" t="n"/>
      <c r="E24" s="108">
        <f>IF($A24="","",$B24)</f>
        <v/>
      </c>
      <c r="F24" s="98">
        <f>IF($A24="","",$L$54*$D24)</f>
        <v/>
      </c>
      <c r="G24" s="108">
        <f>IF($A24="","",$C24-$E$55-$F$55)</f>
        <v/>
      </c>
      <c r="H24" s="98">
        <f>IF($A24="","",$L$55*$D24)</f>
        <v/>
      </c>
      <c r="I24" s="108">
        <f>IF($A24="","",$C24)</f>
        <v/>
      </c>
      <c r="J24" s="98">
        <f>IF($A24="","",$L$56*$D24)</f>
        <v/>
      </c>
      <c r="K24" s="108">
        <f>IF($A24="","",$B24-$E$57-$F$57-$G$57-$H$57)</f>
        <v/>
      </c>
      <c r="L24" s="98">
        <f>IF($A24="","",$L$57*$D24)</f>
        <v/>
      </c>
      <c r="M24" s="108">
        <f>IF($A24="","",(($C24-$E$58-$F$58-$G$58-$H$58)/2)+(78*1)/2)</f>
        <v/>
      </c>
      <c r="N24" s="98">
        <f>IF($A24="","",$L$58*$D24)</f>
        <v/>
      </c>
      <c r="O24" s="108">
        <f>IF($A24="","",$K24-$E$59-$F$59)</f>
        <v/>
      </c>
      <c r="P24" s="98">
        <f>IF($A24="","",$L$59*$D24)</f>
        <v/>
      </c>
      <c r="Q24" s="108">
        <f>IF($A24="","",$M24-$E$60-$F$60)</f>
        <v/>
      </c>
      <c r="R24" s="98">
        <f>IF($A24="","",$L$60*$D24)</f>
        <v/>
      </c>
      <c r="S24" s="108">
        <f>IF($A24="","",$K24)</f>
        <v/>
      </c>
      <c r="T24" s="98">
        <f>IF($A24="","",$L$61*$D24)</f>
        <v/>
      </c>
      <c r="U24" s="108">
        <f>IF($A24="","",$B24-$E$62-$F$62)</f>
        <v/>
      </c>
      <c r="V24" s="98">
        <f>IF($A24="","",$L$62*$D24)</f>
        <v/>
      </c>
      <c r="W24" s="108">
        <f>IF($A24="","",$C24-$E$63-$F$63)</f>
        <v/>
      </c>
      <c r="X24" s="98">
        <f>IF($A24="","",$L$63*$D24)</f>
        <v/>
      </c>
      <c r="Y24" s="108">
        <f>IF($A24="","",$B24-$E$64-$F$64)</f>
        <v/>
      </c>
      <c r="Z24" s="98">
        <f>IF($A24="","",$L$64*$D24)</f>
        <v/>
      </c>
      <c r="AA24" s="108">
        <f>IF($A24="","",$S24)</f>
        <v/>
      </c>
      <c r="AB24" s="98">
        <f>IF($A24="","",$L$65*$D24)</f>
        <v/>
      </c>
      <c r="AC24" s="108">
        <f>IF($A24="","",$C24)</f>
        <v/>
      </c>
      <c r="AD24" s="98">
        <f>IF($A24="","",$L$66*$D24)</f>
        <v/>
      </c>
      <c r="AE24" s="108">
        <f>IF($A24="","",$C24-$E$67-$F$67)</f>
        <v/>
      </c>
      <c r="AF24" s="98">
        <f>IF($A24="","",$L$67*$D24)</f>
        <v/>
      </c>
      <c r="AG24" s="108">
        <f>IF($A24="","",$C24-$M24-$E$68-$F$68-$G$68)</f>
        <v/>
      </c>
      <c r="AH24" s="98">
        <f>IF($A24="","",$L$68*$D24)</f>
        <v/>
      </c>
      <c r="AI24" s="105">
        <f>IF($A24="","",$K24-68-68)</f>
        <v/>
      </c>
      <c r="AJ24" s="106">
        <f>IF($A24="","",$M24-68-68)</f>
        <v/>
      </c>
      <c r="AK24" s="107">
        <f>IF($A24="","",2*1*$D24)</f>
        <v/>
      </c>
      <c r="AL24">
        <f>IF($A24="","",$BC$7*$D24)</f>
        <v/>
      </c>
      <c r="AM24">
        <f>IF($A24="","",$BC$6*$D24)</f>
        <v/>
      </c>
      <c r="AN24">
        <f>IF($A24="","",$BC$9*$D24)</f>
        <v/>
      </c>
      <c r="AO24">
        <f>IF($A24="","",$BC$10*$D24)</f>
        <v/>
      </c>
      <c r="AP24">
        <f>IF($A24="","",2*$BC$6*$D24)</f>
        <v/>
      </c>
      <c r="AQ24">
        <f>IF($A24="","",IF($B24&gt;2800,2,IF($B24&gt;1400,1,0))*$BC$6*$D24)</f>
        <v/>
      </c>
      <c r="AR24">
        <f>IF($A24="","",2*$BC$6*$D24)</f>
        <v/>
      </c>
      <c r="AS24">
        <f>IF($A24="","",$BC$6*$D24)</f>
        <v/>
      </c>
      <c r="AT24">
        <f>IF($A24="","",2*$BC$6*$D24)</f>
        <v/>
      </c>
      <c r="AU24">
        <f>IF($A24="","",4*1*$D24)</f>
        <v/>
      </c>
      <c r="AV24">
        <f>IF($A24="","",16*1*$D24)</f>
        <v/>
      </c>
      <c r="AW24">
        <f>IF($A24="","",(2+MAX(0,ROUNDUP(($G24-1500)/500,0)))*$D24)</f>
        <v/>
      </c>
      <c r="AX24">
        <f>IF($A24="","",(2+MAX(0,ROUNDUP(($G24-1500)/500,0)))*$D24)</f>
        <v/>
      </c>
      <c r="AY24">
        <f>IF($A24="","",ROUND((2*2*($M24+$K24)*1*$D24+$S24*$T24)/1000,1))</f>
        <v/>
      </c>
    </row>
    <row r="25" ht="40.15" customHeight="1">
      <c r="A25" s="101" t="n"/>
      <c r="B25" s="102" t="n"/>
      <c r="C25" s="92" t="n"/>
      <c r="D25" s="103" t="n"/>
      <c r="E25" s="104">
        <f>IF($A25="","",$B25)</f>
        <v/>
      </c>
      <c r="F25" s="92">
        <f>IF($A25="","",$L$54*$D25)</f>
        <v/>
      </c>
      <c r="G25" s="104">
        <f>IF($A25="","",$C25-$E$55-$F$55)</f>
        <v/>
      </c>
      <c r="H25" s="92">
        <f>IF($A25="","",$L$55*$D25)</f>
        <v/>
      </c>
      <c r="I25" s="104">
        <f>IF($A25="","",$C25)</f>
        <v/>
      </c>
      <c r="J25" s="92">
        <f>IF($A25="","",$L$56*$D25)</f>
        <v/>
      </c>
      <c r="K25" s="104">
        <f>IF($A25="","",$B25-$E$57-$F$57-$G$57-$H$57)</f>
        <v/>
      </c>
      <c r="L25" s="92">
        <f>IF($A25="","",$L$57*$D25)</f>
        <v/>
      </c>
      <c r="M25" s="104">
        <f>IF($A25="","",(($C25-$E$58-$F$58-$G$58-$H$58)/2)+(78*1)/2)</f>
        <v/>
      </c>
      <c r="N25" s="92">
        <f>IF($A25="","",$L$58*$D25)</f>
        <v/>
      </c>
      <c r="O25" s="104">
        <f>IF($A25="","",$K25-$E$59-$F$59)</f>
        <v/>
      </c>
      <c r="P25" s="92">
        <f>IF($A25="","",$L$59*$D25)</f>
        <v/>
      </c>
      <c r="Q25" s="104">
        <f>IF($A25="","",$M25-$E$60-$F$60)</f>
        <v/>
      </c>
      <c r="R25" s="92">
        <f>IF($A25="","",$L$60*$D25)</f>
        <v/>
      </c>
      <c r="S25" s="104">
        <f>IF($A25="","",$K25)</f>
        <v/>
      </c>
      <c r="T25" s="92">
        <f>IF($A25="","",$L$61*$D25)</f>
        <v/>
      </c>
      <c r="U25" s="104">
        <f>IF($A25="","",$B25-$E$62-$F$62)</f>
        <v/>
      </c>
      <c r="V25" s="92">
        <f>IF($A25="","",$L$62*$D25)</f>
        <v/>
      </c>
      <c r="W25" s="104">
        <f>IF($A25="","",$C25-$E$63-$F$63)</f>
        <v/>
      </c>
      <c r="X25" s="92">
        <f>IF($A25="","",$L$63*$D25)</f>
        <v/>
      </c>
      <c r="Y25" s="104">
        <f>IF($A25="","",$B25-$E$64-$F$64)</f>
        <v/>
      </c>
      <c r="Z25" s="92">
        <f>IF($A25="","",$L$64*$D25)</f>
        <v/>
      </c>
      <c r="AA25" s="104">
        <f>IF($A25="","",$S25)</f>
        <v/>
      </c>
      <c r="AB25" s="92">
        <f>IF($A25="","",$L$65*$D25)</f>
        <v/>
      </c>
      <c r="AC25" s="104">
        <f>IF($A25="","",$C25)</f>
        <v/>
      </c>
      <c r="AD25" s="92">
        <f>IF($A25="","",$L$66*$D25)</f>
        <v/>
      </c>
      <c r="AE25" s="104">
        <f>IF($A25="","",$C25-$E$67-$F$67)</f>
        <v/>
      </c>
      <c r="AF25" s="92">
        <f>IF($A25="","",$L$67*$D25)</f>
        <v/>
      </c>
      <c r="AG25" s="104">
        <f>IF($A25="","",$C25-$M25-$E$68-$F$68-$G$68)</f>
        <v/>
      </c>
      <c r="AH25" s="92">
        <f>IF($A25="","",$L$68*$D25)</f>
        <v/>
      </c>
      <c r="AI25" s="105">
        <f>IF($A25="","",$K25-68-68)</f>
        <v/>
      </c>
      <c r="AJ25" s="106">
        <f>IF($A25="","",$M25-68-68)</f>
        <v/>
      </c>
      <c r="AK25" s="107">
        <f>IF($A25="","",2*1*$D25)</f>
        <v/>
      </c>
      <c r="AL25">
        <f>IF($A25="","",$BC$7*$D25)</f>
        <v/>
      </c>
      <c r="AM25">
        <f>IF($A25="","",$BC$6*$D25)</f>
        <v/>
      </c>
      <c r="AN25">
        <f>IF($A25="","",$BC$9*$D25)</f>
        <v/>
      </c>
      <c r="AO25">
        <f>IF($A25="","",$BC$10*$D25)</f>
        <v/>
      </c>
      <c r="AP25">
        <f>IF($A25="","",2*$BC$6*$D25)</f>
        <v/>
      </c>
      <c r="AQ25">
        <f>IF($A25="","",IF($B25&gt;2800,2,IF($B25&gt;1400,1,0))*$BC$6*$D25)</f>
        <v/>
      </c>
      <c r="AR25">
        <f>IF($A25="","",2*$BC$6*$D25)</f>
        <v/>
      </c>
      <c r="AS25">
        <f>IF($A25="","",$BC$6*$D25)</f>
        <v/>
      </c>
      <c r="AT25">
        <f>IF($A25="","",2*$BC$6*$D25)</f>
        <v/>
      </c>
      <c r="AU25">
        <f>IF($A25="","",4*1*$D25)</f>
        <v/>
      </c>
      <c r="AV25">
        <f>IF($A25="","",16*1*$D25)</f>
        <v/>
      </c>
      <c r="AW25">
        <f>IF($A25="","",(2+MAX(0,ROUNDUP(($G25-1500)/500,0)))*$D25)</f>
        <v/>
      </c>
      <c r="AX25">
        <f>IF($A25="","",(2+MAX(0,ROUNDUP(($G25-1500)/500,0)))*$D25)</f>
        <v/>
      </c>
      <c r="AY25">
        <f>IF($A25="","",ROUND((2*2*($M25+$K25)*1*$D25+$S25*$T25)/1000,1))</f>
        <v/>
      </c>
    </row>
    <row r="26" ht="40.15" customHeight="1">
      <c r="A26" s="101" t="n"/>
      <c r="B26" s="102" t="n"/>
      <c r="C26" s="92" t="n"/>
      <c r="D26" s="103" t="n"/>
      <c r="E26" s="108">
        <f>IF($A26="","",$B26)</f>
        <v/>
      </c>
      <c r="F26" s="98">
        <f>IF($A26="","",$L$54*$D26)</f>
        <v/>
      </c>
      <c r="G26" s="108">
        <f>IF($A26="","",$C26-$E$55-$F$55)</f>
        <v/>
      </c>
      <c r="H26" s="98">
        <f>IF($A26="","",$L$55*$D26)</f>
        <v/>
      </c>
      <c r="I26" s="108">
        <f>IF($A26="","",$C26)</f>
        <v/>
      </c>
      <c r="J26" s="98">
        <f>IF($A26="","",$L$56*$D26)</f>
        <v/>
      </c>
      <c r="K26" s="108">
        <f>IF($A26="","",$B26-$E$57-$F$57-$G$57-$H$57)</f>
        <v/>
      </c>
      <c r="L26" s="98">
        <f>IF($A26="","",$L$57*$D26)</f>
        <v/>
      </c>
      <c r="M26" s="108">
        <f>IF($A26="","",(($C26-$E$58-$F$58-$G$58-$H$58)/2)+(78*1)/2)</f>
        <v/>
      </c>
      <c r="N26" s="98">
        <f>IF($A26="","",$L$58*$D26)</f>
        <v/>
      </c>
      <c r="O26" s="108">
        <f>IF($A26="","",$K26-$E$59-$F$59)</f>
        <v/>
      </c>
      <c r="P26" s="98">
        <f>IF($A26="","",$L$59*$D26)</f>
        <v/>
      </c>
      <c r="Q26" s="108">
        <f>IF($A26="","",$M26-$E$60-$F$60)</f>
        <v/>
      </c>
      <c r="R26" s="98">
        <f>IF($A26="","",$L$60*$D26)</f>
        <v/>
      </c>
      <c r="S26" s="108">
        <f>IF($A26="","",$K26)</f>
        <v/>
      </c>
      <c r="T26" s="98">
        <f>IF($A26="","",$L$61*$D26)</f>
        <v/>
      </c>
      <c r="U26" s="108">
        <f>IF($A26="","",$B26-$E$62-$F$62)</f>
        <v/>
      </c>
      <c r="V26" s="98">
        <f>IF($A26="","",$L$62*$D26)</f>
        <v/>
      </c>
      <c r="W26" s="108">
        <f>IF($A26="","",$C26-$E$63-$F$63)</f>
        <v/>
      </c>
      <c r="X26" s="98">
        <f>IF($A26="","",$L$63*$D26)</f>
        <v/>
      </c>
      <c r="Y26" s="108">
        <f>IF($A26="","",$B26-$E$64-$F$64)</f>
        <v/>
      </c>
      <c r="Z26" s="98">
        <f>IF($A26="","",$L$64*$D26)</f>
        <v/>
      </c>
      <c r="AA26" s="108">
        <f>IF($A26="","",$S26)</f>
        <v/>
      </c>
      <c r="AB26" s="98">
        <f>IF($A26="","",$L$65*$D26)</f>
        <v/>
      </c>
      <c r="AC26" s="108">
        <f>IF($A26="","",$C26)</f>
        <v/>
      </c>
      <c r="AD26" s="98">
        <f>IF($A26="","",$L$66*$D26)</f>
        <v/>
      </c>
      <c r="AE26" s="108">
        <f>IF($A26="","",$C26-$E$67-$F$67)</f>
        <v/>
      </c>
      <c r="AF26" s="98">
        <f>IF($A26="","",$L$67*$D26)</f>
        <v/>
      </c>
      <c r="AG26" s="108">
        <f>IF($A26="","",$C26-$M26-$E$68-$F$68-$G$68)</f>
        <v/>
      </c>
      <c r="AH26" s="98">
        <f>IF($A26="","",$L$68*$D26)</f>
        <v/>
      </c>
      <c r="AI26" s="105">
        <f>IF($A26="","",$K26-68-68)</f>
        <v/>
      </c>
      <c r="AJ26" s="106">
        <f>IF($A26="","",$M26-68-68)</f>
        <v/>
      </c>
      <c r="AK26" s="107">
        <f>IF($A26="","",2*1*$D26)</f>
        <v/>
      </c>
      <c r="AL26">
        <f>IF($A26="","",$BC$7*$D26)</f>
        <v/>
      </c>
      <c r="AM26">
        <f>IF($A26="","",$BC$6*$D26)</f>
        <v/>
      </c>
      <c r="AN26">
        <f>IF($A26="","",$BC$9*$D26)</f>
        <v/>
      </c>
      <c r="AO26">
        <f>IF($A26="","",$BC$10*$D26)</f>
        <v/>
      </c>
      <c r="AP26">
        <f>IF($A26="","",2*$BC$6*$D26)</f>
        <v/>
      </c>
      <c r="AQ26">
        <f>IF($A26="","",IF($B26&gt;2800,2,IF($B26&gt;1400,1,0))*$BC$6*$D26)</f>
        <v/>
      </c>
      <c r="AR26">
        <f>IF($A26="","",2*$BC$6*$D26)</f>
        <v/>
      </c>
      <c r="AS26">
        <f>IF($A26="","",$BC$6*$D26)</f>
        <v/>
      </c>
      <c r="AT26">
        <f>IF($A26="","",2*$BC$6*$D26)</f>
        <v/>
      </c>
      <c r="AU26">
        <f>IF($A26="","",4*1*$D26)</f>
        <v/>
      </c>
      <c r="AV26">
        <f>IF($A26="","",16*1*$D26)</f>
        <v/>
      </c>
      <c r="AW26">
        <f>IF($A26="","",(2+MAX(0,ROUNDUP(($G26-1500)/500,0)))*$D26)</f>
        <v/>
      </c>
      <c r="AX26">
        <f>IF($A26="","",(2+MAX(0,ROUNDUP(($G26-1500)/500,0)))*$D26)</f>
        <v/>
      </c>
      <c r="AY26">
        <f>IF($A26="","",ROUND((2*2*($M26+$K26)*1*$D26+$S26*$T26)/1000,1))</f>
        <v/>
      </c>
    </row>
    <row r="27" ht="40.15" customHeight="1">
      <c r="A27" s="101" t="n"/>
      <c r="B27" s="102" t="n"/>
      <c r="C27" s="92" t="n"/>
      <c r="D27" s="103" t="n"/>
      <c r="E27" s="104">
        <f>IF($A27="","",$B27)</f>
        <v/>
      </c>
      <c r="F27" s="92">
        <f>IF($A27="","",$L$54*$D27)</f>
        <v/>
      </c>
      <c r="G27" s="104">
        <f>IF($A27="","",$C27-$E$55-$F$55)</f>
        <v/>
      </c>
      <c r="H27" s="92">
        <f>IF($A27="","",$L$55*$D27)</f>
        <v/>
      </c>
      <c r="I27" s="104">
        <f>IF($A27="","",$C27)</f>
        <v/>
      </c>
      <c r="J27" s="92">
        <f>IF($A27="","",$L$56*$D27)</f>
        <v/>
      </c>
      <c r="K27" s="104">
        <f>IF($A27="","",$B27-$E$57-$F$57-$G$57-$H$57)</f>
        <v/>
      </c>
      <c r="L27" s="92">
        <f>IF($A27="","",$L$57*$D27)</f>
        <v/>
      </c>
      <c r="M27" s="104">
        <f>IF($A27="","",(($C27-$E$58-$F$58-$G$58-$H$58)/2)+(78*1)/2)</f>
        <v/>
      </c>
      <c r="N27" s="92">
        <f>IF($A27="","",$L$58*$D27)</f>
        <v/>
      </c>
      <c r="O27" s="104">
        <f>IF($A27="","",$K27-$E$59-$F$59)</f>
        <v/>
      </c>
      <c r="P27" s="92">
        <f>IF($A27="","",$L$59*$D27)</f>
        <v/>
      </c>
      <c r="Q27" s="104">
        <f>IF($A27="","",$M27-$E$60-$F$60)</f>
        <v/>
      </c>
      <c r="R27" s="92">
        <f>IF($A27="","",$L$60*$D27)</f>
        <v/>
      </c>
      <c r="S27" s="104">
        <f>IF($A27="","",$K27)</f>
        <v/>
      </c>
      <c r="T27" s="92">
        <f>IF($A27="","",$L$61*$D27)</f>
        <v/>
      </c>
      <c r="U27" s="104">
        <f>IF($A27="","",$B27-$E$62-$F$62)</f>
        <v/>
      </c>
      <c r="V27" s="92">
        <f>IF($A27="","",$L$62*$D27)</f>
        <v/>
      </c>
      <c r="W27" s="104">
        <f>IF($A27="","",$C27-$E$63-$F$63)</f>
        <v/>
      </c>
      <c r="X27" s="92">
        <f>IF($A27="","",$L$63*$D27)</f>
        <v/>
      </c>
      <c r="Y27" s="104">
        <f>IF($A27="","",$B27-$E$64-$F$64)</f>
        <v/>
      </c>
      <c r="Z27" s="92">
        <f>IF($A27="","",$L$64*$D27)</f>
        <v/>
      </c>
      <c r="AA27" s="104">
        <f>IF($A27="","",$S27)</f>
        <v/>
      </c>
      <c r="AB27" s="92">
        <f>IF($A27="","",$L$65*$D27)</f>
        <v/>
      </c>
      <c r="AC27" s="104">
        <f>IF($A27="","",$C27)</f>
        <v/>
      </c>
      <c r="AD27" s="92">
        <f>IF($A27="","",$L$66*$D27)</f>
        <v/>
      </c>
      <c r="AE27" s="104">
        <f>IF($A27="","",$C27-$E$67-$F$67)</f>
        <v/>
      </c>
      <c r="AF27" s="92">
        <f>IF($A27="","",$L$67*$D27)</f>
        <v/>
      </c>
      <c r="AG27" s="104">
        <f>IF($A27="","",$C27-$M27-$E$68-$F$68-$G$68)</f>
        <v/>
      </c>
      <c r="AH27" s="92">
        <f>IF($A27="","",$L$68*$D27)</f>
        <v/>
      </c>
      <c r="AI27" s="105">
        <f>IF($A27="","",$K27-68-68)</f>
        <v/>
      </c>
      <c r="AJ27" s="106">
        <f>IF($A27="","",$M27-68-68)</f>
        <v/>
      </c>
      <c r="AK27" s="107">
        <f>IF($A27="","",2*1*$D27)</f>
        <v/>
      </c>
      <c r="AL27">
        <f>IF($A27="","",$BC$7*$D27)</f>
        <v/>
      </c>
      <c r="AM27">
        <f>IF($A27="","",$BC$6*$D27)</f>
        <v/>
      </c>
      <c r="AN27">
        <f>IF($A27="","",$BC$9*$D27)</f>
        <v/>
      </c>
      <c r="AO27">
        <f>IF($A27="","",$BC$10*$D27)</f>
        <v/>
      </c>
      <c r="AP27">
        <f>IF($A27="","",2*$BC$6*$D27)</f>
        <v/>
      </c>
      <c r="AQ27">
        <f>IF($A27="","",IF($B27&gt;2800,2,IF($B27&gt;1400,1,0))*$BC$6*$D27)</f>
        <v/>
      </c>
      <c r="AR27">
        <f>IF($A27="","",2*$BC$6*$D27)</f>
        <v/>
      </c>
      <c r="AS27">
        <f>IF($A27="","",$BC$6*$D27)</f>
        <v/>
      </c>
      <c r="AT27">
        <f>IF($A27="","",2*$BC$6*$D27)</f>
        <v/>
      </c>
      <c r="AU27">
        <f>IF($A27="","",4*1*$D27)</f>
        <v/>
      </c>
      <c r="AV27">
        <f>IF($A27="","",16*1*$D27)</f>
        <v/>
      </c>
      <c r="AW27">
        <f>IF($A27="","",(2+MAX(0,ROUNDUP(($G27-1500)/500,0)))*$D27)</f>
        <v/>
      </c>
      <c r="AX27">
        <f>IF($A27="","",(2+MAX(0,ROUNDUP(($G27-1500)/500,0)))*$D27)</f>
        <v/>
      </c>
      <c r="AY27">
        <f>IF($A27="","",ROUND((2*2*($M27+$K27)*1*$D27+$S27*$T27)/1000,1))</f>
        <v/>
      </c>
    </row>
    <row r="28" ht="40.15" customHeight="1">
      <c r="A28" s="101" t="n"/>
      <c r="B28" s="102" t="n"/>
      <c r="C28" s="92" t="n"/>
      <c r="D28" s="103" t="n"/>
      <c r="E28" s="108">
        <f>IF($A28="","",$B28)</f>
        <v/>
      </c>
      <c r="F28" s="98">
        <f>IF($A28="","",$L$54*$D28)</f>
        <v/>
      </c>
      <c r="G28" s="108">
        <f>IF($A28="","",$C28-$E$55-$F$55)</f>
        <v/>
      </c>
      <c r="H28" s="98">
        <f>IF($A28="","",$L$55*$D28)</f>
        <v/>
      </c>
      <c r="I28" s="108">
        <f>IF($A28="","",$C28)</f>
        <v/>
      </c>
      <c r="J28" s="98">
        <f>IF($A28="","",$L$56*$D28)</f>
        <v/>
      </c>
      <c r="K28" s="108">
        <f>IF($A28="","",$B28-$E$57-$F$57-$G$57-$H$57)</f>
        <v/>
      </c>
      <c r="L28" s="98">
        <f>IF($A28="","",$L$57*$D28)</f>
        <v/>
      </c>
      <c r="M28" s="108">
        <f>IF($A28="","",(($C28-$E$58-$F$58-$G$58-$H$58)/2)+(78*1)/2)</f>
        <v/>
      </c>
      <c r="N28" s="98">
        <f>IF($A28="","",$L$58*$D28)</f>
        <v/>
      </c>
      <c r="O28" s="108">
        <f>IF($A28="","",$K28-$E$59-$F$59)</f>
        <v/>
      </c>
      <c r="P28" s="98">
        <f>IF($A28="","",$L$59*$D28)</f>
        <v/>
      </c>
      <c r="Q28" s="108">
        <f>IF($A28="","",$M28-$E$60-$F$60)</f>
        <v/>
      </c>
      <c r="R28" s="98">
        <f>IF($A28="","",$L$60*$D28)</f>
        <v/>
      </c>
      <c r="S28" s="108">
        <f>IF($A28="","",$K28)</f>
        <v/>
      </c>
      <c r="T28" s="98">
        <f>IF($A28="","",$L$61*$D28)</f>
        <v/>
      </c>
      <c r="U28" s="108">
        <f>IF($A28="","",$B28-$E$62-$F$62)</f>
        <v/>
      </c>
      <c r="V28" s="98">
        <f>IF($A28="","",$L$62*$D28)</f>
        <v/>
      </c>
      <c r="W28" s="108">
        <f>IF($A28="","",$C28-$E$63-$F$63)</f>
        <v/>
      </c>
      <c r="X28" s="98">
        <f>IF($A28="","",$L$63*$D28)</f>
        <v/>
      </c>
      <c r="Y28" s="108">
        <f>IF($A28="","",$B28-$E$64-$F$64)</f>
        <v/>
      </c>
      <c r="Z28" s="98">
        <f>IF($A28="","",$L$64*$D28)</f>
        <v/>
      </c>
      <c r="AA28" s="108">
        <f>IF($A28="","",$S28)</f>
        <v/>
      </c>
      <c r="AB28" s="98">
        <f>IF($A28="","",$L$65*$D28)</f>
        <v/>
      </c>
      <c r="AC28" s="108">
        <f>IF($A28="","",$C28)</f>
        <v/>
      </c>
      <c r="AD28" s="98">
        <f>IF($A28="","",$L$66*$D28)</f>
        <v/>
      </c>
      <c r="AE28" s="108">
        <f>IF($A28="","",$C28-$E$67-$F$67)</f>
        <v/>
      </c>
      <c r="AF28" s="98">
        <f>IF($A28="","",$L$67*$D28)</f>
        <v/>
      </c>
      <c r="AG28" s="108">
        <f>IF($A28="","",$C28-$M28-$E$68-$F$68-$G$68)</f>
        <v/>
      </c>
      <c r="AH28" s="98">
        <f>IF($A28="","",$L$68*$D28)</f>
        <v/>
      </c>
      <c r="AI28" s="105">
        <f>IF($A28="","",$K28-68-68)</f>
        <v/>
      </c>
      <c r="AJ28" s="106">
        <f>IF($A28="","",$M28-68-68)</f>
        <v/>
      </c>
      <c r="AK28" s="107">
        <f>IF($A28="","",2*1*$D28)</f>
        <v/>
      </c>
      <c r="AL28">
        <f>IF($A28="","",$BC$7*$D28)</f>
        <v/>
      </c>
      <c r="AM28">
        <f>IF($A28="","",$BC$6*$D28)</f>
        <v/>
      </c>
      <c r="AN28">
        <f>IF($A28="","",$BC$9*$D28)</f>
        <v/>
      </c>
      <c r="AO28">
        <f>IF($A28="","",$BC$10*$D28)</f>
        <v/>
      </c>
      <c r="AP28">
        <f>IF($A28="","",2*$BC$6*$D28)</f>
        <v/>
      </c>
      <c r="AQ28">
        <f>IF($A28="","",IF($B28&gt;2800,2,IF($B28&gt;1400,1,0))*$BC$6*$D28)</f>
        <v/>
      </c>
      <c r="AR28">
        <f>IF($A28="","",2*$BC$6*$D28)</f>
        <v/>
      </c>
      <c r="AS28">
        <f>IF($A28="","",$BC$6*$D28)</f>
        <v/>
      </c>
      <c r="AT28">
        <f>IF($A28="","",2*$BC$6*$D28)</f>
        <v/>
      </c>
      <c r="AU28">
        <f>IF($A28="","",4*1*$D28)</f>
        <v/>
      </c>
      <c r="AV28">
        <f>IF($A28="","",16*1*$D28)</f>
        <v/>
      </c>
      <c r="AW28">
        <f>IF($A28="","",(2+MAX(0,ROUNDUP(($G28-1500)/500,0)))*$D28)</f>
        <v/>
      </c>
      <c r="AX28">
        <f>IF($A28="","",(2+MAX(0,ROUNDUP(($G28-1500)/500,0)))*$D28)</f>
        <v/>
      </c>
      <c r="AY28">
        <f>IF($A28="","",ROUND((2*2*($M28+$K28)*1*$D28+$S28*$T28)/1000,1))</f>
        <v/>
      </c>
    </row>
    <row r="29" ht="40.15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9" t="n"/>
    </row>
    <row r="30" ht="40.15" customHeight="1">
      <c r="A30" s="70" t="inlineStr">
        <is>
          <t>จำนวนเส้น 6.4 ม. ที่ต้องสั่ง →</t>
        </is>
      </c>
      <c r="B30" s="20" t="n"/>
      <c r="C30" s="20" t="n"/>
      <c r="D30" s="21" t="n"/>
      <c r="E30" s="71">
        <f>E$7</f>
        <v/>
      </c>
      <c r="F30" s="72">
        <f>(ROUNDUP(F49/6400,0))</f>
        <v/>
      </c>
      <c r="G30" s="72">
        <f>G$7</f>
        <v/>
      </c>
      <c r="H30" s="72">
        <f>(ROUNDUP(H49/6400,0))</f>
        <v/>
      </c>
      <c r="I30" s="72">
        <f>I$7</f>
        <v/>
      </c>
      <c r="J30" s="72">
        <f>(ROUNDUP(J49/6400,0))</f>
        <v/>
      </c>
      <c r="K30" s="72">
        <f>K$7</f>
        <v/>
      </c>
      <c r="L30" s="20" t="n"/>
      <c r="M30" s="21" t="n"/>
      <c r="N30" s="72">
        <f>(ROUNDUP(SUM(L49:N49)/6400,0))</f>
        <v/>
      </c>
      <c r="O30" s="72">
        <f>O$7</f>
        <v/>
      </c>
      <c r="P30" s="20" t="n"/>
      <c r="Q30" s="21" t="n"/>
      <c r="R30" s="72">
        <f>(ROUNDUP(SUM(P49:R49)/6400,0))</f>
        <v/>
      </c>
      <c r="S30" s="72">
        <f>S$7</f>
        <v/>
      </c>
      <c r="T30" s="72">
        <f>(ROUNDUP(T49/6400,0))</f>
        <v/>
      </c>
      <c r="U30" s="72">
        <f>U$7</f>
        <v/>
      </c>
      <c r="V30" s="72">
        <f>(ROUNDUP(V49/6400,0))</f>
        <v/>
      </c>
      <c r="W30" s="72">
        <f>W$7</f>
        <v/>
      </c>
      <c r="X30" s="72">
        <f>(ROUNDUP(X49/5000,0))</f>
        <v/>
      </c>
      <c r="Y30" s="72">
        <f>Y$7</f>
        <v/>
      </c>
      <c r="Z30" s="20" t="n"/>
      <c r="AA30" s="20" t="n"/>
      <c r="AB30" s="20" t="n"/>
      <c r="AC30" s="21" t="n"/>
      <c r="AD30" s="72">
        <f>(ROUNDUP(SUM(Z49:AD49)/6400,0))</f>
        <v/>
      </c>
      <c r="AE30" s="72">
        <f>AE$7</f>
        <v/>
      </c>
      <c r="AF30" s="72">
        <f>(ROUNDUP(AF49/5000,0))</f>
        <v/>
      </c>
      <c r="AG30" s="72">
        <f>AG$7</f>
        <v/>
      </c>
      <c r="AH30" s="72">
        <f>(ROUNDUP(AH49/5000,0))</f>
        <v/>
      </c>
      <c r="AJ30" t="inlineStr">
        <is>
          <t>รวม</t>
        </is>
      </c>
      <c r="AK30">
        <f>SUM(AK11:AK28)</f>
        <v/>
      </c>
      <c r="AL30">
        <f>SUM(AL11:AL28)</f>
        <v/>
      </c>
      <c r="AM30">
        <f>SUM(AM11:AM28)</f>
        <v/>
      </c>
      <c r="AN30">
        <f>SUM(AN11:AN28)</f>
        <v/>
      </c>
      <c r="AO30">
        <f>SUM(AO11:AO28)</f>
        <v/>
      </c>
      <c r="AP30">
        <f>SUM(AP11:AP28)</f>
        <v/>
      </c>
      <c r="AQ30">
        <f>SUM(AQ11:AQ28)</f>
        <v/>
      </c>
      <c r="AR30">
        <f>SUM(AR11:AR28)</f>
        <v/>
      </c>
      <c r="AS30">
        <f>SUM(AS11:AS28)</f>
        <v/>
      </c>
      <c r="AT30">
        <f>SUM(AT11:AT28)</f>
        <v/>
      </c>
      <c r="AU30">
        <f>SUM(AU11:AU28)</f>
        <v/>
      </c>
      <c r="AV30">
        <f>SUM(AV11:AV28)</f>
        <v/>
      </c>
      <c r="AW30">
        <f>SUM(AW11:AW28)</f>
        <v/>
      </c>
      <c r="AX30">
        <f>SUM(AX11:AX28)</f>
        <v/>
      </c>
      <c r="AY30">
        <f>SUM(AY11:AY28)</f>
        <v/>
      </c>
    </row>
    <row r="31" hidden="1" ht="40.15" customHeight="1">
      <c r="F31" s="73">
        <f>IF($A11="","",F11*E11)</f>
        <v/>
      </c>
      <c r="G31" s="73" t="n"/>
      <c r="H31" s="73">
        <f>IF($A11="","",H11*G11)</f>
        <v/>
      </c>
      <c r="I31" s="73" t="n"/>
      <c r="J31" s="73">
        <f>IF($A11="","",J11*I11)</f>
        <v/>
      </c>
      <c r="K31" s="73" t="n"/>
      <c r="L31" s="73">
        <f>IF($A11="","",L11*K11)</f>
        <v/>
      </c>
      <c r="M31" s="73" t="n"/>
      <c r="N31" s="73">
        <f>IF($A11="","",N11*M11)</f>
        <v/>
      </c>
      <c r="O31" s="73" t="n"/>
      <c r="P31" s="73">
        <f>IF($A11="","",P11*O11)</f>
        <v/>
      </c>
      <c r="Q31" s="73" t="n"/>
      <c r="R31" s="73">
        <f>IF($A11="","",R11*Q11)</f>
        <v/>
      </c>
      <c r="S31" s="73" t="n"/>
      <c r="T31" s="73">
        <f>IF($A11="","",T11*S11)</f>
        <v/>
      </c>
      <c r="U31" s="73" t="n"/>
      <c r="V31" s="73">
        <f>IF($A11="","",V11*U11)</f>
        <v/>
      </c>
      <c r="W31" s="73" t="n"/>
      <c r="X31" s="73">
        <f>IF($A11="","",X11*W11)</f>
        <v/>
      </c>
      <c r="Y31" s="73" t="n"/>
      <c r="Z31" s="73">
        <f>IF($A11="","",Z11*Y11)</f>
        <v/>
      </c>
      <c r="AA31" s="73" t="n"/>
      <c r="AB31" s="73">
        <f>IF($A11="","",AB11*AA11)</f>
        <v/>
      </c>
      <c r="AC31" s="73" t="n"/>
      <c r="AD31" s="73">
        <f>IF($A11="","",AD11*AC11)</f>
        <v/>
      </c>
      <c r="AE31" s="73" t="n"/>
      <c r="AF31" s="73">
        <f>IF($A11="","",AF11*AE11)</f>
        <v/>
      </c>
      <c r="AG31" s="73" t="n"/>
      <c r="AH31" s="73">
        <f>IF($A11="","",AH11*AG11)</f>
        <v/>
      </c>
    </row>
    <row r="32" hidden="1" ht="40.15" customHeight="1">
      <c r="F32" s="73">
        <f>IF($A12="","",F12*E12)</f>
        <v/>
      </c>
      <c r="G32" s="73" t="n"/>
      <c r="H32" s="73">
        <f>IF($A12="","",H12*G12)</f>
        <v/>
      </c>
      <c r="I32" s="73" t="n"/>
      <c r="J32" s="73">
        <f>IF($A12="","",J12*I12)</f>
        <v/>
      </c>
      <c r="K32" s="73" t="n"/>
      <c r="L32" s="73">
        <f>IF($A12="","",L12*K12)</f>
        <v/>
      </c>
      <c r="M32" s="73" t="n"/>
      <c r="N32" s="73">
        <f>IF($A12="","",N12*M12)</f>
        <v/>
      </c>
      <c r="O32" s="73" t="n"/>
      <c r="P32" s="73">
        <f>IF($A12="","",P12*O12)</f>
        <v/>
      </c>
      <c r="Q32" s="73" t="n"/>
      <c r="R32" s="73">
        <f>IF($A12="","",R12*Q12)</f>
        <v/>
      </c>
      <c r="S32" s="73" t="n"/>
      <c r="T32" s="73">
        <f>IF($A12="","",T12*S12)</f>
        <v/>
      </c>
      <c r="U32" s="73" t="n"/>
      <c r="V32" s="73">
        <f>IF($A12="","",V12*U12)</f>
        <v/>
      </c>
      <c r="W32" s="73" t="n"/>
      <c r="X32" s="73">
        <f>IF($A12="","",X12*W12)</f>
        <v/>
      </c>
      <c r="Y32" s="73" t="n"/>
      <c r="Z32" s="73">
        <f>IF($A12="","",Z12*Y12)</f>
        <v/>
      </c>
      <c r="AA32" s="73" t="n"/>
      <c r="AB32" s="73">
        <f>IF($A12="","",AB12*AA12)</f>
        <v/>
      </c>
      <c r="AC32" s="73" t="n"/>
      <c r="AD32" s="73">
        <f>IF($A12="","",AD12*AC12)</f>
        <v/>
      </c>
      <c r="AE32" s="73" t="n"/>
      <c r="AF32" s="73">
        <f>IF($A12="","",AF12*AE12)</f>
        <v/>
      </c>
      <c r="AG32" s="73" t="n"/>
      <c r="AH32" s="73">
        <f>IF($A12="","",AH12*AG12)</f>
        <v/>
      </c>
    </row>
    <row r="33" hidden="1" ht="40.15" customHeight="1">
      <c r="F33" s="73">
        <f>IF($A13="","",F13*E13)</f>
        <v/>
      </c>
      <c r="G33" s="73" t="n"/>
      <c r="H33" s="73">
        <f>IF($A13="","",H13*G13)</f>
        <v/>
      </c>
      <c r="I33" s="73" t="n"/>
      <c r="J33" s="73">
        <f>IF($A13="","",J13*I13)</f>
        <v/>
      </c>
      <c r="K33" s="73" t="n"/>
      <c r="L33" s="73">
        <f>IF($A13="","",L13*K13)</f>
        <v/>
      </c>
      <c r="M33" s="73" t="n"/>
      <c r="N33" s="73">
        <f>IF($A13="","",N13*M13)</f>
        <v/>
      </c>
      <c r="O33" s="73" t="n"/>
      <c r="P33" s="73">
        <f>IF($A13="","",P13*O13)</f>
        <v/>
      </c>
      <c r="Q33" s="73" t="n"/>
      <c r="R33" s="73">
        <f>IF($A13="","",R13*Q13)</f>
        <v/>
      </c>
      <c r="S33" s="73" t="n"/>
      <c r="T33" s="73">
        <f>IF($A13="","",T13*S13)</f>
        <v/>
      </c>
      <c r="U33" s="73" t="n"/>
      <c r="V33" s="73">
        <f>IF($A13="","",V13*U13)</f>
        <v/>
      </c>
      <c r="W33" s="73" t="n"/>
      <c r="X33" s="73">
        <f>IF($A13="","",X13*W13)</f>
        <v/>
      </c>
      <c r="Y33" s="73" t="n"/>
      <c r="Z33" s="73">
        <f>IF($A13="","",Z13*Y13)</f>
        <v/>
      </c>
      <c r="AA33" s="73" t="n"/>
      <c r="AB33" s="73">
        <f>IF($A13="","",AB13*AA13)</f>
        <v/>
      </c>
      <c r="AC33" s="73" t="n"/>
      <c r="AD33" s="73">
        <f>IF($A13="","",AD13*AC13)</f>
        <v/>
      </c>
      <c r="AE33" s="73" t="n"/>
      <c r="AF33" s="73">
        <f>IF($A13="","",AF13*AE13)</f>
        <v/>
      </c>
      <c r="AG33" s="73" t="n"/>
      <c r="AH33" s="73">
        <f>IF($A13="","",AH13*AG13)</f>
        <v/>
      </c>
    </row>
    <row r="34" hidden="1" ht="40.15" customHeight="1">
      <c r="F34" s="73">
        <f>IF($A14="","",F14*E14)</f>
        <v/>
      </c>
      <c r="G34" s="73" t="n"/>
      <c r="H34" s="73">
        <f>IF($A14="","",H14*G14)</f>
        <v/>
      </c>
      <c r="I34" s="73" t="n"/>
      <c r="J34" s="73">
        <f>IF($A14="","",J14*I14)</f>
        <v/>
      </c>
      <c r="K34" s="73" t="n"/>
      <c r="L34" s="73">
        <f>IF($A14="","",L14*K14)</f>
        <v/>
      </c>
      <c r="M34" s="73" t="n"/>
      <c r="N34" s="73">
        <f>IF($A14="","",N14*M14)</f>
        <v/>
      </c>
      <c r="O34" s="73" t="n"/>
      <c r="P34" s="73">
        <f>IF($A14="","",P14*O14)</f>
        <v/>
      </c>
      <c r="Q34" s="73" t="n"/>
      <c r="R34" s="73">
        <f>IF($A14="","",R14*Q14)</f>
        <v/>
      </c>
      <c r="S34" s="73" t="n"/>
      <c r="T34" s="73">
        <f>IF($A14="","",T14*S14)</f>
        <v/>
      </c>
      <c r="U34" s="73" t="n"/>
      <c r="V34" s="73">
        <f>IF($A14="","",V14*U14)</f>
        <v/>
      </c>
      <c r="W34" s="73" t="n"/>
      <c r="X34" s="73">
        <f>IF($A14="","",X14*W14)</f>
        <v/>
      </c>
      <c r="Y34" s="73" t="n"/>
      <c r="Z34" s="73">
        <f>IF($A14="","",Z14*Y14)</f>
        <v/>
      </c>
      <c r="AA34" s="73" t="n"/>
      <c r="AB34" s="73">
        <f>IF($A14="","",AB14*AA14)</f>
        <v/>
      </c>
      <c r="AC34" s="73" t="n"/>
      <c r="AD34" s="73">
        <f>IF($A14="","",AD14*AC14)</f>
        <v/>
      </c>
      <c r="AE34" s="73" t="n"/>
      <c r="AF34" s="73">
        <f>IF($A14="","",AF14*AE14)</f>
        <v/>
      </c>
      <c r="AG34" s="73" t="n"/>
      <c r="AH34" s="73">
        <f>IF($A14="","",AH14*AG14)</f>
        <v/>
      </c>
    </row>
    <row r="35" hidden="1" ht="40.15" customHeight="1">
      <c r="F35" s="73">
        <f>IF($A15="","",F15*E15)</f>
        <v/>
      </c>
      <c r="G35" s="73" t="n"/>
      <c r="H35" s="73">
        <f>IF($A15="","",H15*G15)</f>
        <v/>
      </c>
      <c r="I35" s="73" t="n"/>
      <c r="J35" s="73">
        <f>IF($A15="","",J15*I15)</f>
        <v/>
      </c>
      <c r="K35" s="73" t="n"/>
      <c r="L35" s="73">
        <f>IF($A15="","",L15*K15)</f>
        <v/>
      </c>
      <c r="M35" s="73" t="n"/>
      <c r="N35" s="73">
        <f>IF($A15="","",N15*M15)</f>
        <v/>
      </c>
      <c r="O35" s="73" t="n"/>
      <c r="P35" s="73">
        <f>IF($A15="","",P15*O15)</f>
        <v/>
      </c>
      <c r="Q35" s="73" t="n"/>
      <c r="R35" s="73">
        <f>IF($A15="","",R15*Q15)</f>
        <v/>
      </c>
      <c r="S35" s="73" t="n"/>
      <c r="T35" s="73">
        <f>IF($A15="","",T15*S15)</f>
        <v/>
      </c>
      <c r="U35" s="73" t="n"/>
      <c r="V35" s="73">
        <f>IF($A15="","",V15*U15)</f>
        <v/>
      </c>
      <c r="W35" s="73" t="n"/>
      <c r="X35" s="73">
        <f>IF($A15="","",X15*W15)</f>
        <v/>
      </c>
      <c r="Y35" s="73" t="n"/>
      <c r="Z35" s="73">
        <f>IF($A15="","",Z15*Y15)</f>
        <v/>
      </c>
      <c r="AA35" s="73" t="n"/>
      <c r="AB35" s="73">
        <f>IF($A15="","",AB15*AA15)</f>
        <v/>
      </c>
      <c r="AC35" s="73" t="n"/>
      <c r="AD35" s="73">
        <f>IF($A15="","",AD15*AC15)</f>
        <v/>
      </c>
      <c r="AE35" s="73" t="n"/>
      <c r="AF35" s="73">
        <f>IF($A15="","",AF15*AE15)</f>
        <v/>
      </c>
      <c r="AG35" s="73" t="n"/>
      <c r="AH35" s="73">
        <f>IF($A15="","",AH15*AG15)</f>
        <v/>
      </c>
    </row>
    <row r="36" hidden="1">
      <c r="F36" s="73">
        <f>IF($A16="","",F16*E16)</f>
        <v/>
      </c>
      <c r="G36" s="73" t="n"/>
      <c r="H36" s="73">
        <f>IF($A16="","",H16*G16)</f>
        <v/>
      </c>
      <c r="I36" s="73" t="n"/>
      <c r="J36" s="73">
        <f>IF($A16="","",J16*I16)</f>
        <v/>
      </c>
      <c r="K36" s="73" t="n"/>
      <c r="L36" s="73">
        <f>IF($A16="","",L16*K16)</f>
        <v/>
      </c>
      <c r="M36" s="73" t="n"/>
      <c r="N36" s="73">
        <f>IF($A16="","",N16*M16)</f>
        <v/>
      </c>
      <c r="O36" s="73" t="n"/>
      <c r="P36" s="73">
        <f>IF($A16="","",P16*O16)</f>
        <v/>
      </c>
      <c r="Q36" s="73" t="n"/>
      <c r="R36" s="73">
        <f>IF($A16="","",R16*Q16)</f>
        <v/>
      </c>
      <c r="S36" s="73" t="n"/>
      <c r="T36" s="73">
        <f>IF($A16="","",T16*S16)</f>
        <v/>
      </c>
      <c r="U36" s="73" t="n"/>
      <c r="V36" s="73">
        <f>IF($A16="","",V16*U16)</f>
        <v/>
      </c>
      <c r="W36" s="73" t="n"/>
      <c r="X36" s="73">
        <f>IF($A16="","",X16*W16)</f>
        <v/>
      </c>
      <c r="Y36" s="73" t="n"/>
      <c r="Z36" s="73">
        <f>IF($A16="","",Z16*Y16)</f>
        <v/>
      </c>
      <c r="AA36" s="73" t="n"/>
      <c r="AB36" s="73">
        <f>IF($A16="","",AB16*AA16)</f>
        <v/>
      </c>
      <c r="AC36" s="73" t="n"/>
      <c r="AD36" s="73">
        <f>IF($A16="","",AD16*AC16)</f>
        <v/>
      </c>
      <c r="AE36" s="73" t="n"/>
      <c r="AF36" s="73">
        <f>IF($A16="","",AF16*AE16)</f>
        <v/>
      </c>
      <c r="AG36" s="73" t="n"/>
      <c r="AH36" s="73">
        <f>IF($A16="","",AH16*AG16)</f>
        <v/>
      </c>
    </row>
    <row r="37" hidden="1">
      <c r="F37" s="73">
        <f>IF($A17="","",F17*E17)</f>
        <v/>
      </c>
      <c r="G37" s="73" t="n"/>
      <c r="H37" s="73">
        <f>IF($A17="","",H17*G17)</f>
        <v/>
      </c>
      <c r="I37" s="73" t="n"/>
      <c r="J37" s="73">
        <f>IF($A17="","",J17*I17)</f>
        <v/>
      </c>
      <c r="K37" s="73" t="n"/>
      <c r="L37" s="73">
        <f>IF($A17="","",L17*K17)</f>
        <v/>
      </c>
      <c r="M37" s="73" t="n"/>
      <c r="N37" s="73">
        <f>IF($A17="","",N17*M17)</f>
        <v/>
      </c>
      <c r="O37" s="73" t="n"/>
      <c r="P37" s="73">
        <f>IF($A17="","",P17*O17)</f>
        <v/>
      </c>
      <c r="Q37" s="73" t="n"/>
      <c r="R37" s="73">
        <f>IF($A17="","",R17*Q17)</f>
        <v/>
      </c>
      <c r="S37" s="73" t="n"/>
      <c r="T37" s="73">
        <f>IF($A17="","",T17*S17)</f>
        <v/>
      </c>
      <c r="U37" s="73" t="n"/>
      <c r="V37" s="73">
        <f>IF($A17="","",V17*U17)</f>
        <v/>
      </c>
      <c r="W37" s="73" t="n"/>
      <c r="X37" s="73">
        <f>IF($A17="","",X17*W17)</f>
        <v/>
      </c>
      <c r="Y37" s="73" t="n"/>
      <c r="Z37" s="73">
        <f>IF($A17="","",Z17*Y17)</f>
        <v/>
      </c>
      <c r="AA37" s="73" t="n"/>
      <c r="AB37" s="73">
        <f>IF($A17="","",AB17*AA17)</f>
        <v/>
      </c>
      <c r="AC37" s="73" t="n"/>
      <c r="AD37" s="73">
        <f>IF($A17="","",AD17*AC17)</f>
        <v/>
      </c>
      <c r="AE37" s="73" t="n"/>
      <c r="AF37" s="73">
        <f>IF($A17="","",AF17*AE17)</f>
        <v/>
      </c>
      <c r="AG37" s="73" t="n"/>
      <c r="AH37" s="73">
        <f>IF($A17="","",AH17*AG17)</f>
        <v/>
      </c>
    </row>
    <row r="38" hidden="1">
      <c r="F38" s="73">
        <f>IF($A18="","",F18*E18)</f>
        <v/>
      </c>
      <c r="G38" s="73" t="n"/>
      <c r="H38" s="73">
        <f>IF($A18="","",H18*G18)</f>
        <v/>
      </c>
      <c r="I38" s="73" t="n"/>
      <c r="J38" s="73">
        <f>IF($A18="","",J18*I18)</f>
        <v/>
      </c>
      <c r="K38" s="73" t="n"/>
      <c r="L38" s="73">
        <f>IF($A18="","",L18*K18)</f>
        <v/>
      </c>
      <c r="M38" s="73" t="n"/>
      <c r="N38" s="73">
        <f>IF($A18="","",N18*M18)</f>
        <v/>
      </c>
      <c r="O38" s="73" t="n"/>
      <c r="P38" s="73">
        <f>IF($A18="","",P18*O18)</f>
        <v/>
      </c>
      <c r="Q38" s="73" t="n"/>
      <c r="R38" s="73">
        <f>IF($A18="","",R18*Q18)</f>
        <v/>
      </c>
      <c r="S38" s="73" t="n"/>
      <c r="T38" s="73">
        <f>IF($A18="","",T18*S18)</f>
        <v/>
      </c>
      <c r="U38" s="73" t="n"/>
      <c r="V38" s="73">
        <f>IF($A18="","",V18*U18)</f>
        <v/>
      </c>
      <c r="W38" s="73" t="n"/>
      <c r="X38" s="73">
        <f>IF($A18="","",X18*W18)</f>
        <v/>
      </c>
      <c r="Y38" s="73" t="n"/>
      <c r="Z38" s="73">
        <f>IF($A18="","",Z18*Y18)</f>
        <v/>
      </c>
      <c r="AA38" s="73" t="n"/>
      <c r="AB38" s="73">
        <f>IF($A18="","",AB18*AA18)</f>
        <v/>
      </c>
      <c r="AC38" s="73" t="n"/>
      <c r="AD38" s="73">
        <f>IF($A18="","",AD18*AC18)</f>
        <v/>
      </c>
      <c r="AE38" s="73" t="n"/>
      <c r="AF38" s="73">
        <f>IF($A18="","",AF18*AE18)</f>
        <v/>
      </c>
      <c r="AG38" s="73" t="n"/>
      <c r="AH38" s="73">
        <f>IF($A18="","",AH18*AG18)</f>
        <v/>
      </c>
    </row>
    <row r="39" hidden="1">
      <c r="F39" s="73">
        <f>IF($A19="","",F19*E19)</f>
        <v/>
      </c>
      <c r="G39" s="73" t="n"/>
      <c r="H39" s="73">
        <f>IF($A19="","",H19*G19)</f>
        <v/>
      </c>
      <c r="I39" s="73" t="n"/>
      <c r="J39" s="73">
        <f>IF($A19="","",J19*I19)</f>
        <v/>
      </c>
      <c r="K39" s="73" t="n"/>
      <c r="L39" s="73">
        <f>IF($A19="","",L19*K19)</f>
        <v/>
      </c>
      <c r="M39" s="73" t="n"/>
      <c r="N39" s="73">
        <f>IF($A19="","",N19*M19)</f>
        <v/>
      </c>
      <c r="O39" s="73" t="n"/>
      <c r="P39" s="73">
        <f>IF($A19="","",P19*O19)</f>
        <v/>
      </c>
      <c r="Q39" s="73" t="n"/>
      <c r="R39" s="73">
        <f>IF($A19="","",R19*Q19)</f>
        <v/>
      </c>
      <c r="S39" s="73" t="n"/>
      <c r="T39" s="73">
        <f>IF($A19="","",T19*S19)</f>
        <v/>
      </c>
      <c r="U39" s="73" t="n"/>
      <c r="V39" s="73">
        <f>IF($A19="","",V19*U19)</f>
        <v/>
      </c>
      <c r="W39" s="73" t="n"/>
      <c r="X39" s="73">
        <f>IF($A19="","",X19*W19)</f>
        <v/>
      </c>
      <c r="Y39" s="73" t="n"/>
      <c r="Z39" s="73">
        <f>IF($A19="","",Z19*Y19)</f>
        <v/>
      </c>
      <c r="AA39" s="73" t="n"/>
      <c r="AB39" s="73">
        <f>IF($A19="","",AB19*AA19)</f>
        <v/>
      </c>
      <c r="AC39" s="73" t="n"/>
      <c r="AD39" s="73">
        <f>IF($A19="","",AD19*AC19)</f>
        <v/>
      </c>
      <c r="AE39" s="73" t="n"/>
      <c r="AF39" s="73">
        <f>IF($A19="","",AF19*AE19)</f>
        <v/>
      </c>
      <c r="AG39" s="73" t="n"/>
      <c r="AH39" s="73">
        <f>IF($A19="","",AH19*AG19)</f>
        <v/>
      </c>
    </row>
    <row r="40" hidden="1">
      <c r="F40" s="73">
        <f>IF($A20="","",F20*E20)</f>
        <v/>
      </c>
      <c r="G40" s="73" t="n"/>
      <c r="H40" s="73">
        <f>IF($A20="","",H20*G20)</f>
        <v/>
      </c>
      <c r="I40" s="73" t="n"/>
      <c r="J40" s="73">
        <f>IF($A20="","",J20*I20)</f>
        <v/>
      </c>
      <c r="K40" s="73" t="n"/>
      <c r="L40" s="73">
        <f>IF($A20="","",L20*K20)</f>
        <v/>
      </c>
      <c r="M40" s="73" t="n"/>
      <c r="N40" s="73">
        <f>IF($A20="","",N20*M20)</f>
        <v/>
      </c>
      <c r="O40" s="73" t="n"/>
      <c r="P40" s="73">
        <f>IF($A20="","",P20*O20)</f>
        <v/>
      </c>
      <c r="Q40" s="73" t="n"/>
      <c r="R40" s="73">
        <f>IF($A20="","",R20*Q20)</f>
        <v/>
      </c>
      <c r="S40" s="73" t="n"/>
      <c r="T40" s="73">
        <f>IF($A20="","",T20*S20)</f>
        <v/>
      </c>
      <c r="U40" s="73" t="n"/>
      <c r="V40" s="73">
        <f>IF($A20="","",V20*U20)</f>
        <v/>
      </c>
      <c r="W40" s="73" t="n"/>
      <c r="X40" s="73">
        <f>IF($A20="","",X20*W20)</f>
        <v/>
      </c>
      <c r="Y40" s="73" t="n"/>
      <c r="Z40" s="73">
        <f>IF($A20="","",Z20*Y20)</f>
        <v/>
      </c>
      <c r="AA40" s="73" t="n"/>
      <c r="AB40" s="73">
        <f>IF($A20="","",AB20*AA20)</f>
        <v/>
      </c>
      <c r="AC40" s="73" t="n"/>
      <c r="AD40" s="73">
        <f>IF($A20="","",AD20*AC20)</f>
        <v/>
      </c>
      <c r="AE40" s="73" t="n"/>
      <c r="AF40" s="73">
        <f>IF($A20="","",AF20*AE20)</f>
        <v/>
      </c>
      <c r="AG40" s="73" t="n"/>
      <c r="AH40" s="73">
        <f>IF($A20="","",AH20*AG20)</f>
        <v/>
      </c>
    </row>
    <row r="41" hidden="1">
      <c r="F41" s="73">
        <f>IF($A21="","",F21*E21)</f>
        <v/>
      </c>
      <c r="G41" s="73" t="n"/>
      <c r="H41" s="73">
        <f>IF($A21="","",H21*G21)</f>
        <v/>
      </c>
      <c r="I41" s="73" t="n"/>
      <c r="J41" s="73">
        <f>IF($A21="","",J21*I21)</f>
        <v/>
      </c>
      <c r="K41" s="73" t="n"/>
      <c r="L41" s="73">
        <f>IF($A21="","",L21*K21)</f>
        <v/>
      </c>
      <c r="M41" s="73" t="n"/>
      <c r="N41" s="73">
        <f>IF($A21="","",N21*M21)</f>
        <v/>
      </c>
      <c r="O41" s="73" t="n"/>
      <c r="P41" s="73">
        <f>IF($A21="","",P21*O21)</f>
        <v/>
      </c>
      <c r="Q41" s="73" t="n"/>
      <c r="R41" s="73">
        <f>IF($A21="","",R21*Q21)</f>
        <v/>
      </c>
      <c r="S41" s="73" t="n"/>
      <c r="T41" s="73">
        <f>IF($A21="","",T21*S21)</f>
        <v/>
      </c>
      <c r="U41" s="73" t="n"/>
      <c r="V41" s="73">
        <f>IF($A21="","",V21*U21)</f>
        <v/>
      </c>
      <c r="W41" s="73" t="n"/>
      <c r="X41" s="73">
        <f>IF($A21="","",X21*W21)</f>
        <v/>
      </c>
      <c r="Y41" s="73" t="n"/>
      <c r="Z41" s="73">
        <f>IF($A21="","",Z21*Y21)</f>
        <v/>
      </c>
      <c r="AA41" s="73" t="n"/>
      <c r="AB41" s="73">
        <f>IF($A21="","",AB21*AA21)</f>
        <v/>
      </c>
      <c r="AC41" s="73" t="n"/>
      <c r="AD41" s="73">
        <f>IF($A21="","",AD21*AC21)</f>
        <v/>
      </c>
      <c r="AE41" s="73" t="n"/>
      <c r="AF41" s="73">
        <f>IF($A21="","",AF21*AE21)</f>
        <v/>
      </c>
      <c r="AG41" s="73" t="n"/>
      <c r="AH41" s="73">
        <f>IF($A21="","",AH21*AG21)</f>
        <v/>
      </c>
    </row>
    <row r="42" hidden="1">
      <c r="F42" s="73">
        <f>IF($A22="","",F22*E22)</f>
        <v/>
      </c>
      <c r="G42" s="73" t="n"/>
      <c r="H42" s="73">
        <f>IF($A22="","",H22*G22)</f>
        <v/>
      </c>
      <c r="I42" s="73" t="n"/>
      <c r="J42" s="73">
        <f>IF($A22="","",J22*I22)</f>
        <v/>
      </c>
      <c r="K42" s="73" t="n"/>
      <c r="L42" s="73">
        <f>IF($A22="","",L22*K22)</f>
        <v/>
      </c>
      <c r="M42" s="73" t="n"/>
      <c r="N42" s="73">
        <f>IF($A22="","",N22*M22)</f>
        <v/>
      </c>
      <c r="O42" s="73" t="n"/>
      <c r="P42" s="73">
        <f>IF($A22="","",P22*O22)</f>
        <v/>
      </c>
      <c r="Q42" s="73" t="n"/>
      <c r="R42" s="73">
        <f>IF($A22="","",R22*Q22)</f>
        <v/>
      </c>
      <c r="S42" s="73" t="n"/>
      <c r="T42" s="73">
        <f>IF($A22="","",T22*S22)</f>
        <v/>
      </c>
      <c r="U42" s="73" t="n"/>
      <c r="V42" s="73">
        <f>IF($A22="","",V22*U22)</f>
        <v/>
      </c>
      <c r="W42" s="73" t="n"/>
      <c r="X42" s="73">
        <f>IF($A22="","",X22*W22)</f>
        <v/>
      </c>
      <c r="Y42" s="73" t="n"/>
      <c r="Z42" s="73">
        <f>IF($A22="","",Z22*Y22)</f>
        <v/>
      </c>
      <c r="AA42" s="73" t="n"/>
      <c r="AB42" s="73">
        <f>IF($A22="","",AB22*AA22)</f>
        <v/>
      </c>
      <c r="AC42" s="73" t="n"/>
      <c r="AD42" s="73">
        <f>IF($A22="","",AD22*AC22)</f>
        <v/>
      </c>
      <c r="AE42" s="73" t="n"/>
      <c r="AF42" s="73">
        <f>IF($A22="","",AF22*AE22)</f>
        <v/>
      </c>
      <c r="AG42" s="73" t="n"/>
      <c r="AH42" s="73">
        <f>IF($A22="","",AH22*AG22)</f>
        <v/>
      </c>
    </row>
    <row r="43" hidden="1">
      <c r="F43" s="73">
        <f>IF($A23="","",F23*E23)</f>
        <v/>
      </c>
      <c r="G43" s="73" t="n"/>
      <c r="H43" s="73">
        <f>IF($A23="","",H23*G23)</f>
        <v/>
      </c>
      <c r="I43" s="73" t="n"/>
      <c r="J43" s="73">
        <f>IF($A23="","",J23*I23)</f>
        <v/>
      </c>
      <c r="K43" s="73" t="n"/>
      <c r="L43" s="73">
        <f>IF($A23="","",L23*K23)</f>
        <v/>
      </c>
      <c r="M43" s="73" t="n"/>
      <c r="N43" s="73">
        <f>IF($A23="","",N23*M23)</f>
        <v/>
      </c>
      <c r="O43" s="73" t="n"/>
      <c r="P43" s="73">
        <f>IF($A23="","",P23*O23)</f>
        <v/>
      </c>
      <c r="Q43" s="73" t="n"/>
      <c r="R43" s="73">
        <f>IF($A23="","",R23*Q23)</f>
        <v/>
      </c>
      <c r="S43" s="73" t="n"/>
      <c r="T43" s="73">
        <f>IF($A23="","",T23*S23)</f>
        <v/>
      </c>
      <c r="U43" s="73" t="n"/>
      <c r="V43" s="73">
        <f>IF($A23="","",V23*U23)</f>
        <v/>
      </c>
      <c r="W43" s="73" t="n"/>
      <c r="X43" s="73">
        <f>IF($A23="","",X23*W23)</f>
        <v/>
      </c>
      <c r="Y43" s="73" t="n"/>
      <c r="Z43" s="73">
        <f>IF($A23="","",Z23*Y23)</f>
        <v/>
      </c>
      <c r="AA43" s="73" t="n"/>
      <c r="AB43" s="73">
        <f>IF($A23="","",AB23*AA23)</f>
        <v/>
      </c>
      <c r="AC43" s="73" t="n"/>
      <c r="AD43" s="73">
        <f>IF($A23="","",AD23*AC23)</f>
        <v/>
      </c>
      <c r="AE43" s="73" t="n"/>
      <c r="AF43" s="73">
        <f>IF($A23="","",AF23*AE23)</f>
        <v/>
      </c>
      <c r="AG43" s="73" t="n"/>
      <c r="AH43" s="73">
        <f>IF($A23="","",AH23*AG23)</f>
        <v/>
      </c>
    </row>
    <row r="44" hidden="1">
      <c r="F44" s="73">
        <f>IF($A24="","",F24*E24)</f>
        <v/>
      </c>
      <c r="G44" s="73" t="n"/>
      <c r="H44" s="73">
        <f>IF($A24="","",H24*G24)</f>
        <v/>
      </c>
      <c r="I44" s="73" t="n"/>
      <c r="J44" s="73">
        <f>IF($A24="","",J24*I24)</f>
        <v/>
      </c>
      <c r="K44" s="73" t="n"/>
      <c r="L44" s="73">
        <f>IF($A24="","",L24*K24)</f>
        <v/>
      </c>
      <c r="M44" s="73" t="n"/>
      <c r="N44" s="73">
        <f>IF($A24="","",N24*M24)</f>
        <v/>
      </c>
      <c r="O44" s="73" t="n"/>
      <c r="P44" s="73">
        <f>IF($A24="","",P24*O24)</f>
        <v/>
      </c>
      <c r="Q44" s="73" t="n"/>
      <c r="R44" s="73">
        <f>IF($A24="","",R24*Q24)</f>
        <v/>
      </c>
      <c r="S44" s="73" t="n"/>
      <c r="T44" s="73">
        <f>IF($A24="","",T24*S24)</f>
        <v/>
      </c>
      <c r="U44" s="73" t="n"/>
      <c r="V44" s="73">
        <f>IF($A24="","",V24*U24)</f>
        <v/>
      </c>
      <c r="W44" s="73" t="n"/>
      <c r="X44" s="73">
        <f>IF($A24="","",X24*W24)</f>
        <v/>
      </c>
      <c r="Y44" s="73" t="n"/>
      <c r="Z44" s="73">
        <f>IF($A24="","",Z24*Y24)</f>
        <v/>
      </c>
      <c r="AA44" s="73" t="n"/>
      <c r="AB44" s="73">
        <f>IF($A24="","",AB24*AA24)</f>
        <v/>
      </c>
      <c r="AC44" s="73" t="n"/>
      <c r="AD44" s="73">
        <f>IF($A24="","",AD24*AC24)</f>
        <v/>
      </c>
      <c r="AE44" s="73" t="n"/>
      <c r="AF44" s="73">
        <f>IF($A24="","",AF24*AE24)</f>
        <v/>
      </c>
      <c r="AG44" s="73" t="n"/>
      <c r="AH44" s="73">
        <f>IF($A24="","",AH24*AG24)</f>
        <v/>
      </c>
    </row>
    <row r="45" hidden="1">
      <c r="F45" s="73">
        <f>IF($A25="","",F25*E25)</f>
        <v/>
      </c>
      <c r="G45" s="73" t="n"/>
      <c r="H45" s="73">
        <f>IF($A25="","",H25*G25)</f>
        <v/>
      </c>
      <c r="I45" s="73" t="n"/>
      <c r="J45" s="73">
        <f>IF($A25="","",J25*I25)</f>
        <v/>
      </c>
      <c r="K45" s="73" t="n"/>
      <c r="L45" s="73">
        <f>IF($A25="","",L25*K25)</f>
        <v/>
      </c>
      <c r="M45" s="73" t="n"/>
      <c r="N45" s="73">
        <f>IF($A25="","",N25*M25)</f>
        <v/>
      </c>
      <c r="O45" s="73" t="n"/>
      <c r="P45" s="73">
        <f>IF($A25="","",P25*O25)</f>
        <v/>
      </c>
      <c r="Q45" s="73" t="n"/>
      <c r="R45" s="73">
        <f>IF($A25="","",R25*Q25)</f>
        <v/>
      </c>
      <c r="S45" s="73" t="n"/>
      <c r="T45" s="73">
        <f>IF($A25="","",T25*S25)</f>
        <v/>
      </c>
      <c r="U45" s="73" t="n"/>
      <c r="V45" s="73">
        <f>IF($A25="","",V25*U25)</f>
        <v/>
      </c>
      <c r="W45" s="73" t="n"/>
      <c r="X45" s="73">
        <f>IF($A25="","",X25*W25)</f>
        <v/>
      </c>
      <c r="Y45" s="73" t="n"/>
      <c r="Z45" s="73">
        <f>IF($A25="","",Z25*Y25)</f>
        <v/>
      </c>
      <c r="AA45" s="73" t="n"/>
      <c r="AB45" s="73">
        <f>IF($A25="","",AB25*AA25)</f>
        <v/>
      </c>
      <c r="AC45" s="73" t="n"/>
      <c r="AD45" s="73">
        <f>IF($A25="","",AD25*AC25)</f>
        <v/>
      </c>
      <c r="AE45" s="73" t="n"/>
      <c r="AF45" s="73">
        <f>IF($A25="","",AF25*AE25)</f>
        <v/>
      </c>
      <c r="AG45" s="73" t="n"/>
      <c r="AH45" s="73">
        <f>IF($A25="","",AH25*AG25)</f>
        <v/>
      </c>
    </row>
    <row r="46" hidden="1">
      <c r="F46" s="73">
        <f>IF($A26="","",F26*E26)</f>
        <v/>
      </c>
      <c r="G46" s="73" t="n"/>
      <c r="H46" s="73">
        <f>IF($A26="","",H26*G26)</f>
        <v/>
      </c>
      <c r="I46" s="73" t="n"/>
      <c r="J46" s="73">
        <f>IF($A26="","",J26*I26)</f>
        <v/>
      </c>
      <c r="K46" s="73" t="n"/>
      <c r="L46" s="73">
        <f>IF($A26="","",L26*K26)</f>
        <v/>
      </c>
      <c r="M46" s="73" t="n"/>
      <c r="N46" s="73">
        <f>IF($A26="","",N26*M26)</f>
        <v/>
      </c>
      <c r="O46" s="73" t="n"/>
      <c r="P46" s="73">
        <f>IF($A26="","",P26*O26)</f>
        <v/>
      </c>
      <c r="Q46" s="73" t="n"/>
      <c r="R46" s="73">
        <f>IF($A26="","",R26*Q26)</f>
        <v/>
      </c>
      <c r="S46" s="73" t="n"/>
      <c r="T46" s="73">
        <f>IF($A26="","",T26*S26)</f>
        <v/>
      </c>
      <c r="U46" s="73" t="n"/>
      <c r="V46" s="73">
        <f>IF($A26="","",V26*U26)</f>
        <v/>
      </c>
      <c r="W46" s="73" t="n"/>
      <c r="X46" s="73">
        <f>IF($A26="","",X26*W26)</f>
        <v/>
      </c>
      <c r="Y46" s="73" t="n"/>
      <c r="Z46" s="73">
        <f>IF($A26="","",Z26*Y26)</f>
        <v/>
      </c>
      <c r="AA46" s="73" t="n"/>
      <c r="AB46" s="73">
        <f>IF($A26="","",AB26*AA26)</f>
        <v/>
      </c>
      <c r="AC46" s="73" t="n"/>
      <c r="AD46" s="73">
        <f>IF($A26="","",AD26*AC26)</f>
        <v/>
      </c>
      <c r="AE46" s="73" t="n"/>
      <c r="AF46" s="73">
        <f>IF($A26="","",AF26*AE26)</f>
        <v/>
      </c>
      <c r="AG46" s="73" t="n"/>
      <c r="AH46" s="73">
        <f>IF($A26="","",AH26*AG26)</f>
        <v/>
      </c>
    </row>
    <row r="47" hidden="1">
      <c r="F47" s="73">
        <f>IF($A27="","",F27*E27)</f>
        <v/>
      </c>
      <c r="G47" s="73" t="n"/>
      <c r="H47" s="73">
        <f>IF($A27="","",H27*G27)</f>
        <v/>
      </c>
      <c r="I47" s="73" t="n"/>
      <c r="J47" s="73">
        <f>IF($A27="","",J27*I27)</f>
        <v/>
      </c>
      <c r="K47" s="73" t="n"/>
      <c r="L47" s="73">
        <f>IF($A27="","",L27*K27)</f>
        <v/>
      </c>
      <c r="M47" s="73" t="n"/>
      <c r="N47" s="73">
        <f>IF($A27="","",N27*M27)</f>
        <v/>
      </c>
      <c r="O47" s="73" t="n"/>
      <c r="P47" s="73">
        <f>IF($A27="","",P27*O27)</f>
        <v/>
      </c>
      <c r="Q47" s="73" t="n"/>
      <c r="R47" s="73">
        <f>IF($A27="","",R27*Q27)</f>
        <v/>
      </c>
      <c r="S47" s="73" t="n"/>
      <c r="T47" s="73">
        <f>IF($A27="","",T27*S27)</f>
        <v/>
      </c>
      <c r="U47" s="73" t="n"/>
      <c r="V47" s="73">
        <f>IF($A27="","",V27*U27)</f>
        <v/>
      </c>
      <c r="W47" s="73" t="n"/>
      <c r="X47" s="73">
        <f>IF($A27="","",X27*W27)</f>
        <v/>
      </c>
      <c r="Y47" s="73" t="n"/>
      <c r="Z47" s="73">
        <f>IF($A27="","",Z27*Y27)</f>
        <v/>
      </c>
      <c r="AA47" s="73" t="n"/>
      <c r="AB47" s="73">
        <f>IF($A27="","",AB27*AA27)</f>
        <v/>
      </c>
      <c r="AC47" s="73" t="n"/>
      <c r="AD47" s="73">
        <f>IF($A27="","",AD27*AC27)</f>
        <v/>
      </c>
      <c r="AE47" s="73" t="n"/>
      <c r="AF47" s="73">
        <f>IF($A27="","",AF27*AE27)</f>
        <v/>
      </c>
      <c r="AG47" s="73" t="n"/>
      <c r="AH47" s="73">
        <f>IF($A27="","",AH27*AG27)</f>
        <v/>
      </c>
    </row>
    <row r="48" hidden="1">
      <c r="F48" s="73">
        <f>IF($A28="","",F28*E28)</f>
        <v/>
      </c>
      <c r="G48" s="73" t="n"/>
      <c r="H48" s="73">
        <f>IF($A28="","",H28*G28)</f>
        <v/>
      </c>
      <c r="I48" s="73" t="n"/>
      <c r="J48" s="73">
        <f>IF($A28="","",J28*I28)</f>
        <v/>
      </c>
      <c r="K48" s="73" t="n"/>
      <c r="L48" s="73">
        <f>IF($A28="","",L28*K28)</f>
        <v/>
      </c>
      <c r="M48" s="73" t="n"/>
      <c r="N48" s="73">
        <f>IF($A28="","",N28*M28)</f>
        <v/>
      </c>
      <c r="O48" s="73" t="n"/>
      <c r="P48" s="73">
        <f>IF($A28="","",P28*O28)</f>
        <v/>
      </c>
      <c r="Q48" s="73" t="n"/>
      <c r="R48" s="73">
        <f>IF($A28="","",R28*Q28)</f>
        <v/>
      </c>
      <c r="S48" s="73" t="n"/>
      <c r="T48" s="73">
        <f>IF($A28="","",T28*S28)</f>
        <v/>
      </c>
      <c r="U48" s="73" t="n"/>
      <c r="V48" s="73">
        <f>IF($A28="","",V28*U28)</f>
        <v/>
      </c>
      <c r="W48" s="73" t="n"/>
      <c r="X48" s="73">
        <f>IF($A28="","",X28*W28)</f>
        <v/>
      </c>
      <c r="Y48" s="73" t="n"/>
      <c r="Z48" s="73">
        <f>IF($A28="","",Z28*Y28)</f>
        <v/>
      </c>
      <c r="AA48" s="73" t="n"/>
      <c r="AB48" s="73">
        <f>IF($A28="","",AB28*AA28)</f>
        <v/>
      </c>
      <c r="AC48" s="73" t="n"/>
      <c r="AD48" s="73">
        <f>IF($A28="","",AD28*AC28)</f>
        <v/>
      </c>
      <c r="AE48" s="73" t="n"/>
      <c r="AF48" s="73">
        <f>IF($A28="","",AF28*AE28)</f>
        <v/>
      </c>
      <c r="AG48" s="73" t="n"/>
      <c r="AH48" s="73">
        <f>IF($A28="","",AH28*AG28)</f>
        <v/>
      </c>
    </row>
    <row r="49" hidden="1">
      <c r="F49" s="74">
        <f>SUMIF(F31:F48,"&gt;0")</f>
        <v/>
      </c>
      <c r="H49" s="74">
        <f>SUMIF(H31:H48,"&gt;0")</f>
        <v/>
      </c>
      <c r="I49" s="74" t="n"/>
      <c r="J49" s="74">
        <f>SUMIF(J31:J48,"&gt;0")</f>
        <v/>
      </c>
      <c r="K49" s="74" t="n"/>
      <c r="L49" s="74">
        <f>SUMIF(L31:L48,"&gt;0")</f>
        <v/>
      </c>
      <c r="M49" s="74" t="n"/>
      <c r="N49" s="74">
        <f>SUMIF(N31:N48,"&gt;0")</f>
        <v/>
      </c>
      <c r="P49" s="74">
        <f>SUMIF(P31:P48,"&gt;0")</f>
        <v/>
      </c>
      <c r="Q49" s="74" t="n"/>
      <c r="R49" s="74">
        <f>SUMIF(R31:R48,"&gt;0")</f>
        <v/>
      </c>
      <c r="S49" s="74" t="n"/>
      <c r="T49" s="74">
        <f>SUMIF(T31:T48,"&gt;0")</f>
        <v/>
      </c>
      <c r="U49" s="74" t="n"/>
      <c r="V49" s="74">
        <f>SUMIF(V31:V48,"&gt;0")</f>
        <v/>
      </c>
      <c r="X49" s="74">
        <f>SUMIF(X31:X48,"&gt;0")</f>
        <v/>
      </c>
      <c r="Y49" s="74" t="n"/>
      <c r="Z49" s="74">
        <f>SUMIF(Z31:Z48,"&gt;0")</f>
        <v/>
      </c>
      <c r="AA49" s="74" t="n"/>
      <c r="AB49" s="74">
        <f>SUMIF(AB31:AB48,"&gt;0")</f>
        <v/>
      </c>
      <c r="AC49" s="74" t="n"/>
      <c r="AD49" s="74">
        <f>SUMIF(AD31:AD48,"&gt;0")</f>
        <v/>
      </c>
      <c r="AE49" s="74" t="n"/>
      <c r="AF49" s="74">
        <f>SUMIF(AF31:AF48,"&gt;0")</f>
        <v/>
      </c>
      <c r="AG49" s="74" t="n"/>
      <c r="AH49" s="74">
        <f>SUMIF(AH31:AH48,"&gt;0")</f>
        <v/>
      </c>
    </row>
    <row r="52">
      <c r="A52" s="75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</row>
    <row r="53">
      <c r="A53" s="77" t="inlineStr">
        <is>
          <t>#</t>
        </is>
      </c>
      <c r="B53" s="77" t="inlineStr">
        <is>
          <t>โปรไฟล์</t>
        </is>
      </c>
      <c r="C53" s="77" t="inlineStr">
        <is>
          <t>รหัส</t>
        </is>
      </c>
      <c r="D53" s="77" t="inlineStr">
        <is>
          <t>สูตรตัด (เดิม)</t>
        </is>
      </c>
      <c r="E53" s="77" t="inlineStr">
        <is>
          <t>หัก1</t>
        </is>
      </c>
      <c r="F53" s="77" t="inlineStr">
        <is>
          <t>หัก2</t>
        </is>
      </c>
      <c r="G53" s="77" t="inlineStr">
        <is>
          <t>หัก3</t>
        </is>
      </c>
      <c r="H53" s="77" t="inlineStr">
        <is>
          <t>หัก4</t>
        </is>
      </c>
      <c r="I53" s="77" t="inlineStr">
        <is>
          <t>หัก5</t>
        </is>
      </c>
      <c r="J53" s="77" t="inlineStr">
        <is>
          <t>หัก6</t>
        </is>
      </c>
      <c r="K53" s="77" t="inlineStr">
        <is>
          <t>หัก7</t>
        </is>
      </c>
      <c r="L53" s="77" t="inlineStr">
        <is>
          <t>จำนวน/ชุด</t>
        </is>
      </c>
      <c r="M53" s="122" t="n"/>
    </row>
    <row r="54" ht="44" customHeight="1">
      <c r="A54" s="78" t="n">
        <v>1</v>
      </c>
      <c r="B54" s="79" t="inlineStr">
        <is>
          <t>เฟรมข้าง</t>
        </is>
      </c>
      <c r="C54" s="80" t="inlineStr">
        <is>
          <t>F7978</t>
        </is>
      </c>
      <c r="D54" s="81" t="inlineStr">
        <is>
          <t>สูง</t>
        </is>
      </c>
      <c r="E54" s="82" t="n"/>
      <c r="F54" s="82" t="n"/>
      <c r="G54" s="82" t="n"/>
      <c r="H54" s="82" t="n"/>
      <c r="I54" s="82" t="n"/>
      <c r="J54" s="82" t="n"/>
      <c r="K54" s="82" t="n"/>
      <c r="L54" s="83" t="n">
        <v>2</v>
      </c>
      <c r="M54" s="82" t="n"/>
    </row>
    <row r="55" ht="44" customHeight="1">
      <c r="A55" s="78" t="n">
        <v>2</v>
      </c>
      <c r="B55" s="79" t="inlineStr">
        <is>
          <t>เฟรม บน-ล่าง</t>
        </is>
      </c>
      <c r="C55" s="80" t="inlineStr">
        <is>
          <t>F7976</t>
        </is>
      </c>
      <c r="D55" s="81" t="inlineStr">
        <is>
          <t>กว้าง-21-21</t>
        </is>
      </c>
      <c r="E55" s="83" t="n">
        <v>21</v>
      </c>
      <c r="F55" s="83" t="n">
        <v>21</v>
      </c>
      <c r="G55" s="82" t="n"/>
      <c r="H55" s="82" t="n"/>
      <c r="I55" s="82" t="n"/>
      <c r="J55" s="82" t="n"/>
      <c r="K55" s="82" t="n"/>
      <c r="L55" s="83" t="n">
        <v>2</v>
      </c>
      <c r="M55" s="82" t="n"/>
    </row>
    <row r="56" ht="44" customHeight="1">
      <c r="A56" s="78" t="n">
        <v>3</v>
      </c>
      <c r="B56" s="79" t="inlineStr">
        <is>
          <t>ตบกันสาด</t>
        </is>
      </c>
      <c r="C56" s="80" t="inlineStr">
        <is>
          <t>F7992</t>
        </is>
      </c>
      <c r="D56" s="81" t="inlineStr">
        <is>
          <t>กว้าง</t>
        </is>
      </c>
      <c r="E56" s="82" t="n"/>
      <c r="F56" s="82" t="n"/>
      <c r="G56" s="82" t="n"/>
      <c r="H56" s="82" t="n"/>
      <c r="I56" s="82" t="n"/>
      <c r="J56" s="82" t="n"/>
      <c r="K56" s="82" t="n"/>
      <c r="L56" s="83" t="n">
        <v>1</v>
      </c>
      <c r="M56" s="82" t="n"/>
    </row>
    <row r="57" ht="44" customHeight="1">
      <c r="A57" s="78" t="n">
        <v>4</v>
      </c>
      <c r="B57" s="79" t="inlineStr">
        <is>
          <t>เสา</t>
        </is>
      </c>
      <c r="C57" s="80" t="inlineStr">
        <is>
          <t>F7980</t>
        </is>
      </c>
      <c r="D57" s="81" t="inlineStr">
        <is>
          <t>สูง-21-19-13-21</t>
        </is>
      </c>
      <c r="E57" s="83" t="n">
        <v>21</v>
      </c>
      <c r="F57" s="83" t="n">
        <v>19</v>
      </c>
      <c r="G57" s="83" t="n">
        <v>13</v>
      </c>
      <c r="H57" s="83" t="n">
        <v>21</v>
      </c>
      <c r="I57" s="82" t="n"/>
      <c r="J57" s="82" t="n"/>
      <c r="K57" s="82" t="n"/>
      <c r="L57" s="83" t="n">
        <v>4</v>
      </c>
      <c r="M57" s="82" t="n"/>
    </row>
    <row r="58" ht="15" customHeight="1">
      <c r="A58" s="78" t="n">
        <v>5</v>
      </c>
      <c r="B58" s="79" t="inlineStr">
        <is>
          <t>ขวาง</t>
        </is>
      </c>
      <c r="C58" s="80" t="inlineStr">
        <is>
          <t>-</t>
        </is>
      </c>
      <c r="D58" s="81" t="inlineStr">
        <is>
          <t>((กว้าง-21-1.2-3-21)/2)+(78x1/2)</t>
        </is>
      </c>
      <c r="E58" s="83" t="n">
        <v>21</v>
      </c>
      <c r="F58" s="83" t="n">
        <v>1.2</v>
      </c>
      <c r="G58" s="83" t="n">
        <v>3</v>
      </c>
      <c r="H58" s="83" t="n">
        <v>21</v>
      </c>
      <c r="I58" s="82" t="n"/>
      <c r="J58" s="82" t="n"/>
      <c r="K58" s="82" t="n"/>
      <c r="L58" s="83" t="n">
        <v>4</v>
      </c>
      <c r="M58" s="82" t="n"/>
    </row>
    <row r="59" ht="44" customHeight="1">
      <c r="A59" s="78" t="n">
        <v>6</v>
      </c>
      <c r="B59" s="79" t="inlineStr">
        <is>
          <t>คิ้ว ตั้ง</t>
        </is>
      </c>
      <c r="C59" s="80" t="inlineStr">
        <is>
          <t>F7919</t>
        </is>
      </c>
      <c r="D59" s="81" t="inlineStr">
        <is>
          <t>เสา-78-78</t>
        </is>
      </c>
      <c r="E59" s="83" t="n">
        <v>78</v>
      </c>
      <c r="F59" s="83" t="n">
        <v>78</v>
      </c>
      <c r="G59" s="82" t="n"/>
      <c r="H59" s="82" t="n"/>
      <c r="I59" s="82" t="n"/>
      <c r="J59" s="82" t="n"/>
      <c r="K59" s="82" t="n"/>
      <c r="L59" s="83" t="n">
        <v>4</v>
      </c>
      <c r="M59" s="82" t="n"/>
    </row>
    <row r="60" ht="15" customHeight="1">
      <c r="A60" s="78" t="n">
        <v>7</v>
      </c>
      <c r="B60" s="79" t="inlineStr">
        <is>
          <t>คิ้ว ขวาง</t>
        </is>
      </c>
      <c r="C60" s="80" t="inlineStr">
        <is>
          <t>-</t>
        </is>
      </c>
      <c r="D60" s="81" t="inlineStr">
        <is>
          <t>ขวาง-63-63</t>
        </is>
      </c>
      <c r="E60" s="83" t="n">
        <v>63</v>
      </c>
      <c r="F60" s="83" t="n">
        <v>63</v>
      </c>
      <c r="G60" s="82" t="n"/>
      <c r="H60" s="82" t="n"/>
      <c r="I60" s="82" t="n"/>
      <c r="J60" s="82" t="n"/>
      <c r="K60" s="82" t="n"/>
      <c r="L60" s="83" t="n">
        <v>4</v>
      </c>
      <c r="M60" s="82" t="n"/>
    </row>
    <row r="61" ht="44" customHeight="1">
      <c r="A61" s="78" t="n">
        <v>8</v>
      </c>
      <c r="B61" s="79" t="inlineStr">
        <is>
          <t>ตบเกี่ยว</t>
        </is>
      </c>
      <c r="C61" s="80" t="inlineStr">
        <is>
          <t>F7983</t>
        </is>
      </c>
      <c r="D61" s="81" t="inlineStr">
        <is>
          <t>สูงกรอบบาน</t>
        </is>
      </c>
      <c r="E61" s="82" t="n"/>
      <c r="F61" s="82" t="n"/>
      <c r="G61" s="82" t="n"/>
      <c r="H61" s="82" t="n"/>
      <c r="I61" s="82" t="n"/>
      <c r="J61" s="82" t="n"/>
      <c r="K61" s="82" t="n"/>
      <c r="L61" s="83" t="n">
        <v>2</v>
      </c>
      <c r="M61" s="82" t="n"/>
    </row>
    <row r="62" ht="44" customHeight="1">
      <c r="A62" s="78" t="n">
        <v>9</v>
      </c>
      <c r="B62" s="79" t="inlineStr">
        <is>
          <t>ยูข้าง</t>
        </is>
      </c>
      <c r="C62" s="80" t="inlineStr">
        <is>
          <t>F7986</t>
        </is>
      </c>
      <c r="D62" s="81" t="inlineStr">
        <is>
          <t>สูง-45-45</t>
        </is>
      </c>
      <c r="E62" s="83" t="n">
        <v>45</v>
      </c>
      <c r="F62" s="83" t="n">
        <v>45</v>
      </c>
      <c r="G62" s="82" t="n"/>
      <c r="H62" s="82" t="n"/>
      <c r="I62" s="82" t="n"/>
      <c r="J62" s="82" t="n"/>
      <c r="K62" s="82" t="n"/>
      <c r="L62" s="83" t="n">
        <v>2</v>
      </c>
      <c r="M62" s="82" t="n"/>
    </row>
    <row r="63" ht="44" customHeight="1">
      <c r="A63" s="78" t="n">
        <v>10</v>
      </c>
      <c r="B63" s="79" t="inlineStr">
        <is>
          <t>ตบเฟรมบน</t>
        </is>
      </c>
      <c r="C63" s="80" t="inlineStr">
        <is>
          <t>F7993</t>
        </is>
      </c>
      <c r="D63" s="81" t="inlineStr">
        <is>
          <t>เท่าเฟรมบน</t>
        </is>
      </c>
      <c r="E63" s="83" t="n">
        <v>21</v>
      </c>
      <c r="F63" s="83" t="n">
        <v>21</v>
      </c>
      <c r="G63" s="82" t="n"/>
      <c r="H63" s="82" t="n"/>
      <c r="I63" s="82" t="n"/>
      <c r="J63" s="82" t="n"/>
      <c r="K63" s="82" t="n"/>
      <c r="L63" s="83" t="n">
        <v>3</v>
      </c>
      <c r="M63" s="82" t="n"/>
    </row>
    <row r="64" ht="44" customHeight="1">
      <c r="A64" s="78" t="n">
        <v>11</v>
      </c>
      <c r="B64" s="79" t="inlineStr">
        <is>
          <t>ตบยูข้าง</t>
        </is>
      </c>
      <c r="C64" s="80" t="inlineStr">
        <is>
          <t>F7988</t>
        </is>
      </c>
      <c r="D64" s="81" t="inlineStr">
        <is>
          <t>สูง-45-45</t>
        </is>
      </c>
      <c r="E64" s="83" t="n">
        <v>45</v>
      </c>
      <c r="F64" s="83" t="n">
        <v>45</v>
      </c>
      <c r="G64" s="82" t="n"/>
      <c r="H64" s="82" t="n"/>
      <c r="I64" s="82" t="n"/>
      <c r="J64" s="82" t="n"/>
      <c r="K64" s="82" t="n"/>
      <c r="L64" s="83" t="n">
        <v>2</v>
      </c>
      <c r="M64" s="82" t="n"/>
    </row>
    <row r="65" ht="15" customHeight="1">
      <c r="A65" s="78" t="n">
        <v>12</v>
      </c>
      <c r="B65" s="79" t="inlineStr">
        <is>
          <t>ปิดตบเกี่ยว</t>
        </is>
      </c>
      <c r="C65" s="80" t="inlineStr">
        <is>
          <t>-</t>
        </is>
      </c>
      <c r="D65" s="81" t="inlineStr">
        <is>
          <t>สูงกรอบบาน</t>
        </is>
      </c>
      <c r="E65" s="82" t="n"/>
      <c r="F65" s="82" t="n"/>
      <c r="G65" s="82" t="n"/>
      <c r="H65" s="82" t="n"/>
      <c r="I65" s="82" t="n"/>
      <c r="J65" s="82" t="n"/>
      <c r="K65" s="82" t="n"/>
      <c r="L65" s="83" t="n">
        <v>2</v>
      </c>
      <c r="M65" s="82" t="n"/>
    </row>
    <row r="66" ht="15" customHeight="1">
      <c r="A66" s="78" t="n">
        <v>13</v>
      </c>
      <c r="B66" s="79" t="inlineStr">
        <is>
          <t>ตบกันสาด</t>
        </is>
      </c>
      <c r="C66" s="80" t="inlineStr">
        <is>
          <t>-</t>
        </is>
      </c>
      <c r="D66" s="81" t="inlineStr">
        <is>
          <t>กว้าง</t>
        </is>
      </c>
      <c r="E66" s="82" t="n"/>
      <c r="F66" s="82" t="n"/>
      <c r="G66" s="82" t="n"/>
      <c r="H66" s="82" t="n"/>
      <c r="I66" s="82" t="n"/>
      <c r="J66" s="82" t="n"/>
      <c r="K66" s="82" t="n"/>
      <c r="L66" s="83" t="n">
        <v>1</v>
      </c>
      <c r="M66" s="82" t="n"/>
    </row>
    <row r="67" ht="44" customHeight="1">
      <c r="A67" s="78" t="n">
        <v>14</v>
      </c>
      <c r="B67" s="79" t="inlineStr">
        <is>
          <t>ราง</t>
        </is>
      </c>
      <c r="C67" s="80" t="inlineStr">
        <is>
          <t>F7994</t>
        </is>
      </c>
      <c r="D67" s="81" t="inlineStr">
        <is>
          <t>เท่าเฟรมล่าง</t>
        </is>
      </c>
      <c r="E67" s="83" t="n">
        <v>21</v>
      </c>
      <c r="F67" s="83" t="n">
        <v>21</v>
      </c>
      <c r="G67" s="82" t="n"/>
      <c r="H67" s="82" t="n"/>
      <c r="I67" s="82" t="n"/>
      <c r="J67" s="82" t="n"/>
      <c r="K67" s="82" t="n"/>
      <c r="L67" s="83" t="n">
        <v>3</v>
      </c>
      <c r="M67" s="82" t="n"/>
    </row>
    <row r="68" ht="44" customHeight="1">
      <c r="A68" s="78" t="n">
        <v>15</v>
      </c>
      <c r="B68" s="79" t="inlineStr">
        <is>
          <t>ตบธรณี</t>
        </is>
      </c>
      <c r="C68" s="80" t="inlineStr">
        <is>
          <t>F7991</t>
        </is>
      </c>
      <c r="D68" s="81" t="inlineStr">
        <is>
          <t>กว้าง-ขวาง-21-21-1.2</t>
        </is>
      </c>
      <c r="E68" s="83" t="n">
        <v>21</v>
      </c>
      <c r="F68" s="83" t="n">
        <v>21</v>
      </c>
      <c r="G68" s="83" t="n">
        <v>1.2</v>
      </c>
      <c r="H68" s="82" t="n"/>
      <c r="I68" s="82" t="n"/>
      <c r="J68" s="82" t="n"/>
      <c r="K68" s="82" t="n"/>
      <c r="L68" s="83" t="n">
        <v>2</v>
      </c>
      <c r="M68" s="82" t="n"/>
    </row>
    <row r="69"/>
    <row r="70">
      <c r="A70" s="153" t="inlineStr">
        <is>
          <t>⑤ อุปกรณ์ + ตั้งค่ามือจับ (1 ชุด · บานเลื่อน 1)</t>
        </is>
      </c>
      <c r="F70" s="124" t="n"/>
    </row>
    <row r="71">
      <c r="A71" s="152" t="inlineStr">
        <is>
          <t>ประเภทบาน →</t>
        </is>
      </c>
      <c r="B71" s="150" t="inlineStr">
        <is>
          <t>ประตู</t>
        </is>
      </c>
      <c r="F71" s="126" t="n"/>
    </row>
    <row r="72">
      <c r="A72" s="152" t="inlineStr">
        <is>
          <t>ยี่ห้อมือจับ →</t>
        </is>
      </c>
      <c r="B72" s="150" t="inlineStr">
        <is>
          <t>เมโทร</t>
        </is>
      </c>
      <c r="F72" s="126" t="n"/>
    </row>
    <row r="73">
      <c r="A73" s="152" t="inlineStr">
        <is>
          <t>สีมือจับ →</t>
        </is>
      </c>
      <c r="B73" s="150" t="inlineStr">
        <is>
          <t>อบขาว</t>
        </is>
      </c>
      <c r="F73" s="126" t="n"/>
    </row>
    <row r="74">
      <c r="A74" s="152" t="inlineStr">
        <is>
          <t>มือจับ ชุด1 →</t>
        </is>
      </c>
      <c r="B74" s="150" t="inlineStr">
        <is>
          <t>กุญแจ+ล็อค</t>
        </is>
      </c>
      <c r="F74" s="126" t="n"/>
    </row>
    <row r="75">
      <c r="A75" s="153" t="inlineStr">
        <is>
          <t>⑤.1 สรุปอุปกรณ์ (จำนวนลิงก์อัตโนมัติ)</t>
        </is>
      </c>
    </row>
    <row r="76">
      <c r="A76" s="154" t="inlineStr">
        <is>
          <t>#</t>
        </is>
      </c>
      <c r="B76" s="154" t="inlineStr">
        <is>
          <t>อุปกรณ์</t>
        </is>
      </c>
      <c r="C76" s="154" t="inlineStr">
        <is>
          <t>รหัส SKU</t>
        </is>
      </c>
      <c r="D76" s="154" t="inlineStr">
        <is>
          <t>จำนวน</t>
        </is>
      </c>
      <c r="E76" s="154" t="inlineStr">
        <is>
          <t>หน่วย</t>
        </is>
      </c>
      <c r="F76" s="154" t="inlineStr">
        <is>
          <t>หมายเหตุ</t>
        </is>
      </c>
    </row>
    <row r="77">
      <c r="A77" s="149" t="n">
        <v>1</v>
      </c>
      <c r="B77" s="149" t="inlineStr">
        <is>
          <t>ล้อ 20</t>
        </is>
      </c>
      <c r="C77" s="150">
        <f>AK8</f>
        <v/>
      </c>
      <c r="D77" s="155">
        <f>AK30</f>
        <v/>
      </c>
      <c r="E77" s="149" t="inlineStr">
        <is>
          <t>ตัว</t>
        </is>
      </c>
      <c r="F77" s="149" t="inlineStr"/>
    </row>
    <row r="78">
      <c r="A78" s="149" t="n">
        <v>2</v>
      </c>
      <c r="B78" s="149" t="inlineStr">
        <is>
          <t>มือจับ กุญแจ</t>
        </is>
      </c>
      <c r="C78" s="150">
        <f>AL8</f>
        <v/>
      </c>
      <c r="D78" s="155">
        <f>AL30</f>
        <v/>
      </c>
      <c r="E78" s="149" t="inlineStr">
        <is>
          <t>ตัว</t>
        </is>
      </c>
      <c r="F78" s="149" t="inlineStr"/>
    </row>
    <row r="79">
      <c r="A79" s="149" t="n">
        <v>3</v>
      </c>
      <c r="B79" s="149" t="inlineStr">
        <is>
          <t>มือจับ ล็อค</t>
        </is>
      </c>
      <c r="C79" s="150">
        <f>AM8</f>
        <v/>
      </c>
      <c r="D79" s="155">
        <f>AM30</f>
        <v/>
      </c>
      <c r="E79" s="149" t="inlineStr">
        <is>
          <t>ตัว</t>
        </is>
      </c>
      <c r="F79" s="149" t="inlineStr"/>
    </row>
    <row r="80">
      <c r="A80" s="149" t="n">
        <v>4</v>
      </c>
      <c r="B80" s="149" t="inlineStr">
        <is>
          <t>มือจับ ดัมมี่</t>
        </is>
      </c>
      <c r="C80" s="150">
        <f>AN8</f>
        <v/>
      </c>
      <c r="D80" s="155">
        <f>AN30</f>
        <v/>
      </c>
      <c r="E80" s="149" t="inlineStr">
        <is>
          <t>ตัว</t>
        </is>
      </c>
      <c r="F80" s="149" t="inlineStr"/>
    </row>
    <row r="81">
      <c r="A81" s="149" t="n">
        <v>5</v>
      </c>
      <c r="B81" s="149" t="inlineStr">
        <is>
          <t>Digital lock</t>
        </is>
      </c>
      <c r="C81" s="150" t="inlineStr">
        <is>
          <t>-</t>
        </is>
      </c>
      <c r="D81" s="155">
        <f>AO30</f>
        <v/>
      </c>
      <c r="E81" s="149" t="inlineStr">
        <is>
          <t>ชุด</t>
        </is>
      </c>
      <c r="F81" s="149" t="inlineStr">
        <is>
          <t>ไม่ตัดสต็อก</t>
        </is>
      </c>
    </row>
    <row r="82">
      <c r="A82" s="149" t="n">
        <v>6</v>
      </c>
      <c r="B82" s="149" t="inlineStr">
        <is>
          <t>แกน A</t>
        </is>
      </c>
      <c r="C82" s="150">
        <f>AP8</f>
        <v/>
      </c>
      <c r="D82" s="155">
        <f>AP30</f>
        <v/>
      </c>
      <c r="E82" s="149" t="inlineStr">
        <is>
          <t>เส้น</t>
        </is>
      </c>
      <c r="F82" s="149" t="inlineStr"/>
    </row>
    <row r="83">
      <c r="A83" s="149" t="n">
        <v>7</v>
      </c>
      <c r="B83" s="149" t="inlineStr">
        <is>
          <t>แกน B</t>
        </is>
      </c>
      <c r="C83" s="150">
        <f>AQ8</f>
        <v/>
      </c>
      <c r="D83" s="155">
        <f>AQ30</f>
        <v/>
      </c>
      <c r="E83" s="149" t="inlineStr">
        <is>
          <t>เส้น</t>
        </is>
      </c>
      <c r="F83" s="149" t="inlineStr"/>
    </row>
    <row r="84">
      <c r="A84" s="149" t="n">
        <v>8</v>
      </c>
      <c r="B84" s="149" t="inlineStr">
        <is>
          <t>ปลายดำ</t>
        </is>
      </c>
      <c r="C84" s="150">
        <f>AR8</f>
        <v/>
      </c>
      <c r="D84" s="155">
        <f>AR30</f>
        <v/>
      </c>
      <c r="E84" s="149" t="inlineStr">
        <is>
          <t>ตัว</t>
        </is>
      </c>
      <c r="F84" s="149" t="inlineStr"/>
    </row>
    <row r="85">
      <c r="A85" s="149" t="n">
        <v>9</v>
      </c>
      <c r="B85" s="149" t="inlineStr">
        <is>
          <t>ตัวที เงิน</t>
        </is>
      </c>
      <c r="C85" s="150">
        <f>AS8</f>
        <v/>
      </c>
      <c r="D85" s="155">
        <f>AS30</f>
        <v/>
      </c>
      <c r="E85" s="149" t="inlineStr">
        <is>
          <t>ตัว</t>
        </is>
      </c>
      <c r="F85" s="149" t="inlineStr"/>
    </row>
    <row r="86">
      <c r="A86" s="149" t="n">
        <v>10</v>
      </c>
      <c r="B86" s="149" t="inlineStr">
        <is>
          <t>ก้ามปู</t>
        </is>
      </c>
      <c r="C86" s="150">
        <f>AT8</f>
        <v/>
      </c>
      <c r="D86" s="155">
        <f>AT30</f>
        <v/>
      </c>
      <c r="E86" s="149" t="inlineStr">
        <is>
          <t>ตัว</t>
        </is>
      </c>
      <c r="F86" s="149" t="inlineStr"/>
    </row>
    <row r="87">
      <c r="A87" s="149" t="n">
        <v>11</v>
      </c>
      <c r="B87" s="149" t="inlineStr">
        <is>
          <t>สปิงก็อท</t>
        </is>
      </c>
      <c r="C87" s="150">
        <f>AU8</f>
        <v/>
      </c>
      <c r="D87" s="155">
        <f>AU30</f>
        <v/>
      </c>
      <c r="E87" s="149" t="inlineStr">
        <is>
          <t>ตัว</t>
        </is>
      </c>
      <c r="F87" s="149" t="inlineStr"/>
    </row>
    <row r="88">
      <c r="A88" s="149" t="n">
        <v>12</v>
      </c>
      <c r="B88" s="149" t="inlineStr">
        <is>
          <t>ฉากประกอบมุม</t>
        </is>
      </c>
      <c r="C88" s="150">
        <f>AV8</f>
        <v/>
      </c>
      <c r="D88" s="155">
        <f>AV30</f>
        <v/>
      </c>
      <c r="E88" s="149" t="inlineStr">
        <is>
          <t>ตัว</t>
        </is>
      </c>
      <c r="F88" s="149" t="inlineStr"/>
    </row>
    <row r="89">
      <c r="A89" s="149" t="n">
        <v>13</v>
      </c>
      <c r="B89" s="149" t="inlineStr">
        <is>
          <t>ยางรูน้ำ</t>
        </is>
      </c>
      <c r="C89" s="150">
        <f>AW8</f>
        <v/>
      </c>
      <c r="D89" s="155">
        <f>AW30</f>
        <v/>
      </c>
      <c r="E89" s="149" t="inlineStr">
        <is>
          <t>ตัว</t>
        </is>
      </c>
      <c r="F89" s="149" t="inlineStr"/>
    </row>
    <row r="90">
      <c r="A90" s="149" t="n">
        <v>14</v>
      </c>
      <c r="B90" s="149" t="inlineStr">
        <is>
          <t>วาวรูน้ำ</t>
        </is>
      </c>
      <c r="C90" s="150">
        <f>AX8</f>
        <v/>
      </c>
      <c r="D90" s="155">
        <f>AX30</f>
        <v/>
      </c>
      <c r="E90" s="149" t="inlineStr">
        <is>
          <t>ตัว</t>
        </is>
      </c>
      <c r="F90" s="149" t="inlineStr"/>
    </row>
    <row r="91">
      <c r="A91" s="149" t="n">
        <v>15</v>
      </c>
      <c r="B91" s="149" t="inlineStr">
        <is>
          <t>สักหลาด 5×3</t>
        </is>
      </c>
      <c r="C91" s="150">
        <f>AY8</f>
        <v/>
      </c>
      <c r="D91" s="155">
        <f>AY30</f>
        <v/>
      </c>
      <c r="E91" s="149" t="inlineStr">
        <is>
          <t>เมตร</t>
        </is>
      </c>
      <c r="F91" s="149" t="inlineStr">
        <is>
          <t>เก็บเป็นเมตร</t>
        </is>
      </c>
    </row>
  </sheetData>
  <mergeCells count="61">
    <mergeCell ref="U9:V9"/>
    <mergeCell ref="I6:J6"/>
    <mergeCell ref="AE7:AF7"/>
    <mergeCell ref="O6:P6"/>
    <mergeCell ref="U6:V6"/>
    <mergeCell ref="K9:L9"/>
    <mergeCell ref="W6:X6"/>
    <mergeCell ref="M9:N9"/>
    <mergeCell ref="K7:N7"/>
    <mergeCell ref="O9:P9"/>
    <mergeCell ref="G8:H8"/>
    <mergeCell ref="Y9:Z9"/>
    <mergeCell ref="E8:F8"/>
    <mergeCell ref="Q8:R8"/>
    <mergeCell ref="AA9:AB9"/>
    <mergeCell ref="Y7:AD7"/>
    <mergeCell ref="S8:T8"/>
    <mergeCell ref="Y30:AC30"/>
    <mergeCell ref="G7:H7"/>
    <mergeCell ref="AA6:AB6"/>
    <mergeCell ref="S7:T7"/>
    <mergeCell ref="I7:J7"/>
    <mergeCell ref="O7:R7"/>
    <mergeCell ref="A30:D30"/>
    <mergeCell ref="G6:H6"/>
    <mergeCell ref="AC8:AD8"/>
    <mergeCell ref="E9:F9"/>
    <mergeCell ref="AE8:AF8"/>
    <mergeCell ref="U7:V7"/>
    <mergeCell ref="W7:X7"/>
    <mergeCell ref="E6:F6"/>
    <mergeCell ref="A8:A9"/>
    <mergeCell ref="A6:D6"/>
    <mergeCell ref="M6:N6"/>
    <mergeCell ref="K8:L8"/>
    <mergeCell ref="Q6:R6"/>
    <mergeCell ref="S6:T6"/>
    <mergeCell ref="Y6:Z6"/>
    <mergeCell ref="A7:D7"/>
    <mergeCell ref="D8:D9"/>
    <mergeCell ref="Q9:R9"/>
    <mergeCell ref="I8:J8"/>
    <mergeCell ref="S9:T9"/>
    <mergeCell ref="M8:N8"/>
    <mergeCell ref="K30:M30"/>
    <mergeCell ref="W9:X9"/>
    <mergeCell ref="O8:P8"/>
    <mergeCell ref="U8:V8"/>
    <mergeCell ref="AC9:AD9"/>
    <mergeCell ref="AE9:AF9"/>
    <mergeCell ref="W8:X8"/>
    <mergeCell ref="B8:C9"/>
    <mergeCell ref="AC6:AD6"/>
    <mergeCell ref="E7:F7"/>
    <mergeCell ref="AE6:AF6"/>
    <mergeCell ref="O30:Q30"/>
    <mergeCell ref="Y8:Z8"/>
    <mergeCell ref="K6:L6"/>
    <mergeCell ref="G9:H9"/>
    <mergeCell ref="AA8:AB8"/>
    <mergeCell ref="I9:J9"/>
  </mergeCells>
  <dataValidations count="4">
    <dataValidation sqref="B71" showDropDown="0" showInputMessage="0" showErrorMessage="0" allowBlank="1" type="list">
      <formula1>"ประตู,หน้าต่าง"</formula1>
    </dataValidation>
    <dataValidation sqref="B72" showDropDown="0" showInputMessage="0" showErrorMessage="0" allowBlank="1" type="list">
      <formula1>"เมโทร,Align"</formula1>
    </dataValidation>
    <dataValidation sqref="B73" showDropDown="0" showInputMessage="0" showErrorMessage="0" allowBlank="1" type="list">
      <formula1>"อบขาว,ดำ"</formula1>
    </dataValidation>
    <dataValidation sqref="B74" showDropDown="0" showInputMessage="0" showErrorMessage="0" allowBlank="1" type="list">
      <formula1>=$BD$1:$BD$4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91"/>
  <sheetViews>
    <sheetView showGridLines="0"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26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6.75" customWidth="1" min="32" max="32"/>
    <col width="12.75" customWidth="1" min="33" max="33"/>
    <col width="6.75" customWidth="1" min="34" max="34"/>
    <col width="12.75" customWidth="1" min="35" max="35"/>
    <col width="12.75" customWidth="1" min="36" max="36"/>
    <col width="8.75" customWidth="1" min="37" max="37"/>
    <col width="8.875" customWidth="1" min="38" max="38"/>
    <col hidden="1" width="13" customWidth="1" min="53" max="53"/>
    <col hidden="1" width="13" customWidth="1" min="54" max="54"/>
    <col hidden="1" width="13" customWidth="1" min="55" max="55"/>
    <col hidden="1" width="13" customWidth="1" min="56" max="56"/>
  </cols>
  <sheetData>
    <row r="1" ht="40.15" customHeight="1">
      <c r="A1" s="1" t="inlineStr">
        <is>
          <t>JR ALUMINIUM &amp; GLASS  —  ใบรายการตัด · FUJI เลื่อน-ติดตาย66   (หน่วย: มม.)</t>
        </is>
      </c>
      <c r="B1" s="2" t="n"/>
      <c r="D1" s="3" t="n"/>
      <c r="E1" s="4" t="n"/>
      <c r="F1" s="3" t="n"/>
      <c r="G1" s="5" t="n"/>
      <c r="H1" s="5" t="n"/>
      <c r="I1" s="6" t="n"/>
      <c r="J1" s="5" t="n"/>
      <c r="K1" s="3" t="n"/>
      <c r="L1" s="3" t="n"/>
      <c r="M1" s="6" t="n"/>
      <c r="N1" s="6" t="n"/>
      <c r="O1" s="5" t="n"/>
      <c r="P1" s="5" t="n"/>
      <c r="Q1" s="3" t="n"/>
      <c r="R1" s="7" t="n"/>
      <c r="S1" s="6" t="n"/>
      <c r="T1" s="6" t="n"/>
      <c r="U1" s="5" t="n"/>
      <c r="V1" s="5" t="n"/>
      <c r="W1" s="5" t="n"/>
      <c r="X1" s="5" t="n"/>
      <c r="Y1" s="5" t="n"/>
      <c r="Z1" s="5" t="n"/>
      <c r="AA1" s="3" t="n"/>
      <c r="AB1" s="3" t="n"/>
      <c r="AC1" s="3" t="n"/>
      <c r="AD1" s="3" t="n"/>
      <c r="AE1" s="5" t="n"/>
      <c r="AF1" s="5" t="n"/>
      <c r="AG1" s="5" t="n"/>
      <c r="AH1" s="5" t="n"/>
      <c r="AI1" s="5" t="n"/>
      <c r="AJ1" s="5" t="n"/>
      <c r="AK1" s="5" t="n"/>
      <c r="BA1" t="inlineStr">
        <is>
          <t>เมโทรกุญแจอบขาว</t>
        </is>
      </c>
      <c r="BB1" t="inlineStr">
        <is>
          <t>JR00368</t>
        </is>
      </c>
      <c r="BD1">
        <f>IF($B$71="ประตู","กุญแจ+ล็อค","ล็อค")</f>
        <v/>
      </c>
    </row>
    <row r="2" ht="40.15" customHeight="1">
      <c r="A2" s="6" t="n"/>
      <c r="B2" s="6" t="n"/>
      <c r="C2" s="6" t="n"/>
      <c r="D2" s="6" t="n"/>
      <c r="E2" s="8" t="n"/>
      <c r="F2" s="6" t="n"/>
      <c r="G2" s="9" t="n"/>
      <c r="H2" s="9" t="n"/>
      <c r="I2" s="9" t="n"/>
      <c r="J2" s="9" t="n"/>
      <c r="K2" s="6" t="n"/>
      <c r="L2" s="6" t="n"/>
      <c r="M2" s="6" t="n"/>
      <c r="N2" s="6" t="n"/>
      <c r="O2" s="9" t="n"/>
      <c r="P2" s="9" t="n"/>
      <c r="Q2" s="6" t="n"/>
      <c r="R2" s="6" t="n"/>
      <c r="S2" s="9" t="n"/>
      <c r="T2" s="9" t="n"/>
      <c r="U2" s="9" t="n"/>
      <c r="V2" s="9" t="n"/>
      <c r="W2" s="9" t="n"/>
      <c r="X2" s="9" t="n"/>
      <c r="Y2" s="9" t="n"/>
      <c r="Z2" s="9" t="n"/>
      <c r="AA2" s="6" t="n"/>
      <c r="AB2" s="6" t="n"/>
      <c r="AC2" s="6" t="n"/>
      <c r="AD2" s="6" t="n"/>
      <c r="AE2" s="9" t="n"/>
      <c r="AF2" s="9" t="n"/>
      <c r="AG2" s="9" t="n"/>
      <c r="AH2" s="9" t="n"/>
      <c r="AI2" s="9" t="n"/>
      <c r="AJ2" s="9" t="n"/>
      <c r="AK2" s="9" t="n"/>
      <c r="BA2" t="inlineStr">
        <is>
          <t>เมโทรกุญแจดำ</t>
        </is>
      </c>
      <c r="BB2" t="inlineStr">
        <is>
          <t>JR00371</t>
        </is>
      </c>
      <c r="BD2">
        <f>IF($B$71="ประตู","ล็อค+ดัมมี่","ดัมมี่")</f>
        <v/>
      </c>
    </row>
    <row r="3" ht="40.15" customHeight="1">
      <c r="A3" s="130">
        <f>HYPERLINK("#สารบัญ!A1","← สารบัญ")</f>
        <v/>
      </c>
      <c r="B3" s="6" t="n"/>
      <c r="C3" s="6" t="n"/>
      <c r="D3" s="6" t="n"/>
      <c r="E3" s="8" t="n"/>
      <c r="F3" s="6" t="n"/>
      <c r="G3" s="11" t="n"/>
      <c r="H3" s="11" t="n"/>
      <c r="I3" s="9" t="n"/>
      <c r="J3" s="9" t="n"/>
      <c r="K3" s="6" t="n"/>
      <c r="L3" s="6" t="n"/>
      <c r="M3" s="6" t="n"/>
      <c r="N3" s="6" t="n"/>
      <c r="O3" s="11" t="n"/>
      <c r="P3" s="11" t="n"/>
      <c r="Q3" s="6" t="n"/>
      <c r="R3" s="6" t="n"/>
      <c r="U3" s="11" t="n"/>
      <c r="V3" s="11" t="n"/>
      <c r="W3" s="11" t="n"/>
      <c r="X3" s="11" t="n"/>
      <c r="Y3" s="11" t="n"/>
      <c r="Z3" s="11" t="n"/>
      <c r="AA3" s="6" t="n"/>
      <c r="AB3" s="6" t="n"/>
      <c r="AC3" s="6" t="n"/>
      <c r="AD3" s="6" t="n"/>
      <c r="AE3" s="11" t="n"/>
      <c r="AF3" s="11" t="n"/>
      <c r="AG3" s="11" t="n"/>
      <c r="AH3" s="11" t="n"/>
      <c r="AI3" s="11" t="n"/>
      <c r="AJ3" s="11" t="n"/>
      <c r="AK3" s="11" t="n"/>
      <c r="BA3" t="inlineStr">
        <is>
          <t>เมโทรล็อคอบขาว</t>
        </is>
      </c>
      <c r="BB3" t="inlineStr">
        <is>
          <t>JR00369</t>
        </is>
      </c>
      <c r="BD3">
        <f>IF($B$71="ประตู","ดัมมี่+ดัมมี่","")</f>
        <v/>
      </c>
    </row>
    <row r="4" ht="40.15" customHeight="1">
      <c r="A4" s="6" t="n"/>
      <c r="B4" s="6" t="n"/>
      <c r="C4" s="6" t="n"/>
      <c r="F4" s="6" t="n"/>
      <c r="I4" s="9" t="n"/>
      <c r="J4" s="9" t="n"/>
      <c r="K4" s="6" t="n"/>
      <c r="L4" s="6" t="n"/>
      <c r="M4" s="6" t="n"/>
      <c r="N4" s="6" t="n"/>
      <c r="Q4" s="6" t="n"/>
      <c r="R4" s="6" t="n"/>
      <c r="AA4" s="6" t="n"/>
      <c r="AB4" s="6" t="n"/>
      <c r="AC4" s="6" t="n"/>
      <c r="AD4" s="6" t="n"/>
      <c r="BA4" t="inlineStr">
        <is>
          <t>เมโทรล็อคดำ</t>
        </is>
      </c>
      <c r="BB4" t="inlineStr">
        <is>
          <t>JR00372</t>
        </is>
      </c>
      <c r="BD4">
        <f>IF($B$71="ประตู","Digital lock","")</f>
        <v/>
      </c>
    </row>
    <row r="5" ht="40.15" customHeight="1">
      <c r="A5" s="6" t="n"/>
      <c r="B5" s="6" t="n"/>
      <c r="C5" s="6" t="n"/>
      <c r="D5" s="6" t="n"/>
      <c r="E5" s="8" t="n"/>
      <c r="F5" s="6" t="n"/>
      <c r="K5" s="6" t="n"/>
      <c r="L5" s="6" t="n"/>
      <c r="N5" s="6" t="n"/>
      <c r="Q5" s="6" t="n"/>
      <c r="R5" s="6" t="n"/>
      <c r="AA5" s="6" t="n"/>
      <c r="AB5" s="6" t="n"/>
      <c r="AC5" s="6" t="n"/>
      <c r="AD5" s="6" t="n"/>
      <c r="BA5" t="inlineStr">
        <is>
          <t>เมโทรดัมมี่อบขาว</t>
        </is>
      </c>
      <c r="BB5" t="inlineStr">
        <is>
          <t>JR00370</t>
        </is>
      </c>
    </row>
    <row r="6" ht="60" customHeight="1">
      <c r="A6" s="13" t="inlineStr">
        <is>
          <t>สูตรตัด</t>
        </is>
      </c>
      <c r="B6" s="14" t="n"/>
      <c r="C6" s="14" t="n"/>
      <c r="D6" s="15" t="n"/>
      <c r="E6" s="16" t="inlineStr">
        <is>
          <t>สูง</t>
        </is>
      </c>
      <c r="F6" s="17" t="n"/>
      <c r="G6" s="16" t="inlineStr">
        <is>
          <t>กว้าง-21-21</t>
        </is>
      </c>
      <c r="H6" s="17" t="n"/>
      <c r="I6" s="16" t="inlineStr">
        <is>
          <t>กว้าง</t>
        </is>
      </c>
      <c r="J6" s="17" t="n"/>
      <c r="K6" s="16" t="inlineStr">
        <is>
          <t>สูง-21-19-13-21</t>
        </is>
      </c>
      <c r="L6" s="17" t="n"/>
      <c r="M6" s="16" t="inlineStr">
        <is>
          <t>((กว้าง-21-1.2-3-21)/2)+(66x1/2)</t>
        </is>
      </c>
      <c r="N6" s="17" t="n"/>
      <c r="O6" s="16" t="inlineStr">
        <is>
          <t>เสา-66-66</t>
        </is>
      </c>
      <c r="P6" s="17" t="n"/>
      <c r="Q6" s="16" t="inlineStr">
        <is>
          <t>ขวาง-51-51</t>
        </is>
      </c>
      <c r="R6" s="17" t="n"/>
      <c r="S6" s="16" t="inlineStr">
        <is>
          <t>สูงกรอบบาน</t>
        </is>
      </c>
      <c r="T6" s="17" t="n"/>
      <c r="U6" s="16" t="inlineStr">
        <is>
          <t>สูง-45-45</t>
        </is>
      </c>
      <c r="V6" s="17" t="n"/>
      <c r="W6" s="16" t="inlineStr">
        <is>
          <t>เท่าเฟรมบน</t>
        </is>
      </c>
      <c r="X6" s="17" t="n"/>
      <c r="Y6" s="16" t="inlineStr">
        <is>
          <t>สูง-45-45</t>
        </is>
      </c>
      <c r="Z6" s="17" t="n"/>
      <c r="AA6" s="16" t="inlineStr">
        <is>
          <t>สูงกรอบบาน</t>
        </is>
      </c>
      <c r="AB6" s="17" t="n"/>
      <c r="AC6" s="16" t="inlineStr">
        <is>
          <t>กว้าง</t>
        </is>
      </c>
      <c r="AD6" s="17" t="n"/>
      <c r="AE6" s="16" t="inlineStr">
        <is>
          <t>เท่าเฟรมล่าง</t>
        </is>
      </c>
      <c r="AF6" s="17" t="n"/>
      <c r="AG6" s="16" t="inlineStr">
        <is>
          <t>กว้าง-ขวาง-21-21-1.2</t>
        </is>
      </c>
      <c r="AI6" s="18" t="n"/>
      <c r="AJ6" s="18" t="n"/>
      <c r="AK6" s="18" t="n"/>
      <c r="BA6" t="inlineStr">
        <is>
          <t>เมโทรดัมมี่ดำ</t>
        </is>
      </c>
      <c r="BB6" t="inlineStr">
        <is>
          <t>JR00373</t>
        </is>
      </c>
      <c r="BC6">
        <f>(COUNTIF($B$74:$B$74,"กุญแจ+ล็อค")+COUNTIF($B$74:$B$74,"ล็อค+ดัมมี่")+COUNTIF($B$74:$B$74,"ล็อค"))</f>
        <v/>
      </c>
    </row>
    <row r="7" ht="40.15" customHeight="1">
      <c r="A7" s="19" t="inlineStr">
        <is>
          <t>ใส่ข้อมูล</t>
        </is>
      </c>
      <c r="B7" s="20" t="n"/>
      <c r="C7" s="20" t="n"/>
      <c r="D7" s="21" t="n"/>
      <c r="E7" s="22" t="inlineStr">
        <is>
          <t>F7978</t>
        </is>
      </c>
      <c r="F7" s="15" t="n"/>
      <c r="G7" s="22" t="inlineStr">
        <is>
          <t>F7976</t>
        </is>
      </c>
      <c r="H7" s="15" t="n"/>
      <c r="I7" s="22" t="inlineStr">
        <is>
          <t>F7992</t>
        </is>
      </c>
      <c r="J7" s="15" t="n"/>
      <c r="K7" s="22" t="inlineStr">
        <is>
          <t>F7981</t>
        </is>
      </c>
      <c r="L7" s="14" t="n"/>
      <c r="M7" s="14" t="n"/>
      <c r="N7" s="15" t="n"/>
      <c r="O7" s="22" t="inlineStr">
        <is>
          <t>F7919</t>
        </is>
      </c>
      <c r="P7" s="14" t="n"/>
      <c r="Q7" s="14" t="n"/>
      <c r="R7" s="15" t="n"/>
      <c r="S7" s="22" t="inlineStr">
        <is>
          <t>F7982</t>
        </is>
      </c>
      <c r="T7" s="15" t="n"/>
      <c r="U7" s="22" t="inlineStr">
        <is>
          <t>F7986</t>
        </is>
      </c>
      <c r="V7" s="15" t="n"/>
      <c r="W7" s="22" t="inlineStr">
        <is>
          <t>F7993</t>
        </is>
      </c>
      <c r="X7" s="15" t="n"/>
      <c r="Y7" s="22" t="inlineStr">
        <is>
          <t>F7988</t>
        </is>
      </c>
      <c r="Z7" s="14" t="n"/>
      <c r="AA7" s="14" t="n"/>
      <c r="AB7" s="14" t="n"/>
      <c r="AC7" s="14" t="n"/>
      <c r="AD7" s="15" t="n"/>
      <c r="AE7" s="22" t="inlineStr">
        <is>
          <t>F7994</t>
        </is>
      </c>
      <c r="AF7" s="15" t="n"/>
      <c r="AG7" s="22" t="inlineStr">
        <is>
          <t>F7991</t>
        </is>
      </c>
      <c r="AI7" s="24" t="n"/>
      <c r="AJ7" s="25" t="inlineStr">
        <is>
          <t>ขนาดกระจก</t>
        </is>
      </c>
      <c r="AK7" s="26" t="n"/>
      <c r="BA7" t="inlineStr">
        <is>
          <t>Alignกุญแจอบขาว</t>
        </is>
      </c>
      <c r="BB7" t="inlineStr">
        <is>
          <t>JR00377</t>
        </is>
      </c>
      <c r="BC7">
        <f>COUNTIF($B$74:$B$74,"กุญแจ+ล็อค")</f>
        <v/>
      </c>
    </row>
    <row r="8" ht="40.15" customHeight="1">
      <c r="A8" s="27" t="inlineStr">
        <is>
          <t>แผน</t>
        </is>
      </c>
      <c r="B8" s="28" t="inlineStr">
        <is>
          <t>ขนาดชิ้นงาน
(mm)</t>
        </is>
      </c>
      <c r="C8" s="29" t="n"/>
      <c r="D8" s="27" t="inlineStr">
        <is>
          <t>ชุด</t>
        </is>
      </c>
      <c r="E8" s="30" t="n"/>
      <c r="F8" s="31" t="n"/>
      <c r="G8" s="30" t="n"/>
      <c r="H8" s="31" t="n"/>
      <c r="I8" s="30" t="n"/>
      <c r="J8" s="31" t="n"/>
      <c r="K8" s="32" t="n"/>
      <c r="L8" s="33" t="n"/>
      <c r="M8" s="34" t="n"/>
      <c r="N8" s="31" t="n"/>
      <c r="O8" s="32" t="n"/>
      <c r="P8" s="33" t="n"/>
      <c r="Q8" s="34" t="n"/>
      <c r="R8" s="31" t="n"/>
      <c r="S8" s="32" t="n"/>
      <c r="T8" s="33" t="n"/>
      <c r="U8" s="32" t="n"/>
      <c r="V8" s="33" t="n"/>
      <c r="W8" s="32" t="n"/>
      <c r="X8" s="33" t="n"/>
      <c r="Y8" s="32" t="n"/>
      <c r="Z8" s="33" t="n"/>
      <c r="AA8" s="35" t="n"/>
      <c r="AB8" s="33" t="n"/>
      <c r="AC8" s="34" t="n"/>
      <c r="AD8" s="31" t="n"/>
      <c r="AE8" s="30" t="n"/>
      <c r="AF8" s="31" t="n"/>
      <c r="AG8" s="30" t="n"/>
      <c r="AI8" s="36" t="n"/>
      <c r="AJ8" s="37" t="inlineStr">
        <is>
          <t>กรอบบาน</t>
        </is>
      </c>
      <c r="AK8" s="38" t="inlineStr">
        <is>
          <t>JR00577</t>
        </is>
      </c>
      <c r="AL8">
        <f>VLOOKUP($B$72&amp;"กุญแจ"&amp;$B$73,$BA$1:$BB$12,2,0)</f>
        <v/>
      </c>
      <c r="AM8">
        <f>VLOOKUP($B$72&amp;"ล็อค"&amp;$B$73,$BA$1:$BB$12,2,0)</f>
        <v/>
      </c>
      <c r="AN8">
        <f>VLOOKUP($B$72&amp;"ดัมมี่"&amp;$B$73,$BA$1:$BB$12,2,0)</f>
        <v/>
      </c>
      <c r="AO8" t="inlineStr"/>
      <c r="AP8" t="inlineStr">
        <is>
          <t>JR00478</t>
        </is>
      </c>
      <c r="AQ8" t="inlineStr">
        <is>
          <t>JR00479</t>
        </is>
      </c>
      <c r="AR8" t="inlineStr">
        <is>
          <t>JR00476</t>
        </is>
      </c>
      <c r="AS8" t="inlineStr">
        <is>
          <t>JR00475</t>
        </is>
      </c>
      <c r="AT8" t="inlineStr">
        <is>
          <t>JR00477</t>
        </is>
      </c>
      <c r="AU8" t="inlineStr">
        <is>
          <t>JR00592</t>
        </is>
      </c>
      <c r="AV8" t="inlineStr">
        <is>
          <t>JR00480</t>
        </is>
      </c>
      <c r="AW8" t="inlineStr">
        <is>
          <t>JR00589</t>
        </is>
      </c>
      <c r="AX8" t="inlineStr">
        <is>
          <t>JR00485</t>
        </is>
      </c>
      <c r="AY8" t="inlineStr">
        <is>
          <t>JR00794</t>
        </is>
      </c>
      <c r="BA8" t="inlineStr">
        <is>
          <t>Alignล็อคอบขาว</t>
        </is>
      </c>
      <c r="BB8" t="inlineStr">
        <is>
          <t>JR00378</t>
        </is>
      </c>
    </row>
    <row r="9" ht="40.15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 บน-ล่าง</t>
        </is>
      </c>
      <c r="H9" s="43" t="n"/>
      <c r="I9" s="42" t="inlineStr">
        <is>
          <t>ตบกันสาด</t>
        </is>
      </c>
      <c r="J9" s="43" t="n"/>
      <c r="K9" s="42" t="inlineStr">
        <is>
          <t>เสา</t>
        </is>
      </c>
      <c r="L9" s="43" t="n"/>
      <c r="M9" s="42" t="inlineStr">
        <is>
          <t>ขวาง</t>
        </is>
      </c>
      <c r="N9" s="43" t="n"/>
      <c r="O9" s="42" t="inlineStr">
        <is>
          <t>คิ้ว ตั้ง</t>
        </is>
      </c>
      <c r="P9" s="43" t="n"/>
      <c r="Q9" s="42" t="inlineStr">
        <is>
          <t>คิ้ว ขวาง</t>
        </is>
      </c>
      <c r="R9" s="43" t="n"/>
      <c r="S9" s="42" t="inlineStr">
        <is>
          <t>ตบเกี่ยว</t>
        </is>
      </c>
      <c r="T9" s="43" t="n"/>
      <c r="U9" s="44" t="inlineStr">
        <is>
          <t>ยูข้าง</t>
        </is>
      </c>
      <c r="V9" s="43" t="n"/>
      <c r="W9" s="44" t="inlineStr">
        <is>
          <t>ตบเฟรมบน</t>
        </is>
      </c>
      <c r="X9" s="43" t="n"/>
      <c r="Y9" s="44" t="inlineStr">
        <is>
          <t>ตบยูข้าง</t>
        </is>
      </c>
      <c r="Z9" s="43" t="n"/>
      <c r="AA9" s="42" t="inlineStr">
        <is>
          <t>ปิดตบเกี่ยว</t>
        </is>
      </c>
      <c r="AB9" s="43" t="n"/>
      <c r="AC9" s="42" t="inlineStr">
        <is>
          <t>ตบกันสาด</t>
        </is>
      </c>
      <c r="AD9" s="43" t="n"/>
      <c r="AE9" s="44" t="inlineStr">
        <is>
          <t>ราง</t>
        </is>
      </c>
      <c r="AF9" s="43" t="n"/>
      <c r="AG9" s="44" t="inlineStr">
        <is>
          <t>ตบธรณี</t>
        </is>
      </c>
      <c r="AI9" s="45" t="inlineStr">
        <is>
          <t>SH-56-56</t>
        </is>
      </c>
      <c r="AJ9" s="46" t="inlineStr">
        <is>
          <t>SW-56-56</t>
        </is>
      </c>
      <c r="AK9" s="47" t="inlineStr">
        <is>
          <t>ล้อ 20</t>
        </is>
      </c>
      <c r="AL9" t="inlineStr">
        <is>
          <t>มือจับ กุญแจ</t>
        </is>
      </c>
      <c r="AM9" t="inlineStr">
        <is>
          <t>มือจับ ล็อค</t>
        </is>
      </c>
      <c r="AN9" t="inlineStr">
        <is>
          <t>มือจับ ดัมมี่</t>
        </is>
      </c>
      <c r="AO9" t="inlineStr">
        <is>
          <t>Digital lock</t>
        </is>
      </c>
      <c r="AP9" t="inlineStr">
        <is>
          <t>แกน A</t>
        </is>
      </c>
      <c r="AQ9" t="inlineStr">
        <is>
          <t>แกน B</t>
        </is>
      </c>
      <c r="AR9" t="inlineStr">
        <is>
          <t>ปลายดำ</t>
        </is>
      </c>
      <c r="AS9" t="inlineStr">
        <is>
          <t>ตัวที เงิน</t>
        </is>
      </c>
      <c r="AT9" t="inlineStr">
        <is>
          <t>ก้ามปู</t>
        </is>
      </c>
      <c r="AU9" t="inlineStr">
        <is>
          <t>สปิงก็อท</t>
        </is>
      </c>
      <c r="AV9" t="inlineStr">
        <is>
          <t>ฉากประกอบมุม</t>
        </is>
      </c>
      <c r="AW9" t="inlineStr">
        <is>
          <t>ยางรูน้ำ</t>
        </is>
      </c>
      <c r="AX9" t="inlineStr">
        <is>
          <t>วาวรูน้ำ</t>
        </is>
      </c>
      <c r="AY9" t="inlineStr">
        <is>
          <t>สักหลาด(ม.)</t>
        </is>
      </c>
      <c r="BA9" t="inlineStr">
        <is>
          <t>Alignดัมมี่อบขาว</t>
        </is>
      </c>
      <c r="BB9" t="inlineStr">
        <is>
          <t>JR00379</t>
        </is>
      </c>
      <c r="BC9">
        <f>(COUNTIF($B$74:$B$74,"ล็อค+ดัมมี่")+2*COUNTIF($B$74:$B$74,"ดัมมี่+ดัมมี่")+COUNTIF($B$74:$B$74,"ดัมมี่"))</f>
        <v/>
      </c>
    </row>
    <row r="10" ht="40.15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3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3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4" t="inlineStr">
        <is>
          <t>จำนวน</t>
        </is>
      </c>
      <c r="AA10" s="52" t="inlineStr">
        <is>
          <t>ยาว</t>
        </is>
      </c>
      <c r="AB10" s="53" t="inlineStr">
        <is>
          <t>จำนวน</t>
        </is>
      </c>
      <c r="AC10" s="52" t="inlineStr">
        <is>
          <t>ยาว</t>
        </is>
      </c>
      <c r="AD10" s="53" t="inlineStr">
        <is>
          <t>จำนวน</t>
        </is>
      </c>
      <c r="AE10" s="52" t="inlineStr">
        <is>
          <t>ยาว</t>
        </is>
      </c>
      <c r="AF10" s="54" t="inlineStr">
        <is>
          <t>จำนวน</t>
        </is>
      </c>
      <c r="AG10" s="52" t="inlineStr">
        <is>
          <t>ยาว</t>
        </is>
      </c>
      <c r="AH10" s="54" t="inlineStr">
        <is>
          <t>จำนวน</t>
        </is>
      </c>
      <c r="AI10" s="55" t="inlineStr">
        <is>
          <t>H</t>
        </is>
      </c>
      <c r="AJ10" s="56" t="inlineStr">
        <is>
          <t>W</t>
        </is>
      </c>
      <c r="AK10" s="57" t="inlineStr">
        <is>
          <t>จำนวน</t>
        </is>
      </c>
      <c r="AL10" t="inlineStr">
        <is>
          <t>จำนวน</t>
        </is>
      </c>
      <c r="AM10" t="inlineStr">
        <is>
          <t>จำนวน</t>
        </is>
      </c>
      <c r="AN10" t="inlineStr">
        <is>
          <t>จำนวน</t>
        </is>
      </c>
      <c r="AO10" t="inlineStr">
        <is>
          <t>จำนวน</t>
        </is>
      </c>
      <c r="AP10" t="inlineStr">
        <is>
          <t>จำนวน</t>
        </is>
      </c>
      <c r="AQ10" t="inlineStr">
        <is>
          <t>จำนวน</t>
        </is>
      </c>
      <c r="AR10" t="inlineStr">
        <is>
          <t>จำนวน</t>
        </is>
      </c>
      <c r="AS10" t="inlineStr">
        <is>
          <t>จำนวน</t>
        </is>
      </c>
      <c r="AT10" t="inlineStr">
        <is>
          <t>จำนวน</t>
        </is>
      </c>
      <c r="AU10" t="inlineStr">
        <is>
          <t>จำนวน</t>
        </is>
      </c>
      <c r="AV10" t="inlineStr">
        <is>
          <t>จำนวน</t>
        </is>
      </c>
      <c r="AW10" t="inlineStr">
        <is>
          <t>จำนวน</t>
        </is>
      </c>
      <c r="AX10" t="inlineStr">
        <is>
          <t>จำนวน</t>
        </is>
      </c>
      <c r="AY10" t="inlineStr">
        <is>
          <t>จำนวน</t>
        </is>
      </c>
      <c r="BA10" t="inlineStr">
        <is>
          <t>Alignกุญแจดำ</t>
        </is>
      </c>
      <c r="BB10" t="inlineStr">
        <is>
          <t>JR00374</t>
        </is>
      </c>
      <c r="BC10">
        <f>COUNTIF($B$74:$B$74,"Digital lock")</f>
        <v/>
      </c>
    </row>
    <row r="11" ht="40.15" customHeight="1">
      <c r="A11" s="99" t="inlineStr">
        <is>
          <t>D1</t>
        </is>
      </c>
      <c r="B11" s="88" t="n">
        <v>600</v>
      </c>
      <c r="C11" s="89" t="n">
        <v>400</v>
      </c>
      <c r="D11" s="90" t="n">
        <v>1</v>
      </c>
      <c r="E11" s="91">
        <f>IF($A11="","",$B11)</f>
        <v/>
      </c>
      <c r="F11" s="89">
        <f>IF($A11="","",$L$54*$D11)</f>
        <v/>
      </c>
      <c r="G11" s="91">
        <f>IF($A11="","",$C11-$E$55-$F$55)</f>
        <v/>
      </c>
      <c r="H11" s="89">
        <f>IF($A11="","",$L$55*$D11)</f>
        <v/>
      </c>
      <c r="I11" s="91">
        <f>IF($A11="","",$C11)</f>
        <v/>
      </c>
      <c r="J11" s="89">
        <f>IF($A11="","",$L$56*$D11)</f>
        <v/>
      </c>
      <c r="K11" s="91">
        <f>IF($A11="","",$B11-$E$57-$F$57-$G$57-$H$57)</f>
        <v/>
      </c>
      <c r="L11" s="89">
        <f>IF($A11="","",$L$57*$D11)</f>
        <v/>
      </c>
      <c r="M11" s="91">
        <f>IF($A11="","",(($C11-$E$58-$F$58-$G$58-$H$58)/2)+(66*1)/2)</f>
        <v/>
      </c>
      <c r="N11" s="89">
        <f>IF($A11="","",$L$58*$D11)</f>
        <v/>
      </c>
      <c r="O11" s="91">
        <f>IF($A11="","",$K11-$E$59-$F$59)</f>
        <v/>
      </c>
      <c r="P11" s="89">
        <f>IF($A11="","",$L$59*$D11)</f>
        <v/>
      </c>
      <c r="Q11" s="91">
        <f>IF($A11="","",$M11-$E$60-$F$60)</f>
        <v/>
      </c>
      <c r="R11" s="89">
        <f>IF($A11="","",$L$60*$D11)</f>
        <v/>
      </c>
      <c r="S11" s="91">
        <f>IF($A11="","",$K11)</f>
        <v/>
      </c>
      <c r="T11" s="89">
        <f>IF($A11="","",$L$61*$D11)</f>
        <v/>
      </c>
      <c r="U11" s="91">
        <f>IF($A11="","",$B11-$E$62-$F$62)</f>
        <v/>
      </c>
      <c r="V11" s="89">
        <f>IF($A11="","",$L$62*$D11)</f>
        <v/>
      </c>
      <c r="W11" s="91">
        <f>IF($A11="","",$C11-$E$63-$F$63)</f>
        <v/>
      </c>
      <c r="X11" s="89">
        <f>IF($A11="","",$L$63*$D11)</f>
        <v/>
      </c>
      <c r="Y11" s="91">
        <f>IF($A11="","",$B11-$E$64-$F$64)</f>
        <v/>
      </c>
      <c r="Z11" s="89">
        <f>IF($A11="","",$L$64*$D11)</f>
        <v/>
      </c>
      <c r="AA11" s="91">
        <f>IF($A11="","",$S11)</f>
        <v/>
      </c>
      <c r="AB11" s="89">
        <f>IF($A11="","",$L$65*$D11)</f>
        <v/>
      </c>
      <c r="AC11" s="91">
        <f>IF($A11="","",$C11)</f>
        <v/>
      </c>
      <c r="AD11" s="89">
        <f>IF($A11="","",$L$66*$D11)</f>
        <v/>
      </c>
      <c r="AE11" s="91">
        <f>IF($A11="","",$C11-$E$67-$F$67)</f>
        <v/>
      </c>
      <c r="AF11" s="89">
        <f>IF($A11="","",$L$67*$D11)</f>
        <v/>
      </c>
      <c r="AG11" s="104">
        <f>IF($A11="","",$C11-$M11-$E$68-$F$68-$G$68)</f>
        <v/>
      </c>
      <c r="AH11" s="92">
        <f>IF($A11="","",$L$68*$D11)</f>
        <v/>
      </c>
      <c r="AI11" s="93">
        <f>IF($A11="","",$K11-56-56)</f>
        <v/>
      </c>
      <c r="AJ11" s="134">
        <f>IF($A11="","",$M11-56-56)</f>
        <v/>
      </c>
      <c r="AK11" s="95">
        <f>IF($A11="","",2*1*$D11)</f>
        <v/>
      </c>
      <c r="AL11">
        <f>IF($A11="","",$BC$7*$D11)</f>
        <v/>
      </c>
      <c r="AM11">
        <f>IF($A11="","",$BC$6*$D11)</f>
        <v/>
      </c>
      <c r="AN11">
        <f>IF($A11="","",$BC$9*$D11)</f>
        <v/>
      </c>
      <c r="AO11">
        <f>IF($A11="","",$BC$10*$D11)</f>
        <v/>
      </c>
      <c r="AP11">
        <f>IF($A11="","",2*$BC$6*$D11)</f>
        <v/>
      </c>
      <c r="AQ11">
        <f>IF($A11="","",IF($B11&gt;2800,2,IF($B11&gt;1400,1,0))*$BC$6*$D11)</f>
        <v/>
      </c>
      <c r="AR11">
        <f>IF($A11="","",2*$BC$6*$D11)</f>
        <v/>
      </c>
      <c r="AS11">
        <f>IF($A11="","",$BC$6*$D11)</f>
        <v/>
      </c>
      <c r="AT11">
        <f>IF($A11="","",2*$BC$6*$D11)</f>
        <v/>
      </c>
      <c r="AU11">
        <f>IF($A11="","",4*1*$D11)</f>
        <v/>
      </c>
      <c r="AV11">
        <f>IF($A11="","",16*1*$D11)</f>
        <v/>
      </c>
      <c r="AW11">
        <f>IF($A11="","",(2+MAX(0,ROUNDUP(($G11-1500)/500,0)))*$D11)</f>
        <v/>
      </c>
      <c r="AX11">
        <f>IF($A11="","",(2+MAX(0,ROUNDUP(($G11-1500)/500,0)))*$D11)</f>
        <v/>
      </c>
      <c r="AY11">
        <f>IF($A11="","",ROUND((2*2*($M11+$K11)*1*$D11+$S11*$T11)/1000,1))</f>
        <v/>
      </c>
      <c r="BA11" t="inlineStr">
        <is>
          <t>Alignล็อคดำ</t>
        </is>
      </c>
      <c r="BB11" t="inlineStr">
        <is>
          <t>JR00375</t>
        </is>
      </c>
    </row>
    <row r="12" ht="40.15" customHeight="1">
      <c r="A12" s="99" t="n"/>
      <c r="B12" s="88" t="n"/>
      <c r="C12" s="89" t="n"/>
      <c r="D12" s="90" t="n"/>
      <c r="E12" s="96">
        <f>IF($A12="","",$B12)</f>
        <v/>
      </c>
      <c r="F12" s="97">
        <f>IF($A12="","",$L$54*$D12)</f>
        <v/>
      </c>
      <c r="G12" s="96">
        <f>IF($A12="","",$C12-$E$55-$F$55)</f>
        <v/>
      </c>
      <c r="H12" s="97">
        <f>IF($A12="","",$L$55*$D12)</f>
        <v/>
      </c>
      <c r="I12" s="96">
        <f>IF($A12="","",$C12)</f>
        <v/>
      </c>
      <c r="J12" s="97">
        <f>IF($A12="","",$L$56*$D12)</f>
        <v/>
      </c>
      <c r="K12" s="96">
        <f>IF($A12="","",$B12-$E$57-$F$57-$G$57-$H$57)</f>
        <v/>
      </c>
      <c r="L12" s="97">
        <f>IF($A12="","",$L$57*$D12)</f>
        <v/>
      </c>
      <c r="M12" s="96">
        <f>IF($A12="","",(($C12-$E$58-$F$58-$G$58-$H$58)/2)+(66*1)/2)</f>
        <v/>
      </c>
      <c r="N12" s="97">
        <f>IF($A12="","",$L$58*$D12)</f>
        <v/>
      </c>
      <c r="O12" s="96">
        <f>IF($A12="","",$K12-$E$59-$F$59)</f>
        <v/>
      </c>
      <c r="P12" s="97">
        <f>IF($A12="","",$L$59*$D12)</f>
        <v/>
      </c>
      <c r="Q12" s="96">
        <f>IF($A12="","",$M12-$E$60-$F$60)</f>
        <v/>
      </c>
      <c r="R12" s="97">
        <f>IF($A12="","",$L$60*$D12)</f>
        <v/>
      </c>
      <c r="S12" s="96">
        <f>IF($A12="","",$K12)</f>
        <v/>
      </c>
      <c r="T12" s="97">
        <f>IF($A12="","",$L$61*$D12)</f>
        <v/>
      </c>
      <c r="U12" s="96">
        <f>IF($A12="","",$B12-$E$62-$F$62)</f>
        <v/>
      </c>
      <c r="V12" s="97">
        <f>IF($A12="","",$L$62*$D12)</f>
        <v/>
      </c>
      <c r="W12" s="96">
        <f>IF($A12="","",$C12-$E$63-$F$63)</f>
        <v/>
      </c>
      <c r="X12" s="97">
        <f>IF($A12="","",$L$63*$D12)</f>
        <v/>
      </c>
      <c r="Y12" s="96">
        <f>IF($A12="","",$B12-$E$64-$F$64)</f>
        <v/>
      </c>
      <c r="Z12" s="97">
        <f>IF($A12="","",$L$64*$D12)</f>
        <v/>
      </c>
      <c r="AA12" s="96">
        <f>IF($A12="","",$S12)</f>
        <v/>
      </c>
      <c r="AB12" s="97">
        <f>IF($A12="","",$L$65*$D12)</f>
        <v/>
      </c>
      <c r="AC12" s="96">
        <f>IF($A12="","",$C12)</f>
        <v/>
      </c>
      <c r="AD12" s="97">
        <f>IF($A12="","",$L$66*$D12)</f>
        <v/>
      </c>
      <c r="AE12" s="96">
        <f>IF($A12="","",$C12-$E$67-$F$67)</f>
        <v/>
      </c>
      <c r="AF12" s="97">
        <f>IF($A12="","",$L$67*$D12)</f>
        <v/>
      </c>
      <c r="AG12" s="108">
        <f>IF($A12="","",$C12-$M12-$E$68-$F$68-$G$68)</f>
        <v/>
      </c>
      <c r="AH12" s="98">
        <f>IF($A12="","",$L$68*$D12)</f>
        <v/>
      </c>
      <c r="AI12" s="93">
        <f>IF($A12="","",$K12-56-56)</f>
        <v/>
      </c>
      <c r="AJ12" s="94">
        <f>IF($A12="","",$M12-56-56)</f>
        <v/>
      </c>
      <c r="AK12" s="95">
        <f>IF($A12="","",2*1*$D12)</f>
        <v/>
      </c>
      <c r="AL12">
        <f>IF($A12="","",$BC$7*$D12)</f>
        <v/>
      </c>
      <c r="AM12">
        <f>IF($A12="","",$BC$6*$D12)</f>
        <v/>
      </c>
      <c r="AN12">
        <f>IF($A12="","",$BC$9*$D12)</f>
        <v/>
      </c>
      <c r="AO12">
        <f>IF($A12="","",$BC$10*$D12)</f>
        <v/>
      </c>
      <c r="AP12">
        <f>IF($A12="","",2*$BC$6*$D12)</f>
        <v/>
      </c>
      <c r="AQ12">
        <f>IF($A12="","",IF($B12&gt;2800,2,IF($B12&gt;1400,1,0))*$BC$6*$D12)</f>
        <v/>
      </c>
      <c r="AR12">
        <f>IF($A12="","",2*$BC$6*$D12)</f>
        <v/>
      </c>
      <c r="AS12">
        <f>IF($A12="","",$BC$6*$D12)</f>
        <v/>
      </c>
      <c r="AT12">
        <f>IF($A12="","",2*$BC$6*$D12)</f>
        <v/>
      </c>
      <c r="AU12">
        <f>IF($A12="","",4*1*$D12)</f>
        <v/>
      </c>
      <c r="AV12">
        <f>IF($A12="","",16*1*$D12)</f>
        <v/>
      </c>
      <c r="AW12">
        <f>IF($A12="","",(2+MAX(0,ROUNDUP(($G12-1500)/500,0)))*$D12)</f>
        <v/>
      </c>
      <c r="AX12">
        <f>IF($A12="","",(2+MAX(0,ROUNDUP(($G12-1500)/500,0)))*$D12)</f>
        <v/>
      </c>
      <c r="AY12">
        <f>IF($A12="","",ROUND((2*2*($M12+$K12)*1*$D12+$S12*$T12)/1000,1))</f>
        <v/>
      </c>
      <c r="BA12" t="inlineStr">
        <is>
          <t>Alignดัมมี่ดำ</t>
        </is>
      </c>
      <c r="BB12" t="inlineStr">
        <is>
          <t>JR00376</t>
        </is>
      </c>
    </row>
    <row r="13" ht="40.15" customHeight="1">
      <c r="A13" s="99" t="n"/>
      <c r="B13" s="88" t="n"/>
      <c r="C13" s="89" t="n"/>
      <c r="D13" s="90" t="n"/>
      <c r="E13" s="91">
        <f>IF($A13="","",$B13)</f>
        <v/>
      </c>
      <c r="F13" s="89">
        <f>IF($A13="","",$L$54*$D13)</f>
        <v/>
      </c>
      <c r="G13" s="91">
        <f>IF($A13="","",$C13-$E$55-$F$55)</f>
        <v/>
      </c>
      <c r="H13" s="89">
        <f>IF($A13="","",$L$55*$D13)</f>
        <v/>
      </c>
      <c r="I13" s="91">
        <f>IF($A13="","",$C13)</f>
        <v/>
      </c>
      <c r="J13" s="89">
        <f>IF($A13="","",$L$56*$D13)</f>
        <v/>
      </c>
      <c r="K13" s="91">
        <f>IF($A13="","",$B13-$E$57-$F$57-$G$57-$H$57)</f>
        <v/>
      </c>
      <c r="L13" s="89">
        <f>IF($A13="","",$L$57*$D13)</f>
        <v/>
      </c>
      <c r="M13" s="91">
        <f>IF($A13="","",(($C13-$E$58-$F$58-$G$58-$H$58)/2)+(66*1)/2)</f>
        <v/>
      </c>
      <c r="N13" s="89">
        <f>IF($A13="","",$L$58*$D13)</f>
        <v/>
      </c>
      <c r="O13" s="91">
        <f>IF($A13="","",$K13-$E$59-$F$59)</f>
        <v/>
      </c>
      <c r="P13" s="89">
        <f>IF($A13="","",$L$59*$D13)</f>
        <v/>
      </c>
      <c r="Q13" s="91">
        <f>IF($A13="","",$M13-$E$60-$F$60)</f>
        <v/>
      </c>
      <c r="R13" s="89">
        <f>IF($A13="","",$L$60*$D13)</f>
        <v/>
      </c>
      <c r="S13" s="91">
        <f>IF($A13="","",$K13)</f>
        <v/>
      </c>
      <c r="T13" s="89">
        <f>IF($A13="","",$L$61*$D13)</f>
        <v/>
      </c>
      <c r="U13" s="91">
        <f>IF($A13="","",$B13-$E$62-$F$62)</f>
        <v/>
      </c>
      <c r="V13" s="89">
        <f>IF($A13="","",$L$62*$D13)</f>
        <v/>
      </c>
      <c r="W13" s="91">
        <f>IF($A13="","",$C13-$E$63-$F$63)</f>
        <v/>
      </c>
      <c r="X13" s="89">
        <f>IF($A13="","",$L$63*$D13)</f>
        <v/>
      </c>
      <c r="Y13" s="91">
        <f>IF($A13="","",$B13-$E$64-$F$64)</f>
        <v/>
      </c>
      <c r="Z13" s="89">
        <f>IF($A13="","",$L$64*$D13)</f>
        <v/>
      </c>
      <c r="AA13" s="91">
        <f>IF($A13="","",$S13)</f>
        <v/>
      </c>
      <c r="AB13" s="89">
        <f>IF($A13="","",$L$65*$D13)</f>
        <v/>
      </c>
      <c r="AC13" s="91">
        <f>IF($A13="","",$C13)</f>
        <v/>
      </c>
      <c r="AD13" s="89">
        <f>IF($A13="","",$L$66*$D13)</f>
        <v/>
      </c>
      <c r="AE13" s="91">
        <f>IF($A13="","",$C13-$E$67-$F$67)</f>
        <v/>
      </c>
      <c r="AF13" s="89">
        <f>IF($A13="","",$L$67*$D13)</f>
        <v/>
      </c>
      <c r="AG13" s="104">
        <f>IF($A13="","",$C13-$M13-$E$68-$F$68-$G$68)</f>
        <v/>
      </c>
      <c r="AH13" s="92">
        <f>IF($A13="","",$L$68*$D13)</f>
        <v/>
      </c>
      <c r="AI13" s="93">
        <f>IF($A13="","",$K13-56-56)</f>
        <v/>
      </c>
      <c r="AJ13" s="94">
        <f>IF($A13="","",$M13-56-56)</f>
        <v/>
      </c>
      <c r="AK13" s="95">
        <f>IF($A13="","",2*1*$D13)</f>
        <v/>
      </c>
      <c r="AL13">
        <f>IF($A13="","",$BC$7*$D13)</f>
        <v/>
      </c>
      <c r="AM13">
        <f>IF($A13="","",$BC$6*$D13)</f>
        <v/>
      </c>
      <c r="AN13">
        <f>IF($A13="","",$BC$9*$D13)</f>
        <v/>
      </c>
      <c r="AO13">
        <f>IF($A13="","",$BC$10*$D13)</f>
        <v/>
      </c>
      <c r="AP13">
        <f>IF($A13="","",2*$BC$6*$D13)</f>
        <v/>
      </c>
      <c r="AQ13">
        <f>IF($A13="","",IF($B13&gt;2800,2,IF($B13&gt;1400,1,0))*$BC$6*$D13)</f>
        <v/>
      </c>
      <c r="AR13">
        <f>IF($A13="","",2*$BC$6*$D13)</f>
        <v/>
      </c>
      <c r="AS13">
        <f>IF($A13="","",$BC$6*$D13)</f>
        <v/>
      </c>
      <c r="AT13">
        <f>IF($A13="","",2*$BC$6*$D13)</f>
        <v/>
      </c>
      <c r="AU13">
        <f>IF($A13="","",4*1*$D13)</f>
        <v/>
      </c>
      <c r="AV13">
        <f>IF($A13="","",16*1*$D13)</f>
        <v/>
      </c>
      <c r="AW13">
        <f>IF($A13="","",(2+MAX(0,ROUNDUP(($G13-1500)/500,0)))*$D13)</f>
        <v/>
      </c>
      <c r="AX13">
        <f>IF($A13="","",(2+MAX(0,ROUNDUP(($G13-1500)/500,0)))*$D13)</f>
        <v/>
      </c>
      <c r="AY13">
        <f>IF($A13="","",ROUND((2*2*($M13+$K13)*1*$D13+$S13*$T13)/1000,1))</f>
        <v/>
      </c>
    </row>
    <row r="14" ht="40.15" customHeight="1">
      <c r="A14" s="99" t="n"/>
      <c r="B14" s="88" t="n"/>
      <c r="C14" s="89" t="n"/>
      <c r="D14" s="90" t="n"/>
      <c r="E14" s="96">
        <f>IF($A14="","",$B14)</f>
        <v/>
      </c>
      <c r="F14" s="97">
        <f>IF($A14="","",$L$54*$D14)</f>
        <v/>
      </c>
      <c r="G14" s="96">
        <f>IF($A14="","",$C14-$E$55-$F$55)</f>
        <v/>
      </c>
      <c r="H14" s="97">
        <f>IF($A14="","",$L$55*$D14)</f>
        <v/>
      </c>
      <c r="I14" s="96">
        <f>IF($A14="","",$C14)</f>
        <v/>
      </c>
      <c r="J14" s="97">
        <f>IF($A14="","",$L$56*$D14)</f>
        <v/>
      </c>
      <c r="K14" s="96">
        <f>IF($A14="","",$B14-$E$57-$F$57-$G$57-$H$57)</f>
        <v/>
      </c>
      <c r="L14" s="97">
        <f>IF($A14="","",$L$57*$D14)</f>
        <v/>
      </c>
      <c r="M14" s="96">
        <f>IF($A14="","",(($C14-$E$58-$F$58-$G$58-$H$58)/2)+(66*1)/2)</f>
        <v/>
      </c>
      <c r="N14" s="97">
        <f>IF($A14="","",$L$58*$D14)</f>
        <v/>
      </c>
      <c r="O14" s="96">
        <f>IF($A14="","",$K14-$E$59-$F$59)</f>
        <v/>
      </c>
      <c r="P14" s="97">
        <f>IF($A14="","",$L$59*$D14)</f>
        <v/>
      </c>
      <c r="Q14" s="96">
        <f>IF($A14="","",$M14-$E$60-$F$60)</f>
        <v/>
      </c>
      <c r="R14" s="97">
        <f>IF($A14="","",$L$60*$D14)</f>
        <v/>
      </c>
      <c r="S14" s="96">
        <f>IF($A14="","",$K14)</f>
        <v/>
      </c>
      <c r="T14" s="97">
        <f>IF($A14="","",$L$61*$D14)</f>
        <v/>
      </c>
      <c r="U14" s="96">
        <f>IF($A14="","",$B14-$E$62-$F$62)</f>
        <v/>
      </c>
      <c r="V14" s="97">
        <f>IF($A14="","",$L$62*$D14)</f>
        <v/>
      </c>
      <c r="W14" s="96">
        <f>IF($A14="","",$C14-$E$63-$F$63)</f>
        <v/>
      </c>
      <c r="X14" s="97">
        <f>IF($A14="","",$L$63*$D14)</f>
        <v/>
      </c>
      <c r="Y14" s="96">
        <f>IF($A14="","",$B14-$E$64-$F$64)</f>
        <v/>
      </c>
      <c r="Z14" s="97">
        <f>IF($A14="","",$L$64*$D14)</f>
        <v/>
      </c>
      <c r="AA14" s="96">
        <f>IF($A14="","",$S14)</f>
        <v/>
      </c>
      <c r="AB14" s="97">
        <f>IF($A14="","",$L$65*$D14)</f>
        <v/>
      </c>
      <c r="AC14" s="96">
        <f>IF($A14="","",$C14)</f>
        <v/>
      </c>
      <c r="AD14" s="97">
        <f>IF($A14="","",$L$66*$D14)</f>
        <v/>
      </c>
      <c r="AE14" s="96">
        <f>IF($A14="","",$C14-$E$67-$F$67)</f>
        <v/>
      </c>
      <c r="AF14" s="97">
        <f>IF($A14="","",$L$67*$D14)</f>
        <v/>
      </c>
      <c r="AG14" s="108">
        <f>IF($A14="","",$C14-$M14-$E$68-$F$68-$G$68)</f>
        <v/>
      </c>
      <c r="AH14" s="98">
        <f>IF($A14="","",$L$68*$D14)</f>
        <v/>
      </c>
      <c r="AI14" s="93">
        <f>IF($A14="","",$K14-56-56)</f>
        <v/>
      </c>
      <c r="AJ14" s="94">
        <f>IF($A14="","",$M14-56-56)</f>
        <v/>
      </c>
      <c r="AK14" s="95">
        <f>IF($A14="","",2*1*$D14)</f>
        <v/>
      </c>
      <c r="AL14">
        <f>IF($A14="","",$BC$7*$D14)</f>
        <v/>
      </c>
      <c r="AM14">
        <f>IF($A14="","",$BC$6*$D14)</f>
        <v/>
      </c>
      <c r="AN14">
        <f>IF($A14="","",$BC$9*$D14)</f>
        <v/>
      </c>
      <c r="AO14">
        <f>IF($A14="","",$BC$10*$D14)</f>
        <v/>
      </c>
      <c r="AP14">
        <f>IF($A14="","",2*$BC$6*$D14)</f>
        <v/>
      </c>
      <c r="AQ14">
        <f>IF($A14="","",IF($B14&gt;2800,2,IF($B14&gt;1400,1,0))*$BC$6*$D14)</f>
        <v/>
      </c>
      <c r="AR14">
        <f>IF($A14="","",2*$BC$6*$D14)</f>
        <v/>
      </c>
      <c r="AS14">
        <f>IF($A14="","",$BC$6*$D14)</f>
        <v/>
      </c>
      <c r="AT14">
        <f>IF($A14="","",2*$BC$6*$D14)</f>
        <v/>
      </c>
      <c r="AU14">
        <f>IF($A14="","",4*1*$D14)</f>
        <v/>
      </c>
      <c r="AV14">
        <f>IF($A14="","",16*1*$D14)</f>
        <v/>
      </c>
      <c r="AW14">
        <f>IF($A14="","",(2+MAX(0,ROUNDUP(($G14-1500)/500,0)))*$D14)</f>
        <v/>
      </c>
      <c r="AX14">
        <f>IF($A14="","",(2+MAX(0,ROUNDUP(($G14-1500)/500,0)))*$D14)</f>
        <v/>
      </c>
      <c r="AY14">
        <f>IF($A14="","",ROUND((2*2*($M14+$K14)*1*$D14+$S14*$T14)/1000,1))</f>
        <v/>
      </c>
    </row>
    <row r="15" ht="40.15" customHeight="1">
      <c r="A15" s="99" t="n"/>
      <c r="B15" s="88" t="n"/>
      <c r="C15" s="89" t="n"/>
      <c r="D15" s="90" t="n"/>
      <c r="E15" s="91">
        <f>IF($A15="","",$B15)</f>
        <v/>
      </c>
      <c r="F15" s="89">
        <f>IF($A15="","",$L$54*$D15)</f>
        <v/>
      </c>
      <c r="G15" s="91">
        <f>IF($A15="","",$C15-$E$55-$F$55)</f>
        <v/>
      </c>
      <c r="H15" s="89">
        <f>IF($A15="","",$L$55*$D15)</f>
        <v/>
      </c>
      <c r="I15" s="91">
        <f>IF($A15="","",$C15)</f>
        <v/>
      </c>
      <c r="J15" s="89">
        <f>IF($A15="","",$L$56*$D15)</f>
        <v/>
      </c>
      <c r="K15" s="91">
        <f>IF($A15="","",$B15-$E$57-$F$57-$G$57-$H$57)</f>
        <v/>
      </c>
      <c r="L15" s="89">
        <f>IF($A15="","",$L$57*$D15)</f>
        <v/>
      </c>
      <c r="M15" s="91">
        <f>IF($A15="","",(($C15-$E$58-$F$58-$G$58-$H$58)/2)+(66*1)/2)</f>
        <v/>
      </c>
      <c r="N15" s="89">
        <f>IF($A15="","",$L$58*$D15)</f>
        <v/>
      </c>
      <c r="O15" s="91">
        <f>IF($A15="","",$K15-$E$59-$F$59)</f>
        <v/>
      </c>
      <c r="P15" s="89">
        <f>IF($A15="","",$L$59*$D15)</f>
        <v/>
      </c>
      <c r="Q15" s="91">
        <f>IF($A15="","",$M15-$E$60-$F$60)</f>
        <v/>
      </c>
      <c r="R15" s="89">
        <f>IF($A15="","",$L$60*$D15)</f>
        <v/>
      </c>
      <c r="S15" s="91">
        <f>IF($A15="","",$K15)</f>
        <v/>
      </c>
      <c r="T15" s="89">
        <f>IF($A15="","",$L$61*$D15)</f>
        <v/>
      </c>
      <c r="U15" s="91">
        <f>IF($A15="","",$B15-$E$62-$F$62)</f>
        <v/>
      </c>
      <c r="V15" s="89">
        <f>IF($A15="","",$L$62*$D15)</f>
        <v/>
      </c>
      <c r="W15" s="91">
        <f>IF($A15="","",$C15-$E$63-$F$63)</f>
        <v/>
      </c>
      <c r="X15" s="89">
        <f>IF($A15="","",$L$63*$D15)</f>
        <v/>
      </c>
      <c r="Y15" s="91">
        <f>IF($A15="","",$B15-$E$64-$F$64)</f>
        <v/>
      </c>
      <c r="Z15" s="89">
        <f>IF($A15="","",$L$64*$D15)</f>
        <v/>
      </c>
      <c r="AA15" s="91">
        <f>IF($A15="","",$S15)</f>
        <v/>
      </c>
      <c r="AB15" s="89">
        <f>IF($A15="","",$L$65*$D15)</f>
        <v/>
      </c>
      <c r="AC15" s="91">
        <f>IF($A15="","",$C15)</f>
        <v/>
      </c>
      <c r="AD15" s="89">
        <f>IF($A15="","",$L$66*$D15)</f>
        <v/>
      </c>
      <c r="AE15" s="91">
        <f>IF($A15="","",$C15-$E$67-$F$67)</f>
        <v/>
      </c>
      <c r="AF15" s="89">
        <f>IF($A15="","",$L$67*$D15)</f>
        <v/>
      </c>
      <c r="AG15" s="104">
        <f>IF($A15="","",$C15-$M15-$E$68-$F$68-$G$68)</f>
        <v/>
      </c>
      <c r="AH15" s="92">
        <f>IF($A15="","",$L$68*$D15)</f>
        <v/>
      </c>
      <c r="AI15" s="93">
        <f>IF($A15="","",$K15-56-56)</f>
        <v/>
      </c>
      <c r="AJ15" s="94">
        <f>IF($A15="","",$M15-56-56)</f>
        <v/>
      </c>
      <c r="AK15" s="95">
        <f>IF($A15="","",2*1*$D15)</f>
        <v/>
      </c>
      <c r="AL15">
        <f>IF($A15="","",$BC$7*$D15)</f>
        <v/>
      </c>
      <c r="AM15">
        <f>IF($A15="","",$BC$6*$D15)</f>
        <v/>
      </c>
      <c r="AN15">
        <f>IF($A15="","",$BC$9*$D15)</f>
        <v/>
      </c>
      <c r="AO15">
        <f>IF($A15="","",$BC$10*$D15)</f>
        <v/>
      </c>
      <c r="AP15">
        <f>IF($A15="","",2*$BC$6*$D15)</f>
        <v/>
      </c>
      <c r="AQ15">
        <f>IF($A15="","",IF($B15&gt;2800,2,IF($B15&gt;1400,1,0))*$BC$6*$D15)</f>
        <v/>
      </c>
      <c r="AR15">
        <f>IF($A15="","",2*$BC$6*$D15)</f>
        <v/>
      </c>
      <c r="AS15">
        <f>IF($A15="","",$BC$6*$D15)</f>
        <v/>
      </c>
      <c r="AT15">
        <f>IF($A15="","",2*$BC$6*$D15)</f>
        <v/>
      </c>
      <c r="AU15">
        <f>IF($A15="","",4*1*$D15)</f>
        <v/>
      </c>
      <c r="AV15">
        <f>IF($A15="","",16*1*$D15)</f>
        <v/>
      </c>
      <c r="AW15">
        <f>IF($A15="","",(2+MAX(0,ROUNDUP(($G15-1500)/500,0)))*$D15)</f>
        <v/>
      </c>
      <c r="AX15">
        <f>IF($A15="","",(2+MAX(0,ROUNDUP(($G15-1500)/500,0)))*$D15)</f>
        <v/>
      </c>
      <c r="AY15">
        <f>IF($A15="","",ROUND((2*2*($M15+$K15)*1*$D15+$S15*$T15)/1000,1))</f>
        <v/>
      </c>
    </row>
    <row r="16" ht="40.15" customHeight="1">
      <c r="A16" s="99" t="n"/>
      <c r="B16" s="88" t="n"/>
      <c r="C16" s="89" t="n"/>
      <c r="D16" s="90" t="n"/>
      <c r="E16" s="96">
        <f>IF($A16="","",$B16)</f>
        <v/>
      </c>
      <c r="F16" s="97">
        <f>IF($A16="","",$L$54*$D16)</f>
        <v/>
      </c>
      <c r="G16" s="96">
        <f>IF($A16="","",$C16-$E$55-$F$55)</f>
        <v/>
      </c>
      <c r="H16" s="97">
        <f>IF($A16="","",$L$55*$D16)</f>
        <v/>
      </c>
      <c r="I16" s="96">
        <f>IF($A16="","",$C16)</f>
        <v/>
      </c>
      <c r="J16" s="97">
        <f>IF($A16="","",$L$56*$D16)</f>
        <v/>
      </c>
      <c r="K16" s="96">
        <f>IF($A16="","",$B16-$E$57-$F$57-$G$57-$H$57)</f>
        <v/>
      </c>
      <c r="L16" s="97">
        <f>IF($A16="","",$L$57*$D16)</f>
        <v/>
      </c>
      <c r="M16" s="96">
        <f>IF($A16="","",(($C16-$E$58-$F$58-$G$58-$H$58)/2)+(66*1)/2)</f>
        <v/>
      </c>
      <c r="N16" s="97">
        <f>IF($A16="","",$L$58*$D16)</f>
        <v/>
      </c>
      <c r="O16" s="96">
        <f>IF($A16="","",$K16-$E$59-$F$59)</f>
        <v/>
      </c>
      <c r="P16" s="97">
        <f>IF($A16="","",$L$59*$D16)</f>
        <v/>
      </c>
      <c r="Q16" s="96">
        <f>IF($A16="","",$M16-$E$60-$F$60)</f>
        <v/>
      </c>
      <c r="R16" s="97">
        <f>IF($A16="","",$L$60*$D16)</f>
        <v/>
      </c>
      <c r="S16" s="96">
        <f>IF($A16="","",$K16)</f>
        <v/>
      </c>
      <c r="T16" s="97">
        <f>IF($A16="","",$L$61*$D16)</f>
        <v/>
      </c>
      <c r="U16" s="96">
        <f>IF($A16="","",$B16-$E$62-$F$62)</f>
        <v/>
      </c>
      <c r="V16" s="97">
        <f>IF($A16="","",$L$62*$D16)</f>
        <v/>
      </c>
      <c r="W16" s="96">
        <f>IF($A16="","",$C16-$E$63-$F$63)</f>
        <v/>
      </c>
      <c r="X16" s="97">
        <f>IF($A16="","",$L$63*$D16)</f>
        <v/>
      </c>
      <c r="Y16" s="96">
        <f>IF($A16="","",$B16-$E$64-$F$64)</f>
        <v/>
      </c>
      <c r="Z16" s="97">
        <f>IF($A16="","",$L$64*$D16)</f>
        <v/>
      </c>
      <c r="AA16" s="96">
        <f>IF($A16="","",$S16)</f>
        <v/>
      </c>
      <c r="AB16" s="97">
        <f>IF($A16="","",$L$65*$D16)</f>
        <v/>
      </c>
      <c r="AC16" s="96">
        <f>IF($A16="","",$C16)</f>
        <v/>
      </c>
      <c r="AD16" s="97">
        <f>IF($A16="","",$L$66*$D16)</f>
        <v/>
      </c>
      <c r="AE16" s="96">
        <f>IF($A16="","",$C16-$E$67-$F$67)</f>
        <v/>
      </c>
      <c r="AF16" s="97">
        <f>IF($A16="","",$L$67*$D16)</f>
        <v/>
      </c>
      <c r="AG16" s="108">
        <f>IF($A16="","",$C16-$M16-$E$68-$F$68-$G$68)</f>
        <v/>
      </c>
      <c r="AH16" s="98">
        <f>IF($A16="","",$L$68*$D16)</f>
        <v/>
      </c>
      <c r="AI16" s="93">
        <f>IF($A16="","",$K16-56-56)</f>
        <v/>
      </c>
      <c r="AJ16" s="94">
        <f>IF($A16="","",$M16-56-56)</f>
        <v/>
      </c>
      <c r="AK16" s="95">
        <f>IF($A16="","",2*1*$D16)</f>
        <v/>
      </c>
      <c r="AL16">
        <f>IF($A16="","",$BC$7*$D16)</f>
        <v/>
      </c>
      <c r="AM16">
        <f>IF($A16="","",$BC$6*$D16)</f>
        <v/>
      </c>
      <c r="AN16">
        <f>IF($A16="","",$BC$9*$D16)</f>
        <v/>
      </c>
      <c r="AO16">
        <f>IF($A16="","",$BC$10*$D16)</f>
        <v/>
      </c>
      <c r="AP16">
        <f>IF($A16="","",2*$BC$6*$D16)</f>
        <v/>
      </c>
      <c r="AQ16">
        <f>IF($A16="","",IF($B16&gt;2800,2,IF($B16&gt;1400,1,0))*$BC$6*$D16)</f>
        <v/>
      </c>
      <c r="AR16">
        <f>IF($A16="","",2*$BC$6*$D16)</f>
        <v/>
      </c>
      <c r="AS16">
        <f>IF($A16="","",$BC$6*$D16)</f>
        <v/>
      </c>
      <c r="AT16">
        <f>IF($A16="","",2*$BC$6*$D16)</f>
        <v/>
      </c>
      <c r="AU16">
        <f>IF($A16="","",4*1*$D16)</f>
        <v/>
      </c>
      <c r="AV16">
        <f>IF($A16="","",16*1*$D16)</f>
        <v/>
      </c>
      <c r="AW16">
        <f>IF($A16="","",(2+MAX(0,ROUNDUP(($G16-1500)/500,0)))*$D16)</f>
        <v/>
      </c>
      <c r="AX16">
        <f>IF($A16="","",(2+MAX(0,ROUNDUP(($G16-1500)/500,0)))*$D16)</f>
        <v/>
      </c>
      <c r="AY16">
        <f>IF($A16="","",ROUND((2*2*($M16+$K16)*1*$D16+$S16*$T16)/1000,1))</f>
        <v/>
      </c>
    </row>
    <row r="17" ht="40.15" customHeight="1">
      <c r="A17" s="99" t="n"/>
      <c r="B17" s="88" t="n"/>
      <c r="C17" s="89" t="n"/>
      <c r="D17" s="90" t="n"/>
      <c r="E17" s="91">
        <f>IF($A17="","",$B17)</f>
        <v/>
      </c>
      <c r="F17" s="89">
        <f>IF($A17="","",$L$54*$D17)</f>
        <v/>
      </c>
      <c r="G17" s="91">
        <f>IF($A17="","",$C17-$E$55-$F$55)</f>
        <v/>
      </c>
      <c r="H17" s="89">
        <f>IF($A17="","",$L$55*$D17)</f>
        <v/>
      </c>
      <c r="I17" s="91">
        <f>IF($A17="","",$C17)</f>
        <v/>
      </c>
      <c r="J17" s="89">
        <f>IF($A17="","",$L$56*$D17)</f>
        <v/>
      </c>
      <c r="K17" s="91">
        <f>IF($A17="","",$B17-$E$57-$F$57-$G$57-$H$57)</f>
        <v/>
      </c>
      <c r="L17" s="89">
        <f>IF($A17="","",$L$57*$D17)</f>
        <v/>
      </c>
      <c r="M17" s="91">
        <f>IF($A17="","",(($C17-$E$58-$F$58-$G$58-$H$58)/2)+(66*1)/2)</f>
        <v/>
      </c>
      <c r="N17" s="89">
        <f>IF($A17="","",$L$58*$D17)</f>
        <v/>
      </c>
      <c r="O17" s="91">
        <f>IF($A17="","",$K17-$E$59-$F$59)</f>
        <v/>
      </c>
      <c r="P17" s="89">
        <f>IF($A17="","",$L$59*$D17)</f>
        <v/>
      </c>
      <c r="Q17" s="91">
        <f>IF($A17="","",$M17-$E$60-$F$60)</f>
        <v/>
      </c>
      <c r="R17" s="89">
        <f>IF($A17="","",$L$60*$D17)</f>
        <v/>
      </c>
      <c r="S17" s="91">
        <f>IF($A17="","",$K17)</f>
        <v/>
      </c>
      <c r="T17" s="89">
        <f>IF($A17="","",$L$61*$D17)</f>
        <v/>
      </c>
      <c r="U17" s="91">
        <f>IF($A17="","",$B17-$E$62-$F$62)</f>
        <v/>
      </c>
      <c r="V17" s="89">
        <f>IF($A17="","",$L$62*$D17)</f>
        <v/>
      </c>
      <c r="W17" s="91">
        <f>IF($A17="","",$C17-$E$63-$F$63)</f>
        <v/>
      </c>
      <c r="X17" s="89">
        <f>IF($A17="","",$L$63*$D17)</f>
        <v/>
      </c>
      <c r="Y17" s="91">
        <f>IF($A17="","",$B17-$E$64-$F$64)</f>
        <v/>
      </c>
      <c r="Z17" s="89">
        <f>IF($A17="","",$L$64*$D17)</f>
        <v/>
      </c>
      <c r="AA17" s="91">
        <f>IF($A17="","",$S17)</f>
        <v/>
      </c>
      <c r="AB17" s="89">
        <f>IF($A17="","",$L$65*$D17)</f>
        <v/>
      </c>
      <c r="AC17" s="91">
        <f>IF($A17="","",$C17)</f>
        <v/>
      </c>
      <c r="AD17" s="89">
        <f>IF($A17="","",$L$66*$D17)</f>
        <v/>
      </c>
      <c r="AE17" s="91">
        <f>IF($A17="","",$C17-$E$67-$F$67)</f>
        <v/>
      </c>
      <c r="AF17" s="89">
        <f>IF($A17="","",$L$67*$D17)</f>
        <v/>
      </c>
      <c r="AG17" s="104">
        <f>IF($A17="","",$C17-$M17-$E$68-$F$68-$G$68)</f>
        <v/>
      </c>
      <c r="AH17" s="92">
        <f>IF($A17="","",$L$68*$D17)</f>
        <v/>
      </c>
      <c r="AI17" s="93">
        <f>IF($A17="","",$K17-56-56)</f>
        <v/>
      </c>
      <c r="AJ17" s="94">
        <f>IF($A17="","",$M17-56-56)</f>
        <v/>
      </c>
      <c r="AK17" s="95">
        <f>IF($A17="","",2*1*$D17)</f>
        <v/>
      </c>
      <c r="AL17">
        <f>IF($A17="","",$BC$7*$D17)</f>
        <v/>
      </c>
      <c r="AM17">
        <f>IF($A17="","",$BC$6*$D17)</f>
        <v/>
      </c>
      <c r="AN17">
        <f>IF($A17="","",$BC$9*$D17)</f>
        <v/>
      </c>
      <c r="AO17">
        <f>IF($A17="","",$BC$10*$D17)</f>
        <v/>
      </c>
      <c r="AP17">
        <f>IF($A17="","",2*$BC$6*$D17)</f>
        <v/>
      </c>
      <c r="AQ17">
        <f>IF($A17="","",IF($B17&gt;2800,2,IF($B17&gt;1400,1,0))*$BC$6*$D17)</f>
        <v/>
      </c>
      <c r="AR17">
        <f>IF($A17="","",2*$BC$6*$D17)</f>
        <v/>
      </c>
      <c r="AS17">
        <f>IF($A17="","",$BC$6*$D17)</f>
        <v/>
      </c>
      <c r="AT17">
        <f>IF($A17="","",2*$BC$6*$D17)</f>
        <v/>
      </c>
      <c r="AU17">
        <f>IF($A17="","",4*1*$D17)</f>
        <v/>
      </c>
      <c r="AV17">
        <f>IF($A17="","",16*1*$D17)</f>
        <v/>
      </c>
      <c r="AW17">
        <f>IF($A17="","",(2+MAX(0,ROUNDUP(($G17-1500)/500,0)))*$D17)</f>
        <v/>
      </c>
      <c r="AX17">
        <f>IF($A17="","",(2+MAX(0,ROUNDUP(($G17-1500)/500,0)))*$D17)</f>
        <v/>
      </c>
      <c r="AY17">
        <f>IF($A17="","",ROUND((2*2*($M17+$K17)*1*$D17+$S17*$T17)/1000,1))</f>
        <v/>
      </c>
    </row>
    <row r="18" ht="40.15" customHeight="1">
      <c r="A18" s="99" t="n"/>
      <c r="B18" s="88" t="n"/>
      <c r="C18" s="89" t="n"/>
      <c r="D18" s="90" t="n"/>
      <c r="E18" s="96">
        <f>IF($A18="","",$B18)</f>
        <v/>
      </c>
      <c r="F18" s="97">
        <f>IF($A18="","",$L$54*$D18)</f>
        <v/>
      </c>
      <c r="G18" s="96">
        <f>IF($A18="","",$C18-$E$55-$F$55)</f>
        <v/>
      </c>
      <c r="H18" s="97">
        <f>IF($A18="","",$L$55*$D18)</f>
        <v/>
      </c>
      <c r="I18" s="96">
        <f>IF($A18="","",$C18)</f>
        <v/>
      </c>
      <c r="J18" s="97">
        <f>IF($A18="","",$L$56*$D18)</f>
        <v/>
      </c>
      <c r="K18" s="96">
        <f>IF($A18="","",$B18-$E$57-$F$57-$G$57-$H$57)</f>
        <v/>
      </c>
      <c r="L18" s="97">
        <f>IF($A18="","",$L$57*$D18)</f>
        <v/>
      </c>
      <c r="M18" s="96">
        <f>IF($A18="","",(($C18-$E$58-$F$58-$G$58-$H$58)/2)+(66*1)/2)</f>
        <v/>
      </c>
      <c r="N18" s="97">
        <f>IF($A18="","",$L$58*$D18)</f>
        <v/>
      </c>
      <c r="O18" s="96">
        <f>IF($A18="","",$K18-$E$59-$F$59)</f>
        <v/>
      </c>
      <c r="P18" s="97">
        <f>IF($A18="","",$L$59*$D18)</f>
        <v/>
      </c>
      <c r="Q18" s="96">
        <f>IF($A18="","",$M18-$E$60-$F$60)</f>
        <v/>
      </c>
      <c r="R18" s="97">
        <f>IF($A18="","",$L$60*$D18)</f>
        <v/>
      </c>
      <c r="S18" s="96">
        <f>IF($A18="","",$K18)</f>
        <v/>
      </c>
      <c r="T18" s="97">
        <f>IF($A18="","",$L$61*$D18)</f>
        <v/>
      </c>
      <c r="U18" s="96">
        <f>IF($A18="","",$B18-$E$62-$F$62)</f>
        <v/>
      </c>
      <c r="V18" s="97">
        <f>IF($A18="","",$L$62*$D18)</f>
        <v/>
      </c>
      <c r="W18" s="96">
        <f>IF($A18="","",$C18-$E$63-$F$63)</f>
        <v/>
      </c>
      <c r="X18" s="97">
        <f>IF($A18="","",$L$63*$D18)</f>
        <v/>
      </c>
      <c r="Y18" s="96">
        <f>IF($A18="","",$B18-$E$64-$F$64)</f>
        <v/>
      </c>
      <c r="Z18" s="97">
        <f>IF($A18="","",$L$64*$D18)</f>
        <v/>
      </c>
      <c r="AA18" s="96">
        <f>IF($A18="","",$S18)</f>
        <v/>
      </c>
      <c r="AB18" s="97">
        <f>IF($A18="","",$L$65*$D18)</f>
        <v/>
      </c>
      <c r="AC18" s="96">
        <f>IF($A18="","",$C18)</f>
        <v/>
      </c>
      <c r="AD18" s="97">
        <f>IF($A18="","",$L$66*$D18)</f>
        <v/>
      </c>
      <c r="AE18" s="96">
        <f>IF($A18="","",$C18-$E$67-$F$67)</f>
        <v/>
      </c>
      <c r="AF18" s="97">
        <f>IF($A18="","",$L$67*$D18)</f>
        <v/>
      </c>
      <c r="AG18" s="108">
        <f>IF($A18="","",$C18-$M18-$E$68-$F$68-$G$68)</f>
        <v/>
      </c>
      <c r="AH18" s="98">
        <f>IF($A18="","",$L$68*$D18)</f>
        <v/>
      </c>
      <c r="AI18" s="93">
        <f>IF($A18="","",$K18-56-56)</f>
        <v/>
      </c>
      <c r="AJ18" s="94">
        <f>IF($A18="","",$M18-56-56)</f>
        <v/>
      </c>
      <c r="AK18" s="95">
        <f>IF($A18="","",2*1*$D18)</f>
        <v/>
      </c>
      <c r="AL18">
        <f>IF($A18="","",$BC$7*$D18)</f>
        <v/>
      </c>
      <c r="AM18">
        <f>IF($A18="","",$BC$6*$D18)</f>
        <v/>
      </c>
      <c r="AN18">
        <f>IF($A18="","",$BC$9*$D18)</f>
        <v/>
      </c>
      <c r="AO18">
        <f>IF($A18="","",$BC$10*$D18)</f>
        <v/>
      </c>
      <c r="AP18">
        <f>IF($A18="","",2*$BC$6*$D18)</f>
        <v/>
      </c>
      <c r="AQ18">
        <f>IF($A18="","",IF($B18&gt;2800,2,IF($B18&gt;1400,1,0))*$BC$6*$D18)</f>
        <v/>
      </c>
      <c r="AR18">
        <f>IF($A18="","",2*$BC$6*$D18)</f>
        <v/>
      </c>
      <c r="AS18">
        <f>IF($A18="","",$BC$6*$D18)</f>
        <v/>
      </c>
      <c r="AT18">
        <f>IF($A18="","",2*$BC$6*$D18)</f>
        <v/>
      </c>
      <c r="AU18">
        <f>IF($A18="","",4*1*$D18)</f>
        <v/>
      </c>
      <c r="AV18">
        <f>IF($A18="","",16*1*$D18)</f>
        <v/>
      </c>
      <c r="AW18">
        <f>IF($A18="","",(2+MAX(0,ROUNDUP(($G18-1500)/500,0)))*$D18)</f>
        <v/>
      </c>
      <c r="AX18">
        <f>IF($A18="","",(2+MAX(0,ROUNDUP(($G18-1500)/500,0)))*$D18)</f>
        <v/>
      </c>
      <c r="AY18">
        <f>IF($A18="","",ROUND((2*2*($M18+$K18)*1*$D18+$S18*$T18)/1000,1))</f>
        <v/>
      </c>
    </row>
    <row r="19" ht="40.15" customHeight="1">
      <c r="A19" s="99" t="n"/>
      <c r="B19" s="88" t="n"/>
      <c r="C19" s="89" t="n"/>
      <c r="D19" s="90" t="n"/>
      <c r="E19" s="91">
        <f>IF($A19="","",$B19)</f>
        <v/>
      </c>
      <c r="F19" s="89">
        <f>IF($A19="","",$L$54*$D19)</f>
        <v/>
      </c>
      <c r="G19" s="91">
        <f>IF($A19="","",$C19-$E$55-$F$55)</f>
        <v/>
      </c>
      <c r="H19" s="89">
        <f>IF($A19="","",$L$55*$D19)</f>
        <v/>
      </c>
      <c r="I19" s="91">
        <f>IF($A19="","",$C19)</f>
        <v/>
      </c>
      <c r="J19" s="89">
        <f>IF($A19="","",$L$56*$D19)</f>
        <v/>
      </c>
      <c r="K19" s="91">
        <f>IF($A19="","",$B19-$E$57-$F$57-$G$57-$H$57)</f>
        <v/>
      </c>
      <c r="L19" s="89">
        <f>IF($A19="","",$L$57*$D19)</f>
        <v/>
      </c>
      <c r="M19" s="91">
        <f>IF($A19="","",(($C19-$E$58-$F$58-$G$58-$H$58)/2)+(66*1)/2)</f>
        <v/>
      </c>
      <c r="N19" s="89">
        <f>IF($A19="","",$L$58*$D19)</f>
        <v/>
      </c>
      <c r="O19" s="91">
        <f>IF($A19="","",$K19-$E$59-$F$59)</f>
        <v/>
      </c>
      <c r="P19" s="89">
        <f>IF($A19="","",$L$59*$D19)</f>
        <v/>
      </c>
      <c r="Q19" s="91">
        <f>IF($A19="","",$M19-$E$60-$F$60)</f>
        <v/>
      </c>
      <c r="R19" s="89">
        <f>IF($A19="","",$L$60*$D19)</f>
        <v/>
      </c>
      <c r="S19" s="91">
        <f>IF($A19="","",$K19)</f>
        <v/>
      </c>
      <c r="T19" s="89">
        <f>IF($A19="","",$L$61*$D19)</f>
        <v/>
      </c>
      <c r="U19" s="91">
        <f>IF($A19="","",$B19-$E$62-$F$62)</f>
        <v/>
      </c>
      <c r="V19" s="89">
        <f>IF($A19="","",$L$62*$D19)</f>
        <v/>
      </c>
      <c r="W19" s="91">
        <f>IF($A19="","",$C19-$E$63-$F$63)</f>
        <v/>
      </c>
      <c r="X19" s="89">
        <f>IF($A19="","",$L$63*$D19)</f>
        <v/>
      </c>
      <c r="Y19" s="91">
        <f>IF($A19="","",$B19-$E$64-$F$64)</f>
        <v/>
      </c>
      <c r="Z19" s="89">
        <f>IF($A19="","",$L$64*$D19)</f>
        <v/>
      </c>
      <c r="AA19" s="91">
        <f>IF($A19="","",$S19)</f>
        <v/>
      </c>
      <c r="AB19" s="89">
        <f>IF($A19="","",$L$65*$D19)</f>
        <v/>
      </c>
      <c r="AC19" s="91">
        <f>IF($A19="","",$C19)</f>
        <v/>
      </c>
      <c r="AD19" s="89">
        <f>IF($A19="","",$L$66*$D19)</f>
        <v/>
      </c>
      <c r="AE19" s="91">
        <f>IF($A19="","",$C19-$E$67-$F$67)</f>
        <v/>
      </c>
      <c r="AF19" s="89">
        <f>IF($A19="","",$L$67*$D19)</f>
        <v/>
      </c>
      <c r="AG19" s="104">
        <f>IF($A19="","",$C19-$M19-$E$68-$F$68-$G$68)</f>
        <v/>
      </c>
      <c r="AH19" s="92">
        <f>IF($A19="","",$L$68*$D19)</f>
        <v/>
      </c>
      <c r="AI19" s="93">
        <f>IF($A19="","",$K19-56-56)</f>
        <v/>
      </c>
      <c r="AJ19" s="94">
        <f>IF($A19="","",$M19-56-56)</f>
        <v/>
      </c>
      <c r="AK19" s="95">
        <f>IF($A19="","",2*1*$D19)</f>
        <v/>
      </c>
      <c r="AL19">
        <f>IF($A19="","",$BC$7*$D19)</f>
        <v/>
      </c>
      <c r="AM19">
        <f>IF($A19="","",$BC$6*$D19)</f>
        <v/>
      </c>
      <c r="AN19">
        <f>IF($A19="","",$BC$9*$D19)</f>
        <v/>
      </c>
      <c r="AO19">
        <f>IF($A19="","",$BC$10*$D19)</f>
        <v/>
      </c>
      <c r="AP19">
        <f>IF($A19="","",2*$BC$6*$D19)</f>
        <v/>
      </c>
      <c r="AQ19">
        <f>IF($A19="","",IF($B19&gt;2800,2,IF($B19&gt;1400,1,0))*$BC$6*$D19)</f>
        <v/>
      </c>
      <c r="AR19">
        <f>IF($A19="","",2*$BC$6*$D19)</f>
        <v/>
      </c>
      <c r="AS19">
        <f>IF($A19="","",$BC$6*$D19)</f>
        <v/>
      </c>
      <c r="AT19">
        <f>IF($A19="","",2*$BC$6*$D19)</f>
        <v/>
      </c>
      <c r="AU19">
        <f>IF($A19="","",4*1*$D19)</f>
        <v/>
      </c>
      <c r="AV19">
        <f>IF($A19="","",16*1*$D19)</f>
        <v/>
      </c>
      <c r="AW19">
        <f>IF($A19="","",(2+MAX(0,ROUNDUP(($G19-1500)/500,0)))*$D19)</f>
        <v/>
      </c>
      <c r="AX19">
        <f>IF($A19="","",(2+MAX(0,ROUNDUP(($G19-1500)/500,0)))*$D19)</f>
        <v/>
      </c>
      <c r="AY19">
        <f>IF($A19="","",ROUND((2*2*($M19+$K19)*1*$D19+$S19*$T19)/1000,1))</f>
        <v/>
      </c>
    </row>
    <row r="20" ht="40.15" customHeight="1">
      <c r="A20" s="99" t="n"/>
      <c r="B20" s="88" t="n"/>
      <c r="C20" s="89" t="n"/>
      <c r="D20" s="90" t="n"/>
      <c r="E20" s="96">
        <f>IF($A20="","",$B20)</f>
        <v/>
      </c>
      <c r="F20" s="97">
        <f>IF($A20="","",$L$54*$D20)</f>
        <v/>
      </c>
      <c r="G20" s="96">
        <f>IF($A20="","",$C20-$E$55-$F$55)</f>
        <v/>
      </c>
      <c r="H20" s="97">
        <f>IF($A20="","",$L$55*$D20)</f>
        <v/>
      </c>
      <c r="I20" s="96">
        <f>IF($A20="","",$C20)</f>
        <v/>
      </c>
      <c r="J20" s="97">
        <f>IF($A20="","",$L$56*$D20)</f>
        <v/>
      </c>
      <c r="K20" s="96">
        <f>IF($A20="","",$B20-$E$57-$F$57-$G$57-$H$57)</f>
        <v/>
      </c>
      <c r="L20" s="97">
        <f>IF($A20="","",$L$57*$D20)</f>
        <v/>
      </c>
      <c r="M20" s="96">
        <f>IF($A20="","",(($C20-$E$58-$F$58-$G$58-$H$58)/2)+(66*1)/2)</f>
        <v/>
      </c>
      <c r="N20" s="97">
        <f>IF($A20="","",$L$58*$D20)</f>
        <v/>
      </c>
      <c r="O20" s="96">
        <f>IF($A20="","",$K20-$E$59-$F$59)</f>
        <v/>
      </c>
      <c r="P20" s="97">
        <f>IF($A20="","",$L$59*$D20)</f>
        <v/>
      </c>
      <c r="Q20" s="96">
        <f>IF($A20="","",$M20-$E$60-$F$60)</f>
        <v/>
      </c>
      <c r="R20" s="97">
        <f>IF($A20="","",$L$60*$D20)</f>
        <v/>
      </c>
      <c r="S20" s="96">
        <f>IF($A20="","",$K20)</f>
        <v/>
      </c>
      <c r="T20" s="97">
        <f>IF($A20="","",$L$61*$D20)</f>
        <v/>
      </c>
      <c r="U20" s="96">
        <f>IF($A20="","",$B20-$E$62-$F$62)</f>
        <v/>
      </c>
      <c r="V20" s="97">
        <f>IF($A20="","",$L$62*$D20)</f>
        <v/>
      </c>
      <c r="W20" s="96">
        <f>IF($A20="","",$C20-$E$63-$F$63)</f>
        <v/>
      </c>
      <c r="X20" s="97">
        <f>IF($A20="","",$L$63*$D20)</f>
        <v/>
      </c>
      <c r="Y20" s="96">
        <f>IF($A20="","",$B20-$E$64-$F$64)</f>
        <v/>
      </c>
      <c r="Z20" s="97">
        <f>IF($A20="","",$L$64*$D20)</f>
        <v/>
      </c>
      <c r="AA20" s="96">
        <f>IF($A20="","",$S20)</f>
        <v/>
      </c>
      <c r="AB20" s="97">
        <f>IF($A20="","",$L$65*$D20)</f>
        <v/>
      </c>
      <c r="AC20" s="96">
        <f>IF($A20="","",$C20)</f>
        <v/>
      </c>
      <c r="AD20" s="97">
        <f>IF($A20="","",$L$66*$D20)</f>
        <v/>
      </c>
      <c r="AE20" s="96">
        <f>IF($A20="","",$C20-$E$67-$F$67)</f>
        <v/>
      </c>
      <c r="AF20" s="97">
        <f>IF($A20="","",$L$67*$D20)</f>
        <v/>
      </c>
      <c r="AG20" s="108">
        <f>IF($A20="","",$C20-$M20-$E$68-$F$68-$G$68)</f>
        <v/>
      </c>
      <c r="AH20" s="98">
        <f>IF($A20="","",$L$68*$D20)</f>
        <v/>
      </c>
      <c r="AI20" s="93">
        <f>IF($A20="","",$K20-56-56)</f>
        <v/>
      </c>
      <c r="AJ20" s="94">
        <f>IF($A20="","",$M20-56-56)</f>
        <v/>
      </c>
      <c r="AK20" s="95">
        <f>IF($A20="","",2*1*$D20)</f>
        <v/>
      </c>
      <c r="AL20">
        <f>IF($A20="","",$BC$7*$D20)</f>
        <v/>
      </c>
      <c r="AM20">
        <f>IF($A20="","",$BC$6*$D20)</f>
        <v/>
      </c>
      <c r="AN20">
        <f>IF($A20="","",$BC$9*$D20)</f>
        <v/>
      </c>
      <c r="AO20">
        <f>IF($A20="","",$BC$10*$D20)</f>
        <v/>
      </c>
      <c r="AP20">
        <f>IF($A20="","",2*$BC$6*$D20)</f>
        <v/>
      </c>
      <c r="AQ20">
        <f>IF($A20="","",IF($B20&gt;2800,2,IF($B20&gt;1400,1,0))*$BC$6*$D20)</f>
        <v/>
      </c>
      <c r="AR20">
        <f>IF($A20="","",2*$BC$6*$D20)</f>
        <v/>
      </c>
      <c r="AS20">
        <f>IF($A20="","",$BC$6*$D20)</f>
        <v/>
      </c>
      <c r="AT20">
        <f>IF($A20="","",2*$BC$6*$D20)</f>
        <v/>
      </c>
      <c r="AU20">
        <f>IF($A20="","",4*1*$D20)</f>
        <v/>
      </c>
      <c r="AV20">
        <f>IF($A20="","",16*1*$D20)</f>
        <v/>
      </c>
      <c r="AW20">
        <f>IF($A20="","",(2+MAX(0,ROUNDUP(($G20-1500)/500,0)))*$D20)</f>
        <v/>
      </c>
      <c r="AX20">
        <f>IF($A20="","",(2+MAX(0,ROUNDUP(($G20-1500)/500,0)))*$D20)</f>
        <v/>
      </c>
      <c r="AY20">
        <f>IF($A20="","",ROUND((2*2*($M20+$K20)*1*$D20+$S20*$T20)/1000,1))</f>
        <v/>
      </c>
    </row>
    <row r="21" ht="40.15" customHeight="1">
      <c r="A21" s="99" t="n"/>
      <c r="B21" s="88" t="n"/>
      <c r="C21" s="89" t="n"/>
      <c r="D21" s="90" t="n"/>
      <c r="E21" s="91">
        <f>IF($A21="","",$B21)</f>
        <v/>
      </c>
      <c r="F21" s="89">
        <f>IF($A21="","",$L$54*$D21)</f>
        <v/>
      </c>
      <c r="G21" s="91">
        <f>IF($A21="","",$C21-$E$55-$F$55)</f>
        <v/>
      </c>
      <c r="H21" s="89">
        <f>IF($A21="","",$L$55*$D21)</f>
        <v/>
      </c>
      <c r="I21" s="91">
        <f>IF($A21="","",$C21)</f>
        <v/>
      </c>
      <c r="J21" s="89">
        <f>IF($A21="","",$L$56*$D21)</f>
        <v/>
      </c>
      <c r="K21" s="91">
        <f>IF($A21="","",$B21-$E$57-$F$57-$G$57-$H$57)</f>
        <v/>
      </c>
      <c r="L21" s="89">
        <f>IF($A21="","",$L$57*$D21)</f>
        <v/>
      </c>
      <c r="M21" s="91">
        <f>IF($A21="","",(($C21-$E$58-$F$58-$G$58-$H$58)/2)+(66*1)/2)</f>
        <v/>
      </c>
      <c r="N21" s="89">
        <f>IF($A21="","",$L$58*$D21)</f>
        <v/>
      </c>
      <c r="O21" s="91">
        <f>IF($A21="","",$K21-$E$59-$F$59)</f>
        <v/>
      </c>
      <c r="P21" s="89">
        <f>IF($A21="","",$L$59*$D21)</f>
        <v/>
      </c>
      <c r="Q21" s="91">
        <f>IF($A21="","",$M21-$E$60-$F$60)</f>
        <v/>
      </c>
      <c r="R21" s="89">
        <f>IF($A21="","",$L$60*$D21)</f>
        <v/>
      </c>
      <c r="S21" s="91">
        <f>IF($A21="","",$K21)</f>
        <v/>
      </c>
      <c r="T21" s="89">
        <f>IF($A21="","",$L$61*$D21)</f>
        <v/>
      </c>
      <c r="U21" s="91">
        <f>IF($A21="","",$B21-$E$62-$F$62)</f>
        <v/>
      </c>
      <c r="V21" s="89">
        <f>IF($A21="","",$L$62*$D21)</f>
        <v/>
      </c>
      <c r="W21" s="91">
        <f>IF($A21="","",$C21-$E$63-$F$63)</f>
        <v/>
      </c>
      <c r="X21" s="89">
        <f>IF($A21="","",$L$63*$D21)</f>
        <v/>
      </c>
      <c r="Y21" s="91">
        <f>IF($A21="","",$B21-$E$64-$F$64)</f>
        <v/>
      </c>
      <c r="Z21" s="89">
        <f>IF($A21="","",$L$64*$D21)</f>
        <v/>
      </c>
      <c r="AA21" s="91">
        <f>IF($A21="","",$S21)</f>
        <v/>
      </c>
      <c r="AB21" s="89">
        <f>IF($A21="","",$L$65*$D21)</f>
        <v/>
      </c>
      <c r="AC21" s="91">
        <f>IF($A21="","",$C21)</f>
        <v/>
      </c>
      <c r="AD21" s="89">
        <f>IF($A21="","",$L$66*$D21)</f>
        <v/>
      </c>
      <c r="AE21" s="91">
        <f>IF($A21="","",$C21-$E$67-$F$67)</f>
        <v/>
      </c>
      <c r="AF21" s="89">
        <f>IF($A21="","",$L$67*$D21)</f>
        <v/>
      </c>
      <c r="AG21" s="104">
        <f>IF($A21="","",$C21-$M21-$E$68-$F$68-$G$68)</f>
        <v/>
      </c>
      <c r="AH21" s="92">
        <f>IF($A21="","",$L$68*$D21)</f>
        <v/>
      </c>
      <c r="AI21" s="93">
        <f>IF($A21="","",$K21-56-56)</f>
        <v/>
      </c>
      <c r="AJ21" s="94">
        <f>IF($A21="","",$M21-56-56)</f>
        <v/>
      </c>
      <c r="AK21" s="95">
        <f>IF($A21="","",2*1*$D21)</f>
        <v/>
      </c>
      <c r="AL21">
        <f>IF($A21="","",$BC$7*$D21)</f>
        <v/>
      </c>
      <c r="AM21">
        <f>IF($A21="","",$BC$6*$D21)</f>
        <v/>
      </c>
      <c r="AN21">
        <f>IF($A21="","",$BC$9*$D21)</f>
        <v/>
      </c>
      <c r="AO21">
        <f>IF($A21="","",$BC$10*$D21)</f>
        <v/>
      </c>
      <c r="AP21">
        <f>IF($A21="","",2*$BC$6*$D21)</f>
        <v/>
      </c>
      <c r="AQ21">
        <f>IF($A21="","",IF($B21&gt;2800,2,IF($B21&gt;1400,1,0))*$BC$6*$D21)</f>
        <v/>
      </c>
      <c r="AR21">
        <f>IF($A21="","",2*$BC$6*$D21)</f>
        <v/>
      </c>
      <c r="AS21">
        <f>IF($A21="","",$BC$6*$D21)</f>
        <v/>
      </c>
      <c r="AT21">
        <f>IF($A21="","",2*$BC$6*$D21)</f>
        <v/>
      </c>
      <c r="AU21">
        <f>IF($A21="","",4*1*$D21)</f>
        <v/>
      </c>
      <c r="AV21">
        <f>IF($A21="","",16*1*$D21)</f>
        <v/>
      </c>
      <c r="AW21">
        <f>IF($A21="","",(2+MAX(0,ROUNDUP(($G21-1500)/500,0)))*$D21)</f>
        <v/>
      </c>
      <c r="AX21">
        <f>IF($A21="","",(2+MAX(0,ROUNDUP(($G21-1500)/500,0)))*$D21)</f>
        <v/>
      </c>
      <c r="AY21">
        <f>IF($A21="","",ROUND((2*2*($M21+$K21)*1*$D21+$S21*$T21)/1000,1))</f>
        <v/>
      </c>
    </row>
    <row r="22" ht="40.15" customHeight="1">
      <c r="A22" s="99" t="n"/>
      <c r="B22" s="88" t="n"/>
      <c r="C22" s="89" t="n"/>
      <c r="D22" s="90" t="n"/>
      <c r="E22" s="96">
        <f>IF($A22="","",$B22)</f>
        <v/>
      </c>
      <c r="F22" s="97">
        <f>IF($A22="","",$L$54*$D22)</f>
        <v/>
      </c>
      <c r="G22" s="96">
        <f>IF($A22="","",$C22-$E$55-$F$55)</f>
        <v/>
      </c>
      <c r="H22" s="97">
        <f>IF($A22="","",$L$55*$D22)</f>
        <v/>
      </c>
      <c r="I22" s="96">
        <f>IF($A22="","",$C22)</f>
        <v/>
      </c>
      <c r="J22" s="97">
        <f>IF($A22="","",$L$56*$D22)</f>
        <v/>
      </c>
      <c r="K22" s="96">
        <f>IF($A22="","",$B22-$E$57-$F$57-$G$57-$H$57)</f>
        <v/>
      </c>
      <c r="L22" s="97">
        <f>IF($A22="","",$L$57*$D22)</f>
        <v/>
      </c>
      <c r="M22" s="96">
        <f>IF($A22="","",(($C22-$E$58-$F$58-$G$58-$H$58)/2)+(66*1)/2)</f>
        <v/>
      </c>
      <c r="N22" s="97">
        <f>IF($A22="","",$L$58*$D22)</f>
        <v/>
      </c>
      <c r="O22" s="96">
        <f>IF($A22="","",$K22-$E$59-$F$59)</f>
        <v/>
      </c>
      <c r="P22" s="97">
        <f>IF($A22="","",$L$59*$D22)</f>
        <v/>
      </c>
      <c r="Q22" s="96">
        <f>IF($A22="","",$M22-$E$60-$F$60)</f>
        <v/>
      </c>
      <c r="R22" s="97">
        <f>IF($A22="","",$L$60*$D22)</f>
        <v/>
      </c>
      <c r="S22" s="96">
        <f>IF($A22="","",$K22)</f>
        <v/>
      </c>
      <c r="T22" s="97">
        <f>IF($A22="","",$L$61*$D22)</f>
        <v/>
      </c>
      <c r="U22" s="96">
        <f>IF($A22="","",$B22-$E$62-$F$62)</f>
        <v/>
      </c>
      <c r="V22" s="97">
        <f>IF($A22="","",$L$62*$D22)</f>
        <v/>
      </c>
      <c r="W22" s="96">
        <f>IF($A22="","",$C22-$E$63-$F$63)</f>
        <v/>
      </c>
      <c r="X22" s="97">
        <f>IF($A22="","",$L$63*$D22)</f>
        <v/>
      </c>
      <c r="Y22" s="96">
        <f>IF($A22="","",$B22-$E$64-$F$64)</f>
        <v/>
      </c>
      <c r="Z22" s="97">
        <f>IF($A22="","",$L$64*$D22)</f>
        <v/>
      </c>
      <c r="AA22" s="96">
        <f>IF($A22="","",$S22)</f>
        <v/>
      </c>
      <c r="AB22" s="97">
        <f>IF($A22="","",$L$65*$D22)</f>
        <v/>
      </c>
      <c r="AC22" s="96">
        <f>IF($A22="","",$C22)</f>
        <v/>
      </c>
      <c r="AD22" s="97">
        <f>IF($A22="","",$L$66*$D22)</f>
        <v/>
      </c>
      <c r="AE22" s="96">
        <f>IF($A22="","",$C22-$E$67-$F$67)</f>
        <v/>
      </c>
      <c r="AF22" s="97">
        <f>IF($A22="","",$L$67*$D22)</f>
        <v/>
      </c>
      <c r="AG22" s="108">
        <f>IF($A22="","",$C22-$M22-$E$68-$F$68-$G$68)</f>
        <v/>
      </c>
      <c r="AH22" s="98">
        <f>IF($A22="","",$L$68*$D22)</f>
        <v/>
      </c>
      <c r="AI22" s="93">
        <f>IF($A22="","",$K22-56-56)</f>
        <v/>
      </c>
      <c r="AJ22" s="94">
        <f>IF($A22="","",$M22-56-56)</f>
        <v/>
      </c>
      <c r="AK22" s="95">
        <f>IF($A22="","",2*1*$D22)</f>
        <v/>
      </c>
      <c r="AL22">
        <f>IF($A22="","",$BC$7*$D22)</f>
        <v/>
      </c>
      <c r="AM22">
        <f>IF($A22="","",$BC$6*$D22)</f>
        <v/>
      </c>
      <c r="AN22">
        <f>IF($A22="","",$BC$9*$D22)</f>
        <v/>
      </c>
      <c r="AO22">
        <f>IF($A22="","",$BC$10*$D22)</f>
        <v/>
      </c>
      <c r="AP22">
        <f>IF($A22="","",2*$BC$6*$D22)</f>
        <v/>
      </c>
      <c r="AQ22">
        <f>IF($A22="","",IF($B22&gt;2800,2,IF($B22&gt;1400,1,0))*$BC$6*$D22)</f>
        <v/>
      </c>
      <c r="AR22">
        <f>IF($A22="","",2*$BC$6*$D22)</f>
        <v/>
      </c>
      <c r="AS22">
        <f>IF($A22="","",$BC$6*$D22)</f>
        <v/>
      </c>
      <c r="AT22">
        <f>IF($A22="","",2*$BC$6*$D22)</f>
        <v/>
      </c>
      <c r="AU22">
        <f>IF($A22="","",4*1*$D22)</f>
        <v/>
      </c>
      <c r="AV22">
        <f>IF($A22="","",16*1*$D22)</f>
        <v/>
      </c>
      <c r="AW22">
        <f>IF($A22="","",(2+MAX(0,ROUNDUP(($G22-1500)/500,0)))*$D22)</f>
        <v/>
      </c>
      <c r="AX22">
        <f>IF($A22="","",(2+MAX(0,ROUNDUP(($G22-1500)/500,0)))*$D22)</f>
        <v/>
      </c>
      <c r="AY22">
        <f>IF($A22="","",ROUND((2*2*($M22+$K22)*1*$D22+$S22*$T22)/1000,1))</f>
        <v/>
      </c>
    </row>
    <row r="23" ht="40.15" customHeight="1">
      <c r="A23" s="99" t="n"/>
      <c r="B23" s="88" t="n"/>
      <c r="C23" s="89" t="n"/>
      <c r="D23" s="90" t="n"/>
      <c r="E23" s="91">
        <f>IF($A23="","",$B23)</f>
        <v/>
      </c>
      <c r="F23" s="89">
        <f>IF($A23="","",$L$54*$D23)</f>
        <v/>
      </c>
      <c r="G23" s="91">
        <f>IF($A23="","",$C23-$E$55-$F$55)</f>
        <v/>
      </c>
      <c r="H23" s="89">
        <f>IF($A23="","",$L$55*$D23)</f>
        <v/>
      </c>
      <c r="I23" s="91">
        <f>IF($A23="","",$C23)</f>
        <v/>
      </c>
      <c r="J23" s="89">
        <f>IF($A23="","",$L$56*$D23)</f>
        <v/>
      </c>
      <c r="K23" s="91">
        <f>IF($A23="","",$B23-$E$57-$F$57-$G$57-$H$57)</f>
        <v/>
      </c>
      <c r="L23" s="89">
        <f>IF($A23="","",$L$57*$D23)</f>
        <v/>
      </c>
      <c r="M23" s="91">
        <f>IF($A23="","",(($C23-$E$58-$F$58-$G$58-$H$58)/2)+(66*1)/2)</f>
        <v/>
      </c>
      <c r="N23" s="89">
        <f>IF($A23="","",$L$58*$D23)</f>
        <v/>
      </c>
      <c r="O23" s="91">
        <f>IF($A23="","",$K23-$E$59-$F$59)</f>
        <v/>
      </c>
      <c r="P23" s="89">
        <f>IF($A23="","",$L$59*$D23)</f>
        <v/>
      </c>
      <c r="Q23" s="91">
        <f>IF($A23="","",$M23-$E$60-$F$60)</f>
        <v/>
      </c>
      <c r="R23" s="89">
        <f>IF($A23="","",$L$60*$D23)</f>
        <v/>
      </c>
      <c r="S23" s="91">
        <f>IF($A23="","",$K23)</f>
        <v/>
      </c>
      <c r="T23" s="89">
        <f>IF($A23="","",$L$61*$D23)</f>
        <v/>
      </c>
      <c r="U23" s="91">
        <f>IF($A23="","",$B23-$E$62-$F$62)</f>
        <v/>
      </c>
      <c r="V23" s="89">
        <f>IF($A23="","",$L$62*$D23)</f>
        <v/>
      </c>
      <c r="W23" s="91">
        <f>IF($A23="","",$C23-$E$63-$F$63)</f>
        <v/>
      </c>
      <c r="X23" s="89">
        <f>IF($A23="","",$L$63*$D23)</f>
        <v/>
      </c>
      <c r="Y23" s="91">
        <f>IF($A23="","",$B23-$E$64-$F$64)</f>
        <v/>
      </c>
      <c r="Z23" s="89">
        <f>IF($A23="","",$L$64*$D23)</f>
        <v/>
      </c>
      <c r="AA23" s="91">
        <f>IF($A23="","",$S23)</f>
        <v/>
      </c>
      <c r="AB23" s="89">
        <f>IF($A23="","",$L$65*$D23)</f>
        <v/>
      </c>
      <c r="AC23" s="91">
        <f>IF($A23="","",$C23)</f>
        <v/>
      </c>
      <c r="AD23" s="89">
        <f>IF($A23="","",$L$66*$D23)</f>
        <v/>
      </c>
      <c r="AE23" s="91">
        <f>IF($A23="","",$C23-$E$67-$F$67)</f>
        <v/>
      </c>
      <c r="AF23" s="89">
        <f>IF($A23="","",$L$67*$D23)</f>
        <v/>
      </c>
      <c r="AG23" s="104">
        <f>IF($A23="","",$C23-$M23-$E$68-$F$68-$G$68)</f>
        <v/>
      </c>
      <c r="AH23" s="92">
        <f>IF($A23="","",$L$68*$D23)</f>
        <v/>
      </c>
      <c r="AI23" s="93">
        <f>IF($A23="","",$K23-56-56)</f>
        <v/>
      </c>
      <c r="AJ23" s="94">
        <f>IF($A23="","",$M23-56-56)</f>
        <v/>
      </c>
      <c r="AK23" s="95">
        <f>IF($A23="","",2*1*$D23)</f>
        <v/>
      </c>
      <c r="AL23">
        <f>IF($A23="","",$BC$7*$D23)</f>
        <v/>
      </c>
      <c r="AM23">
        <f>IF($A23="","",$BC$6*$D23)</f>
        <v/>
      </c>
      <c r="AN23">
        <f>IF($A23="","",$BC$9*$D23)</f>
        <v/>
      </c>
      <c r="AO23">
        <f>IF($A23="","",$BC$10*$D23)</f>
        <v/>
      </c>
      <c r="AP23">
        <f>IF($A23="","",2*$BC$6*$D23)</f>
        <v/>
      </c>
      <c r="AQ23">
        <f>IF($A23="","",IF($B23&gt;2800,2,IF($B23&gt;1400,1,0))*$BC$6*$D23)</f>
        <v/>
      </c>
      <c r="AR23">
        <f>IF($A23="","",2*$BC$6*$D23)</f>
        <v/>
      </c>
      <c r="AS23">
        <f>IF($A23="","",$BC$6*$D23)</f>
        <v/>
      </c>
      <c r="AT23">
        <f>IF($A23="","",2*$BC$6*$D23)</f>
        <v/>
      </c>
      <c r="AU23">
        <f>IF($A23="","",4*1*$D23)</f>
        <v/>
      </c>
      <c r="AV23">
        <f>IF($A23="","",16*1*$D23)</f>
        <v/>
      </c>
      <c r="AW23">
        <f>IF($A23="","",(2+MAX(0,ROUNDUP(($G23-1500)/500,0)))*$D23)</f>
        <v/>
      </c>
      <c r="AX23">
        <f>IF($A23="","",(2+MAX(0,ROUNDUP(($G23-1500)/500,0)))*$D23)</f>
        <v/>
      </c>
      <c r="AY23">
        <f>IF($A23="","",ROUND((2*2*($M23+$K23)*1*$D23+$S23*$T23)/1000,1))</f>
        <v/>
      </c>
    </row>
    <row r="24" ht="40.15" customHeight="1">
      <c r="A24" s="99" t="n"/>
      <c r="B24" s="88" t="n"/>
      <c r="C24" s="89" t="n"/>
      <c r="D24" s="90" t="n"/>
      <c r="E24" s="96">
        <f>IF($A24="","",$B24)</f>
        <v/>
      </c>
      <c r="F24" s="97">
        <f>IF($A24="","",$L$54*$D24)</f>
        <v/>
      </c>
      <c r="G24" s="96">
        <f>IF($A24="","",$C24-$E$55-$F$55)</f>
        <v/>
      </c>
      <c r="H24" s="97">
        <f>IF($A24="","",$L$55*$D24)</f>
        <v/>
      </c>
      <c r="I24" s="96">
        <f>IF($A24="","",$C24)</f>
        <v/>
      </c>
      <c r="J24" s="97">
        <f>IF($A24="","",$L$56*$D24)</f>
        <v/>
      </c>
      <c r="K24" s="96">
        <f>IF($A24="","",$B24-$E$57-$F$57-$G$57-$H$57)</f>
        <v/>
      </c>
      <c r="L24" s="97">
        <f>IF($A24="","",$L$57*$D24)</f>
        <v/>
      </c>
      <c r="M24" s="96">
        <f>IF($A24="","",(($C24-$E$58-$F$58-$G$58-$H$58)/2)+(66*1)/2)</f>
        <v/>
      </c>
      <c r="N24" s="97">
        <f>IF($A24="","",$L$58*$D24)</f>
        <v/>
      </c>
      <c r="O24" s="96">
        <f>IF($A24="","",$K24-$E$59-$F$59)</f>
        <v/>
      </c>
      <c r="P24" s="97">
        <f>IF($A24="","",$L$59*$D24)</f>
        <v/>
      </c>
      <c r="Q24" s="96">
        <f>IF($A24="","",$M24-$E$60-$F$60)</f>
        <v/>
      </c>
      <c r="R24" s="97">
        <f>IF($A24="","",$L$60*$D24)</f>
        <v/>
      </c>
      <c r="S24" s="96">
        <f>IF($A24="","",$K24)</f>
        <v/>
      </c>
      <c r="T24" s="97">
        <f>IF($A24="","",$L$61*$D24)</f>
        <v/>
      </c>
      <c r="U24" s="96">
        <f>IF($A24="","",$B24-$E$62-$F$62)</f>
        <v/>
      </c>
      <c r="V24" s="97">
        <f>IF($A24="","",$L$62*$D24)</f>
        <v/>
      </c>
      <c r="W24" s="96">
        <f>IF($A24="","",$C24-$E$63-$F$63)</f>
        <v/>
      </c>
      <c r="X24" s="97">
        <f>IF($A24="","",$L$63*$D24)</f>
        <v/>
      </c>
      <c r="Y24" s="96">
        <f>IF($A24="","",$B24-$E$64-$F$64)</f>
        <v/>
      </c>
      <c r="Z24" s="97">
        <f>IF($A24="","",$L$64*$D24)</f>
        <v/>
      </c>
      <c r="AA24" s="96">
        <f>IF($A24="","",$S24)</f>
        <v/>
      </c>
      <c r="AB24" s="97">
        <f>IF($A24="","",$L$65*$D24)</f>
        <v/>
      </c>
      <c r="AC24" s="96">
        <f>IF($A24="","",$C24)</f>
        <v/>
      </c>
      <c r="AD24" s="97">
        <f>IF($A24="","",$L$66*$D24)</f>
        <v/>
      </c>
      <c r="AE24" s="96">
        <f>IF($A24="","",$C24-$E$67-$F$67)</f>
        <v/>
      </c>
      <c r="AF24" s="97">
        <f>IF($A24="","",$L$67*$D24)</f>
        <v/>
      </c>
      <c r="AG24" s="108">
        <f>IF($A24="","",$C24-$M24-$E$68-$F$68-$G$68)</f>
        <v/>
      </c>
      <c r="AH24" s="98">
        <f>IF($A24="","",$L$68*$D24)</f>
        <v/>
      </c>
      <c r="AI24" s="93">
        <f>IF($A24="","",$K24-56-56)</f>
        <v/>
      </c>
      <c r="AJ24" s="94">
        <f>IF($A24="","",$M24-56-56)</f>
        <v/>
      </c>
      <c r="AK24" s="95">
        <f>IF($A24="","",2*1*$D24)</f>
        <v/>
      </c>
      <c r="AL24">
        <f>IF($A24="","",$BC$7*$D24)</f>
        <v/>
      </c>
      <c r="AM24">
        <f>IF($A24="","",$BC$6*$D24)</f>
        <v/>
      </c>
      <c r="AN24">
        <f>IF($A24="","",$BC$9*$D24)</f>
        <v/>
      </c>
      <c r="AO24">
        <f>IF($A24="","",$BC$10*$D24)</f>
        <v/>
      </c>
      <c r="AP24">
        <f>IF($A24="","",2*$BC$6*$D24)</f>
        <v/>
      </c>
      <c r="AQ24">
        <f>IF($A24="","",IF($B24&gt;2800,2,IF($B24&gt;1400,1,0))*$BC$6*$D24)</f>
        <v/>
      </c>
      <c r="AR24">
        <f>IF($A24="","",2*$BC$6*$D24)</f>
        <v/>
      </c>
      <c r="AS24">
        <f>IF($A24="","",$BC$6*$D24)</f>
        <v/>
      </c>
      <c r="AT24">
        <f>IF($A24="","",2*$BC$6*$D24)</f>
        <v/>
      </c>
      <c r="AU24">
        <f>IF($A24="","",4*1*$D24)</f>
        <v/>
      </c>
      <c r="AV24">
        <f>IF($A24="","",16*1*$D24)</f>
        <v/>
      </c>
      <c r="AW24">
        <f>IF($A24="","",(2+MAX(0,ROUNDUP(($G24-1500)/500,0)))*$D24)</f>
        <v/>
      </c>
      <c r="AX24">
        <f>IF($A24="","",(2+MAX(0,ROUNDUP(($G24-1500)/500,0)))*$D24)</f>
        <v/>
      </c>
      <c r="AY24">
        <f>IF($A24="","",ROUND((2*2*($M24+$K24)*1*$D24+$S24*$T24)/1000,1))</f>
        <v/>
      </c>
    </row>
    <row r="25" ht="40.15" customHeight="1">
      <c r="A25" s="99" t="n"/>
      <c r="B25" s="88" t="n"/>
      <c r="C25" s="89" t="n"/>
      <c r="D25" s="90" t="n"/>
      <c r="E25" s="91">
        <f>IF($A25="","",$B25)</f>
        <v/>
      </c>
      <c r="F25" s="89">
        <f>IF($A25="","",$L$54*$D25)</f>
        <v/>
      </c>
      <c r="G25" s="91">
        <f>IF($A25="","",$C25-$E$55-$F$55)</f>
        <v/>
      </c>
      <c r="H25" s="89">
        <f>IF($A25="","",$L$55*$D25)</f>
        <v/>
      </c>
      <c r="I25" s="91">
        <f>IF($A25="","",$C25)</f>
        <v/>
      </c>
      <c r="J25" s="89">
        <f>IF($A25="","",$L$56*$D25)</f>
        <v/>
      </c>
      <c r="K25" s="91">
        <f>IF($A25="","",$B25-$E$57-$F$57-$G$57-$H$57)</f>
        <v/>
      </c>
      <c r="L25" s="89">
        <f>IF($A25="","",$L$57*$D25)</f>
        <v/>
      </c>
      <c r="M25" s="91">
        <f>IF($A25="","",(($C25-$E$58-$F$58-$G$58-$H$58)/2)+(66*1)/2)</f>
        <v/>
      </c>
      <c r="N25" s="89">
        <f>IF($A25="","",$L$58*$D25)</f>
        <v/>
      </c>
      <c r="O25" s="91">
        <f>IF($A25="","",$K25-$E$59-$F$59)</f>
        <v/>
      </c>
      <c r="P25" s="89">
        <f>IF($A25="","",$L$59*$D25)</f>
        <v/>
      </c>
      <c r="Q25" s="91">
        <f>IF($A25="","",$M25-$E$60-$F$60)</f>
        <v/>
      </c>
      <c r="R25" s="89">
        <f>IF($A25="","",$L$60*$D25)</f>
        <v/>
      </c>
      <c r="S25" s="91">
        <f>IF($A25="","",$K25)</f>
        <v/>
      </c>
      <c r="T25" s="89">
        <f>IF($A25="","",$L$61*$D25)</f>
        <v/>
      </c>
      <c r="U25" s="91">
        <f>IF($A25="","",$B25-$E$62-$F$62)</f>
        <v/>
      </c>
      <c r="V25" s="89">
        <f>IF($A25="","",$L$62*$D25)</f>
        <v/>
      </c>
      <c r="W25" s="91">
        <f>IF($A25="","",$C25-$E$63-$F$63)</f>
        <v/>
      </c>
      <c r="X25" s="89">
        <f>IF($A25="","",$L$63*$D25)</f>
        <v/>
      </c>
      <c r="Y25" s="91">
        <f>IF($A25="","",$B25-$E$64-$F$64)</f>
        <v/>
      </c>
      <c r="Z25" s="89">
        <f>IF($A25="","",$L$64*$D25)</f>
        <v/>
      </c>
      <c r="AA25" s="91">
        <f>IF($A25="","",$S25)</f>
        <v/>
      </c>
      <c r="AB25" s="89">
        <f>IF($A25="","",$L$65*$D25)</f>
        <v/>
      </c>
      <c r="AC25" s="91">
        <f>IF($A25="","",$C25)</f>
        <v/>
      </c>
      <c r="AD25" s="89">
        <f>IF($A25="","",$L$66*$D25)</f>
        <v/>
      </c>
      <c r="AE25" s="91">
        <f>IF($A25="","",$C25-$E$67-$F$67)</f>
        <v/>
      </c>
      <c r="AF25" s="89">
        <f>IF($A25="","",$L$67*$D25)</f>
        <v/>
      </c>
      <c r="AG25" s="104">
        <f>IF($A25="","",$C25-$M25-$E$68-$F$68-$G$68)</f>
        <v/>
      </c>
      <c r="AH25" s="92">
        <f>IF($A25="","",$L$68*$D25)</f>
        <v/>
      </c>
      <c r="AI25" s="93">
        <f>IF($A25="","",$K25-56-56)</f>
        <v/>
      </c>
      <c r="AJ25" s="94">
        <f>IF($A25="","",$M25-56-56)</f>
        <v/>
      </c>
      <c r="AK25" s="95">
        <f>IF($A25="","",2*1*$D25)</f>
        <v/>
      </c>
      <c r="AL25">
        <f>IF($A25="","",$BC$7*$D25)</f>
        <v/>
      </c>
      <c r="AM25">
        <f>IF($A25="","",$BC$6*$D25)</f>
        <v/>
      </c>
      <c r="AN25">
        <f>IF($A25="","",$BC$9*$D25)</f>
        <v/>
      </c>
      <c r="AO25">
        <f>IF($A25="","",$BC$10*$D25)</f>
        <v/>
      </c>
      <c r="AP25">
        <f>IF($A25="","",2*$BC$6*$D25)</f>
        <v/>
      </c>
      <c r="AQ25">
        <f>IF($A25="","",IF($B25&gt;2800,2,IF($B25&gt;1400,1,0))*$BC$6*$D25)</f>
        <v/>
      </c>
      <c r="AR25">
        <f>IF($A25="","",2*$BC$6*$D25)</f>
        <v/>
      </c>
      <c r="AS25">
        <f>IF($A25="","",$BC$6*$D25)</f>
        <v/>
      </c>
      <c r="AT25">
        <f>IF($A25="","",2*$BC$6*$D25)</f>
        <v/>
      </c>
      <c r="AU25">
        <f>IF($A25="","",4*1*$D25)</f>
        <v/>
      </c>
      <c r="AV25">
        <f>IF($A25="","",16*1*$D25)</f>
        <v/>
      </c>
      <c r="AW25">
        <f>IF($A25="","",(2+MAX(0,ROUNDUP(($G25-1500)/500,0)))*$D25)</f>
        <v/>
      </c>
      <c r="AX25">
        <f>IF($A25="","",(2+MAX(0,ROUNDUP(($G25-1500)/500,0)))*$D25)</f>
        <v/>
      </c>
      <c r="AY25">
        <f>IF($A25="","",ROUND((2*2*($M25+$K25)*1*$D25+$S25*$T25)/1000,1))</f>
        <v/>
      </c>
    </row>
    <row r="26" ht="40.15" customHeight="1">
      <c r="A26" s="99" t="n"/>
      <c r="B26" s="88" t="n"/>
      <c r="C26" s="89" t="n"/>
      <c r="D26" s="90" t="n"/>
      <c r="E26" s="96">
        <f>IF($A26="","",$B26)</f>
        <v/>
      </c>
      <c r="F26" s="97">
        <f>IF($A26="","",$L$54*$D26)</f>
        <v/>
      </c>
      <c r="G26" s="96">
        <f>IF($A26="","",$C26-$E$55-$F$55)</f>
        <v/>
      </c>
      <c r="H26" s="97">
        <f>IF($A26="","",$L$55*$D26)</f>
        <v/>
      </c>
      <c r="I26" s="96">
        <f>IF($A26="","",$C26)</f>
        <v/>
      </c>
      <c r="J26" s="97">
        <f>IF($A26="","",$L$56*$D26)</f>
        <v/>
      </c>
      <c r="K26" s="96">
        <f>IF($A26="","",$B26-$E$57-$F$57-$G$57-$H$57)</f>
        <v/>
      </c>
      <c r="L26" s="97">
        <f>IF($A26="","",$L$57*$D26)</f>
        <v/>
      </c>
      <c r="M26" s="96">
        <f>IF($A26="","",(($C26-$E$58-$F$58-$G$58-$H$58)/2)+(66*1)/2)</f>
        <v/>
      </c>
      <c r="N26" s="97">
        <f>IF($A26="","",$L$58*$D26)</f>
        <v/>
      </c>
      <c r="O26" s="96">
        <f>IF($A26="","",$K26-$E$59-$F$59)</f>
        <v/>
      </c>
      <c r="P26" s="97">
        <f>IF($A26="","",$L$59*$D26)</f>
        <v/>
      </c>
      <c r="Q26" s="96">
        <f>IF($A26="","",$M26-$E$60-$F$60)</f>
        <v/>
      </c>
      <c r="R26" s="97">
        <f>IF($A26="","",$L$60*$D26)</f>
        <v/>
      </c>
      <c r="S26" s="96">
        <f>IF($A26="","",$K26)</f>
        <v/>
      </c>
      <c r="T26" s="97">
        <f>IF($A26="","",$L$61*$D26)</f>
        <v/>
      </c>
      <c r="U26" s="96">
        <f>IF($A26="","",$B26-$E$62-$F$62)</f>
        <v/>
      </c>
      <c r="V26" s="97">
        <f>IF($A26="","",$L$62*$D26)</f>
        <v/>
      </c>
      <c r="W26" s="96">
        <f>IF($A26="","",$C26-$E$63-$F$63)</f>
        <v/>
      </c>
      <c r="X26" s="97">
        <f>IF($A26="","",$L$63*$D26)</f>
        <v/>
      </c>
      <c r="Y26" s="96">
        <f>IF($A26="","",$B26-$E$64-$F$64)</f>
        <v/>
      </c>
      <c r="Z26" s="97">
        <f>IF($A26="","",$L$64*$D26)</f>
        <v/>
      </c>
      <c r="AA26" s="96">
        <f>IF($A26="","",$S26)</f>
        <v/>
      </c>
      <c r="AB26" s="97">
        <f>IF($A26="","",$L$65*$D26)</f>
        <v/>
      </c>
      <c r="AC26" s="96">
        <f>IF($A26="","",$C26)</f>
        <v/>
      </c>
      <c r="AD26" s="97">
        <f>IF($A26="","",$L$66*$D26)</f>
        <v/>
      </c>
      <c r="AE26" s="96">
        <f>IF($A26="","",$C26-$E$67-$F$67)</f>
        <v/>
      </c>
      <c r="AF26" s="97">
        <f>IF($A26="","",$L$67*$D26)</f>
        <v/>
      </c>
      <c r="AG26" s="108">
        <f>IF($A26="","",$C26-$M26-$E$68-$F$68-$G$68)</f>
        <v/>
      </c>
      <c r="AH26" s="98">
        <f>IF($A26="","",$L$68*$D26)</f>
        <v/>
      </c>
      <c r="AI26" s="93">
        <f>IF($A26="","",$K26-56-56)</f>
        <v/>
      </c>
      <c r="AJ26" s="94">
        <f>IF($A26="","",$M26-56-56)</f>
        <v/>
      </c>
      <c r="AK26" s="95">
        <f>IF($A26="","",2*1*$D26)</f>
        <v/>
      </c>
      <c r="AL26">
        <f>IF($A26="","",$BC$7*$D26)</f>
        <v/>
      </c>
      <c r="AM26">
        <f>IF($A26="","",$BC$6*$D26)</f>
        <v/>
      </c>
      <c r="AN26">
        <f>IF($A26="","",$BC$9*$D26)</f>
        <v/>
      </c>
      <c r="AO26">
        <f>IF($A26="","",$BC$10*$D26)</f>
        <v/>
      </c>
      <c r="AP26">
        <f>IF($A26="","",2*$BC$6*$D26)</f>
        <v/>
      </c>
      <c r="AQ26">
        <f>IF($A26="","",IF($B26&gt;2800,2,IF($B26&gt;1400,1,0))*$BC$6*$D26)</f>
        <v/>
      </c>
      <c r="AR26">
        <f>IF($A26="","",2*$BC$6*$D26)</f>
        <v/>
      </c>
      <c r="AS26">
        <f>IF($A26="","",$BC$6*$D26)</f>
        <v/>
      </c>
      <c r="AT26">
        <f>IF($A26="","",2*$BC$6*$D26)</f>
        <v/>
      </c>
      <c r="AU26">
        <f>IF($A26="","",4*1*$D26)</f>
        <v/>
      </c>
      <c r="AV26">
        <f>IF($A26="","",16*1*$D26)</f>
        <v/>
      </c>
      <c r="AW26">
        <f>IF($A26="","",(2+MAX(0,ROUNDUP(($G26-1500)/500,0)))*$D26)</f>
        <v/>
      </c>
      <c r="AX26">
        <f>IF($A26="","",(2+MAX(0,ROUNDUP(($G26-1500)/500,0)))*$D26)</f>
        <v/>
      </c>
      <c r="AY26">
        <f>IF($A26="","",ROUND((2*2*($M26+$K26)*1*$D26+$S26*$T26)/1000,1))</f>
        <v/>
      </c>
    </row>
    <row r="27" ht="40.15" customHeight="1">
      <c r="A27" s="99" t="n"/>
      <c r="B27" s="88" t="n"/>
      <c r="C27" s="89" t="n"/>
      <c r="D27" s="90" t="n"/>
      <c r="E27" s="91">
        <f>IF($A27="","",$B27)</f>
        <v/>
      </c>
      <c r="F27" s="89">
        <f>IF($A27="","",$L$54*$D27)</f>
        <v/>
      </c>
      <c r="G27" s="91">
        <f>IF($A27="","",$C27-$E$55-$F$55)</f>
        <v/>
      </c>
      <c r="H27" s="89">
        <f>IF($A27="","",$L$55*$D27)</f>
        <v/>
      </c>
      <c r="I27" s="91">
        <f>IF($A27="","",$C27)</f>
        <v/>
      </c>
      <c r="J27" s="89">
        <f>IF($A27="","",$L$56*$D27)</f>
        <v/>
      </c>
      <c r="K27" s="91">
        <f>IF($A27="","",$B27-$E$57-$F$57-$G$57-$H$57)</f>
        <v/>
      </c>
      <c r="L27" s="89">
        <f>IF($A27="","",$L$57*$D27)</f>
        <v/>
      </c>
      <c r="M27" s="91">
        <f>IF($A27="","",(($C27-$E$58-$F$58-$G$58-$H$58)/2)+(66*1)/2)</f>
        <v/>
      </c>
      <c r="N27" s="89">
        <f>IF($A27="","",$L$58*$D27)</f>
        <v/>
      </c>
      <c r="O27" s="91">
        <f>IF($A27="","",$K27-$E$59-$F$59)</f>
        <v/>
      </c>
      <c r="P27" s="89">
        <f>IF($A27="","",$L$59*$D27)</f>
        <v/>
      </c>
      <c r="Q27" s="91">
        <f>IF($A27="","",$M27-$E$60-$F$60)</f>
        <v/>
      </c>
      <c r="R27" s="89">
        <f>IF($A27="","",$L$60*$D27)</f>
        <v/>
      </c>
      <c r="S27" s="91">
        <f>IF($A27="","",$K27)</f>
        <v/>
      </c>
      <c r="T27" s="89">
        <f>IF($A27="","",$L$61*$D27)</f>
        <v/>
      </c>
      <c r="U27" s="91">
        <f>IF($A27="","",$B27-$E$62-$F$62)</f>
        <v/>
      </c>
      <c r="V27" s="89">
        <f>IF($A27="","",$L$62*$D27)</f>
        <v/>
      </c>
      <c r="W27" s="91">
        <f>IF($A27="","",$C27-$E$63-$F$63)</f>
        <v/>
      </c>
      <c r="X27" s="89">
        <f>IF($A27="","",$L$63*$D27)</f>
        <v/>
      </c>
      <c r="Y27" s="91">
        <f>IF($A27="","",$B27-$E$64-$F$64)</f>
        <v/>
      </c>
      <c r="Z27" s="89">
        <f>IF($A27="","",$L$64*$D27)</f>
        <v/>
      </c>
      <c r="AA27" s="91">
        <f>IF($A27="","",$S27)</f>
        <v/>
      </c>
      <c r="AB27" s="89">
        <f>IF($A27="","",$L$65*$D27)</f>
        <v/>
      </c>
      <c r="AC27" s="91">
        <f>IF($A27="","",$C27)</f>
        <v/>
      </c>
      <c r="AD27" s="89">
        <f>IF($A27="","",$L$66*$D27)</f>
        <v/>
      </c>
      <c r="AE27" s="91">
        <f>IF($A27="","",$C27-$E$67-$F$67)</f>
        <v/>
      </c>
      <c r="AF27" s="89">
        <f>IF($A27="","",$L$67*$D27)</f>
        <v/>
      </c>
      <c r="AG27" s="104">
        <f>IF($A27="","",$C27-$M27-$E$68-$F$68-$G$68)</f>
        <v/>
      </c>
      <c r="AH27" s="92">
        <f>IF($A27="","",$L$68*$D27)</f>
        <v/>
      </c>
      <c r="AI27" s="93">
        <f>IF($A27="","",$K27-56-56)</f>
        <v/>
      </c>
      <c r="AJ27" s="94">
        <f>IF($A27="","",$M27-56-56)</f>
        <v/>
      </c>
      <c r="AK27" s="95">
        <f>IF($A27="","",2*1*$D27)</f>
        <v/>
      </c>
      <c r="AL27">
        <f>IF($A27="","",$BC$7*$D27)</f>
        <v/>
      </c>
      <c r="AM27">
        <f>IF($A27="","",$BC$6*$D27)</f>
        <v/>
      </c>
      <c r="AN27">
        <f>IF($A27="","",$BC$9*$D27)</f>
        <v/>
      </c>
      <c r="AO27">
        <f>IF($A27="","",$BC$10*$D27)</f>
        <v/>
      </c>
      <c r="AP27">
        <f>IF($A27="","",2*$BC$6*$D27)</f>
        <v/>
      </c>
      <c r="AQ27">
        <f>IF($A27="","",IF($B27&gt;2800,2,IF($B27&gt;1400,1,0))*$BC$6*$D27)</f>
        <v/>
      </c>
      <c r="AR27">
        <f>IF($A27="","",2*$BC$6*$D27)</f>
        <v/>
      </c>
      <c r="AS27">
        <f>IF($A27="","",$BC$6*$D27)</f>
        <v/>
      </c>
      <c r="AT27">
        <f>IF($A27="","",2*$BC$6*$D27)</f>
        <v/>
      </c>
      <c r="AU27">
        <f>IF($A27="","",4*1*$D27)</f>
        <v/>
      </c>
      <c r="AV27">
        <f>IF($A27="","",16*1*$D27)</f>
        <v/>
      </c>
      <c r="AW27">
        <f>IF($A27="","",(2+MAX(0,ROUNDUP(($G27-1500)/500,0)))*$D27)</f>
        <v/>
      </c>
      <c r="AX27">
        <f>IF($A27="","",(2+MAX(0,ROUNDUP(($G27-1500)/500,0)))*$D27)</f>
        <v/>
      </c>
      <c r="AY27">
        <f>IF($A27="","",ROUND((2*2*($M27+$K27)*1*$D27+$S27*$T27)/1000,1))</f>
        <v/>
      </c>
    </row>
    <row r="28" ht="40.15" customHeight="1">
      <c r="A28" s="99" t="n"/>
      <c r="B28" s="88" t="n"/>
      <c r="C28" s="89" t="n"/>
      <c r="D28" s="90" t="n"/>
      <c r="E28" s="96">
        <f>IF($A28="","",$B28)</f>
        <v/>
      </c>
      <c r="F28" s="97">
        <f>IF($A28="","",$L$54*$D28)</f>
        <v/>
      </c>
      <c r="G28" s="96">
        <f>IF($A28="","",$C28-$E$55-$F$55)</f>
        <v/>
      </c>
      <c r="H28" s="97">
        <f>IF($A28="","",$L$55*$D28)</f>
        <v/>
      </c>
      <c r="I28" s="96">
        <f>IF($A28="","",$C28)</f>
        <v/>
      </c>
      <c r="J28" s="97">
        <f>IF($A28="","",$L$56*$D28)</f>
        <v/>
      </c>
      <c r="K28" s="96">
        <f>IF($A28="","",$B28-$E$57-$F$57-$G$57-$H$57)</f>
        <v/>
      </c>
      <c r="L28" s="97">
        <f>IF($A28="","",$L$57*$D28)</f>
        <v/>
      </c>
      <c r="M28" s="96">
        <f>IF($A28="","",(($C28-$E$58-$F$58-$G$58-$H$58)/2)+(66*1)/2)</f>
        <v/>
      </c>
      <c r="N28" s="97">
        <f>IF($A28="","",$L$58*$D28)</f>
        <v/>
      </c>
      <c r="O28" s="96">
        <f>IF($A28="","",$K28-$E$59-$F$59)</f>
        <v/>
      </c>
      <c r="P28" s="97">
        <f>IF($A28="","",$L$59*$D28)</f>
        <v/>
      </c>
      <c r="Q28" s="96">
        <f>IF($A28="","",$M28-$E$60-$F$60)</f>
        <v/>
      </c>
      <c r="R28" s="97">
        <f>IF($A28="","",$L$60*$D28)</f>
        <v/>
      </c>
      <c r="S28" s="96">
        <f>IF($A28="","",$K28)</f>
        <v/>
      </c>
      <c r="T28" s="97">
        <f>IF($A28="","",$L$61*$D28)</f>
        <v/>
      </c>
      <c r="U28" s="96">
        <f>IF($A28="","",$B28-$E$62-$F$62)</f>
        <v/>
      </c>
      <c r="V28" s="97">
        <f>IF($A28="","",$L$62*$D28)</f>
        <v/>
      </c>
      <c r="W28" s="96">
        <f>IF($A28="","",$C28-$E$63-$F$63)</f>
        <v/>
      </c>
      <c r="X28" s="97">
        <f>IF($A28="","",$L$63*$D28)</f>
        <v/>
      </c>
      <c r="Y28" s="96">
        <f>IF($A28="","",$B28-$E$64-$F$64)</f>
        <v/>
      </c>
      <c r="Z28" s="97">
        <f>IF($A28="","",$L$64*$D28)</f>
        <v/>
      </c>
      <c r="AA28" s="96">
        <f>IF($A28="","",$S28)</f>
        <v/>
      </c>
      <c r="AB28" s="97">
        <f>IF($A28="","",$L$65*$D28)</f>
        <v/>
      </c>
      <c r="AC28" s="96">
        <f>IF($A28="","",$C28)</f>
        <v/>
      </c>
      <c r="AD28" s="97">
        <f>IF($A28="","",$L$66*$D28)</f>
        <v/>
      </c>
      <c r="AE28" s="96">
        <f>IF($A28="","",$C28-$E$67-$F$67)</f>
        <v/>
      </c>
      <c r="AF28" s="97">
        <f>IF($A28="","",$L$67*$D28)</f>
        <v/>
      </c>
      <c r="AG28" s="108">
        <f>IF($A28="","",$C28-$M28-$E$68-$F$68-$G$68)</f>
        <v/>
      </c>
      <c r="AH28" s="98">
        <f>IF($A28="","",$L$68*$D28)</f>
        <v/>
      </c>
      <c r="AI28" s="93">
        <f>IF($A28="","",$K28-56-56)</f>
        <v/>
      </c>
      <c r="AJ28" s="94">
        <f>IF($A28="","",$M28-56-56)</f>
        <v/>
      </c>
      <c r="AK28" s="95">
        <f>IF($A28="","",2*1*$D28)</f>
        <v/>
      </c>
      <c r="AL28">
        <f>IF($A28="","",$BC$7*$D28)</f>
        <v/>
      </c>
      <c r="AM28">
        <f>IF($A28="","",$BC$6*$D28)</f>
        <v/>
      </c>
      <c r="AN28">
        <f>IF($A28="","",$BC$9*$D28)</f>
        <v/>
      </c>
      <c r="AO28">
        <f>IF($A28="","",$BC$10*$D28)</f>
        <v/>
      </c>
      <c r="AP28">
        <f>IF($A28="","",2*$BC$6*$D28)</f>
        <v/>
      </c>
      <c r="AQ28">
        <f>IF($A28="","",IF($B28&gt;2800,2,IF($B28&gt;1400,1,0))*$BC$6*$D28)</f>
        <v/>
      </c>
      <c r="AR28">
        <f>IF($A28="","",2*$BC$6*$D28)</f>
        <v/>
      </c>
      <c r="AS28">
        <f>IF($A28="","",$BC$6*$D28)</f>
        <v/>
      </c>
      <c r="AT28">
        <f>IF($A28="","",2*$BC$6*$D28)</f>
        <v/>
      </c>
      <c r="AU28">
        <f>IF($A28="","",4*1*$D28)</f>
        <v/>
      </c>
      <c r="AV28">
        <f>IF($A28="","",16*1*$D28)</f>
        <v/>
      </c>
      <c r="AW28">
        <f>IF($A28="","",(2+MAX(0,ROUNDUP(($G28-1500)/500,0)))*$D28)</f>
        <v/>
      </c>
      <c r="AX28">
        <f>IF($A28="","",(2+MAX(0,ROUNDUP(($G28-1500)/500,0)))*$D28)</f>
        <v/>
      </c>
      <c r="AY28">
        <f>IF($A28="","",ROUND((2*2*($M28+$K28)*1*$D28+$S28*$T28)/1000,1))</f>
        <v/>
      </c>
    </row>
    <row r="29" ht="40.15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9" t="n"/>
    </row>
    <row r="30" ht="40.15" customHeight="1">
      <c r="A30" s="70" t="inlineStr">
        <is>
          <t>จำนวนเส้น 6.4 ม. ที่ต้องสั่ง →</t>
        </is>
      </c>
      <c r="B30" s="20" t="n"/>
      <c r="C30" s="20" t="n"/>
      <c r="D30" s="21" t="n"/>
      <c r="E30" s="110">
        <f>E$7</f>
        <v/>
      </c>
      <c r="F30" s="111">
        <f>(ROUNDUP(F49/6400,0))</f>
        <v/>
      </c>
      <c r="G30" s="111">
        <f>G$7</f>
        <v/>
      </c>
      <c r="H30" s="111">
        <f>(ROUNDUP(H49/6400,0))</f>
        <v/>
      </c>
      <c r="I30" s="111">
        <f>I$7</f>
        <v/>
      </c>
      <c r="J30" s="111">
        <f>(ROUNDUP(J49/6400,0))</f>
        <v/>
      </c>
      <c r="K30" s="111">
        <f>K$7</f>
        <v/>
      </c>
      <c r="L30" s="20" t="n"/>
      <c r="M30" s="21" t="n"/>
      <c r="N30" s="111">
        <f>(ROUNDUP(SUM(L49:N49)/6400,0))</f>
        <v/>
      </c>
      <c r="O30" s="111">
        <f>O$7</f>
        <v/>
      </c>
      <c r="P30" s="20" t="n"/>
      <c r="Q30" s="21" t="n"/>
      <c r="R30" s="111">
        <f>(ROUNDUP(SUM(P49:R49)/6400,0))</f>
        <v/>
      </c>
      <c r="S30" s="111">
        <f>S$7</f>
        <v/>
      </c>
      <c r="T30" s="111">
        <f>(ROUNDUP(T49/6400,0))</f>
        <v/>
      </c>
      <c r="U30" s="111">
        <f>U$7</f>
        <v/>
      </c>
      <c r="V30" s="111">
        <f>(ROUNDUP(V49/6400,0))</f>
        <v/>
      </c>
      <c r="W30" s="111">
        <f>W$7</f>
        <v/>
      </c>
      <c r="X30" s="111">
        <f>(ROUNDUP(X49/5000,0))</f>
        <v/>
      </c>
      <c r="Y30" s="111">
        <f>Y$7</f>
        <v/>
      </c>
      <c r="Z30" s="20" t="n"/>
      <c r="AA30" s="20" t="n"/>
      <c r="AB30" s="20" t="n"/>
      <c r="AC30" s="21" t="n"/>
      <c r="AD30" s="111">
        <f>(ROUNDUP(SUM(Z49:AD49)/6400,0))</f>
        <v/>
      </c>
      <c r="AE30" s="111">
        <f>AE$7</f>
        <v/>
      </c>
      <c r="AF30" s="111">
        <f>(ROUNDUP(AF49/5000,0))</f>
        <v/>
      </c>
      <c r="AG30" s="111">
        <f>AG$7</f>
        <v/>
      </c>
      <c r="AH30" s="111">
        <f>(ROUNDUP(AH49/5000,0))</f>
        <v/>
      </c>
      <c r="AJ30" t="inlineStr">
        <is>
          <t>รวม</t>
        </is>
      </c>
      <c r="AK30">
        <f>SUM(AK11:AK28)</f>
        <v/>
      </c>
      <c r="AL30">
        <f>SUM(AL11:AL28)</f>
        <v/>
      </c>
      <c r="AM30">
        <f>SUM(AM11:AM28)</f>
        <v/>
      </c>
      <c r="AN30">
        <f>SUM(AN11:AN28)</f>
        <v/>
      </c>
      <c r="AO30">
        <f>SUM(AO11:AO28)</f>
        <v/>
      </c>
      <c r="AP30">
        <f>SUM(AP11:AP28)</f>
        <v/>
      </c>
      <c r="AQ30">
        <f>SUM(AQ11:AQ28)</f>
        <v/>
      </c>
      <c r="AR30">
        <f>SUM(AR11:AR28)</f>
        <v/>
      </c>
      <c r="AS30">
        <f>SUM(AS11:AS28)</f>
        <v/>
      </c>
      <c r="AT30">
        <f>SUM(AT11:AT28)</f>
        <v/>
      </c>
      <c r="AU30">
        <f>SUM(AU11:AU28)</f>
        <v/>
      </c>
      <c r="AV30">
        <f>SUM(AV11:AV28)</f>
        <v/>
      </c>
      <c r="AW30">
        <f>SUM(AW11:AW28)</f>
        <v/>
      </c>
      <c r="AX30">
        <f>SUM(AX11:AX28)</f>
        <v/>
      </c>
      <c r="AY30">
        <f>SUM(AY11:AY28)</f>
        <v/>
      </c>
    </row>
    <row r="31" hidden="1" ht="40.15" customHeight="1">
      <c r="F31" s="73">
        <f>IF($A11="","",F11*E11)</f>
        <v/>
      </c>
      <c r="G31" s="73" t="n"/>
      <c r="H31" s="73">
        <f>IF($A11="","",H11*G11)</f>
        <v/>
      </c>
      <c r="I31" s="73" t="n"/>
      <c r="J31" s="73">
        <f>IF($A11="","",J11*I11)</f>
        <v/>
      </c>
      <c r="K31" s="73" t="n"/>
      <c r="L31" s="73">
        <f>IF($A11="","",L11*K11)</f>
        <v/>
      </c>
      <c r="M31" s="73" t="n"/>
      <c r="N31" s="73">
        <f>IF($A11="","",N11*M11)</f>
        <v/>
      </c>
      <c r="O31" s="73" t="n"/>
      <c r="P31" s="73">
        <f>IF($A11="","",P11*O11)</f>
        <v/>
      </c>
      <c r="Q31" s="73" t="n"/>
      <c r="R31" s="73">
        <f>IF($A11="","",R11*Q11)</f>
        <v/>
      </c>
      <c r="S31" s="73" t="n"/>
      <c r="T31" s="73">
        <f>IF($A11="","",T11*S11)</f>
        <v/>
      </c>
      <c r="U31" s="73" t="n"/>
      <c r="V31" s="73">
        <f>IF($A11="","",V11*U11)</f>
        <v/>
      </c>
      <c r="W31" s="73" t="n"/>
      <c r="X31" s="73">
        <f>IF($A11="","",X11*W11)</f>
        <v/>
      </c>
      <c r="Y31" s="73" t="n"/>
      <c r="Z31" s="73">
        <f>IF($A11="","",Z11*Y11)</f>
        <v/>
      </c>
      <c r="AA31" s="73" t="n"/>
      <c r="AB31" s="73">
        <f>IF($A11="","",AB11*AA11)</f>
        <v/>
      </c>
      <c r="AC31" s="73" t="n"/>
      <c r="AD31" s="73">
        <f>IF($A11="","",AD11*AC11)</f>
        <v/>
      </c>
      <c r="AE31" s="73" t="n"/>
      <c r="AF31" s="73">
        <f>IF($A11="","",AF11*AE11)</f>
        <v/>
      </c>
      <c r="AG31" s="73" t="n"/>
      <c r="AH31" s="73">
        <f>IF($A11="","",AH11*AG11)</f>
        <v/>
      </c>
    </row>
    <row r="32" hidden="1" ht="40.15" customHeight="1">
      <c r="F32" s="73">
        <f>IF($A12="","",F12*E12)</f>
        <v/>
      </c>
      <c r="G32" s="73" t="n"/>
      <c r="H32" s="73">
        <f>IF($A12="","",H12*G12)</f>
        <v/>
      </c>
      <c r="I32" s="73" t="n"/>
      <c r="J32" s="73">
        <f>IF($A12="","",J12*I12)</f>
        <v/>
      </c>
      <c r="K32" s="73" t="n"/>
      <c r="L32" s="73">
        <f>IF($A12="","",L12*K12)</f>
        <v/>
      </c>
      <c r="M32" s="73" t="n"/>
      <c r="N32" s="73">
        <f>IF($A12="","",N12*M12)</f>
        <v/>
      </c>
      <c r="O32" s="73" t="n"/>
      <c r="P32" s="73">
        <f>IF($A12="","",P12*O12)</f>
        <v/>
      </c>
      <c r="Q32" s="73" t="n"/>
      <c r="R32" s="73">
        <f>IF($A12="","",R12*Q12)</f>
        <v/>
      </c>
      <c r="S32" s="73" t="n"/>
      <c r="T32" s="73">
        <f>IF($A12="","",T12*S12)</f>
        <v/>
      </c>
      <c r="U32" s="73" t="n"/>
      <c r="V32" s="73">
        <f>IF($A12="","",V12*U12)</f>
        <v/>
      </c>
      <c r="W32" s="73" t="n"/>
      <c r="X32" s="73">
        <f>IF($A12="","",X12*W12)</f>
        <v/>
      </c>
      <c r="Y32" s="73" t="n"/>
      <c r="Z32" s="73">
        <f>IF($A12="","",Z12*Y12)</f>
        <v/>
      </c>
      <c r="AA32" s="73" t="n"/>
      <c r="AB32" s="73">
        <f>IF($A12="","",AB12*AA12)</f>
        <v/>
      </c>
      <c r="AC32" s="73" t="n"/>
      <c r="AD32" s="73">
        <f>IF($A12="","",AD12*AC12)</f>
        <v/>
      </c>
      <c r="AE32" s="73" t="n"/>
      <c r="AF32" s="73">
        <f>IF($A12="","",AF12*AE12)</f>
        <v/>
      </c>
      <c r="AG32" s="73" t="n"/>
      <c r="AH32" s="73">
        <f>IF($A12="","",AH12*AG12)</f>
        <v/>
      </c>
    </row>
    <row r="33" hidden="1" ht="40.15" customHeight="1">
      <c r="F33" s="73">
        <f>IF($A13="","",F13*E13)</f>
        <v/>
      </c>
      <c r="G33" s="73" t="n"/>
      <c r="H33" s="73">
        <f>IF($A13="","",H13*G13)</f>
        <v/>
      </c>
      <c r="I33" s="73" t="n"/>
      <c r="J33" s="73">
        <f>IF($A13="","",J13*I13)</f>
        <v/>
      </c>
      <c r="K33" s="73" t="n"/>
      <c r="L33" s="73">
        <f>IF($A13="","",L13*K13)</f>
        <v/>
      </c>
      <c r="M33" s="73" t="n"/>
      <c r="N33" s="73">
        <f>IF($A13="","",N13*M13)</f>
        <v/>
      </c>
      <c r="O33" s="73" t="n"/>
      <c r="P33" s="73">
        <f>IF($A13="","",P13*O13)</f>
        <v/>
      </c>
      <c r="Q33" s="73" t="n"/>
      <c r="R33" s="73">
        <f>IF($A13="","",R13*Q13)</f>
        <v/>
      </c>
      <c r="S33" s="73" t="n"/>
      <c r="T33" s="73">
        <f>IF($A13="","",T13*S13)</f>
        <v/>
      </c>
      <c r="U33" s="73" t="n"/>
      <c r="V33" s="73">
        <f>IF($A13="","",V13*U13)</f>
        <v/>
      </c>
      <c r="W33" s="73" t="n"/>
      <c r="X33" s="73">
        <f>IF($A13="","",X13*W13)</f>
        <v/>
      </c>
      <c r="Y33" s="73" t="n"/>
      <c r="Z33" s="73">
        <f>IF($A13="","",Z13*Y13)</f>
        <v/>
      </c>
      <c r="AA33" s="73" t="n"/>
      <c r="AB33" s="73">
        <f>IF($A13="","",AB13*AA13)</f>
        <v/>
      </c>
      <c r="AC33" s="73" t="n"/>
      <c r="AD33" s="73">
        <f>IF($A13="","",AD13*AC13)</f>
        <v/>
      </c>
      <c r="AE33" s="73" t="n"/>
      <c r="AF33" s="73">
        <f>IF($A13="","",AF13*AE13)</f>
        <v/>
      </c>
      <c r="AG33" s="73" t="n"/>
      <c r="AH33" s="73">
        <f>IF($A13="","",AH13*AG13)</f>
        <v/>
      </c>
    </row>
    <row r="34" hidden="1" ht="40.15" customHeight="1">
      <c r="F34" s="73">
        <f>IF($A14="","",F14*E14)</f>
        <v/>
      </c>
      <c r="G34" s="73" t="n"/>
      <c r="H34" s="73">
        <f>IF($A14="","",H14*G14)</f>
        <v/>
      </c>
      <c r="I34" s="73" t="n"/>
      <c r="J34" s="73">
        <f>IF($A14="","",J14*I14)</f>
        <v/>
      </c>
      <c r="K34" s="73" t="n"/>
      <c r="L34" s="73">
        <f>IF($A14="","",L14*K14)</f>
        <v/>
      </c>
      <c r="M34" s="73" t="n"/>
      <c r="N34" s="73">
        <f>IF($A14="","",N14*M14)</f>
        <v/>
      </c>
      <c r="O34" s="73" t="n"/>
      <c r="P34" s="73">
        <f>IF($A14="","",P14*O14)</f>
        <v/>
      </c>
      <c r="Q34" s="73" t="n"/>
      <c r="R34" s="73">
        <f>IF($A14="","",R14*Q14)</f>
        <v/>
      </c>
      <c r="S34" s="73" t="n"/>
      <c r="T34" s="73">
        <f>IF($A14="","",T14*S14)</f>
        <v/>
      </c>
      <c r="U34" s="73" t="n"/>
      <c r="V34" s="73">
        <f>IF($A14="","",V14*U14)</f>
        <v/>
      </c>
      <c r="W34" s="73" t="n"/>
      <c r="X34" s="73">
        <f>IF($A14="","",X14*W14)</f>
        <v/>
      </c>
      <c r="Y34" s="73" t="n"/>
      <c r="Z34" s="73">
        <f>IF($A14="","",Z14*Y14)</f>
        <v/>
      </c>
      <c r="AA34" s="73" t="n"/>
      <c r="AB34" s="73">
        <f>IF($A14="","",AB14*AA14)</f>
        <v/>
      </c>
      <c r="AC34" s="73" t="n"/>
      <c r="AD34" s="73">
        <f>IF($A14="","",AD14*AC14)</f>
        <v/>
      </c>
      <c r="AE34" s="73" t="n"/>
      <c r="AF34" s="73">
        <f>IF($A14="","",AF14*AE14)</f>
        <v/>
      </c>
      <c r="AG34" s="73" t="n"/>
      <c r="AH34" s="73">
        <f>IF($A14="","",AH14*AG14)</f>
        <v/>
      </c>
    </row>
    <row r="35" hidden="1" ht="40.15" customHeight="1">
      <c r="F35" s="73">
        <f>IF($A15="","",F15*E15)</f>
        <v/>
      </c>
      <c r="G35" s="73" t="n"/>
      <c r="H35" s="73">
        <f>IF($A15="","",H15*G15)</f>
        <v/>
      </c>
      <c r="I35" s="73" t="n"/>
      <c r="J35" s="73">
        <f>IF($A15="","",J15*I15)</f>
        <v/>
      </c>
      <c r="K35" s="73" t="n"/>
      <c r="L35" s="73">
        <f>IF($A15="","",L15*K15)</f>
        <v/>
      </c>
      <c r="M35" s="73" t="n"/>
      <c r="N35" s="73">
        <f>IF($A15="","",N15*M15)</f>
        <v/>
      </c>
      <c r="O35" s="73" t="n"/>
      <c r="P35" s="73">
        <f>IF($A15="","",P15*O15)</f>
        <v/>
      </c>
      <c r="Q35" s="73" t="n"/>
      <c r="R35" s="73">
        <f>IF($A15="","",R15*Q15)</f>
        <v/>
      </c>
      <c r="S35" s="73" t="n"/>
      <c r="T35" s="73">
        <f>IF($A15="","",T15*S15)</f>
        <v/>
      </c>
      <c r="U35" s="73" t="n"/>
      <c r="V35" s="73">
        <f>IF($A15="","",V15*U15)</f>
        <v/>
      </c>
      <c r="W35" s="73" t="n"/>
      <c r="X35" s="73">
        <f>IF($A15="","",X15*W15)</f>
        <v/>
      </c>
      <c r="Y35" s="73" t="n"/>
      <c r="Z35" s="73">
        <f>IF($A15="","",Z15*Y15)</f>
        <v/>
      </c>
      <c r="AA35" s="73" t="n"/>
      <c r="AB35" s="73">
        <f>IF($A15="","",AB15*AA15)</f>
        <v/>
      </c>
      <c r="AC35" s="73" t="n"/>
      <c r="AD35" s="73">
        <f>IF($A15="","",AD15*AC15)</f>
        <v/>
      </c>
      <c r="AE35" s="73" t="n"/>
      <c r="AF35" s="73">
        <f>IF($A15="","",AF15*AE15)</f>
        <v/>
      </c>
      <c r="AG35" s="73" t="n"/>
      <c r="AH35" s="73">
        <f>IF($A15="","",AH15*AG15)</f>
        <v/>
      </c>
    </row>
    <row r="36" hidden="1">
      <c r="F36" s="73">
        <f>IF($A16="","",F16*E16)</f>
        <v/>
      </c>
      <c r="G36" s="73" t="n"/>
      <c r="H36" s="73">
        <f>IF($A16="","",H16*G16)</f>
        <v/>
      </c>
      <c r="I36" s="73" t="n"/>
      <c r="J36" s="73">
        <f>IF($A16="","",J16*I16)</f>
        <v/>
      </c>
      <c r="K36" s="73" t="n"/>
      <c r="L36" s="73">
        <f>IF($A16="","",L16*K16)</f>
        <v/>
      </c>
      <c r="M36" s="73" t="n"/>
      <c r="N36" s="73">
        <f>IF($A16="","",N16*M16)</f>
        <v/>
      </c>
      <c r="O36" s="73" t="n"/>
      <c r="P36" s="73">
        <f>IF($A16="","",P16*O16)</f>
        <v/>
      </c>
      <c r="Q36" s="73" t="n"/>
      <c r="R36" s="73">
        <f>IF($A16="","",R16*Q16)</f>
        <v/>
      </c>
      <c r="S36" s="73" t="n"/>
      <c r="T36" s="73">
        <f>IF($A16="","",T16*S16)</f>
        <v/>
      </c>
      <c r="U36" s="73" t="n"/>
      <c r="V36" s="73">
        <f>IF($A16="","",V16*U16)</f>
        <v/>
      </c>
      <c r="W36" s="73" t="n"/>
      <c r="X36" s="73">
        <f>IF($A16="","",X16*W16)</f>
        <v/>
      </c>
      <c r="Y36" s="73" t="n"/>
      <c r="Z36" s="73">
        <f>IF($A16="","",Z16*Y16)</f>
        <v/>
      </c>
      <c r="AA36" s="73" t="n"/>
      <c r="AB36" s="73">
        <f>IF($A16="","",AB16*AA16)</f>
        <v/>
      </c>
      <c r="AC36" s="73" t="n"/>
      <c r="AD36" s="73">
        <f>IF($A16="","",AD16*AC16)</f>
        <v/>
      </c>
      <c r="AE36" s="73" t="n"/>
      <c r="AF36" s="73">
        <f>IF($A16="","",AF16*AE16)</f>
        <v/>
      </c>
      <c r="AG36" s="73" t="n"/>
      <c r="AH36" s="73">
        <f>IF($A16="","",AH16*AG16)</f>
        <v/>
      </c>
    </row>
    <row r="37" hidden="1">
      <c r="F37" s="73">
        <f>IF($A17="","",F17*E17)</f>
        <v/>
      </c>
      <c r="G37" s="73" t="n"/>
      <c r="H37" s="73">
        <f>IF($A17="","",H17*G17)</f>
        <v/>
      </c>
      <c r="I37" s="73" t="n"/>
      <c r="J37" s="73">
        <f>IF($A17="","",J17*I17)</f>
        <v/>
      </c>
      <c r="K37" s="73" t="n"/>
      <c r="L37" s="73">
        <f>IF($A17="","",L17*K17)</f>
        <v/>
      </c>
      <c r="M37" s="73" t="n"/>
      <c r="N37" s="73">
        <f>IF($A17="","",N17*M17)</f>
        <v/>
      </c>
      <c r="O37" s="73" t="n"/>
      <c r="P37" s="73">
        <f>IF($A17="","",P17*O17)</f>
        <v/>
      </c>
      <c r="Q37" s="73" t="n"/>
      <c r="R37" s="73">
        <f>IF($A17="","",R17*Q17)</f>
        <v/>
      </c>
      <c r="S37" s="73" t="n"/>
      <c r="T37" s="73">
        <f>IF($A17="","",T17*S17)</f>
        <v/>
      </c>
      <c r="U37" s="73" t="n"/>
      <c r="V37" s="73">
        <f>IF($A17="","",V17*U17)</f>
        <v/>
      </c>
      <c r="W37" s="73" t="n"/>
      <c r="X37" s="73">
        <f>IF($A17="","",X17*W17)</f>
        <v/>
      </c>
      <c r="Y37" s="73" t="n"/>
      <c r="Z37" s="73">
        <f>IF($A17="","",Z17*Y17)</f>
        <v/>
      </c>
      <c r="AA37" s="73" t="n"/>
      <c r="AB37" s="73">
        <f>IF($A17="","",AB17*AA17)</f>
        <v/>
      </c>
      <c r="AC37" s="73" t="n"/>
      <c r="AD37" s="73">
        <f>IF($A17="","",AD17*AC17)</f>
        <v/>
      </c>
      <c r="AE37" s="73" t="n"/>
      <c r="AF37" s="73">
        <f>IF($A17="","",AF17*AE17)</f>
        <v/>
      </c>
      <c r="AG37" s="73" t="n"/>
      <c r="AH37" s="73">
        <f>IF($A17="","",AH17*AG17)</f>
        <v/>
      </c>
    </row>
    <row r="38" hidden="1">
      <c r="F38" s="73">
        <f>IF($A18="","",F18*E18)</f>
        <v/>
      </c>
      <c r="G38" s="73" t="n"/>
      <c r="H38" s="73">
        <f>IF($A18="","",H18*G18)</f>
        <v/>
      </c>
      <c r="I38" s="73" t="n"/>
      <c r="J38" s="73">
        <f>IF($A18="","",J18*I18)</f>
        <v/>
      </c>
      <c r="K38" s="73" t="n"/>
      <c r="L38" s="73">
        <f>IF($A18="","",L18*K18)</f>
        <v/>
      </c>
      <c r="M38" s="73" t="n"/>
      <c r="N38" s="73">
        <f>IF($A18="","",N18*M18)</f>
        <v/>
      </c>
      <c r="O38" s="73" t="n"/>
      <c r="P38" s="73">
        <f>IF($A18="","",P18*O18)</f>
        <v/>
      </c>
      <c r="Q38" s="73" t="n"/>
      <c r="R38" s="73">
        <f>IF($A18="","",R18*Q18)</f>
        <v/>
      </c>
      <c r="S38" s="73" t="n"/>
      <c r="T38" s="73">
        <f>IF($A18="","",T18*S18)</f>
        <v/>
      </c>
      <c r="U38" s="73" t="n"/>
      <c r="V38" s="73">
        <f>IF($A18="","",V18*U18)</f>
        <v/>
      </c>
      <c r="W38" s="73" t="n"/>
      <c r="X38" s="73">
        <f>IF($A18="","",X18*W18)</f>
        <v/>
      </c>
      <c r="Y38" s="73" t="n"/>
      <c r="Z38" s="73">
        <f>IF($A18="","",Z18*Y18)</f>
        <v/>
      </c>
      <c r="AA38" s="73" t="n"/>
      <c r="AB38" s="73">
        <f>IF($A18="","",AB18*AA18)</f>
        <v/>
      </c>
      <c r="AC38" s="73" t="n"/>
      <c r="AD38" s="73">
        <f>IF($A18="","",AD18*AC18)</f>
        <v/>
      </c>
      <c r="AE38" s="73" t="n"/>
      <c r="AF38" s="73">
        <f>IF($A18="","",AF18*AE18)</f>
        <v/>
      </c>
      <c r="AG38" s="73" t="n"/>
      <c r="AH38" s="73">
        <f>IF($A18="","",AH18*AG18)</f>
        <v/>
      </c>
    </row>
    <row r="39" hidden="1">
      <c r="F39" s="73">
        <f>IF($A19="","",F19*E19)</f>
        <v/>
      </c>
      <c r="G39" s="73" t="n"/>
      <c r="H39" s="73">
        <f>IF($A19="","",H19*G19)</f>
        <v/>
      </c>
      <c r="I39" s="73" t="n"/>
      <c r="J39" s="73">
        <f>IF($A19="","",J19*I19)</f>
        <v/>
      </c>
      <c r="K39" s="73" t="n"/>
      <c r="L39" s="73">
        <f>IF($A19="","",L19*K19)</f>
        <v/>
      </c>
      <c r="M39" s="73" t="n"/>
      <c r="N39" s="73">
        <f>IF($A19="","",N19*M19)</f>
        <v/>
      </c>
      <c r="O39" s="73" t="n"/>
      <c r="P39" s="73">
        <f>IF($A19="","",P19*O19)</f>
        <v/>
      </c>
      <c r="Q39" s="73" t="n"/>
      <c r="R39" s="73">
        <f>IF($A19="","",R19*Q19)</f>
        <v/>
      </c>
      <c r="S39" s="73" t="n"/>
      <c r="T39" s="73">
        <f>IF($A19="","",T19*S19)</f>
        <v/>
      </c>
      <c r="U39" s="73" t="n"/>
      <c r="V39" s="73">
        <f>IF($A19="","",V19*U19)</f>
        <v/>
      </c>
      <c r="W39" s="73" t="n"/>
      <c r="X39" s="73">
        <f>IF($A19="","",X19*W19)</f>
        <v/>
      </c>
      <c r="Y39" s="73" t="n"/>
      <c r="Z39" s="73">
        <f>IF($A19="","",Z19*Y19)</f>
        <v/>
      </c>
      <c r="AA39" s="73" t="n"/>
      <c r="AB39" s="73">
        <f>IF($A19="","",AB19*AA19)</f>
        <v/>
      </c>
      <c r="AC39" s="73" t="n"/>
      <c r="AD39" s="73">
        <f>IF($A19="","",AD19*AC19)</f>
        <v/>
      </c>
      <c r="AE39" s="73" t="n"/>
      <c r="AF39" s="73">
        <f>IF($A19="","",AF19*AE19)</f>
        <v/>
      </c>
      <c r="AG39" s="73" t="n"/>
      <c r="AH39" s="73">
        <f>IF($A19="","",AH19*AG19)</f>
        <v/>
      </c>
    </row>
    <row r="40" hidden="1">
      <c r="F40" s="73">
        <f>IF($A20="","",F20*E20)</f>
        <v/>
      </c>
      <c r="G40" s="73" t="n"/>
      <c r="H40" s="73">
        <f>IF($A20="","",H20*G20)</f>
        <v/>
      </c>
      <c r="I40" s="73" t="n"/>
      <c r="J40" s="73">
        <f>IF($A20="","",J20*I20)</f>
        <v/>
      </c>
      <c r="K40" s="73" t="n"/>
      <c r="L40" s="73">
        <f>IF($A20="","",L20*K20)</f>
        <v/>
      </c>
      <c r="M40" s="73" t="n"/>
      <c r="N40" s="73">
        <f>IF($A20="","",N20*M20)</f>
        <v/>
      </c>
      <c r="O40" s="73" t="n"/>
      <c r="P40" s="73">
        <f>IF($A20="","",P20*O20)</f>
        <v/>
      </c>
      <c r="Q40" s="73" t="n"/>
      <c r="R40" s="73">
        <f>IF($A20="","",R20*Q20)</f>
        <v/>
      </c>
      <c r="S40" s="73" t="n"/>
      <c r="T40" s="73">
        <f>IF($A20="","",T20*S20)</f>
        <v/>
      </c>
      <c r="U40" s="73" t="n"/>
      <c r="V40" s="73">
        <f>IF($A20="","",V20*U20)</f>
        <v/>
      </c>
      <c r="W40" s="73" t="n"/>
      <c r="X40" s="73">
        <f>IF($A20="","",X20*W20)</f>
        <v/>
      </c>
      <c r="Y40" s="73" t="n"/>
      <c r="Z40" s="73">
        <f>IF($A20="","",Z20*Y20)</f>
        <v/>
      </c>
      <c r="AA40" s="73" t="n"/>
      <c r="AB40" s="73">
        <f>IF($A20="","",AB20*AA20)</f>
        <v/>
      </c>
      <c r="AC40" s="73" t="n"/>
      <c r="AD40" s="73">
        <f>IF($A20="","",AD20*AC20)</f>
        <v/>
      </c>
      <c r="AE40" s="73" t="n"/>
      <c r="AF40" s="73">
        <f>IF($A20="","",AF20*AE20)</f>
        <v/>
      </c>
      <c r="AG40" s="73" t="n"/>
      <c r="AH40" s="73">
        <f>IF($A20="","",AH20*AG20)</f>
        <v/>
      </c>
    </row>
    <row r="41" hidden="1">
      <c r="F41" s="73">
        <f>IF($A21="","",F21*E21)</f>
        <v/>
      </c>
      <c r="G41" s="73" t="n"/>
      <c r="H41" s="73">
        <f>IF($A21="","",H21*G21)</f>
        <v/>
      </c>
      <c r="I41" s="73" t="n"/>
      <c r="J41" s="73">
        <f>IF($A21="","",J21*I21)</f>
        <v/>
      </c>
      <c r="K41" s="73" t="n"/>
      <c r="L41" s="73">
        <f>IF($A21="","",L21*K21)</f>
        <v/>
      </c>
      <c r="M41" s="73" t="n"/>
      <c r="N41" s="73">
        <f>IF($A21="","",N21*M21)</f>
        <v/>
      </c>
      <c r="O41" s="73" t="n"/>
      <c r="P41" s="73">
        <f>IF($A21="","",P21*O21)</f>
        <v/>
      </c>
      <c r="Q41" s="73" t="n"/>
      <c r="R41" s="73">
        <f>IF($A21="","",R21*Q21)</f>
        <v/>
      </c>
      <c r="S41" s="73" t="n"/>
      <c r="T41" s="73">
        <f>IF($A21="","",T21*S21)</f>
        <v/>
      </c>
      <c r="U41" s="73" t="n"/>
      <c r="V41" s="73">
        <f>IF($A21="","",V21*U21)</f>
        <v/>
      </c>
      <c r="W41" s="73" t="n"/>
      <c r="X41" s="73">
        <f>IF($A21="","",X21*W21)</f>
        <v/>
      </c>
      <c r="Y41" s="73" t="n"/>
      <c r="Z41" s="73">
        <f>IF($A21="","",Z21*Y21)</f>
        <v/>
      </c>
      <c r="AA41" s="73" t="n"/>
      <c r="AB41" s="73">
        <f>IF($A21="","",AB21*AA21)</f>
        <v/>
      </c>
      <c r="AC41" s="73" t="n"/>
      <c r="AD41" s="73">
        <f>IF($A21="","",AD21*AC21)</f>
        <v/>
      </c>
      <c r="AE41" s="73" t="n"/>
      <c r="AF41" s="73">
        <f>IF($A21="","",AF21*AE21)</f>
        <v/>
      </c>
      <c r="AG41" s="73" t="n"/>
      <c r="AH41" s="73">
        <f>IF($A21="","",AH21*AG21)</f>
        <v/>
      </c>
    </row>
    <row r="42" hidden="1">
      <c r="F42" s="73">
        <f>IF($A22="","",F22*E22)</f>
        <v/>
      </c>
      <c r="G42" s="73" t="n"/>
      <c r="H42" s="73">
        <f>IF($A22="","",H22*G22)</f>
        <v/>
      </c>
      <c r="I42" s="73" t="n"/>
      <c r="J42" s="73">
        <f>IF($A22="","",J22*I22)</f>
        <v/>
      </c>
      <c r="K42" s="73" t="n"/>
      <c r="L42" s="73">
        <f>IF($A22="","",L22*K22)</f>
        <v/>
      </c>
      <c r="M42" s="73" t="n"/>
      <c r="N42" s="73">
        <f>IF($A22="","",N22*M22)</f>
        <v/>
      </c>
      <c r="O42" s="73" t="n"/>
      <c r="P42" s="73">
        <f>IF($A22="","",P22*O22)</f>
        <v/>
      </c>
      <c r="Q42" s="73" t="n"/>
      <c r="R42" s="73">
        <f>IF($A22="","",R22*Q22)</f>
        <v/>
      </c>
      <c r="S42" s="73" t="n"/>
      <c r="T42" s="73">
        <f>IF($A22="","",T22*S22)</f>
        <v/>
      </c>
      <c r="U42" s="73" t="n"/>
      <c r="V42" s="73">
        <f>IF($A22="","",V22*U22)</f>
        <v/>
      </c>
      <c r="W42" s="73" t="n"/>
      <c r="X42" s="73">
        <f>IF($A22="","",X22*W22)</f>
        <v/>
      </c>
      <c r="Y42" s="73" t="n"/>
      <c r="Z42" s="73">
        <f>IF($A22="","",Z22*Y22)</f>
        <v/>
      </c>
      <c r="AA42" s="73" t="n"/>
      <c r="AB42" s="73">
        <f>IF($A22="","",AB22*AA22)</f>
        <v/>
      </c>
      <c r="AC42" s="73" t="n"/>
      <c r="AD42" s="73">
        <f>IF($A22="","",AD22*AC22)</f>
        <v/>
      </c>
      <c r="AE42" s="73" t="n"/>
      <c r="AF42" s="73">
        <f>IF($A22="","",AF22*AE22)</f>
        <v/>
      </c>
      <c r="AG42" s="73" t="n"/>
      <c r="AH42" s="73">
        <f>IF($A22="","",AH22*AG22)</f>
        <v/>
      </c>
    </row>
    <row r="43" hidden="1">
      <c r="F43" s="73">
        <f>IF($A23="","",F23*E23)</f>
        <v/>
      </c>
      <c r="G43" s="73" t="n"/>
      <c r="H43" s="73">
        <f>IF($A23="","",H23*G23)</f>
        <v/>
      </c>
      <c r="I43" s="73" t="n"/>
      <c r="J43" s="73">
        <f>IF($A23="","",J23*I23)</f>
        <v/>
      </c>
      <c r="K43" s="73" t="n"/>
      <c r="L43" s="73">
        <f>IF($A23="","",L23*K23)</f>
        <v/>
      </c>
      <c r="M43" s="73" t="n"/>
      <c r="N43" s="73">
        <f>IF($A23="","",N23*M23)</f>
        <v/>
      </c>
      <c r="O43" s="73" t="n"/>
      <c r="P43" s="73">
        <f>IF($A23="","",P23*O23)</f>
        <v/>
      </c>
      <c r="Q43" s="73" t="n"/>
      <c r="R43" s="73">
        <f>IF($A23="","",R23*Q23)</f>
        <v/>
      </c>
      <c r="S43" s="73" t="n"/>
      <c r="T43" s="73">
        <f>IF($A23="","",T23*S23)</f>
        <v/>
      </c>
      <c r="U43" s="73" t="n"/>
      <c r="V43" s="73">
        <f>IF($A23="","",V23*U23)</f>
        <v/>
      </c>
      <c r="W43" s="73" t="n"/>
      <c r="X43" s="73">
        <f>IF($A23="","",X23*W23)</f>
        <v/>
      </c>
      <c r="Y43" s="73" t="n"/>
      <c r="Z43" s="73">
        <f>IF($A23="","",Z23*Y23)</f>
        <v/>
      </c>
      <c r="AA43" s="73" t="n"/>
      <c r="AB43" s="73">
        <f>IF($A23="","",AB23*AA23)</f>
        <v/>
      </c>
      <c r="AC43" s="73" t="n"/>
      <c r="AD43" s="73">
        <f>IF($A23="","",AD23*AC23)</f>
        <v/>
      </c>
      <c r="AE43" s="73" t="n"/>
      <c r="AF43" s="73">
        <f>IF($A23="","",AF23*AE23)</f>
        <v/>
      </c>
      <c r="AG43" s="73" t="n"/>
      <c r="AH43" s="73">
        <f>IF($A23="","",AH23*AG23)</f>
        <v/>
      </c>
    </row>
    <row r="44" hidden="1">
      <c r="F44" s="73">
        <f>IF($A24="","",F24*E24)</f>
        <v/>
      </c>
      <c r="G44" s="73" t="n"/>
      <c r="H44" s="73">
        <f>IF($A24="","",H24*G24)</f>
        <v/>
      </c>
      <c r="I44" s="73" t="n"/>
      <c r="J44" s="73">
        <f>IF($A24="","",J24*I24)</f>
        <v/>
      </c>
      <c r="K44" s="73" t="n"/>
      <c r="L44" s="73">
        <f>IF($A24="","",L24*K24)</f>
        <v/>
      </c>
      <c r="M44" s="73" t="n"/>
      <c r="N44" s="73">
        <f>IF($A24="","",N24*M24)</f>
        <v/>
      </c>
      <c r="O44" s="73" t="n"/>
      <c r="P44" s="73">
        <f>IF($A24="","",P24*O24)</f>
        <v/>
      </c>
      <c r="Q44" s="73" t="n"/>
      <c r="R44" s="73">
        <f>IF($A24="","",R24*Q24)</f>
        <v/>
      </c>
      <c r="S44" s="73" t="n"/>
      <c r="T44" s="73">
        <f>IF($A24="","",T24*S24)</f>
        <v/>
      </c>
      <c r="U44" s="73" t="n"/>
      <c r="V44" s="73">
        <f>IF($A24="","",V24*U24)</f>
        <v/>
      </c>
      <c r="W44" s="73" t="n"/>
      <c r="X44" s="73">
        <f>IF($A24="","",X24*W24)</f>
        <v/>
      </c>
      <c r="Y44" s="73" t="n"/>
      <c r="Z44" s="73">
        <f>IF($A24="","",Z24*Y24)</f>
        <v/>
      </c>
      <c r="AA44" s="73" t="n"/>
      <c r="AB44" s="73">
        <f>IF($A24="","",AB24*AA24)</f>
        <v/>
      </c>
      <c r="AC44" s="73" t="n"/>
      <c r="AD44" s="73">
        <f>IF($A24="","",AD24*AC24)</f>
        <v/>
      </c>
      <c r="AE44" s="73" t="n"/>
      <c r="AF44" s="73">
        <f>IF($A24="","",AF24*AE24)</f>
        <v/>
      </c>
      <c r="AG44" s="73" t="n"/>
      <c r="AH44" s="73">
        <f>IF($A24="","",AH24*AG24)</f>
        <v/>
      </c>
    </row>
    <row r="45" hidden="1">
      <c r="F45" s="73">
        <f>IF($A25="","",F25*E25)</f>
        <v/>
      </c>
      <c r="G45" s="73" t="n"/>
      <c r="H45" s="73">
        <f>IF($A25="","",H25*G25)</f>
        <v/>
      </c>
      <c r="I45" s="73" t="n"/>
      <c r="J45" s="73">
        <f>IF($A25="","",J25*I25)</f>
        <v/>
      </c>
      <c r="K45" s="73" t="n"/>
      <c r="L45" s="73">
        <f>IF($A25="","",L25*K25)</f>
        <v/>
      </c>
      <c r="M45" s="73" t="n"/>
      <c r="N45" s="73">
        <f>IF($A25="","",N25*M25)</f>
        <v/>
      </c>
      <c r="O45" s="73" t="n"/>
      <c r="P45" s="73">
        <f>IF($A25="","",P25*O25)</f>
        <v/>
      </c>
      <c r="Q45" s="73" t="n"/>
      <c r="R45" s="73">
        <f>IF($A25="","",R25*Q25)</f>
        <v/>
      </c>
      <c r="S45" s="73" t="n"/>
      <c r="T45" s="73">
        <f>IF($A25="","",T25*S25)</f>
        <v/>
      </c>
      <c r="U45" s="73" t="n"/>
      <c r="V45" s="73">
        <f>IF($A25="","",V25*U25)</f>
        <v/>
      </c>
      <c r="W45" s="73" t="n"/>
      <c r="X45" s="73">
        <f>IF($A25="","",X25*W25)</f>
        <v/>
      </c>
      <c r="Y45" s="73" t="n"/>
      <c r="Z45" s="73">
        <f>IF($A25="","",Z25*Y25)</f>
        <v/>
      </c>
      <c r="AA45" s="73" t="n"/>
      <c r="AB45" s="73">
        <f>IF($A25="","",AB25*AA25)</f>
        <v/>
      </c>
      <c r="AC45" s="73" t="n"/>
      <c r="AD45" s="73">
        <f>IF($A25="","",AD25*AC25)</f>
        <v/>
      </c>
      <c r="AE45" s="73" t="n"/>
      <c r="AF45" s="73">
        <f>IF($A25="","",AF25*AE25)</f>
        <v/>
      </c>
      <c r="AG45" s="73" t="n"/>
      <c r="AH45" s="73">
        <f>IF($A25="","",AH25*AG25)</f>
        <v/>
      </c>
    </row>
    <row r="46" hidden="1">
      <c r="F46" s="73">
        <f>IF($A26="","",F26*E26)</f>
        <v/>
      </c>
      <c r="G46" s="73" t="n"/>
      <c r="H46" s="73">
        <f>IF($A26="","",H26*G26)</f>
        <v/>
      </c>
      <c r="I46" s="73" t="n"/>
      <c r="J46" s="73">
        <f>IF($A26="","",J26*I26)</f>
        <v/>
      </c>
      <c r="K46" s="73" t="n"/>
      <c r="L46" s="73">
        <f>IF($A26="","",L26*K26)</f>
        <v/>
      </c>
      <c r="M46" s="73" t="n"/>
      <c r="N46" s="73">
        <f>IF($A26="","",N26*M26)</f>
        <v/>
      </c>
      <c r="O46" s="73" t="n"/>
      <c r="P46" s="73">
        <f>IF($A26="","",P26*O26)</f>
        <v/>
      </c>
      <c r="Q46" s="73" t="n"/>
      <c r="R46" s="73">
        <f>IF($A26="","",R26*Q26)</f>
        <v/>
      </c>
      <c r="S46" s="73" t="n"/>
      <c r="T46" s="73">
        <f>IF($A26="","",T26*S26)</f>
        <v/>
      </c>
      <c r="U46" s="73" t="n"/>
      <c r="V46" s="73">
        <f>IF($A26="","",V26*U26)</f>
        <v/>
      </c>
      <c r="W46" s="73" t="n"/>
      <c r="X46" s="73">
        <f>IF($A26="","",X26*W26)</f>
        <v/>
      </c>
      <c r="Y46" s="73" t="n"/>
      <c r="Z46" s="73">
        <f>IF($A26="","",Z26*Y26)</f>
        <v/>
      </c>
      <c r="AA46" s="73" t="n"/>
      <c r="AB46" s="73">
        <f>IF($A26="","",AB26*AA26)</f>
        <v/>
      </c>
      <c r="AC46" s="73" t="n"/>
      <c r="AD46" s="73">
        <f>IF($A26="","",AD26*AC26)</f>
        <v/>
      </c>
      <c r="AE46" s="73" t="n"/>
      <c r="AF46" s="73">
        <f>IF($A26="","",AF26*AE26)</f>
        <v/>
      </c>
      <c r="AG46" s="73" t="n"/>
      <c r="AH46" s="73">
        <f>IF($A26="","",AH26*AG26)</f>
        <v/>
      </c>
    </row>
    <row r="47" hidden="1">
      <c r="F47" s="73">
        <f>IF($A27="","",F27*E27)</f>
        <v/>
      </c>
      <c r="G47" s="73" t="n"/>
      <c r="H47" s="73">
        <f>IF($A27="","",H27*G27)</f>
        <v/>
      </c>
      <c r="I47" s="73" t="n"/>
      <c r="J47" s="73">
        <f>IF($A27="","",J27*I27)</f>
        <v/>
      </c>
      <c r="K47" s="73" t="n"/>
      <c r="L47" s="73">
        <f>IF($A27="","",L27*K27)</f>
        <v/>
      </c>
      <c r="M47" s="73" t="n"/>
      <c r="N47" s="73">
        <f>IF($A27="","",N27*M27)</f>
        <v/>
      </c>
      <c r="O47" s="73" t="n"/>
      <c r="P47" s="73">
        <f>IF($A27="","",P27*O27)</f>
        <v/>
      </c>
      <c r="Q47" s="73" t="n"/>
      <c r="R47" s="73">
        <f>IF($A27="","",R27*Q27)</f>
        <v/>
      </c>
      <c r="S47" s="73" t="n"/>
      <c r="T47" s="73">
        <f>IF($A27="","",T27*S27)</f>
        <v/>
      </c>
      <c r="U47" s="73" t="n"/>
      <c r="V47" s="73">
        <f>IF($A27="","",V27*U27)</f>
        <v/>
      </c>
      <c r="W47" s="73" t="n"/>
      <c r="X47" s="73">
        <f>IF($A27="","",X27*W27)</f>
        <v/>
      </c>
      <c r="Y47" s="73" t="n"/>
      <c r="Z47" s="73">
        <f>IF($A27="","",Z27*Y27)</f>
        <v/>
      </c>
      <c r="AA47" s="73" t="n"/>
      <c r="AB47" s="73">
        <f>IF($A27="","",AB27*AA27)</f>
        <v/>
      </c>
      <c r="AC47" s="73" t="n"/>
      <c r="AD47" s="73">
        <f>IF($A27="","",AD27*AC27)</f>
        <v/>
      </c>
      <c r="AE47" s="73" t="n"/>
      <c r="AF47" s="73">
        <f>IF($A27="","",AF27*AE27)</f>
        <v/>
      </c>
      <c r="AG47" s="73" t="n"/>
      <c r="AH47" s="73">
        <f>IF($A27="","",AH27*AG27)</f>
        <v/>
      </c>
    </row>
    <row r="48" hidden="1">
      <c r="F48" s="73">
        <f>IF($A28="","",F28*E28)</f>
        <v/>
      </c>
      <c r="G48" s="73" t="n"/>
      <c r="H48" s="73">
        <f>IF($A28="","",H28*G28)</f>
        <v/>
      </c>
      <c r="I48" s="73" t="n"/>
      <c r="J48" s="73">
        <f>IF($A28="","",J28*I28)</f>
        <v/>
      </c>
      <c r="K48" s="73" t="n"/>
      <c r="L48" s="73">
        <f>IF($A28="","",L28*K28)</f>
        <v/>
      </c>
      <c r="M48" s="73" t="n"/>
      <c r="N48" s="73">
        <f>IF($A28="","",N28*M28)</f>
        <v/>
      </c>
      <c r="O48" s="73" t="n"/>
      <c r="P48" s="73">
        <f>IF($A28="","",P28*O28)</f>
        <v/>
      </c>
      <c r="Q48" s="73" t="n"/>
      <c r="R48" s="73">
        <f>IF($A28="","",R28*Q28)</f>
        <v/>
      </c>
      <c r="S48" s="73" t="n"/>
      <c r="T48" s="73">
        <f>IF($A28="","",T28*S28)</f>
        <v/>
      </c>
      <c r="U48" s="73" t="n"/>
      <c r="V48" s="73">
        <f>IF($A28="","",V28*U28)</f>
        <v/>
      </c>
      <c r="W48" s="73" t="n"/>
      <c r="X48" s="73">
        <f>IF($A28="","",X28*W28)</f>
        <v/>
      </c>
      <c r="Y48" s="73" t="n"/>
      <c r="Z48" s="73">
        <f>IF($A28="","",Z28*Y28)</f>
        <v/>
      </c>
      <c r="AA48" s="73" t="n"/>
      <c r="AB48" s="73">
        <f>IF($A28="","",AB28*AA28)</f>
        <v/>
      </c>
      <c r="AC48" s="73" t="n"/>
      <c r="AD48" s="73">
        <f>IF($A28="","",AD28*AC28)</f>
        <v/>
      </c>
      <c r="AE48" s="73" t="n"/>
      <c r="AF48" s="73">
        <f>IF($A28="","",AF28*AE28)</f>
        <v/>
      </c>
      <c r="AG48" s="73" t="n"/>
      <c r="AH48" s="73">
        <f>IF($A28="","",AH28*AG28)</f>
        <v/>
      </c>
    </row>
    <row r="49" hidden="1">
      <c r="F49" s="74">
        <f>SUMIF(F31:F48,"&gt;0")</f>
        <v/>
      </c>
      <c r="H49" s="74">
        <f>SUMIF(H31:H48,"&gt;0")</f>
        <v/>
      </c>
      <c r="I49" s="74" t="n"/>
      <c r="J49" s="74">
        <f>SUMIF(J31:J48,"&gt;0")</f>
        <v/>
      </c>
      <c r="K49" s="74" t="n"/>
      <c r="L49" s="74">
        <f>SUMIF(L31:L48,"&gt;0")</f>
        <v/>
      </c>
      <c r="M49" s="74" t="n"/>
      <c r="N49" s="74">
        <f>SUMIF(N31:N48,"&gt;0")</f>
        <v/>
      </c>
      <c r="P49" s="74">
        <f>SUMIF(P31:P48,"&gt;0")</f>
        <v/>
      </c>
      <c r="Q49" s="74" t="n"/>
      <c r="R49" s="74">
        <f>SUMIF(R31:R48,"&gt;0")</f>
        <v/>
      </c>
      <c r="S49" s="74" t="n"/>
      <c r="T49" s="74">
        <f>SUMIF(T31:T48,"&gt;0")</f>
        <v/>
      </c>
      <c r="U49" s="74" t="n"/>
      <c r="V49" s="74">
        <f>SUMIF(V31:V48,"&gt;0")</f>
        <v/>
      </c>
      <c r="X49" s="74">
        <f>SUMIF(X31:X48,"&gt;0")</f>
        <v/>
      </c>
      <c r="Y49" s="74" t="n"/>
      <c r="Z49" s="74">
        <f>SUMIF(Z31:Z48,"&gt;0")</f>
        <v/>
      </c>
      <c r="AA49" s="74" t="n"/>
      <c r="AB49" s="74">
        <f>SUMIF(AB31:AB48,"&gt;0")</f>
        <v/>
      </c>
      <c r="AC49" s="74" t="n"/>
      <c r="AD49" s="74">
        <f>SUMIF(AD31:AD48,"&gt;0")</f>
        <v/>
      </c>
      <c r="AE49" s="74" t="n"/>
      <c r="AF49" s="74">
        <f>SUMIF(AF31:AF48,"&gt;0")</f>
        <v/>
      </c>
      <c r="AG49" s="74" t="n"/>
      <c r="AH49" s="74">
        <f>SUMIF(AH31:AH48,"&gt;0")</f>
        <v/>
      </c>
    </row>
    <row r="52">
      <c r="A52" s="75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</row>
    <row r="53">
      <c r="A53" s="77" t="inlineStr">
        <is>
          <t>#</t>
        </is>
      </c>
      <c r="B53" s="77" t="inlineStr">
        <is>
          <t>โปรไฟล์</t>
        </is>
      </c>
      <c r="C53" s="77" t="inlineStr">
        <is>
          <t>รหัส</t>
        </is>
      </c>
      <c r="D53" s="77" t="inlineStr">
        <is>
          <t>สูตรตัด (เดิม)</t>
        </is>
      </c>
      <c r="E53" s="77" t="inlineStr">
        <is>
          <t>หัก1</t>
        </is>
      </c>
      <c r="F53" s="77" t="inlineStr">
        <is>
          <t>หัก2</t>
        </is>
      </c>
      <c r="G53" s="77" t="inlineStr">
        <is>
          <t>หัก3</t>
        </is>
      </c>
      <c r="H53" s="77" t="inlineStr">
        <is>
          <t>หัก4</t>
        </is>
      </c>
      <c r="I53" s="77" t="inlineStr">
        <is>
          <t>หัก5</t>
        </is>
      </c>
      <c r="J53" s="77" t="inlineStr">
        <is>
          <t>หัก6</t>
        </is>
      </c>
      <c r="K53" s="77" t="inlineStr">
        <is>
          <t>หัก7</t>
        </is>
      </c>
      <c r="L53" s="77" t="inlineStr">
        <is>
          <t>จำนวน/ชุด</t>
        </is>
      </c>
      <c r="M53" s="122" t="n"/>
    </row>
    <row r="54" ht="44" customHeight="1">
      <c r="A54" s="78" t="n">
        <v>1</v>
      </c>
      <c r="B54" s="79" t="inlineStr">
        <is>
          <t>เฟรมข้าง</t>
        </is>
      </c>
      <c r="C54" s="80" t="inlineStr">
        <is>
          <t>F7978</t>
        </is>
      </c>
      <c r="D54" s="81" t="inlineStr">
        <is>
          <t>สูง</t>
        </is>
      </c>
      <c r="E54" s="82" t="n"/>
      <c r="F54" s="82" t="n"/>
      <c r="G54" s="82" t="n"/>
      <c r="H54" s="82" t="n"/>
      <c r="I54" s="82" t="n"/>
      <c r="J54" s="82" t="n"/>
      <c r="K54" s="82" t="n"/>
      <c r="L54" s="83" t="n">
        <v>2</v>
      </c>
      <c r="M54" s="82" t="n"/>
    </row>
    <row r="55" ht="44" customHeight="1">
      <c r="A55" s="78" t="n">
        <v>2</v>
      </c>
      <c r="B55" s="79" t="inlineStr">
        <is>
          <t>เฟรม บน-ล่าง</t>
        </is>
      </c>
      <c r="C55" s="80" t="inlineStr">
        <is>
          <t>F7976</t>
        </is>
      </c>
      <c r="D55" s="81" t="inlineStr">
        <is>
          <t>กว้าง-21-21</t>
        </is>
      </c>
      <c r="E55" s="83" t="n">
        <v>21</v>
      </c>
      <c r="F55" s="83" t="n">
        <v>21</v>
      </c>
      <c r="G55" s="82" t="n"/>
      <c r="H55" s="82" t="n"/>
      <c r="I55" s="82" t="n"/>
      <c r="J55" s="82" t="n"/>
      <c r="K55" s="82" t="n"/>
      <c r="L55" s="83" t="n">
        <v>2</v>
      </c>
      <c r="M55" s="82" t="n"/>
    </row>
    <row r="56" ht="44" customHeight="1">
      <c r="A56" s="78" t="n">
        <v>3</v>
      </c>
      <c r="B56" s="79" t="inlineStr">
        <is>
          <t>ตบกันสาด</t>
        </is>
      </c>
      <c r="C56" s="80" t="inlineStr">
        <is>
          <t>F7992</t>
        </is>
      </c>
      <c r="D56" s="81" t="inlineStr">
        <is>
          <t>กว้าง</t>
        </is>
      </c>
      <c r="E56" s="82" t="n"/>
      <c r="F56" s="82" t="n"/>
      <c r="G56" s="82" t="n"/>
      <c r="H56" s="82" t="n"/>
      <c r="I56" s="82" t="n"/>
      <c r="J56" s="82" t="n"/>
      <c r="K56" s="82" t="n"/>
      <c r="L56" s="83" t="n">
        <v>1</v>
      </c>
      <c r="M56" s="82" t="n"/>
    </row>
    <row r="57" ht="44" customHeight="1">
      <c r="A57" s="78" t="n">
        <v>4</v>
      </c>
      <c r="B57" s="79" t="inlineStr">
        <is>
          <t>เสา</t>
        </is>
      </c>
      <c r="C57" s="80" t="inlineStr">
        <is>
          <t>F7981</t>
        </is>
      </c>
      <c r="D57" s="81" t="inlineStr">
        <is>
          <t>สูง-21-19-13-21</t>
        </is>
      </c>
      <c r="E57" s="83" t="n">
        <v>21</v>
      </c>
      <c r="F57" s="83" t="n">
        <v>19</v>
      </c>
      <c r="G57" s="83" t="n">
        <v>13</v>
      </c>
      <c r="H57" s="83" t="n">
        <v>21</v>
      </c>
      <c r="I57" s="82" t="n"/>
      <c r="J57" s="82" t="n"/>
      <c r="K57" s="82" t="n"/>
      <c r="L57" s="83" t="n">
        <v>4</v>
      </c>
      <c r="M57" s="82" t="n"/>
    </row>
    <row r="58" ht="15" customHeight="1">
      <c r="A58" s="78" t="n">
        <v>5</v>
      </c>
      <c r="B58" s="79" t="inlineStr">
        <is>
          <t>ขวาง</t>
        </is>
      </c>
      <c r="C58" s="80" t="inlineStr">
        <is>
          <t>-</t>
        </is>
      </c>
      <c r="D58" s="81" t="inlineStr">
        <is>
          <t>((กว้าง-21-1.2-3-21)/2)+(66x1/2)</t>
        </is>
      </c>
      <c r="E58" s="83" t="n">
        <v>21</v>
      </c>
      <c r="F58" s="83" t="n">
        <v>1.2</v>
      </c>
      <c r="G58" s="83" t="n">
        <v>3</v>
      </c>
      <c r="H58" s="83" t="n">
        <v>21</v>
      </c>
      <c r="I58" s="82" t="n"/>
      <c r="J58" s="82" t="n"/>
      <c r="K58" s="82" t="n"/>
      <c r="L58" s="83" t="n">
        <v>4</v>
      </c>
      <c r="M58" s="82" t="n"/>
    </row>
    <row r="59" ht="44" customHeight="1">
      <c r="A59" s="78" t="n">
        <v>6</v>
      </c>
      <c r="B59" s="79" t="inlineStr">
        <is>
          <t>คิ้ว ตั้ง</t>
        </is>
      </c>
      <c r="C59" s="80" t="inlineStr">
        <is>
          <t>F7919</t>
        </is>
      </c>
      <c r="D59" s="81" t="inlineStr">
        <is>
          <t>เสา-66-66</t>
        </is>
      </c>
      <c r="E59" s="83" t="n">
        <v>66</v>
      </c>
      <c r="F59" s="83" t="n">
        <v>66</v>
      </c>
      <c r="G59" s="82" t="n"/>
      <c r="H59" s="82" t="n"/>
      <c r="I59" s="82" t="n"/>
      <c r="J59" s="82" t="n"/>
      <c r="K59" s="82" t="n"/>
      <c r="L59" s="83" t="n">
        <v>4</v>
      </c>
      <c r="M59" s="82" t="n"/>
    </row>
    <row r="60" ht="15" customHeight="1">
      <c r="A60" s="78" t="n">
        <v>7</v>
      </c>
      <c r="B60" s="79" t="inlineStr">
        <is>
          <t>คิ้ว ขวาง</t>
        </is>
      </c>
      <c r="C60" s="80" t="inlineStr">
        <is>
          <t>-</t>
        </is>
      </c>
      <c r="D60" s="81" t="inlineStr">
        <is>
          <t>ขวาง-51-51</t>
        </is>
      </c>
      <c r="E60" s="83" t="n">
        <v>51</v>
      </c>
      <c r="F60" s="83" t="n">
        <v>51</v>
      </c>
      <c r="G60" s="82" t="n"/>
      <c r="H60" s="82" t="n"/>
      <c r="I60" s="82" t="n"/>
      <c r="J60" s="82" t="n"/>
      <c r="K60" s="82" t="n"/>
      <c r="L60" s="83" t="n">
        <v>4</v>
      </c>
      <c r="M60" s="82" t="n"/>
    </row>
    <row r="61" ht="44" customHeight="1">
      <c r="A61" s="78" t="n">
        <v>8</v>
      </c>
      <c r="B61" s="79" t="inlineStr">
        <is>
          <t>ตบเกี่ยว</t>
        </is>
      </c>
      <c r="C61" s="80" t="inlineStr">
        <is>
          <t>F7982</t>
        </is>
      </c>
      <c r="D61" s="81" t="inlineStr">
        <is>
          <t>สูงกรอบบาน</t>
        </is>
      </c>
      <c r="E61" s="82" t="n"/>
      <c r="F61" s="82" t="n"/>
      <c r="G61" s="82" t="n"/>
      <c r="H61" s="82" t="n"/>
      <c r="I61" s="82" t="n"/>
      <c r="J61" s="82" t="n"/>
      <c r="K61" s="82" t="n"/>
      <c r="L61" s="83" t="n">
        <v>2</v>
      </c>
      <c r="M61" s="82" t="n"/>
    </row>
    <row r="62" ht="44" customHeight="1">
      <c r="A62" s="78" t="n">
        <v>9</v>
      </c>
      <c r="B62" s="79" t="inlineStr">
        <is>
          <t>ยูข้าง</t>
        </is>
      </c>
      <c r="C62" s="80" t="inlineStr">
        <is>
          <t>F7986</t>
        </is>
      </c>
      <c r="D62" s="81" t="inlineStr">
        <is>
          <t>สูง-45-45</t>
        </is>
      </c>
      <c r="E62" s="83" t="n">
        <v>45</v>
      </c>
      <c r="F62" s="83" t="n">
        <v>45</v>
      </c>
      <c r="G62" s="82" t="n"/>
      <c r="H62" s="82" t="n"/>
      <c r="I62" s="82" t="n"/>
      <c r="J62" s="82" t="n"/>
      <c r="K62" s="82" t="n"/>
      <c r="L62" s="83" t="n">
        <v>2</v>
      </c>
      <c r="M62" s="82" t="n"/>
    </row>
    <row r="63" ht="44" customHeight="1">
      <c r="A63" s="78" t="n">
        <v>10</v>
      </c>
      <c r="B63" s="79" t="inlineStr">
        <is>
          <t>ตบเฟรมบน</t>
        </is>
      </c>
      <c r="C63" s="80" t="inlineStr">
        <is>
          <t>F7993</t>
        </is>
      </c>
      <c r="D63" s="81" t="inlineStr">
        <is>
          <t>เท่าเฟรมบน</t>
        </is>
      </c>
      <c r="E63" s="83" t="n">
        <v>21</v>
      </c>
      <c r="F63" s="83" t="n">
        <v>21</v>
      </c>
      <c r="G63" s="82" t="n"/>
      <c r="H63" s="82" t="n"/>
      <c r="I63" s="82" t="n"/>
      <c r="J63" s="82" t="n"/>
      <c r="K63" s="82" t="n"/>
      <c r="L63" s="83" t="n">
        <v>3</v>
      </c>
      <c r="M63" s="82" t="n"/>
    </row>
    <row r="64" ht="44" customHeight="1">
      <c r="A64" s="78" t="n">
        <v>11</v>
      </c>
      <c r="B64" s="79" t="inlineStr">
        <is>
          <t>ตบยูข้าง</t>
        </is>
      </c>
      <c r="C64" s="80" t="inlineStr">
        <is>
          <t>F7988</t>
        </is>
      </c>
      <c r="D64" s="81" t="inlineStr">
        <is>
          <t>สูง-45-45</t>
        </is>
      </c>
      <c r="E64" s="83" t="n">
        <v>45</v>
      </c>
      <c r="F64" s="83" t="n">
        <v>45</v>
      </c>
      <c r="G64" s="82" t="n"/>
      <c r="H64" s="82" t="n"/>
      <c r="I64" s="82" t="n"/>
      <c r="J64" s="82" t="n"/>
      <c r="K64" s="82" t="n"/>
      <c r="L64" s="83" t="n">
        <v>2</v>
      </c>
      <c r="M64" s="82" t="n"/>
    </row>
    <row r="65" ht="15" customHeight="1">
      <c r="A65" s="78" t="n">
        <v>12</v>
      </c>
      <c r="B65" s="79" t="inlineStr">
        <is>
          <t>ปิดตบเกี่ยว</t>
        </is>
      </c>
      <c r="C65" s="80" t="inlineStr">
        <is>
          <t>-</t>
        </is>
      </c>
      <c r="D65" s="81" t="inlineStr">
        <is>
          <t>สูงกรอบบาน</t>
        </is>
      </c>
      <c r="E65" s="82" t="n"/>
      <c r="F65" s="82" t="n"/>
      <c r="G65" s="82" t="n"/>
      <c r="H65" s="82" t="n"/>
      <c r="I65" s="82" t="n"/>
      <c r="J65" s="82" t="n"/>
      <c r="K65" s="82" t="n"/>
      <c r="L65" s="83" t="n">
        <v>2</v>
      </c>
      <c r="M65" s="82" t="n"/>
    </row>
    <row r="66" ht="15" customHeight="1">
      <c r="A66" s="78" t="n">
        <v>13</v>
      </c>
      <c r="B66" s="79" t="inlineStr">
        <is>
          <t>ตบกันสาด</t>
        </is>
      </c>
      <c r="C66" s="80" t="inlineStr">
        <is>
          <t>-</t>
        </is>
      </c>
      <c r="D66" s="81" t="inlineStr">
        <is>
          <t>กว้าง</t>
        </is>
      </c>
      <c r="E66" s="82" t="n"/>
      <c r="F66" s="82" t="n"/>
      <c r="G66" s="82" t="n"/>
      <c r="H66" s="82" t="n"/>
      <c r="I66" s="82" t="n"/>
      <c r="J66" s="82" t="n"/>
      <c r="K66" s="82" t="n"/>
      <c r="L66" s="83" t="n">
        <v>1</v>
      </c>
      <c r="M66" s="82" t="n"/>
    </row>
    <row r="67" ht="44" customHeight="1">
      <c r="A67" s="78" t="n">
        <v>14</v>
      </c>
      <c r="B67" s="79" t="inlineStr">
        <is>
          <t>ราง</t>
        </is>
      </c>
      <c r="C67" s="80" t="inlineStr">
        <is>
          <t>F7994</t>
        </is>
      </c>
      <c r="D67" s="81" t="inlineStr">
        <is>
          <t>เท่าเฟรมล่าง</t>
        </is>
      </c>
      <c r="E67" s="83" t="n">
        <v>21</v>
      </c>
      <c r="F67" s="83" t="n">
        <v>21</v>
      </c>
      <c r="G67" s="82" t="n"/>
      <c r="H67" s="82" t="n"/>
      <c r="I67" s="82" t="n"/>
      <c r="J67" s="82" t="n"/>
      <c r="K67" s="82" t="n"/>
      <c r="L67" s="83" t="n">
        <v>3</v>
      </c>
      <c r="M67" s="82" t="n"/>
    </row>
    <row r="68" ht="44" customHeight="1">
      <c r="A68" s="78" t="n">
        <v>15</v>
      </c>
      <c r="B68" s="79" t="inlineStr">
        <is>
          <t>ตบธรณี</t>
        </is>
      </c>
      <c r="C68" s="80" t="inlineStr">
        <is>
          <t>F7991</t>
        </is>
      </c>
      <c r="D68" s="81" t="inlineStr">
        <is>
          <t>กว้าง-ขวาง-21-21-1.2</t>
        </is>
      </c>
      <c r="E68" s="83" t="n">
        <v>21</v>
      </c>
      <c r="F68" s="83" t="n">
        <v>21</v>
      </c>
      <c r="G68" s="83" t="n">
        <v>1.2</v>
      </c>
      <c r="H68" s="82" t="n"/>
      <c r="I68" s="82" t="n"/>
      <c r="J68" s="82" t="n"/>
      <c r="K68" s="82" t="n"/>
      <c r="L68" s="83" t="n">
        <v>2</v>
      </c>
      <c r="M68" s="82" t="n"/>
    </row>
    <row r="69"/>
    <row r="70">
      <c r="A70" s="153" t="inlineStr">
        <is>
          <t>⑤ อุปกรณ์ + ตั้งค่ามือจับ (1 ชุด · บานเลื่อน 1)</t>
        </is>
      </c>
      <c r="F70" s="124" t="n"/>
    </row>
    <row r="71">
      <c r="A71" s="152" t="inlineStr">
        <is>
          <t>ประเภทบาน →</t>
        </is>
      </c>
      <c r="B71" s="150" t="inlineStr">
        <is>
          <t>ประตู</t>
        </is>
      </c>
      <c r="F71" s="126" t="n"/>
    </row>
    <row r="72">
      <c r="A72" s="152" t="inlineStr">
        <is>
          <t>ยี่ห้อมือจับ →</t>
        </is>
      </c>
      <c r="B72" s="150" t="inlineStr">
        <is>
          <t>เมโทร</t>
        </is>
      </c>
      <c r="F72" s="126" t="n"/>
    </row>
    <row r="73">
      <c r="A73" s="152" t="inlineStr">
        <is>
          <t>สีมือจับ →</t>
        </is>
      </c>
      <c r="B73" s="150" t="inlineStr">
        <is>
          <t>อบขาว</t>
        </is>
      </c>
      <c r="F73" s="126" t="n"/>
    </row>
    <row r="74">
      <c r="A74" s="152" t="inlineStr">
        <is>
          <t>มือจับ ชุด1 →</t>
        </is>
      </c>
      <c r="B74" s="150" t="inlineStr">
        <is>
          <t>กุญแจ+ล็อค</t>
        </is>
      </c>
      <c r="F74" s="126" t="n"/>
    </row>
    <row r="75">
      <c r="A75" s="153" t="inlineStr">
        <is>
          <t>⑤.1 สรุปอุปกรณ์ (จำนวนลิงก์อัตโนมัติ)</t>
        </is>
      </c>
    </row>
    <row r="76">
      <c r="A76" s="154" t="inlineStr">
        <is>
          <t>#</t>
        </is>
      </c>
      <c r="B76" s="154" t="inlineStr">
        <is>
          <t>อุปกรณ์</t>
        </is>
      </c>
      <c r="C76" s="154" t="inlineStr">
        <is>
          <t>รหัส SKU</t>
        </is>
      </c>
      <c r="D76" s="154" t="inlineStr">
        <is>
          <t>จำนวน</t>
        </is>
      </c>
      <c r="E76" s="154" t="inlineStr">
        <is>
          <t>หน่วย</t>
        </is>
      </c>
      <c r="F76" s="154" t="inlineStr">
        <is>
          <t>หมายเหตุ</t>
        </is>
      </c>
    </row>
    <row r="77">
      <c r="A77" s="149" t="n">
        <v>1</v>
      </c>
      <c r="B77" s="149" t="inlineStr">
        <is>
          <t>ล้อ 20</t>
        </is>
      </c>
      <c r="C77" s="150">
        <f>AK8</f>
        <v/>
      </c>
      <c r="D77" s="155">
        <f>AK30</f>
        <v/>
      </c>
      <c r="E77" s="149" t="inlineStr">
        <is>
          <t>ตัว</t>
        </is>
      </c>
      <c r="F77" s="149" t="inlineStr"/>
    </row>
    <row r="78">
      <c r="A78" s="149" t="n">
        <v>2</v>
      </c>
      <c r="B78" s="149" t="inlineStr">
        <is>
          <t>มือจับ กุญแจ</t>
        </is>
      </c>
      <c r="C78" s="150">
        <f>AL8</f>
        <v/>
      </c>
      <c r="D78" s="155">
        <f>AL30</f>
        <v/>
      </c>
      <c r="E78" s="149" t="inlineStr">
        <is>
          <t>ตัว</t>
        </is>
      </c>
      <c r="F78" s="149" t="inlineStr"/>
    </row>
    <row r="79">
      <c r="A79" s="149" t="n">
        <v>3</v>
      </c>
      <c r="B79" s="149" t="inlineStr">
        <is>
          <t>มือจับ ล็อค</t>
        </is>
      </c>
      <c r="C79" s="150">
        <f>AM8</f>
        <v/>
      </c>
      <c r="D79" s="155">
        <f>AM30</f>
        <v/>
      </c>
      <c r="E79" s="149" t="inlineStr">
        <is>
          <t>ตัว</t>
        </is>
      </c>
      <c r="F79" s="149" t="inlineStr"/>
    </row>
    <row r="80">
      <c r="A80" s="149" t="n">
        <v>4</v>
      </c>
      <c r="B80" s="149" t="inlineStr">
        <is>
          <t>มือจับ ดัมมี่</t>
        </is>
      </c>
      <c r="C80" s="150">
        <f>AN8</f>
        <v/>
      </c>
      <c r="D80" s="155">
        <f>AN30</f>
        <v/>
      </c>
      <c r="E80" s="149" t="inlineStr">
        <is>
          <t>ตัว</t>
        </is>
      </c>
      <c r="F80" s="149" t="inlineStr"/>
    </row>
    <row r="81">
      <c r="A81" s="149" t="n">
        <v>5</v>
      </c>
      <c r="B81" s="149" t="inlineStr">
        <is>
          <t>Digital lock</t>
        </is>
      </c>
      <c r="C81" s="150" t="inlineStr">
        <is>
          <t>-</t>
        </is>
      </c>
      <c r="D81" s="155">
        <f>AO30</f>
        <v/>
      </c>
      <c r="E81" s="149" t="inlineStr">
        <is>
          <t>ชุด</t>
        </is>
      </c>
      <c r="F81" s="149" t="inlineStr">
        <is>
          <t>ไม่ตัดสต็อก</t>
        </is>
      </c>
    </row>
    <row r="82">
      <c r="A82" s="149" t="n">
        <v>6</v>
      </c>
      <c r="B82" s="149" t="inlineStr">
        <is>
          <t>แกน A</t>
        </is>
      </c>
      <c r="C82" s="150">
        <f>AP8</f>
        <v/>
      </c>
      <c r="D82" s="155">
        <f>AP30</f>
        <v/>
      </c>
      <c r="E82" s="149" t="inlineStr">
        <is>
          <t>เส้น</t>
        </is>
      </c>
      <c r="F82" s="149" t="inlineStr"/>
    </row>
    <row r="83">
      <c r="A83" s="149" t="n">
        <v>7</v>
      </c>
      <c r="B83" s="149" t="inlineStr">
        <is>
          <t>แกน B</t>
        </is>
      </c>
      <c r="C83" s="150">
        <f>AQ8</f>
        <v/>
      </c>
      <c r="D83" s="155">
        <f>AQ30</f>
        <v/>
      </c>
      <c r="E83" s="149" t="inlineStr">
        <is>
          <t>เส้น</t>
        </is>
      </c>
      <c r="F83" s="149" t="inlineStr"/>
    </row>
    <row r="84">
      <c r="A84" s="149" t="n">
        <v>8</v>
      </c>
      <c r="B84" s="149" t="inlineStr">
        <is>
          <t>ปลายดำ</t>
        </is>
      </c>
      <c r="C84" s="150">
        <f>AR8</f>
        <v/>
      </c>
      <c r="D84" s="155">
        <f>AR30</f>
        <v/>
      </c>
      <c r="E84" s="149" t="inlineStr">
        <is>
          <t>ตัว</t>
        </is>
      </c>
      <c r="F84" s="149" t="inlineStr"/>
    </row>
    <row r="85">
      <c r="A85" s="149" t="n">
        <v>9</v>
      </c>
      <c r="B85" s="149" t="inlineStr">
        <is>
          <t>ตัวที เงิน</t>
        </is>
      </c>
      <c r="C85" s="150">
        <f>AS8</f>
        <v/>
      </c>
      <c r="D85" s="155">
        <f>AS30</f>
        <v/>
      </c>
      <c r="E85" s="149" t="inlineStr">
        <is>
          <t>ตัว</t>
        </is>
      </c>
      <c r="F85" s="149" t="inlineStr"/>
    </row>
    <row r="86">
      <c r="A86" s="149" t="n">
        <v>10</v>
      </c>
      <c r="B86" s="149" t="inlineStr">
        <is>
          <t>ก้ามปู</t>
        </is>
      </c>
      <c r="C86" s="150">
        <f>AT8</f>
        <v/>
      </c>
      <c r="D86" s="155">
        <f>AT30</f>
        <v/>
      </c>
      <c r="E86" s="149" t="inlineStr">
        <is>
          <t>ตัว</t>
        </is>
      </c>
      <c r="F86" s="149" t="inlineStr"/>
    </row>
    <row r="87">
      <c r="A87" s="149" t="n">
        <v>11</v>
      </c>
      <c r="B87" s="149" t="inlineStr">
        <is>
          <t>สปิงก็อท</t>
        </is>
      </c>
      <c r="C87" s="150">
        <f>AU8</f>
        <v/>
      </c>
      <c r="D87" s="155">
        <f>AU30</f>
        <v/>
      </c>
      <c r="E87" s="149" t="inlineStr">
        <is>
          <t>ตัว</t>
        </is>
      </c>
      <c r="F87" s="149" t="inlineStr"/>
    </row>
    <row r="88">
      <c r="A88" s="149" t="n">
        <v>12</v>
      </c>
      <c r="B88" s="149" t="inlineStr">
        <is>
          <t>ฉากประกอบมุม</t>
        </is>
      </c>
      <c r="C88" s="150">
        <f>AV8</f>
        <v/>
      </c>
      <c r="D88" s="155">
        <f>AV30</f>
        <v/>
      </c>
      <c r="E88" s="149" t="inlineStr">
        <is>
          <t>ตัว</t>
        </is>
      </c>
      <c r="F88" s="149" t="inlineStr"/>
    </row>
    <row r="89">
      <c r="A89" s="149" t="n">
        <v>13</v>
      </c>
      <c r="B89" s="149" t="inlineStr">
        <is>
          <t>ยางรูน้ำ</t>
        </is>
      </c>
      <c r="C89" s="150">
        <f>AW8</f>
        <v/>
      </c>
      <c r="D89" s="155">
        <f>AW30</f>
        <v/>
      </c>
      <c r="E89" s="149" t="inlineStr">
        <is>
          <t>ตัว</t>
        </is>
      </c>
      <c r="F89" s="149" t="inlineStr"/>
    </row>
    <row r="90">
      <c r="A90" s="149" t="n">
        <v>14</v>
      </c>
      <c r="B90" s="149" t="inlineStr">
        <is>
          <t>วาวรูน้ำ</t>
        </is>
      </c>
      <c r="C90" s="150">
        <f>AX8</f>
        <v/>
      </c>
      <c r="D90" s="155">
        <f>AX30</f>
        <v/>
      </c>
      <c r="E90" s="149" t="inlineStr">
        <is>
          <t>ตัว</t>
        </is>
      </c>
      <c r="F90" s="149" t="inlineStr"/>
    </row>
    <row r="91">
      <c r="A91" s="149" t="n">
        <v>15</v>
      </c>
      <c r="B91" s="149" t="inlineStr">
        <is>
          <t>สักหลาด 5×3</t>
        </is>
      </c>
      <c r="C91" s="150">
        <f>AY8</f>
        <v/>
      </c>
      <c r="D91" s="155">
        <f>AY30</f>
        <v/>
      </c>
      <c r="E91" s="149" t="inlineStr">
        <is>
          <t>เมตร</t>
        </is>
      </c>
      <c r="F91" s="149" t="inlineStr">
        <is>
          <t>เก็บเป็นเมตร</t>
        </is>
      </c>
    </row>
  </sheetData>
  <mergeCells count="61">
    <mergeCell ref="U9:V9"/>
    <mergeCell ref="I6:J6"/>
    <mergeCell ref="AE7:AF7"/>
    <mergeCell ref="O6:P6"/>
    <mergeCell ref="U6:V6"/>
    <mergeCell ref="K9:L9"/>
    <mergeCell ref="W6:X6"/>
    <mergeCell ref="M9:N9"/>
    <mergeCell ref="K7:N7"/>
    <mergeCell ref="O9:P9"/>
    <mergeCell ref="G8:H8"/>
    <mergeCell ref="Y9:Z9"/>
    <mergeCell ref="E8:F8"/>
    <mergeCell ref="Q8:R8"/>
    <mergeCell ref="AA9:AB9"/>
    <mergeCell ref="Y7:AD7"/>
    <mergeCell ref="S8:T8"/>
    <mergeCell ref="Y30:AC30"/>
    <mergeCell ref="G7:H7"/>
    <mergeCell ref="AA6:AB6"/>
    <mergeCell ref="I7:J7"/>
    <mergeCell ref="O7:R7"/>
    <mergeCell ref="S7:T7"/>
    <mergeCell ref="A30:D30"/>
    <mergeCell ref="G6:H6"/>
    <mergeCell ref="AC8:AD8"/>
    <mergeCell ref="E9:F9"/>
    <mergeCell ref="AE8:AF8"/>
    <mergeCell ref="U7:V7"/>
    <mergeCell ref="W7:X7"/>
    <mergeCell ref="E6:F6"/>
    <mergeCell ref="A8:A9"/>
    <mergeCell ref="A6:D6"/>
    <mergeCell ref="M6:N6"/>
    <mergeCell ref="K8:L8"/>
    <mergeCell ref="Q6:R6"/>
    <mergeCell ref="S6:T6"/>
    <mergeCell ref="Y6:Z6"/>
    <mergeCell ref="A7:D7"/>
    <mergeCell ref="D8:D9"/>
    <mergeCell ref="Q9:R9"/>
    <mergeCell ref="I8:J8"/>
    <mergeCell ref="S9:T9"/>
    <mergeCell ref="K30:M30"/>
    <mergeCell ref="W9:X9"/>
    <mergeCell ref="AC9:AD9"/>
    <mergeCell ref="M8:N8"/>
    <mergeCell ref="U8:V8"/>
    <mergeCell ref="AE9:AF9"/>
    <mergeCell ref="O8:P8"/>
    <mergeCell ref="W8:X8"/>
    <mergeCell ref="B8:C9"/>
    <mergeCell ref="AC6:AD6"/>
    <mergeCell ref="E7:F7"/>
    <mergeCell ref="AE6:AF6"/>
    <mergeCell ref="O30:Q30"/>
    <mergeCell ref="Y8:Z8"/>
    <mergeCell ref="K6:L6"/>
    <mergeCell ref="G9:H9"/>
    <mergeCell ref="AA8:AB8"/>
    <mergeCell ref="I9:J9"/>
  </mergeCells>
  <dataValidations count="4">
    <dataValidation sqref="B71" showDropDown="0" showInputMessage="0" showErrorMessage="0" allowBlank="1" type="list">
      <formula1>"ประตู,หน้าต่าง"</formula1>
    </dataValidation>
    <dataValidation sqref="B72" showDropDown="0" showInputMessage="0" showErrorMessage="0" allowBlank="1" type="list">
      <formula1>"เมโทร,Align"</formula1>
    </dataValidation>
    <dataValidation sqref="B73" showDropDown="0" showInputMessage="0" showErrorMessage="0" allowBlank="1" type="list">
      <formula1>"อบขาว,ดำ"</formula1>
    </dataValidation>
    <dataValidation sqref="B74" showDropDown="0" showInputMessage="0" showErrorMessage="0" allowBlank="1" type="list">
      <formula1>=$BD$1:$BD$4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92"/>
  <sheetViews>
    <sheetView showGridLines="0"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26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6.75" customWidth="1" min="32" max="32"/>
    <col width="12.75" customWidth="1" min="33" max="33"/>
    <col width="12.75" customWidth="1" min="34" max="34"/>
    <col width="8.75" customWidth="1" min="35" max="35"/>
    <col width="8.875" customWidth="1" min="36" max="36"/>
    <col hidden="1" width="13" customWidth="1" min="53" max="53"/>
    <col hidden="1" width="13" customWidth="1" min="54" max="54"/>
    <col hidden="1" width="13" customWidth="1" min="55" max="55"/>
    <col hidden="1" width="13" customWidth="1" min="56" max="56"/>
  </cols>
  <sheetData>
    <row r="1" ht="40.15" customHeight="1">
      <c r="A1" s="1" t="inlineStr">
        <is>
          <t>JR ALUMINIUM &amp; GLASS  —  ใบรายการตัด · FUJI เลื่อน3ราง   (หน่วย: มม.)</t>
        </is>
      </c>
      <c r="B1" s="2" t="n"/>
      <c r="D1" s="3" t="n"/>
      <c r="E1" s="4" t="n"/>
      <c r="F1" s="3" t="n"/>
      <c r="G1" s="5" t="n"/>
      <c r="H1" s="5" t="n"/>
      <c r="I1" s="6" t="n"/>
      <c r="J1" s="5" t="n"/>
      <c r="K1" s="3" t="n"/>
      <c r="L1" s="3" t="n"/>
      <c r="M1" s="6" t="n"/>
      <c r="N1" s="6" t="n"/>
      <c r="O1" s="5" t="n"/>
      <c r="P1" s="5" t="n"/>
      <c r="Q1" s="3" t="n"/>
      <c r="R1" s="7" t="n"/>
      <c r="S1" s="6" t="n"/>
      <c r="T1" s="6" t="n"/>
      <c r="U1" s="5" t="n"/>
      <c r="V1" s="5" t="n"/>
      <c r="W1" s="5" t="n"/>
      <c r="X1" s="5" t="n"/>
      <c r="Y1" s="5" t="n"/>
      <c r="Z1" s="5" t="n"/>
      <c r="AA1" s="3" t="n"/>
      <c r="AB1" s="3" t="n"/>
      <c r="AC1" s="3" t="n"/>
      <c r="AD1" s="3" t="n"/>
      <c r="AE1" s="5" t="n"/>
      <c r="AF1" s="5" t="n"/>
      <c r="AG1" s="5" t="n"/>
      <c r="AH1" s="5" t="n"/>
      <c r="AI1" s="5" t="n"/>
      <c r="AJ1" s="5" t="n"/>
      <c r="AK1" s="5" t="n"/>
      <c r="BA1" t="inlineStr">
        <is>
          <t>เมโทรกุญแจอบขาว</t>
        </is>
      </c>
      <c r="BB1" t="inlineStr">
        <is>
          <t>JR00368</t>
        </is>
      </c>
      <c r="BD1">
        <f>IF($B$71="ประตู","กุญแจ+ล็อค","ล็อค")</f>
        <v/>
      </c>
    </row>
    <row r="2" ht="40.15" customHeight="1">
      <c r="A2" s="6" t="n"/>
      <c r="B2" s="6" t="n"/>
      <c r="C2" s="6" t="n"/>
      <c r="D2" s="6" t="n"/>
      <c r="E2" s="8" t="n"/>
      <c r="F2" s="6" t="n"/>
      <c r="G2" s="9" t="n"/>
      <c r="H2" s="9" t="n"/>
      <c r="I2" s="9" t="n"/>
      <c r="J2" s="9" t="n"/>
      <c r="K2" s="6" t="n"/>
      <c r="L2" s="6" t="n"/>
      <c r="M2" s="6" t="n"/>
      <c r="N2" s="6" t="n"/>
      <c r="O2" s="9" t="n"/>
      <c r="P2" s="9" t="n"/>
      <c r="Q2" s="6" t="n"/>
      <c r="R2" s="6" t="n"/>
      <c r="S2" s="9" t="n"/>
      <c r="T2" s="9" t="n"/>
      <c r="U2" s="9" t="n"/>
      <c r="V2" s="9" t="n"/>
      <c r="W2" s="9" t="n"/>
      <c r="X2" s="9" t="n"/>
      <c r="Y2" s="9" t="n"/>
      <c r="Z2" s="9" t="n"/>
      <c r="AA2" s="6" t="n"/>
      <c r="AB2" s="6" t="n"/>
      <c r="AC2" s="6" t="n"/>
      <c r="AD2" s="6" t="n"/>
      <c r="AE2" s="9" t="n"/>
      <c r="AF2" s="9" t="n"/>
      <c r="AG2" s="9" t="n"/>
      <c r="AH2" s="9" t="n"/>
      <c r="AI2" s="9" t="n"/>
      <c r="AJ2" s="9" t="n"/>
      <c r="AK2" s="9" t="n"/>
      <c r="BA2" t="inlineStr">
        <is>
          <t>เมโทรกุญแจดำ</t>
        </is>
      </c>
      <c r="BB2" t="inlineStr">
        <is>
          <t>JR00371</t>
        </is>
      </c>
      <c r="BD2">
        <f>IF($B$71="ประตู","ล็อค+ดัมมี่","ดัมมี่")</f>
        <v/>
      </c>
    </row>
    <row r="3" ht="40.15" customHeight="1">
      <c r="A3" s="130">
        <f>HYPERLINK("#สารบัญ!A1","← สารบัญ")</f>
        <v/>
      </c>
      <c r="B3" s="6" t="n"/>
      <c r="C3" s="6" t="n"/>
      <c r="D3" s="6" t="n"/>
      <c r="E3" s="8" t="n"/>
      <c r="F3" s="6" t="n"/>
      <c r="G3" s="11" t="n"/>
      <c r="H3" s="11" t="n"/>
      <c r="I3" s="9" t="n"/>
      <c r="J3" s="9" t="n"/>
      <c r="K3" s="6" t="n"/>
      <c r="L3" s="6" t="n"/>
      <c r="M3" s="6" t="n"/>
      <c r="N3" s="6" t="n"/>
      <c r="O3" s="11" t="n"/>
      <c r="P3" s="11" t="n"/>
      <c r="Q3" s="6" t="n"/>
      <c r="R3" s="6" t="n"/>
      <c r="U3" s="11" t="n"/>
      <c r="V3" s="11" t="n"/>
      <c r="W3" s="11" t="n"/>
      <c r="X3" s="11" t="n"/>
      <c r="Y3" s="11" t="n"/>
      <c r="Z3" s="11" t="n"/>
      <c r="AA3" s="6" t="n"/>
      <c r="AB3" s="6" t="n"/>
      <c r="AC3" s="6" t="n"/>
      <c r="AD3" s="6" t="n"/>
      <c r="AE3" s="11" t="n"/>
      <c r="AF3" s="11" t="n"/>
      <c r="AG3" s="11" t="n"/>
      <c r="AH3" s="11" t="n"/>
      <c r="AI3" s="11" t="n"/>
      <c r="AJ3" s="11" t="n"/>
      <c r="AK3" s="11" t="n"/>
      <c r="BA3" t="inlineStr">
        <is>
          <t>เมโทรล็อคอบขาว</t>
        </is>
      </c>
      <c r="BB3" t="inlineStr">
        <is>
          <t>JR00369</t>
        </is>
      </c>
      <c r="BD3">
        <f>IF($B$71="ประตู","ดัมมี่+ดัมมี่","")</f>
        <v/>
      </c>
    </row>
    <row r="4" ht="40.15" customHeight="1">
      <c r="A4" s="6" t="n"/>
      <c r="B4" s="6" t="n"/>
      <c r="C4" s="6" t="n"/>
      <c r="D4" s="6" t="n"/>
      <c r="E4" s="8" t="n"/>
      <c r="F4" s="6" t="n"/>
      <c r="I4" s="9" t="n"/>
      <c r="J4" s="9" t="n"/>
      <c r="K4" s="6" t="n"/>
      <c r="L4" s="6" t="n"/>
      <c r="M4" s="6" t="n"/>
      <c r="N4" s="6" t="n"/>
      <c r="Q4" s="6" t="n"/>
      <c r="R4" s="6" t="n"/>
      <c r="AA4" s="6" t="n"/>
      <c r="AB4" s="6" t="n"/>
      <c r="AC4" s="6" t="n"/>
      <c r="AD4" s="6" t="n"/>
      <c r="BA4" t="inlineStr">
        <is>
          <t>เมโทรล็อคดำ</t>
        </is>
      </c>
      <c r="BB4" t="inlineStr">
        <is>
          <t>JR00372</t>
        </is>
      </c>
      <c r="BD4">
        <f>IF($B$71="ประตู","Digital lock","")</f>
        <v/>
      </c>
    </row>
    <row r="5" ht="40.15" customHeight="1">
      <c r="A5" s="6" t="n"/>
      <c r="B5" s="6" t="n"/>
      <c r="C5" s="6" t="n"/>
      <c r="D5" s="6" t="n"/>
      <c r="E5" s="8" t="n"/>
      <c r="F5" s="6" t="n"/>
      <c r="K5" s="6" t="n"/>
      <c r="L5" s="6" t="n"/>
      <c r="N5" s="6" t="n"/>
      <c r="Q5" s="6" t="n"/>
      <c r="R5" s="6" t="n"/>
      <c r="AA5" s="6" t="n"/>
      <c r="AB5" s="6" t="n"/>
      <c r="AC5" s="6" t="n"/>
      <c r="AD5" s="6" t="n"/>
      <c r="BA5" t="inlineStr">
        <is>
          <t>เมโทรดัมมี่อบขาว</t>
        </is>
      </c>
      <c r="BB5" t="inlineStr">
        <is>
          <t>JR00370</t>
        </is>
      </c>
    </row>
    <row r="6" ht="60" customHeight="1">
      <c r="A6" s="13" t="inlineStr">
        <is>
          <t>สูตรตัด</t>
        </is>
      </c>
      <c r="B6" s="14" t="n"/>
      <c r="C6" s="14" t="n"/>
      <c r="D6" s="15" t="n"/>
      <c r="E6" s="16" t="inlineStr">
        <is>
          <t>สูง</t>
        </is>
      </c>
      <c r="F6" s="17" t="n"/>
      <c r="G6" s="16" t="inlineStr">
        <is>
          <t>กว้าง-21-21</t>
        </is>
      </c>
      <c r="H6" s="17" t="n"/>
      <c r="I6" s="16" t="inlineStr">
        <is>
          <t>กว้าง</t>
        </is>
      </c>
      <c r="J6" s="17" t="n"/>
      <c r="K6" s="16" t="inlineStr">
        <is>
          <t>สูง-21-19-13-21</t>
        </is>
      </c>
      <c r="L6" s="17" t="n"/>
      <c r="M6" s="16" t="inlineStr">
        <is>
          <t>((กว้าง-21-3-2.4-3-21)/3)+(78x2/3)</t>
        </is>
      </c>
      <c r="N6" s="17" t="n"/>
      <c r="O6" s="16" t="inlineStr">
        <is>
          <t>เสา-78-78</t>
        </is>
      </c>
      <c r="P6" s="17" t="n"/>
      <c r="Q6" s="16" t="inlineStr">
        <is>
          <t>ขวาง-63-63</t>
        </is>
      </c>
      <c r="R6" s="17" t="n"/>
      <c r="S6" s="16" t="inlineStr">
        <is>
          <t>สูงกรอบบาน</t>
        </is>
      </c>
      <c r="T6" s="17" t="n"/>
      <c r="U6" s="16" t="inlineStr">
        <is>
          <t>สูง-45-45</t>
        </is>
      </c>
      <c r="V6" s="17" t="n"/>
      <c r="W6" s="16" t="inlineStr">
        <is>
          <t>เท่าเฟรมบน</t>
        </is>
      </c>
      <c r="X6" s="17" t="n"/>
      <c r="Y6" s="16" t="inlineStr">
        <is>
          <t>สูง-45-45</t>
        </is>
      </c>
      <c r="Z6" s="17" t="n"/>
      <c r="AA6" s="16" t="inlineStr">
        <is>
          <t>สูงกรอบบาน</t>
        </is>
      </c>
      <c r="AB6" s="17" t="n"/>
      <c r="AC6" s="16" t="inlineStr">
        <is>
          <t>กว้าง</t>
        </is>
      </c>
      <c r="AD6" s="17" t="n"/>
      <c r="AE6" s="16" t="inlineStr">
        <is>
          <t>เท่าเฟรมล่าง</t>
        </is>
      </c>
      <c r="AF6" s="17" t="n"/>
      <c r="AG6" s="18" t="n"/>
      <c r="AH6" s="18" t="n"/>
      <c r="AI6" s="18" t="n"/>
      <c r="BA6" t="inlineStr">
        <is>
          <t>เมโทรดัมมี่ดำ</t>
        </is>
      </c>
      <c r="BB6" t="inlineStr">
        <is>
          <t>JR00373</t>
        </is>
      </c>
      <c r="BC6">
        <f>(COUNTIF($B$74:$B$75,"กุญแจ+ล็อค")+COUNTIF($B$74:$B$75,"ล็อค+ดัมมี่")+COUNTIF($B$74:$B$75,"ล็อค"))</f>
        <v/>
      </c>
    </row>
    <row r="7" ht="40.15" customHeight="1">
      <c r="A7" s="19" t="inlineStr">
        <is>
          <t>ใส่ข้อมูล</t>
        </is>
      </c>
      <c r="B7" s="20" t="n"/>
      <c r="C7" s="20" t="n"/>
      <c r="D7" s="21" t="n"/>
      <c r="E7" s="22" t="inlineStr">
        <is>
          <t>F7978</t>
        </is>
      </c>
      <c r="F7" s="15" t="n"/>
      <c r="G7" s="22" t="inlineStr">
        <is>
          <t>F7976</t>
        </is>
      </c>
      <c r="H7" s="15" t="n"/>
      <c r="I7" s="22" t="inlineStr">
        <is>
          <t>F7992</t>
        </is>
      </c>
      <c r="J7" s="15" t="n"/>
      <c r="K7" s="22" t="inlineStr">
        <is>
          <t>F7980</t>
        </is>
      </c>
      <c r="L7" s="14" t="n"/>
      <c r="M7" s="14" t="n"/>
      <c r="N7" s="15" t="n"/>
      <c r="O7" s="22" t="inlineStr">
        <is>
          <t>F7919</t>
        </is>
      </c>
      <c r="P7" s="14" t="n"/>
      <c r="Q7" s="14" t="n"/>
      <c r="R7" s="15" t="n"/>
      <c r="S7" s="22" t="inlineStr">
        <is>
          <t>F7983</t>
        </is>
      </c>
      <c r="T7" s="15" t="n"/>
      <c r="U7" s="22" t="inlineStr">
        <is>
          <t>F7986</t>
        </is>
      </c>
      <c r="V7" s="15" t="n"/>
      <c r="W7" s="22" t="inlineStr">
        <is>
          <t>F7993</t>
        </is>
      </c>
      <c r="X7" s="15" t="n"/>
      <c r="Y7" s="22" t="inlineStr">
        <is>
          <t>F7988</t>
        </is>
      </c>
      <c r="Z7" s="14" t="n"/>
      <c r="AA7" s="14" t="n"/>
      <c r="AB7" s="14" t="n"/>
      <c r="AC7" s="14" t="n"/>
      <c r="AD7" s="15" t="n"/>
      <c r="AE7" s="22" t="inlineStr">
        <is>
          <t>F7994</t>
        </is>
      </c>
      <c r="AF7" s="15" t="n"/>
      <c r="AG7" s="24" t="n"/>
      <c r="AH7" s="25" t="inlineStr">
        <is>
          <t>ขนาดกระจก</t>
        </is>
      </c>
      <c r="AI7" s="26" t="n"/>
      <c r="BA7" t="inlineStr">
        <is>
          <t>Alignกุญแจอบขาว</t>
        </is>
      </c>
      <c r="BB7" t="inlineStr">
        <is>
          <t>JR00377</t>
        </is>
      </c>
      <c r="BC7">
        <f>COUNTIF($B$74:$B$75,"กุญแจ+ล็อค")</f>
        <v/>
      </c>
    </row>
    <row r="8" ht="40.15" customHeight="1">
      <c r="A8" s="27" t="inlineStr">
        <is>
          <t>แผน</t>
        </is>
      </c>
      <c r="B8" s="28" t="inlineStr">
        <is>
          <t>ขนาดชิ้นงาน
(mm)</t>
        </is>
      </c>
      <c r="C8" s="29" t="n"/>
      <c r="D8" s="27" t="inlineStr">
        <is>
          <t>ชุด</t>
        </is>
      </c>
      <c r="E8" s="30" t="n"/>
      <c r="F8" s="31" t="n"/>
      <c r="G8" s="30" t="n"/>
      <c r="H8" s="31" t="n"/>
      <c r="I8" s="30" t="n"/>
      <c r="J8" s="31" t="n"/>
      <c r="K8" s="32" t="n"/>
      <c r="L8" s="33" t="n"/>
      <c r="M8" s="34" t="n"/>
      <c r="N8" s="31" t="n"/>
      <c r="O8" s="32" t="n"/>
      <c r="P8" s="33" t="n"/>
      <c r="Q8" s="34" t="n"/>
      <c r="R8" s="31" t="n"/>
      <c r="S8" s="32" t="n"/>
      <c r="T8" s="33" t="n"/>
      <c r="U8" s="32" t="n"/>
      <c r="V8" s="33" t="n"/>
      <c r="W8" s="32" t="n"/>
      <c r="X8" s="33" t="n"/>
      <c r="Y8" s="32" t="n"/>
      <c r="Z8" s="33" t="n"/>
      <c r="AA8" s="35" t="n"/>
      <c r="AB8" s="33" t="n"/>
      <c r="AC8" s="34" t="n"/>
      <c r="AD8" s="31" t="n"/>
      <c r="AE8" s="30" t="n"/>
      <c r="AF8" s="31" t="n"/>
      <c r="AG8" s="36" t="n"/>
      <c r="AH8" s="37" t="inlineStr">
        <is>
          <t>กรอบบาน</t>
        </is>
      </c>
      <c r="AI8" s="38" t="n"/>
      <c r="AK8" t="inlineStr">
        <is>
          <t>JR00577</t>
        </is>
      </c>
      <c r="AL8">
        <f>VLOOKUP($B$72&amp;"กุญแจ"&amp;$B$73,$BA$1:$BB$12,2,0)</f>
        <v/>
      </c>
      <c r="AM8">
        <f>VLOOKUP($B$72&amp;"ล็อค"&amp;$B$73,$BA$1:$BB$12,2,0)</f>
        <v/>
      </c>
      <c r="AN8">
        <f>VLOOKUP($B$72&amp;"ดัมมี่"&amp;$B$73,$BA$1:$BB$12,2,0)</f>
        <v/>
      </c>
      <c r="AO8" t="inlineStr"/>
      <c r="AP8" t="inlineStr">
        <is>
          <t>JR00478</t>
        </is>
      </c>
      <c r="AQ8" t="inlineStr">
        <is>
          <t>JR00479</t>
        </is>
      </c>
      <c r="AR8" t="inlineStr">
        <is>
          <t>JR00476</t>
        </is>
      </c>
      <c r="AS8" t="inlineStr">
        <is>
          <t>JR00475</t>
        </is>
      </c>
      <c r="AT8" t="inlineStr">
        <is>
          <t>JR00477</t>
        </is>
      </c>
      <c r="AU8" t="inlineStr">
        <is>
          <t>JR00592</t>
        </is>
      </c>
      <c r="AV8" t="inlineStr">
        <is>
          <t>JR00480</t>
        </is>
      </c>
      <c r="AW8" t="inlineStr">
        <is>
          <t>JR00589</t>
        </is>
      </c>
      <c r="AX8" t="inlineStr">
        <is>
          <t>JR00485</t>
        </is>
      </c>
      <c r="AY8" t="inlineStr">
        <is>
          <t>JR00794</t>
        </is>
      </c>
      <c r="BA8" t="inlineStr">
        <is>
          <t>Alignล็อคอบขาว</t>
        </is>
      </c>
      <c r="BB8" t="inlineStr">
        <is>
          <t>JR00378</t>
        </is>
      </c>
    </row>
    <row r="9" ht="40.15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 บน-ล่าง</t>
        </is>
      </c>
      <c r="H9" s="43" t="n"/>
      <c r="I9" s="42" t="inlineStr">
        <is>
          <t>ตบกันสาด</t>
        </is>
      </c>
      <c r="J9" s="43" t="n"/>
      <c r="K9" s="42" t="inlineStr">
        <is>
          <t>เสา</t>
        </is>
      </c>
      <c r="L9" s="43" t="n"/>
      <c r="M9" s="42" t="inlineStr">
        <is>
          <t>ขวาง</t>
        </is>
      </c>
      <c r="N9" s="43" t="n"/>
      <c r="O9" s="42" t="inlineStr">
        <is>
          <t>คิ้ว ตั้ง</t>
        </is>
      </c>
      <c r="P9" s="43" t="n"/>
      <c r="Q9" s="42" t="inlineStr">
        <is>
          <t>คิ้ว ขวาง</t>
        </is>
      </c>
      <c r="R9" s="43" t="n"/>
      <c r="S9" s="42" t="inlineStr">
        <is>
          <t>ตบเกี่ยว</t>
        </is>
      </c>
      <c r="T9" s="43" t="n"/>
      <c r="U9" s="44" t="inlineStr">
        <is>
          <t>ยูข้าง</t>
        </is>
      </c>
      <c r="V9" s="43" t="n"/>
      <c r="W9" s="44" t="inlineStr">
        <is>
          <t>ตบเฟรมบน</t>
        </is>
      </c>
      <c r="X9" s="43" t="n"/>
      <c r="Y9" s="44" t="inlineStr">
        <is>
          <t>ตบยูข้าง</t>
        </is>
      </c>
      <c r="Z9" s="43" t="n"/>
      <c r="AA9" s="42" t="inlineStr">
        <is>
          <t>ปิดตบเกี่ยว</t>
        </is>
      </c>
      <c r="AB9" s="43" t="n"/>
      <c r="AC9" s="42" t="inlineStr">
        <is>
          <t>ตบกันสาด</t>
        </is>
      </c>
      <c r="AD9" s="43" t="n"/>
      <c r="AE9" s="44" t="inlineStr">
        <is>
          <t>ราง</t>
        </is>
      </c>
      <c r="AF9" s="43" t="n"/>
      <c r="AG9" s="45" t="inlineStr">
        <is>
          <t>SH-68-68</t>
        </is>
      </c>
      <c r="AH9" s="46" t="inlineStr">
        <is>
          <t>SW-68-68</t>
        </is>
      </c>
      <c r="AI9" s="47" t="n"/>
      <c r="AK9" t="inlineStr">
        <is>
          <t>ล้อ 20</t>
        </is>
      </c>
      <c r="AL9" t="inlineStr">
        <is>
          <t>มือจับ กุญแจ</t>
        </is>
      </c>
      <c r="AM9" t="inlineStr">
        <is>
          <t>มือจับ ล็อค</t>
        </is>
      </c>
      <c r="AN9" t="inlineStr">
        <is>
          <t>มือจับ ดัมมี่</t>
        </is>
      </c>
      <c r="AO9" t="inlineStr">
        <is>
          <t>Digital lock</t>
        </is>
      </c>
      <c r="AP9" t="inlineStr">
        <is>
          <t>แกน A</t>
        </is>
      </c>
      <c r="AQ9" t="inlineStr">
        <is>
          <t>แกน B</t>
        </is>
      </c>
      <c r="AR9" t="inlineStr">
        <is>
          <t>ปลายดำ</t>
        </is>
      </c>
      <c r="AS9" t="inlineStr">
        <is>
          <t>ตัวที เงิน</t>
        </is>
      </c>
      <c r="AT9" t="inlineStr">
        <is>
          <t>ก้ามปู</t>
        </is>
      </c>
      <c r="AU9" t="inlineStr">
        <is>
          <t>สปิงก็อท</t>
        </is>
      </c>
      <c r="AV9" t="inlineStr">
        <is>
          <t>ฉากประกอบมุม</t>
        </is>
      </c>
      <c r="AW9" t="inlineStr">
        <is>
          <t>ยางรูน้ำ</t>
        </is>
      </c>
      <c r="AX9" t="inlineStr">
        <is>
          <t>วาวรูน้ำ</t>
        </is>
      </c>
      <c r="AY9" t="inlineStr">
        <is>
          <t>สักหลาด(ม.)</t>
        </is>
      </c>
      <c r="BA9" t="inlineStr">
        <is>
          <t>Alignดัมมี่อบขาว</t>
        </is>
      </c>
      <c r="BB9" t="inlineStr">
        <is>
          <t>JR00379</t>
        </is>
      </c>
      <c r="BC9">
        <f>(COUNTIF($B$74:$B$75,"ล็อค+ดัมมี่")+2*COUNTIF($B$74:$B$75,"ดัมมี่+ดัมมี่")+COUNTIF($B$74:$B$75,"ดัมมี่"))</f>
        <v/>
      </c>
    </row>
    <row r="10" ht="40.15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3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3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4" t="inlineStr">
        <is>
          <t>จำนวน</t>
        </is>
      </c>
      <c r="AA10" s="52" t="inlineStr">
        <is>
          <t>ยาว</t>
        </is>
      </c>
      <c r="AB10" s="53" t="inlineStr">
        <is>
          <t>จำนวน</t>
        </is>
      </c>
      <c r="AC10" s="52" t="inlineStr">
        <is>
          <t>ยาว</t>
        </is>
      </c>
      <c r="AD10" s="53" t="inlineStr">
        <is>
          <t>จำนวน</t>
        </is>
      </c>
      <c r="AE10" s="52" t="inlineStr">
        <is>
          <t>ยาว</t>
        </is>
      </c>
      <c r="AF10" s="54" t="inlineStr">
        <is>
          <t>จำนวน</t>
        </is>
      </c>
      <c r="AG10" s="55" t="inlineStr">
        <is>
          <t>H</t>
        </is>
      </c>
      <c r="AH10" s="56" t="inlineStr">
        <is>
          <t>W</t>
        </is>
      </c>
      <c r="AI10" s="57" t="inlineStr">
        <is>
          <t>จำนวน</t>
        </is>
      </c>
      <c r="AK10" t="inlineStr">
        <is>
          <t>จำนวน</t>
        </is>
      </c>
      <c r="AL10" t="inlineStr">
        <is>
          <t>จำนวน</t>
        </is>
      </c>
      <c r="AM10" t="inlineStr">
        <is>
          <t>จำนวน</t>
        </is>
      </c>
      <c r="AN10" t="inlineStr">
        <is>
          <t>จำนวน</t>
        </is>
      </c>
      <c r="AO10" t="inlineStr">
        <is>
          <t>จำนวน</t>
        </is>
      </c>
      <c r="AP10" t="inlineStr">
        <is>
          <t>จำนวน</t>
        </is>
      </c>
      <c r="AQ10" t="inlineStr">
        <is>
          <t>จำนวน</t>
        </is>
      </c>
      <c r="AR10" t="inlineStr">
        <is>
          <t>จำนวน</t>
        </is>
      </c>
      <c r="AS10" t="inlineStr">
        <is>
          <t>จำนวน</t>
        </is>
      </c>
      <c r="AT10" t="inlineStr">
        <is>
          <t>จำนวน</t>
        </is>
      </c>
      <c r="AU10" t="inlineStr">
        <is>
          <t>จำนวน</t>
        </is>
      </c>
      <c r="AV10" t="inlineStr">
        <is>
          <t>จำนวน</t>
        </is>
      </c>
      <c r="AW10" t="inlineStr">
        <is>
          <t>จำนวน</t>
        </is>
      </c>
      <c r="AX10" t="inlineStr">
        <is>
          <t>จำนวน</t>
        </is>
      </c>
      <c r="AY10" t="inlineStr">
        <is>
          <t>จำนวน</t>
        </is>
      </c>
      <c r="BA10" t="inlineStr">
        <is>
          <t>Alignกุญแจดำ</t>
        </is>
      </c>
      <c r="BB10" t="inlineStr">
        <is>
          <t>JR00374</t>
        </is>
      </c>
      <c r="BC10">
        <f>COUNTIF($B$74:$B$75,"Digital lock")</f>
        <v/>
      </c>
    </row>
    <row r="11" ht="40.15" customHeight="1">
      <c r="A11" s="99" t="inlineStr">
        <is>
          <t>D3</t>
        </is>
      </c>
      <c r="B11" s="88" t="n">
        <v>3170</v>
      </c>
      <c r="C11" s="89" t="n">
        <v>3540</v>
      </c>
      <c r="D11" s="90" t="n">
        <v>1</v>
      </c>
      <c r="E11" s="91">
        <f>IF($A11="","",$B11)</f>
        <v/>
      </c>
      <c r="F11" s="89">
        <f>IF($A11="","",$L$54*$D11)</f>
        <v/>
      </c>
      <c r="G11" s="91">
        <f>IF($A11="","",$C11-$E$55-$F$55)</f>
        <v/>
      </c>
      <c r="H11" s="89">
        <f>IF($A11="","",$L$55*$D11)</f>
        <v/>
      </c>
      <c r="I11" s="91">
        <f>IF($A11="","",$C11)</f>
        <v/>
      </c>
      <c r="J11" s="89">
        <f>IF($A11="","",$L$56*$D11)</f>
        <v/>
      </c>
      <c r="K11" s="91">
        <f>IF($A11="","",$B11-$E$57-$F$57-$G$57-$H$57)</f>
        <v/>
      </c>
      <c r="L11" s="89">
        <f>IF($A11="","",$L$57*$D11)</f>
        <v/>
      </c>
      <c r="M11" s="91">
        <f>IF($A11="","",(($C11-$E$58-$F$58-$G$58-$H$58-$I$58)/3)+(78*2)/3)</f>
        <v/>
      </c>
      <c r="N11" s="89">
        <f>IF($A11="","",$L$58*$D11)</f>
        <v/>
      </c>
      <c r="O11" s="91">
        <f>IF($A11="","",$K11-$E$59-$F$59)</f>
        <v/>
      </c>
      <c r="P11" s="89">
        <f>IF($A11="","",$L$59*$D11)</f>
        <v/>
      </c>
      <c r="Q11" s="91">
        <f>IF($A11="","",$M11-$E$60-$F$60)</f>
        <v/>
      </c>
      <c r="R11" s="89">
        <f>IF($A11="","",$L$60*$D11)</f>
        <v/>
      </c>
      <c r="S11" s="91">
        <f>IF($A11="","",$K11)</f>
        <v/>
      </c>
      <c r="T11" s="89">
        <f>IF($A11="","",$L$61*$D11)</f>
        <v/>
      </c>
      <c r="U11" s="91">
        <f>IF($A11="","",$B11-$E$62-$F$62)</f>
        <v/>
      </c>
      <c r="V11" s="89">
        <f>IF($A11="","",$L$62*$D11)</f>
        <v/>
      </c>
      <c r="W11" s="91">
        <f>IF($A11="","",$C11-$E$63-$F$63)</f>
        <v/>
      </c>
      <c r="X11" s="89">
        <f>IF($A11="","",$L$63*$D11)</f>
        <v/>
      </c>
      <c r="Y11" s="91">
        <f>IF($A11="","",$B11-$E$64-$F$64)</f>
        <v/>
      </c>
      <c r="Z11" s="89">
        <f>IF($A11="","",$L$64*$D11)</f>
        <v/>
      </c>
      <c r="AA11" s="91">
        <f>IF($A11="","",$S11)</f>
        <v/>
      </c>
      <c r="AB11" s="89">
        <f>IF($A11="","",$L$65*$D11)</f>
        <v/>
      </c>
      <c r="AC11" s="91">
        <f>IF($A11="","",$C11)</f>
        <v/>
      </c>
      <c r="AD11" s="89">
        <f>IF($A11="","",$L$66*$D11)</f>
        <v/>
      </c>
      <c r="AE11" s="91">
        <f>IF($A11="","",$C11-$E$67-$F$67)</f>
        <v/>
      </c>
      <c r="AF11" s="89">
        <f>IF($A11="","",$L$67*$D11)</f>
        <v/>
      </c>
      <c r="AG11" s="93">
        <f>IF($A11="","",$K11-68-68)</f>
        <v/>
      </c>
      <c r="AH11" s="134">
        <f>IF($A11="","",$M11-68-68)</f>
        <v/>
      </c>
      <c r="AI11" s="95">
        <f>IF($A11="","",3*$D11)</f>
        <v/>
      </c>
      <c r="AK11">
        <f>IF($A11="","",2*3*$D11)</f>
        <v/>
      </c>
      <c r="AL11">
        <f>IF($A11="","",$BC$7*$D11)</f>
        <v/>
      </c>
      <c r="AM11">
        <f>IF($A11="","",$BC$6*$D11)</f>
        <v/>
      </c>
      <c r="AN11">
        <f>IF($A11="","",$BC$9*$D11)</f>
        <v/>
      </c>
      <c r="AO11">
        <f>IF($A11="","",$BC$10*$D11)</f>
        <v/>
      </c>
      <c r="AP11">
        <f>IF($A11="","",2*$BC$6*$D11)</f>
        <v/>
      </c>
      <c r="AQ11">
        <f>IF($A11="","",IF($B11&gt;2800,2,IF($B11&gt;1400,1,0))*$BC$6*$D11)</f>
        <v/>
      </c>
      <c r="AR11">
        <f>IF($A11="","",2*$BC$6*$D11)</f>
        <v/>
      </c>
      <c r="AS11">
        <f>IF($A11="","",$BC$6*$D11)</f>
        <v/>
      </c>
      <c r="AT11">
        <f>IF($A11="","",2*$BC$6*$D11)</f>
        <v/>
      </c>
      <c r="AU11">
        <f>IF($A11="","",4*3*$D11)</f>
        <v/>
      </c>
      <c r="AV11">
        <f>IF($A11="","",16*3*$D11)</f>
        <v/>
      </c>
      <c r="AW11">
        <f>IF($A11="","",(2+MAX(0,ROUNDUP(($G11-1500)/500,0)))*$D11)</f>
        <v/>
      </c>
      <c r="AX11">
        <f>IF($A11="","",(2+MAX(0,ROUNDUP(($G11-1500)/500,0)))*$D11)</f>
        <v/>
      </c>
      <c r="AY11">
        <f>IF($A11="","",ROUND((2*2*($M11+$K11)*3*$D11+$S11*$T11)/1000,1))</f>
        <v/>
      </c>
      <c r="BA11" t="inlineStr">
        <is>
          <t>Alignล็อคดำ</t>
        </is>
      </c>
      <c r="BB11" t="inlineStr">
        <is>
          <t>JR00375</t>
        </is>
      </c>
    </row>
    <row r="12" ht="40.15" customHeight="1">
      <c r="A12" s="99" t="inlineStr">
        <is>
          <t>D4</t>
        </is>
      </c>
      <c r="B12" s="88" t="n">
        <v>2730</v>
      </c>
      <c r="C12" s="89" t="n">
        <v>3555</v>
      </c>
      <c r="D12" s="90" t="n">
        <v>1</v>
      </c>
      <c r="E12" s="96">
        <f>IF($A12="","",$B12)</f>
        <v/>
      </c>
      <c r="F12" s="97">
        <f>IF($A12="","",$L$54*$D12)</f>
        <v/>
      </c>
      <c r="G12" s="96">
        <f>IF($A12="","",$C12-$E$55-$F$55)</f>
        <v/>
      </c>
      <c r="H12" s="97">
        <f>IF($A12="","",$L$55*$D12)</f>
        <v/>
      </c>
      <c r="I12" s="96">
        <f>IF($A12="","",$C12)</f>
        <v/>
      </c>
      <c r="J12" s="97">
        <f>IF($A12="","",$L$56*$D12)</f>
        <v/>
      </c>
      <c r="K12" s="96">
        <f>IF($A12="","",$B12-$E$57-$F$57-$G$57-$H$57)</f>
        <v/>
      </c>
      <c r="L12" s="97">
        <f>IF($A12="","",$L$57*$D12)</f>
        <v/>
      </c>
      <c r="M12" s="96">
        <f>IF($A12="","",(($C12-$E$58-$F$58-$G$58-$H$58-$I$58)/3)+(78*2)/3)</f>
        <v/>
      </c>
      <c r="N12" s="97">
        <f>IF($A12="","",$L$58*$D12)</f>
        <v/>
      </c>
      <c r="O12" s="96">
        <f>IF($A12="","",$K12-$E$59-$F$59)</f>
        <v/>
      </c>
      <c r="P12" s="97">
        <f>IF($A12="","",$L$59*$D12)</f>
        <v/>
      </c>
      <c r="Q12" s="96">
        <f>IF($A12="","",$M12-$E$60-$F$60)</f>
        <v/>
      </c>
      <c r="R12" s="97">
        <f>IF($A12="","",$L$60*$D12)</f>
        <v/>
      </c>
      <c r="S12" s="96">
        <f>IF($A12="","",$K12)</f>
        <v/>
      </c>
      <c r="T12" s="97">
        <f>IF($A12="","",$L$61*$D12)</f>
        <v/>
      </c>
      <c r="U12" s="96">
        <f>IF($A12="","",$B12-$E$62-$F$62)</f>
        <v/>
      </c>
      <c r="V12" s="97">
        <f>IF($A12="","",$L$62*$D12)</f>
        <v/>
      </c>
      <c r="W12" s="96">
        <f>IF($A12="","",$C12-$E$63-$F$63)</f>
        <v/>
      </c>
      <c r="X12" s="97">
        <f>IF($A12="","",$L$63*$D12)</f>
        <v/>
      </c>
      <c r="Y12" s="96">
        <f>IF($A12="","",$B12-$E$64-$F$64)</f>
        <v/>
      </c>
      <c r="Z12" s="97">
        <f>IF($A12="","",$L$64*$D12)</f>
        <v/>
      </c>
      <c r="AA12" s="96">
        <f>IF($A12="","",$S12)</f>
        <v/>
      </c>
      <c r="AB12" s="97">
        <f>IF($A12="","",$L$65*$D12)</f>
        <v/>
      </c>
      <c r="AC12" s="96">
        <f>IF($A12="","",$C12)</f>
        <v/>
      </c>
      <c r="AD12" s="97">
        <f>IF($A12="","",$L$66*$D12)</f>
        <v/>
      </c>
      <c r="AE12" s="96">
        <f>IF($A12="","",$C12-$E$67-$F$67)</f>
        <v/>
      </c>
      <c r="AF12" s="97">
        <f>IF($A12="","",$L$67*$D12)</f>
        <v/>
      </c>
      <c r="AG12" s="93">
        <f>IF($A12="","",$K12-68-68)</f>
        <v/>
      </c>
      <c r="AH12" s="134">
        <f>IF($A12="","",$M12-68-68)</f>
        <v/>
      </c>
      <c r="AI12" s="95">
        <f>IF($A12="","",3*$D12)</f>
        <v/>
      </c>
      <c r="AK12">
        <f>IF($A12="","",2*3*$D12)</f>
        <v/>
      </c>
      <c r="AL12">
        <f>IF($A12="","",$BC$7*$D12)</f>
        <v/>
      </c>
      <c r="AM12">
        <f>IF($A12="","",$BC$6*$D12)</f>
        <v/>
      </c>
      <c r="AN12">
        <f>IF($A12="","",$BC$9*$D12)</f>
        <v/>
      </c>
      <c r="AO12">
        <f>IF($A12="","",$BC$10*$D12)</f>
        <v/>
      </c>
      <c r="AP12">
        <f>IF($A12="","",2*$BC$6*$D12)</f>
        <v/>
      </c>
      <c r="AQ12">
        <f>IF($A12="","",IF($B12&gt;2800,2,IF($B12&gt;1400,1,0))*$BC$6*$D12)</f>
        <v/>
      </c>
      <c r="AR12">
        <f>IF($A12="","",2*$BC$6*$D12)</f>
        <v/>
      </c>
      <c r="AS12">
        <f>IF($A12="","",$BC$6*$D12)</f>
        <v/>
      </c>
      <c r="AT12">
        <f>IF($A12="","",2*$BC$6*$D12)</f>
        <v/>
      </c>
      <c r="AU12">
        <f>IF($A12="","",4*3*$D12)</f>
        <v/>
      </c>
      <c r="AV12">
        <f>IF($A12="","",16*3*$D12)</f>
        <v/>
      </c>
      <c r="AW12">
        <f>IF($A12="","",(2+MAX(0,ROUNDUP(($G12-1500)/500,0)))*$D12)</f>
        <v/>
      </c>
      <c r="AX12">
        <f>IF($A12="","",(2+MAX(0,ROUNDUP(($G12-1500)/500,0)))*$D12)</f>
        <v/>
      </c>
      <c r="AY12">
        <f>IF($A12="","",ROUND((2*2*($M12+$K12)*3*$D12+$S12*$T12)/1000,1))</f>
        <v/>
      </c>
      <c r="BA12" t="inlineStr">
        <is>
          <t>Alignดัมมี่ดำ</t>
        </is>
      </c>
      <c r="BB12" t="inlineStr">
        <is>
          <t>JR00376</t>
        </is>
      </c>
    </row>
    <row r="13" ht="40.15" customHeight="1">
      <c r="A13" s="99" t="inlineStr">
        <is>
          <t>D5</t>
        </is>
      </c>
      <c r="B13" s="88" t="n">
        <v>2720</v>
      </c>
      <c r="C13" s="89" t="n">
        <v>3415</v>
      </c>
      <c r="D13" s="90" t="n">
        <v>1</v>
      </c>
      <c r="E13" s="91">
        <f>IF($A13="","",$B13)</f>
        <v/>
      </c>
      <c r="F13" s="89">
        <f>IF($A13="","",$L$54*$D13)</f>
        <v/>
      </c>
      <c r="G13" s="91">
        <f>IF($A13="","",$C13-$E$55-$F$55)</f>
        <v/>
      </c>
      <c r="H13" s="89">
        <f>IF($A13="","",$L$55*$D13)</f>
        <v/>
      </c>
      <c r="I13" s="91">
        <f>IF($A13="","",$C13)</f>
        <v/>
      </c>
      <c r="J13" s="89">
        <f>IF($A13="","",$L$56*$D13)</f>
        <v/>
      </c>
      <c r="K13" s="91">
        <f>IF($A13="","",$B13-$E$57-$F$57-$G$57-$H$57)</f>
        <v/>
      </c>
      <c r="L13" s="89">
        <f>IF($A13="","",$L$57*$D13)</f>
        <v/>
      </c>
      <c r="M13" s="91">
        <f>IF($A13="","",(($C13-$E$58-$F$58-$G$58-$H$58-$I$58)/3)+(78*2)/3)</f>
        <v/>
      </c>
      <c r="N13" s="89">
        <f>IF($A13="","",$L$58*$D13)</f>
        <v/>
      </c>
      <c r="O13" s="91">
        <f>IF($A13="","",$K13-$E$59-$F$59)</f>
        <v/>
      </c>
      <c r="P13" s="89">
        <f>IF($A13="","",$L$59*$D13)</f>
        <v/>
      </c>
      <c r="Q13" s="91">
        <f>IF($A13="","",$M13-$E$60-$F$60)</f>
        <v/>
      </c>
      <c r="R13" s="89">
        <f>IF($A13="","",$L$60*$D13)</f>
        <v/>
      </c>
      <c r="S13" s="91">
        <f>IF($A13="","",$K13)</f>
        <v/>
      </c>
      <c r="T13" s="89">
        <f>IF($A13="","",$L$61*$D13)</f>
        <v/>
      </c>
      <c r="U13" s="91">
        <f>IF($A13="","",$B13-$E$62-$F$62)</f>
        <v/>
      </c>
      <c r="V13" s="89">
        <f>IF($A13="","",$L$62*$D13)</f>
        <v/>
      </c>
      <c r="W13" s="91">
        <f>IF($A13="","",$C13-$E$63-$F$63)</f>
        <v/>
      </c>
      <c r="X13" s="89">
        <f>IF($A13="","",$L$63*$D13)</f>
        <v/>
      </c>
      <c r="Y13" s="91">
        <f>IF($A13="","",$B13-$E$64-$F$64)</f>
        <v/>
      </c>
      <c r="Z13" s="89">
        <f>IF($A13="","",$L$64*$D13)</f>
        <v/>
      </c>
      <c r="AA13" s="91">
        <f>IF($A13="","",$S13)</f>
        <v/>
      </c>
      <c r="AB13" s="89">
        <f>IF($A13="","",$L$65*$D13)</f>
        <v/>
      </c>
      <c r="AC13" s="91">
        <f>IF($A13="","",$C13)</f>
        <v/>
      </c>
      <c r="AD13" s="89">
        <f>IF($A13="","",$L$66*$D13)</f>
        <v/>
      </c>
      <c r="AE13" s="91">
        <f>IF($A13="","",$C13-$E$67-$F$67)</f>
        <v/>
      </c>
      <c r="AF13" s="89">
        <f>IF($A13="","",$L$67*$D13)</f>
        <v/>
      </c>
      <c r="AG13" s="93">
        <f>IF($A13="","",$K13-68-68)</f>
        <v/>
      </c>
      <c r="AH13" s="134">
        <f>IF($A13="","",$M13-68-68)</f>
        <v/>
      </c>
      <c r="AI13" s="95">
        <f>IF($A13="","",3*$D13)</f>
        <v/>
      </c>
      <c r="AK13">
        <f>IF($A13="","",2*3*$D13)</f>
        <v/>
      </c>
      <c r="AL13">
        <f>IF($A13="","",$BC$7*$D13)</f>
        <v/>
      </c>
      <c r="AM13">
        <f>IF($A13="","",$BC$6*$D13)</f>
        <v/>
      </c>
      <c r="AN13">
        <f>IF($A13="","",$BC$9*$D13)</f>
        <v/>
      </c>
      <c r="AO13">
        <f>IF($A13="","",$BC$10*$D13)</f>
        <v/>
      </c>
      <c r="AP13">
        <f>IF($A13="","",2*$BC$6*$D13)</f>
        <v/>
      </c>
      <c r="AQ13">
        <f>IF($A13="","",IF($B13&gt;2800,2,IF($B13&gt;1400,1,0))*$BC$6*$D13)</f>
        <v/>
      </c>
      <c r="AR13">
        <f>IF($A13="","",2*$BC$6*$D13)</f>
        <v/>
      </c>
      <c r="AS13">
        <f>IF($A13="","",$BC$6*$D13)</f>
        <v/>
      </c>
      <c r="AT13">
        <f>IF($A13="","",2*$BC$6*$D13)</f>
        <v/>
      </c>
      <c r="AU13">
        <f>IF($A13="","",4*3*$D13)</f>
        <v/>
      </c>
      <c r="AV13">
        <f>IF($A13="","",16*3*$D13)</f>
        <v/>
      </c>
      <c r="AW13">
        <f>IF($A13="","",(2+MAX(0,ROUNDUP(($G13-1500)/500,0)))*$D13)</f>
        <v/>
      </c>
      <c r="AX13">
        <f>IF($A13="","",(2+MAX(0,ROUNDUP(($G13-1500)/500,0)))*$D13)</f>
        <v/>
      </c>
      <c r="AY13">
        <f>IF($A13="","",ROUND((2*2*($M13+$K13)*3*$D13+$S13*$T13)/1000,1))</f>
        <v/>
      </c>
    </row>
    <row r="14" ht="40.15" customHeight="1">
      <c r="A14" s="99" t="n"/>
      <c r="B14" s="88" t="n"/>
      <c r="C14" s="89" t="n"/>
      <c r="D14" s="90" t="n"/>
      <c r="E14" s="96">
        <f>IF($A14="","",$B14)</f>
        <v/>
      </c>
      <c r="F14" s="97">
        <f>IF($A14="","",$L$54*$D14)</f>
        <v/>
      </c>
      <c r="G14" s="96">
        <f>IF($A14="","",$C14-$E$55-$F$55)</f>
        <v/>
      </c>
      <c r="H14" s="97">
        <f>IF($A14="","",$L$55*$D14)</f>
        <v/>
      </c>
      <c r="I14" s="96">
        <f>IF($A14="","",$C14)</f>
        <v/>
      </c>
      <c r="J14" s="97">
        <f>IF($A14="","",$L$56*$D14)</f>
        <v/>
      </c>
      <c r="K14" s="96">
        <f>IF($A14="","",$B14-$E$57-$F$57-$G$57-$H$57)</f>
        <v/>
      </c>
      <c r="L14" s="97">
        <f>IF($A14="","",$L$57*$D14)</f>
        <v/>
      </c>
      <c r="M14" s="96">
        <f>IF($A14="","",(($C14-$E$58-$F$58-$G$58-$H$58-$I$58)/3)+(78*2)/3)</f>
        <v/>
      </c>
      <c r="N14" s="97">
        <f>IF($A14="","",$L$58*$D14)</f>
        <v/>
      </c>
      <c r="O14" s="96">
        <f>IF($A14="","",$K14-$E$59-$F$59)</f>
        <v/>
      </c>
      <c r="P14" s="97">
        <f>IF($A14="","",$L$59*$D14)</f>
        <v/>
      </c>
      <c r="Q14" s="96">
        <f>IF($A14="","",$M14-$E$60-$F$60)</f>
        <v/>
      </c>
      <c r="R14" s="97">
        <f>IF($A14="","",$L$60*$D14)</f>
        <v/>
      </c>
      <c r="S14" s="96">
        <f>IF($A14="","",$K14)</f>
        <v/>
      </c>
      <c r="T14" s="97">
        <f>IF($A14="","",$L$61*$D14)</f>
        <v/>
      </c>
      <c r="U14" s="96">
        <f>IF($A14="","",$B14-$E$62-$F$62)</f>
        <v/>
      </c>
      <c r="V14" s="97">
        <f>IF($A14="","",$L$62*$D14)</f>
        <v/>
      </c>
      <c r="W14" s="96">
        <f>IF($A14="","",$C14-$E$63-$F$63)</f>
        <v/>
      </c>
      <c r="X14" s="97">
        <f>IF($A14="","",$L$63*$D14)</f>
        <v/>
      </c>
      <c r="Y14" s="96">
        <f>IF($A14="","",$B14-$E$64-$F$64)</f>
        <v/>
      </c>
      <c r="Z14" s="97">
        <f>IF($A14="","",$L$64*$D14)</f>
        <v/>
      </c>
      <c r="AA14" s="96">
        <f>IF($A14="","",$S14)</f>
        <v/>
      </c>
      <c r="AB14" s="97">
        <f>IF($A14="","",$L$65*$D14)</f>
        <v/>
      </c>
      <c r="AC14" s="96">
        <f>IF($A14="","",$C14)</f>
        <v/>
      </c>
      <c r="AD14" s="97">
        <f>IF($A14="","",$L$66*$D14)</f>
        <v/>
      </c>
      <c r="AE14" s="96">
        <f>IF($A14="","",$C14-$E$67-$F$67)</f>
        <v/>
      </c>
      <c r="AF14" s="97">
        <f>IF($A14="","",$L$67*$D14)</f>
        <v/>
      </c>
      <c r="AG14" s="93">
        <f>IF($A14="","",$K14-68-68)</f>
        <v/>
      </c>
      <c r="AH14" s="94">
        <f>IF($A14="","",$M14-68-68)</f>
        <v/>
      </c>
      <c r="AI14" s="95">
        <f>IF($A14="","",3*$D14)</f>
        <v/>
      </c>
      <c r="AK14">
        <f>IF($A14="","",2*3*$D14)</f>
        <v/>
      </c>
      <c r="AL14">
        <f>IF($A14="","",$BC$7*$D14)</f>
        <v/>
      </c>
      <c r="AM14">
        <f>IF($A14="","",$BC$6*$D14)</f>
        <v/>
      </c>
      <c r="AN14">
        <f>IF($A14="","",$BC$9*$D14)</f>
        <v/>
      </c>
      <c r="AO14">
        <f>IF($A14="","",$BC$10*$D14)</f>
        <v/>
      </c>
      <c r="AP14">
        <f>IF($A14="","",2*$BC$6*$D14)</f>
        <v/>
      </c>
      <c r="AQ14">
        <f>IF($A14="","",IF($B14&gt;2800,2,IF($B14&gt;1400,1,0))*$BC$6*$D14)</f>
        <v/>
      </c>
      <c r="AR14">
        <f>IF($A14="","",2*$BC$6*$D14)</f>
        <v/>
      </c>
      <c r="AS14">
        <f>IF($A14="","",$BC$6*$D14)</f>
        <v/>
      </c>
      <c r="AT14">
        <f>IF($A14="","",2*$BC$6*$D14)</f>
        <v/>
      </c>
      <c r="AU14">
        <f>IF($A14="","",4*3*$D14)</f>
        <v/>
      </c>
      <c r="AV14">
        <f>IF($A14="","",16*3*$D14)</f>
        <v/>
      </c>
      <c r="AW14">
        <f>IF($A14="","",(2+MAX(0,ROUNDUP(($G14-1500)/500,0)))*$D14)</f>
        <v/>
      </c>
      <c r="AX14">
        <f>IF($A14="","",(2+MAX(0,ROUNDUP(($G14-1500)/500,0)))*$D14)</f>
        <v/>
      </c>
      <c r="AY14">
        <f>IF($A14="","",ROUND((2*2*($M14+$K14)*3*$D14+$S14*$T14)/1000,1))</f>
        <v/>
      </c>
    </row>
    <row r="15" ht="40.15" customHeight="1">
      <c r="A15" s="99" t="n"/>
      <c r="B15" s="88" t="n"/>
      <c r="C15" s="89" t="n"/>
      <c r="D15" s="90" t="n"/>
      <c r="E15" s="91">
        <f>IF($A15="","",$B15)</f>
        <v/>
      </c>
      <c r="F15" s="89">
        <f>IF($A15="","",$L$54*$D15)</f>
        <v/>
      </c>
      <c r="G15" s="91">
        <f>IF($A15="","",$C15-$E$55-$F$55)</f>
        <v/>
      </c>
      <c r="H15" s="89">
        <f>IF($A15="","",$L$55*$D15)</f>
        <v/>
      </c>
      <c r="I15" s="91">
        <f>IF($A15="","",$C15)</f>
        <v/>
      </c>
      <c r="J15" s="89">
        <f>IF($A15="","",$L$56*$D15)</f>
        <v/>
      </c>
      <c r="K15" s="91">
        <f>IF($A15="","",$B15-$E$57-$F$57-$G$57-$H$57)</f>
        <v/>
      </c>
      <c r="L15" s="89">
        <f>IF($A15="","",$L$57*$D15)</f>
        <v/>
      </c>
      <c r="M15" s="91">
        <f>IF($A15="","",(($C15-$E$58-$F$58-$G$58-$H$58-$I$58)/3)+(78*2)/3)</f>
        <v/>
      </c>
      <c r="N15" s="89">
        <f>IF($A15="","",$L$58*$D15)</f>
        <v/>
      </c>
      <c r="O15" s="91">
        <f>IF($A15="","",$K15-$E$59-$F$59)</f>
        <v/>
      </c>
      <c r="P15" s="89">
        <f>IF($A15="","",$L$59*$D15)</f>
        <v/>
      </c>
      <c r="Q15" s="91">
        <f>IF($A15="","",$M15-$E$60-$F$60)</f>
        <v/>
      </c>
      <c r="R15" s="89">
        <f>IF($A15="","",$L$60*$D15)</f>
        <v/>
      </c>
      <c r="S15" s="91">
        <f>IF($A15="","",$K15)</f>
        <v/>
      </c>
      <c r="T15" s="89">
        <f>IF($A15="","",$L$61*$D15)</f>
        <v/>
      </c>
      <c r="U15" s="91">
        <f>IF($A15="","",$B15-$E$62-$F$62)</f>
        <v/>
      </c>
      <c r="V15" s="89">
        <f>IF($A15="","",$L$62*$D15)</f>
        <v/>
      </c>
      <c r="W15" s="91">
        <f>IF($A15="","",$C15-$E$63-$F$63)</f>
        <v/>
      </c>
      <c r="X15" s="89">
        <f>IF($A15="","",$L$63*$D15)</f>
        <v/>
      </c>
      <c r="Y15" s="91">
        <f>IF($A15="","",$B15-$E$64-$F$64)</f>
        <v/>
      </c>
      <c r="Z15" s="89">
        <f>IF($A15="","",$L$64*$D15)</f>
        <v/>
      </c>
      <c r="AA15" s="91">
        <f>IF($A15="","",$S15)</f>
        <v/>
      </c>
      <c r="AB15" s="89">
        <f>IF($A15="","",$L$65*$D15)</f>
        <v/>
      </c>
      <c r="AC15" s="91">
        <f>IF($A15="","",$C15)</f>
        <v/>
      </c>
      <c r="AD15" s="89">
        <f>IF($A15="","",$L$66*$D15)</f>
        <v/>
      </c>
      <c r="AE15" s="91">
        <f>IF($A15="","",$C15-$E$67-$F$67)</f>
        <v/>
      </c>
      <c r="AF15" s="89">
        <f>IF($A15="","",$L$67*$D15)</f>
        <v/>
      </c>
      <c r="AG15" s="93">
        <f>IF($A15="","",$K15-68-68)</f>
        <v/>
      </c>
      <c r="AH15" s="94">
        <f>IF($A15="","",$M15-68-68)</f>
        <v/>
      </c>
      <c r="AI15" s="95">
        <f>IF($A15="","",3*$D15)</f>
        <v/>
      </c>
      <c r="AK15">
        <f>IF($A15="","",2*3*$D15)</f>
        <v/>
      </c>
      <c r="AL15">
        <f>IF($A15="","",$BC$7*$D15)</f>
        <v/>
      </c>
      <c r="AM15">
        <f>IF($A15="","",$BC$6*$D15)</f>
        <v/>
      </c>
      <c r="AN15">
        <f>IF($A15="","",$BC$9*$D15)</f>
        <v/>
      </c>
      <c r="AO15">
        <f>IF($A15="","",$BC$10*$D15)</f>
        <v/>
      </c>
      <c r="AP15">
        <f>IF($A15="","",2*$BC$6*$D15)</f>
        <v/>
      </c>
      <c r="AQ15">
        <f>IF($A15="","",IF($B15&gt;2800,2,IF($B15&gt;1400,1,0))*$BC$6*$D15)</f>
        <v/>
      </c>
      <c r="AR15">
        <f>IF($A15="","",2*$BC$6*$D15)</f>
        <v/>
      </c>
      <c r="AS15">
        <f>IF($A15="","",$BC$6*$D15)</f>
        <v/>
      </c>
      <c r="AT15">
        <f>IF($A15="","",2*$BC$6*$D15)</f>
        <v/>
      </c>
      <c r="AU15">
        <f>IF($A15="","",4*3*$D15)</f>
        <v/>
      </c>
      <c r="AV15">
        <f>IF($A15="","",16*3*$D15)</f>
        <v/>
      </c>
      <c r="AW15">
        <f>IF($A15="","",(2+MAX(0,ROUNDUP(($G15-1500)/500,0)))*$D15)</f>
        <v/>
      </c>
      <c r="AX15">
        <f>IF($A15="","",(2+MAX(0,ROUNDUP(($G15-1500)/500,0)))*$D15)</f>
        <v/>
      </c>
      <c r="AY15">
        <f>IF($A15="","",ROUND((2*2*($M15+$K15)*3*$D15+$S15*$T15)/1000,1))</f>
        <v/>
      </c>
    </row>
    <row r="16" ht="40.15" customHeight="1">
      <c r="A16" s="99" t="n"/>
      <c r="B16" s="88" t="n"/>
      <c r="C16" s="89" t="n"/>
      <c r="D16" s="90" t="n"/>
      <c r="E16" s="96">
        <f>IF($A16="","",$B16)</f>
        <v/>
      </c>
      <c r="F16" s="97">
        <f>IF($A16="","",$L$54*$D16)</f>
        <v/>
      </c>
      <c r="G16" s="96">
        <f>IF($A16="","",$C16-$E$55-$F$55)</f>
        <v/>
      </c>
      <c r="H16" s="97">
        <f>IF($A16="","",$L$55*$D16)</f>
        <v/>
      </c>
      <c r="I16" s="96">
        <f>IF($A16="","",$C16)</f>
        <v/>
      </c>
      <c r="J16" s="97">
        <f>IF($A16="","",$L$56*$D16)</f>
        <v/>
      </c>
      <c r="K16" s="96">
        <f>IF($A16="","",$B16-$E$57-$F$57-$G$57-$H$57)</f>
        <v/>
      </c>
      <c r="L16" s="97">
        <f>IF($A16="","",$L$57*$D16)</f>
        <v/>
      </c>
      <c r="M16" s="96">
        <f>IF($A16="","",(($C16-$E$58-$F$58-$G$58-$H$58-$I$58)/3)+(78*2)/3)</f>
        <v/>
      </c>
      <c r="N16" s="97">
        <f>IF($A16="","",$L$58*$D16)</f>
        <v/>
      </c>
      <c r="O16" s="96">
        <f>IF($A16="","",$K16-$E$59-$F$59)</f>
        <v/>
      </c>
      <c r="P16" s="97">
        <f>IF($A16="","",$L$59*$D16)</f>
        <v/>
      </c>
      <c r="Q16" s="96">
        <f>IF($A16="","",$M16-$E$60-$F$60)</f>
        <v/>
      </c>
      <c r="R16" s="97">
        <f>IF($A16="","",$L$60*$D16)</f>
        <v/>
      </c>
      <c r="S16" s="96">
        <f>IF($A16="","",$K16)</f>
        <v/>
      </c>
      <c r="T16" s="97">
        <f>IF($A16="","",$L$61*$D16)</f>
        <v/>
      </c>
      <c r="U16" s="96">
        <f>IF($A16="","",$B16-$E$62-$F$62)</f>
        <v/>
      </c>
      <c r="V16" s="97">
        <f>IF($A16="","",$L$62*$D16)</f>
        <v/>
      </c>
      <c r="W16" s="96">
        <f>IF($A16="","",$C16-$E$63-$F$63)</f>
        <v/>
      </c>
      <c r="X16" s="97">
        <f>IF($A16="","",$L$63*$D16)</f>
        <v/>
      </c>
      <c r="Y16" s="96">
        <f>IF($A16="","",$B16-$E$64-$F$64)</f>
        <v/>
      </c>
      <c r="Z16" s="97">
        <f>IF($A16="","",$L$64*$D16)</f>
        <v/>
      </c>
      <c r="AA16" s="96">
        <f>IF($A16="","",$S16)</f>
        <v/>
      </c>
      <c r="AB16" s="97">
        <f>IF($A16="","",$L$65*$D16)</f>
        <v/>
      </c>
      <c r="AC16" s="96">
        <f>IF($A16="","",$C16)</f>
        <v/>
      </c>
      <c r="AD16" s="97">
        <f>IF($A16="","",$L$66*$D16)</f>
        <v/>
      </c>
      <c r="AE16" s="96">
        <f>IF($A16="","",$C16-$E$67-$F$67)</f>
        <v/>
      </c>
      <c r="AF16" s="97">
        <f>IF($A16="","",$L$67*$D16)</f>
        <v/>
      </c>
      <c r="AG16" s="93">
        <f>IF($A16="","",$K16-68-68)</f>
        <v/>
      </c>
      <c r="AH16" s="94">
        <f>IF($A16="","",$M16-68-68)</f>
        <v/>
      </c>
      <c r="AI16" s="95">
        <f>IF($A16="","",3*$D16)</f>
        <v/>
      </c>
      <c r="AK16">
        <f>IF($A16="","",2*3*$D16)</f>
        <v/>
      </c>
      <c r="AL16">
        <f>IF($A16="","",$BC$7*$D16)</f>
        <v/>
      </c>
      <c r="AM16">
        <f>IF($A16="","",$BC$6*$D16)</f>
        <v/>
      </c>
      <c r="AN16">
        <f>IF($A16="","",$BC$9*$D16)</f>
        <v/>
      </c>
      <c r="AO16">
        <f>IF($A16="","",$BC$10*$D16)</f>
        <v/>
      </c>
      <c r="AP16">
        <f>IF($A16="","",2*$BC$6*$D16)</f>
        <v/>
      </c>
      <c r="AQ16">
        <f>IF($A16="","",IF($B16&gt;2800,2,IF($B16&gt;1400,1,0))*$BC$6*$D16)</f>
        <v/>
      </c>
      <c r="AR16">
        <f>IF($A16="","",2*$BC$6*$D16)</f>
        <v/>
      </c>
      <c r="AS16">
        <f>IF($A16="","",$BC$6*$D16)</f>
        <v/>
      </c>
      <c r="AT16">
        <f>IF($A16="","",2*$BC$6*$D16)</f>
        <v/>
      </c>
      <c r="AU16">
        <f>IF($A16="","",4*3*$D16)</f>
        <v/>
      </c>
      <c r="AV16">
        <f>IF($A16="","",16*3*$D16)</f>
        <v/>
      </c>
      <c r="AW16">
        <f>IF($A16="","",(2+MAX(0,ROUNDUP(($G16-1500)/500,0)))*$D16)</f>
        <v/>
      </c>
      <c r="AX16">
        <f>IF($A16="","",(2+MAX(0,ROUNDUP(($G16-1500)/500,0)))*$D16)</f>
        <v/>
      </c>
      <c r="AY16">
        <f>IF($A16="","",ROUND((2*2*($M16+$K16)*3*$D16+$S16*$T16)/1000,1))</f>
        <v/>
      </c>
    </row>
    <row r="17" ht="40.15" customHeight="1">
      <c r="A17" s="99" t="n"/>
      <c r="B17" s="88" t="n"/>
      <c r="C17" s="89" t="n"/>
      <c r="D17" s="90" t="n"/>
      <c r="E17" s="91">
        <f>IF($A17="","",$B17)</f>
        <v/>
      </c>
      <c r="F17" s="89">
        <f>IF($A17="","",$L$54*$D17)</f>
        <v/>
      </c>
      <c r="G17" s="91">
        <f>IF($A17="","",$C17-$E$55-$F$55)</f>
        <v/>
      </c>
      <c r="H17" s="89">
        <f>IF($A17="","",$L$55*$D17)</f>
        <v/>
      </c>
      <c r="I17" s="91">
        <f>IF($A17="","",$C17)</f>
        <v/>
      </c>
      <c r="J17" s="89">
        <f>IF($A17="","",$L$56*$D17)</f>
        <v/>
      </c>
      <c r="K17" s="91">
        <f>IF($A17="","",$B17-$E$57-$F$57-$G$57-$H$57)</f>
        <v/>
      </c>
      <c r="L17" s="89">
        <f>IF($A17="","",$L$57*$D17)</f>
        <v/>
      </c>
      <c r="M17" s="91">
        <f>IF($A17="","",(($C17-$E$58-$F$58-$G$58-$H$58-$I$58)/3)+(78*2)/3)</f>
        <v/>
      </c>
      <c r="N17" s="89">
        <f>IF($A17="","",$L$58*$D17)</f>
        <v/>
      </c>
      <c r="O17" s="91">
        <f>IF($A17="","",$K17-$E$59-$F$59)</f>
        <v/>
      </c>
      <c r="P17" s="89">
        <f>IF($A17="","",$L$59*$D17)</f>
        <v/>
      </c>
      <c r="Q17" s="91">
        <f>IF($A17="","",$M17-$E$60-$F$60)</f>
        <v/>
      </c>
      <c r="R17" s="89">
        <f>IF($A17="","",$L$60*$D17)</f>
        <v/>
      </c>
      <c r="S17" s="91">
        <f>IF($A17="","",$K17)</f>
        <v/>
      </c>
      <c r="T17" s="89">
        <f>IF($A17="","",$L$61*$D17)</f>
        <v/>
      </c>
      <c r="U17" s="91">
        <f>IF($A17="","",$B17-$E$62-$F$62)</f>
        <v/>
      </c>
      <c r="V17" s="89">
        <f>IF($A17="","",$L$62*$D17)</f>
        <v/>
      </c>
      <c r="W17" s="91">
        <f>IF($A17="","",$C17-$E$63-$F$63)</f>
        <v/>
      </c>
      <c r="X17" s="89">
        <f>IF($A17="","",$L$63*$D17)</f>
        <v/>
      </c>
      <c r="Y17" s="91">
        <f>IF($A17="","",$B17-$E$64-$F$64)</f>
        <v/>
      </c>
      <c r="Z17" s="89">
        <f>IF($A17="","",$L$64*$D17)</f>
        <v/>
      </c>
      <c r="AA17" s="91">
        <f>IF($A17="","",$S17)</f>
        <v/>
      </c>
      <c r="AB17" s="89">
        <f>IF($A17="","",$L$65*$D17)</f>
        <v/>
      </c>
      <c r="AC17" s="91">
        <f>IF($A17="","",$C17)</f>
        <v/>
      </c>
      <c r="AD17" s="89">
        <f>IF($A17="","",$L$66*$D17)</f>
        <v/>
      </c>
      <c r="AE17" s="91">
        <f>IF($A17="","",$C17-$E$67-$F$67)</f>
        <v/>
      </c>
      <c r="AF17" s="89">
        <f>IF($A17="","",$L$67*$D17)</f>
        <v/>
      </c>
      <c r="AG17" s="93">
        <f>IF($A17="","",$K17-68-68)</f>
        <v/>
      </c>
      <c r="AH17" s="94">
        <f>IF($A17="","",$M17-68-68)</f>
        <v/>
      </c>
      <c r="AI17" s="95">
        <f>IF($A17="","",3*$D17)</f>
        <v/>
      </c>
      <c r="AK17">
        <f>IF($A17="","",2*3*$D17)</f>
        <v/>
      </c>
      <c r="AL17">
        <f>IF($A17="","",$BC$7*$D17)</f>
        <v/>
      </c>
      <c r="AM17">
        <f>IF($A17="","",$BC$6*$D17)</f>
        <v/>
      </c>
      <c r="AN17">
        <f>IF($A17="","",$BC$9*$D17)</f>
        <v/>
      </c>
      <c r="AO17">
        <f>IF($A17="","",$BC$10*$D17)</f>
        <v/>
      </c>
      <c r="AP17">
        <f>IF($A17="","",2*$BC$6*$D17)</f>
        <v/>
      </c>
      <c r="AQ17">
        <f>IF($A17="","",IF($B17&gt;2800,2,IF($B17&gt;1400,1,0))*$BC$6*$D17)</f>
        <v/>
      </c>
      <c r="AR17">
        <f>IF($A17="","",2*$BC$6*$D17)</f>
        <v/>
      </c>
      <c r="AS17">
        <f>IF($A17="","",$BC$6*$D17)</f>
        <v/>
      </c>
      <c r="AT17">
        <f>IF($A17="","",2*$BC$6*$D17)</f>
        <v/>
      </c>
      <c r="AU17">
        <f>IF($A17="","",4*3*$D17)</f>
        <v/>
      </c>
      <c r="AV17">
        <f>IF($A17="","",16*3*$D17)</f>
        <v/>
      </c>
      <c r="AW17">
        <f>IF($A17="","",(2+MAX(0,ROUNDUP(($G17-1500)/500,0)))*$D17)</f>
        <v/>
      </c>
      <c r="AX17">
        <f>IF($A17="","",(2+MAX(0,ROUNDUP(($G17-1500)/500,0)))*$D17)</f>
        <v/>
      </c>
      <c r="AY17">
        <f>IF($A17="","",ROUND((2*2*($M17+$K17)*3*$D17+$S17*$T17)/1000,1))</f>
        <v/>
      </c>
    </row>
    <row r="18" ht="40.15" customHeight="1">
      <c r="A18" s="99" t="n"/>
      <c r="B18" s="88" t="n"/>
      <c r="C18" s="89" t="n"/>
      <c r="D18" s="90" t="n"/>
      <c r="E18" s="96">
        <f>IF($A18="","",$B18)</f>
        <v/>
      </c>
      <c r="F18" s="97">
        <f>IF($A18="","",$L$54*$D18)</f>
        <v/>
      </c>
      <c r="G18" s="96">
        <f>IF($A18="","",$C18-$E$55-$F$55)</f>
        <v/>
      </c>
      <c r="H18" s="97">
        <f>IF($A18="","",$L$55*$D18)</f>
        <v/>
      </c>
      <c r="I18" s="96">
        <f>IF($A18="","",$C18)</f>
        <v/>
      </c>
      <c r="J18" s="97">
        <f>IF($A18="","",$L$56*$D18)</f>
        <v/>
      </c>
      <c r="K18" s="96">
        <f>IF($A18="","",$B18-$E$57-$F$57-$G$57-$H$57)</f>
        <v/>
      </c>
      <c r="L18" s="97">
        <f>IF($A18="","",$L$57*$D18)</f>
        <v/>
      </c>
      <c r="M18" s="96">
        <f>IF($A18="","",(($C18-$E$58-$F$58-$G$58-$H$58-$I$58)/3)+(78*2)/3)</f>
        <v/>
      </c>
      <c r="N18" s="97">
        <f>IF($A18="","",$L$58*$D18)</f>
        <v/>
      </c>
      <c r="O18" s="96">
        <f>IF($A18="","",$K18-$E$59-$F$59)</f>
        <v/>
      </c>
      <c r="P18" s="97">
        <f>IF($A18="","",$L$59*$D18)</f>
        <v/>
      </c>
      <c r="Q18" s="96">
        <f>IF($A18="","",$M18-$E$60-$F$60)</f>
        <v/>
      </c>
      <c r="R18" s="97">
        <f>IF($A18="","",$L$60*$D18)</f>
        <v/>
      </c>
      <c r="S18" s="96">
        <f>IF($A18="","",$K18)</f>
        <v/>
      </c>
      <c r="T18" s="97">
        <f>IF($A18="","",$L$61*$D18)</f>
        <v/>
      </c>
      <c r="U18" s="96">
        <f>IF($A18="","",$B18-$E$62-$F$62)</f>
        <v/>
      </c>
      <c r="V18" s="97">
        <f>IF($A18="","",$L$62*$D18)</f>
        <v/>
      </c>
      <c r="W18" s="96">
        <f>IF($A18="","",$C18-$E$63-$F$63)</f>
        <v/>
      </c>
      <c r="X18" s="97">
        <f>IF($A18="","",$L$63*$D18)</f>
        <v/>
      </c>
      <c r="Y18" s="96">
        <f>IF($A18="","",$B18-$E$64-$F$64)</f>
        <v/>
      </c>
      <c r="Z18" s="97">
        <f>IF($A18="","",$L$64*$D18)</f>
        <v/>
      </c>
      <c r="AA18" s="96">
        <f>IF($A18="","",$S18)</f>
        <v/>
      </c>
      <c r="AB18" s="97">
        <f>IF($A18="","",$L$65*$D18)</f>
        <v/>
      </c>
      <c r="AC18" s="96">
        <f>IF($A18="","",$C18)</f>
        <v/>
      </c>
      <c r="AD18" s="97">
        <f>IF($A18="","",$L$66*$D18)</f>
        <v/>
      </c>
      <c r="AE18" s="96">
        <f>IF($A18="","",$C18-$E$67-$F$67)</f>
        <v/>
      </c>
      <c r="AF18" s="97">
        <f>IF($A18="","",$L$67*$D18)</f>
        <v/>
      </c>
      <c r="AG18" s="93">
        <f>IF($A18="","",$K18-68-68)</f>
        <v/>
      </c>
      <c r="AH18" s="94">
        <f>IF($A18="","",$M18-68-68)</f>
        <v/>
      </c>
      <c r="AI18" s="95">
        <f>IF($A18="","",3*$D18)</f>
        <v/>
      </c>
      <c r="AK18">
        <f>IF($A18="","",2*3*$D18)</f>
        <v/>
      </c>
      <c r="AL18">
        <f>IF($A18="","",$BC$7*$D18)</f>
        <v/>
      </c>
      <c r="AM18">
        <f>IF($A18="","",$BC$6*$D18)</f>
        <v/>
      </c>
      <c r="AN18">
        <f>IF($A18="","",$BC$9*$D18)</f>
        <v/>
      </c>
      <c r="AO18">
        <f>IF($A18="","",$BC$10*$D18)</f>
        <v/>
      </c>
      <c r="AP18">
        <f>IF($A18="","",2*$BC$6*$D18)</f>
        <v/>
      </c>
      <c r="AQ18">
        <f>IF($A18="","",IF($B18&gt;2800,2,IF($B18&gt;1400,1,0))*$BC$6*$D18)</f>
        <v/>
      </c>
      <c r="AR18">
        <f>IF($A18="","",2*$BC$6*$D18)</f>
        <v/>
      </c>
      <c r="AS18">
        <f>IF($A18="","",$BC$6*$D18)</f>
        <v/>
      </c>
      <c r="AT18">
        <f>IF($A18="","",2*$BC$6*$D18)</f>
        <v/>
      </c>
      <c r="AU18">
        <f>IF($A18="","",4*3*$D18)</f>
        <v/>
      </c>
      <c r="AV18">
        <f>IF($A18="","",16*3*$D18)</f>
        <v/>
      </c>
      <c r="AW18">
        <f>IF($A18="","",(2+MAX(0,ROUNDUP(($G18-1500)/500,0)))*$D18)</f>
        <v/>
      </c>
      <c r="AX18">
        <f>IF($A18="","",(2+MAX(0,ROUNDUP(($G18-1500)/500,0)))*$D18)</f>
        <v/>
      </c>
      <c r="AY18">
        <f>IF($A18="","",ROUND((2*2*($M18+$K18)*3*$D18+$S18*$T18)/1000,1))</f>
        <v/>
      </c>
    </row>
    <row r="19" ht="40.15" customHeight="1">
      <c r="A19" s="99" t="n"/>
      <c r="B19" s="88" t="n"/>
      <c r="C19" s="89" t="n"/>
      <c r="D19" s="90" t="n"/>
      <c r="E19" s="91">
        <f>IF($A19="","",$B19)</f>
        <v/>
      </c>
      <c r="F19" s="89">
        <f>IF($A19="","",$L$54*$D19)</f>
        <v/>
      </c>
      <c r="G19" s="91">
        <f>IF($A19="","",$C19-$E$55-$F$55)</f>
        <v/>
      </c>
      <c r="H19" s="89">
        <f>IF($A19="","",$L$55*$D19)</f>
        <v/>
      </c>
      <c r="I19" s="91">
        <f>IF($A19="","",$C19)</f>
        <v/>
      </c>
      <c r="J19" s="89">
        <f>IF($A19="","",$L$56*$D19)</f>
        <v/>
      </c>
      <c r="K19" s="91">
        <f>IF($A19="","",$B19-$E$57-$F$57-$G$57-$H$57)</f>
        <v/>
      </c>
      <c r="L19" s="89">
        <f>IF($A19="","",$L$57*$D19)</f>
        <v/>
      </c>
      <c r="M19" s="91">
        <f>IF($A19="","",(($C19-$E$58-$F$58-$G$58-$H$58-$I$58)/3)+(78*2)/3)</f>
        <v/>
      </c>
      <c r="N19" s="89">
        <f>IF($A19="","",$L$58*$D19)</f>
        <v/>
      </c>
      <c r="O19" s="91">
        <f>IF($A19="","",$K19-$E$59-$F$59)</f>
        <v/>
      </c>
      <c r="P19" s="89">
        <f>IF($A19="","",$L$59*$D19)</f>
        <v/>
      </c>
      <c r="Q19" s="91">
        <f>IF($A19="","",$M19-$E$60-$F$60)</f>
        <v/>
      </c>
      <c r="R19" s="89">
        <f>IF($A19="","",$L$60*$D19)</f>
        <v/>
      </c>
      <c r="S19" s="91">
        <f>IF($A19="","",$K19)</f>
        <v/>
      </c>
      <c r="T19" s="89">
        <f>IF($A19="","",$L$61*$D19)</f>
        <v/>
      </c>
      <c r="U19" s="91">
        <f>IF($A19="","",$B19-$E$62-$F$62)</f>
        <v/>
      </c>
      <c r="V19" s="89">
        <f>IF($A19="","",$L$62*$D19)</f>
        <v/>
      </c>
      <c r="W19" s="91">
        <f>IF($A19="","",$C19-$E$63-$F$63)</f>
        <v/>
      </c>
      <c r="X19" s="89">
        <f>IF($A19="","",$L$63*$D19)</f>
        <v/>
      </c>
      <c r="Y19" s="91">
        <f>IF($A19="","",$B19-$E$64-$F$64)</f>
        <v/>
      </c>
      <c r="Z19" s="89">
        <f>IF($A19="","",$L$64*$D19)</f>
        <v/>
      </c>
      <c r="AA19" s="91">
        <f>IF($A19="","",$S19)</f>
        <v/>
      </c>
      <c r="AB19" s="89">
        <f>IF($A19="","",$L$65*$D19)</f>
        <v/>
      </c>
      <c r="AC19" s="91">
        <f>IF($A19="","",$C19)</f>
        <v/>
      </c>
      <c r="AD19" s="89">
        <f>IF($A19="","",$L$66*$D19)</f>
        <v/>
      </c>
      <c r="AE19" s="91">
        <f>IF($A19="","",$C19-$E$67-$F$67)</f>
        <v/>
      </c>
      <c r="AF19" s="89">
        <f>IF($A19="","",$L$67*$D19)</f>
        <v/>
      </c>
      <c r="AG19" s="93">
        <f>IF($A19="","",$K19-68-68)</f>
        <v/>
      </c>
      <c r="AH19" s="94">
        <f>IF($A19="","",$M19-68-68)</f>
        <v/>
      </c>
      <c r="AI19" s="95">
        <f>IF($A19="","",3*$D19)</f>
        <v/>
      </c>
      <c r="AK19">
        <f>IF($A19="","",2*3*$D19)</f>
        <v/>
      </c>
      <c r="AL19">
        <f>IF($A19="","",$BC$7*$D19)</f>
        <v/>
      </c>
      <c r="AM19">
        <f>IF($A19="","",$BC$6*$D19)</f>
        <v/>
      </c>
      <c r="AN19">
        <f>IF($A19="","",$BC$9*$D19)</f>
        <v/>
      </c>
      <c r="AO19">
        <f>IF($A19="","",$BC$10*$D19)</f>
        <v/>
      </c>
      <c r="AP19">
        <f>IF($A19="","",2*$BC$6*$D19)</f>
        <v/>
      </c>
      <c r="AQ19">
        <f>IF($A19="","",IF($B19&gt;2800,2,IF($B19&gt;1400,1,0))*$BC$6*$D19)</f>
        <v/>
      </c>
      <c r="AR19">
        <f>IF($A19="","",2*$BC$6*$D19)</f>
        <v/>
      </c>
      <c r="AS19">
        <f>IF($A19="","",$BC$6*$D19)</f>
        <v/>
      </c>
      <c r="AT19">
        <f>IF($A19="","",2*$BC$6*$D19)</f>
        <v/>
      </c>
      <c r="AU19">
        <f>IF($A19="","",4*3*$D19)</f>
        <v/>
      </c>
      <c r="AV19">
        <f>IF($A19="","",16*3*$D19)</f>
        <v/>
      </c>
      <c r="AW19">
        <f>IF($A19="","",(2+MAX(0,ROUNDUP(($G19-1500)/500,0)))*$D19)</f>
        <v/>
      </c>
      <c r="AX19">
        <f>IF($A19="","",(2+MAX(0,ROUNDUP(($G19-1500)/500,0)))*$D19)</f>
        <v/>
      </c>
      <c r="AY19">
        <f>IF($A19="","",ROUND((2*2*($M19+$K19)*3*$D19+$S19*$T19)/1000,1))</f>
        <v/>
      </c>
    </row>
    <row r="20" ht="40.15" customHeight="1">
      <c r="A20" s="99" t="n"/>
      <c r="B20" s="88" t="n"/>
      <c r="C20" s="89" t="n"/>
      <c r="D20" s="90" t="n"/>
      <c r="E20" s="96">
        <f>IF($A20="","",$B20)</f>
        <v/>
      </c>
      <c r="F20" s="97">
        <f>IF($A20="","",$L$54*$D20)</f>
        <v/>
      </c>
      <c r="G20" s="96">
        <f>IF($A20="","",$C20-$E$55-$F$55)</f>
        <v/>
      </c>
      <c r="H20" s="97">
        <f>IF($A20="","",$L$55*$D20)</f>
        <v/>
      </c>
      <c r="I20" s="96">
        <f>IF($A20="","",$C20)</f>
        <v/>
      </c>
      <c r="J20" s="97">
        <f>IF($A20="","",$L$56*$D20)</f>
        <v/>
      </c>
      <c r="K20" s="96">
        <f>IF($A20="","",$B20-$E$57-$F$57-$G$57-$H$57)</f>
        <v/>
      </c>
      <c r="L20" s="97">
        <f>IF($A20="","",$L$57*$D20)</f>
        <v/>
      </c>
      <c r="M20" s="96">
        <f>IF($A20="","",(($C20-$E$58-$F$58-$G$58-$H$58-$I$58)/3)+(78*2)/3)</f>
        <v/>
      </c>
      <c r="N20" s="97">
        <f>IF($A20="","",$L$58*$D20)</f>
        <v/>
      </c>
      <c r="O20" s="96">
        <f>IF($A20="","",$K20-$E$59-$F$59)</f>
        <v/>
      </c>
      <c r="P20" s="97">
        <f>IF($A20="","",$L$59*$D20)</f>
        <v/>
      </c>
      <c r="Q20" s="96">
        <f>IF($A20="","",$M20-$E$60-$F$60)</f>
        <v/>
      </c>
      <c r="R20" s="97">
        <f>IF($A20="","",$L$60*$D20)</f>
        <v/>
      </c>
      <c r="S20" s="96">
        <f>IF($A20="","",$K20)</f>
        <v/>
      </c>
      <c r="T20" s="97">
        <f>IF($A20="","",$L$61*$D20)</f>
        <v/>
      </c>
      <c r="U20" s="96">
        <f>IF($A20="","",$B20-$E$62-$F$62)</f>
        <v/>
      </c>
      <c r="V20" s="97">
        <f>IF($A20="","",$L$62*$D20)</f>
        <v/>
      </c>
      <c r="W20" s="96">
        <f>IF($A20="","",$C20-$E$63-$F$63)</f>
        <v/>
      </c>
      <c r="X20" s="97">
        <f>IF($A20="","",$L$63*$D20)</f>
        <v/>
      </c>
      <c r="Y20" s="96">
        <f>IF($A20="","",$B20-$E$64-$F$64)</f>
        <v/>
      </c>
      <c r="Z20" s="97">
        <f>IF($A20="","",$L$64*$D20)</f>
        <v/>
      </c>
      <c r="AA20" s="96">
        <f>IF($A20="","",$S20)</f>
        <v/>
      </c>
      <c r="AB20" s="97">
        <f>IF($A20="","",$L$65*$D20)</f>
        <v/>
      </c>
      <c r="AC20" s="96">
        <f>IF($A20="","",$C20)</f>
        <v/>
      </c>
      <c r="AD20" s="97">
        <f>IF($A20="","",$L$66*$D20)</f>
        <v/>
      </c>
      <c r="AE20" s="96">
        <f>IF($A20="","",$C20-$E$67-$F$67)</f>
        <v/>
      </c>
      <c r="AF20" s="97">
        <f>IF($A20="","",$L$67*$D20)</f>
        <v/>
      </c>
      <c r="AG20" s="93">
        <f>IF($A20="","",$K20-68-68)</f>
        <v/>
      </c>
      <c r="AH20" s="94">
        <f>IF($A20="","",$M20-68-68)</f>
        <v/>
      </c>
      <c r="AI20" s="95">
        <f>IF($A20="","",3*$D20)</f>
        <v/>
      </c>
      <c r="AK20">
        <f>IF($A20="","",2*3*$D20)</f>
        <v/>
      </c>
      <c r="AL20">
        <f>IF($A20="","",$BC$7*$D20)</f>
        <v/>
      </c>
      <c r="AM20">
        <f>IF($A20="","",$BC$6*$D20)</f>
        <v/>
      </c>
      <c r="AN20">
        <f>IF($A20="","",$BC$9*$D20)</f>
        <v/>
      </c>
      <c r="AO20">
        <f>IF($A20="","",$BC$10*$D20)</f>
        <v/>
      </c>
      <c r="AP20">
        <f>IF($A20="","",2*$BC$6*$D20)</f>
        <v/>
      </c>
      <c r="AQ20">
        <f>IF($A20="","",IF($B20&gt;2800,2,IF($B20&gt;1400,1,0))*$BC$6*$D20)</f>
        <v/>
      </c>
      <c r="AR20">
        <f>IF($A20="","",2*$BC$6*$D20)</f>
        <v/>
      </c>
      <c r="AS20">
        <f>IF($A20="","",$BC$6*$D20)</f>
        <v/>
      </c>
      <c r="AT20">
        <f>IF($A20="","",2*$BC$6*$D20)</f>
        <v/>
      </c>
      <c r="AU20">
        <f>IF($A20="","",4*3*$D20)</f>
        <v/>
      </c>
      <c r="AV20">
        <f>IF($A20="","",16*3*$D20)</f>
        <v/>
      </c>
      <c r="AW20">
        <f>IF($A20="","",(2+MAX(0,ROUNDUP(($G20-1500)/500,0)))*$D20)</f>
        <v/>
      </c>
      <c r="AX20">
        <f>IF($A20="","",(2+MAX(0,ROUNDUP(($G20-1500)/500,0)))*$D20)</f>
        <v/>
      </c>
      <c r="AY20">
        <f>IF($A20="","",ROUND((2*2*($M20+$K20)*3*$D20+$S20*$T20)/1000,1))</f>
        <v/>
      </c>
    </row>
    <row r="21" ht="40.15" customHeight="1">
      <c r="A21" s="99" t="n"/>
      <c r="B21" s="88" t="n"/>
      <c r="C21" s="89" t="n"/>
      <c r="D21" s="90" t="n"/>
      <c r="E21" s="91">
        <f>IF($A21="","",$B21)</f>
        <v/>
      </c>
      <c r="F21" s="89">
        <f>IF($A21="","",$L$54*$D21)</f>
        <v/>
      </c>
      <c r="G21" s="91">
        <f>IF($A21="","",$C21-$E$55-$F$55)</f>
        <v/>
      </c>
      <c r="H21" s="89">
        <f>IF($A21="","",$L$55*$D21)</f>
        <v/>
      </c>
      <c r="I21" s="91">
        <f>IF($A21="","",$C21)</f>
        <v/>
      </c>
      <c r="J21" s="89">
        <f>IF($A21="","",$L$56*$D21)</f>
        <v/>
      </c>
      <c r="K21" s="91">
        <f>IF($A21="","",$B21-$E$57-$F$57-$G$57-$H$57)</f>
        <v/>
      </c>
      <c r="L21" s="89">
        <f>IF($A21="","",$L$57*$D21)</f>
        <v/>
      </c>
      <c r="M21" s="91">
        <f>IF($A21="","",(($C21-$E$58-$F$58-$G$58-$H$58-$I$58)/3)+(78*2)/3)</f>
        <v/>
      </c>
      <c r="N21" s="89">
        <f>IF($A21="","",$L$58*$D21)</f>
        <v/>
      </c>
      <c r="O21" s="91">
        <f>IF($A21="","",$K21-$E$59-$F$59)</f>
        <v/>
      </c>
      <c r="P21" s="89">
        <f>IF($A21="","",$L$59*$D21)</f>
        <v/>
      </c>
      <c r="Q21" s="91">
        <f>IF($A21="","",$M21-$E$60-$F$60)</f>
        <v/>
      </c>
      <c r="R21" s="89">
        <f>IF($A21="","",$L$60*$D21)</f>
        <v/>
      </c>
      <c r="S21" s="91">
        <f>IF($A21="","",$K21)</f>
        <v/>
      </c>
      <c r="T21" s="89">
        <f>IF($A21="","",$L$61*$D21)</f>
        <v/>
      </c>
      <c r="U21" s="91">
        <f>IF($A21="","",$B21-$E$62-$F$62)</f>
        <v/>
      </c>
      <c r="V21" s="89">
        <f>IF($A21="","",$L$62*$D21)</f>
        <v/>
      </c>
      <c r="W21" s="91">
        <f>IF($A21="","",$C21-$E$63-$F$63)</f>
        <v/>
      </c>
      <c r="X21" s="89">
        <f>IF($A21="","",$L$63*$D21)</f>
        <v/>
      </c>
      <c r="Y21" s="91">
        <f>IF($A21="","",$B21-$E$64-$F$64)</f>
        <v/>
      </c>
      <c r="Z21" s="89">
        <f>IF($A21="","",$L$64*$D21)</f>
        <v/>
      </c>
      <c r="AA21" s="91">
        <f>IF($A21="","",$S21)</f>
        <v/>
      </c>
      <c r="AB21" s="89">
        <f>IF($A21="","",$L$65*$D21)</f>
        <v/>
      </c>
      <c r="AC21" s="91">
        <f>IF($A21="","",$C21)</f>
        <v/>
      </c>
      <c r="AD21" s="89">
        <f>IF($A21="","",$L$66*$D21)</f>
        <v/>
      </c>
      <c r="AE21" s="91">
        <f>IF($A21="","",$C21-$E$67-$F$67)</f>
        <v/>
      </c>
      <c r="AF21" s="89">
        <f>IF($A21="","",$L$67*$D21)</f>
        <v/>
      </c>
      <c r="AG21" s="93">
        <f>IF($A21="","",$K21-68-68)</f>
        <v/>
      </c>
      <c r="AH21" s="94">
        <f>IF($A21="","",$M21-68-68)</f>
        <v/>
      </c>
      <c r="AI21" s="95">
        <f>IF($A21="","",3*$D21)</f>
        <v/>
      </c>
      <c r="AK21">
        <f>IF($A21="","",2*3*$D21)</f>
        <v/>
      </c>
      <c r="AL21">
        <f>IF($A21="","",$BC$7*$D21)</f>
        <v/>
      </c>
      <c r="AM21">
        <f>IF($A21="","",$BC$6*$D21)</f>
        <v/>
      </c>
      <c r="AN21">
        <f>IF($A21="","",$BC$9*$D21)</f>
        <v/>
      </c>
      <c r="AO21">
        <f>IF($A21="","",$BC$10*$D21)</f>
        <v/>
      </c>
      <c r="AP21">
        <f>IF($A21="","",2*$BC$6*$D21)</f>
        <v/>
      </c>
      <c r="AQ21">
        <f>IF($A21="","",IF($B21&gt;2800,2,IF($B21&gt;1400,1,0))*$BC$6*$D21)</f>
        <v/>
      </c>
      <c r="AR21">
        <f>IF($A21="","",2*$BC$6*$D21)</f>
        <v/>
      </c>
      <c r="AS21">
        <f>IF($A21="","",$BC$6*$D21)</f>
        <v/>
      </c>
      <c r="AT21">
        <f>IF($A21="","",2*$BC$6*$D21)</f>
        <v/>
      </c>
      <c r="AU21">
        <f>IF($A21="","",4*3*$D21)</f>
        <v/>
      </c>
      <c r="AV21">
        <f>IF($A21="","",16*3*$D21)</f>
        <v/>
      </c>
      <c r="AW21">
        <f>IF($A21="","",(2+MAX(0,ROUNDUP(($G21-1500)/500,0)))*$D21)</f>
        <v/>
      </c>
      <c r="AX21">
        <f>IF($A21="","",(2+MAX(0,ROUNDUP(($G21-1500)/500,0)))*$D21)</f>
        <v/>
      </c>
      <c r="AY21">
        <f>IF($A21="","",ROUND((2*2*($M21+$K21)*3*$D21+$S21*$T21)/1000,1))</f>
        <v/>
      </c>
    </row>
    <row r="22" ht="40.15" customHeight="1">
      <c r="A22" s="99" t="n"/>
      <c r="B22" s="88" t="n"/>
      <c r="C22" s="89" t="n"/>
      <c r="D22" s="90" t="n"/>
      <c r="E22" s="96">
        <f>IF($A22="","",$B22)</f>
        <v/>
      </c>
      <c r="F22" s="97">
        <f>IF($A22="","",$L$54*$D22)</f>
        <v/>
      </c>
      <c r="G22" s="96">
        <f>IF($A22="","",$C22-$E$55-$F$55)</f>
        <v/>
      </c>
      <c r="H22" s="97">
        <f>IF($A22="","",$L$55*$D22)</f>
        <v/>
      </c>
      <c r="I22" s="96">
        <f>IF($A22="","",$C22)</f>
        <v/>
      </c>
      <c r="J22" s="97">
        <f>IF($A22="","",$L$56*$D22)</f>
        <v/>
      </c>
      <c r="K22" s="96">
        <f>IF($A22="","",$B22-$E$57-$F$57-$G$57-$H$57)</f>
        <v/>
      </c>
      <c r="L22" s="97">
        <f>IF($A22="","",$L$57*$D22)</f>
        <v/>
      </c>
      <c r="M22" s="96">
        <f>IF($A22="","",(($C22-$E$58-$F$58-$G$58-$H$58-$I$58)/3)+(78*2)/3)</f>
        <v/>
      </c>
      <c r="N22" s="97">
        <f>IF($A22="","",$L$58*$D22)</f>
        <v/>
      </c>
      <c r="O22" s="96">
        <f>IF($A22="","",$K22-$E$59-$F$59)</f>
        <v/>
      </c>
      <c r="P22" s="97">
        <f>IF($A22="","",$L$59*$D22)</f>
        <v/>
      </c>
      <c r="Q22" s="96">
        <f>IF($A22="","",$M22-$E$60-$F$60)</f>
        <v/>
      </c>
      <c r="R22" s="97">
        <f>IF($A22="","",$L$60*$D22)</f>
        <v/>
      </c>
      <c r="S22" s="96">
        <f>IF($A22="","",$K22)</f>
        <v/>
      </c>
      <c r="T22" s="97">
        <f>IF($A22="","",$L$61*$D22)</f>
        <v/>
      </c>
      <c r="U22" s="96">
        <f>IF($A22="","",$B22-$E$62-$F$62)</f>
        <v/>
      </c>
      <c r="V22" s="97">
        <f>IF($A22="","",$L$62*$D22)</f>
        <v/>
      </c>
      <c r="W22" s="96">
        <f>IF($A22="","",$C22-$E$63-$F$63)</f>
        <v/>
      </c>
      <c r="X22" s="97">
        <f>IF($A22="","",$L$63*$D22)</f>
        <v/>
      </c>
      <c r="Y22" s="96">
        <f>IF($A22="","",$B22-$E$64-$F$64)</f>
        <v/>
      </c>
      <c r="Z22" s="97">
        <f>IF($A22="","",$L$64*$D22)</f>
        <v/>
      </c>
      <c r="AA22" s="96">
        <f>IF($A22="","",$S22)</f>
        <v/>
      </c>
      <c r="AB22" s="97">
        <f>IF($A22="","",$L$65*$D22)</f>
        <v/>
      </c>
      <c r="AC22" s="96">
        <f>IF($A22="","",$C22)</f>
        <v/>
      </c>
      <c r="AD22" s="97">
        <f>IF($A22="","",$L$66*$D22)</f>
        <v/>
      </c>
      <c r="AE22" s="96">
        <f>IF($A22="","",$C22-$E$67-$F$67)</f>
        <v/>
      </c>
      <c r="AF22" s="97">
        <f>IF($A22="","",$L$67*$D22)</f>
        <v/>
      </c>
      <c r="AG22" s="93">
        <f>IF($A22="","",$K22-68-68)</f>
        <v/>
      </c>
      <c r="AH22" s="94">
        <f>IF($A22="","",$M22-68-68)</f>
        <v/>
      </c>
      <c r="AI22" s="95">
        <f>IF($A22="","",3*$D22)</f>
        <v/>
      </c>
      <c r="AK22">
        <f>IF($A22="","",2*3*$D22)</f>
        <v/>
      </c>
      <c r="AL22">
        <f>IF($A22="","",$BC$7*$D22)</f>
        <v/>
      </c>
      <c r="AM22">
        <f>IF($A22="","",$BC$6*$D22)</f>
        <v/>
      </c>
      <c r="AN22">
        <f>IF($A22="","",$BC$9*$D22)</f>
        <v/>
      </c>
      <c r="AO22">
        <f>IF($A22="","",$BC$10*$D22)</f>
        <v/>
      </c>
      <c r="AP22">
        <f>IF($A22="","",2*$BC$6*$D22)</f>
        <v/>
      </c>
      <c r="AQ22">
        <f>IF($A22="","",IF($B22&gt;2800,2,IF($B22&gt;1400,1,0))*$BC$6*$D22)</f>
        <v/>
      </c>
      <c r="AR22">
        <f>IF($A22="","",2*$BC$6*$D22)</f>
        <v/>
      </c>
      <c r="AS22">
        <f>IF($A22="","",$BC$6*$D22)</f>
        <v/>
      </c>
      <c r="AT22">
        <f>IF($A22="","",2*$BC$6*$D22)</f>
        <v/>
      </c>
      <c r="AU22">
        <f>IF($A22="","",4*3*$D22)</f>
        <v/>
      </c>
      <c r="AV22">
        <f>IF($A22="","",16*3*$D22)</f>
        <v/>
      </c>
      <c r="AW22">
        <f>IF($A22="","",(2+MAX(0,ROUNDUP(($G22-1500)/500,0)))*$D22)</f>
        <v/>
      </c>
      <c r="AX22">
        <f>IF($A22="","",(2+MAX(0,ROUNDUP(($G22-1500)/500,0)))*$D22)</f>
        <v/>
      </c>
      <c r="AY22">
        <f>IF($A22="","",ROUND((2*2*($M22+$K22)*3*$D22+$S22*$T22)/1000,1))</f>
        <v/>
      </c>
    </row>
    <row r="23" ht="40.15" customHeight="1">
      <c r="A23" s="99" t="n"/>
      <c r="B23" s="88" t="n"/>
      <c r="C23" s="89" t="n"/>
      <c r="D23" s="90" t="n"/>
      <c r="E23" s="91">
        <f>IF($A23="","",$B23)</f>
        <v/>
      </c>
      <c r="F23" s="89">
        <f>IF($A23="","",$L$54*$D23)</f>
        <v/>
      </c>
      <c r="G23" s="91">
        <f>IF($A23="","",$C23-$E$55-$F$55)</f>
        <v/>
      </c>
      <c r="H23" s="89">
        <f>IF($A23="","",$L$55*$D23)</f>
        <v/>
      </c>
      <c r="I23" s="91">
        <f>IF($A23="","",$C23)</f>
        <v/>
      </c>
      <c r="J23" s="89">
        <f>IF($A23="","",$L$56*$D23)</f>
        <v/>
      </c>
      <c r="K23" s="91">
        <f>IF($A23="","",$B23-$E$57-$F$57-$G$57-$H$57)</f>
        <v/>
      </c>
      <c r="L23" s="89">
        <f>IF($A23="","",$L$57*$D23)</f>
        <v/>
      </c>
      <c r="M23" s="91">
        <f>IF($A23="","",(($C23-$E$58-$F$58-$G$58-$H$58-$I$58)/3)+(78*2)/3)</f>
        <v/>
      </c>
      <c r="N23" s="89">
        <f>IF($A23="","",$L$58*$D23)</f>
        <v/>
      </c>
      <c r="O23" s="91">
        <f>IF($A23="","",$K23-$E$59-$F$59)</f>
        <v/>
      </c>
      <c r="P23" s="89">
        <f>IF($A23="","",$L$59*$D23)</f>
        <v/>
      </c>
      <c r="Q23" s="91">
        <f>IF($A23="","",$M23-$E$60-$F$60)</f>
        <v/>
      </c>
      <c r="R23" s="89">
        <f>IF($A23="","",$L$60*$D23)</f>
        <v/>
      </c>
      <c r="S23" s="91">
        <f>IF($A23="","",$K23)</f>
        <v/>
      </c>
      <c r="T23" s="89">
        <f>IF($A23="","",$L$61*$D23)</f>
        <v/>
      </c>
      <c r="U23" s="91">
        <f>IF($A23="","",$B23-$E$62-$F$62)</f>
        <v/>
      </c>
      <c r="V23" s="89">
        <f>IF($A23="","",$L$62*$D23)</f>
        <v/>
      </c>
      <c r="W23" s="91">
        <f>IF($A23="","",$C23-$E$63-$F$63)</f>
        <v/>
      </c>
      <c r="X23" s="89">
        <f>IF($A23="","",$L$63*$D23)</f>
        <v/>
      </c>
      <c r="Y23" s="91">
        <f>IF($A23="","",$B23-$E$64-$F$64)</f>
        <v/>
      </c>
      <c r="Z23" s="89">
        <f>IF($A23="","",$L$64*$D23)</f>
        <v/>
      </c>
      <c r="AA23" s="91">
        <f>IF($A23="","",$S23)</f>
        <v/>
      </c>
      <c r="AB23" s="89">
        <f>IF($A23="","",$L$65*$D23)</f>
        <v/>
      </c>
      <c r="AC23" s="91">
        <f>IF($A23="","",$C23)</f>
        <v/>
      </c>
      <c r="AD23" s="89">
        <f>IF($A23="","",$L$66*$D23)</f>
        <v/>
      </c>
      <c r="AE23" s="91">
        <f>IF($A23="","",$C23-$E$67-$F$67)</f>
        <v/>
      </c>
      <c r="AF23" s="89">
        <f>IF($A23="","",$L$67*$D23)</f>
        <v/>
      </c>
      <c r="AG23" s="93">
        <f>IF($A23="","",$K23-68-68)</f>
        <v/>
      </c>
      <c r="AH23" s="94">
        <f>IF($A23="","",$M23-68-68)</f>
        <v/>
      </c>
      <c r="AI23" s="95">
        <f>IF($A23="","",3*$D23)</f>
        <v/>
      </c>
      <c r="AK23">
        <f>IF($A23="","",2*3*$D23)</f>
        <v/>
      </c>
      <c r="AL23">
        <f>IF($A23="","",$BC$7*$D23)</f>
        <v/>
      </c>
      <c r="AM23">
        <f>IF($A23="","",$BC$6*$D23)</f>
        <v/>
      </c>
      <c r="AN23">
        <f>IF($A23="","",$BC$9*$D23)</f>
        <v/>
      </c>
      <c r="AO23">
        <f>IF($A23="","",$BC$10*$D23)</f>
        <v/>
      </c>
      <c r="AP23">
        <f>IF($A23="","",2*$BC$6*$D23)</f>
        <v/>
      </c>
      <c r="AQ23">
        <f>IF($A23="","",IF($B23&gt;2800,2,IF($B23&gt;1400,1,0))*$BC$6*$D23)</f>
        <v/>
      </c>
      <c r="AR23">
        <f>IF($A23="","",2*$BC$6*$D23)</f>
        <v/>
      </c>
      <c r="AS23">
        <f>IF($A23="","",$BC$6*$D23)</f>
        <v/>
      </c>
      <c r="AT23">
        <f>IF($A23="","",2*$BC$6*$D23)</f>
        <v/>
      </c>
      <c r="AU23">
        <f>IF($A23="","",4*3*$D23)</f>
        <v/>
      </c>
      <c r="AV23">
        <f>IF($A23="","",16*3*$D23)</f>
        <v/>
      </c>
      <c r="AW23">
        <f>IF($A23="","",(2+MAX(0,ROUNDUP(($G23-1500)/500,0)))*$D23)</f>
        <v/>
      </c>
      <c r="AX23">
        <f>IF($A23="","",(2+MAX(0,ROUNDUP(($G23-1500)/500,0)))*$D23)</f>
        <v/>
      </c>
      <c r="AY23">
        <f>IF($A23="","",ROUND((2*2*($M23+$K23)*3*$D23+$S23*$T23)/1000,1))</f>
        <v/>
      </c>
    </row>
    <row r="24" ht="40.15" customHeight="1">
      <c r="A24" s="99" t="n"/>
      <c r="B24" s="88" t="n"/>
      <c r="C24" s="89" t="n"/>
      <c r="D24" s="90" t="n"/>
      <c r="E24" s="96">
        <f>IF($A24="","",$B24)</f>
        <v/>
      </c>
      <c r="F24" s="97">
        <f>IF($A24="","",$L$54*$D24)</f>
        <v/>
      </c>
      <c r="G24" s="96">
        <f>IF($A24="","",$C24-$E$55-$F$55)</f>
        <v/>
      </c>
      <c r="H24" s="97">
        <f>IF($A24="","",$L$55*$D24)</f>
        <v/>
      </c>
      <c r="I24" s="96">
        <f>IF($A24="","",$C24)</f>
        <v/>
      </c>
      <c r="J24" s="97">
        <f>IF($A24="","",$L$56*$D24)</f>
        <v/>
      </c>
      <c r="K24" s="96">
        <f>IF($A24="","",$B24-$E$57-$F$57-$G$57-$H$57)</f>
        <v/>
      </c>
      <c r="L24" s="97">
        <f>IF($A24="","",$L$57*$D24)</f>
        <v/>
      </c>
      <c r="M24" s="96">
        <f>IF($A24="","",(($C24-$E$58-$F$58-$G$58-$H$58-$I$58)/3)+(78*2)/3)</f>
        <v/>
      </c>
      <c r="N24" s="97">
        <f>IF($A24="","",$L$58*$D24)</f>
        <v/>
      </c>
      <c r="O24" s="96">
        <f>IF($A24="","",$K24-$E$59-$F$59)</f>
        <v/>
      </c>
      <c r="P24" s="97">
        <f>IF($A24="","",$L$59*$D24)</f>
        <v/>
      </c>
      <c r="Q24" s="96">
        <f>IF($A24="","",$M24-$E$60-$F$60)</f>
        <v/>
      </c>
      <c r="R24" s="97">
        <f>IF($A24="","",$L$60*$D24)</f>
        <v/>
      </c>
      <c r="S24" s="96">
        <f>IF($A24="","",$K24)</f>
        <v/>
      </c>
      <c r="T24" s="97">
        <f>IF($A24="","",$L$61*$D24)</f>
        <v/>
      </c>
      <c r="U24" s="96">
        <f>IF($A24="","",$B24-$E$62-$F$62)</f>
        <v/>
      </c>
      <c r="V24" s="97">
        <f>IF($A24="","",$L$62*$D24)</f>
        <v/>
      </c>
      <c r="W24" s="96">
        <f>IF($A24="","",$C24-$E$63-$F$63)</f>
        <v/>
      </c>
      <c r="X24" s="97">
        <f>IF($A24="","",$L$63*$D24)</f>
        <v/>
      </c>
      <c r="Y24" s="96">
        <f>IF($A24="","",$B24-$E$64-$F$64)</f>
        <v/>
      </c>
      <c r="Z24" s="97">
        <f>IF($A24="","",$L$64*$D24)</f>
        <v/>
      </c>
      <c r="AA24" s="96">
        <f>IF($A24="","",$S24)</f>
        <v/>
      </c>
      <c r="AB24" s="97">
        <f>IF($A24="","",$L$65*$D24)</f>
        <v/>
      </c>
      <c r="AC24" s="96">
        <f>IF($A24="","",$C24)</f>
        <v/>
      </c>
      <c r="AD24" s="97">
        <f>IF($A24="","",$L$66*$D24)</f>
        <v/>
      </c>
      <c r="AE24" s="96">
        <f>IF($A24="","",$C24-$E$67-$F$67)</f>
        <v/>
      </c>
      <c r="AF24" s="97">
        <f>IF($A24="","",$L$67*$D24)</f>
        <v/>
      </c>
      <c r="AG24" s="93">
        <f>IF($A24="","",$K24-68-68)</f>
        <v/>
      </c>
      <c r="AH24" s="94">
        <f>IF($A24="","",$M24-68-68)</f>
        <v/>
      </c>
      <c r="AI24" s="95">
        <f>IF($A24="","",3*$D24)</f>
        <v/>
      </c>
      <c r="AK24">
        <f>IF($A24="","",2*3*$D24)</f>
        <v/>
      </c>
      <c r="AL24">
        <f>IF($A24="","",$BC$7*$D24)</f>
        <v/>
      </c>
      <c r="AM24">
        <f>IF($A24="","",$BC$6*$D24)</f>
        <v/>
      </c>
      <c r="AN24">
        <f>IF($A24="","",$BC$9*$D24)</f>
        <v/>
      </c>
      <c r="AO24">
        <f>IF($A24="","",$BC$10*$D24)</f>
        <v/>
      </c>
      <c r="AP24">
        <f>IF($A24="","",2*$BC$6*$D24)</f>
        <v/>
      </c>
      <c r="AQ24">
        <f>IF($A24="","",IF($B24&gt;2800,2,IF($B24&gt;1400,1,0))*$BC$6*$D24)</f>
        <v/>
      </c>
      <c r="AR24">
        <f>IF($A24="","",2*$BC$6*$D24)</f>
        <v/>
      </c>
      <c r="AS24">
        <f>IF($A24="","",$BC$6*$D24)</f>
        <v/>
      </c>
      <c r="AT24">
        <f>IF($A24="","",2*$BC$6*$D24)</f>
        <v/>
      </c>
      <c r="AU24">
        <f>IF($A24="","",4*3*$D24)</f>
        <v/>
      </c>
      <c r="AV24">
        <f>IF($A24="","",16*3*$D24)</f>
        <v/>
      </c>
      <c r="AW24">
        <f>IF($A24="","",(2+MAX(0,ROUNDUP(($G24-1500)/500,0)))*$D24)</f>
        <v/>
      </c>
      <c r="AX24">
        <f>IF($A24="","",(2+MAX(0,ROUNDUP(($G24-1500)/500,0)))*$D24)</f>
        <v/>
      </c>
      <c r="AY24">
        <f>IF($A24="","",ROUND((2*2*($M24+$K24)*3*$D24+$S24*$T24)/1000,1))</f>
        <v/>
      </c>
    </row>
    <row r="25" ht="40.15" customHeight="1">
      <c r="A25" s="99" t="n"/>
      <c r="B25" s="88" t="n"/>
      <c r="C25" s="89" t="n"/>
      <c r="D25" s="90" t="n"/>
      <c r="E25" s="91">
        <f>IF($A25="","",$B25)</f>
        <v/>
      </c>
      <c r="F25" s="89">
        <f>IF($A25="","",$L$54*$D25)</f>
        <v/>
      </c>
      <c r="G25" s="91">
        <f>IF($A25="","",$C25-$E$55-$F$55)</f>
        <v/>
      </c>
      <c r="H25" s="89">
        <f>IF($A25="","",$L$55*$D25)</f>
        <v/>
      </c>
      <c r="I25" s="91">
        <f>IF($A25="","",$C25)</f>
        <v/>
      </c>
      <c r="J25" s="89">
        <f>IF($A25="","",$L$56*$D25)</f>
        <v/>
      </c>
      <c r="K25" s="91">
        <f>IF($A25="","",$B25-$E$57-$F$57-$G$57-$H$57)</f>
        <v/>
      </c>
      <c r="L25" s="89">
        <f>IF($A25="","",$L$57*$D25)</f>
        <v/>
      </c>
      <c r="M25" s="91">
        <f>IF($A25="","",(($C25-$E$58-$F$58-$G$58-$H$58-$I$58)/3)+(78*2)/3)</f>
        <v/>
      </c>
      <c r="N25" s="89">
        <f>IF($A25="","",$L$58*$D25)</f>
        <v/>
      </c>
      <c r="O25" s="91">
        <f>IF($A25="","",$K25-$E$59-$F$59)</f>
        <v/>
      </c>
      <c r="P25" s="89">
        <f>IF($A25="","",$L$59*$D25)</f>
        <v/>
      </c>
      <c r="Q25" s="91">
        <f>IF($A25="","",$M25-$E$60-$F$60)</f>
        <v/>
      </c>
      <c r="R25" s="89">
        <f>IF($A25="","",$L$60*$D25)</f>
        <v/>
      </c>
      <c r="S25" s="91">
        <f>IF($A25="","",$K25)</f>
        <v/>
      </c>
      <c r="T25" s="89">
        <f>IF($A25="","",$L$61*$D25)</f>
        <v/>
      </c>
      <c r="U25" s="91">
        <f>IF($A25="","",$B25-$E$62-$F$62)</f>
        <v/>
      </c>
      <c r="V25" s="89">
        <f>IF($A25="","",$L$62*$D25)</f>
        <v/>
      </c>
      <c r="W25" s="91">
        <f>IF($A25="","",$C25-$E$63-$F$63)</f>
        <v/>
      </c>
      <c r="X25" s="89">
        <f>IF($A25="","",$L$63*$D25)</f>
        <v/>
      </c>
      <c r="Y25" s="91">
        <f>IF($A25="","",$B25-$E$64-$F$64)</f>
        <v/>
      </c>
      <c r="Z25" s="89">
        <f>IF($A25="","",$L$64*$D25)</f>
        <v/>
      </c>
      <c r="AA25" s="91">
        <f>IF($A25="","",$S25)</f>
        <v/>
      </c>
      <c r="AB25" s="89">
        <f>IF($A25="","",$L$65*$D25)</f>
        <v/>
      </c>
      <c r="AC25" s="91">
        <f>IF($A25="","",$C25)</f>
        <v/>
      </c>
      <c r="AD25" s="89">
        <f>IF($A25="","",$L$66*$D25)</f>
        <v/>
      </c>
      <c r="AE25" s="91">
        <f>IF($A25="","",$C25-$E$67-$F$67)</f>
        <v/>
      </c>
      <c r="AF25" s="89">
        <f>IF($A25="","",$L$67*$D25)</f>
        <v/>
      </c>
      <c r="AG25" s="93">
        <f>IF($A25="","",$K25-68-68)</f>
        <v/>
      </c>
      <c r="AH25" s="94">
        <f>IF($A25="","",$M25-68-68)</f>
        <v/>
      </c>
      <c r="AI25" s="95">
        <f>IF($A25="","",3*$D25)</f>
        <v/>
      </c>
      <c r="AK25">
        <f>IF($A25="","",2*3*$D25)</f>
        <v/>
      </c>
      <c r="AL25">
        <f>IF($A25="","",$BC$7*$D25)</f>
        <v/>
      </c>
      <c r="AM25">
        <f>IF($A25="","",$BC$6*$D25)</f>
        <v/>
      </c>
      <c r="AN25">
        <f>IF($A25="","",$BC$9*$D25)</f>
        <v/>
      </c>
      <c r="AO25">
        <f>IF($A25="","",$BC$10*$D25)</f>
        <v/>
      </c>
      <c r="AP25">
        <f>IF($A25="","",2*$BC$6*$D25)</f>
        <v/>
      </c>
      <c r="AQ25">
        <f>IF($A25="","",IF($B25&gt;2800,2,IF($B25&gt;1400,1,0))*$BC$6*$D25)</f>
        <v/>
      </c>
      <c r="AR25">
        <f>IF($A25="","",2*$BC$6*$D25)</f>
        <v/>
      </c>
      <c r="AS25">
        <f>IF($A25="","",$BC$6*$D25)</f>
        <v/>
      </c>
      <c r="AT25">
        <f>IF($A25="","",2*$BC$6*$D25)</f>
        <v/>
      </c>
      <c r="AU25">
        <f>IF($A25="","",4*3*$D25)</f>
        <v/>
      </c>
      <c r="AV25">
        <f>IF($A25="","",16*3*$D25)</f>
        <v/>
      </c>
      <c r="AW25">
        <f>IF($A25="","",(2+MAX(0,ROUNDUP(($G25-1500)/500,0)))*$D25)</f>
        <v/>
      </c>
      <c r="AX25">
        <f>IF($A25="","",(2+MAX(0,ROUNDUP(($G25-1500)/500,0)))*$D25)</f>
        <v/>
      </c>
      <c r="AY25">
        <f>IF($A25="","",ROUND((2*2*($M25+$K25)*3*$D25+$S25*$T25)/1000,1))</f>
        <v/>
      </c>
    </row>
    <row r="26" ht="40.15" customHeight="1">
      <c r="A26" s="99" t="n"/>
      <c r="B26" s="88" t="n"/>
      <c r="C26" s="89" t="n"/>
      <c r="D26" s="90" t="n"/>
      <c r="E26" s="96">
        <f>IF($A26="","",$B26)</f>
        <v/>
      </c>
      <c r="F26" s="97">
        <f>IF($A26="","",$L$54*$D26)</f>
        <v/>
      </c>
      <c r="G26" s="96">
        <f>IF($A26="","",$C26-$E$55-$F$55)</f>
        <v/>
      </c>
      <c r="H26" s="97">
        <f>IF($A26="","",$L$55*$D26)</f>
        <v/>
      </c>
      <c r="I26" s="96">
        <f>IF($A26="","",$C26)</f>
        <v/>
      </c>
      <c r="J26" s="97">
        <f>IF($A26="","",$L$56*$D26)</f>
        <v/>
      </c>
      <c r="K26" s="96">
        <f>IF($A26="","",$B26-$E$57-$F$57-$G$57-$H$57)</f>
        <v/>
      </c>
      <c r="L26" s="97">
        <f>IF($A26="","",$L$57*$D26)</f>
        <v/>
      </c>
      <c r="M26" s="96">
        <f>IF($A26="","",(($C26-$E$58-$F$58-$G$58-$H$58-$I$58)/3)+(78*2)/3)</f>
        <v/>
      </c>
      <c r="N26" s="97">
        <f>IF($A26="","",$L$58*$D26)</f>
        <v/>
      </c>
      <c r="O26" s="96">
        <f>IF($A26="","",$K26-$E$59-$F$59)</f>
        <v/>
      </c>
      <c r="P26" s="97">
        <f>IF($A26="","",$L$59*$D26)</f>
        <v/>
      </c>
      <c r="Q26" s="96">
        <f>IF($A26="","",$M26-$E$60-$F$60)</f>
        <v/>
      </c>
      <c r="R26" s="97">
        <f>IF($A26="","",$L$60*$D26)</f>
        <v/>
      </c>
      <c r="S26" s="96">
        <f>IF($A26="","",$K26)</f>
        <v/>
      </c>
      <c r="T26" s="97">
        <f>IF($A26="","",$L$61*$D26)</f>
        <v/>
      </c>
      <c r="U26" s="96">
        <f>IF($A26="","",$B26-$E$62-$F$62)</f>
        <v/>
      </c>
      <c r="V26" s="97">
        <f>IF($A26="","",$L$62*$D26)</f>
        <v/>
      </c>
      <c r="W26" s="96">
        <f>IF($A26="","",$C26-$E$63-$F$63)</f>
        <v/>
      </c>
      <c r="X26" s="97">
        <f>IF($A26="","",$L$63*$D26)</f>
        <v/>
      </c>
      <c r="Y26" s="96">
        <f>IF($A26="","",$B26-$E$64-$F$64)</f>
        <v/>
      </c>
      <c r="Z26" s="97">
        <f>IF($A26="","",$L$64*$D26)</f>
        <v/>
      </c>
      <c r="AA26" s="96">
        <f>IF($A26="","",$S26)</f>
        <v/>
      </c>
      <c r="AB26" s="97">
        <f>IF($A26="","",$L$65*$D26)</f>
        <v/>
      </c>
      <c r="AC26" s="96">
        <f>IF($A26="","",$C26)</f>
        <v/>
      </c>
      <c r="AD26" s="97">
        <f>IF($A26="","",$L$66*$D26)</f>
        <v/>
      </c>
      <c r="AE26" s="96">
        <f>IF($A26="","",$C26-$E$67-$F$67)</f>
        <v/>
      </c>
      <c r="AF26" s="97">
        <f>IF($A26="","",$L$67*$D26)</f>
        <v/>
      </c>
      <c r="AG26" s="93">
        <f>IF($A26="","",$K26-68-68)</f>
        <v/>
      </c>
      <c r="AH26" s="94">
        <f>IF($A26="","",$M26-68-68)</f>
        <v/>
      </c>
      <c r="AI26" s="95">
        <f>IF($A26="","",3*$D26)</f>
        <v/>
      </c>
      <c r="AK26">
        <f>IF($A26="","",2*3*$D26)</f>
        <v/>
      </c>
      <c r="AL26">
        <f>IF($A26="","",$BC$7*$D26)</f>
        <v/>
      </c>
      <c r="AM26">
        <f>IF($A26="","",$BC$6*$D26)</f>
        <v/>
      </c>
      <c r="AN26">
        <f>IF($A26="","",$BC$9*$D26)</f>
        <v/>
      </c>
      <c r="AO26">
        <f>IF($A26="","",$BC$10*$D26)</f>
        <v/>
      </c>
      <c r="AP26">
        <f>IF($A26="","",2*$BC$6*$D26)</f>
        <v/>
      </c>
      <c r="AQ26">
        <f>IF($A26="","",IF($B26&gt;2800,2,IF($B26&gt;1400,1,0))*$BC$6*$D26)</f>
        <v/>
      </c>
      <c r="AR26">
        <f>IF($A26="","",2*$BC$6*$D26)</f>
        <v/>
      </c>
      <c r="AS26">
        <f>IF($A26="","",$BC$6*$D26)</f>
        <v/>
      </c>
      <c r="AT26">
        <f>IF($A26="","",2*$BC$6*$D26)</f>
        <v/>
      </c>
      <c r="AU26">
        <f>IF($A26="","",4*3*$D26)</f>
        <v/>
      </c>
      <c r="AV26">
        <f>IF($A26="","",16*3*$D26)</f>
        <v/>
      </c>
      <c r="AW26">
        <f>IF($A26="","",(2+MAX(0,ROUNDUP(($G26-1500)/500,0)))*$D26)</f>
        <v/>
      </c>
      <c r="AX26">
        <f>IF($A26="","",(2+MAX(0,ROUNDUP(($G26-1500)/500,0)))*$D26)</f>
        <v/>
      </c>
      <c r="AY26">
        <f>IF($A26="","",ROUND((2*2*($M26+$K26)*3*$D26+$S26*$T26)/1000,1))</f>
        <v/>
      </c>
    </row>
    <row r="27" ht="40.15" customHeight="1">
      <c r="A27" s="99" t="n"/>
      <c r="B27" s="88" t="n"/>
      <c r="C27" s="89" t="n"/>
      <c r="D27" s="90" t="n"/>
      <c r="E27" s="91">
        <f>IF($A27="","",$B27)</f>
        <v/>
      </c>
      <c r="F27" s="89">
        <f>IF($A27="","",$L$54*$D27)</f>
        <v/>
      </c>
      <c r="G27" s="91">
        <f>IF($A27="","",$C27-$E$55-$F$55)</f>
        <v/>
      </c>
      <c r="H27" s="89">
        <f>IF($A27="","",$L$55*$D27)</f>
        <v/>
      </c>
      <c r="I27" s="91">
        <f>IF($A27="","",$C27)</f>
        <v/>
      </c>
      <c r="J27" s="89">
        <f>IF($A27="","",$L$56*$D27)</f>
        <v/>
      </c>
      <c r="K27" s="91">
        <f>IF($A27="","",$B27-$E$57-$F$57-$G$57-$H$57)</f>
        <v/>
      </c>
      <c r="L27" s="89">
        <f>IF($A27="","",$L$57*$D27)</f>
        <v/>
      </c>
      <c r="M27" s="91">
        <f>IF($A27="","",(($C27-$E$58-$F$58-$G$58-$H$58-$I$58)/3)+(78*2)/3)</f>
        <v/>
      </c>
      <c r="N27" s="89">
        <f>IF($A27="","",$L$58*$D27)</f>
        <v/>
      </c>
      <c r="O27" s="91">
        <f>IF($A27="","",$K27-$E$59-$F$59)</f>
        <v/>
      </c>
      <c r="P27" s="89">
        <f>IF($A27="","",$L$59*$D27)</f>
        <v/>
      </c>
      <c r="Q27" s="91">
        <f>IF($A27="","",$M27-$E$60-$F$60)</f>
        <v/>
      </c>
      <c r="R27" s="89">
        <f>IF($A27="","",$L$60*$D27)</f>
        <v/>
      </c>
      <c r="S27" s="91">
        <f>IF($A27="","",$K27)</f>
        <v/>
      </c>
      <c r="T27" s="89">
        <f>IF($A27="","",$L$61*$D27)</f>
        <v/>
      </c>
      <c r="U27" s="91">
        <f>IF($A27="","",$B27-$E$62-$F$62)</f>
        <v/>
      </c>
      <c r="V27" s="89">
        <f>IF($A27="","",$L$62*$D27)</f>
        <v/>
      </c>
      <c r="W27" s="91">
        <f>IF($A27="","",$C27-$E$63-$F$63)</f>
        <v/>
      </c>
      <c r="X27" s="89">
        <f>IF($A27="","",$L$63*$D27)</f>
        <v/>
      </c>
      <c r="Y27" s="91">
        <f>IF($A27="","",$B27-$E$64-$F$64)</f>
        <v/>
      </c>
      <c r="Z27" s="89">
        <f>IF($A27="","",$L$64*$D27)</f>
        <v/>
      </c>
      <c r="AA27" s="91">
        <f>IF($A27="","",$S27)</f>
        <v/>
      </c>
      <c r="AB27" s="89">
        <f>IF($A27="","",$L$65*$D27)</f>
        <v/>
      </c>
      <c r="AC27" s="91">
        <f>IF($A27="","",$C27)</f>
        <v/>
      </c>
      <c r="AD27" s="89">
        <f>IF($A27="","",$L$66*$D27)</f>
        <v/>
      </c>
      <c r="AE27" s="91">
        <f>IF($A27="","",$C27-$E$67-$F$67)</f>
        <v/>
      </c>
      <c r="AF27" s="89">
        <f>IF($A27="","",$L$67*$D27)</f>
        <v/>
      </c>
      <c r="AG27" s="93">
        <f>IF($A27="","",$K27-68-68)</f>
        <v/>
      </c>
      <c r="AH27" s="94">
        <f>IF($A27="","",$M27-68-68)</f>
        <v/>
      </c>
      <c r="AI27" s="95">
        <f>IF($A27="","",3*$D27)</f>
        <v/>
      </c>
      <c r="AK27">
        <f>IF($A27="","",2*3*$D27)</f>
        <v/>
      </c>
      <c r="AL27">
        <f>IF($A27="","",$BC$7*$D27)</f>
        <v/>
      </c>
      <c r="AM27">
        <f>IF($A27="","",$BC$6*$D27)</f>
        <v/>
      </c>
      <c r="AN27">
        <f>IF($A27="","",$BC$9*$D27)</f>
        <v/>
      </c>
      <c r="AO27">
        <f>IF($A27="","",$BC$10*$D27)</f>
        <v/>
      </c>
      <c r="AP27">
        <f>IF($A27="","",2*$BC$6*$D27)</f>
        <v/>
      </c>
      <c r="AQ27">
        <f>IF($A27="","",IF($B27&gt;2800,2,IF($B27&gt;1400,1,0))*$BC$6*$D27)</f>
        <v/>
      </c>
      <c r="AR27">
        <f>IF($A27="","",2*$BC$6*$D27)</f>
        <v/>
      </c>
      <c r="AS27">
        <f>IF($A27="","",$BC$6*$D27)</f>
        <v/>
      </c>
      <c r="AT27">
        <f>IF($A27="","",2*$BC$6*$D27)</f>
        <v/>
      </c>
      <c r="AU27">
        <f>IF($A27="","",4*3*$D27)</f>
        <v/>
      </c>
      <c r="AV27">
        <f>IF($A27="","",16*3*$D27)</f>
        <v/>
      </c>
      <c r="AW27">
        <f>IF($A27="","",(2+MAX(0,ROUNDUP(($G27-1500)/500,0)))*$D27)</f>
        <v/>
      </c>
      <c r="AX27">
        <f>IF($A27="","",(2+MAX(0,ROUNDUP(($G27-1500)/500,0)))*$D27)</f>
        <v/>
      </c>
      <c r="AY27">
        <f>IF($A27="","",ROUND((2*2*($M27+$K27)*3*$D27+$S27*$T27)/1000,1))</f>
        <v/>
      </c>
    </row>
    <row r="28" ht="40.15" customHeight="1">
      <c r="A28" s="99" t="n"/>
      <c r="B28" s="88" t="n"/>
      <c r="C28" s="89" t="n"/>
      <c r="D28" s="90" t="n"/>
      <c r="E28" s="96">
        <f>IF($A28="","",$B28)</f>
        <v/>
      </c>
      <c r="F28" s="97">
        <f>IF($A28="","",$L$54*$D28)</f>
        <v/>
      </c>
      <c r="G28" s="96">
        <f>IF($A28="","",$C28-$E$55-$F$55)</f>
        <v/>
      </c>
      <c r="H28" s="97">
        <f>IF($A28="","",$L$55*$D28)</f>
        <v/>
      </c>
      <c r="I28" s="96">
        <f>IF($A28="","",$C28)</f>
        <v/>
      </c>
      <c r="J28" s="97">
        <f>IF($A28="","",$L$56*$D28)</f>
        <v/>
      </c>
      <c r="K28" s="96">
        <f>IF($A28="","",$B28-$E$57-$F$57-$G$57-$H$57)</f>
        <v/>
      </c>
      <c r="L28" s="97">
        <f>IF($A28="","",$L$57*$D28)</f>
        <v/>
      </c>
      <c r="M28" s="96">
        <f>IF($A28="","",(($C28-$E$58-$F$58-$G$58-$H$58-$I$58)/3)+(78*2)/3)</f>
        <v/>
      </c>
      <c r="N28" s="97">
        <f>IF($A28="","",$L$58*$D28)</f>
        <v/>
      </c>
      <c r="O28" s="96">
        <f>IF($A28="","",$K28-$E$59-$F$59)</f>
        <v/>
      </c>
      <c r="P28" s="97">
        <f>IF($A28="","",$L$59*$D28)</f>
        <v/>
      </c>
      <c r="Q28" s="96">
        <f>IF($A28="","",$M28-$E$60-$F$60)</f>
        <v/>
      </c>
      <c r="R28" s="97">
        <f>IF($A28="","",$L$60*$D28)</f>
        <v/>
      </c>
      <c r="S28" s="96">
        <f>IF($A28="","",$K28)</f>
        <v/>
      </c>
      <c r="T28" s="97">
        <f>IF($A28="","",$L$61*$D28)</f>
        <v/>
      </c>
      <c r="U28" s="96">
        <f>IF($A28="","",$B28-$E$62-$F$62)</f>
        <v/>
      </c>
      <c r="V28" s="97">
        <f>IF($A28="","",$L$62*$D28)</f>
        <v/>
      </c>
      <c r="W28" s="96">
        <f>IF($A28="","",$C28-$E$63-$F$63)</f>
        <v/>
      </c>
      <c r="X28" s="97">
        <f>IF($A28="","",$L$63*$D28)</f>
        <v/>
      </c>
      <c r="Y28" s="96">
        <f>IF($A28="","",$B28-$E$64-$F$64)</f>
        <v/>
      </c>
      <c r="Z28" s="97">
        <f>IF($A28="","",$L$64*$D28)</f>
        <v/>
      </c>
      <c r="AA28" s="96">
        <f>IF($A28="","",$S28)</f>
        <v/>
      </c>
      <c r="AB28" s="97">
        <f>IF($A28="","",$L$65*$D28)</f>
        <v/>
      </c>
      <c r="AC28" s="96">
        <f>IF($A28="","",$C28)</f>
        <v/>
      </c>
      <c r="AD28" s="97">
        <f>IF($A28="","",$L$66*$D28)</f>
        <v/>
      </c>
      <c r="AE28" s="96">
        <f>IF($A28="","",$C28-$E$67-$F$67)</f>
        <v/>
      </c>
      <c r="AF28" s="97">
        <f>IF($A28="","",$L$67*$D28)</f>
        <v/>
      </c>
      <c r="AG28" s="93">
        <f>IF($A28="","",$K28-68-68)</f>
        <v/>
      </c>
      <c r="AH28" s="94">
        <f>IF($A28="","",$M28-68-68)</f>
        <v/>
      </c>
      <c r="AI28" s="95">
        <f>IF($A28="","",3*$D28)</f>
        <v/>
      </c>
      <c r="AK28">
        <f>IF($A28="","",2*3*$D28)</f>
        <v/>
      </c>
      <c r="AL28">
        <f>IF($A28="","",$BC$7*$D28)</f>
        <v/>
      </c>
      <c r="AM28">
        <f>IF($A28="","",$BC$6*$D28)</f>
        <v/>
      </c>
      <c r="AN28">
        <f>IF($A28="","",$BC$9*$D28)</f>
        <v/>
      </c>
      <c r="AO28">
        <f>IF($A28="","",$BC$10*$D28)</f>
        <v/>
      </c>
      <c r="AP28">
        <f>IF($A28="","",2*$BC$6*$D28)</f>
        <v/>
      </c>
      <c r="AQ28">
        <f>IF($A28="","",IF($B28&gt;2800,2,IF($B28&gt;1400,1,0))*$BC$6*$D28)</f>
        <v/>
      </c>
      <c r="AR28">
        <f>IF($A28="","",2*$BC$6*$D28)</f>
        <v/>
      </c>
      <c r="AS28">
        <f>IF($A28="","",$BC$6*$D28)</f>
        <v/>
      </c>
      <c r="AT28">
        <f>IF($A28="","",2*$BC$6*$D28)</f>
        <v/>
      </c>
      <c r="AU28">
        <f>IF($A28="","",4*3*$D28)</f>
        <v/>
      </c>
      <c r="AV28">
        <f>IF($A28="","",16*3*$D28)</f>
        <v/>
      </c>
      <c r="AW28">
        <f>IF($A28="","",(2+MAX(0,ROUNDUP(($G28-1500)/500,0)))*$D28)</f>
        <v/>
      </c>
      <c r="AX28">
        <f>IF($A28="","",(2+MAX(0,ROUNDUP(($G28-1500)/500,0)))*$D28)</f>
        <v/>
      </c>
      <c r="AY28">
        <f>IF($A28="","",ROUND((2*2*($M28+$K28)*3*$D28+$S28*$T28)/1000,1))</f>
        <v/>
      </c>
    </row>
    <row r="29" ht="40.15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9" t="n"/>
    </row>
    <row r="30" ht="40.15" customHeight="1">
      <c r="A30" s="70" t="inlineStr">
        <is>
          <t>จำนวนเส้น 6.4 ม. ที่ต้องสั่ง →</t>
        </is>
      </c>
      <c r="B30" s="20" t="n"/>
      <c r="C30" s="20" t="n"/>
      <c r="D30" s="21" t="n"/>
      <c r="E30" s="110">
        <f>E$7</f>
        <v/>
      </c>
      <c r="F30" s="111">
        <f>(ROUNDUP(F49/6400,0))</f>
        <v/>
      </c>
      <c r="G30" s="111">
        <f>G$7</f>
        <v/>
      </c>
      <c r="H30" s="111">
        <f>(ROUNDUP(H49/6400,0))</f>
        <v/>
      </c>
      <c r="I30" s="111">
        <f>I$7</f>
        <v/>
      </c>
      <c r="J30" s="111">
        <f>(ROUNDUP(J49/6400,0))</f>
        <v/>
      </c>
      <c r="K30" s="111">
        <f>K$7</f>
        <v/>
      </c>
      <c r="L30" s="20" t="n"/>
      <c r="M30" s="21" t="n"/>
      <c r="N30" s="111">
        <f>(ROUNDUP(SUM(L49:N49)/6400,0))</f>
        <v/>
      </c>
      <c r="O30" s="111">
        <f>O$7</f>
        <v/>
      </c>
      <c r="P30" s="20" t="n"/>
      <c r="Q30" s="21" t="n"/>
      <c r="R30" s="111">
        <f>(ROUNDUP(SUM(P49:R49)/6400,0))</f>
        <v/>
      </c>
      <c r="S30" s="111">
        <f>S$7</f>
        <v/>
      </c>
      <c r="T30" s="111">
        <f>(ROUNDUP(T49/6400,0))</f>
        <v/>
      </c>
      <c r="U30" s="111">
        <f>U$7</f>
        <v/>
      </c>
      <c r="V30" s="111">
        <f>(ROUNDUP(V49/6400,0))</f>
        <v/>
      </c>
      <c r="W30" s="111">
        <f>W$7</f>
        <v/>
      </c>
      <c r="X30" s="111">
        <f>(ROUNDUP(X49/5000,0))</f>
        <v/>
      </c>
      <c r="Y30" s="111">
        <f>Y$7</f>
        <v/>
      </c>
      <c r="Z30" s="20" t="n"/>
      <c r="AA30" s="20" t="n"/>
      <c r="AB30" s="20" t="n"/>
      <c r="AC30" s="21" t="n"/>
      <c r="AD30" s="111">
        <f>(ROUNDUP(SUM(Z49:AD49)/6400,0))</f>
        <v/>
      </c>
      <c r="AE30" s="111">
        <f>AE$7</f>
        <v/>
      </c>
      <c r="AF30" s="111">
        <f>(ROUNDUP(AF49/5000,0))</f>
        <v/>
      </c>
      <c r="AJ30" t="inlineStr">
        <is>
          <t>รวม</t>
        </is>
      </c>
      <c r="AK30">
        <f>SUM(AK11:AK28)</f>
        <v/>
      </c>
      <c r="AL30">
        <f>SUM(AL11:AL28)</f>
        <v/>
      </c>
      <c r="AM30">
        <f>SUM(AM11:AM28)</f>
        <v/>
      </c>
      <c r="AN30">
        <f>SUM(AN11:AN28)</f>
        <v/>
      </c>
      <c r="AO30">
        <f>SUM(AO11:AO28)</f>
        <v/>
      </c>
      <c r="AP30">
        <f>SUM(AP11:AP28)</f>
        <v/>
      </c>
      <c r="AQ30">
        <f>SUM(AQ11:AQ28)</f>
        <v/>
      </c>
      <c r="AR30">
        <f>SUM(AR11:AR28)</f>
        <v/>
      </c>
      <c r="AS30">
        <f>SUM(AS11:AS28)</f>
        <v/>
      </c>
      <c r="AT30">
        <f>SUM(AT11:AT28)</f>
        <v/>
      </c>
      <c r="AU30">
        <f>SUM(AU11:AU28)</f>
        <v/>
      </c>
      <c r="AV30">
        <f>SUM(AV11:AV28)</f>
        <v/>
      </c>
      <c r="AW30">
        <f>SUM(AW11:AW28)</f>
        <v/>
      </c>
      <c r="AX30">
        <f>SUM(AX11:AX28)</f>
        <v/>
      </c>
      <c r="AY30">
        <f>SUM(AY11:AY28)</f>
        <v/>
      </c>
    </row>
    <row r="31" hidden="1" ht="40.15" customHeight="1">
      <c r="F31" s="73">
        <f>IF($A11="","",F11*E11)</f>
        <v/>
      </c>
      <c r="G31" s="73" t="n"/>
      <c r="H31" s="73">
        <f>IF($A11="","",H11*G11)</f>
        <v/>
      </c>
      <c r="I31" s="73" t="n"/>
      <c r="J31" s="73">
        <f>IF($A11="","",J11*I11)</f>
        <v/>
      </c>
      <c r="K31" s="73" t="n"/>
      <c r="L31" s="73">
        <f>IF($A11="","",L11*K11)</f>
        <v/>
      </c>
      <c r="M31" s="73" t="n"/>
      <c r="N31" s="73">
        <f>IF($A11="","",N11*M11)</f>
        <v/>
      </c>
      <c r="O31" s="73" t="n"/>
      <c r="P31" s="73">
        <f>IF($A11="","",P11*O11)</f>
        <v/>
      </c>
      <c r="Q31" s="73" t="n"/>
      <c r="R31" s="73">
        <f>IF($A11="","",R11*Q11)</f>
        <v/>
      </c>
      <c r="S31" s="73" t="n"/>
      <c r="T31" s="73">
        <f>IF($A11="","",T11*S11)</f>
        <v/>
      </c>
      <c r="U31" s="73" t="n"/>
      <c r="V31" s="73">
        <f>IF($A11="","",V11*U11)</f>
        <v/>
      </c>
      <c r="W31" s="73" t="n"/>
      <c r="X31" s="73">
        <f>IF($A11="","",X11*W11)</f>
        <v/>
      </c>
      <c r="Y31" s="73" t="n"/>
      <c r="Z31" s="73">
        <f>IF($A11="","",Z11*Y11)</f>
        <v/>
      </c>
      <c r="AA31" s="73" t="n"/>
      <c r="AB31" s="73">
        <f>IF($A11="","",AB11*AA11)</f>
        <v/>
      </c>
      <c r="AC31" s="73" t="n"/>
      <c r="AD31" s="73">
        <f>IF($A11="","",AD11*AC11)</f>
        <v/>
      </c>
      <c r="AE31" s="73" t="n"/>
      <c r="AF31" s="73">
        <f>IF($A11="","",AF11*AE11)</f>
        <v/>
      </c>
    </row>
    <row r="32" hidden="1" ht="40.15" customHeight="1">
      <c r="F32" s="73">
        <f>IF($A12="","",F12*E12)</f>
        <v/>
      </c>
      <c r="G32" s="73" t="n"/>
      <c r="H32" s="73">
        <f>IF($A12="","",H12*G12)</f>
        <v/>
      </c>
      <c r="I32" s="73" t="n"/>
      <c r="J32" s="73">
        <f>IF($A12="","",J12*I12)</f>
        <v/>
      </c>
      <c r="K32" s="73" t="n"/>
      <c r="L32" s="73">
        <f>IF($A12="","",L12*K12)</f>
        <v/>
      </c>
      <c r="M32" s="73" t="n"/>
      <c r="N32" s="73">
        <f>IF($A12="","",N12*M12)</f>
        <v/>
      </c>
      <c r="O32" s="73" t="n"/>
      <c r="P32" s="73">
        <f>IF($A12="","",P12*O12)</f>
        <v/>
      </c>
      <c r="Q32" s="73" t="n"/>
      <c r="R32" s="73">
        <f>IF($A12="","",R12*Q12)</f>
        <v/>
      </c>
      <c r="S32" s="73" t="n"/>
      <c r="T32" s="73">
        <f>IF($A12="","",T12*S12)</f>
        <v/>
      </c>
      <c r="U32" s="73" t="n"/>
      <c r="V32" s="73">
        <f>IF($A12="","",V12*U12)</f>
        <v/>
      </c>
      <c r="W32" s="73" t="n"/>
      <c r="X32" s="73">
        <f>IF($A12="","",X12*W12)</f>
        <v/>
      </c>
      <c r="Y32" s="73" t="n"/>
      <c r="Z32" s="73">
        <f>IF($A12="","",Z12*Y12)</f>
        <v/>
      </c>
      <c r="AA32" s="73" t="n"/>
      <c r="AB32" s="73">
        <f>IF($A12="","",AB12*AA12)</f>
        <v/>
      </c>
      <c r="AC32" s="73" t="n"/>
      <c r="AD32" s="73">
        <f>IF($A12="","",AD12*AC12)</f>
        <v/>
      </c>
      <c r="AE32" s="73" t="n"/>
      <c r="AF32" s="73">
        <f>IF($A12="","",AF12*AE12)</f>
        <v/>
      </c>
    </row>
    <row r="33" hidden="1" ht="40.15" customHeight="1">
      <c r="F33" s="73">
        <f>IF($A13="","",F13*E13)</f>
        <v/>
      </c>
      <c r="G33" s="73" t="n"/>
      <c r="H33" s="73">
        <f>IF($A13="","",H13*G13)</f>
        <v/>
      </c>
      <c r="I33" s="73" t="n"/>
      <c r="J33" s="73">
        <f>IF($A13="","",J13*I13)</f>
        <v/>
      </c>
      <c r="K33" s="73" t="n"/>
      <c r="L33" s="73">
        <f>IF($A13="","",L13*K13)</f>
        <v/>
      </c>
      <c r="M33" s="73" t="n"/>
      <c r="N33" s="73">
        <f>IF($A13="","",N13*M13)</f>
        <v/>
      </c>
      <c r="O33" s="73" t="n"/>
      <c r="P33" s="73">
        <f>IF($A13="","",P13*O13)</f>
        <v/>
      </c>
      <c r="Q33" s="73" t="n"/>
      <c r="R33" s="73">
        <f>IF($A13="","",R13*Q13)</f>
        <v/>
      </c>
      <c r="S33" s="73" t="n"/>
      <c r="T33" s="73">
        <f>IF($A13="","",T13*S13)</f>
        <v/>
      </c>
      <c r="U33" s="73" t="n"/>
      <c r="V33" s="73">
        <f>IF($A13="","",V13*U13)</f>
        <v/>
      </c>
      <c r="W33" s="73" t="n"/>
      <c r="X33" s="73">
        <f>IF($A13="","",X13*W13)</f>
        <v/>
      </c>
      <c r="Y33" s="73" t="n"/>
      <c r="Z33" s="73">
        <f>IF($A13="","",Z13*Y13)</f>
        <v/>
      </c>
      <c r="AA33" s="73" t="n"/>
      <c r="AB33" s="73">
        <f>IF($A13="","",AB13*AA13)</f>
        <v/>
      </c>
      <c r="AC33" s="73" t="n"/>
      <c r="AD33" s="73">
        <f>IF($A13="","",AD13*AC13)</f>
        <v/>
      </c>
      <c r="AE33" s="73" t="n"/>
      <c r="AF33" s="73">
        <f>IF($A13="","",AF13*AE13)</f>
        <v/>
      </c>
    </row>
    <row r="34" hidden="1" ht="40.15" customHeight="1">
      <c r="F34" s="73">
        <f>IF($A14="","",F14*E14)</f>
        <v/>
      </c>
      <c r="G34" s="73" t="n"/>
      <c r="H34" s="73">
        <f>IF($A14="","",H14*G14)</f>
        <v/>
      </c>
      <c r="I34" s="73" t="n"/>
      <c r="J34" s="73">
        <f>IF($A14="","",J14*I14)</f>
        <v/>
      </c>
      <c r="K34" s="73" t="n"/>
      <c r="L34" s="73">
        <f>IF($A14="","",L14*K14)</f>
        <v/>
      </c>
      <c r="M34" s="73" t="n"/>
      <c r="N34" s="73">
        <f>IF($A14="","",N14*M14)</f>
        <v/>
      </c>
      <c r="O34" s="73" t="n"/>
      <c r="P34" s="73">
        <f>IF($A14="","",P14*O14)</f>
        <v/>
      </c>
      <c r="Q34" s="73" t="n"/>
      <c r="R34" s="73">
        <f>IF($A14="","",R14*Q14)</f>
        <v/>
      </c>
      <c r="S34" s="73" t="n"/>
      <c r="T34" s="73">
        <f>IF($A14="","",T14*S14)</f>
        <v/>
      </c>
      <c r="U34" s="73" t="n"/>
      <c r="V34" s="73">
        <f>IF($A14="","",V14*U14)</f>
        <v/>
      </c>
      <c r="W34" s="73" t="n"/>
      <c r="X34" s="73">
        <f>IF($A14="","",X14*W14)</f>
        <v/>
      </c>
      <c r="Y34" s="73" t="n"/>
      <c r="Z34" s="73">
        <f>IF($A14="","",Z14*Y14)</f>
        <v/>
      </c>
      <c r="AA34" s="73" t="n"/>
      <c r="AB34" s="73">
        <f>IF($A14="","",AB14*AA14)</f>
        <v/>
      </c>
      <c r="AC34" s="73" t="n"/>
      <c r="AD34" s="73">
        <f>IF($A14="","",AD14*AC14)</f>
        <v/>
      </c>
      <c r="AE34" s="73" t="n"/>
      <c r="AF34" s="73">
        <f>IF($A14="","",AF14*AE14)</f>
        <v/>
      </c>
    </row>
    <row r="35" hidden="1" ht="40.15" customHeight="1">
      <c r="F35" s="73">
        <f>IF($A15="","",F15*E15)</f>
        <v/>
      </c>
      <c r="G35" s="73" t="n"/>
      <c r="H35" s="73">
        <f>IF($A15="","",H15*G15)</f>
        <v/>
      </c>
      <c r="I35" s="73" t="n"/>
      <c r="J35" s="73">
        <f>IF($A15="","",J15*I15)</f>
        <v/>
      </c>
      <c r="K35" s="73" t="n"/>
      <c r="L35" s="73">
        <f>IF($A15="","",L15*K15)</f>
        <v/>
      </c>
      <c r="M35" s="73" t="n"/>
      <c r="N35" s="73">
        <f>IF($A15="","",N15*M15)</f>
        <v/>
      </c>
      <c r="O35" s="73" t="n"/>
      <c r="P35" s="73">
        <f>IF($A15="","",P15*O15)</f>
        <v/>
      </c>
      <c r="Q35" s="73" t="n"/>
      <c r="R35" s="73">
        <f>IF($A15="","",R15*Q15)</f>
        <v/>
      </c>
      <c r="S35" s="73" t="n"/>
      <c r="T35" s="73">
        <f>IF($A15="","",T15*S15)</f>
        <v/>
      </c>
      <c r="U35" s="73" t="n"/>
      <c r="V35" s="73">
        <f>IF($A15="","",V15*U15)</f>
        <v/>
      </c>
      <c r="W35" s="73" t="n"/>
      <c r="X35" s="73">
        <f>IF($A15="","",X15*W15)</f>
        <v/>
      </c>
      <c r="Y35" s="73" t="n"/>
      <c r="Z35" s="73">
        <f>IF($A15="","",Z15*Y15)</f>
        <v/>
      </c>
      <c r="AA35" s="73" t="n"/>
      <c r="AB35" s="73">
        <f>IF($A15="","",AB15*AA15)</f>
        <v/>
      </c>
      <c r="AC35" s="73" t="n"/>
      <c r="AD35" s="73">
        <f>IF($A15="","",AD15*AC15)</f>
        <v/>
      </c>
      <c r="AE35" s="73" t="n"/>
      <c r="AF35" s="73">
        <f>IF($A15="","",AF15*AE15)</f>
        <v/>
      </c>
    </row>
    <row r="36" hidden="1">
      <c r="F36" s="73">
        <f>IF($A16="","",F16*E16)</f>
        <v/>
      </c>
      <c r="G36" s="73" t="n"/>
      <c r="H36" s="73">
        <f>IF($A16="","",H16*G16)</f>
        <v/>
      </c>
      <c r="I36" s="73" t="n"/>
      <c r="J36" s="73">
        <f>IF($A16="","",J16*I16)</f>
        <v/>
      </c>
      <c r="K36" s="73" t="n"/>
      <c r="L36" s="73">
        <f>IF($A16="","",L16*K16)</f>
        <v/>
      </c>
      <c r="M36" s="73" t="n"/>
      <c r="N36" s="73">
        <f>IF($A16="","",N16*M16)</f>
        <v/>
      </c>
      <c r="O36" s="73" t="n"/>
      <c r="P36" s="73">
        <f>IF($A16="","",P16*O16)</f>
        <v/>
      </c>
      <c r="Q36" s="73" t="n"/>
      <c r="R36" s="73">
        <f>IF($A16="","",R16*Q16)</f>
        <v/>
      </c>
      <c r="S36" s="73" t="n"/>
      <c r="T36" s="73">
        <f>IF($A16="","",T16*S16)</f>
        <v/>
      </c>
      <c r="U36" s="73" t="n"/>
      <c r="V36" s="73">
        <f>IF($A16="","",V16*U16)</f>
        <v/>
      </c>
      <c r="W36" s="73" t="n"/>
      <c r="X36" s="73">
        <f>IF($A16="","",X16*W16)</f>
        <v/>
      </c>
      <c r="Y36" s="73" t="n"/>
      <c r="Z36" s="73">
        <f>IF($A16="","",Z16*Y16)</f>
        <v/>
      </c>
      <c r="AA36" s="73" t="n"/>
      <c r="AB36" s="73">
        <f>IF($A16="","",AB16*AA16)</f>
        <v/>
      </c>
      <c r="AC36" s="73" t="n"/>
      <c r="AD36" s="73">
        <f>IF($A16="","",AD16*AC16)</f>
        <v/>
      </c>
      <c r="AE36" s="73" t="n"/>
      <c r="AF36" s="73">
        <f>IF($A16="","",AF16*AE16)</f>
        <v/>
      </c>
    </row>
    <row r="37" hidden="1">
      <c r="F37" s="73">
        <f>IF($A17="","",F17*E17)</f>
        <v/>
      </c>
      <c r="G37" s="73" t="n"/>
      <c r="H37" s="73">
        <f>IF($A17="","",H17*G17)</f>
        <v/>
      </c>
      <c r="I37" s="73" t="n"/>
      <c r="J37" s="73">
        <f>IF($A17="","",J17*I17)</f>
        <v/>
      </c>
      <c r="K37" s="73" t="n"/>
      <c r="L37" s="73">
        <f>IF($A17="","",L17*K17)</f>
        <v/>
      </c>
      <c r="M37" s="73" t="n"/>
      <c r="N37" s="73">
        <f>IF($A17="","",N17*M17)</f>
        <v/>
      </c>
      <c r="O37" s="73" t="n"/>
      <c r="P37" s="73">
        <f>IF($A17="","",P17*O17)</f>
        <v/>
      </c>
      <c r="Q37" s="73" t="n"/>
      <c r="R37" s="73">
        <f>IF($A17="","",R17*Q17)</f>
        <v/>
      </c>
      <c r="S37" s="73" t="n"/>
      <c r="T37" s="73">
        <f>IF($A17="","",T17*S17)</f>
        <v/>
      </c>
      <c r="U37" s="73" t="n"/>
      <c r="V37" s="73">
        <f>IF($A17="","",V17*U17)</f>
        <v/>
      </c>
      <c r="W37" s="73" t="n"/>
      <c r="X37" s="73">
        <f>IF($A17="","",X17*W17)</f>
        <v/>
      </c>
      <c r="Y37" s="73" t="n"/>
      <c r="Z37" s="73">
        <f>IF($A17="","",Z17*Y17)</f>
        <v/>
      </c>
      <c r="AA37" s="73" t="n"/>
      <c r="AB37" s="73">
        <f>IF($A17="","",AB17*AA17)</f>
        <v/>
      </c>
      <c r="AC37" s="73" t="n"/>
      <c r="AD37" s="73">
        <f>IF($A17="","",AD17*AC17)</f>
        <v/>
      </c>
      <c r="AE37" s="73" t="n"/>
      <c r="AF37" s="73">
        <f>IF($A17="","",AF17*AE17)</f>
        <v/>
      </c>
    </row>
    <row r="38" hidden="1">
      <c r="F38" s="73">
        <f>IF($A18="","",F18*E18)</f>
        <v/>
      </c>
      <c r="G38" s="73" t="n"/>
      <c r="H38" s="73">
        <f>IF($A18="","",H18*G18)</f>
        <v/>
      </c>
      <c r="I38" s="73" t="n"/>
      <c r="J38" s="73">
        <f>IF($A18="","",J18*I18)</f>
        <v/>
      </c>
      <c r="K38" s="73" t="n"/>
      <c r="L38" s="73">
        <f>IF($A18="","",L18*K18)</f>
        <v/>
      </c>
      <c r="M38" s="73" t="n"/>
      <c r="N38" s="73">
        <f>IF($A18="","",N18*M18)</f>
        <v/>
      </c>
      <c r="O38" s="73" t="n"/>
      <c r="P38" s="73">
        <f>IF($A18="","",P18*O18)</f>
        <v/>
      </c>
      <c r="Q38" s="73" t="n"/>
      <c r="R38" s="73">
        <f>IF($A18="","",R18*Q18)</f>
        <v/>
      </c>
      <c r="S38" s="73" t="n"/>
      <c r="T38" s="73">
        <f>IF($A18="","",T18*S18)</f>
        <v/>
      </c>
      <c r="U38" s="73" t="n"/>
      <c r="V38" s="73">
        <f>IF($A18="","",V18*U18)</f>
        <v/>
      </c>
      <c r="W38" s="73" t="n"/>
      <c r="X38" s="73">
        <f>IF($A18="","",X18*W18)</f>
        <v/>
      </c>
      <c r="Y38" s="73" t="n"/>
      <c r="Z38" s="73">
        <f>IF($A18="","",Z18*Y18)</f>
        <v/>
      </c>
      <c r="AA38" s="73" t="n"/>
      <c r="AB38" s="73">
        <f>IF($A18="","",AB18*AA18)</f>
        <v/>
      </c>
      <c r="AC38" s="73" t="n"/>
      <c r="AD38" s="73">
        <f>IF($A18="","",AD18*AC18)</f>
        <v/>
      </c>
      <c r="AE38" s="73" t="n"/>
      <c r="AF38" s="73">
        <f>IF($A18="","",AF18*AE18)</f>
        <v/>
      </c>
    </row>
    <row r="39" hidden="1">
      <c r="F39" s="73">
        <f>IF($A19="","",F19*E19)</f>
        <v/>
      </c>
      <c r="G39" s="73" t="n"/>
      <c r="H39" s="73">
        <f>IF($A19="","",H19*G19)</f>
        <v/>
      </c>
      <c r="I39" s="73" t="n"/>
      <c r="J39" s="73">
        <f>IF($A19="","",J19*I19)</f>
        <v/>
      </c>
      <c r="K39" s="73" t="n"/>
      <c r="L39" s="73">
        <f>IF($A19="","",L19*K19)</f>
        <v/>
      </c>
      <c r="M39" s="73" t="n"/>
      <c r="N39" s="73">
        <f>IF($A19="","",N19*M19)</f>
        <v/>
      </c>
      <c r="O39" s="73" t="n"/>
      <c r="P39" s="73">
        <f>IF($A19="","",P19*O19)</f>
        <v/>
      </c>
      <c r="Q39" s="73" t="n"/>
      <c r="R39" s="73">
        <f>IF($A19="","",R19*Q19)</f>
        <v/>
      </c>
      <c r="S39" s="73" t="n"/>
      <c r="T39" s="73">
        <f>IF($A19="","",T19*S19)</f>
        <v/>
      </c>
      <c r="U39" s="73" t="n"/>
      <c r="V39" s="73">
        <f>IF($A19="","",V19*U19)</f>
        <v/>
      </c>
      <c r="W39" s="73" t="n"/>
      <c r="X39" s="73">
        <f>IF($A19="","",X19*W19)</f>
        <v/>
      </c>
      <c r="Y39" s="73" t="n"/>
      <c r="Z39" s="73">
        <f>IF($A19="","",Z19*Y19)</f>
        <v/>
      </c>
      <c r="AA39" s="73" t="n"/>
      <c r="AB39" s="73">
        <f>IF($A19="","",AB19*AA19)</f>
        <v/>
      </c>
      <c r="AC39" s="73" t="n"/>
      <c r="AD39" s="73">
        <f>IF($A19="","",AD19*AC19)</f>
        <v/>
      </c>
      <c r="AE39" s="73" t="n"/>
      <c r="AF39" s="73">
        <f>IF($A19="","",AF19*AE19)</f>
        <v/>
      </c>
    </row>
    <row r="40" hidden="1">
      <c r="F40" s="73">
        <f>IF($A20="","",F20*E20)</f>
        <v/>
      </c>
      <c r="G40" s="73" t="n"/>
      <c r="H40" s="73">
        <f>IF($A20="","",H20*G20)</f>
        <v/>
      </c>
      <c r="I40" s="73" t="n"/>
      <c r="J40" s="73">
        <f>IF($A20="","",J20*I20)</f>
        <v/>
      </c>
      <c r="K40" s="73" t="n"/>
      <c r="L40" s="73">
        <f>IF($A20="","",L20*K20)</f>
        <v/>
      </c>
      <c r="M40" s="73" t="n"/>
      <c r="N40" s="73">
        <f>IF($A20="","",N20*M20)</f>
        <v/>
      </c>
      <c r="O40" s="73" t="n"/>
      <c r="P40" s="73">
        <f>IF($A20="","",P20*O20)</f>
        <v/>
      </c>
      <c r="Q40" s="73" t="n"/>
      <c r="R40" s="73">
        <f>IF($A20="","",R20*Q20)</f>
        <v/>
      </c>
      <c r="S40" s="73" t="n"/>
      <c r="T40" s="73">
        <f>IF($A20="","",T20*S20)</f>
        <v/>
      </c>
      <c r="U40" s="73" t="n"/>
      <c r="V40" s="73">
        <f>IF($A20="","",V20*U20)</f>
        <v/>
      </c>
      <c r="W40" s="73" t="n"/>
      <c r="X40" s="73">
        <f>IF($A20="","",X20*W20)</f>
        <v/>
      </c>
      <c r="Y40" s="73" t="n"/>
      <c r="Z40" s="73">
        <f>IF($A20="","",Z20*Y20)</f>
        <v/>
      </c>
      <c r="AA40" s="73" t="n"/>
      <c r="AB40" s="73">
        <f>IF($A20="","",AB20*AA20)</f>
        <v/>
      </c>
      <c r="AC40" s="73" t="n"/>
      <c r="AD40" s="73">
        <f>IF($A20="","",AD20*AC20)</f>
        <v/>
      </c>
      <c r="AE40" s="73" t="n"/>
      <c r="AF40" s="73">
        <f>IF($A20="","",AF20*AE20)</f>
        <v/>
      </c>
    </row>
    <row r="41" hidden="1">
      <c r="F41" s="73">
        <f>IF($A21="","",F21*E21)</f>
        <v/>
      </c>
      <c r="G41" s="73" t="n"/>
      <c r="H41" s="73">
        <f>IF($A21="","",H21*G21)</f>
        <v/>
      </c>
      <c r="I41" s="73" t="n"/>
      <c r="J41" s="73">
        <f>IF($A21="","",J21*I21)</f>
        <v/>
      </c>
      <c r="K41" s="73" t="n"/>
      <c r="L41" s="73">
        <f>IF($A21="","",L21*K21)</f>
        <v/>
      </c>
      <c r="M41" s="73" t="n"/>
      <c r="N41" s="73">
        <f>IF($A21="","",N21*M21)</f>
        <v/>
      </c>
      <c r="O41" s="73" t="n"/>
      <c r="P41" s="73">
        <f>IF($A21="","",P21*O21)</f>
        <v/>
      </c>
      <c r="Q41" s="73" t="n"/>
      <c r="R41" s="73">
        <f>IF($A21="","",R21*Q21)</f>
        <v/>
      </c>
      <c r="S41" s="73" t="n"/>
      <c r="T41" s="73">
        <f>IF($A21="","",T21*S21)</f>
        <v/>
      </c>
      <c r="U41" s="73" t="n"/>
      <c r="V41" s="73">
        <f>IF($A21="","",V21*U21)</f>
        <v/>
      </c>
      <c r="W41" s="73" t="n"/>
      <c r="X41" s="73">
        <f>IF($A21="","",X21*W21)</f>
        <v/>
      </c>
      <c r="Y41" s="73" t="n"/>
      <c r="Z41" s="73">
        <f>IF($A21="","",Z21*Y21)</f>
        <v/>
      </c>
      <c r="AA41" s="73" t="n"/>
      <c r="AB41" s="73">
        <f>IF($A21="","",AB21*AA21)</f>
        <v/>
      </c>
      <c r="AC41" s="73" t="n"/>
      <c r="AD41" s="73">
        <f>IF($A21="","",AD21*AC21)</f>
        <v/>
      </c>
      <c r="AE41" s="73" t="n"/>
      <c r="AF41" s="73">
        <f>IF($A21="","",AF21*AE21)</f>
        <v/>
      </c>
    </row>
    <row r="42" hidden="1">
      <c r="F42" s="73">
        <f>IF($A22="","",F22*E22)</f>
        <v/>
      </c>
      <c r="G42" s="73" t="n"/>
      <c r="H42" s="73">
        <f>IF($A22="","",H22*G22)</f>
        <v/>
      </c>
      <c r="I42" s="73" t="n"/>
      <c r="J42" s="73">
        <f>IF($A22="","",J22*I22)</f>
        <v/>
      </c>
      <c r="K42" s="73" t="n"/>
      <c r="L42" s="73">
        <f>IF($A22="","",L22*K22)</f>
        <v/>
      </c>
      <c r="M42" s="73" t="n"/>
      <c r="N42" s="73">
        <f>IF($A22="","",N22*M22)</f>
        <v/>
      </c>
      <c r="O42" s="73" t="n"/>
      <c r="P42" s="73">
        <f>IF($A22="","",P22*O22)</f>
        <v/>
      </c>
      <c r="Q42" s="73" t="n"/>
      <c r="R42" s="73">
        <f>IF($A22="","",R22*Q22)</f>
        <v/>
      </c>
      <c r="S42" s="73" t="n"/>
      <c r="T42" s="73">
        <f>IF($A22="","",T22*S22)</f>
        <v/>
      </c>
      <c r="U42" s="73" t="n"/>
      <c r="V42" s="73">
        <f>IF($A22="","",V22*U22)</f>
        <v/>
      </c>
      <c r="W42" s="73" t="n"/>
      <c r="X42" s="73">
        <f>IF($A22="","",X22*W22)</f>
        <v/>
      </c>
      <c r="Y42" s="73" t="n"/>
      <c r="Z42" s="73">
        <f>IF($A22="","",Z22*Y22)</f>
        <v/>
      </c>
      <c r="AA42" s="73" t="n"/>
      <c r="AB42" s="73">
        <f>IF($A22="","",AB22*AA22)</f>
        <v/>
      </c>
      <c r="AC42" s="73" t="n"/>
      <c r="AD42" s="73">
        <f>IF($A22="","",AD22*AC22)</f>
        <v/>
      </c>
      <c r="AE42" s="73" t="n"/>
      <c r="AF42" s="73">
        <f>IF($A22="","",AF22*AE22)</f>
        <v/>
      </c>
    </row>
    <row r="43" hidden="1">
      <c r="F43" s="73">
        <f>IF($A23="","",F23*E23)</f>
        <v/>
      </c>
      <c r="G43" s="73" t="n"/>
      <c r="H43" s="73">
        <f>IF($A23="","",H23*G23)</f>
        <v/>
      </c>
      <c r="I43" s="73" t="n"/>
      <c r="J43" s="73">
        <f>IF($A23="","",J23*I23)</f>
        <v/>
      </c>
      <c r="K43" s="73" t="n"/>
      <c r="L43" s="73">
        <f>IF($A23="","",L23*K23)</f>
        <v/>
      </c>
      <c r="M43" s="73" t="n"/>
      <c r="N43" s="73">
        <f>IF($A23="","",N23*M23)</f>
        <v/>
      </c>
      <c r="O43" s="73" t="n"/>
      <c r="P43" s="73">
        <f>IF($A23="","",P23*O23)</f>
        <v/>
      </c>
      <c r="Q43" s="73" t="n"/>
      <c r="R43" s="73">
        <f>IF($A23="","",R23*Q23)</f>
        <v/>
      </c>
      <c r="S43" s="73" t="n"/>
      <c r="T43" s="73">
        <f>IF($A23="","",T23*S23)</f>
        <v/>
      </c>
      <c r="U43" s="73" t="n"/>
      <c r="V43" s="73">
        <f>IF($A23="","",V23*U23)</f>
        <v/>
      </c>
      <c r="W43" s="73" t="n"/>
      <c r="X43" s="73">
        <f>IF($A23="","",X23*W23)</f>
        <v/>
      </c>
      <c r="Y43" s="73" t="n"/>
      <c r="Z43" s="73">
        <f>IF($A23="","",Z23*Y23)</f>
        <v/>
      </c>
      <c r="AA43" s="73" t="n"/>
      <c r="AB43" s="73">
        <f>IF($A23="","",AB23*AA23)</f>
        <v/>
      </c>
      <c r="AC43" s="73" t="n"/>
      <c r="AD43" s="73">
        <f>IF($A23="","",AD23*AC23)</f>
        <v/>
      </c>
      <c r="AE43" s="73" t="n"/>
      <c r="AF43" s="73">
        <f>IF($A23="","",AF23*AE23)</f>
        <v/>
      </c>
    </row>
    <row r="44" hidden="1">
      <c r="F44" s="73">
        <f>IF($A24="","",F24*E24)</f>
        <v/>
      </c>
      <c r="G44" s="73" t="n"/>
      <c r="H44" s="73">
        <f>IF($A24="","",H24*G24)</f>
        <v/>
      </c>
      <c r="I44" s="73" t="n"/>
      <c r="J44" s="73">
        <f>IF($A24="","",J24*I24)</f>
        <v/>
      </c>
      <c r="K44" s="73" t="n"/>
      <c r="L44" s="73">
        <f>IF($A24="","",L24*K24)</f>
        <v/>
      </c>
      <c r="M44" s="73" t="n"/>
      <c r="N44" s="73">
        <f>IF($A24="","",N24*M24)</f>
        <v/>
      </c>
      <c r="O44" s="73" t="n"/>
      <c r="P44" s="73">
        <f>IF($A24="","",P24*O24)</f>
        <v/>
      </c>
      <c r="Q44" s="73" t="n"/>
      <c r="R44" s="73">
        <f>IF($A24="","",R24*Q24)</f>
        <v/>
      </c>
      <c r="S44" s="73" t="n"/>
      <c r="T44" s="73">
        <f>IF($A24="","",T24*S24)</f>
        <v/>
      </c>
      <c r="U44" s="73" t="n"/>
      <c r="V44" s="73">
        <f>IF($A24="","",V24*U24)</f>
        <v/>
      </c>
      <c r="W44" s="73" t="n"/>
      <c r="X44" s="73">
        <f>IF($A24="","",X24*W24)</f>
        <v/>
      </c>
      <c r="Y44" s="73" t="n"/>
      <c r="Z44" s="73">
        <f>IF($A24="","",Z24*Y24)</f>
        <v/>
      </c>
      <c r="AA44" s="73" t="n"/>
      <c r="AB44" s="73">
        <f>IF($A24="","",AB24*AA24)</f>
        <v/>
      </c>
      <c r="AC44" s="73" t="n"/>
      <c r="AD44" s="73">
        <f>IF($A24="","",AD24*AC24)</f>
        <v/>
      </c>
      <c r="AE44" s="73" t="n"/>
      <c r="AF44" s="73">
        <f>IF($A24="","",AF24*AE24)</f>
        <v/>
      </c>
    </row>
    <row r="45" hidden="1">
      <c r="F45" s="73">
        <f>IF($A25="","",F25*E25)</f>
        <v/>
      </c>
      <c r="G45" s="73" t="n"/>
      <c r="H45" s="73">
        <f>IF($A25="","",H25*G25)</f>
        <v/>
      </c>
      <c r="I45" s="73" t="n"/>
      <c r="J45" s="73">
        <f>IF($A25="","",J25*I25)</f>
        <v/>
      </c>
      <c r="K45" s="73" t="n"/>
      <c r="L45" s="73">
        <f>IF($A25="","",L25*K25)</f>
        <v/>
      </c>
      <c r="M45" s="73" t="n"/>
      <c r="N45" s="73">
        <f>IF($A25="","",N25*M25)</f>
        <v/>
      </c>
      <c r="O45" s="73" t="n"/>
      <c r="P45" s="73">
        <f>IF($A25="","",P25*O25)</f>
        <v/>
      </c>
      <c r="Q45" s="73" t="n"/>
      <c r="R45" s="73">
        <f>IF($A25="","",R25*Q25)</f>
        <v/>
      </c>
      <c r="S45" s="73" t="n"/>
      <c r="T45" s="73">
        <f>IF($A25="","",T25*S25)</f>
        <v/>
      </c>
      <c r="U45" s="73" t="n"/>
      <c r="V45" s="73">
        <f>IF($A25="","",V25*U25)</f>
        <v/>
      </c>
      <c r="W45" s="73" t="n"/>
      <c r="X45" s="73">
        <f>IF($A25="","",X25*W25)</f>
        <v/>
      </c>
      <c r="Y45" s="73" t="n"/>
      <c r="Z45" s="73">
        <f>IF($A25="","",Z25*Y25)</f>
        <v/>
      </c>
      <c r="AA45" s="73" t="n"/>
      <c r="AB45" s="73">
        <f>IF($A25="","",AB25*AA25)</f>
        <v/>
      </c>
      <c r="AC45" s="73" t="n"/>
      <c r="AD45" s="73">
        <f>IF($A25="","",AD25*AC25)</f>
        <v/>
      </c>
      <c r="AE45" s="73" t="n"/>
      <c r="AF45" s="73">
        <f>IF($A25="","",AF25*AE25)</f>
        <v/>
      </c>
    </row>
    <row r="46" hidden="1">
      <c r="F46" s="73">
        <f>IF($A26="","",F26*E26)</f>
        <v/>
      </c>
      <c r="G46" s="73" t="n"/>
      <c r="H46" s="73">
        <f>IF($A26="","",H26*G26)</f>
        <v/>
      </c>
      <c r="I46" s="73" t="n"/>
      <c r="J46" s="73">
        <f>IF($A26="","",J26*I26)</f>
        <v/>
      </c>
      <c r="K46" s="73" t="n"/>
      <c r="L46" s="73">
        <f>IF($A26="","",L26*K26)</f>
        <v/>
      </c>
      <c r="M46" s="73" t="n"/>
      <c r="N46" s="73">
        <f>IF($A26="","",N26*M26)</f>
        <v/>
      </c>
      <c r="O46" s="73" t="n"/>
      <c r="P46" s="73">
        <f>IF($A26="","",P26*O26)</f>
        <v/>
      </c>
      <c r="Q46" s="73" t="n"/>
      <c r="R46" s="73">
        <f>IF($A26="","",R26*Q26)</f>
        <v/>
      </c>
      <c r="S46" s="73" t="n"/>
      <c r="T46" s="73">
        <f>IF($A26="","",T26*S26)</f>
        <v/>
      </c>
      <c r="U46" s="73" t="n"/>
      <c r="V46" s="73">
        <f>IF($A26="","",V26*U26)</f>
        <v/>
      </c>
      <c r="W46" s="73" t="n"/>
      <c r="X46" s="73">
        <f>IF($A26="","",X26*W26)</f>
        <v/>
      </c>
      <c r="Y46" s="73" t="n"/>
      <c r="Z46" s="73">
        <f>IF($A26="","",Z26*Y26)</f>
        <v/>
      </c>
      <c r="AA46" s="73" t="n"/>
      <c r="AB46" s="73">
        <f>IF($A26="","",AB26*AA26)</f>
        <v/>
      </c>
      <c r="AC46" s="73" t="n"/>
      <c r="AD46" s="73">
        <f>IF($A26="","",AD26*AC26)</f>
        <v/>
      </c>
      <c r="AE46" s="73" t="n"/>
      <c r="AF46" s="73">
        <f>IF($A26="","",AF26*AE26)</f>
        <v/>
      </c>
    </row>
    <row r="47" hidden="1">
      <c r="F47" s="73">
        <f>IF($A27="","",F27*E27)</f>
        <v/>
      </c>
      <c r="G47" s="73" t="n"/>
      <c r="H47" s="73">
        <f>IF($A27="","",H27*G27)</f>
        <v/>
      </c>
      <c r="I47" s="73" t="n"/>
      <c r="J47" s="73">
        <f>IF($A27="","",J27*I27)</f>
        <v/>
      </c>
      <c r="K47" s="73" t="n"/>
      <c r="L47" s="73">
        <f>IF($A27="","",L27*K27)</f>
        <v/>
      </c>
      <c r="M47" s="73" t="n"/>
      <c r="N47" s="73">
        <f>IF($A27="","",N27*M27)</f>
        <v/>
      </c>
      <c r="O47" s="73" t="n"/>
      <c r="P47" s="73">
        <f>IF($A27="","",P27*O27)</f>
        <v/>
      </c>
      <c r="Q47" s="73" t="n"/>
      <c r="R47" s="73">
        <f>IF($A27="","",R27*Q27)</f>
        <v/>
      </c>
      <c r="S47" s="73" t="n"/>
      <c r="T47" s="73">
        <f>IF($A27="","",T27*S27)</f>
        <v/>
      </c>
      <c r="U47" s="73" t="n"/>
      <c r="V47" s="73">
        <f>IF($A27="","",V27*U27)</f>
        <v/>
      </c>
      <c r="W47" s="73" t="n"/>
      <c r="X47" s="73">
        <f>IF($A27="","",X27*W27)</f>
        <v/>
      </c>
      <c r="Y47" s="73" t="n"/>
      <c r="Z47" s="73">
        <f>IF($A27="","",Z27*Y27)</f>
        <v/>
      </c>
      <c r="AA47" s="73" t="n"/>
      <c r="AB47" s="73">
        <f>IF($A27="","",AB27*AA27)</f>
        <v/>
      </c>
      <c r="AC47" s="73" t="n"/>
      <c r="AD47" s="73">
        <f>IF($A27="","",AD27*AC27)</f>
        <v/>
      </c>
      <c r="AE47" s="73" t="n"/>
      <c r="AF47" s="73">
        <f>IF($A27="","",AF27*AE27)</f>
        <v/>
      </c>
    </row>
    <row r="48" hidden="1">
      <c r="F48" s="73">
        <f>IF($A28="","",F28*E28)</f>
        <v/>
      </c>
      <c r="G48" s="73" t="n"/>
      <c r="H48" s="73">
        <f>IF($A28="","",H28*G28)</f>
        <v/>
      </c>
      <c r="I48" s="73" t="n"/>
      <c r="J48" s="73">
        <f>IF($A28="","",J28*I28)</f>
        <v/>
      </c>
      <c r="K48" s="73" t="n"/>
      <c r="L48" s="73">
        <f>IF($A28="","",L28*K28)</f>
        <v/>
      </c>
      <c r="M48" s="73" t="n"/>
      <c r="N48" s="73">
        <f>IF($A28="","",N28*M28)</f>
        <v/>
      </c>
      <c r="O48" s="73" t="n"/>
      <c r="P48" s="73">
        <f>IF($A28="","",P28*O28)</f>
        <v/>
      </c>
      <c r="Q48" s="73" t="n"/>
      <c r="R48" s="73">
        <f>IF($A28="","",R28*Q28)</f>
        <v/>
      </c>
      <c r="S48" s="73" t="n"/>
      <c r="T48" s="73">
        <f>IF($A28="","",T28*S28)</f>
        <v/>
      </c>
      <c r="U48" s="73" t="n"/>
      <c r="V48" s="73">
        <f>IF($A28="","",V28*U28)</f>
        <v/>
      </c>
      <c r="W48" s="73" t="n"/>
      <c r="X48" s="73">
        <f>IF($A28="","",X28*W28)</f>
        <v/>
      </c>
      <c r="Y48" s="73" t="n"/>
      <c r="Z48" s="73">
        <f>IF($A28="","",Z28*Y28)</f>
        <v/>
      </c>
      <c r="AA48" s="73" t="n"/>
      <c r="AB48" s="73">
        <f>IF($A28="","",AB28*AA28)</f>
        <v/>
      </c>
      <c r="AC48" s="73" t="n"/>
      <c r="AD48" s="73">
        <f>IF($A28="","",AD28*AC28)</f>
        <v/>
      </c>
      <c r="AE48" s="73" t="n"/>
      <c r="AF48" s="73">
        <f>IF($A28="","",AF28*AE28)</f>
        <v/>
      </c>
    </row>
    <row r="49" hidden="1">
      <c r="F49" s="74">
        <f>SUMIF(F31:F48,"&gt;0")</f>
        <v/>
      </c>
      <c r="H49" s="74">
        <f>SUMIF(H31:H48,"&gt;0")</f>
        <v/>
      </c>
      <c r="I49" s="74" t="n"/>
      <c r="J49" s="74">
        <f>SUMIF(J31:J48,"&gt;0")</f>
        <v/>
      </c>
      <c r="K49" s="74" t="n"/>
      <c r="L49" s="74">
        <f>SUMIF(L31:L48,"&gt;0")</f>
        <v/>
      </c>
      <c r="M49" s="74" t="n"/>
      <c r="N49" s="74">
        <f>SUMIF(N31:N48,"&gt;0")</f>
        <v/>
      </c>
      <c r="P49" s="74">
        <f>SUMIF(P31:P48,"&gt;0")</f>
        <v/>
      </c>
      <c r="Q49" s="74" t="n"/>
      <c r="R49" s="74">
        <f>SUMIF(R31:R48,"&gt;0")</f>
        <v/>
      </c>
      <c r="S49" s="74" t="n"/>
      <c r="T49" s="74">
        <f>SUMIF(T31:T48,"&gt;0")</f>
        <v/>
      </c>
      <c r="U49" s="74" t="n"/>
      <c r="V49" s="74">
        <f>SUMIF(V31:V48,"&gt;0")</f>
        <v/>
      </c>
      <c r="X49" s="74">
        <f>SUMIF(X31:X48,"&gt;0")</f>
        <v/>
      </c>
      <c r="Y49" s="74" t="n"/>
      <c r="Z49" s="74">
        <f>SUMIF(Z31:Z48,"&gt;0")</f>
        <v/>
      </c>
      <c r="AA49" s="74" t="n"/>
      <c r="AB49" s="74">
        <f>SUMIF(AB31:AB48,"&gt;0")</f>
        <v/>
      </c>
      <c r="AC49" s="74" t="n"/>
      <c r="AD49" s="74">
        <f>SUMIF(AD31:AD48,"&gt;0")</f>
        <v/>
      </c>
      <c r="AE49" s="74" t="n"/>
      <c r="AF49" s="74">
        <f>SUMIF(AF31:AF48,"&gt;0")</f>
        <v/>
      </c>
    </row>
    <row r="52">
      <c r="A52" s="75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</row>
    <row r="53">
      <c r="A53" s="77" t="inlineStr">
        <is>
          <t>#</t>
        </is>
      </c>
      <c r="B53" s="77" t="inlineStr">
        <is>
          <t>โปรไฟล์</t>
        </is>
      </c>
      <c r="C53" s="77" t="inlineStr">
        <is>
          <t>รหัส</t>
        </is>
      </c>
      <c r="D53" s="77" t="inlineStr">
        <is>
          <t>สูตรตัด (เดิม)</t>
        </is>
      </c>
      <c r="E53" s="77" t="inlineStr">
        <is>
          <t>หัก1</t>
        </is>
      </c>
      <c r="F53" s="77" t="inlineStr">
        <is>
          <t>หัก2</t>
        </is>
      </c>
      <c r="G53" s="77" t="inlineStr">
        <is>
          <t>หัก3</t>
        </is>
      </c>
      <c r="H53" s="77" t="inlineStr">
        <is>
          <t>หัก4</t>
        </is>
      </c>
      <c r="I53" s="77" t="inlineStr">
        <is>
          <t>หัก5</t>
        </is>
      </c>
      <c r="J53" s="77" t="inlineStr">
        <is>
          <t>หัก6</t>
        </is>
      </c>
      <c r="K53" s="77" t="inlineStr">
        <is>
          <t>หัก7</t>
        </is>
      </c>
      <c r="L53" s="77" t="inlineStr">
        <is>
          <t>จำนวน/ชุด</t>
        </is>
      </c>
      <c r="M53" s="122" t="n"/>
    </row>
    <row r="54" ht="44" customHeight="1">
      <c r="A54" s="78" t="n">
        <v>1</v>
      </c>
      <c r="B54" s="79" t="inlineStr">
        <is>
          <t>เฟรมข้าง</t>
        </is>
      </c>
      <c r="C54" s="80" t="inlineStr">
        <is>
          <t>F7978</t>
        </is>
      </c>
      <c r="D54" s="81" t="inlineStr">
        <is>
          <t>สูง</t>
        </is>
      </c>
      <c r="E54" s="82" t="n"/>
      <c r="F54" s="82" t="n"/>
      <c r="G54" s="82" t="n"/>
      <c r="H54" s="82" t="n"/>
      <c r="I54" s="82" t="n"/>
      <c r="J54" s="82" t="n"/>
      <c r="K54" s="82" t="n"/>
      <c r="L54" s="83" t="n">
        <v>2</v>
      </c>
      <c r="M54" s="82" t="n"/>
    </row>
    <row r="55" ht="44" customHeight="1">
      <c r="A55" s="78" t="n">
        <v>2</v>
      </c>
      <c r="B55" s="79" t="inlineStr">
        <is>
          <t>เฟรม บน-ล่าง</t>
        </is>
      </c>
      <c r="C55" s="80" t="inlineStr">
        <is>
          <t>F7976</t>
        </is>
      </c>
      <c r="D55" s="81" t="inlineStr">
        <is>
          <t>กว้าง-21-21</t>
        </is>
      </c>
      <c r="E55" s="83" t="n">
        <v>21</v>
      </c>
      <c r="F55" s="83" t="n">
        <v>21</v>
      </c>
      <c r="G55" s="82" t="n"/>
      <c r="H55" s="82" t="n"/>
      <c r="I55" s="82" t="n"/>
      <c r="J55" s="82" t="n"/>
      <c r="K55" s="82" t="n"/>
      <c r="L55" s="83" t="n">
        <v>2</v>
      </c>
      <c r="M55" s="82" t="n"/>
    </row>
    <row r="56" ht="44" customHeight="1">
      <c r="A56" s="78" t="n">
        <v>3</v>
      </c>
      <c r="B56" s="79" t="inlineStr">
        <is>
          <t>ตบกันสาด</t>
        </is>
      </c>
      <c r="C56" s="80" t="inlineStr">
        <is>
          <t>F7992</t>
        </is>
      </c>
      <c r="D56" s="81" t="inlineStr">
        <is>
          <t>กว้าง</t>
        </is>
      </c>
      <c r="E56" s="82" t="n"/>
      <c r="F56" s="82" t="n"/>
      <c r="G56" s="82" t="n"/>
      <c r="H56" s="82" t="n"/>
      <c r="I56" s="82" t="n"/>
      <c r="J56" s="82" t="n"/>
      <c r="K56" s="82" t="n"/>
      <c r="L56" s="83" t="n">
        <v>1</v>
      </c>
      <c r="M56" s="82" t="n"/>
    </row>
    <row r="57" ht="44" customHeight="1">
      <c r="A57" s="78" t="n">
        <v>4</v>
      </c>
      <c r="B57" s="79" t="inlineStr">
        <is>
          <t>เสา</t>
        </is>
      </c>
      <c r="C57" s="80" t="inlineStr">
        <is>
          <t>F7980</t>
        </is>
      </c>
      <c r="D57" s="81" t="inlineStr">
        <is>
          <t>สูง-21-19-13-21</t>
        </is>
      </c>
      <c r="E57" s="83" t="n">
        <v>21</v>
      </c>
      <c r="F57" s="83" t="n">
        <v>19</v>
      </c>
      <c r="G57" s="83" t="n">
        <v>13</v>
      </c>
      <c r="H57" s="83" t="n">
        <v>21</v>
      </c>
      <c r="I57" s="82" t="n"/>
      <c r="J57" s="82" t="n"/>
      <c r="K57" s="82" t="n"/>
      <c r="L57" s="83" t="n">
        <v>6</v>
      </c>
      <c r="M57" s="82" t="n"/>
    </row>
    <row r="58" ht="15" customHeight="1">
      <c r="A58" s="78" t="n">
        <v>5</v>
      </c>
      <c r="B58" s="79" t="inlineStr">
        <is>
          <t>ขวาง</t>
        </is>
      </c>
      <c r="C58" s="80" t="inlineStr">
        <is>
          <t>-</t>
        </is>
      </c>
      <c r="D58" s="81" t="inlineStr">
        <is>
          <t>((กว้าง-21-3-2.4-3-21)/3)+(78x2/3)</t>
        </is>
      </c>
      <c r="E58" s="83" t="n">
        <v>21</v>
      </c>
      <c r="F58" s="83" t="n">
        <v>3</v>
      </c>
      <c r="G58" s="83" t="n">
        <v>2.4</v>
      </c>
      <c r="H58" s="83" t="n">
        <v>3</v>
      </c>
      <c r="I58" s="83" t="n">
        <v>21</v>
      </c>
      <c r="J58" s="82" t="n"/>
      <c r="K58" s="82" t="n"/>
      <c r="L58" s="83" t="n">
        <v>6</v>
      </c>
      <c r="M58" s="82" t="n"/>
    </row>
    <row r="59" ht="44" customHeight="1">
      <c r="A59" s="78" t="n">
        <v>6</v>
      </c>
      <c r="B59" s="79" t="inlineStr">
        <is>
          <t>คิ้ว ตั้ง</t>
        </is>
      </c>
      <c r="C59" s="80" t="inlineStr">
        <is>
          <t>F7919</t>
        </is>
      </c>
      <c r="D59" s="81" t="inlineStr">
        <is>
          <t>เสา-78-78</t>
        </is>
      </c>
      <c r="E59" s="83" t="n">
        <v>78</v>
      </c>
      <c r="F59" s="83" t="n">
        <v>78</v>
      </c>
      <c r="G59" s="82" t="n"/>
      <c r="H59" s="82" t="n"/>
      <c r="I59" s="82" t="n"/>
      <c r="J59" s="82" t="n"/>
      <c r="K59" s="82" t="n"/>
      <c r="L59" s="83" t="n">
        <v>6</v>
      </c>
      <c r="M59" s="82" t="n"/>
    </row>
    <row r="60" ht="15" customHeight="1">
      <c r="A60" s="78" t="n">
        <v>7</v>
      </c>
      <c r="B60" s="79" t="inlineStr">
        <is>
          <t>คิ้ว ขวาง</t>
        </is>
      </c>
      <c r="C60" s="80" t="inlineStr">
        <is>
          <t>-</t>
        </is>
      </c>
      <c r="D60" s="81" t="inlineStr">
        <is>
          <t>ขวาง-63-63</t>
        </is>
      </c>
      <c r="E60" s="83" t="n">
        <v>63</v>
      </c>
      <c r="F60" s="83" t="n">
        <v>63</v>
      </c>
      <c r="G60" s="82" t="n"/>
      <c r="H60" s="82" t="n"/>
      <c r="I60" s="82" t="n"/>
      <c r="J60" s="82" t="n"/>
      <c r="K60" s="82" t="n"/>
      <c r="L60" s="83" t="n">
        <v>6</v>
      </c>
      <c r="M60" s="82" t="n"/>
    </row>
    <row r="61" ht="44" customHeight="1">
      <c r="A61" s="78" t="n">
        <v>8</v>
      </c>
      <c r="B61" s="79" t="inlineStr">
        <is>
          <t>ตบเกี่ยว</t>
        </is>
      </c>
      <c r="C61" s="80" t="inlineStr">
        <is>
          <t>F7983</t>
        </is>
      </c>
      <c r="D61" s="81" t="inlineStr">
        <is>
          <t>สูงกรอบบาน</t>
        </is>
      </c>
      <c r="E61" s="82" t="n"/>
      <c r="F61" s="82" t="n"/>
      <c r="G61" s="82" t="n"/>
      <c r="H61" s="82" t="n"/>
      <c r="I61" s="82" t="n"/>
      <c r="J61" s="82" t="n"/>
      <c r="K61" s="82" t="n"/>
      <c r="L61" s="83" t="n">
        <v>4</v>
      </c>
      <c r="M61" s="82" t="n"/>
    </row>
    <row r="62" ht="44" customHeight="1">
      <c r="A62" s="78" t="n">
        <v>9</v>
      </c>
      <c r="B62" s="79" t="inlineStr">
        <is>
          <t>ยูข้าง</t>
        </is>
      </c>
      <c r="C62" s="80" t="inlineStr">
        <is>
          <t>F7986</t>
        </is>
      </c>
      <c r="D62" s="81" t="inlineStr">
        <is>
          <t>สูง-45-45</t>
        </is>
      </c>
      <c r="E62" s="83" t="n">
        <v>45</v>
      </c>
      <c r="F62" s="83" t="n">
        <v>45</v>
      </c>
      <c r="G62" s="82" t="n"/>
      <c r="H62" s="82" t="n"/>
      <c r="I62" s="82" t="n"/>
      <c r="J62" s="82" t="n"/>
      <c r="K62" s="82" t="n"/>
      <c r="L62" s="83" t="n">
        <v>2</v>
      </c>
      <c r="M62" s="82" t="n"/>
    </row>
    <row r="63" ht="44" customHeight="1">
      <c r="A63" s="78" t="n">
        <v>10</v>
      </c>
      <c r="B63" s="79" t="inlineStr">
        <is>
          <t>ตบเฟรมบน</t>
        </is>
      </c>
      <c r="C63" s="80" t="inlineStr">
        <is>
          <t>F7993</t>
        </is>
      </c>
      <c r="D63" s="81" t="inlineStr">
        <is>
          <t>เท่าเฟรมบน</t>
        </is>
      </c>
      <c r="E63" s="83" t="n">
        <v>21</v>
      </c>
      <c r="F63" s="83" t="n">
        <v>21</v>
      </c>
      <c r="G63" s="82" t="n"/>
      <c r="H63" s="82" t="n"/>
      <c r="I63" s="82" t="n"/>
      <c r="J63" s="82" t="n"/>
      <c r="K63" s="82" t="n"/>
      <c r="L63" s="83" t="n">
        <v>3</v>
      </c>
      <c r="M63" s="82" t="n"/>
    </row>
    <row r="64" ht="44" customHeight="1">
      <c r="A64" s="78" t="n">
        <v>11</v>
      </c>
      <c r="B64" s="79" t="inlineStr">
        <is>
          <t>ตบยูข้าง</t>
        </is>
      </c>
      <c r="C64" s="80" t="inlineStr">
        <is>
          <t>F7988</t>
        </is>
      </c>
      <c r="D64" s="81" t="inlineStr">
        <is>
          <t>สูง-45-45</t>
        </is>
      </c>
      <c r="E64" s="83" t="n">
        <v>45</v>
      </c>
      <c r="F64" s="83" t="n">
        <v>45</v>
      </c>
      <c r="G64" s="82" t="n"/>
      <c r="H64" s="82" t="n"/>
      <c r="I64" s="82" t="n"/>
      <c r="J64" s="82" t="n"/>
      <c r="K64" s="82" t="n"/>
      <c r="L64" s="83" t="n">
        <v>2</v>
      </c>
      <c r="M64" s="82" t="n"/>
    </row>
    <row r="65" ht="15" customHeight="1">
      <c r="A65" s="78" t="n">
        <v>12</v>
      </c>
      <c r="B65" s="79" t="inlineStr">
        <is>
          <t>ปิดตบเกี่ยว</t>
        </is>
      </c>
      <c r="C65" s="80" t="inlineStr">
        <is>
          <t>-</t>
        </is>
      </c>
      <c r="D65" s="81" t="inlineStr">
        <is>
          <t>สูงกรอบบาน</t>
        </is>
      </c>
      <c r="E65" s="82" t="n"/>
      <c r="F65" s="82" t="n"/>
      <c r="G65" s="82" t="n"/>
      <c r="H65" s="82" t="n"/>
      <c r="I65" s="82" t="n"/>
      <c r="J65" s="82" t="n"/>
      <c r="K65" s="82" t="n"/>
      <c r="L65" s="83" t="n">
        <v>4</v>
      </c>
      <c r="M65" s="82" t="n"/>
    </row>
    <row r="66" ht="15" customHeight="1">
      <c r="A66" s="78" t="n">
        <v>13</v>
      </c>
      <c r="B66" s="79" t="inlineStr">
        <is>
          <t>ตบกันสาด</t>
        </is>
      </c>
      <c r="C66" s="80" t="inlineStr">
        <is>
          <t>-</t>
        </is>
      </c>
      <c r="D66" s="81" t="inlineStr">
        <is>
          <t>กว้าง</t>
        </is>
      </c>
      <c r="E66" s="82" t="n"/>
      <c r="F66" s="82" t="n"/>
      <c r="G66" s="82" t="n"/>
      <c r="H66" s="82" t="n"/>
      <c r="I66" s="82" t="n"/>
      <c r="J66" s="82" t="n"/>
      <c r="K66" s="82" t="n"/>
      <c r="L66" s="83" t="n">
        <v>1</v>
      </c>
      <c r="M66" s="82" t="n"/>
    </row>
    <row r="67" ht="44" customHeight="1">
      <c r="A67" s="78" t="n">
        <v>14</v>
      </c>
      <c r="B67" s="79" t="inlineStr">
        <is>
          <t>ราง</t>
        </is>
      </c>
      <c r="C67" s="80" t="inlineStr">
        <is>
          <t>F7994</t>
        </is>
      </c>
      <c r="D67" s="81" t="inlineStr">
        <is>
          <t>เท่าเฟรมล่าง</t>
        </is>
      </c>
      <c r="E67" s="83" t="n">
        <v>21</v>
      </c>
      <c r="F67" s="83" t="n">
        <v>21</v>
      </c>
      <c r="G67" s="82" t="n"/>
      <c r="H67" s="82" t="n"/>
      <c r="I67" s="82" t="n"/>
      <c r="J67" s="82" t="n"/>
      <c r="K67" s="82" t="n"/>
      <c r="L67" s="83" t="n">
        <v>3</v>
      </c>
      <c r="M67" s="82" t="n"/>
    </row>
    <row r="69">
      <c r="A69" s="123" t="n"/>
      <c r="F69" s="124" t="n"/>
    </row>
    <row r="70">
      <c r="A70" s="153" t="inlineStr">
        <is>
          <t>⑤ อุปกรณ์ + ตั้งค่ามือจับ (2 ชุด · บานเลื่อน 3)</t>
        </is>
      </c>
      <c r="F70" s="126" t="n"/>
    </row>
    <row r="71">
      <c r="A71" s="152" t="inlineStr">
        <is>
          <t>ประเภทบาน →</t>
        </is>
      </c>
      <c r="B71" s="150" t="inlineStr">
        <is>
          <t>ประตู</t>
        </is>
      </c>
      <c r="F71" s="126" t="n"/>
    </row>
    <row r="72">
      <c r="A72" s="152" t="inlineStr">
        <is>
          <t>ยี่ห้อมือจับ →</t>
        </is>
      </c>
      <c r="B72" s="150" t="inlineStr">
        <is>
          <t>เมโทร</t>
        </is>
      </c>
      <c r="F72" s="126" t="n"/>
    </row>
    <row r="73">
      <c r="A73" s="152" t="inlineStr">
        <is>
          <t>สีมือจับ →</t>
        </is>
      </c>
      <c r="B73" s="150" t="inlineStr">
        <is>
          <t>อบขาว</t>
        </is>
      </c>
      <c r="F73" s="126" t="n"/>
    </row>
    <row r="74">
      <c r="A74" s="156" t="inlineStr">
        <is>
          <t>มือจับ ชุด1 →</t>
        </is>
      </c>
      <c r="B74" s="150" t="inlineStr">
        <is>
          <t>กุญแจ+ล็อค</t>
        </is>
      </c>
    </row>
    <row r="75">
      <c r="A75" s="149" t="inlineStr">
        <is>
          <t>มือจับ ชุด2 →</t>
        </is>
      </c>
      <c r="B75" s="150" t="inlineStr">
        <is>
          <t>ล็อค+ดัมมี่</t>
        </is>
      </c>
    </row>
    <row r="76">
      <c r="A76" s="154" t="inlineStr">
        <is>
          <t>⑤.1 สรุปอุปกรณ์ (จำนวนลิงก์อัตโนมัติ)</t>
        </is>
      </c>
    </row>
    <row r="77">
      <c r="A77" s="154" t="inlineStr">
        <is>
          <t>#</t>
        </is>
      </c>
      <c r="B77" s="154" t="inlineStr">
        <is>
          <t>อุปกรณ์</t>
        </is>
      </c>
      <c r="C77" s="154" t="inlineStr">
        <is>
          <t>รหัส SKU</t>
        </is>
      </c>
      <c r="D77" s="154" t="inlineStr">
        <is>
          <t>จำนวน</t>
        </is>
      </c>
      <c r="E77" s="154" t="inlineStr">
        <is>
          <t>หน่วย</t>
        </is>
      </c>
      <c r="F77" s="154" t="inlineStr">
        <is>
          <t>หมายเหตุ</t>
        </is>
      </c>
    </row>
    <row r="78">
      <c r="A78" s="149" t="n">
        <v>1</v>
      </c>
      <c r="B78" s="149" t="inlineStr">
        <is>
          <t>ล้อ 20</t>
        </is>
      </c>
      <c r="C78" s="150">
        <f>AK8</f>
        <v/>
      </c>
      <c r="D78" s="155">
        <f>AK30</f>
        <v/>
      </c>
      <c r="E78" s="149" t="inlineStr">
        <is>
          <t>ตัว</t>
        </is>
      </c>
      <c r="F78" s="149" t="inlineStr"/>
    </row>
    <row r="79">
      <c r="A79" s="149" t="n">
        <v>2</v>
      </c>
      <c r="B79" s="149" t="inlineStr">
        <is>
          <t>มือจับ กุญแจ</t>
        </is>
      </c>
      <c r="C79" s="150">
        <f>AL8</f>
        <v/>
      </c>
      <c r="D79" s="155">
        <f>AL30</f>
        <v/>
      </c>
      <c r="E79" s="149" t="inlineStr">
        <is>
          <t>ตัว</t>
        </is>
      </c>
      <c r="F79" s="149" t="inlineStr"/>
    </row>
    <row r="80">
      <c r="A80" s="149" t="n">
        <v>3</v>
      </c>
      <c r="B80" s="149" t="inlineStr">
        <is>
          <t>มือจับ ล็อค</t>
        </is>
      </c>
      <c r="C80" s="150">
        <f>AM8</f>
        <v/>
      </c>
      <c r="D80" s="155">
        <f>AM30</f>
        <v/>
      </c>
      <c r="E80" s="149" t="inlineStr">
        <is>
          <t>ตัว</t>
        </is>
      </c>
      <c r="F80" s="149" t="inlineStr"/>
    </row>
    <row r="81">
      <c r="A81" s="149" t="n">
        <v>4</v>
      </c>
      <c r="B81" s="149" t="inlineStr">
        <is>
          <t>มือจับ ดัมมี่</t>
        </is>
      </c>
      <c r="C81" s="150">
        <f>AN8</f>
        <v/>
      </c>
      <c r="D81" s="155">
        <f>AN30</f>
        <v/>
      </c>
      <c r="E81" s="149" t="inlineStr">
        <is>
          <t>ตัว</t>
        </is>
      </c>
      <c r="F81" s="149" t="inlineStr"/>
    </row>
    <row r="82">
      <c r="A82" s="149" t="n">
        <v>5</v>
      </c>
      <c r="B82" s="149" t="inlineStr">
        <is>
          <t>Digital lock</t>
        </is>
      </c>
      <c r="C82" s="150" t="inlineStr">
        <is>
          <t>-</t>
        </is>
      </c>
      <c r="D82" s="155">
        <f>AO30</f>
        <v/>
      </c>
      <c r="E82" s="149" t="inlineStr">
        <is>
          <t>ชุด</t>
        </is>
      </c>
      <c r="F82" s="149" t="inlineStr">
        <is>
          <t>ไม่ตัดสต็อก</t>
        </is>
      </c>
    </row>
    <row r="83">
      <c r="A83" s="149" t="n">
        <v>6</v>
      </c>
      <c r="B83" s="149" t="inlineStr">
        <is>
          <t>แกน A</t>
        </is>
      </c>
      <c r="C83" s="150">
        <f>AP8</f>
        <v/>
      </c>
      <c r="D83" s="155">
        <f>AP30</f>
        <v/>
      </c>
      <c r="E83" s="149" t="inlineStr">
        <is>
          <t>เส้น</t>
        </is>
      </c>
      <c r="F83" s="149" t="inlineStr"/>
    </row>
    <row r="84">
      <c r="A84" s="149" t="n">
        <v>7</v>
      </c>
      <c r="B84" s="149" t="inlineStr">
        <is>
          <t>แกน B</t>
        </is>
      </c>
      <c r="C84" s="150">
        <f>AQ8</f>
        <v/>
      </c>
      <c r="D84" s="155">
        <f>AQ30</f>
        <v/>
      </c>
      <c r="E84" s="149" t="inlineStr">
        <is>
          <t>เส้น</t>
        </is>
      </c>
      <c r="F84" s="149" t="inlineStr"/>
    </row>
    <row r="85">
      <c r="A85" s="149" t="n">
        <v>8</v>
      </c>
      <c r="B85" s="149" t="inlineStr">
        <is>
          <t>ปลายดำ</t>
        </is>
      </c>
      <c r="C85" s="150">
        <f>AR8</f>
        <v/>
      </c>
      <c r="D85" s="155">
        <f>AR30</f>
        <v/>
      </c>
      <c r="E85" s="149" t="inlineStr">
        <is>
          <t>ตัว</t>
        </is>
      </c>
      <c r="F85" s="149" t="inlineStr"/>
    </row>
    <row r="86">
      <c r="A86" s="149" t="n">
        <v>9</v>
      </c>
      <c r="B86" s="149" t="inlineStr">
        <is>
          <t>ตัวที เงิน</t>
        </is>
      </c>
      <c r="C86" s="150">
        <f>AS8</f>
        <v/>
      </c>
      <c r="D86" s="155">
        <f>AS30</f>
        <v/>
      </c>
      <c r="E86" s="149" t="inlineStr">
        <is>
          <t>ตัว</t>
        </is>
      </c>
      <c r="F86" s="149" t="inlineStr"/>
    </row>
    <row r="87">
      <c r="A87" s="149" t="n">
        <v>10</v>
      </c>
      <c r="B87" s="149" t="inlineStr">
        <is>
          <t>ก้ามปู</t>
        </is>
      </c>
      <c r="C87" s="150">
        <f>AT8</f>
        <v/>
      </c>
      <c r="D87" s="155">
        <f>AT30</f>
        <v/>
      </c>
      <c r="E87" s="149" t="inlineStr">
        <is>
          <t>ตัว</t>
        </is>
      </c>
      <c r="F87" s="149" t="inlineStr"/>
    </row>
    <row r="88">
      <c r="A88" s="149" t="n">
        <v>11</v>
      </c>
      <c r="B88" s="149" t="inlineStr">
        <is>
          <t>สปิงก็อท</t>
        </is>
      </c>
      <c r="C88" s="150">
        <f>AU8</f>
        <v/>
      </c>
      <c r="D88" s="155">
        <f>AU30</f>
        <v/>
      </c>
      <c r="E88" s="149" t="inlineStr">
        <is>
          <t>ตัว</t>
        </is>
      </c>
      <c r="F88" s="149" t="inlineStr"/>
    </row>
    <row r="89">
      <c r="A89" s="149" t="n">
        <v>12</v>
      </c>
      <c r="B89" s="149" t="inlineStr">
        <is>
          <t>ฉากประกอบมุม</t>
        </is>
      </c>
      <c r="C89" s="150">
        <f>AV8</f>
        <v/>
      </c>
      <c r="D89" s="155">
        <f>AV30</f>
        <v/>
      </c>
      <c r="E89" s="149" t="inlineStr">
        <is>
          <t>ตัว</t>
        </is>
      </c>
      <c r="F89" s="149" t="inlineStr"/>
    </row>
    <row r="90">
      <c r="A90" s="149" t="n">
        <v>13</v>
      </c>
      <c r="B90" s="149" t="inlineStr">
        <is>
          <t>ยางรูน้ำ</t>
        </is>
      </c>
      <c r="C90" s="150">
        <f>AW8</f>
        <v/>
      </c>
      <c r="D90" s="155">
        <f>AW30</f>
        <v/>
      </c>
      <c r="E90" s="149" t="inlineStr">
        <is>
          <t>ตัว</t>
        </is>
      </c>
      <c r="F90" s="149" t="inlineStr"/>
    </row>
    <row r="91">
      <c r="A91" s="149" t="n">
        <v>14</v>
      </c>
      <c r="B91" s="149" t="inlineStr">
        <is>
          <t>วาวรูน้ำ</t>
        </is>
      </c>
      <c r="C91" s="150">
        <f>AX8</f>
        <v/>
      </c>
      <c r="D91" s="155">
        <f>AX30</f>
        <v/>
      </c>
      <c r="E91" s="149" t="inlineStr">
        <is>
          <t>ตัว</t>
        </is>
      </c>
      <c r="F91" s="149" t="inlineStr"/>
    </row>
    <row r="92">
      <c r="A92" s="149" t="n">
        <v>15</v>
      </c>
      <c r="B92" s="149" t="inlineStr">
        <is>
          <t>สักหลาด 5×3</t>
        </is>
      </c>
      <c r="C92" s="150">
        <f>AY8</f>
        <v/>
      </c>
      <c r="D92" s="155">
        <f>AY30</f>
        <v/>
      </c>
      <c r="E92" s="149" t="inlineStr">
        <is>
          <t>เมตร</t>
        </is>
      </c>
      <c r="F92" s="149" t="inlineStr">
        <is>
          <t>เก็บเป็นเมตร</t>
        </is>
      </c>
    </row>
  </sheetData>
  <mergeCells count="61">
    <mergeCell ref="U9:V9"/>
    <mergeCell ref="I6:J6"/>
    <mergeCell ref="AE7:AF7"/>
    <mergeCell ref="O6:P6"/>
    <mergeCell ref="U6:V6"/>
    <mergeCell ref="K9:L9"/>
    <mergeCell ref="W6:X6"/>
    <mergeCell ref="M9:N9"/>
    <mergeCell ref="K7:N7"/>
    <mergeCell ref="O9:P9"/>
    <mergeCell ref="G8:H8"/>
    <mergeCell ref="Y9:Z9"/>
    <mergeCell ref="E8:F8"/>
    <mergeCell ref="Q8:R8"/>
    <mergeCell ref="AA9:AB9"/>
    <mergeCell ref="Y7:AD7"/>
    <mergeCell ref="S8:T8"/>
    <mergeCell ref="Y30:AC30"/>
    <mergeCell ref="G7:H7"/>
    <mergeCell ref="AA6:AB6"/>
    <mergeCell ref="S7:T7"/>
    <mergeCell ref="I7:J7"/>
    <mergeCell ref="O7:R7"/>
    <mergeCell ref="A30:D30"/>
    <mergeCell ref="G6:H6"/>
    <mergeCell ref="AC8:AD8"/>
    <mergeCell ref="E9:F9"/>
    <mergeCell ref="AE8:AF8"/>
    <mergeCell ref="U7:V7"/>
    <mergeCell ref="W7:X7"/>
    <mergeCell ref="E6:F6"/>
    <mergeCell ref="A8:A9"/>
    <mergeCell ref="A6:D6"/>
    <mergeCell ref="M6:N6"/>
    <mergeCell ref="K8:L8"/>
    <mergeCell ref="Q6:R6"/>
    <mergeCell ref="S6:T6"/>
    <mergeCell ref="Y6:Z6"/>
    <mergeCell ref="A7:D7"/>
    <mergeCell ref="D8:D9"/>
    <mergeCell ref="Q9:R9"/>
    <mergeCell ref="I8:J8"/>
    <mergeCell ref="S9:T9"/>
    <mergeCell ref="M8:N8"/>
    <mergeCell ref="K30:M30"/>
    <mergeCell ref="AC9:AD9"/>
    <mergeCell ref="O8:P8"/>
    <mergeCell ref="U8:V8"/>
    <mergeCell ref="AE9:AF9"/>
    <mergeCell ref="W9:X9"/>
    <mergeCell ref="W8:X8"/>
    <mergeCell ref="B8:C9"/>
    <mergeCell ref="AC6:AD6"/>
    <mergeCell ref="E7:F7"/>
    <mergeCell ref="AE6:AF6"/>
    <mergeCell ref="O30:Q30"/>
    <mergeCell ref="Y8:Z8"/>
    <mergeCell ref="K6:L6"/>
    <mergeCell ref="G9:H9"/>
    <mergeCell ref="AA8:AB8"/>
    <mergeCell ref="I9:J9"/>
  </mergeCells>
  <dataValidations count="5">
    <dataValidation sqref="B71" showDropDown="0" showInputMessage="0" showErrorMessage="0" allowBlank="1" type="list">
      <formula1>"ประตู,หน้าต่าง"</formula1>
    </dataValidation>
    <dataValidation sqref="B72" showDropDown="0" showInputMessage="0" showErrorMessage="0" allowBlank="1" type="list">
      <formula1>"เมโทร,Align"</formula1>
    </dataValidation>
    <dataValidation sqref="B73" showDropDown="0" showInputMessage="0" showErrorMessage="0" allowBlank="1" type="list">
      <formula1>"อบขาว,ดำ"</formula1>
    </dataValidation>
    <dataValidation sqref="B74" showDropDown="0" showInputMessage="0" showErrorMessage="0" allowBlank="1" type="list">
      <formula1>=$BD$1:$BD$4</formula1>
    </dataValidation>
    <dataValidation sqref="B75" showDropDown="0" showInputMessage="0" showErrorMessage="0" allowBlank="1" type="list">
      <formula1>=$BD$1:$BD$4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D92"/>
  <sheetViews>
    <sheetView showGridLines="0"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26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6.75" customWidth="1" min="32" max="32"/>
    <col width="12.75" customWidth="1" min="33" max="33"/>
    <col width="6.75" customWidth="1" min="34" max="34"/>
    <col width="12.75" customWidth="1" min="35" max="35"/>
    <col width="6.75" customWidth="1" min="36" max="36"/>
    <col width="12.75" customWidth="1" min="37" max="37"/>
    <col width="6.75" customWidth="1" min="38" max="38"/>
    <col width="12.75" customWidth="1" min="39" max="39"/>
    <col width="6.75" customWidth="1" min="40" max="40"/>
    <col width="12.75" customWidth="1" min="41" max="41"/>
    <col width="12.75" customWidth="1" min="42" max="42"/>
    <col width="8.75" customWidth="1" min="43" max="43"/>
    <col width="12.75" customWidth="1" min="44" max="44"/>
    <col width="8.875" customWidth="1" min="46" max="46"/>
    <col hidden="1" width="13" customWidth="1" min="53" max="53"/>
    <col hidden="1" width="13" customWidth="1" min="54" max="54"/>
    <col hidden="1" width="13" customWidth="1" min="55" max="55"/>
    <col hidden="1" width="13" customWidth="1" min="56" max="56"/>
  </cols>
  <sheetData>
    <row r="1" ht="40.15" customHeight="1">
      <c r="A1" s="1" t="inlineStr">
        <is>
          <t>JR ALUMINIUM &amp; GLASS  —  ใบรายการตัด · FUJI เลื่อนสลับ66ช่องแสงล่าง   (หน่วย: มม.)</t>
        </is>
      </c>
      <c r="B1" s="2" t="n"/>
      <c r="C1" s="2" t="n"/>
      <c r="D1" s="2" t="n"/>
      <c r="F1" s="3" t="n"/>
      <c r="G1" s="4" t="n"/>
      <c r="H1" s="3" t="n"/>
      <c r="I1" s="5" t="n"/>
      <c r="J1" s="5" t="n"/>
      <c r="K1" s="6" t="n"/>
      <c r="L1" s="5" t="n"/>
      <c r="M1" s="3" t="n"/>
      <c r="N1" s="3" t="n"/>
      <c r="O1" s="6" t="n"/>
      <c r="P1" s="6" t="n"/>
      <c r="Q1" s="5" t="n"/>
      <c r="R1" s="5" t="n"/>
      <c r="S1" s="3" t="n"/>
      <c r="T1" s="7" t="n"/>
      <c r="U1" s="6" t="n"/>
      <c r="V1" s="6" t="n"/>
      <c r="W1" s="5" t="n"/>
      <c r="X1" s="5" t="n"/>
      <c r="Y1" s="5" t="n"/>
      <c r="Z1" s="5" t="n"/>
      <c r="AA1" s="5" t="n"/>
      <c r="AB1" s="5" t="n"/>
      <c r="AC1" s="3" t="n"/>
      <c r="AD1" s="3" t="n"/>
      <c r="AE1" s="3" t="n"/>
      <c r="AF1" s="3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BA1" t="inlineStr">
        <is>
          <t>เมโทรกุญแจอบขาว</t>
        </is>
      </c>
      <c r="BB1" t="inlineStr">
        <is>
          <t>JR00368</t>
        </is>
      </c>
      <c r="BD1">
        <f>IF($B$71="ประตู","กุญแจ+ล็อค","ล็อค")</f>
        <v/>
      </c>
    </row>
    <row r="2" ht="40.15" customHeight="1">
      <c r="A2" s="6" t="n"/>
      <c r="B2" s="6" t="n"/>
      <c r="C2" s="6" t="n"/>
      <c r="D2" s="6" t="n"/>
      <c r="E2" s="6" t="n"/>
      <c r="F2" s="6" t="n"/>
      <c r="G2" s="8" t="n"/>
      <c r="H2" s="6" t="n"/>
      <c r="I2" s="9" t="n"/>
      <c r="J2" s="9" t="n"/>
      <c r="K2" s="9" t="n"/>
      <c r="L2" s="9" t="n"/>
      <c r="M2" s="6" t="n"/>
      <c r="N2" s="6" t="n"/>
      <c r="O2" s="6" t="n"/>
      <c r="P2" s="6" t="n"/>
      <c r="Q2" s="9" t="n"/>
      <c r="R2" s="9" t="n"/>
      <c r="S2" s="6" t="n"/>
      <c r="T2" s="6" t="n"/>
      <c r="U2" s="9" t="n"/>
      <c r="V2" s="9" t="n"/>
      <c r="W2" s="9" t="n"/>
      <c r="X2" s="9" t="n"/>
      <c r="Y2" s="9" t="n"/>
      <c r="Z2" s="9" t="n"/>
      <c r="AA2" s="9" t="n"/>
      <c r="AB2" s="9" t="n"/>
      <c r="AC2" s="6" t="n"/>
      <c r="AD2" s="6" t="n"/>
      <c r="AE2" s="6" t="n"/>
      <c r="AF2" s="6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  <c r="AP2" s="9" t="n"/>
      <c r="AQ2" s="9" t="n"/>
      <c r="AR2" s="9" t="n"/>
      <c r="AS2" s="9" t="n"/>
      <c r="BA2" t="inlineStr">
        <is>
          <t>เมโทรกุญแจดำ</t>
        </is>
      </c>
      <c r="BB2" t="inlineStr">
        <is>
          <t>JR00371</t>
        </is>
      </c>
      <c r="BD2">
        <f>IF($B$71="ประตู","ล็อค+ดัมมี่","ดัมมี่")</f>
        <v/>
      </c>
    </row>
    <row r="3" ht="40.15" customHeight="1">
      <c r="A3" s="130">
        <f>HYPERLINK("#สารบัญ!A1","← สารบัญ")</f>
        <v/>
      </c>
      <c r="B3" s="6" t="n"/>
      <c r="C3" s="6" t="n"/>
      <c r="D3" s="6" t="n"/>
      <c r="E3" s="6" t="n"/>
      <c r="F3" s="6" t="n"/>
      <c r="G3" s="8" t="n"/>
      <c r="H3" s="6" t="n"/>
      <c r="I3" s="11" t="n"/>
      <c r="J3" s="11" t="n"/>
      <c r="K3" s="9" t="n"/>
      <c r="L3" s="9" t="n"/>
      <c r="M3" s="6" t="n"/>
      <c r="N3" s="6" t="n"/>
      <c r="O3" s="6" t="n"/>
      <c r="P3" s="6" t="n"/>
      <c r="Q3" s="11" t="n"/>
      <c r="R3" s="11" t="n"/>
      <c r="S3" s="6" t="n"/>
      <c r="T3" s="6" t="n"/>
      <c r="W3" s="11" t="n"/>
      <c r="X3" s="11" t="n"/>
      <c r="Y3" s="11" t="n"/>
      <c r="Z3" s="11" t="n"/>
      <c r="AA3" s="11" t="n"/>
      <c r="AB3" s="11" t="n"/>
      <c r="AC3" s="6" t="n"/>
      <c r="AD3" s="6" t="n"/>
      <c r="AE3" s="6" t="n"/>
      <c r="AF3" s="6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  <c r="AR3" s="11" t="n"/>
      <c r="AS3" s="11" t="n"/>
      <c r="BA3" t="inlineStr">
        <is>
          <t>เมโทรล็อคอบขาว</t>
        </is>
      </c>
      <c r="BB3" t="inlineStr">
        <is>
          <t>JR00369</t>
        </is>
      </c>
      <c r="BD3">
        <f>IF($B$71="ประตู","ดัมมี่+ดัมมี่","")</f>
        <v/>
      </c>
    </row>
    <row r="4" ht="40.15" customHeight="1">
      <c r="A4" s="6" t="n"/>
      <c r="B4" s="6" t="n"/>
      <c r="C4" s="6" t="n"/>
      <c r="D4" s="6" t="n"/>
      <c r="E4" s="6" t="n"/>
      <c r="H4" s="6" t="n"/>
      <c r="K4" s="9" t="n"/>
      <c r="L4" s="9" t="n"/>
      <c r="M4" s="6" t="n"/>
      <c r="N4" s="6" t="n"/>
      <c r="O4" s="6" t="n"/>
      <c r="P4" s="6" t="n"/>
      <c r="S4" s="6" t="n"/>
      <c r="T4" s="6" t="n"/>
      <c r="AC4" s="6" t="n"/>
      <c r="AD4" s="6" t="n"/>
      <c r="AE4" s="6" t="n"/>
      <c r="AF4" s="6" t="n"/>
      <c r="BA4" t="inlineStr">
        <is>
          <t>เมโทรล็อคดำ</t>
        </is>
      </c>
      <c r="BB4" t="inlineStr">
        <is>
          <t>JR00372</t>
        </is>
      </c>
      <c r="BD4">
        <f>IF($B$71="ประตู","Digital lock","")</f>
        <v/>
      </c>
    </row>
    <row r="5" ht="40.15" customHeight="1">
      <c r="A5" s="6" t="n"/>
      <c r="B5" s="6" t="n"/>
      <c r="C5" s="6" t="n"/>
      <c r="D5" s="6" t="n"/>
      <c r="E5" s="6" t="n"/>
      <c r="F5" s="6" t="n"/>
      <c r="G5" s="8" t="n"/>
      <c r="H5" s="6" t="n"/>
      <c r="M5" s="6" t="n"/>
      <c r="N5" s="6" t="n"/>
      <c r="P5" s="6" t="n"/>
      <c r="S5" s="6" t="n"/>
      <c r="T5" s="6" t="n"/>
      <c r="AC5" s="6" t="n"/>
      <c r="AD5" s="6" t="n"/>
      <c r="AE5" s="6" t="n"/>
      <c r="AF5" s="6" t="n"/>
      <c r="BA5" t="inlineStr">
        <is>
          <t>เมโทรดัมมี่อบขาว</t>
        </is>
      </c>
      <c r="BB5" t="inlineStr">
        <is>
          <t>JR00370</t>
        </is>
      </c>
    </row>
    <row r="6" ht="60" customHeight="1">
      <c r="A6" s="13" t="inlineStr">
        <is>
          <t>สูตรตัด</t>
        </is>
      </c>
      <c r="B6" s="14" t="n"/>
      <c r="C6" s="14" t="n"/>
      <c r="D6" s="14" t="n"/>
      <c r="E6" s="14" t="n"/>
      <c r="F6" s="15" t="n"/>
      <c r="G6" s="16" t="inlineStr">
        <is>
          <t>สูง</t>
        </is>
      </c>
      <c r="H6" s="17" t="n"/>
      <c r="I6" s="16" t="inlineStr">
        <is>
          <t>กว้าง-21-21</t>
        </is>
      </c>
      <c r="J6" s="17" t="n"/>
      <c r="K6" s="16" t="inlineStr">
        <is>
          <t>กว้าง</t>
        </is>
      </c>
      <c r="L6" s="17" t="n"/>
      <c r="M6" s="16" t="inlineStr">
        <is>
          <t>สูง-21-19-13-21</t>
        </is>
      </c>
      <c r="N6" s="17" t="n"/>
      <c r="O6" s="16" t="inlineStr">
        <is>
          <t>((กว้าง-21-3-1.2-3-21)/2)+(66x1/2)</t>
        </is>
      </c>
      <c r="P6" s="17" t="n"/>
      <c r="Q6" s="16" t="inlineStr">
        <is>
          <t>เสา-66-66</t>
        </is>
      </c>
      <c r="R6" s="17" t="n"/>
      <c r="S6" s="16" t="inlineStr">
        <is>
          <t>ขวาง-51-51</t>
        </is>
      </c>
      <c r="T6" s="17" t="n"/>
      <c r="U6" s="16" t="inlineStr">
        <is>
          <t>สูงกรอบบาน</t>
        </is>
      </c>
      <c r="V6" s="17" t="n"/>
      <c r="W6" s="16" t="inlineStr">
        <is>
          <t>สูง-45-45</t>
        </is>
      </c>
      <c r="X6" s="17" t="n"/>
      <c r="Y6" s="16" t="inlineStr">
        <is>
          <t>เท่าเฟรมบน</t>
        </is>
      </c>
      <c r="Z6" s="17" t="n"/>
      <c r="AA6" s="16" t="inlineStr">
        <is>
          <t>สูง-45-45</t>
        </is>
      </c>
      <c r="AB6" s="17" t="n"/>
      <c r="AC6" s="16" t="inlineStr">
        <is>
          <t>สูงกรอบบาน</t>
        </is>
      </c>
      <c r="AD6" s="17" t="n"/>
      <c r="AE6" s="16" t="inlineStr">
        <is>
          <t>กว้าง</t>
        </is>
      </c>
      <c r="AF6" s="17" t="n"/>
      <c r="AG6" s="16" t="inlineStr">
        <is>
          <t>เท่าเฟรมล่าง</t>
        </is>
      </c>
      <c r="AI6" s="16" t="inlineStr">
        <is>
          <t>สูง-25-25</t>
        </is>
      </c>
      <c r="AK6" s="16" t="inlineStr">
        <is>
          <t>สูง-25-25</t>
        </is>
      </c>
      <c r="AM6" s="16" t="inlineStr">
        <is>
          <t>กว้าง-26-26</t>
        </is>
      </c>
      <c r="AO6" s="18" t="n"/>
      <c r="AP6" s="18" t="n"/>
      <c r="AQ6" s="18" t="n"/>
      <c r="AR6" s="18" t="n"/>
      <c r="AS6" s="18" t="n"/>
      <c r="BA6" t="inlineStr">
        <is>
          <t>เมโทรดัมมี่ดำ</t>
        </is>
      </c>
      <c r="BB6" t="inlineStr">
        <is>
          <t>JR00373</t>
        </is>
      </c>
      <c r="BC6">
        <f>(COUNTIF($B$74:$B$75,"กุญแจ+ล็อค")+COUNTIF($B$74:$B$75,"ล็อค+ดัมมี่")+COUNTIF($B$74:$B$75,"ล็อค"))</f>
        <v/>
      </c>
    </row>
    <row r="7" ht="40.15" customHeight="1">
      <c r="A7" s="19" t="inlineStr">
        <is>
          <t>ใส่ข้อมูล</t>
        </is>
      </c>
      <c r="B7" s="20" t="n"/>
      <c r="C7" s="20" t="n"/>
      <c r="D7" s="20" t="n"/>
      <c r="E7" s="20" t="n"/>
      <c r="F7" s="21" t="n"/>
      <c r="G7" s="22" t="inlineStr">
        <is>
          <t>F7978</t>
        </is>
      </c>
      <c r="H7" s="15" t="n"/>
      <c r="I7" s="22" t="inlineStr">
        <is>
          <t>F7976</t>
        </is>
      </c>
      <c r="J7" s="15" t="n"/>
      <c r="K7" s="22" t="inlineStr">
        <is>
          <t>F7992</t>
        </is>
      </c>
      <c r="L7" s="15" t="n"/>
      <c r="M7" s="22" t="inlineStr">
        <is>
          <t>F7981</t>
        </is>
      </c>
      <c r="N7" s="14" t="n"/>
      <c r="O7" s="14" t="n"/>
      <c r="P7" s="15" t="n"/>
      <c r="Q7" s="22" t="inlineStr">
        <is>
          <t>F7919</t>
        </is>
      </c>
      <c r="R7" s="14" t="n"/>
      <c r="S7" s="14" t="n"/>
      <c r="T7" s="15" t="n"/>
      <c r="U7" s="22" t="inlineStr">
        <is>
          <t>F7982</t>
        </is>
      </c>
      <c r="V7" s="15" t="n"/>
      <c r="W7" s="22" t="inlineStr">
        <is>
          <t>F7986</t>
        </is>
      </c>
      <c r="X7" s="15" t="n"/>
      <c r="Y7" s="22" t="inlineStr">
        <is>
          <t>F7993</t>
        </is>
      </c>
      <c r="Z7" s="15" t="n"/>
      <c r="AA7" s="22" t="inlineStr">
        <is>
          <t>F7988</t>
        </is>
      </c>
      <c r="AB7" s="14" t="n"/>
      <c r="AC7" s="14" t="n"/>
      <c r="AD7" s="14" t="n"/>
      <c r="AE7" s="14" t="n"/>
      <c r="AF7" s="15" t="n"/>
      <c r="AG7" s="22" t="inlineStr">
        <is>
          <t>F7994</t>
        </is>
      </c>
      <c r="AI7" s="22" t="inlineStr">
        <is>
          <t>F7996</t>
        </is>
      </c>
      <c r="AK7" s="22" t="inlineStr">
        <is>
          <t>F7935</t>
        </is>
      </c>
      <c r="AO7" s="24" t="n"/>
      <c r="AP7" s="25" t="inlineStr">
        <is>
          <t>ขนาดกระจก</t>
        </is>
      </c>
      <c r="AQ7" s="26" t="n"/>
      <c r="AR7" s="24" t="n"/>
      <c r="AS7" s="25" t="inlineStr">
        <is>
          <t>ขนาดกระจก</t>
        </is>
      </c>
      <c r="BA7" t="inlineStr">
        <is>
          <t>Alignกุญแจอบขาว</t>
        </is>
      </c>
      <c r="BB7" t="inlineStr">
        <is>
          <t>JR00377</t>
        </is>
      </c>
      <c r="BC7">
        <f>COUNTIF($B$74:$B$75,"กุญแจ+ล็อค")</f>
        <v/>
      </c>
    </row>
    <row r="8" ht="40.15" customHeight="1">
      <c r="A8" s="27" t="inlineStr">
        <is>
          <t>แผน</t>
        </is>
      </c>
      <c r="B8" s="28" t="inlineStr">
        <is>
          <t>ขนาดชิ้นงาน
(mm)</t>
        </is>
      </c>
      <c r="C8" s="112" t="n"/>
      <c r="D8" s="112" t="n"/>
      <c r="E8" s="29" t="n"/>
      <c r="F8" s="27" t="inlineStr">
        <is>
          <t>Set</t>
        </is>
      </c>
      <c r="G8" s="30" t="n"/>
      <c r="H8" s="31" t="n"/>
      <c r="I8" s="30" t="n"/>
      <c r="J8" s="31" t="n"/>
      <c r="K8" s="30" t="n"/>
      <c r="L8" s="31" t="n"/>
      <c r="M8" s="32" t="n"/>
      <c r="N8" s="33" t="n"/>
      <c r="O8" s="34" t="n"/>
      <c r="P8" s="31" t="n"/>
      <c r="Q8" s="32" t="n"/>
      <c r="R8" s="33" t="n"/>
      <c r="S8" s="34" t="n"/>
      <c r="T8" s="31" t="n"/>
      <c r="U8" s="32" t="n"/>
      <c r="V8" s="33" t="n"/>
      <c r="W8" s="32" t="n"/>
      <c r="X8" s="33" t="n"/>
      <c r="Y8" s="32" t="n"/>
      <c r="Z8" s="33" t="n"/>
      <c r="AA8" s="32" t="n"/>
      <c r="AB8" s="33" t="n"/>
      <c r="AC8" s="35" t="n"/>
      <c r="AD8" s="33" t="n"/>
      <c r="AE8" s="34" t="n"/>
      <c r="AF8" s="31" t="n"/>
      <c r="AG8" s="30" t="n"/>
      <c r="AI8" s="30" t="n"/>
      <c r="AK8" s="32" t="inlineStr">
        <is>
          <t>JR00577</t>
        </is>
      </c>
      <c r="AL8">
        <f>VLOOKUP($B$72&amp;"กุญแจ"&amp;$B$73,$BA$1:$BB$12,2,0)</f>
        <v/>
      </c>
      <c r="AM8" s="34">
        <f>VLOOKUP($B$72&amp;"ล็อค"&amp;$B$73,$BA$1:$BB$12,2,0)</f>
        <v/>
      </c>
      <c r="AN8">
        <f>VLOOKUP($B$72&amp;"ดัมมี่"&amp;$B$73,$BA$1:$BB$12,2,0)</f>
        <v/>
      </c>
      <c r="AO8" s="36" t="inlineStr"/>
      <c r="AP8" s="37" t="inlineStr">
        <is>
          <t>JR00478</t>
        </is>
      </c>
      <c r="AQ8" s="38" t="inlineStr">
        <is>
          <t>JR00479</t>
        </is>
      </c>
      <c r="AR8" s="36" t="inlineStr">
        <is>
          <t>JR00476</t>
        </is>
      </c>
      <c r="AS8" s="37" t="inlineStr">
        <is>
          <t>JR00475</t>
        </is>
      </c>
      <c r="AT8" t="inlineStr">
        <is>
          <t>JR00477</t>
        </is>
      </c>
      <c r="AU8" t="inlineStr">
        <is>
          <t>JR00592</t>
        </is>
      </c>
      <c r="AV8" t="inlineStr">
        <is>
          <t>JR00480</t>
        </is>
      </c>
      <c r="AW8" t="inlineStr">
        <is>
          <t>JR00589</t>
        </is>
      </c>
      <c r="AX8" t="inlineStr">
        <is>
          <t>JR00485</t>
        </is>
      </c>
      <c r="AY8" t="inlineStr">
        <is>
          <t>JR00794</t>
        </is>
      </c>
      <c r="BA8" t="inlineStr">
        <is>
          <t>Alignล็อคอบขาว</t>
        </is>
      </c>
      <c r="BB8" t="inlineStr">
        <is>
          <t>JR00378</t>
        </is>
      </c>
    </row>
    <row r="9" ht="40.15" customHeight="1">
      <c r="A9" s="39" t="n"/>
      <c r="B9" s="40" t="n"/>
      <c r="C9" s="33" t="n"/>
      <c r="D9" s="33" t="n"/>
      <c r="E9" s="41" t="n"/>
      <c r="F9" s="39" t="n"/>
      <c r="G9" s="42" t="inlineStr">
        <is>
          <t>เฟรมข้าง</t>
        </is>
      </c>
      <c r="H9" s="43" t="n"/>
      <c r="I9" s="42" t="inlineStr">
        <is>
          <t>เฟรม บน-ล่าง</t>
        </is>
      </c>
      <c r="J9" s="43" t="n"/>
      <c r="K9" s="42" t="inlineStr">
        <is>
          <t>ตบกันสาด</t>
        </is>
      </c>
      <c r="L9" s="43" t="n"/>
      <c r="M9" s="42" t="inlineStr">
        <is>
          <t>เสา</t>
        </is>
      </c>
      <c r="N9" s="43" t="n"/>
      <c r="O9" s="42" t="inlineStr">
        <is>
          <t>ขวาง</t>
        </is>
      </c>
      <c r="P9" s="43" t="n"/>
      <c r="Q9" s="42" t="inlineStr">
        <is>
          <t>คิ้ว ตั้ง</t>
        </is>
      </c>
      <c r="R9" s="43" t="n"/>
      <c r="S9" s="42" t="inlineStr">
        <is>
          <t>คิ้ว ขวาง</t>
        </is>
      </c>
      <c r="T9" s="43" t="n"/>
      <c r="U9" s="42" t="inlineStr">
        <is>
          <t>ตบเกี่ยว</t>
        </is>
      </c>
      <c r="V9" s="43" t="n"/>
      <c r="W9" s="44" t="inlineStr">
        <is>
          <t>ยูข้าง</t>
        </is>
      </c>
      <c r="X9" s="43" t="n"/>
      <c r="Y9" s="44" t="inlineStr">
        <is>
          <t>ตบเฟรมบน</t>
        </is>
      </c>
      <c r="Z9" s="43" t="n"/>
      <c r="AA9" s="44" t="inlineStr">
        <is>
          <t>ตบยูข้าง</t>
        </is>
      </c>
      <c r="AB9" s="43" t="n"/>
      <c r="AC9" s="42" t="inlineStr">
        <is>
          <t>ปิดตบเกี่ยว</t>
        </is>
      </c>
      <c r="AD9" s="43" t="n"/>
      <c r="AE9" s="42" t="inlineStr">
        <is>
          <t>ตบกันสาด</t>
        </is>
      </c>
      <c r="AF9" s="43" t="n"/>
      <c r="AG9" s="44" t="inlineStr">
        <is>
          <t>ราง</t>
        </is>
      </c>
      <c r="AI9" s="44" t="inlineStr">
        <is>
          <t>คิ้วลอย</t>
        </is>
      </c>
      <c r="AK9" s="44" t="inlineStr">
        <is>
          <t>ล้อ 20</t>
        </is>
      </c>
      <c r="AL9" t="inlineStr">
        <is>
          <t>มือจับ กุญแจ</t>
        </is>
      </c>
      <c r="AM9" s="44" t="inlineStr">
        <is>
          <t>มือจับ ล็อค</t>
        </is>
      </c>
      <c r="AN9" t="inlineStr">
        <is>
          <t>มือจับ ดัมมี่</t>
        </is>
      </c>
      <c r="AO9" s="45" t="inlineStr">
        <is>
          <t>Digital lock</t>
        </is>
      </c>
      <c r="AP9" s="46" t="inlineStr">
        <is>
          <t>แกน A</t>
        </is>
      </c>
      <c r="AQ9" s="47" t="inlineStr">
        <is>
          <t>แกน B</t>
        </is>
      </c>
      <c r="AR9" s="45" t="inlineStr">
        <is>
          <t>ปลายดำ</t>
        </is>
      </c>
      <c r="AS9" s="45" t="inlineStr">
        <is>
          <t>ตัวที เงิน</t>
        </is>
      </c>
      <c r="AT9" t="inlineStr">
        <is>
          <t>ก้ามปู</t>
        </is>
      </c>
      <c r="AU9" t="inlineStr">
        <is>
          <t>สปิงก็อท</t>
        </is>
      </c>
      <c r="AV9" t="inlineStr">
        <is>
          <t>ฉากประกอบมุม</t>
        </is>
      </c>
      <c r="AW9" t="inlineStr">
        <is>
          <t>ยางรูน้ำ</t>
        </is>
      </c>
      <c r="AX9" t="inlineStr">
        <is>
          <t>วาวรูน้ำ</t>
        </is>
      </c>
      <c r="AY9" t="inlineStr">
        <is>
          <t>สักหลาด(ม.)</t>
        </is>
      </c>
      <c r="BA9" t="inlineStr">
        <is>
          <t>Alignดัมมี่อบขาว</t>
        </is>
      </c>
      <c r="BB9" t="inlineStr">
        <is>
          <t>JR00379</t>
        </is>
      </c>
      <c r="BC9">
        <f>(COUNTIF($B$74:$B$75,"ล็อค+ดัมมี่")+2*COUNTIF($B$74:$B$75,"ดัมมี่+ดัมมี่")+COUNTIF($B$74:$B$75,"ดัมมี่"))</f>
        <v/>
      </c>
    </row>
    <row r="10" ht="40.15" customHeight="1">
      <c r="A10" s="48" t="inlineStr">
        <is>
          <t>ใบงาน</t>
        </is>
      </c>
      <c r="B10" s="49" t="inlineStr">
        <is>
          <t>สูง</t>
        </is>
      </c>
      <c r="C10" s="113" t="inlineStr">
        <is>
          <t>H1</t>
        </is>
      </c>
      <c r="D10" s="114" t="inlineStr">
        <is>
          <t>H2</t>
        </is>
      </c>
      <c r="E10" s="50" t="inlineStr">
        <is>
          <t>W</t>
        </is>
      </c>
      <c r="F10" s="51" t="inlineStr">
        <is>
          <t>จำนวนชุด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3" t="inlineStr">
        <is>
          <t>จำนวน</t>
        </is>
      </c>
      <c r="K10" s="52" t="inlineStr">
        <is>
          <t>ยาว</t>
        </is>
      </c>
      <c r="L10" s="53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4" t="inlineStr">
        <is>
          <t>จำนวน</t>
        </is>
      </c>
      <c r="U10" s="52" t="inlineStr">
        <is>
          <t>ยาว</t>
        </is>
      </c>
      <c r="V10" s="53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4" t="inlineStr">
        <is>
          <t>จำนวน</t>
        </is>
      </c>
      <c r="AA10" s="52" t="inlineStr">
        <is>
          <t>ยาว</t>
        </is>
      </c>
      <c r="AB10" s="54" t="inlineStr">
        <is>
          <t>จำนวน</t>
        </is>
      </c>
      <c r="AC10" s="52" t="inlineStr">
        <is>
          <t>ยาว</t>
        </is>
      </c>
      <c r="AD10" s="53" t="inlineStr">
        <is>
          <t>จำนวน</t>
        </is>
      </c>
      <c r="AE10" s="52" t="inlineStr">
        <is>
          <t>ยาว</t>
        </is>
      </c>
      <c r="AF10" s="53" t="inlineStr">
        <is>
          <t>จำนวน</t>
        </is>
      </c>
      <c r="AG10" s="52" t="inlineStr">
        <is>
          <t>ยาว</t>
        </is>
      </c>
      <c r="AH10" s="54" t="inlineStr">
        <is>
          <t>จำนวน</t>
        </is>
      </c>
      <c r="AI10" s="52" t="inlineStr">
        <is>
          <t>ยาว</t>
        </is>
      </c>
      <c r="AJ10" s="54" t="inlineStr">
        <is>
          <t>จำนวน</t>
        </is>
      </c>
      <c r="AK10" s="52" t="inlineStr">
        <is>
          <t>จำนวน</t>
        </is>
      </c>
      <c r="AL10" s="54" t="inlineStr">
        <is>
          <t>จำนวน</t>
        </is>
      </c>
      <c r="AM10" s="52" t="inlineStr">
        <is>
          <t>จำนวน</t>
        </is>
      </c>
      <c r="AN10" s="54" t="inlineStr">
        <is>
          <t>จำนวน</t>
        </is>
      </c>
      <c r="AO10" s="55" t="inlineStr">
        <is>
          <t>จำนวน</t>
        </is>
      </c>
      <c r="AP10" s="56" t="inlineStr">
        <is>
          <t>จำนวน</t>
        </is>
      </c>
      <c r="AQ10" s="57" t="inlineStr">
        <is>
          <t>จำนวน</t>
        </is>
      </c>
      <c r="AR10" s="55" t="inlineStr">
        <is>
          <t>จำนวน</t>
        </is>
      </c>
      <c r="AS10" s="56" t="inlineStr">
        <is>
          <t>จำนวน</t>
        </is>
      </c>
      <c r="AT10" t="inlineStr">
        <is>
          <t>จำนวน</t>
        </is>
      </c>
      <c r="AU10" t="inlineStr">
        <is>
          <t>จำนวน</t>
        </is>
      </c>
      <c r="AV10" t="inlineStr">
        <is>
          <t>จำนวน</t>
        </is>
      </c>
      <c r="AW10" t="inlineStr">
        <is>
          <t>จำนวน</t>
        </is>
      </c>
      <c r="AX10" t="inlineStr">
        <is>
          <t>จำนวน</t>
        </is>
      </c>
      <c r="AY10" t="inlineStr">
        <is>
          <t>จำนวน</t>
        </is>
      </c>
      <c r="BA10" t="inlineStr">
        <is>
          <t>Alignกุญแจดำ</t>
        </is>
      </c>
      <c r="BB10" t="inlineStr">
        <is>
          <t>JR00374</t>
        </is>
      </c>
      <c r="BC10">
        <f>COUNTIF($B$74:$B$75,"Digital lock")</f>
        <v/>
      </c>
    </row>
    <row r="11" ht="40.15" customHeight="1">
      <c r="A11" s="99" t="inlineStr">
        <is>
          <t>D1</t>
        </is>
      </c>
      <c r="B11" s="88" t="n">
        <v>600</v>
      </c>
      <c r="C11" s="115">
        <f>IF($A11="","",($B11-$D11))</f>
        <v/>
      </c>
      <c r="D11" s="116" t="n">
        <v>300</v>
      </c>
      <c r="E11" s="89" t="n">
        <v>300</v>
      </c>
      <c r="F11" s="90" t="n">
        <v>1</v>
      </c>
      <c r="G11" s="91">
        <f>IF($A11="","",$B11)</f>
        <v/>
      </c>
      <c r="H11" s="89">
        <f>IF($A11="","",2*$F11)</f>
        <v/>
      </c>
      <c r="I11" s="91">
        <f>IF($A11="","",$E11-$E$55-$F$55)</f>
        <v/>
      </c>
      <c r="J11" s="89">
        <f>IF($A11="","",2*$F11)</f>
        <v/>
      </c>
      <c r="K11" s="91">
        <f>IF($A11="","",$E11)</f>
        <v/>
      </c>
      <c r="L11" s="89">
        <f>IF($A11="","",1*$F11)</f>
        <v/>
      </c>
      <c r="M11" s="91">
        <f>IF($A11="","",$D11-$E$57-$F$57-$G$57-$H$57)</f>
        <v/>
      </c>
      <c r="N11" s="89">
        <f>IF($A11="","",4*$F11)</f>
        <v/>
      </c>
      <c r="O11" s="91">
        <f>IF($A11="","",(($E11-$E$58-$F$58-$G$58-$H$58-$I$58)/2)+(66*1)/2)</f>
        <v/>
      </c>
      <c r="P11" s="89">
        <f>IF($A11="","",4*$F11)</f>
        <v/>
      </c>
      <c r="Q11" s="91">
        <f>IF($A11="","",$M11-$E$59-$F$59)</f>
        <v/>
      </c>
      <c r="R11" s="89">
        <f>IF($A11="","",4*$F11)</f>
        <v/>
      </c>
      <c r="S11" s="91">
        <f>IF($A11="","",$O11-$E$60-$F$60)</f>
        <v/>
      </c>
      <c r="T11" s="89">
        <f>IF($A11="","",4*$F11)</f>
        <v/>
      </c>
      <c r="U11" s="91">
        <f>IF($A11="","",$M11)</f>
        <v/>
      </c>
      <c r="V11" s="89">
        <f>IF($A11="","",2*$F11)</f>
        <v/>
      </c>
      <c r="W11" s="91">
        <f>IF($A11="","",$D11-$E$62-$F$62)</f>
        <v/>
      </c>
      <c r="X11" s="89">
        <f>IF($A11="","",2*$F11)</f>
        <v/>
      </c>
      <c r="Y11" s="91">
        <f>IF($A11="","",$E11-$E$63-$F$63)</f>
        <v/>
      </c>
      <c r="Z11" s="89">
        <f>IF($A11="","",3*$F11)</f>
        <v/>
      </c>
      <c r="AA11" s="91">
        <f>IF($A11="","",$D11-$E$64-$F$64)</f>
        <v/>
      </c>
      <c r="AB11" s="89">
        <f>IF($A11="","",2*$F11)</f>
        <v/>
      </c>
      <c r="AC11" s="91">
        <f>IF($A11="","",$U11)</f>
        <v/>
      </c>
      <c r="AD11" s="89">
        <f>IF($A11="","",2*$F11)</f>
        <v/>
      </c>
      <c r="AE11" s="91">
        <f>IF($A11="","",$E11)</f>
        <v/>
      </c>
      <c r="AF11" s="89">
        <f>IF($A11="","",1*$F11)</f>
        <v/>
      </c>
      <c r="AG11" s="91">
        <f>IF($A11="","",$E11-$E$67-$F$67)</f>
        <v/>
      </c>
      <c r="AH11" s="89">
        <f>IF($A11="","",3*$F11)</f>
        <v/>
      </c>
      <c r="AI11" s="91">
        <f>IF($A11="","",$C11-$E$68-$F$68)</f>
        <v/>
      </c>
      <c r="AJ11" s="89">
        <f>IF($A11="","",2*$F11)</f>
        <v/>
      </c>
      <c r="AK11" s="91">
        <f>IF($A11="","",2*2*$F11)</f>
        <v/>
      </c>
      <c r="AL11" s="89">
        <f>IF($A11="","",$BC$7*$F11)</f>
        <v/>
      </c>
      <c r="AM11" s="91">
        <f>IF($A11="","",$BC$6*$F11)</f>
        <v/>
      </c>
      <c r="AN11" s="89">
        <f>IF($A11="","",$BC$9*$F11)</f>
        <v/>
      </c>
      <c r="AO11" s="93">
        <f>IF($A11="","",$BC$10*$F11)</f>
        <v/>
      </c>
      <c r="AP11" s="134">
        <f>IF($A11="","",2*$BC$6*$F11)</f>
        <v/>
      </c>
      <c r="AQ11" s="95">
        <f>IF($A11="","",IF($B11&gt;2800,2,IF($B11&gt;1400,1,0))*$BC$6*$F11)</f>
        <v/>
      </c>
      <c r="AR11" s="93">
        <f>IF($A11="","",2*$BC$6*$F11)</f>
        <v/>
      </c>
      <c r="AS11" s="94">
        <f>IF($A11="","",$BC$6*$F11)</f>
        <v/>
      </c>
      <c r="AT11">
        <f>IF($A11="","",2*$BC$6*$F11)</f>
        <v/>
      </c>
      <c r="AU11">
        <f>IF($A11="","",4*2*$F11)</f>
        <v/>
      </c>
      <c r="AV11">
        <f>IF($A11="","",16*2*$F11)</f>
        <v/>
      </c>
      <c r="AW11">
        <f>IF($A11="","",(2+MAX(0,ROUNDUP(($I11-1500)/500,0)))*$F11)</f>
        <v/>
      </c>
      <c r="AX11">
        <f>IF($A11="","",(2+MAX(0,ROUNDUP(($I11-1500)/500,0)))*$F11)</f>
        <v/>
      </c>
      <c r="AY11">
        <f>IF($A11="","",ROUND((2*2*($O11+$M11)*2*$F11+$U11*$V11)/1000,1))</f>
        <v/>
      </c>
      <c r="BA11" t="inlineStr">
        <is>
          <t>Alignล็อคดำ</t>
        </is>
      </c>
      <c r="BB11" t="inlineStr">
        <is>
          <t>JR00375</t>
        </is>
      </c>
    </row>
    <row r="12" ht="40.15" customHeight="1">
      <c r="A12" s="99" t="n"/>
      <c r="B12" s="88" t="n"/>
      <c r="C12" s="115">
        <f>IF($A12="","",($B12-$D12))</f>
        <v/>
      </c>
      <c r="D12" s="116" t="n"/>
      <c r="E12" s="89" t="n"/>
      <c r="F12" s="90" t="n"/>
      <c r="G12" s="96">
        <f>IF($A12="","",$B12)</f>
        <v/>
      </c>
      <c r="H12" s="97">
        <f>IF($A12="","",2*$F12)</f>
        <v/>
      </c>
      <c r="I12" s="96">
        <f>IF($A12="","",$E12-$E$55-$F$55)</f>
        <v/>
      </c>
      <c r="J12" s="97">
        <f>IF($A12="","",2*$F12)</f>
        <v/>
      </c>
      <c r="K12" s="96">
        <f>IF($A12="","",$E12)</f>
        <v/>
      </c>
      <c r="L12" s="97">
        <f>IF($A12="","",1*$F12)</f>
        <v/>
      </c>
      <c r="M12" s="96">
        <f>IF($A12="","",$D12-$E$57-$F$57-$G$57-$H$57)</f>
        <v/>
      </c>
      <c r="N12" s="97">
        <f>IF($A12="","",4*$F12)</f>
        <v/>
      </c>
      <c r="O12" s="96">
        <f>IF($A12="","",(($E12-$E$58-$F$58-$G$58-$H$58-$I$58)/2)+(66*1)/2)</f>
        <v/>
      </c>
      <c r="P12" s="97">
        <f>IF($A12="","",4*$F12)</f>
        <v/>
      </c>
      <c r="Q12" s="96">
        <f>IF($A12="","",$M12-$E$59-$F$59)</f>
        <v/>
      </c>
      <c r="R12" s="97">
        <f>IF($A12="","",4*$F12)</f>
        <v/>
      </c>
      <c r="S12" s="96">
        <f>IF($A12="","",$O12-$E$60-$F$60)</f>
        <v/>
      </c>
      <c r="T12" s="97">
        <f>IF($A12="","",4*$F12)</f>
        <v/>
      </c>
      <c r="U12" s="96">
        <f>IF($A12="","",$M12)</f>
        <v/>
      </c>
      <c r="V12" s="97">
        <f>IF($A12="","",2*$F12)</f>
        <v/>
      </c>
      <c r="W12" s="96">
        <f>IF($A12="","",$D12-$E$62-$F$62)</f>
        <v/>
      </c>
      <c r="X12" s="97">
        <f>IF($A12="","",2*$F12)</f>
        <v/>
      </c>
      <c r="Y12" s="96">
        <f>IF($A12="","",$E12-$E$63-$F$63)</f>
        <v/>
      </c>
      <c r="Z12" s="97">
        <f>IF($A12="","",3*$F12)</f>
        <v/>
      </c>
      <c r="AA12" s="96">
        <f>IF($A12="","",$D12-$E$64-$F$64)</f>
        <v/>
      </c>
      <c r="AB12" s="97">
        <f>IF($A12="","",2*$F12)</f>
        <v/>
      </c>
      <c r="AC12" s="96">
        <f>IF($A12="","",$U12)</f>
        <v/>
      </c>
      <c r="AD12" s="97">
        <f>IF($A12="","",2*$F12)</f>
        <v/>
      </c>
      <c r="AE12" s="96">
        <f>IF($A12="","",$E12)</f>
        <v/>
      </c>
      <c r="AF12" s="97">
        <f>IF($A12="","",1*$F12)</f>
        <v/>
      </c>
      <c r="AG12" s="96">
        <f>IF($A12="","",$E12-$E$67-$F$67)</f>
        <v/>
      </c>
      <c r="AH12" s="97">
        <f>IF($A12="","",3*$F12)</f>
        <v/>
      </c>
      <c r="AI12" s="96">
        <f>IF($A12="","",$C12-$E$68-$F$68)</f>
        <v/>
      </c>
      <c r="AJ12" s="97">
        <f>IF($A12="","",2*$F12)</f>
        <v/>
      </c>
      <c r="AK12" s="96">
        <f>IF($A12="","",2*2*$F12)</f>
        <v/>
      </c>
      <c r="AL12" s="97">
        <f>IF($A12="","",$BC$7*$F12)</f>
        <v/>
      </c>
      <c r="AM12" s="96">
        <f>IF($A12="","",$BC$6*$F12)</f>
        <v/>
      </c>
      <c r="AN12" s="97">
        <f>IF($A12="","",$BC$9*$F12)</f>
        <v/>
      </c>
      <c r="AO12" s="93">
        <f>IF($A12="","",$BC$10*$F12)</f>
        <v/>
      </c>
      <c r="AP12" s="94">
        <f>IF($A12="","",2*$BC$6*$F12)</f>
        <v/>
      </c>
      <c r="AQ12" s="95">
        <f>IF($A12="","",IF($B12&gt;2800,2,IF($B12&gt;1400,1,0))*$BC$6*$F12)</f>
        <v/>
      </c>
      <c r="AR12" s="93">
        <f>IF($A12="","",2*$BC$6*$F12)</f>
        <v/>
      </c>
      <c r="AS12" s="94">
        <f>IF($A12="","",$BC$6*$F12)</f>
        <v/>
      </c>
      <c r="AT12">
        <f>IF($A12="","",2*$BC$6*$F12)</f>
        <v/>
      </c>
      <c r="AU12">
        <f>IF($A12="","",4*2*$F12)</f>
        <v/>
      </c>
      <c r="AV12">
        <f>IF($A12="","",16*2*$F12)</f>
        <v/>
      </c>
      <c r="AW12">
        <f>IF($A12="","",(2+MAX(0,ROUNDUP(($I12-1500)/500,0)))*$F12)</f>
        <v/>
      </c>
      <c r="AX12">
        <f>IF($A12="","",(2+MAX(0,ROUNDUP(($I12-1500)/500,0)))*$F12)</f>
        <v/>
      </c>
      <c r="AY12">
        <f>IF($A12="","",ROUND((2*2*($O12+$M12)*2*$F12+$U12*$V12)/1000,1))</f>
        <v/>
      </c>
      <c r="BA12" t="inlineStr">
        <is>
          <t>Alignดัมมี่ดำ</t>
        </is>
      </c>
      <c r="BB12" t="inlineStr">
        <is>
          <t>JR00376</t>
        </is>
      </c>
    </row>
    <row r="13" ht="40.15" customHeight="1">
      <c r="A13" s="99" t="n"/>
      <c r="B13" s="88" t="n"/>
      <c r="C13" s="115">
        <f>IF($A13="","",($B13-$D13))</f>
        <v/>
      </c>
      <c r="D13" s="116" t="n"/>
      <c r="E13" s="89" t="n"/>
      <c r="F13" s="90" t="n"/>
      <c r="G13" s="91">
        <f>IF($A13="","",$B13)</f>
        <v/>
      </c>
      <c r="H13" s="89">
        <f>IF($A13="","",2*$F13)</f>
        <v/>
      </c>
      <c r="I13" s="91">
        <f>IF($A13="","",$E13-$E$55-$F$55)</f>
        <v/>
      </c>
      <c r="J13" s="89">
        <f>IF($A13="","",2*$F13)</f>
        <v/>
      </c>
      <c r="K13" s="91">
        <f>IF($A13="","",$E13)</f>
        <v/>
      </c>
      <c r="L13" s="89">
        <f>IF($A13="","",1*$F13)</f>
        <v/>
      </c>
      <c r="M13" s="91">
        <f>IF($A13="","",$D13-$E$57-$F$57-$G$57-$H$57)</f>
        <v/>
      </c>
      <c r="N13" s="89">
        <f>IF($A13="","",4*$F13)</f>
        <v/>
      </c>
      <c r="O13" s="91">
        <f>IF($A13="","",(($E13-$E$58-$F$58-$G$58-$H$58-$I$58)/2)+(66*1)/2)</f>
        <v/>
      </c>
      <c r="P13" s="89">
        <f>IF($A13="","",4*$F13)</f>
        <v/>
      </c>
      <c r="Q13" s="91">
        <f>IF($A13="","",$M13-$E$59-$F$59)</f>
        <v/>
      </c>
      <c r="R13" s="89">
        <f>IF($A13="","",4*$F13)</f>
        <v/>
      </c>
      <c r="S13" s="91">
        <f>IF($A13="","",$O13-$E$60-$F$60)</f>
        <v/>
      </c>
      <c r="T13" s="89">
        <f>IF($A13="","",4*$F13)</f>
        <v/>
      </c>
      <c r="U13" s="91">
        <f>IF($A13="","",$M13)</f>
        <v/>
      </c>
      <c r="V13" s="89">
        <f>IF($A13="","",2*$F13)</f>
        <v/>
      </c>
      <c r="W13" s="91">
        <f>IF($A13="","",$D13-$E$62-$F$62)</f>
        <v/>
      </c>
      <c r="X13" s="89">
        <f>IF($A13="","",2*$F13)</f>
        <v/>
      </c>
      <c r="Y13" s="91">
        <f>IF($A13="","",$E13-$E$63-$F$63)</f>
        <v/>
      </c>
      <c r="Z13" s="89">
        <f>IF($A13="","",3*$F13)</f>
        <v/>
      </c>
      <c r="AA13" s="91">
        <f>IF($A13="","",$D13-$E$64-$F$64)</f>
        <v/>
      </c>
      <c r="AB13" s="89">
        <f>IF($A13="","",2*$F13)</f>
        <v/>
      </c>
      <c r="AC13" s="91">
        <f>IF($A13="","",$U13)</f>
        <v/>
      </c>
      <c r="AD13" s="89">
        <f>IF($A13="","",2*$F13)</f>
        <v/>
      </c>
      <c r="AE13" s="91">
        <f>IF($A13="","",$E13)</f>
        <v/>
      </c>
      <c r="AF13" s="89">
        <f>IF($A13="","",1*$F13)</f>
        <v/>
      </c>
      <c r="AG13" s="91">
        <f>IF($A13="","",$E13-$E$67-$F$67)</f>
        <v/>
      </c>
      <c r="AH13" s="89">
        <f>IF($A13="","",3*$F13)</f>
        <v/>
      </c>
      <c r="AI13" s="91">
        <f>IF($A13="","",$C13-$E$68-$F$68)</f>
        <v/>
      </c>
      <c r="AJ13" s="89">
        <f>IF($A13="","",2*$F13)</f>
        <v/>
      </c>
      <c r="AK13" s="91">
        <f>IF($A13="","",2*2*$F13)</f>
        <v/>
      </c>
      <c r="AL13" s="89">
        <f>IF($A13="","",$BC$7*$F13)</f>
        <v/>
      </c>
      <c r="AM13" s="91">
        <f>IF($A13="","",$BC$6*$F13)</f>
        <v/>
      </c>
      <c r="AN13" s="89">
        <f>IF($A13="","",$BC$9*$F13)</f>
        <v/>
      </c>
      <c r="AO13" s="93">
        <f>IF($A13="","",$BC$10*$F13)</f>
        <v/>
      </c>
      <c r="AP13" s="94">
        <f>IF($A13="","",2*$BC$6*$F13)</f>
        <v/>
      </c>
      <c r="AQ13" s="95">
        <f>IF($A13="","",IF($B13&gt;2800,2,IF($B13&gt;1400,1,0))*$BC$6*$F13)</f>
        <v/>
      </c>
      <c r="AR13" s="93">
        <f>IF($A13="","",2*$BC$6*$F13)</f>
        <v/>
      </c>
      <c r="AS13" s="94">
        <f>IF($A13="","",$BC$6*$F13)</f>
        <v/>
      </c>
      <c r="AT13">
        <f>IF($A13="","",2*$BC$6*$F13)</f>
        <v/>
      </c>
      <c r="AU13">
        <f>IF($A13="","",4*2*$F13)</f>
        <v/>
      </c>
      <c r="AV13">
        <f>IF($A13="","",16*2*$F13)</f>
        <v/>
      </c>
      <c r="AW13">
        <f>IF($A13="","",(2+MAX(0,ROUNDUP(($I13-1500)/500,0)))*$F13)</f>
        <v/>
      </c>
      <c r="AX13">
        <f>IF($A13="","",(2+MAX(0,ROUNDUP(($I13-1500)/500,0)))*$F13)</f>
        <v/>
      </c>
      <c r="AY13">
        <f>IF($A13="","",ROUND((2*2*($O13+$M13)*2*$F13+$U13*$V13)/1000,1))</f>
        <v/>
      </c>
    </row>
    <row r="14" ht="40.15" customHeight="1">
      <c r="A14" s="99" t="n"/>
      <c r="B14" s="88" t="n"/>
      <c r="C14" s="115">
        <f>IF($A14="","",($B14-$D14))</f>
        <v/>
      </c>
      <c r="D14" s="116" t="n"/>
      <c r="E14" s="89" t="n"/>
      <c r="F14" s="90" t="n"/>
      <c r="G14" s="96">
        <f>IF($A14="","",$B14)</f>
        <v/>
      </c>
      <c r="H14" s="97">
        <f>IF($A14="","",2*$F14)</f>
        <v/>
      </c>
      <c r="I14" s="96">
        <f>IF($A14="","",$E14-$E$55-$F$55)</f>
        <v/>
      </c>
      <c r="J14" s="97">
        <f>IF($A14="","",2*$F14)</f>
        <v/>
      </c>
      <c r="K14" s="96">
        <f>IF($A14="","",$E14)</f>
        <v/>
      </c>
      <c r="L14" s="97">
        <f>IF($A14="","",1*$F14)</f>
        <v/>
      </c>
      <c r="M14" s="96">
        <f>IF($A14="","",$D14-$E$57-$F$57-$G$57-$H$57)</f>
        <v/>
      </c>
      <c r="N14" s="97">
        <f>IF($A14="","",4*$F14)</f>
        <v/>
      </c>
      <c r="O14" s="96">
        <f>IF($A14="","",(($E14-$E$58-$F$58-$G$58-$H$58-$I$58)/2)+(66*1)/2)</f>
        <v/>
      </c>
      <c r="P14" s="97">
        <f>IF($A14="","",4*$F14)</f>
        <v/>
      </c>
      <c r="Q14" s="96">
        <f>IF($A14="","",$M14-$E$59-$F$59)</f>
        <v/>
      </c>
      <c r="R14" s="97">
        <f>IF($A14="","",4*$F14)</f>
        <v/>
      </c>
      <c r="S14" s="96">
        <f>IF($A14="","",$O14-$E$60-$F$60)</f>
        <v/>
      </c>
      <c r="T14" s="97">
        <f>IF($A14="","",4*$F14)</f>
        <v/>
      </c>
      <c r="U14" s="96">
        <f>IF($A14="","",$M14)</f>
        <v/>
      </c>
      <c r="V14" s="97">
        <f>IF($A14="","",2*$F14)</f>
        <v/>
      </c>
      <c r="W14" s="96">
        <f>IF($A14="","",$D14-$E$62-$F$62)</f>
        <v/>
      </c>
      <c r="X14" s="97">
        <f>IF($A14="","",2*$F14)</f>
        <v/>
      </c>
      <c r="Y14" s="96">
        <f>IF($A14="","",$E14-$E$63-$F$63)</f>
        <v/>
      </c>
      <c r="Z14" s="97">
        <f>IF($A14="","",3*$F14)</f>
        <v/>
      </c>
      <c r="AA14" s="96">
        <f>IF($A14="","",$D14-$E$64-$F$64)</f>
        <v/>
      </c>
      <c r="AB14" s="97">
        <f>IF($A14="","",2*$F14)</f>
        <v/>
      </c>
      <c r="AC14" s="96">
        <f>IF($A14="","",$U14)</f>
        <v/>
      </c>
      <c r="AD14" s="97">
        <f>IF($A14="","",2*$F14)</f>
        <v/>
      </c>
      <c r="AE14" s="96">
        <f>IF($A14="","",$E14)</f>
        <v/>
      </c>
      <c r="AF14" s="97">
        <f>IF($A14="","",1*$F14)</f>
        <v/>
      </c>
      <c r="AG14" s="96">
        <f>IF($A14="","",$E14-$E$67-$F$67)</f>
        <v/>
      </c>
      <c r="AH14" s="97">
        <f>IF($A14="","",3*$F14)</f>
        <v/>
      </c>
      <c r="AI14" s="96">
        <f>IF($A14="","",$C14-$E$68-$F$68)</f>
        <v/>
      </c>
      <c r="AJ14" s="97">
        <f>IF($A14="","",2*$F14)</f>
        <v/>
      </c>
      <c r="AK14" s="96">
        <f>IF($A14="","",2*2*$F14)</f>
        <v/>
      </c>
      <c r="AL14" s="97">
        <f>IF($A14="","",$BC$7*$F14)</f>
        <v/>
      </c>
      <c r="AM14" s="96">
        <f>IF($A14="","",$BC$6*$F14)</f>
        <v/>
      </c>
      <c r="AN14" s="97">
        <f>IF($A14="","",$BC$9*$F14)</f>
        <v/>
      </c>
      <c r="AO14" s="93">
        <f>IF($A14="","",$BC$10*$F14)</f>
        <v/>
      </c>
      <c r="AP14" s="94">
        <f>IF($A14="","",2*$BC$6*$F14)</f>
        <v/>
      </c>
      <c r="AQ14" s="95">
        <f>IF($A14="","",IF($B14&gt;2800,2,IF($B14&gt;1400,1,0))*$BC$6*$F14)</f>
        <v/>
      </c>
      <c r="AR14" s="93">
        <f>IF($A14="","",2*$BC$6*$F14)</f>
        <v/>
      </c>
      <c r="AS14" s="94">
        <f>IF($A14="","",$BC$6*$F14)</f>
        <v/>
      </c>
      <c r="AT14">
        <f>IF($A14="","",2*$BC$6*$F14)</f>
        <v/>
      </c>
      <c r="AU14">
        <f>IF($A14="","",4*2*$F14)</f>
        <v/>
      </c>
      <c r="AV14">
        <f>IF($A14="","",16*2*$F14)</f>
        <v/>
      </c>
      <c r="AW14">
        <f>IF($A14="","",(2+MAX(0,ROUNDUP(($I14-1500)/500,0)))*$F14)</f>
        <v/>
      </c>
      <c r="AX14">
        <f>IF($A14="","",(2+MAX(0,ROUNDUP(($I14-1500)/500,0)))*$F14)</f>
        <v/>
      </c>
      <c r="AY14">
        <f>IF($A14="","",ROUND((2*2*($O14+$M14)*2*$F14+$U14*$V14)/1000,1))</f>
        <v/>
      </c>
    </row>
    <row r="15" ht="40.15" customHeight="1">
      <c r="A15" s="99" t="n"/>
      <c r="B15" s="88" t="n"/>
      <c r="C15" s="115">
        <f>IF($A15="","",($B15-$D15))</f>
        <v/>
      </c>
      <c r="D15" s="116" t="n"/>
      <c r="E15" s="89" t="n"/>
      <c r="F15" s="90" t="n"/>
      <c r="G15" s="91">
        <f>IF($A15="","",$B15)</f>
        <v/>
      </c>
      <c r="H15" s="89">
        <f>IF($A15="","",2*$F15)</f>
        <v/>
      </c>
      <c r="I15" s="91">
        <f>IF($A15="","",$E15-$E$55-$F$55)</f>
        <v/>
      </c>
      <c r="J15" s="89">
        <f>IF($A15="","",2*$F15)</f>
        <v/>
      </c>
      <c r="K15" s="91">
        <f>IF($A15="","",$E15)</f>
        <v/>
      </c>
      <c r="L15" s="89">
        <f>IF($A15="","",1*$F15)</f>
        <v/>
      </c>
      <c r="M15" s="91">
        <f>IF($A15="","",$D15-$E$57-$F$57-$G$57-$H$57)</f>
        <v/>
      </c>
      <c r="N15" s="89">
        <f>IF($A15="","",4*$F15)</f>
        <v/>
      </c>
      <c r="O15" s="91">
        <f>IF($A15="","",(($E15-$E$58-$F$58-$G$58-$H$58-$I$58)/2)+(66*1)/2)</f>
        <v/>
      </c>
      <c r="P15" s="89">
        <f>IF($A15="","",4*$F15)</f>
        <v/>
      </c>
      <c r="Q15" s="91">
        <f>IF($A15="","",$M15-$E$59-$F$59)</f>
        <v/>
      </c>
      <c r="R15" s="89">
        <f>IF($A15="","",4*$F15)</f>
        <v/>
      </c>
      <c r="S15" s="91">
        <f>IF($A15="","",$O15-$E$60-$F$60)</f>
        <v/>
      </c>
      <c r="T15" s="89">
        <f>IF($A15="","",4*$F15)</f>
        <v/>
      </c>
      <c r="U15" s="91">
        <f>IF($A15="","",$M15)</f>
        <v/>
      </c>
      <c r="V15" s="89">
        <f>IF($A15="","",2*$F15)</f>
        <v/>
      </c>
      <c r="W15" s="91">
        <f>IF($A15="","",$D15-$E$62-$F$62)</f>
        <v/>
      </c>
      <c r="X15" s="89">
        <f>IF($A15="","",2*$F15)</f>
        <v/>
      </c>
      <c r="Y15" s="91">
        <f>IF($A15="","",$E15-$E$63-$F$63)</f>
        <v/>
      </c>
      <c r="Z15" s="89">
        <f>IF($A15="","",3*$F15)</f>
        <v/>
      </c>
      <c r="AA15" s="91">
        <f>IF($A15="","",$D15-$E$64-$F$64)</f>
        <v/>
      </c>
      <c r="AB15" s="89">
        <f>IF($A15="","",2*$F15)</f>
        <v/>
      </c>
      <c r="AC15" s="91">
        <f>IF($A15="","",$U15)</f>
        <v/>
      </c>
      <c r="AD15" s="89">
        <f>IF($A15="","",2*$F15)</f>
        <v/>
      </c>
      <c r="AE15" s="91">
        <f>IF($A15="","",$E15)</f>
        <v/>
      </c>
      <c r="AF15" s="89">
        <f>IF($A15="","",1*$F15)</f>
        <v/>
      </c>
      <c r="AG15" s="91">
        <f>IF($A15="","",$E15-$E$67-$F$67)</f>
        <v/>
      </c>
      <c r="AH15" s="89">
        <f>IF($A15="","",3*$F15)</f>
        <v/>
      </c>
      <c r="AI15" s="91">
        <f>IF($A15="","",$C15-$E$68-$F$68)</f>
        <v/>
      </c>
      <c r="AJ15" s="89">
        <f>IF($A15="","",2*$F15)</f>
        <v/>
      </c>
      <c r="AK15" s="91">
        <f>IF($A15="","",2*2*$F15)</f>
        <v/>
      </c>
      <c r="AL15" s="89">
        <f>IF($A15="","",$BC$7*$F15)</f>
        <v/>
      </c>
      <c r="AM15" s="91">
        <f>IF($A15="","",$BC$6*$F15)</f>
        <v/>
      </c>
      <c r="AN15" s="89">
        <f>IF($A15="","",$BC$9*$F15)</f>
        <v/>
      </c>
      <c r="AO15" s="93">
        <f>IF($A15="","",$BC$10*$F15)</f>
        <v/>
      </c>
      <c r="AP15" s="94">
        <f>IF($A15="","",2*$BC$6*$F15)</f>
        <v/>
      </c>
      <c r="AQ15" s="95">
        <f>IF($A15="","",IF($B15&gt;2800,2,IF($B15&gt;1400,1,0))*$BC$6*$F15)</f>
        <v/>
      </c>
      <c r="AR15" s="93">
        <f>IF($A15="","",2*$BC$6*$F15)</f>
        <v/>
      </c>
      <c r="AS15" s="94">
        <f>IF($A15="","",$BC$6*$F15)</f>
        <v/>
      </c>
      <c r="AT15">
        <f>IF($A15="","",2*$BC$6*$F15)</f>
        <v/>
      </c>
      <c r="AU15">
        <f>IF($A15="","",4*2*$F15)</f>
        <v/>
      </c>
      <c r="AV15">
        <f>IF($A15="","",16*2*$F15)</f>
        <v/>
      </c>
      <c r="AW15">
        <f>IF($A15="","",(2+MAX(0,ROUNDUP(($I15-1500)/500,0)))*$F15)</f>
        <v/>
      </c>
      <c r="AX15">
        <f>IF($A15="","",(2+MAX(0,ROUNDUP(($I15-1500)/500,0)))*$F15)</f>
        <v/>
      </c>
      <c r="AY15">
        <f>IF($A15="","",ROUND((2*2*($O15+$M15)*2*$F15+$U15*$V15)/1000,1))</f>
        <v/>
      </c>
    </row>
    <row r="16" ht="40.15" customHeight="1">
      <c r="A16" s="99" t="n"/>
      <c r="B16" s="88" t="n"/>
      <c r="C16" s="115">
        <f>IF($A16="","",($B16-$D16))</f>
        <v/>
      </c>
      <c r="D16" s="116" t="n"/>
      <c r="E16" s="89" t="n"/>
      <c r="F16" s="90" t="n"/>
      <c r="G16" s="96">
        <f>IF($A16="","",$B16)</f>
        <v/>
      </c>
      <c r="H16" s="97">
        <f>IF($A16="","",2*$F16)</f>
        <v/>
      </c>
      <c r="I16" s="96">
        <f>IF($A16="","",$E16-$E$55-$F$55)</f>
        <v/>
      </c>
      <c r="J16" s="97">
        <f>IF($A16="","",2*$F16)</f>
        <v/>
      </c>
      <c r="K16" s="96">
        <f>IF($A16="","",$E16)</f>
        <v/>
      </c>
      <c r="L16" s="97">
        <f>IF($A16="","",1*$F16)</f>
        <v/>
      </c>
      <c r="M16" s="96">
        <f>IF($A16="","",$D16-$E$57-$F$57-$G$57-$H$57)</f>
        <v/>
      </c>
      <c r="N16" s="97">
        <f>IF($A16="","",4*$F16)</f>
        <v/>
      </c>
      <c r="O16" s="96">
        <f>IF($A16="","",(($E16-$E$58-$F$58-$G$58-$H$58-$I$58)/2)+(66*1)/2)</f>
        <v/>
      </c>
      <c r="P16" s="97">
        <f>IF($A16="","",4*$F16)</f>
        <v/>
      </c>
      <c r="Q16" s="96">
        <f>IF($A16="","",$M16-$E$59-$F$59)</f>
        <v/>
      </c>
      <c r="R16" s="97">
        <f>IF($A16="","",4*$F16)</f>
        <v/>
      </c>
      <c r="S16" s="96">
        <f>IF($A16="","",$O16-$E$60-$F$60)</f>
        <v/>
      </c>
      <c r="T16" s="97">
        <f>IF($A16="","",4*$F16)</f>
        <v/>
      </c>
      <c r="U16" s="96">
        <f>IF($A16="","",$M16)</f>
        <v/>
      </c>
      <c r="V16" s="97">
        <f>IF($A16="","",2*$F16)</f>
        <v/>
      </c>
      <c r="W16" s="96">
        <f>IF($A16="","",$D16-$E$62-$F$62)</f>
        <v/>
      </c>
      <c r="X16" s="97">
        <f>IF($A16="","",2*$F16)</f>
        <v/>
      </c>
      <c r="Y16" s="96">
        <f>IF($A16="","",$E16-$E$63-$F$63)</f>
        <v/>
      </c>
      <c r="Z16" s="97">
        <f>IF($A16="","",3*$F16)</f>
        <v/>
      </c>
      <c r="AA16" s="96">
        <f>IF($A16="","",$D16-$E$64-$F$64)</f>
        <v/>
      </c>
      <c r="AB16" s="97">
        <f>IF($A16="","",2*$F16)</f>
        <v/>
      </c>
      <c r="AC16" s="96">
        <f>IF($A16="","",$U16)</f>
        <v/>
      </c>
      <c r="AD16" s="97">
        <f>IF($A16="","",2*$F16)</f>
        <v/>
      </c>
      <c r="AE16" s="96">
        <f>IF($A16="","",$E16)</f>
        <v/>
      </c>
      <c r="AF16" s="97">
        <f>IF($A16="","",1*$F16)</f>
        <v/>
      </c>
      <c r="AG16" s="96">
        <f>IF($A16="","",$E16-$E$67-$F$67)</f>
        <v/>
      </c>
      <c r="AH16" s="97">
        <f>IF($A16="","",3*$F16)</f>
        <v/>
      </c>
      <c r="AI16" s="96">
        <f>IF($A16="","",$C16-$E$68-$F$68)</f>
        <v/>
      </c>
      <c r="AJ16" s="97">
        <f>IF($A16="","",2*$F16)</f>
        <v/>
      </c>
      <c r="AK16" s="96">
        <f>IF($A16="","",2*2*$F16)</f>
        <v/>
      </c>
      <c r="AL16" s="97">
        <f>IF($A16="","",$BC$7*$F16)</f>
        <v/>
      </c>
      <c r="AM16" s="96">
        <f>IF($A16="","",$BC$6*$F16)</f>
        <v/>
      </c>
      <c r="AN16" s="97">
        <f>IF($A16="","",$BC$9*$F16)</f>
        <v/>
      </c>
      <c r="AO16" s="93">
        <f>IF($A16="","",$BC$10*$F16)</f>
        <v/>
      </c>
      <c r="AP16" s="94">
        <f>IF($A16="","",2*$BC$6*$F16)</f>
        <v/>
      </c>
      <c r="AQ16" s="95">
        <f>IF($A16="","",IF($B16&gt;2800,2,IF($B16&gt;1400,1,0))*$BC$6*$F16)</f>
        <v/>
      </c>
      <c r="AR16" s="93">
        <f>IF($A16="","",2*$BC$6*$F16)</f>
        <v/>
      </c>
      <c r="AS16" s="94">
        <f>IF($A16="","",$BC$6*$F16)</f>
        <v/>
      </c>
      <c r="AT16">
        <f>IF($A16="","",2*$BC$6*$F16)</f>
        <v/>
      </c>
      <c r="AU16">
        <f>IF($A16="","",4*2*$F16)</f>
        <v/>
      </c>
      <c r="AV16">
        <f>IF($A16="","",16*2*$F16)</f>
        <v/>
      </c>
      <c r="AW16">
        <f>IF($A16="","",(2+MAX(0,ROUNDUP(($I16-1500)/500,0)))*$F16)</f>
        <v/>
      </c>
      <c r="AX16">
        <f>IF($A16="","",(2+MAX(0,ROUNDUP(($I16-1500)/500,0)))*$F16)</f>
        <v/>
      </c>
      <c r="AY16">
        <f>IF($A16="","",ROUND((2*2*($O16+$M16)*2*$F16+$U16*$V16)/1000,1))</f>
        <v/>
      </c>
    </row>
    <row r="17" ht="40.15" customHeight="1">
      <c r="A17" s="99" t="n"/>
      <c r="B17" s="88" t="n"/>
      <c r="C17" s="115">
        <f>IF($A17="","",($B17-$D17))</f>
        <v/>
      </c>
      <c r="D17" s="116" t="n"/>
      <c r="E17" s="89" t="n"/>
      <c r="F17" s="90" t="n"/>
      <c r="G17" s="91">
        <f>IF($A17="","",$B17)</f>
        <v/>
      </c>
      <c r="H17" s="89">
        <f>IF($A17="","",2*$F17)</f>
        <v/>
      </c>
      <c r="I17" s="91">
        <f>IF($A17="","",$E17-$E$55-$F$55)</f>
        <v/>
      </c>
      <c r="J17" s="89">
        <f>IF($A17="","",2*$F17)</f>
        <v/>
      </c>
      <c r="K17" s="91">
        <f>IF($A17="","",$E17)</f>
        <v/>
      </c>
      <c r="L17" s="89">
        <f>IF($A17="","",1*$F17)</f>
        <v/>
      </c>
      <c r="M17" s="91">
        <f>IF($A17="","",$D17-$E$57-$F$57-$G$57-$H$57)</f>
        <v/>
      </c>
      <c r="N17" s="89">
        <f>IF($A17="","",4*$F17)</f>
        <v/>
      </c>
      <c r="O17" s="91">
        <f>IF($A17="","",(($E17-$E$58-$F$58-$G$58-$H$58-$I$58)/2)+(66*1)/2)</f>
        <v/>
      </c>
      <c r="P17" s="89">
        <f>IF($A17="","",4*$F17)</f>
        <v/>
      </c>
      <c r="Q17" s="91">
        <f>IF($A17="","",$M17-$E$59-$F$59)</f>
        <v/>
      </c>
      <c r="R17" s="89">
        <f>IF($A17="","",4*$F17)</f>
        <v/>
      </c>
      <c r="S17" s="91">
        <f>IF($A17="","",$O17-$E$60-$F$60)</f>
        <v/>
      </c>
      <c r="T17" s="89">
        <f>IF($A17="","",4*$F17)</f>
        <v/>
      </c>
      <c r="U17" s="91">
        <f>IF($A17="","",$M17)</f>
        <v/>
      </c>
      <c r="V17" s="89">
        <f>IF($A17="","",2*$F17)</f>
        <v/>
      </c>
      <c r="W17" s="91">
        <f>IF($A17="","",$D17-$E$62-$F$62)</f>
        <v/>
      </c>
      <c r="X17" s="89">
        <f>IF($A17="","",2*$F17)</f>
        <v/>
      </c>
      <c r="Y17" s="91">
        <f>IF($A17="","",$E17-$E$63-$F$63)</f>
        <v/>
      </c>
      <c r="Z17" s="89">
        <f>IF($A17="","",3*$F17)</f>
        <v/>
      </c>
      <c r="AA17" s="91">
        <f>IF($A17="","",$D17-$E$64-$F$64)</f>
        <v/>
      </c>
      <c r="AB17" s="89">
        <f>IF($A17="","",2*$F17)</f>
        <v/>
      </c>
      <c r="AC17" s="91">
        <f>IF($A17="","",$U17)</f>
        <v/>
      </c>
      <c r="AD17" s="89">
        <f>IF($A17="","",2*$F17)</f>
        <v/>
      </c>
      <c r="AE17" s="91">
        <f>IF($A17="","",$E17)</f>
        <v/>
      </c>
      <c r="AF17" s="89">
        <f>IF($A17="","",1*$F17)</f>
        <v/>
      </c>
      <c r="AG17" s="91">
        <f>IF($A17="","",$E17-$E$67-$F$67)</f>
        <v/>
      </c>
      <c r="AH17" s="89">
        <f>IF($A17="","",3*$F17)</f>
        <v/>
      </c>
      <c r="AI17" s="91">
        <f>IF($A17="","",$C17-$E$68-$F$68)</f>
        <v/>
      </c>
      <c r="AJ17" s="89">
        <f>IF($A17="","",2*$F17)</f>
        <v/>
      </c>
      <c r="AK17" s="91">
        <f>IF($A17="","",2*2*$F17)</f>
        <v/>
      </c>
      <c r="AL17" s="89">
        <f>IF($A17="","",$BC$7*$F17)</f>
        <v/>
      </c>
      <c r="AM17" s="91">
        <f>IF($A17="","",$BC$6*$F17)</f>
        <v/>
      </c>
      <c r="AN17" s="89">
        <f>IF($A17="","",$BC$9*$F17)</f>
        <v/>
      </c>
      <c r="AO17" s="93">
        <f>IF($A17="","",$BC$10*$F17)</f>
        <v/>
      </c>
      <c r="AP17" s="94">
        <f>IF($A17="","",2*$BC$6*$F17)</f>
        <v/>
      </c>
      <c r="AQ17" s="95">
        <f>IF($A17="","",IF($B17&gt;2800,2,IF($B17&gt;1400,1,0))*$BC$6*$F17)</f>
        <v/>
      </c>
      <c r="AR17" s="93">
        <f>IF($A17="","",2*$BC$6*$F17)</f>
        <v/>
      </c>
      <c r="AS17" s="94">
        <f>IF($A17="","",$BC$6*$F17)</f>
        <v/>
      </c>
      <c r="AT17">
        <f>IF($A17="","",2*$BC$6*$F17)</f>
        <v/>
      </c>
      <c r="AU17">
        <f>IF($A17="","",4*2*$F17)</f>
        <v/>
      </c>
      <c r="AV17">
        <f>IF($A17="","",16*2*$F17)</f>
        <v/>
      </c>
      <c r="AW17">
        <f>IF($A17="","",(2+MAX(0,ROUNDUP(($I17-1500)/500,0)))*$F17)</f>
        <v/>
      </c>
      <c r="AX17">
        <f>IF($A17="","",(2+MAX(0,ROUNDUP(($I17-1500)/500,0)))*$F17)</f>
        <v/>
      </c>
      <c r="AY17">
        <f>IF($A17="","",ROUND((2*2*($O17+$M17)*2*$F17+$U17*$V17)/1000,1))</f>
        <v/>
      </c>
    </row>
    <row r="18" ht="40.15" customHeight="1">
      <c r="A18" s="99" t="n"/>
      <c r="B18" s="88" t="n"/>
      <c r="C18" s="115">
        <f>IF($A18="","",($B18-$D18))</f>
        <v/>
      </c>
      <c r="D18" s="116" t="n"/>
      <c r="E18" s="89" t="n"/>
      <c r="F18" s="90" t="n"/>
      <c r="G18" s="96">
        <f>IF($A18="","",$B18)</f>
        <v/>
      </c>
      <c r="H18" s="97">
        <f>IF($A18="","",2*$F18)</f>
        <v/>
      </c>
      <c r="I18" s="96">
        <f>IF($A18="","",$E18-$E$55-$F$55)</f>
        <v/>
      </c>
      <c r="J18" s="97">
        <f>IF($A18="","",2*$F18)</f>
        <v/>
      </c>
      <c r="K18" s="96">
        <f>IF($A18="","",$E18)</f>
        <v/>
      </c>
      <c r="L18" s="97">
        <f>IF($A18="","",1*$F18)</f>
        <v/>
      </c>
      <c r="M18" s="96">
        <f>IF($A18="","",$D18-$E$57-$F$57-$G$57-$H$57)</f>
        <v/>
      </c>
      <c r="N18" s="97">
        <f>IF($A18="","",4*$F18)</f>
        <v/>
      </c>
      <c r="O18" s="96">
        <f>IF($A18="","",(($E18-$E$58-$F$58-$G$58-$H$58-$I$58)/2)+(66*1)/2)</f>
        <v/>
      </c>
      <c r="P18" s="97">
        <f>IF($A18="","",4*$F18)</f>
        <v/>
      </c>
      <c r="Q18" s="96">
        <f>IF($A18="","",$M18-$E$59-$F$59)</f>
        <v/>
      </c>
      <c r="R18" s="97">
        <f>IF($A18="","",4*$F18)</f>
        <v/>
      </c>
      <c r="S18" s="96">
        <f>IF($A18="","",$O18-$E$60-$F$60)</f>
        <v/>
      </c>
      <c r="T18" s="97">
        <f>IF($A18="","",4*$F18)</f>
        <v/>
      </c>
      <c r="U18" s="96">
        <f>IF($A18="","",$M18)</f>
        <v/>
      </c>
      <c r="V18" s="97">
        <f>IF($A18="","",2*$F18)</f>
        <v/>
      </c>
      <c r="W18" s="96">
        <f>IF($A18="","",$D18-$E$62-$F$62)</f>
        <v/>
      </c>
      <c r="X18" s="97">
        <f>IF($A18="","",2*$F18)</f>
        <v/>
      </c>
      <c r="Y18" s="96">
        <f>IF($A18="","",$E18-$E$63-$F$63)</f>
        <v/>
      </c>
      <c r="Z18" s="97">
        <f>IF($A18="","",3*$F18)</f>
        <v/>
      </c>
      <c r="AA18" s="96">
        <f>IF($A18="","",$D18-$E$64-$F$64)</f>
        <v/>
      </c>
      <c r="AB18" s="97">
        <f>IF($A18="","",2*$F18)</f>
        <v/>
      </c>
      <c r="AC18" s="96">
        <f>IF($A18="","",$U18)</f>
        <v/>
      </c>
      <c r="AD18" s="97">
        <f>IF($A18="","",2*$F18)</f>
        <v/>
      </c>
      <c r="AE18" s="96">
        <f>IF($A18="","",$E18)</f>
        <v/>
      </c>
      <c r="AF18" s="97">
        <f>IF($A18="","",1*$F18)</f>
        <v/>
      </c>
      <c r="AG18" s="96">
        <f>IF($A18="","",$E18-$E$67-$F$67)</f>
        <v/>
      </c>
      <c r="AH18" s="97">
        <f>IF($A18="","",3*$F18)</f>
        <v/>
      </c>
      <c r="AI18" s="96">
        <f>IF($A18="","",$C18-$E$68-$F$68)</f>
        <v/>
      </c>
      <c r="AJ18" s="97">
        <f>IF($A18="","",2*$F18)</f>
        <v/>
      </c>
      <c r="AK18" s="96">
        <f>IF($A18="","",2*2*$F18)</f>
        <v/>
      </c>
      <c r="AL18" s="97">
        <f>IF($A18="","",$BC$7*$F18)</f>
        <v/>
      </c>
      <c r="AM18" s="96">
        <f>IF($A18="","",$BC$6*$F18)</f>
        <v/>
      </c>
      <c r="AN18" s="97">
        <f>IF($A18="","",$BC$9*$F18)</f>
        <v/>
      </c>
      <c r="AO18" s="93">
        <f>IF($A18="","",$BC$10*$F18)</f>
        <v/>
      </c>
      <c r="AP18" s="94">
        <f>IF($A18="","",2*$BC$6*$F18)</f>
        <v/>
      </c>
      <c r="AQ18" s="95">
        <f>IF($A18="","",IF($B18&gt;2800,2,IF($B18&gt;1400,1,0))*$BC$6*$F18)</f>
        <v/>
      </c>
      <c r="AR18" s="93">
        <f>IF($A18="","",2*$BC$6*$F18)</f>
        <v/>
      </c>
      <c r="AS18" s="94">
        <f>IF($A18="","",$BC$6*$F18)</f>
        <v/>
      </c>
      <c r="AT18">
        <f>IF($A18="","",2*$BC$6*$F18)</f>
        <v/>
      </c>
      <c r="AU18">
        <f>IF($A18="","",4*2*$F18)</f>
        <v/>
      </c>
      <c r="AV18">
        <f>IF($A18="","",16*2*$F18)</f>
        <v/>
      </c>
      <c r="AW18">
        <f>IF($A18="","",(2+MAX(0,ROUNDUP(($I18-1500)/500,0)))*$F18)</f>
        <v/>
      </c>
      <c r="AX18">
        <f>IF($A18="","",(2+MAX(0,ROUNDUP(($I18-1500)/500,0)))*$F18)</f>
        <v/>
      </c>
      <c r="AY18">
        <f>IF($A18="","",ROUND((2*2*($O18+$M18)*2*$F18+$U18*$V18)/1000,1))</f>
        <v/>
      </c>
    </row>
    <row r="19" ht="40.15" customHeight="1">
      <c r="A19" s="99" t="n"/>
      <c r="B19" s="88" t="n"/>
      <c r="C19" s="115">
        <f>IF($A19="","",($B19-$D19))</f>
        <v/>
      </c>
      <c r="D19" s="116" t="n"/>
      <c r="E19" s="89" t="n"/>
      <c r="F19" s="90" t="n"/>
      <c r="G19" s="91">
        <f>IF($A19="","",$B19)</f>
        <v/>
      </c>
      <c r="H19" s="89">
        <f>IF($A19="","",2*$F19)</f>
        <v/>
      </c>
      <c r="I19" s="91">
        <f>IF($A19="","",$E19-$E$55-$F$55)</f>
        <v/>
      </c>
      <c r="J19" s="89">
        <f>IF($A19="","",2*$F19)</f>
        <v/>
      </c>
      <c r="K19" s="91">
        <f>IF($A19="","",$E19)</f>
        <v/>
      </c>
      <c r="L19" s="89">
        <f>IF($A19="","",1*$F19)</f>
        <v/>
      </c>
      <c r="M19" s="91">
        <f>IF($A19="","",$D19-$E$57-$F$57-$G$57-$H$57)</f>
        <v/>
      </c>
      <c r="N19" s="89">
        <f>IF($A19="","",4*$F19)</f>
        <v/>
      </c>
      <c r="O19" s="91">
        <f>IF($A19="","",(($E19-$E$58-$F$58-$G$58-$H$58-$I$58)/2)+(66*1)/2)</f>
        <v/>
      </c>
      <c r="P19" s="89">
        <f>IF($A19="","",4*$F19)</f>
        <v/>
      </c>
      <c r="Q19" s="91">
        <f>IF($A19="","",$M19-$E$59-$F$59)</f>
        <v/>
      </c>
      <c r="R19" s="89">
        <f>IF($A19="","",4*$F19)</f>
        <v/>
      </c>
      <c r="S19" s="91">
        <f>IF($A19="","",$O19-$E$60-$F$60)</f>
        <v/>
      </c>
      <c r="T19" s="89">
        <f>IF($A19="","",4*$F19)</f>
        <v/>
      </c>
      <c r="U19" s="91">
        <f>IF($A19="","",$M19)</f>
        <v/>
      </c>
      <c r="V19" s="89">
        <f>IF($A19="","",2*$F19)</f>
        <v/>
      </c>
      <c r="W19" s="91">
        <f>IF($A19="","",$D19-$E$62-$F$62)</f>
        <v/>
      </c>
      <c r="X19" s="89">
        <f>IF($A19="","",2*$F19)</f>
        <v/>
      </c>
      <c r="Y19" s="91">
        <f>IF($A19="","",$E19-$E$63-$F$63)</f>
        <v/>
      </c>
      <c r="Z19" s="89">
        <f>IF($A19="","",3*$F19)</f>
        <v/>
      </c>
      <c r="AA19" s="91">
        <f>IF($A19="","",$D19-$E$64-$F$64)</f>
        <v/>
      </c>
      <c r="AB19" s="89">
        <f>IF($A19="","",2*$F19)</f>
        <v/>
      </c>
      <c r="AC19" s="91">
        <f>IF($A19="","",$U19)</f>
        <v/>
      </c>
      <c r="AD19" s="89">
        <f>IF($A19="","",2*$F19)</f>
        <v/>
      </c>
      <c r="AE19" s="91">
        <f>IF($A19="","",$E19)</f>
        <v/>
      </c>
      <c r="AF19" s="89">
        <f>IF($A19="","",1*$F19)</f>
        <v/>
      </c>
      <c r="AG19" s="91">
        <f>IF($A19="","",$E19-$E$67-$F$67)</f>
        <v/>
      </c>
      <c r="AH19" s="89">
        <f>IF($A19="","",3*$F19)</f>
        <v/>
      </c>
      <c r="AI19" s="91">
        <f>IF($A19="","",$C19-$E$68-$F$68)</f>
        <v/>
      </c>
      <c r="AJ19" s="89">
        <f>IF($A19="","",2*$F19)</f>
        <v/>
      </c>
      <c r="AK19" s="91">
        <f>IF($A19="","",2*2*$F19)</f>
        <v/>
      </c>
      <c r="AL19" s="89">
        <f>IF($A19="","",$BC$7*$F19)</f>
        <v/>
      </c>
      <c r="AM19" s="91">
        <f>IF($A19="","",$BC$6*$F19)</f>
        <v/>
      </c>
      <c r="AN19" s="89">
        <f>IF($A19="","",$BC$9*$F19)</f>
        <v/>
      </c>
      <c r="AO19" s="93">
        <f>IF($A19="","",$BC$10*$F19)</f>
        <v/>
      </c>
      <c r="AP19" s="94">
        <f>IF($A19="","",2*$BC$6*$F19)</f>
        <v/>
      </c>
      <c r="AQ19" s="95">
        <f>IF($A19="","",IF($B19&gt;2800,2,IF($B19&gt;1400,1,0))*$BC$6*$F19)</f>
        <v/>
      </c>
      <c r="AR19" s="93">
        <f>IF($A19="","",2*$BC$6*$F19)</f>
        <v/>
      </c>
      <c r="AS19" s="94">
        <f>IF($A19="","",$BC$6*$F19)</f>
        <v/>
      </c>
      <c r="AT19">
        <f>IF($A19="","",2*$BC$6*$F19)</f>
        <v/>
      </c>
      <c r="AU19">
        <f>IF($A19="","",4*2*$F19)</f>
        <v/>
      </c>
      <c r="AV19">
        <f>IF($A19="","",16*2*$F19)</f>
        <v/>
      </c>
      <c r="AW19">
        <f>IF($A19="","",(2+MAX(0,ROUNDUP(($I19-1500)/500,0)))*$F19)</f>
        <v/>
      </c>
      <c r="AX19">
        <f>IF($A19="","",(2+MAX(0,ROUNDUP(($I19-1500)/500,0)))*$F19)</f>
        <v/>
      </c>
      <c r="AY19">
        <f>IF($A19="","",ROUND((2*2*($O19+$M19)*2*$F19+$U19*$V19)/1000,1))</f>
        <v/>
      </c>
    </row>
    <row r="20" ht="40.15" customHeight="1">
      <c r="A20" s="99" t="n"/>
      <c r="B20" s="88" t="n"/>
      <c r="C20" s="115">
        <f>IF($A20="","",($B20-$D20))</f>
        <v/>
      </c>
      <c r="D20" s="116" t="n"/>
      <c r="E20" s="89" t="n"/>
      <c r="F20" s="90" t="n"/>
      <c r="G20" s="96">
        <f>IF($A20="","",$B20)</f>
        <v/>
      </c>
      <c r="H20" s="97">
        <f>IF($A20="","",2*$F20)</f>
        <v/>
      </c>
      <c r="I20" s="96">
        <f>IF($A20="","",$E20-$E$55-$F$55)</f>
        <v/>
      </c>
      <c r="J20" s="97">
        <f>IF($A20="","",2*$F20)</f>
        <v/>
      </c>
      <c r="K20" s="96">
        <f>IF($A20="","",$E20)</f>
        <v/>
      </c>
      <c r="L20" s="97">
        <f>IF($A20="","",1*$F20)</f>
        <v/>
      </c>
      <c r="M20" s="96">
        <f>IF($A20="","",$D20-$E$57-$F$57-$G$57-$H$57)</f>
        <v/>
      </c>
      <c r="N20" s="97">
        <f>IF($A20="","",4*$F20)</f>
        <v/>
      </c>
      <c r="O20" s="96">
        <f>IF($A20="","",(($E20-$E$58-$F$58-$G$58-$H$58-$I$58)/2)+(66*1)/2)</f>
        <v/>
      </c>
      <c r="P20" s="97">
        <f>IF($A20="","",4*$F20)</f>
        <v/>
      </c>
      <c r="Q20" s="96">
        <f>IF($A20="","",$M20-$E$59-$F$59)</f>
        <v/>
      </c>
      <c r="R20" s="97">
        <f>IF($A20="","",4*$F20)</f>
        <v/>
      </c>
      <c r="S20" s="96">
        <f>IF($A20="","",$O20-$E$60-$F$60)</f>
        <v/>
      </c>
      <c r="T20" s="97">
        <f>IF($A20="","",4*$F20)</f>
        <v/>
      </c>
      <c r="U20" s="96">
        <f>IF($A20="","",$M20)</f>
        <v/>
      </c>
      <c r="V20" s="97">
        <f>IF($A20="","",2*$F20)</f>
        <v/>
      </c>
      <c r="W20" s="96">
        <f>IF($A20="","",$D20-$E$62-$F$62)</f>
        <v/>
      </c>
      <c r="X20" s="97">
        <f>IF($A20="","",2*$F20)</f>
        <v/>
      </c>
      <c r="Y20" s="96">
        <f>IF($A20="","",$E20-$E$63-$F$63)</f>
        <v/>
      </c>
      <c r="Z20" s="97">
        <f>IF($A20="","",3*$F20)</f>
        <v/>
      </c>
      <c r="AA20" s="96">
        <f>IF($A20="","",$D20-$E$64-$F$64)</f>
        <v/>
      </c>
      <c r="AB20" s="97">
        <f>IF($A20="","",2*$F20)</f>
        <v/>
      </c>
      <c r="AC20" s="96">
        <f>IF($A20="","",$U20)</f>
        <v/>
      </c>
      <c r="AD20" s="97">
        <f>IF($A20="","",2*$F20)</f>
        <v/>
      </c>
      <c r="AE20" s="96">
        <f>IF($A20="","",$E20)</f>
        <v/>
      </c>
      <c r="AF20" s="97">
        <f>IF($A20="","",1*$F20)</f>
        <v/>
      </c>
      <c r="AG20" s="96">
        <f>IF($A20="","",$E20-$E$67-$F$67)</f>
        <v/>
      </c>
      <c r="AH20" s="97">
        <f>IF($A20="","",3*$F20)</f>
        <v/>
      </c>
      <c r="AI20" s="96">
        <f>IF($A20="","",$C20-$E$68-$F$68)</f>
        <v/>
      </c>
      <c r="AJ20" s="97">
        <f>IF($A20="","",2*$F20)</f>
        <v/>
      </c>
      <c r="AK20" s="96">
        <f>IF($A20="","",2*2*$F20)</f>
        <v/>
      </c>
      <c r="AL20" s="97">
        <f>IF($A20="","",$BC$7*$F20)</f>
        <v/>
      </c>
      <c r="AM20" s="96">
        <f>IF($A20="","",$BC$6*$F20)</f>
        <v/>
      </c>
      <c r="AN20" s="97">
        <f>IF($A20="","",$BC$9*$F20)</f>
        <v/>
      </c>
      <c r="AO20" s="93">
        <f>IF($A20="","",$BC$10*$F20)</f>
        <v/>
      </c>
      <c r="AP20" s="94">
        <f>IF($A20="","",2*$BC$6*$F20)</f>
        <v/>
      </c>
      <c r="AQ20" s="95">
        <f>IF($A20="","",IF($B20&gt;2800,2,IF($B20&gt;1400,1,0))*$BC$6*$F20)</f>
        <v/>
      </c>
      <c r="AR20" s="93">
        <f>IF($A20="","",2*$BC$6*$F20)</f>
        <v/>
      </c>
      <c r="AS20" s="94">
        <f>IF($A20="","",$BC$6*$F20)</f>
        <v/>
      </c>
      <c r="AT20">
        <f>IF($A20="","",2*$BC$6*$F20)</f>
        <v/>
      </c>
      <c r="AU20">
        <f>IF($A20="","",4*2*$F20)</f>
        <v/>
      </c>
      <c r="AV20">
        <f>IF($A20="","",16*2*$F20)</f>
        <v/>
      </c>
      <c r="AW20">
        <f>IF($A20="","",(2+MAX(0,ROUNDUP(($I20-1500)/500,0)))*$F20)</f>
        <v/>
      </c>
      <c r="AX20">
        <f>IF($A20="","",(2+MAX(0,ROUNDUP(($I20-1500)/500,0)))*$F20)</f>
        <v/>
      </c>
      <c r="AY20">
        <f>IF($A20="","",ROUND((2*2*($O20+$M20)*2*$F20+$U20*$V20)/1000,1))</f>
        <v/>
      </c>
    </row>
    <row r="21" ht="40.15" customHeight="1">
      <c r="A21" s="99" t="n"/>
      <c r="B21" s="88" t="n"/>
      <c r="C21" s="115">
        <f>IF($A21="","",($B21-$D21))</f>
        <v/>
      </c>
      <c r="D21" s="116" t="n"/>
      <c r="E21" s="89" t="n"/>
      <c r="F21" s="90" t="n"/>
      <c r="G21" s="91">
        <f>IF($A21="","",$B21)</f>
        <v/>
      </c>
      <c r="H21" s="89">
        <f>IF($A21="","",2*$F21)</f>
        <v/>
      </c>
      <c r="I21" s="91">
        <f>IF($A21="","",$E21-$E$55-$F$55)</f>
        <v/>
      </c>
      <c r="J21" s="89">
        <f>IF($A21="","",2*$F21)</f>
        <v/>
      </c>
      <c r="K21" s="91">
        <f>IF($A21="","",$E21)</f>
        <v/>
      </c>
      <c r="L21" s="89">
        <f>IF($A21="","",1*$F21)</f>
        <v/>
      </c>
      <c r="M21" s="91">
        <f>IF($A21="","",$D21-$E$57-$F$57-$G$57-$H$57)</f>
        <v/>
      </c>
      <c r="N21" s="89">
        <f>IF($A21="","",4*$F21)</f>
        <v/>
      </c>
      <c r="O21" s="91">
        <f>IF($A21="","",(($E21-$E$58-$F$58-$G$58-$H$58-$I$58)/2)+(66*1)/2)</f>
        <v/>
      </c>
      <c r="P21" s="89">
        <f>IF($A21="","",4*$F21)</f>
        <v/>
      </c>
      <c r="Q21" s="91">
        <f>IF($A21="","",$M21-$E$59-$F$59)</f>
        <v/>
      </c>
      <c r="R21" s="89">
        <f>IF($A21="","",4*$F21)</f>
        <v/>
      </c>
      <c r="S21" s="91">
        <f>IF($A21="","",$O21-$E$60-$F$60)</f>
        <v/>
      </c>
      <c r="T21" s="89">
        <f>IF($A21="","",4*$F21)</f>
        <v/>
      </c>
      <c r="U21" s="91">
        <f>IF($A21="","",$M21)</f>
        <v/>
      </c>
      <c r="V21" s="89">
        <f>IF($A21="","",2*$F21)</f>
        <v/>
      </c>
      <c r="W21" s="91">
        <f>IF($A21="","",$D21-$E$62-$F$62)</f>
        <v/>
      </c>
      <c r="X21" s="89">
        <f>IF($A21="","",2*$F21)</f>
        <v/>
      </c>
      <c r="Y21" s="91">
        <f>IF($A21="","",$E21-$E$63-$F$63)</f>
        <v/>
      </c>
      <c r="Z21" s="89">
        <f>IF($A21="","",3*$F21)</f>
        <v/>
      </c>
      <c r="AA21" s="91">
        <f>IF($A21="","",$D21-$E$64-$F$64)</f>
        <v/>
      </c>
      <c r="AB21" s="89">
        <f>IF($A21="","",2*$F21)</f>
        <v/>
      </c>
      <c r="AC21" s="91">
        <f>IF($A21="","",$U21)</f>
        <v/>
      </c>
      <c r="AD21" s="89">
        <f>IF($A21="","",2*$F21)</f>
        <v/>
      </c>
      <c r="AE21" s="91">
        <f>IF($A21="","",$E21)</f>
        <v/>
      </c>
      <c r="AF21" s="89">
        <f>IF($A21="","",1*$F21)</f>
        <v/>
      </c>
      <c r="AG21" s="91">
        <f>IF($A21="","",$E21-$E$67-$F$67)</f>
        <v/>
      </c>
      <c r="AH21" s="89">
        <f>IF($A21="","",3*$F21)</f>
        <v/>
      </c>
      <c r="AI21" s="91">
        <f>IF($A21="","",$C21-$E$68-$F$68)</f>
        <v/>
      </c>
      <c r="AJ21" s="89">
        <f>IF($A21="","",2*$F21)</f>
        <v/>
      </c>
      <c r="AK21" s="91">
        <f>IF($A21="","",2*2*$F21)</f>
        <v/>
      </c>
      <c r="AL21" s="89">
        <f>IF($A21="","",$BC$7*$F21)</f>
        <v/>
      </c>
      <c r="AM21" s="91">
        <f>IF($A21="","",$BC$6*$F21)</f>
        <v/>
      </c>
      <c r="AN21" s="89">
        <f>IF($A21="","",$BC$9*$F21)</f>
        <v/>
      </c>
      <c r="AO21" s="93">
        <f>IF($A21="","",$BC$10*$F21)</f>
        <v/>
      </c>
      <c r="AP21" s="94">
        <f>IF($A21="","",2*$BC$6*$F21)</f>
        <v/>
      </c>
      <c r="AQ21" s="95">
        <f>IF($A21="","",IF($B21&gt;2800,2,IF($B21&gt;1400,1,0))*$BC$6*$F21)</f>
        <v/>
      </c>
      <c r="AR21" s="93">
        <f>IF($A21="","",2*$BC$6*$F21)</f>
        <v/>
      </c>
      <c r="AS21" s="94">
        <f>IF($A21="","",$BC$6*$F21)</f>
        <v/>
      </c>
      <c r="AT21">
        <f>IF($A21="","",2*$BC$6*$F21)</f>
        <v/>
      </c>
      <c r="AU21">
        <f>IF($A21="","",4*2*$F21)</f>
        <v/>
      </c>
      <c r="AV21">
        <f>IF($A21="","",16*2*$F21)</f>
        <v/>
      </c>
      <c r="AW21">
        <f>IF($A21="","",(2+MAX(0,ROUNDUP(($I21-1500)/500,0)))*$F21)</f>
        <v/>
      </c>
      <c r="AX21">
        <f>IF($A21="","",(2+MAX(0,ROUNDUP(($I21-1500)/500,0)))*$F21)</f>
        <v/>
      </c>
      <c r="AY21">
        <f>IF($A21="","",ROUND((2*2*($O21+$M21)*2*$F21+$U21*$V21)/1000,1))</f>
        <v/>
      </c>
    </row>
    <row r="22" ht="40.15" customHeight="1">
      <c r="A22" s="99" t="n"/>
      <c r="B22" s="88" t="n"/>
      <c r="C22" s="115">
        <f>IF($A22="","",($B22-$D22))</f>
        <v/>
      </c>
      <c r="D22" s="116" t="n"/>
      <c r="E22" s="89" t="n"/>
      <c r="F22" s="90" t="n"/>
      <c r="G22" s="96">
        <f>IF($A22="","",$B22)</f>
        <v/>
      </c>
      <c r="H22" s="97">
        <f>IF($A22="","",2*$F22)</f>
        <v/>
      </c>
      <c r="I22" s="96">
        <f>IF($A22="","",$E22-$E$55-$F$55)</f>
        <v/>
      </c>
      <c r="J22" s="97">
        <f>IF($A22="","",2*$F22)</f>
        <v/>
      </c>
      <c r="K22" s="96">
        <f>IF($A22="","",$E22)</f>
        <v/>
      </c>
      <c r="L22" s="97">
        <f>IF($A22="","",1*$F22)</f>
        <v/>
      </c>
      <c r="M22" s="96">
        <f>IF($A22="","",$D22-$E$57-$F$57-$G$57-$H$57)</f>
        <v/>
      </c>
      <c r="N22" s="97">
        <f>IF($A22="","",4*$F22)</f>
        <v/>
      </c>
      <c r="O22" s="96">
        <f>IF($A22="","",(($E22-$E$58-$F$58-$G$58-$H$58-$I$58)/2)+(66*1)/2)</f>
        <v/>
      </c>
      <c r="P22" s="97">
        <f>IF($A22="","",4*$F22)</f>
        <v/>
      </c>
      <c r="Q22" s="96">
        <f>IF($A22="","",$M22-$E$59-$F$59)</f>
        <v/>
      </c>
      <c r="R22" s="97">
        <f>IF($A22="","",4*$F22)</f>
        <v/>
      </c>
      <c r="S22" s="96">
        <f>IF($A22="","",$O22-$E$60-$F$60)</f>
        <v/>
      </c>
      <c r="T22" s="97">
        <f>IF($A22="","",4*$F22)</f>
        <v/>
      </c>
      <c r="U22" s="96">
        <f>IF($A22="","",$M22)</f>
        <v/>
      </c>
      <c r="V22" s="97">
        <f>IF($A22="","",2*$F22)</f>
        <v/>
      </c>
      <c r="W22" s="96">
        <f>IF($A22="","",$D22-$E$62-$F$62)</f>
        <v/>
      </c>
      <c r="X22" s="97">
        <f>IF($A22="","",2*$F22)</f>
        <v/>
      </c>
      <c r="Y22" s="96">
        <f>IF($A22="","",$E22-$E$63-$F$63)</f>
        <v/>
      </c>
      <c r="Z22" s="97">
        <f>IF($A22="","",3*$F22)</f>
        <v/>
      </c>
      <c r="AA22" s="96">
        <f>IF($A22="","",$D22-$E$64-$F$64)</f>
        <v/>
      </c>
      <c r="AB22" s="97">
        <f>IF($A22="","",2*$F22)</f>
        <v/>
      </c>
      <c r="AC22" s="96">
        <f>IF($A22="","",$U22)</f>
        <v/>
      </c>
      <c r="AD22" s="97">
        <f>IF($A22="","",2*$F22)</f>
        <v/>
      </c>
      <c r="AE22" s="96">
        <f>IF($A22="","",$E22)</f>
        <v/>
      </c>
      <c r="AF22" s="97">
        <f>IF($A22="","",1*$F22)</f>
        <v/>
      </c>
      <c r="AG22" s="96">
        <f>IF($A22="","",$E22-$E$67-$F$67)</f>
        <v/>
      </c>
      <c r="AH22" s="97">
        <f>IF($A22="","",3*$F22)</f>
        <v/>
      </c>
      <c r="AI22" s="96">
        <f>IF($A22="","",$C22-$E$68-$F$68)</f>
        <v/>
      </c>
      <c r="AJ22" s="97">
        <f>IF($A22="","",2*$F22)</f>
        <v/>
      </c>
      <c r="AK22" s="96">
        <f>IF($A22="","",2*2*$F22)</f>
        <v/>
      </c>
      <c r="AL22" s="97">
        <f>IF($A22="","",$BC$7*$F22)</f>
        <v/>
      </c>
      <c r="AM22" s="96">
        <f>IF($A22="","",$BC$6*$F22)</f>
        <v/>
      </c>
      <c r="AN22" s="97">
        <f>IF($A22="","",$BC$9*$F22)</f>
        <v/>
      </c>
      <c r="AO22" s="93">
        <f>IF($A22="","",$BC$10*$F22)</f>
        <v/>
      </c>
      <c r="AP22" s="94">
        <f>IF($A22="","",2*$BC$6*$F22)</f>
        <v/>
      </c>
      <c r="AQ22" s="95">
        <f>IF($A22="","",IF($B22&gt;2800,2,IF($B22&gt;1400,1,0))*$BC$6*$F22)</f>
        <v/>
      </c>
      <c r="AR22" s="93">
        <f>IF($A22="","",2*$BC$6*$F22)</f>
        <v/>
      </c>
      <c r="AS22" s="94">
        <f>IF($A22="","",$BC$6*$F22)</f>
        <v/>
      </c>
      <c r="AT22">
        <f>IF($A22="","",2*$BC$6*$F22)</f>
        <v/>
      </c>
      <c r="AU22">
        <f>IF($A22="","",4*2*$F22)</f>
        <v/>
      </c>
      <c r="AV22">
        <f>IF($A22="","",16*2*$F22)</f>
        <v/>
      </c>
      <c r="AW22">
        <f>IF($A22="","",(2+MAX(0,ROUNDUP(($I22-1500)/500,0)))*$F22)</f>
        <v/>
      </c>
      <c r="AX22">
        <f>IF($A22="","",(2+MAX(0,ROUNDUP(($I22-1500)/500,0)))*$F22)</f>
        <v/>
      </c>
      <c r="AY22">
        <f>IF($A22="","",ROUND((2*2*($O22+$M22)*2*$F22+$U22*$V22)/1000,1))</f>
        <v/>
      </c>
    </row>
    <row r="23" ht="40.15" customHeight="1">
      <c r="A23" s="99" t="n"/>
      <c r="B23" s="88" t="n"/>
      <c r="C23" s="115">
        <f>IF($A23="","",($B23-$D23))</f>
        <v/>
      </c>
      <c r="D23" s="116" t="n"/>
      <c r="E23" s="89" t="n"/>
      <c r="F23" s="90" t="n"/>
      <c r="G23" s="91">
        <f>IF($A23="","",$B23)</f>
        <v/>
      </c>
      <c r="H23" s="89">
        <f>IF($A23="","",2*$F23)</f>
        <v/>
      </c>
      <c r="I23" s="91">
        <f>IF($A23="","",$E23-$E$55-$F$55)</f>
        <v/>
      </c>
      <c r="J23" s="89">
        <f>IF($A23="","",2*$F23)</f>
        <v/>
      </c>
      <c r="K23" s="91">
        <f>IF($A23="","",$E23)</f>
        <v/>
      </c>
      <c r="L23" s="89">
        <f>IF($A23="","",1*$F23)</f>
        <v/>
      </c>
      <c r="M23" s="91">
        <f>IF($A23="","",$D23-$E$57-$F$57-$G$57-$H$57)</f>
        <v/>
      </c>
      <c r="N23" s="89">
        <f>IF($A23="","",4*$F23)</f>
        <v/>
      </c>
      <c r="O23" s="91">
        <f>IF($A23="","",(($E23-$E$58-$F$58-$G$58-$H$58-$I$58)/2)+(66*1)/2)</f>
        <v/>
      </c>
      <c r="P23" s="89">
        <f>IF($A23="","",4*$F23)</f>
        <v/>
      </c>
      <c r="Q23" s="91">
        <f>IF($A23="","",$M23-$E$59-$F$59)</f>
        <v/>
      </c>
      <c r="R23" s="89">
        <f>IF($A23="","",4*$F23)</f>
        <v/>
      </c>
      <c r="S23" s="91">
        <f>IF($A23="","",$O23-$E$60-$F$60)</f>
        <v/>
      </c>
      <c r="T23" s="89">
        <f>IF($A23="","",4*$F23)</f>
        <v/>
      </c>
      <c r="U23" s="91">
        <f>IF($A23="","",$M23)</f>
        <v/>
      </c>
      <c r="V23" s="89">
        <f>IF($A23="","",2*$F23)</f>
        <v/>
      </c>
      <c r="W23" s="91">
        <f>IF($A23="","",$D23-$E$62-$F$62)</f>
        <v/>
      </c>
      <c r="X23" s="89">
        <f>IF($A23="","",2*$F23)</f>
        <v/>
      </c>
      <c r="Y23" s="91">
        <f>IF($A23="","",$E23-$E$63-$F$63)</f>
        <v/>
      </c>
      <c r="Z23" s="89">
        <f>IF($A23="","",3*$F23)</f>
        <v/>
      </c>
      <c r="AA23" s="91">
        <f>IF($A23="","",$D23-$E$64-$F$64)</f>
        <v/>
      </c>
      <c r="AB23" s="89">
        <f>IF($A23="","",2*$F23)</f>
        <v/>
      </c>
      <c r="AC23" s="91">
        <f>IF($A23="","",$U23)</f>
        <v/>
      </c>
      <c r="AD23" s="89">
        <f>IF($A23="","",2*$F23)</f>
        <v/>
      </c>
      <c r="AE23" s="91">
        <f>IF($A23="","",$E23)</f>
        <v/>
      </c>
      <c r="AF23" s="89">
        <f>IF($A23="","",1*$F23)</f>
        <v/>
      </c>
      <c r="AG23" s="91">
        <f>IF($A23="","",$E23-$E$67-$F$67)</f>
        <v/>
      </c>
      <c r="AH23" s="89">
        <f>IF($A23="","",3*$F23)</f>
        <v/>
      </c>
      <c r="AI23" s="91">
        <f>IF($A23="","",$C23-$E$68-$F$68)</f>
        <v/>
      </c>
      <c r="AJ23" s="89">
        <f>IF($A23="","",2*$F23)</f>
        <v/>
      </c>
      <c r="AK23" s="91">
        <f>IF($A23="","",2*2*$F23)</f>
        <v/>
      </c>
      <c r="AL23" s="89">
        <f>IF($A23="","",$BC$7*$F23)</f>
        <v/>
      </c>
      <c r="AM23" s="91">
        <f>IF($A23="","",$BC$6*$F23)</f>
        <v/>
      </c>
      <c r="AN23" s="89">
        <f>IF($A23="","",$BC$9*$F23)</f>
        <v/>
      </c>
      <c r="AO23" s="93">
        <f>IF($A23="","",$BC$10*$F23)</f>
        <v/>
      </c>
      <c r="AP23" s="94">
        <f>IF($A23="","",2*$BC$6*$F23)</f>
        <v/>
      </c>
      <c r="AQ23" s="95">
        <f>IF($A23="","",IF($B23&gt;2800,2,IF($B23&gt;1400,1,0))*$BC$6*$F23)</f>
        <v/>
      </c>
      <c r="AR23" s="93">
        <f>IF($A23="","",2*$BC$6*$F23)</f>
        <v/>
      </c>
      <c r="AS23" s="94">
        <f>IF($A23="","",$BC$6*$F23)</f>
        <v/>
      </c>
      <c r="AT23">
        <f>IF($A23="","",2*$BC$6*$F23)</f>
        <v/>
      </c>
      <c r="AU23">
        <f>IF($A23="","",4*2*$F23)</f>
        <v/>
      </c>
      <c r="AV23">
        <f>IF($A23="","",16*2*$F23)</f>
        <v/>
      </c>
      <c r="AW23">
        <f>IF($A23="","",(2+MAX(0,ROUNDUP(($I23-1500)/500,0)))*$F23)</f>
        <v/>
      </c>
      <c r="AX23">
        <f>IF($A23="","",(2+MAX(0,ROUNDUP(($I23-1500)/500,0)))*$F23)</f>
        <v/>
      </c>
      <c r="AY23">
        <f>IF($A23="","",ROUND((2*2*($O23+$M23)*2*$F23+$U23*$V23)/1000,1))</f>
        <v/>
      </c>
    </row>
    <row r="24" ht="40.15" customHeight="1">
      <c r="A24" s="99" t="n"/>
      <c r="B24" s="88" t="n"/>
      <c r="C24" s="115">
        <f>IF($A24="","",($B24-$D24))</f>
        <v/>
      </c>
      <c r="D24" s="116" t="n"/>
      <c r="E24" s="89" t="n"/>
      <c r="F24" s="90" t="n"/>
      <c r="G24" s="96">
        <f>IF($A24="","",$B24)</f>
        <v/>
      </c>
      <c r="H24" s="97">
        <f>IF($A24="","",2*$F24)</f>
        <v/>
      </c>
      <c r="I24" s="96">
        <f>IF($A24="","",$E24-$E$55-$F$55)</f>
        <v/>
      </c>
      <c r="J24" s="97">
        <f>IF($A24="","",2*$F24)</f>
        <v/>
      </c>
      <c r="K24" s="96">
        <f>IF($A24="","",$E24)</f>
        <v/>
      </c>
      <c r="L24" s="97">
        <f>IF($A24="","",1*$F24)</f>
        <v/>
      </c>
      <c r="M24" s="96">
        <f>IF($A24="","",$D24-$E$57-$F$57-$G$57-$H$57)</f>
        <v/>
      </c>
      <c r="N24" s="97">
        <f>IF($A24="","",4*$F24)</f>
        <v/>
      </c>
      <c r="O24" s="96">
        <f>IF($A24="","",(($E24-$E$58-$F$58-$G$58-$H$58-$I$58)/2)+(66*1)/2)</f>
        <v/>
      </c>
      <c r="P24" s="97">
        <f>IF($A24="","",4*$F24)</f>
        <v/>
      </c>
      <c r="Q24" s="96">
        <f>IF($A24="","",$M24-$E$59-$F$59)</f>
        <v/>
      </c>
      <c r="R24" s="97">
        <f>IF($A24="","",4*$F24)</f>
        <v/>
      </c>
      <c r="S24" s="96">
        <f>IF($A24="","",$O24-$E$60-$F$60)</f>
        <v/>
      </c>
      <c r="T24" s="97">
        <f>IF($A24="","",4*$F24)</f>
        <v/>
      </c>
      <c r="U24" s="96">
        <f>IF($A24="","",$M24)</f>
        <v/>
      </c>
      <c r="V24" s="97">
        <f>IF($A24="","",2*$F24)</f>
        <v/>
      </c>
      <c r="W24" s="96">
        <f>IF($A24="","",$D24-$E$62-$F$62)</f>
        <v/>
      </c>
      <c r="X24" s="97">
        <f>IF($A24="","",2*$F24)</f>
        <v/>
      </c>
      <c r="Y24" s="96">
        <f>IF($A24="","",$E24-$E$63-$F$63)</f>
        <v/>
      </c>
      <c r="Z24" s="97">
        <f>IF($A24="","",3*$F24)</f>
        <v/>
      </c>
      <c r="AA24" s="96">
        <f>IF($A24="","",$D24-$E$64-$F$64)</f>
        <v/>
      </c>
      <c r="AB24" s="97">
        <f>IF($A24="","",2*$F24)</f>
        <v/>
      </c>
      <c r="AC24" s="96">
        <f>IF($A24="","",$U24)</f>
        <v/>
      </c>
      <c r="AD24" s="97">
        <f>IF($A24="","",2*$F24)</f>
        <v/>
      </c>
      <c r="AE24" s="96">
        <f>IF($A24="","",$E24)</f>
        <v/>
      </c>
      <c r="AF24" s="97">
        <f>IF($A24="","",1*$F24)</f>
        <v/>
      </c>
      <c r="AG24" s="96">
        <f>IF($A24="","",$E24-$E$67-$F$67)</f>
        <v/>
      </c>
      <c r="AH24" s="97">
        <f>IF($A24="","",3*$F24)</f>
        <v/>
      </c>
      <c r="AI24" s="96">
        <f>IF($A24="","",$C24-$E$68-$F$68)</f>
        <v/>
      </c>
      <c r="AJ24" s="97">
        <f>IF($A24="","",2*$F24)</f>
        <v/>
      </c>
      <c r="AK24" s="96">
        <f>IF($A24="","",2*2*$F24)</f>
        <v/>
      </c>
      <c r="AL24" s="97">
        <f>IF($A24="","",$BC$7*$F24)</f>
        <v/>
      </c>
      <c r="AM24" s="96">
        <f>IF($A24="","",$BC$6*$F24)</f>
        <v/>
      </c>
      <c r="AN24" s="97">
        <f>IF($A24="","",$BC$9*$F24)</f>
        <v/>
      </c>
      <c r="AO24" s="93">
        <f>IF($A24="","",$BC$10*$F24)</f>
        <v/>
      </c>
      <c r="AP24" s="94">
        <f>IF($A24="","",2*$BC$6*$F24)</f>
        <v/>
      </c>
      <c r="AQ24" s="95">
        <f>IF($A24="","",IF($B24&gt;2800,2,IF($B24&gt;1400,1,0))*$BC$6*$F24)</f>
        <v/>
      </c>
      <c r="AR24" s="93">
        <f>IF($A24="","",2*$BC$6*$F24)</f>
        <v/>
      </c>
      <c r="AS24" s="94">
        <f>IF($A24="","",$BC$6*$F24)</f>
        <v/>
      </c>
      <c r="AT24">
        <f>IF($A24="","",2*$BC$6*$F24)</f>
        <v/>
      </c>
      <c r="AU24">
        <f>IF($A24="","",4*2*$F24)</f>
        <v/>
      </c>
      <c r="AV24">
        <f>IF($A24="","",16*2*$F24)</f>
        <v/>
      </c>
      <c r="AW24">
        <f>IF($A24="","",(2+MAX(0,ROUNDUP(($I24-1500)/500,0)))*$F24)</f>
        <v/>
      </c>
      <c r="AX24">
        <f>IF($A24="","",(2+MAX(0,ROUNDUP(($I24-1500)/500,0)))*$F24)</f>
        <v/>
      </c>
      <c r="AY24">
        <f>IF($A24="","",ROUND((2*2*($O24+$M24)*2*$F24+$U24*$V24)/1000,1))</f>
        <v/>
      </c>
    </row>
    <row r="25" ht="40.15" customHeight="1">
      <c r="A25" s="99" t="n"/>
      <c r="B25" s="88" t="n"/>
      <c r="C25" s="115">
        <f>IF($A25="","",($B25-$D25))</f>
        <v/>
      </c>
      <c r="D25" s="116" t="n"/>
      <c r="E25" s="89" t="n"/>
      <c r="F25" s="90" t="n"/>
      <c r="G25" s="91">
        <f>IF($A25="","",$B25)</f>
        <v/>
      </c>
      <c r="H25" s="89">
        <f>IF($A25="","",2*$F25)</f>
        <v/>
      </c>
      <c r="I25" s="91">
        <f>IF($A25="","",$E25-$E$55-$F$55)</f>
        <v/>
      </c>
      <c r="J25" s="89">
        <f>IF($A25="","",2*$F25)</f>
        <v/>
      </c>
      <c r="K25" s="91">
        <f>IF($A25="","",$E25)</f>
        <v/>
      </c>
      <c r="L25" s="89">
        <f>IF($A25="","",1*$F25)</f>
        <v/>
      </c>
      <c r="M25" s="91">
        <f>IF($A25="","",$D25-$E$57-$F$57-$G$57-$H$57)</f>
        <v/>
      </c>
      <c r="N25" s="89">
        <f>IF($A25="","",4*$F25)</f>
        <v/>
      </c>
      <c r="O25" s="91">
        <f>IF($A25="","",(($E25-$E$58-$F$58-$G$58-$H$58-$I$58)/2)+(66*1)/2)</f>
        <v/>
      </c>
      <c r="P25" s="89">
        <f>IF($A25="","",4*$F25)</f>
        <v/>
      </c>
      <c r="Q25" s="91">
        <f>IF($A25="","",$M25-$E$59-$F$59)</f>
        <v/>
      </c>
      <c r="R25" s="89">
        <f>IF($A25="","",4*$F25)</f>
        <v/>
      </c>
      <c r="S25" s="91">
        <f>IF($A25="","",$O25-$E$60-$F$60)</f>
        <v/>
      </c>
      <c r="T25" s="89">
        <f>IF($A25="","",4*$F25)</f>
        <v/>
      </c>
      <c r="U25" s="91">
        <f>IF($A25="","",$M25)</f>
        <v/>
      </c>
      <c r="V25" s="89">
        <f>IF($A25="","",2*$F25)</f>
        <v/>
      </c>
      <c r="W25" s="91">
        <f>IF($A25="","",$D25-$E$62-$F$62)</f>
        <v/>
      </c>
      <c r="X25" s="89">
        <f>IF($A25="","",2*$F25)</f>
        <v/>
      </c>
      <c r="Y25" s="91">
        <f>IF($A25="","",$E25-$E$63-$F$63)</f>
        <v/>
      </c>
      <c r="Z25" s="89">
        <f>IF($A25="","",3*$F25)</f>
        <v/>
      </c>
      <c r="AA25" s="91">
        <f>IF($A25="","",$D25-$E$64-$F$64)</f>
        <v/>
      </c>
      <c r="AB25" s="89">
        <f>IF($A25="","",2*$F25)</f>
        <v/>
      </c>
      <c r="AC25" s="91">
        <f>IF($A25="","",$U25)</f>
        <v/>
      </c>
      <c r="AD25" s="89">
        <f>IF($A25="","",2*$F25)</f>
        <v/>
      </c>
      <c r="AE25" s="91">
        <f>IF($A25="","",$E25)</f>
        <v/>
      </c>
      <c r="AF25" s="89">
        <f>IF($A25="","",1*$F25)</f>
        <v/>
      </c>
      <c r="AG25" s="91">
        <f>IF($A25="","",$E25-$E$67-$F$67)</f>
        <v/>
      </c>
      <c r="AH25" s="89">
        <f>IF($A25="","",3*$F25)</f>
        <v/>
      </c>
      <c r="AI25" s="91">
        <f>IF($A25="","",$C25-$E$68-$F$68)</f>
        <v/>
      </c>
      <c r="AJ25" s="89">
        <f>IF($A25="","",2*$F25)</f>
        <v/>
      </c>
      <c r="AK25" s="91">
        <f>IF($A25="","",2*2*$F25)</f>
        <v/>
      </c>
      <c r="AL25" s="89">
        <f>IF($A25="","",$BC$7*$F25)</f>
        <v/>
      </c>
      <c r="AM25" s="91">
        <f>IF($A25="","",$BC$6*$F25)</f>
        <v/>
      </c>
      <c r="AN25" s="89">
        <f>IF($A25="","",$BC$9*$F25)</f>
        <v/>
      </c>
      <c r="AO25" s="93">
        <f>IF($A25="","",$BC$10*$F25)</f>
        <v/>
      </c>
      <c r="AP25" s="94">
        <f>IF($A25="","",2*$BC$6*$F25)</f>
        <v/>
      </c>
      <c r="AQ25" s="95">
        <f>IF($A25="","",IF($B25&gt;2800,2,IF($B25&gt;1400,1,0))*$BC$6*$F25)</f>
        <v/>
      </c>
      <c r="AR25" s="93">
        <f>IF($A25="","",2*$BC$6*$F25)</f>
        <v/>
      </c>
      <c r="AS25" s="94">
        <f>IF($A25="","",$BC$6*$F25)</f>
        <v/>
      </c>
      <c r="AT25">
        <f>IF($A25="","",2*$BC$6*$F25)</f>
        <v/>
      </c>
      <c r="AU25">
        <f>IF($A25="","",4*2*$F25)</f>
        <v/>
      </c>
      <c r="AV25">
        <f>IF($A25="","",16*2*$F25)</f>
        <v/>
      </c>
      <c r="AW25">
        <f>IF($A25="","",(2+MAX(0,ROUNDUP(($I25-1500)/500,0)))*$F25)</f>
        <v/>
      </c>
      <c r="AX25">
        <f>IF($A25="","",(2+MAX(0,ROUNDUP(($I25-1500)/500,0)))*$F25)</f>
        <v/>
      </c>
      <c r="AY25">
        <f>IF($A25="","",ROUND((2*2*($O25+$M25)*2*$F25+$U25*$V25)/1000,1))</f>
        <v/>
      </c>
    </row>
    <row r="26" ht="40.15" customHeight="1">
      <c r="A26" s="99" t="n"/>
      <c r="B26" s="88" t="n"/>
      <c r="C26" s="115">
        <f>IF($A26="","",($B26-$D26))</f>
        <v/>
      </c>
      <c r="D26" s="116" t="n"/>
      <c r="E26" s="89" t="n"/>
      <c r="F26" s="90" t="n"/>
      <c r="G26" s="96">
        <f>IF($A26="","",$B26)</f>
        <v/>
      </c>
      <c r="H26" s="97">
        <f>IF($A26="","",2*$F26)</f>
        <v/>
      </c>
      <c r="I26" s="96">
        <f>IF($A26="","",$E26-$E$55-$F$55)</f>
        <v/>
      </c>
      <c r="J26" s="97">
        <f>IF($A26="","",2*$F26)</f>
        <v/>
      </c>
      <c r="K26" s="96">
        <f>IF($A26="","",$E26)</f>
        <v/>
      </c>
      <c r="L26" s="97">
        <f>IF($A26="","",1*$F26)</f>
        <v/>
      </c>
      <c r="M26" s="96">
        <f>IF($A26="","",$D26-$E$57-$F$57-$G$57-$H$57)</f>
        <v/>
      </c>
      <c r="N26" s="97">
        <f>IF($A26="","",4*$F26)</f>
        <v/>
      </c>
      <c r="O26" s="96">
        <f>IF($A26="","",(($E26-$E$58-$F$58-$G$58-$H$58-$I$58)/2)+(66*1)/2)</f>
        <v/>
      </c>
      <c r="P26" s="97">
        <f>IF($A26="","",4*$F26)</f>
        <v/>
      </c>
      <c r="Q26" s="96">
        <f>IF($A26="","",$M26-$E$59-$F$59)</f>
        <v/>
      </c>
      <c r="R26" s="97">
        <f>IF($A26="","",4*$F26)</f>
        <v/>
      </c>
      <c r="S26" s="96">
        <f>IF($A26="","",$O26-$E$60-$F$60)</f>
        <v/>
      </c>
      <c r="T26" s="97">
        <f>IF($A26="","",4*$F26)</f>
        <v/>
      </c>
      <c r="U26" s="96">
        <f>IF($A26="","",$M26)</f>
        <v/>
      </c>
      <c r="V26" s="97">
        <f>IF($A26="","",2*$F26)</f>
        <v/>
      </c>
      <c r="W26" s="96">
        <f>IF($A26="","",$D26-$E$62-$F$62)</f>
        <v/>
      </c>
      <c r="X26" s="97">
        <f>IF($A26="","",2*$F26)</f>
        <v/>
      </c>
      <c r="Y26" s="96">
        <f>IF($A26="","",$E26-$E$63-$F$63)</f>
        <v/>
      </c>
      <c r="Z26" s="97">
        <f>IF($A26="","",3*$F26)</f>
        <v/>
      </c>
      <c r="AA26" s="96">
        <f>IF($A26="","",$D26-$E$64-$F$64)</f>
        <v/>
      </c>
      <c r="AB26" s="97">
        <f>IF($A26="","",2*$F26)</f>
        <v/>
      </c>
      <c r="AC26" s="96">
        <f>IF($A26="","",$U26)</f>
        <v/>
      </c>
      <c r="AD26" s="97">
        <f>IF($A26="","",2*$F26)</f>
        <v/>
      </c>
      <c r="AE26" s="96">
        <f>IF($A26="","",$E26)</f>
        <v/>
      </c>
      <c r="AF26" s="97">
        <f>IF($A26="","",1*$F26)</f>
        <v/>
      </c>
      <c r="AG26" s="96">
        <f>IF($A26="","",$E26-$E$67-$F$67)</f>
        <v/>
      </c>
      <c r="AH26" s="97">
        <f>IF($A26="","",3*$F26)</f>
        <v/>
      </c>
      <c r="AI26" s="96">
        <f>IF($A26="","",$C26-$E$68-$F$68)</f>
        <v/>
      </c>
      <c r="AJ26" s="97">
        <f>IF($A26="","",2*$F26)</f>
        <v/>
      </c>
      <c r="AK26" s="96">
        <f>IF($A26="","",2*2*$F26)</f>
        <v/>
      </c>
      <c r="AL26" s="97">
        <f>IF($A26="","",$BC$7*$F26)</f>
        <v/>
      </c>
      <c r="AM26" s="96">
        <f>IF($A26="","",$BC$6*$F26)</f>
        <v/>
      </c>
      <c r="AN26" s="97">
        <f>IF($A26="","",$BC$9*$F26)</f>
        <v/>
      </c>
      <c r="AO26" s="93">
        <f>IF($A26="","",$BC$10*$F26)</f>
        <v/>
      </c>
      <c r="AP26" s="94">
        <f>IF($A26="","",2*$BC$6*$F26)</f>
        <v/>
      </c>
      <c r="AQ26" s="95">
        <f>IF($A26="","",IF($B26&gt;2800,2,IF($B26&gt;1400,1,0))*$BC$6*$F26)</f>
        <v/>
      </c>
      <c r="AR26" s="93">
        <f>IF($A26="","",2*$BC$6*$F26)</f>
        <v/>
      </c>
      <c r="AS26" s="94">
        <f>IF($A26="","",$BC$6*$F26)</f>
        <v/>
      </c>
      <c r="AT26">
        <f>IF($A26="","",2*$BC$6*$F26)</f>
        <v/>
      </c>
      <c r="AU26">
        <f>IF($A26="","",4*2*$F26)</f>
        <v/>
      </c>
      <c r="AV26">
        <f>IF($A26="","",16*2*$F26)</f>
        <v/>
      </c>
      <c r="AW26">
        <f>IF($A26="","",(2+MAX(0,ROUNDUP(($I26-1500)/500,0)))*$F26)</f>
        <v/>
      </c>
      <c r="AX26">
        <f>IF($A26="","",(2+MAX(0,ROUNDUP(($I26-1500)/500,0)))*$F26)</f>
        <v/>
      </c>
      <c r="AY26">
        <f>IF($A26="","",ROUND((2*2*($O26+$M26)*2*$F26+$U26*$V26)/1000,1))</f>
        <v/>
      </c>
    </row>
    <row r="27" ht="40.15" customHeight="1">
      <c r="A27" s="99" t="n"/>
      <c r="B27" s="88" t="n"/>
      <c r="C27" s="115">
        <f>IF($A27="","",($B27-$D27))</f>
        <v/>
      </c>
      <c r="D27" s="116" t="n"/>
      <c r="E27" s="89" t="n"/>
      <c r="F27" s="90" t="n"/>
      <c r="G27" s="91">
        <f>IF($A27="","",$B27)</f>
        <v/>
      </c>
      <c r="H27" s="89">
        <f>IF($A27="","",2*$F27)</f>
        <v/>
      </c>
      <c r="I27" s="91">
        <f>IF($A27="","",$E27-$E$55-$F$55)</f>
        <v/>
      </c>
      <c r="J27" s="89">
        <f>IF($A27="","",2*$F27)</f>
        <v/>
      </c>
      <c r="K27" s="91">
        <f>IF($A27="","",$E27)</f>
        <v/>
      </c>
      <c r="L27" s="89">
        <f>IF($A27="","",1*$F27)</f>
        <v/>
      </c>
      <c r="M27" s="91">
        <f>IF($A27="","",$D27-$E$57-$F$57-$G$57-$H$57)</f>
        <v/>
      </c>
      <c r="N27" s="89">
        <f>IF($A27="","",4*$F27)</f>
        <v/>
      </c>
      <c r="O27" s="91">
        <f>IF($A27="","",(($E27-$E$58-$F$58-$G$58-$H$58-$I$58)/2)+(66*1)/2)</f>
        <v/>
      </c>
      <c r="P27" s="89">
        <f>IF($A27="","",4*$F27)</f>
        <v/>
      </c>
      <c r="Q27" s="91">
        <f>IF($A27="","",$M27-$E$59-$F$59)</f>
        <v/>
      </c>
      <c r="R27" s="89">
        <f>IF($A27="","",4*$F27)</f>
        <v/>
      </c>
      <c r="S27" s="91">
        <f>IF($A27="","",$O27-$E$60-$F$60)</f>
        <v/>
      </c>
      <c r="T27" s="89">
        <f>IF($A27="","",4*$F27)</f>
        <v/>
      </c>
      <c r="U27" s="91">
        <f>IF($A27="","",$M27)</f>
        <v/>
      </c>
      <c r="V27" s="89">
        <f>IF($A27="","",2*$F27)</f>
        <v/>
      </c>
      <c r="W27" s="91">
        <f>IF($A27="","",$D27-$E$62-$F$62)</f>
        <v/>
      </c>
      <c r="X27" s="89">
        <f>IF($A27="","",2*$F27)</f>
        <v/>
      </c>
      <c r="Y27" s="91">
        <f>IF($A27="","",$E27-$E$63-$F$63)</f>
        <v/>
      </c>
      <c r="Z27" s="89">
        <f>IF($A27="","",3*$F27)</f>
        <v/>
      </c>
      <c r="AA27" s="91">
        <f>IF($A27="","",$D27-$E$64-$F$64)</f>
        <v/>
      </c>
      <c r="AB27" s="89">
        <f>IF($A27="","",2*$F27)</f>
        <v/>
      </c>
      <c r="AC27" s="91">
        <f>IF($A27="","",$U27)</f>
        <v/>
      </c>
      <c r="AD27" s="89">
        <f>IF($A27="","",2*$F27)</f>
        <v/>
      </c>
      <c r="AE27" s="91">
        <f>IF($A27="","",$E27)</f>
        <v/>
      </c>
      <c r="AF27" s="89">
        <f>IF($A27="","",1*$F27)</f>
        <v/>
      </c>
      <c r="AG27" s="91">
        <f>IF($A27="","",$E27-$E$67-$F$67)</f>
        <v/>
      </c>
      <c r="AH27" s="89">
        <f>IF($A27="","",3*$F27)</f>
        <v/>
      </c>
      <c r="AI27" s="91">
        <f>IF($A27="","",$C27-$E$68-$F$68)</f>
        <v/>
      </c>
      <c r="AJ27" s="89">
        <f>IF($A27="","",2*$F27)</f>
        <v/>
      </c>
      <c r="AK27" s="91">
        <f>IF($A27="","",2*2*$F27)</f>
        <v/>
      </c>
      <c r="AL27" s="89">
        <f>IF($A27="","",$BC$7*$F27)</f>
        <v/>
      </c>
      <c r="AM27" s="91">
        <f>IF($A27="","",$BC$6*$F27)</f>
        <v/>
      </c>
      <c r="AN27" s="89">
        <f>IF($A27="","",$BC$9*$F27)</f>
        <v/>
      </c>
      <c r="AO27" s="93">
        <f>IF($A27="","",$BC$10*$F27)</f>
        <v/>
      </c>
      <c r="AP27" s="94">
        <f>IF($A27="","",2*$BC$6*$F27)</f>
        <v/>
      </c>
      <c r="AQ27" s="95">
        <f>IF($A27="","",IF($B27&gt;2800,2,IF($B27&gt;1400,1,0))*$BC$6*$F27)</f>
        <v/>
      </c>
      <c r="AR27" s="93">
        <f>IF($A27="","",2*$BC$6*$F27)</f>
        <v/>
      </c>
      <c r="AS27" s="94">
        <f>IF($A27="","",$BC$6*$F27)</f>
        <v/>
      </c>
      <c r="AT27">
        <f>IF($A27="","",2*$BC$6*$F27)</f>
        <v/>
      </c>
      <c r="AU27">
        <f>IF($A27="","",4*2*$F27)</f>
        <v/>
      </c>
      <c r="AV27">
        <f>IF($A27="","",16*2*$F27)</f>
        <v/>
      </c>
      <c r="AW27">
        <f>IF($A27="","",(2+MAX(0,ROUNDUP(($I27-1500)/500,0)))*$F27)</f>
        <v/>
      </c>
      <c r="AX27">
        <f>IF($A27="","",(2+MAX(0,ROUNDUP(($I27-1500)/500,0)))*$F27)</f>
        <v/>
      </c>
      <c r="AY27">
        <f>IF($A27="","",ROUND((2*2*($O27+$M27)*2*$F27+$U27*$V27)/1000,1))</f>
        <v/>
      </c>
    </row>
    <row r="28" ht="40.15" customHeight="1">
      <c r="A28" s="99" t="n"/>
      <c r="B28" s="88" t="n"/>
      <c r="C28" s="115">
        <f>IF($A28="","",($B28-$D28))</f>
        <v/>
      </c>
      <c r="D28" s="116" t="n"/>
      <c r="E28" s="89" t="n"/>
      <c r="F28" s="90" t="n"/>
      <c r="G28" s="96">
        <f>IF($A28="","",$B28)</f>
        <v/>
      </c>
      <c r="H28" s="97">
        <f>IF($A28="","",2*$F28)</f>
        <v/>
      </c>
      <c r="I28" s="96">
        <f>IF($A28="","",$E28-$E$55-$F$55)</f>
        <v/>
      </c>
      <c r="J28" s="97">
        <f>IF($A28="","",2*$F28)</f>
        <v/>
      </c>
      <c r="K28" s="96">
        <f>IF($A28="","",$E28)</f>
        <v/>
      </c>
      <c r="L28" s="97">
        <f>IF($A28="","",1*$F28)</f>
        <v/>
      </c>
      <c r="M28" s="96">
        <f>IF($A28="","",$D28-$E$57-$F$57-$G$57-$H$57)</f>
        <v/>
      </c>
      <c r="N28" s="97">
        <f>IF($A28="","",4*$F28)</f>
        <v/>
      </c>
      <c r="O28" s="96">
        <f>IF($A28="","",(($E28-$E$58-$F$58-$G$58-$H$58-$I$58)/2)+(66*1)/2)</f>
        <v/>
      </c>
      <c r="P28" s="97">
        <f>IF($A28="","",4*$F28)</f>
        <v/>
      </c>
      <c r="Q28" s="96">
        <f>IF($A28="","",$M28-$E$59-$F$59)</f>
        <v/>
      </c>
      <c r="R28" s="97">
        <f>IF($A28="","",4*$F28)</f>
        <v/>
      </c>
      <c r="S28" s="96">
        <f>IF($A28="","",$O28-$E$60-$F$60)</f>
        <v/>
      </c>
      <c r="T28" s="97">
        <f>IF($A28="","",4*$F28)</f>
        <v/>
      </c>
      <c r="U28" s="96">
        <f>IF($A28="","",$M28)</f>
        <v/>
      </c>
      <c r="V28" s="97">
        <f>IF($A28="","",2*$F28)</f>
        <v/>
      </c>
      <c r="W28" s="96">
        <f>IF($A28="","",$D28-$E$62-$F$62)</f>
        <v/>
      </c>
      <c r="X28" s="97">
        <f>IF($A28="","",2*$F28)</f>
        <v/>
      </c>
      <c r="Y28" s="96">
        <f>IF($A28="","",$E28-$E$63-$F$63)</f>
        <v/>
      </c>
      <c r="Z28" s="97">
        <f>IF($A28="","",3*$F28)</f>
        <v/>
      </c>
      <c r="AA28" s="96">
        <f>IF($A28="","",$D28-$E$64-$F$64)</f>
        <v/>
      </c>
      <c r="AB28" s="97">
        <f>IF($A28="","",2*$F28)</f>
        <v/>
      </c>
      <c r="AC28" s="96">
        <f>IF($A28="","",$U28)</f>
        <v/>
      </c>
      <c r="AD28" s="97">
        <f>IF($A28="","",2*$F28)</f>
        <v/>
      </c>
      <c r="AE28" s="96">
        <f>IF($A28="","",$E28)</f>
        <v/>
      </c>
      <c r="AF28" s="97">
        <f>IF($A28="","",1*$F28)</f>
        <v/>
      </c>
      <c r="AG28" s="96">
        <f>IF($A28="","",$E28-$E$67-$F$67)</f>
        <v/>
      </c>
      <c r="AH28" s="97">
        <f>IF($A28="","",3*$F28)</f>
        <v/>
      </c>
      <c r="AI28" s="96">
        <f>IF($A28="","",$C28-$E$68-$F$68)</f>
        <v/>
      </c>
      <c r="AJ28" s="97">
        <f>IF($A28="","",2*$F28)</f>
        <v/>
      </c>
      <c r="AK28" s="96">
        <f>IF($A28="","",2*2*$F28)</f>
        <v/>
      </c>
      <c r="AL28" s="97">
        <f>IF($A28="","",$BC$7*$F28)</f>
        <v/>
      </c>
      <c r="AM28" s="96">
        <f>IF($A28="","",$BC$6*$F28)</f>
        <v/>
      </c>
      <c r="AN28" s="97">
        <f>IF($A28="","",$BC$9*$F28)</f>
        <v/>
      </c>
      <c r="AO28" s="93">
        <f>IF($A28="","",$BC$10*$F28)</f>
        <v/>
      </c>
      <c r="AP28" s="94">
        <f>IF($A28="","",2*$BC$6*$F28)</f>
        <v/>
      </c>
      <c r="AQ28" s="95">
        <f>IF($A28="","",IF($B28&gt;2800,2,IF($B28&gt;1400,1,0))*$BC$6*$F28)</f>
        <v/>
      </c>
      <c r="AR28" s="93">
        <f>IF($A28="","",2*$BC$6*$F28)</f>
        <v/>
      </c>
      <c r="AS28" s="94">
        <f>IF($A28="","",$BC$6*$F28)</f>
        <v/>
      </c>
      <c r="AT28">
        <f>IF($A28="","",2*$BC$6*$F28)</f>
        <v/>
      </c>
      <c r="AU28">
        <f>IF($A28="","",4*2*$F28)</f>
        <v/>
      </c>
      <c r="AV28">
        <f>IF($A28="","",16*2*$F28)</f>
        <v/>
      </c>
      <c r="AW28">
        <f>IF($A28="","",(2+MAX(0,ROUNDUP(($I28-1500)/500,0)))*$F28)</f>
        <v/>
      </c>
      <c r="AX28">
        <f>IF($A28="","",(2+MAX(0,ROUNDUP(($I28-1500)/500,0)))*$F28)</f>
        <v/>
      </c>
      <c r="AY28">
        <f>IF($A28="","",ROUND((2*2*($O28+$M28)*2*$F28+$U28*$V28)/1000,1))</f>
        <v/>
      </c>
    </row>
    <row r="29" ht="40.15" customHeight="1"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8" t="n"/>
      <c r="AK29" s="68" t="n"/>
      <c r="AL29" s="68" t="n"/>
      <c r="AM29" s="68" t="n"/>
      <c r="AN29" s="68" t="n"/>
      <c r="AO29" s="69" t="n"/>
    </row>
    <row r="30" ht="40.15" customHeight="1">
      <c r="A30" s="70" t="inlineStr">
        <is>
          <t>จำนวนเส้น 6.4 ม. ที่ต้องสั่ง →</t>
        </is>
      </c>
      <c r="B30" s="20" t="n"/>
      <c r="C30" s="20" t="n"/>
      <c r="D30" s="20" t="n"/>
      <c r="E30" s="20" t="n"/>
      <c r="F30" s="21" t="n"/>
      <c r="G30" s="110">
        <f>G$7</f>
        <v/>
      </c>
      <c r="H30" s="111">
        <f>(ROUNDUP(H49/6400,0))</f>
        <v/>
      </c>
      <c r="I30" s="111">
        <f>I$7</f>
        <v/>
      </c>
      <c r="J30" s="111">
        <f>(ROUNDUP(J49/6400,0))</f>
        <v/>
      </c>
      <c r="K30" s="111">
        <f>K$7</f>
        <v/>
      </c>
      <c r="L30" s="111">
        <f>(ROUNDUP(L49/6400,0))</f>
        <v/>
      </c>
      <c r="M30" s="111">
        <f>M$7</f>
        <v/>
      </c>
      <c r="N30" s="20" t="n"/>
      <c r="O30" s="21" t="n"/>
      <c r="P30" s="111">
        <f>(ROUNDUP(SUM(N49:P49)/6400,0))</f>
        <v/>
      </c>
      <c r="Q30" s="111">
        <f>Q$7</f>
        <v/>
      </c>
      <c r="R30" s="20" t="n"/>
      <c r="S30" s="21" t="n"/>
      <c r="T30" s="111">
        <f>(ROUNDUP(SUM(R49:T49)/6400,0))</f>
        <v/>
      </c>
      <c r="U30" s="111">
        <f>U$7</f>
        <v/>
      </c>
      <c r="V30" s="111">
        <f>(ROUNDUP(V49/6400,0))</f>
        <v/>
      </c>
      <c r="W30" s="111">
        <f>W$7</f>
        <v/>
      </c>
      <c r="X30" s="111">
        <f>(ROUNDUP(X49/6400,0))</f>
        <v/>
      </c>
      <c r="Y30" s="111">
        <f>Y$7</f>
        <v/>
      </c>
      <c r="Z30" s="111">
        <f>(ROUNDUP(Z49/5000,0))</f>
        <v/>
      </c>
      <c r="AA30" s="111">
        <f>AA$7</f>
        <v/>
      </c>
      <c r="AB30" s="20" t="n"/>
      <c r="AC30" s="20" t="n"/>
      <c r="AD30" s="20" t="n"/>
      <c r="AE30" s="21" t="n"/>
      <c r="AF30" s="111">
        <f>(ROUNDUP(SUM(AB49:AF49)/6400,0))</f>
        <v/>
      </c>
      <c r="AG30" s="111">
        <f>AG$7</f>
        <v/>
      </c>
      <c r="AH30" s="111">
        <f>(ROUNDUP(AH49/5000,0))</f>
        <v/>
      </c>
      <c r="AI30" s="111">
        <f>AI$7</f>
        <v/>
      </c>
      <c r="AJ30" s="111" t="inlineStr">
        <is>
          <t>รวม</t>
        </is>
      </c>
      <c r="AK30" s="111">
        <f>SUM(AK11:AK28)</f>
        <v/>
      </c>
      <c r="AL30" s="111">
        <f>SUM(AL11:AL28)</f>
        <v/>
      </c>
      <c r="AM30" s="111">
        <f>SUM(AM11:AM28)</f>
        <v/>
      </c>
      <c r="AN30" s="111">
        <f>SUM(AN11:AN28)</f>
        <v/>
      </c>
      <c r="AO30">
        <f>SUM(AO11:AO28)</f>
        <v/>
      </c>
      <c r="AP30">
        <f>SUM(AP11:AP28)</f>
        <v/>
      </c>
      <c r="AQ30">
        <f>SUM(AQ11:AQ28)</f>
        <v/>
      </c>
      <c r="AR30">
        <f>SUM(AR11:AR28)</f>
        <v/>
      </c>
      <c r="AS30">
        <f>SUM(AS11:AS28)</f>
        <v/>
      </c>
      <c r="AT30">
        <f>SUM(AT11:AT28)</f>
        <v/>
      </c>
      <c r="AU30">
        <f>SUM(AU11:AU28)</f>
        <v/>
      </c>
      <c r="AV30">
        <f>SUM(AV11:AV28)</f>
        <v/>
      </c>
      <c r="AW30">
        <f>SUM(AW11:AW28)</f>
        <v/>
      </c>
      <c r="AX30">
        <f>SUM(AX11:AX28)</f>
        <v/>
      </c>
      <c r="AY30">
        <f>SUM(AY11:AY28)</f>
        <v/>
      </c>
    </row>
    <row r="31" hidden="1" ht="40.15" customHeight="1">
      <c r="H31" s="73">
        <f>IF($A11="","",H11*G11)</f>
        <v/>
      </c>
      <c r="I31" s="73" t="n"/>
      <c r="J31" s="73">
        <f>IF($A11="","",J11*I11)</f>
        <v/>
      </c>
      <c r="K31" s="73" t="n"/>
      <c r="L31" s="73">
        <f>IF($A11="","",L11*K11)</f>
        <v/>
      </c>
      <c r="M31" s="73" t="n"/>
      <c r="N31" s="73">
        <f>IF($A11="","",N11*M11)</f>
        <v/>
      </c>
      <c r="O31" s="73" t="n"/>
      <c r="P31" s="73">
        <f>IF($A11="","",P11*O11)</f>
        <v/>
      </c>
      <c r="Q31" s="73" t="n"/>
      <c r="R31" s="73">
        <f>IF($A11="","",R11*Q11)</f>
        <v/>
      </c>
      <c r="S31" s="73" t="n"/>
      <c r="T31" s="73">
        <f>IF($A11="","",T11*S11)</f>
        <v/>
      </c>
      <c r="U31" s="73" t="n"/>
      <c r="V31" s="73">
        <f>IF($A11="","",V11*U11)</f>
        <v/>
      </c>
      <c r="W31" s="73" t="n"/>
      <c r="X31" s="73">
        <f>IF($A11="","",X11*W11)</f>
        <v/>
      </c>
      <c r="Y31" s="73" t="n"/>
      <c r="Z31" s="73">
        <f>IF($A11="","",Z11*Y11)</f>
        <v/>
      </c>
      <c r="AA31" s="73" t="n"/>
      <c r="AB31" s="73">
        <f>IF($A11="","",AB11*AA11)</f>
        <v/>
      </c>
      <c r="AC31" s="73" t="n"/>
      <c r="AD31" s="73">
        <f>IF($A11="","",AD11*AC11)</f>
        <v/>
      </c>
      <c r="AE31" s="73" t="n"/>
      <c r="AF31" s="73">
        <f>IF($A11="","",AF11*AE11)</f>
        <v/>
      </c>
      <c r="AG31" s="73" t="n"/>
      <c r="AH31" s="73">
        <f>IF($A11="","",AH11*AG11)</f>
        <v/>
      </c>
      <c r="AI31" s="73" t="n"/>
      <c r="AJ31" s="73">
        <f>IF($A11="","",AJ11*AI11)</f>
        <v/>
      </c>
      <c r="AK31" s="73" t="n"/>
      <c r="AL31" s="73">
        <f>IF($A11="","",AL11*AK11)</f>
        <v/>
      </c>
      <c r="AM31" s="73" t="n"/>
      <c r="AN31" s="73">
        <f>IF($A11="","",AN11*AM11)</f>
        <v/>
      </c>
    </row>
    <row r="32" hidden="1" ht="40.15" customHeight="1">
      <c r="H32" s="73">
        <f>IF($A12="","",H12*G12)</f>
        <v/>
      </c>
      <c r="I32" s="73" t="n"/>
      <c r="J32" s="73">
        <f>IF($A12="","",J12*I12)</f>
        <v/>
      </c>
      <c r="K32" s="73" t="n"/>
      <c r="L32" s="73">
        <f>IF($A12="","",L12*K12)</f>
        <v/>
      </c>
      <c r="M32" s="73" t="n"/>
      <c r="N32" s="73">
        <f>IF($A12="","",N12*M12)</f>
        <v/>
      </c>
      <c r="O32" s="73" t="n"/>
      <c r="P32" s="73">
        <f>IF($A12="","",P12*O12)</f>
        <v/>
      </c>
      <c r="Q32" s="73" t="n"/>
      <c r="R32" s="73">
        <f>IF($A12="","",R12*Q12)</f>
        <v/>
      </c>
      <c r="S32" s="73" t="n"/>
      <c r="T32" s="73">
        <f>IF($A12="","",T12*S12)</f>
        <v/>
      </c>
      <c r="U32" s="73" t="n"/>
      <c r="V32" s="73">
        <f>IF($A12="","",V12*U12)</f>
        <v/>
      </c>
      <c r="W32" s="73" t="n"/>
      <c r="X32" s="73">
        <f>IF($A12="","",X12*W12)</f>
        <v/>
      </c>
      <c r="Y32" s="73" t="n"/>
      <c r="Z32" s="73">
        <f>IF($A12="","",Z12*Y12)</f>
        <v/>
      </c>
      <c r="AA32" s="73" t="n"/>
      <c r="AB32" s="73">
        <f>IF($A12="","",AB12*AA12)</f>
        <v/>
      </c>
      <c r="AC32" s="73" t="n"/>
      <c r="AD32" s="73">
        <f>IF($A12="","",AD12*AC12)</f>
        <v/>
      </c>
      <c r="AE32" s="73" t="n"/>
      <c r="AF32" s="73">
        <f>IF($A12="","",AF12*AE12)</f>
        <v/>
      </c>
      <c r="AG32" s="73" t="n"/>
      <c r="AH32" s="73">
        <f>IF($A12="","",AH12*AG12)</f>
        <v/>
      </c>
      <c r="AI32" s="73" t="n"/>
      <c r="AJ32" s="73">
        <f>IF($A12="","",AJ12*AI12)</f>
        <v/>
      </c>
      <c r="AK32" s="73" t="n"/>
      <c r="AL32" s="73">
        <f>IF($A12="","",AL12*AK12)</f>
        <v/>
      </c>
      <c r="AM32" s="73" t="n"/>
      <c r="AN32" s="73">
        <f>IF($A12="","",AN12*AM12)</f>
        <v/>
      </c>
    </row>
    <row r="33" hidden="1" ht="40.15" customHeight="1">
      <c r="H33" s="73">
        <f>IF($A13="","",H13*G13)</f>
        <v/>
      </c>
      <c r="I33" s="73" t="n"/>
      <c r="J33" s="73">
        <f>IF($A13="","",J13*I13)</f>
        <v/>
      </c>
      <c r="K33" s="73" t="n"/>
      <c r="L33" s="73">
        <f>IF($A13="","",L13*K13)</f>
        <v/>
      </c>
      <c r="M33" s="73" t="n"/>
      <c r="N33" s="73">
        <f>IF($A13="","",N13*M13)</f>
        <v/>
      </c>
      <c r="O33" s="73" t="n"/>
      <c r="P33" s="73">
        <f>IF($A13="","",P13*O13)</f>
        <v/>
      </c>
      <c r="Q33" s="73" t="n"/>
      <c r="R33" s="73">
        <f>IF($A13="","",R13*Q13)</f>
        <v/>
      </c>
      <c r="S33" s="73" t="n"/>
      <c r="T33" s="73">
        <f>IF($A13="","",T13*S13)</f>
        <v/>
      </c>
      <c r="U33" s="73" t="n"/>
      <c r="V33" s="73">
        <f>IF($A13="","",V13*U13)</f>
        <v/>
      </c>
      <c r="W33" s="73" t="n"/>
      <c r="X33" s="73">
        <f>IF($A13="","",X13*W13)</f>
        <v/>
      </c>
      <c r="Y33" s="73" t="n"/>
      <c r="Z33" s="73">
        <f>IF($A13="","",Z13*Y13)</f>
        <v/>
      </c>
      <c r="AA33" s="73" t="n"/>
      <c r="AB33" s="73">
        <f>IF($A13="","",AB13*AA13)</f>
        <v/>
      </c>
      <c r="AC33" s="73" t="n"/>
      <c r="AD33" s="73">
        <f>IF($A13="","",AD13*AC13)</f>
        <v/>
      </c>
      <c r="AE33" s="73" t="n"/>
      <c r="AF33" s="73">
        <f>IF($A13="","",AF13*AE13)</f>
        <v/>
      </c>
      <c r="AG33" s="73" t="n"/>
      <c r="AH33" s="73">
        <f>IF($A13="","",AH13*AG13)</f>
        <v/>
      </c>
      <c r="AI33" s="73" t="n"/>
      <c r="AJ33" s="73">
        <f>IF($A13="","",AJ13*AI13)</f>
        <v/>
      </c>
      <c r="AK33" s="73" t="n"/>
      <c r="AL33" s="73">
        <f>IF($A13="","",AL13*AK13)</f>
        <v/>
      </c>
      <c r="AM33" s="73" t="n"/>
      <c r="AN33" s="73">
        <f>IF($A13="","",AN13*AM13)</f>
        <v/>
      </c>
    </row>
    <row r="34" hidden="1" ht="40.15" customHeight="1">
      <c r="H34" s="73">
        <f>IF($A14="","",H14*G14)</f>
        <v/>
      </c>
      <c r="I34" s="73" t="n"/>
      <c r="J34" s="73">
        <f>IF($A14="","",J14*I14)</f>
        <v/>
      </c>
      <c r="K34" s="73" t="n"/>
      <c r="L34" s="73">
        <f>IF($A14="","",L14*K14)</f>
        <v/>
      </c>
      <c r="M34" s="73" t="n"/>
      <c r="N34" s="73">
        <f>IF($A14="","",N14*M14)</f>
        <v/>
      </c>
      <c r="O34" s="73" t="n"/>
      <c r="P34" s="73">
        <f>IF($A14="","",P14*O14)</f>
        <v/>
      </c>
      <c r="Q34" s="73" t="n"/>
      <c r="R34" s="73">
        <f>IF($A14="","",R14*Q14)</f>
        <v/>
      </c>
      <c r="S34" s="73" t="n"/>
      <c r="T34" s="73">
        <f>IF($A14="","",T14*S14)</f>
        <v/>
      </c>
      <c r="U34" s="73" t="n"/>
      <c r="V34" s="73">
        <f>IF($A14="","",V14*U14)</f>
        <v/>
      </c>
      <c r="W34" s="73" t="n"/>
      <c r="X34" s="73">
        <f>IF($A14="","",X14*W14)</f>
        <v/>
      </c>
      <c r="Y34" s="73" t="n"/>
      <c r="Z34" s="73">
        <f>IF($A14="","",Z14*Y14)</f>
        <v/>
      </c>
      <c r="AA34" s="73" t="n"/>
      <c r="AB34" s="73">
        <f>IF($A14="","",AB14*AA14)</f>
        <v/>
      </c>
      <c r="AC34" s="73" t="n"/>
      <c r="AD34" s="73">
        <f>IF($A14="","",AD14*AC14)</f>
        <v/>
      </c>
      <c r="AE34" s="73" t="n"/>
      <c r="AF34" s="73">
        <f>IF($A14="","",AF14*AE14)</f>
        <v/>
      </c>
      <c r="AG34" s="73" t="n"/>
      <c r="AH34" s="73">
        <f>IF($A14="","",AH14*AG14)</f>
        <v/>
      </c>
      <c r="AI34" s="73" t="n"/>
      <c r="AJ34" s="73">
        <f>IF($A14="","",AJ14*AI14)</f>
        <v/>
      </c>
      <c r="AK34" s="73" t="n"/>
      <c r="AL34" s="73">
        <f>IF($A14="","",AL14*AK14)</f>
        <v/>
      </c>
      <c r="AM34" s="73" t="n"/>
      <c r="AN34" s="73">
        <f>IF($A14="","",AN14*AM14)</f>
        <v/>
      </c>
    </row>
    <row r="35" hidden="1" ht="40.15" customHeight="1">
      <c r="H35" s="73">
        <f>IF($A15="","",H15*G15)</f>
        <v/>
      </c>
      <c r="I35" s="73" t="n"/>
      <c r="J35" s="73">
        <f>IF($A15="","",J15*I15)</f>
        <v/>
      </c>
      <c r="K35" s="73" t="n"/>
      <c r="L35" s="73">
        <f>IF($A15="","",L15*K15)</f>
        <v/>
      </c>
      <c r="M35" s="73" t="n"/>
      <c r="N35" s="73">
        <f>IF($A15="","",N15*M15)</f>
        <v/>
      </c>
      <c r="O35" s="73" t="n"/>
      <c r="P35" s="73">
        <f>IF($A15="","",P15*O15)</f>
        <v/>
      </c>
      <c r="Q35" s="73" t="n"/>
      <c r="R35" s="73">
        <f>IF($A15="","",R15*Q15)</f>
        <v/>
      </c>
      <c r="S35" s="73" t="n"/>
      <c r="T35" s="73">
        <f>IF($A15="","",T15*S15)</f>
        <v/>
      </c>
      <c r="U35" s="73" t="n"/>
      <c r="V35" s="73">
        <f>IF($A15="","",V15*U15)</f>
        <v/>
      </c>
      <c r="W35" s="73" t="n"/>
      <c r="X35" s="73">
        <f>IF($A15="","",X15*W15)</f>
        <v/>
      </c>
      <c r="Y35" s="73" t="n"/>
      <c r="Z35" s="73">
        <f>IF($A15="","",Z15*Y15)</f>
        <v/>
      </c>
      <c r="AA35" s="73" t="n"/>
      <c r="AB35" s="73">
        <f>IF($A15="","",AB15*AA15)</f>
        <v/>
      </c>
      <c r="AC35" s="73" t="n"/>
      <c r="AD35" s="73">
        <f>IF($A15="","",AD15*AC15)</f>
        <v/>
      </c>
      <c r="AE35" s="73" t="n"/>
      <c r="AF35" s="73">
        <f>IF($A15="","",AF15*AE15)</f>
        <v/>
      </c>
      <c r="AG35" s="73" t="n"/>
      <c r="AH35" s="73">
        <f>IF($A15="","",AH15*AG15)</f>
        <v/>
      </c>
      <c r="AI35" s="73" t="n"/>
      <c r="AJ35" s="73">
        <f>IF($A15="","",AJ15*AI15)</f>
        <v/>
      </c>
      <c r="AK35" s="73" t="n"/>
      <c r="AL35" s="73">
        <f>IF($A15="","",AL15*AK15)</f>
        <v/>
      </c>
      <c r="AM35" s="73" t="n"/>
      <c r="AN35" s="73">
        <f>IF($A15="","",AN15*AM15)</f>
        <v/>
      </c>
    </row>
    <row r="36" hidden="1">
      <c r="H36" s="73">
        <f>IF($A16="","",H16*G16)</f>
        <v/>
      </c>
      <c r="I36" s="73" t="n"/>
      <c r="J36" s="73">
        <f>IF($A16="","",J16*I16)</f>
        <v/>
      </c>
      <c r="K36" s="73" t="n"/>
      <c r="L36" s="73">
        <f>IF($A16="","",L16*K16)</f>
        <v/>
      </c>
      <c r="M36" s="73" t="n"/>
      <c r="N36" s="73">
        <f>IF($A16="","",N16*M16)</f>
        <v/>
      </c>
      <c r="O36" s="73" t="n"/>
      <c r="P36" s="73">
        <f>IF($A16="","",P16*O16)</f>
        <v/>
      </c>
      <c r="Q36" s="73" t="n"/>
      <c r="R36" s="73">
        <f>IF($A16="","",R16*Q16)</f>
        <v/>
      </c>
      <c r="S36" s="73" t="n"/>
      <c r="T36" s="73">
        <f>IF($A16="","",T16*S16)</f>
        <v/>
      </c>
      <c r="U36" s="73" t="n"/>
      <c r="V36" s="73">
        <f>IF($A16="","",V16*U16)</f>
        <v/>
      </c>
      <c r="W36" s="73" t="n"/>
      <c r="X36" s="73">
        <f>IF($A16="","",X16*W16)</f>
        <v/>
      </c>
      <c r="Y36" s="73" t="n"/>
      <c r="Z36" s="73">
        <f>IF($A16="","",Z16*Y16)</f>
        <v/>
      </c>
      <c r="AA36" s="73" t="n"/>
      <c r="AB36" s="73">
        <f>IF($A16="","",AB16*AA16)</f>
        <v/>
      </c>
      <c r="AC36" s="73" t="n"/>
      <c r="AD36" s="73">
        <f>IF($A16="","",AD16*AC16)</f>
        <v/>
      </c>
      <c r="AE36" s="73" t="n"/>
      <c r="AF36" s="73">
        <f>IF($A16="","",AF16*AE16)</f>
        <v/>
      </c>
      <c r="AG36" s="73" t="n"/>
      <c r="AH36" s="73">
        <f>IF($A16="","",AH16*AG16)</f>
        <v/>
      </c>
      <c r="AI36" s="73" t="n"/>
      <c r="AJ36" s="73">
        <f>IF($A16="","",AJ16*AI16)</f>
        <v/>
      </c>
      <c r="AK36" s="73" t="n"/>
      <c r="AL36" s="73">
        <f>IF($A16="","",AL16*AK16)</f>
        <v/>
      </c>
      <c r="AM36" s="73" t="n"/>
      <c r="AN36" s="73">
        <f>IF($A16="","",AN16*AM16)</f>
        <v/>
      </c>
    </row>
    <row r="37" hidden="1">
      <c r="H37" s="73">
        <f>IF($A17="","",H17*G17)</f>
        <v/>
      </c>
      <c r="I37" s="73" t="n"/>
      <c r="J37" s="73">
        <f>IF($A17="","",J17*I17)</f>
        <v/>
      </c>
      <c r="K37" s="73" t="n"/>
      <c r="L37" s="73">
        <f>IF($A17="","",L17*K17)</f>
        <v/>
      </c>
      <c r="M37" s="73" t="n"/>
      <c r="N37" s="73">
        <f>IF($A17="","",N17*M17)</f>
        <v/>
      </c>
      <c r="O37" s="73" t="n"/>
      <c r="P37" s="73">
        <f>IF($A17="","",P17*O17)</f>
        <v/>
      </c>
      <c r="Q37" s="73" t="n"/>
      <c r="R37" s="73">
        <f>IF($A17="","",R17*Q17)</f>
        <v/>
      </c>
      <c r="S37" s="73" t="n"/>
      <c r="T37" s="73">
        <f>IF($A17="","",T17*S17)</f>
        <v/>
      </c>
      <c r="U37" s="73" t="n"/>
      <c r="V37" s="73">
        <f>IF($A17="","",V17*U17)</f>
        <v/>
      </c>
      <c r="W37" s="73" t="n"/>
      <c r="X37" s="73">
        <f>IF($A17="","",X17*W17)</f>
        <v/>
      </c>
      <c r="Y37" s="73" t="n"/>
      <c r="Z37" s="73">
        <f>IF($A17="","",Z17*Y17)</f>
        <v/>
      </c>
      <c r="AA37" s="73" t="n"/>
      <c r="AB37" s="73">
        <f>IF($A17="","",AB17*AA17)</f>
        <v/>
      </c>
      <c r="AC37" s="73" t="n"/>
      <c r="AD37" s="73">
        <f>IF($A17="","",AD17*AC17)</f>
        <v/>
      </c>
      <c r="AE37" s="73" t="n"/>
      <c r="AF37" s="73">
        <f>IF($A17="","",AF17*AE17)</f>
        <v/>
      </c>
      <c r="AG37" s="73" t="n"/>
      <c r="AH37" s="73">
        <f>IF($A17="","",AH17*AG17)</f>
        <v/>
      </c>
      <c r="AI37" s="73" t="n"/>
      <c r="AJ37" s="73">
        <f>IF($A17="","",AJ17*AI17)</f>
        <v/>
      </c>
      <c r="AK37" s="73" t="n"/>
      <c r="AL37" s="73">
        <f>IF($A17="","",AL17*AK17)</f>
        <v/>
      </c>
      <c r="AM37" s="73" t="n"/>
      <c r="AN37" s="73">
        <f>IF($A17="","",AN17*AM17)</f>
        <v/>
      </c>
    </row>
    <row r="38" hidden="1">
      <c r="H38" s="73">
        <f>IF($A18="","",H18*G18)</f>
        <v/>
      </c>
      <c r="I38" s="73" t="n"/>
      <c r="J38" s="73">
        <f>IF($A18="","",J18*I18)</f>
        <v/>
      </c>
      <c r="K38" s="73" t="n"/>
      <c r="L38" s="73">
        <f>IF($A18="","",L18*K18)</f>
        <v/>
      </c>
      <c r="M38" s="73" t="n"/>
      <c r="N38" s="73">
        <f>IF($A18="","",N18*M18)</f>
        <v/>
      </c>
      <c r="O38" s="73" t="n"/>
      <c r="P38" s="73">
        <f>IF($A18="","",P18*O18)</f>
        <v/>
      </c>
      <c r="Q38" s="73" t="n"/>
      <c r="R38" s="73">
        <f>IF($A18="","",R18*Q18)</f>
        <v/>
      </c>
      <c r="S38" s="73" t="n"/>
      <c r="T38" s="73">
        <f>IF($A18="","",T18*S18)</f>
        <v/>
      </c>
      <c r="U38" s="73" t="n"/>
      <c r="V38" s="73">
        <f>IF($A18="","",V18*U18)</f>
        <v/>
      </c>
      <c r="W38" s="73" t="n"/>
      <c r="X38" s="73">
        <f>IF($A18="","",X18*W18)</f>
        <v/>
      </c>
      <c r="Y38" s="73" t="n"/>
      <c r="Z38" s="73">
        <f>IF($A18="","",Z18*Y18)</f>
        <v/>
      </c>
      <c r="AA38" s="73" t="n"/>
      <c r="AB38" s="73">
        <f>IF($A18="","",AB18*AA18)</f>
        <v/>
      </c>
      <c r="AC38" s="73" t="n"/>
      <c r="AD38" s="73">
        <f>IF($A18="","",AD18*AC18)</f>
        <v/>
      </c>
      <c r="AE38" s="73" t="n"/>
      <c r="AF38" s="73">
        <f>IF($A18="","",AF18*AE18)</f>
        <v/>
      </c>
      <c r="AG38" s="73" t="n"/>
      <c r="AH38" s="73">
        <f>IF($A18="","",AH18*AG18)</f>
        <v/>
      </c>
      <c r="AI38" s="73" t="n"/>
      <c r="AJ38" s="73">
        <f>IF($A18="","",AJ18*AI18)</f>
        <v/>
      </c>
      <c r="AK38" s="73" t="n"/>
      <c r="AL38" s="73">
        <f>IF($A18="","",AL18*AK18)</f>
        <v/>
      </c>
      <c r="AM38" s="73" t="n"/>
      <c r="AN38" s="73">
        <f>IF($A18="","",AN18*AM18)</f>
        <v/>
      </c>
    </row>
    <row r="39" hidden="1">
      <c r="H39" s="73">
        <f>IF($A19="","",H19*G19)</f>
        <v/>
      </c>
      <c r="I39" s="73" t="n"/>
      <c r="J39" s="73">
        <f>IF($A19="","",J19*I19)</f>
        <v/>
      </c>
      <c r="K39" s="73" t="n"/>
      <c r="L39" s="73">
        <f>IF($A19="","",L19*K19)</f>
        <v/>
      </c>
      <c r="M39" s="73" t="n"/>
      <c r="N39" s="73">
        <f>IF($A19="","",N19*M19)</f>
        <v/>
      </c>
      <c r="O39" s="73" t="n"/>
      <c r="P39" s="73">
        <f>IF($A19="","",P19*O19)</f>
        <v/>
      </c>
      <c r="Q39" s="73" t="n"/>
      <c r="R39" s="73">
        <f>IF($A19="","",R19*Q19)</f>
        <v/>
      </c>
      <c r="S39" s="73" t="n"/>
      <c r="T39" s="73">
        <f>IF($A19="","",T19*S19)</f>
        <v/>
      </c>
      <c r="U39" s="73" t="n"/>
      <c r="V39" s="73">
        <f>IF($A19="","",V19*U19)</f>
        <v/>
      </c>
      <c r="W39" s="73" t="n"/>
      <c r="X39" s="73">
        <f>IF($A19="","",X19*W19)</f>
        <v/>
      </c>
      <c r="Y39" s="73" t="n"/>
      <c r="Z39" s="73">
        <f>IF($A19="","",Z19*Y19)</f>
        <v/>
      </c>
      <c r="AA39" s="73" t="n"/>
      <c r="AB39" s="73">
        <f>IF($A19="","",AB19*AA19)</f>
        <v/>
      </c>
      <c r="AC39" s="73" t="n"/>
      <c r="AD39" s="73">
        <f>IF($A19="","",AD19*AC19)</f>
        <v/>
      </c>
      <c r="AE39" s="73" t="n"/>
      <c r="AF39" s="73">
        <f>IF($A19="","",AF19*AE19)</f>
        <v/>
      </c>
      <c r="AG39" s="73" t="n"/>
      <c r="AH39" s="73">
        <f>IF($A19="","",AH19*AG19)</f>
        <v/>
      </c>
      <c r="AI39" s="73" t="n"/>
      <c r="AJ39" s="73">
        <f>IF($A19="","",AJ19*AI19)</f>
        <v/>
      </c>
      <c r="AK39" s="73" t="n"/>
      <c r="AL39" s="73">
        <f>IF($A19="","",AL19*AK19)</f>
        <v/>
      </c>
      <c r="AM39" s="73" t="n"/>
      <c r="AN39" s="73">
        <f>IF($A19="","",AN19*AM19)</f>
        <v/>
      </c>
    </row>
    <row r="40" hidden="1">
      <c r="H40" s="73">
        <f>IF($A20="","",H20*G20)</f>
        <v/>
      </c>
      <c r="I40" s="73" t="n"/>
      <c r="J40" s="73">
        <f>IF($A20="","",J20*I20)</f>
        <v/>
      </c>
      <c r="K40" s="73" t="n"/>
      <c r="L40" s="73">
        <f>IF($A20="","",L20*K20)</f>
        <v/>
      </c>
      <c r="M40" s="73" t="n"/>
      <c r="N40" s="73">
        <f>IF($A20="","",N20*M20)</f>
        <v/>
      </c>
      <c r="O40" s="73" t="n"/>
      <c r="P40" s="73">
        <f>IF($A20="","",P20*O20)</f>
        <v/>
      </c>
      <c r="Q40" s="73" t="n"/>
      <c r="R40" s="73">
        <f>IF($A20="","",R20*Q20)</f>
        <v/>
      </c>
      <c r="S40" s="73" t="n"/>
      <c r="T40" s="73">
        <f>IF($A20="","",T20*S20)</f>
        <v/>
      </c>
      <c r="U40" s="73" t="n"/>
      <c r="V40" s="73">
        <f>IF($A20="","",V20*U20)</f>
        <v/>
      </c>
      <c r="W40" s="73" t="n"/>
      <c r="X40" s="73">
        <f>IF($A20="","",X20*W20)</f>
        <v/>
      </c>
      <c r="Y40" s="73" t="n"/>
      <c r="Z40" s="73">
        <f>IF($A20="","",Z20*Y20)</f>
        <v/>
      </c>
      <c r="AA40" s="73" t="n"/>
      <c r="AB40" s="73">
        <f>IF($A20="","",AB20*AA20)</f>
        <v/>
      </c>
      <c r="AC40" s="73" t="n"/>
      <c r="AD40" s="73">
        <f>IF($A20="","",AD20*AC20)</f>
        <v/>
      </c>
      <c r="AE40" s="73" t="n"/>
      <c r="AF40" s="73">
        <f>IF($A20="","",AF20*AE20)</f>
        <v/>
      </c>
      <c r="AG40" s="73" t="n"/>
      <c r="AH40" s="73">
        <f>IF($A20="","",AH20*AG20)</f>
        <v/>
      </c>
      <c r="AI40" s="73" t="n"/>
      <c r="AJ40" s="73">
        <f>IF($A20="","",AJ20*AI20)</f>
        <v/>
      </c>
      <c r="AK40" s="73" t="n"/>
      <c r="AL40" s="73">
        <f>IF($A20="","",AL20*AK20)</f>
        <v/>
      </c>
      <c r="AM40" s="73" t="n"/>
      <c r="AN40" s="73">
        <f>IF($A20="","",AN20*AM20)</f>
        <v/>
      </c>
    </row>
    <row r="41" hidden="1">
      <c r="H41" s="73">
        <f>IF($A21="","",H21*G21)</f>
        <v/>
      </c>
      <c r="I41" s="73" t="n"/>
      <c r="J41" s="73">
        <f>IF($A21="","",J21*I21)</f>
        <v/>
      </c>
      <c r="K41" s="73" t="n"/>
      <c r="L41" s="73">
        <f>IF($A21="","",L21*K21)</f>
        <v/>
      </c>
      <c r="M41" s="73" t="n"/>
      <c r="N41" s="73">
        <f>IF($A21="","",N21*M21)</f>
        <v/>
      </c>
      <c r="O41" s="73" t="n"/>
      <c r="P41" s="73">
        <f>IF($A21="","",P21*O21)</f>
        <v/>
      </c>
      <c r="Q41" s="73" t="n"/>
      <c r="R41" s="73">
        <f>IF($A21="","",R21*Q21)</f>
        <v/>
      </c>
      <c r="S41" s="73" t="n"/>
      <c r="T41" s="73">
        <f>IF($A21="","",T21*S21)</f>
        <v/>
      </c>
      <c r="U41" s="73" t="n"/>
      <c r="V41" s="73">
        <f>IF($A21="","",V21*U21)</f>
        <v/>
      </c>
      <c r="W41" s="73" t="n"/>
      <c r="X41" s="73">
        <f>IF($A21="","",X21*W21)</f>
        <v/>
      </c>
      <c r="Y41" s="73" t="n"/>
      <c r="Z41" s="73">
        <f>IF($A21="","",Z21*Y21)</f>
        <v/>
      </c>
      <c r="AA41" s="73" t="n"/>
      <c r="AB41" s="73">
        <f>IF($A21="","",AB21*AA21)</f>
        <v/>
      </c>
      <c r="AC41" s="73" t="n"/>
      <c r="AD41" s="73">
        <f>IF($A21="","",AD21*AC21)</f>
        <v/>
      </c>
      <c r="AE41" s="73" t="n"/>
      <c r="AF41" s="73">
        <f>IF($A21="","",AF21*AE21)</f>
        <v/>
      </c>
      <c r="AG41" s="73" t="n"/>
      <c r="AH41" s="73">
        <f>IF($A21="","",AH21*AG21)</f>
        <v/>
      </c>
      <c r="AI41" s="73" t="n"/>
      <c r="AJ41" s="73">
        <f>IF($A21="","",AJ21*AI21)</f>
        <v/>
      </c>
      <c r="AK41" s="73" t="n"/>
      <c r="AL41" s="73">
        <f>IF($A21="","",AL21*AK21)</f>
        <v/>
      </c>
      <c r="AM41" s="73" t="n"/>
      <c r="AN41" s="73">
        <f>IF($A21="","",AN21*AM21)</f>
        <v/>
      </c>
    </row>
    <row r="42" hidden="1">
      <c r="H42" s="73">
        <f>IF($A22="","",H22*G22)</f>
        <v/>
      </c>
      <c r="I42" s="73" t="n"/>
      <c r="J42" s="73">
        <f>IF($A22="","",J22*I22)</f>
        <v/>
      </c>
      <c r="K42" s="73" t="n"/>
      <c r="L42" s="73">
        <f>IF($A22="","",L22*K22)</f>
        <v/>
      </c>
      <c r="M42" s="73" t="n"/>
      <c r="N42" s="73">
        <f>IF($A22="","",N22*M22)</f>
        <v/>
      </c>
      <c r="O42" s="73" t="n"/>
      <c r="P42" s="73">
        <f>IF($A22="","",P22*O22)</f>
        <v/>
      </c>
      <c r="Q42" s="73" t="n"/>
      <c r="R42" s="73">
        <f>IF($A22="","",R22*Q22)</f>
        <v/>
      </c>
      <c r="S42" s="73" t="n"/>
      <c r="T42" s="73">
        <f>IF($A22="","",T22*S22)</f>
        <v/>
      </c>
      <c r="U42" s="73" t="n"/>
      <c r="V42" s="73">
        <f>IF($A22="","",V22*U22)</f>
        <v/>
      </c>
      <c r="W42" s="73" t="n"/>
      <c r="X42" s="73">
        <f>IF($A22="","",X22*W22)</f>
        <v/>
      </c>
      <c r="Y42" s="73" t="n"/>
      <c r="Z42" s="73">
        <f>IF($A22="","",Z22*Y22)</f>
        <v/>
      </c>
      <c r="AA42" s="73" t="n"/>
      <c r="AB42" s="73">
        <f>IF($A22="","",AB22*AA22)</f>
        <v/>
      </c>
      <c r="AC42" s="73" t="n"/>
      <c r="AD42" s="73">
        <f>IF($A22="","",AD22*AC22)</f>
        <v/>
      </c>
      <c r="AE42" s="73" t="n"/>
      <c r="AF42" s="73">
        <f>IF($A22="","",AF22*AE22)</f>
        <v/>
      </c>
      <c r="AG42" s="73" t="n"/>
      <c r="AH42" s="73">
        <f>IF($A22="","",AH22*AG22)</f>
        <v/>
      </c>
      <c r="AI42" s="73" t="n"/>
      <c r="AJ42" s="73">
        <f>IF($A22="","",AJ22*AI22)</f>
        <v/>
      </c>
      <c r="AK42" s="73" t="n"/>
      <c r="AL42" s="73">
        <f>IF($A22="","",AL22*AK22)</f>
        <v/>
      </c>
      <c r="AM42" s="73" t="n"/>
      <c r="AN42" s="73">
        <f>IF($A22="","",AN22*AM22)</f>
        <v/>
      </c>
    </row>
    <row r="43" hidden="1">
      <c r="H43" s="73">
        <f>IF($A23="","",H23*G23)</f>
        <v/>
      </c>
      <c r="I43" s="73" t="n"/>
      <c r="J43" s="73">
        <f>IF($A23="","",J23*I23)</f>
        <v/>
      </c>
      <c r="K43" s="73" t="n"/>
      <c r="L43" s="73">
        <f>IF($A23="","",L23*K23)</f>
        <v/>
      </c>
      <c r="M43" s="73" t="n"/>
      <c r="N43" s="73">
        <f>IF($A23="","",N23*M23)</f>
        <v/>
      </c>
      <c r="O43" s="73" t="n"/>
      <c r="P43" s="73">
        <f>IF($A23="","",P23*O23)</f>
        <v/>
      </c>
      <c r="Q43" s="73" t="n"/>
      <c r="R43" s="73">
        <f>IF($A23="","",R23*Q23)</f>
        <v/>
      </c>
      <c r="S43" s="73" t="n"/>
      <c r="T43" s="73">
        <f>IF($A23="","",T23*S23)</f>
        <v/>
      </c>
      <c r="U43" s="73" t="n"/>
      <c r="V43" s="73">
        <f>IF($A23="","",V23*U23)</f>
        <v/>
      </c>
      <c r="W43" s="73" t="n"/>
      <c r="X43" s="73">
        <f>IF($A23="","",X23*W23)</f>
        <v/>
      </c>
      <c r="Y43" s="73" t="n"/>
      <c r="Z43" s="73">
        <f>IF($A23="","",Z23*Y23)</f>
        <v/>
      </c>
      <c r="AA43" s="73" t="n"/>
      <c r="AB43" s="73">
        <f>IF($A23="","",AB23*AA23)</f>
        <v/>
      </c>
      <c r="AC43" s="73" t="n"/>
      <c r="AD43" s="73">
        <f>IF($A23="","",AD23*AC23)</f>
        <v/>
      </c>
      <c r="AE43" s="73" t="n"/>
      <c r="AF43" s="73">
        <f>IF($A23="","",AF23*AE23)</f>
        <v/>
      </c>
      <c r="AG43" s="73" t="n"/>
      <c r="AH43" s="73">
        <f>IF($A23="","",AH23*AG23)</f>
        <v/>
      </c>
      <c r="AI43" s="73" t="n"/>
      <c r="AJ43" s="73">
        <f>IF($A23="","",AJ23*AI23)</f>
        <v/>
      </c>
      <c r="AK43" s="73" t="n"/>
      <c r="AL43" s="73">
        <f>IF($A23="","",AL23*AK23)</f>
        <v/>
      </c>
      <c r="AM43" s="73" t="n"/>
      <c r="AN43" s="73">
        <f>IF($A23="","",AN23*AM23)</f>
        <v/>
      </c>
    </row>
    <row r="44" hidden="1">
      <c r="H44" s="73">
        <f>IF($A24="","",H24*G24)</f>
        <v/>
      </c>
      <c r="I44" s="73" t="n"/>
      <c r="J44" s="73">
        <f>IF($A24="","",J24*I24)</f>
        <v/>
      </c>
      <c r="K44" s="73" t="n"/>
      <c r="L44" s="73">
        <f>IF($A24="","",L24*K24)</f>
        <v/>
      </c>
      <c r="M44" s="73" t="n"/>
      <c r="N44" s="73">
        <f>IF($A24="","",N24*M24)</f>
        <v/>
      </c>
      <c r="O44" s="73" t="n"/>
      <c r="P44" s="73">
        <f>IF($A24="","",P24*O24)</f>
        <v/>
      </c>
      <c r="Q44" s="73" t="n"/>
      <c r="R44" s="73">
        <f>IF($A24="","",R24*Q24)</f>
        <v/>
      </c>
      <c r="S44" s="73" t="n"/>
      <c r="T44" s="73">
        <f>IF($A24="","",T24*S24)</f>
        <v/>
      </c>
      <c r="U44" s="73" t="n"/>
      <c r="V44" s="73">
        <f>IF($A24="","",V24*U24)</f>
        <v/>
      </c>
      <c r="W44" s="73" t="n"/>
      <c r="X44" s="73">
        <f>IF($A24="","",X24*W24)</f>
        <v/>
      </c>
      <c r="Y44" s="73" t="n"/>
      <c r="Z44" s="73">
        <f>IF($A24="","",Z24*Y24)</f>
        <v/>
      </c>
      <c r="AA44" s="73" t="n"/>
      <c r="AB44" s="73">
        <f>IF($A24="","",AB24*AA24)</f>
        <v/>
      </c>
      <c r="AC44" s="73" t="n"/>
      <c r="AD44" s="73">
        <f>IF($A24="","",AD24*AC24)</f>
        <v/>
      </c>
      <c r="AE44" s="73" t="n"/>
      <c r="AF44" s="73">
        <f>IF($A24="","",AF24*AE24)</f>
        <v/>
      </c>
      <c r="AG44" s="73" t="n"/>
      <c r="AH44" s="73">
        <f>IF($A24="","",AH24*AG24)</f>
        <v/>
      </c>
      <c r="AI44" s="73" t="n"/>
      <c r="AJ44" s="73">
        <f>IF($A24="","",AJ24*AI24)</f>
        <v/>
      </c>
      <c r="AK44" s="73" t="n"/>
      <c r="AL44" s="73">
        <f>IF($A24="","",AL24*AK24)</f>
        <v/>
      </c>
      <c r="AM44" s="73" t="n"/>
      <c r="AN44" s="73">
        <f>IF($A24="","",AN24*AM24)</f>
        <v/>
      </c>
    </row>
    <row r="45" hidden="1">
      <c r="H45" s="73">
        <f>IF($A25="","",H25*G25)</f>
        <v/>
      </c>
      <c r="I45" s="73" t="n"/>
      <c r="J45" s="73">
        <f>IF($A25="","",J25*I25)</f>
        <v/>
      </c>
      <c r="K45" s="73" t="n"/>
      <c r="L45" s="73">
        <f>IF($A25="","",L25*K25)</f>
        <v/>
      </c>
      <c r="M45" s="73" t="n"/>
      <c r="N45" s="73">
        <f>IF($A25="","",N25*M25)</f>
        <v/>
      </c>
      <c r="O45" s="73" t="n"/>
      <c r="P45" s="73">
        <f>IF($A25="","",P25*O25)</f>
        <v/>
      </c>
      <c r="Q45" s="73" t="n"/>
      <c r="R45" s="73">
        <f>IF($A25="","",R25*Q25)</f>
        <v/>
      </c>
      <c r="S45" s="73" t="n"/>
      <c r="T45" s="73">
        <f>IF($A25="","",T25*S25)</f>
        <v/>
      </c>
      <c r="U45" s="73" t="n"/>
      <c r="V45" s="73">
        <f>IF($A25="","",V25*U25)</f>
        <v/>
      </c>
      <c r="W45" s="73" t="n"/>
      <c r="X45" s="73">
        <f>IF($A25="","",X25*W25)</f>
        <v/>
      </c>
      <c r="Y45" s="73" t="n"/>
      <c r="Z45" s="73">
        <f>IF($A25="","",Z25*Y25)</f>
        <v/>
      </c>
      <c r="AA45" s="73" t="n"/>
      <c r="AB45" s="73">
        <f>IF($A25="","",AB25*AA25)</f>
        <v/>
      </c>
      <c r="AC45" s="73" t="n"/>
      <c r="AD45" s="73">
        <f>IF($A25="","",AD25*AC25)</f>
        <v/>
      </c>
      <c r="AE45" s="73" t="n"/>
      <c r="AF45" s="73">
        <f>IF($A25="","",AF25*AE25)</f>
        <v/>
      </c>
      <c r="AG45" s="73" t="n"/>
      <c r="AH45" s="73">
        <f>IF($A25="","",AH25*AG25)</f>
        <v/>
      </c>
      <c r="AI45" s="73" t="n"/>
      <c r="AJ45" s="73">
        <f>IF($A25="","",AJ25*AI25)</f>
        <v/>
      </c>
      <c r="AK45" s="73" t="n"/>
      <c r="AL45" s="73">
        <f>IF($A25="","",AL25*AK25)</f>
        <v/>
      </c>
      <c r="AM45" s="73" t="n"/>
      <c r="AN45" s="73">
        <f>IF($A25="","",AN25*AM25)</f>
        <v/>
      </c>
    </row>
    <row r="46" hidden="1">
      <c r="H46" s="73">
        <f>IF($A26="","",H26*G26)</f>
        <v/>
      </c>
      <c r="I46" s="73" t="n"/>
      <c r="J46" s="73">
        <f>IF($A26="","",J26*I26)</f>
        <v/>
      </c>
      <c r="K46" s="73" t="n"/>
      <c r="L46" s="73">
        <f>IF($A26="","",L26*K26)</f>
        <v/>
      </c>
      <c r="M46" s="73" t="n"/>
      <c r="N46" s="73">
        <f>IF($A26="","",N26*M26)</f>
        <v/>
      </c>
      <c r="O46" s="73" t="n"/>
      <c r="P46" s="73">
        <f>IF($A26="","",P26*O26)</f>
        <v/>
      </c>
      <c r="Q46" s="73" t="n"/>
      <c r="R46" s="73">
        <f>IF($A26="","",R26*Q26)</f>
        <v/>
      </c>
      <c r="S46" s="73" t="n"/>
      <c r="T46" s="73">
        <f>IF($A26="","",T26*S26)</f>
        <v/>
      </c>
      <c r="U46" s="73" t="n"/>
      <c r="V46" s="73">
        <f>IF($A26="","",V26*U26)</f>
        <v/>
      </c>
      <c r="W46" s="73" t="n"/>
      <c r="X46" s="73">
        <f>IF($A26="","",X26*W26)</f>
        <v/>
      </c>
      <c r="Y46" s="73" t="n"/>
      <c r="Z46" s="73">
        <f>IF($A26="","",Z26*Y26)</f>
        <v/>
      </c>
      <c r="AA46" s="73" t="n"/>
      <c r="AB46" s="73">
        <f>IF($A26="","",AB26*AA26)</f>
        <v/>
      </c>
      <c r="AC46" s="73" t="n"/>
      <c r="AD46" s="73">
        <f>IF($A26="","",AD26*AC26)</f>
        <v/>
      </c>
      <c r="AE46" s="73" t="n"/>
      <c r="AF46" s="73">
        <f>IF($A26="","",AF26*AE26)</f>
        <v/>
      </c>
      <c r="AG46" s="73" t="n"/>
      <c r="AH46" s="73">
        <f>IF($A26="","",AH26*AG26)</f>
        <v/>
      </c>
      <c r="AI46" s="73" t="n"/>
      <c r="AJ46" s="73">
        <f>IF($A26="","",AJ26*AI26)</f>
        <v/>
      </c>
      <c r="AK46" s="73" t="n"/>
      <c r="AL46" s="73">
        <f>IF($A26="","",AL26*AK26)</f>
        <v/>
      </c>
      <c r="AM46" s="73" t="n"/>
      <c r="AN46" s="73">
        <f>IF($A26="","",AN26*AM26)</f>
        <v/>
      </c>
    </row>
    <row r="47" hidden="1">
      <c r="H47" s="73">
        <f>IF($A27="","",H27*G27)</f>
        <v/>
      </c>
      <c r="I47" s="73" t="n"/>
      <c r="J47" s="73">
        <f>IF($A27="","",J27*I27)</f>
        <v/>
      </c>
      <c r="K47" s="73" t="n"/>
      <c r="L47" s="73">
        <f>IF($A27="","",L27*K27)</f>
        <v/>
      </c>
      <c r="M47" s="73" t="n"/>
      <c r="N47" s="73">
        <f>IF($A27="","",N27*M27)</f>
        <v/>
      </c>
      <c r="O47" s="73" t="n"/>
      <c r="P47" s="73">
        <f>IF($A27="","",P27*O27)</f>
        <v/>
      </c>
      <c r="Q47" s="73" t="n"/>
      <c r="R47" s="73">
        <f>IF($A27="","",R27*Q27)</f>
        <v/>
      </c>
      <c r="S47" s="73" t="n"/>
      <c r="T47" s="73">
        <f>IF($A27="","",T27*S27)</f>
        <v/>
      </c>
      <c r="U47" s="73" t="n"/>
      <c r="V47" s="73">
        <f>IF($A27="","",V27*U27)</f>
        <v/>
      </c>
      <c r="W47" s="73" t="n"/>
      <c r="X47" s="73">
        <f>IF($A27="","",X27*W27)</f>
        <v/>
      </c>
      <c r="Y47" s="73" t="n"/>
      <c r="Z47" s="73">
        <f>IF($A27="","",Z27*Y27)</f>
        <v/>
      </c>
      <c r="AA47" s="73" t="n"/>
      <c r="AB47" s="73">
        <f>IF($A27="","",AB27*AA27)</f>
        <v/>
      </c>
      <c r="AC47" s="73" t="n"/>
      <c r="AD47" s="73">
        <f>IF($A27="","",AD27*AC27)</f>
        <v/>
      </c>
      <c r="AE47" s="73" t="n"/>
      <c r="AF47" s="73">
        <f>IF($A27="","",AF27*AE27)</f>
        <v/>
      </c>
      <c r="AG47" s="73" t="n"/>
      <c r="AH47" s="73">
        <f>IF($A27="","",AH27*AG27)</f>
        <v/>
      </c>
      <c r="AI47" s="73" t="n"/>
      <c r="AJ47" s="73">
        <f>IF($A27="","",AJ27*AI27)</f>
        <v/>
      </c>
      <c r="AK47" s="73" t="n"/>
      <c r="AL47" s="73">
        <f>IF($A27="","",AL27*AK27)</f>
        <v/>
      </c>
      <c r="AM47" s="73" t="n"/>
      <c r="AN47" s="73">
        <f>IF($A27="","",AN27*AM27)</f>
        <v/>
      </c>
    </row>
    <row r="48" hidden="1">
      <c r="H48" s="73">
        <f>IF($A28="","",H28*G28)</f>
        <v/>
      </c>
      <c r="I48" s="73" t="n"/>
      <c r="J48" s="73">
        <f>IF($A28="","",J28*I28)</f>
        <v/>
      </c>
      <c r="K48" s="73" t="n"/>
      <c r="L48" s="73">
        <f>IF($A28="","",L28*K28)</f>
        <v/>
      </c>
      <c r="M48" s="73" t="n"/>
      <c r="N48" s="73">
        <f>IF($A28="","",N28*M28)</f>
        <v/>
      </c>
      <c r="O48" s="73" t="n"/>
      <c r="P48" s="73">
        <f>IF($A28="","",P28*O28)</f>
        <v/>
      </c>
      <c r="Q48" s="73" t="n"/>
      <c r="R48" s="73">
        <f>IF($A28="","",R28*Q28)</f>
        <v/>
      </c>
      <c r="S48" s="73" t="n"/>
      <c r="T48" s="73">
        <f>IF($A28="","",T28*S28)</f>
        <v/>
      </c>
      <c r="U48" s="73" t="n"/>
      <c r="V48" s="73">
        <f>IF($A28="","",V28*U28)</f>
        <v/>
      </c>
      <c r="W48" s="73" t="n"/>
      <c r="X48" s="73">
        <f>IF($A28="","",X28*W28)</f>
        <v/>
      </c>
      <c r="Y48" s="73" t="n"/>
      <c r="Z48" s="73">
        <f>IF($A28="","",Z28*Y28)</f>
        <v/>
      </c>
      <c r="AA48" s="73" t="n"/>
      <c r="AB48" s="73">
        <f>IF($A28="","",AB28*AA28)</f>
        <v/>
      </c>
      <c r="AC48" s="73" t="n"/>
      <c r="AD48" s="73">
        <f>IF($A28="","",AD28*AC28)</f>
        <v/>
      </c>
      <c r="AE48" s="73" t="n"/>
      <c r="AF48" s="73">
        <f>IF($A28="","",AF28*AE28)</f>
        <v/>
      </c>
      <c r="AG48" s="73" t="n"/>
      <c r="AH48" s="73">
        <f>IF($A28="","",AH28*AG28)</f>
        <v/>
      </c>
      <c r="AI48" s="73" t="n"/>
      <c r="AJ48" s="73">
        <f>IF($A28="","",AJ28*AI28)</f>
        <v/>
      </c>
      <c r="AK48" s="73" t="n"/>
      <c r="AL48" s="73">
        <f>IF($A28="","",AL28*AK28)</f>
        <v/>
      </c>
      <c r="AM48" s="73" t="n"/>
      <c r="AN48" s="73">
        <f>IF($A28="","",AN28*AM28)</f>
        <v/>
      </c>
    </row>
    <row r="49" hidden="1">
      <c r="H49" s="74">
        <f>SUMIF(H31:H48,"&gt;0")</f>
        <v/>
      </c>
      <c r="J49" s="74">
        <f>SUMIF(J31:J48,"&gt;0")</f>
        <v/>
      </c>
      <c r="K49" s="74" t="n"/>
      <c r="L49" s="74">
        <f>SUMIF(L31:L48,"&gt;0")</f>
        <v/>
      </c>
      <c r="M49" s="74" t="n"/>
      <c r="N49" s="74">
        <f>SUMIF(N31:N48,"&gt;0")</f>
        <v/>
      </c>
      <c r="O49" s="74" t="n"/>
      <c r="P49" s="74">
        <f>SUMIF(P31:P48,"&gt;0")</f>
        <v/>
      </c>
      <c r="R49" s="74">
        <f>SUMIF(R31:R48,"&gt;0")</f>
        <v/>
      </c>
      <c r="S49" s="74" t="n"/>
      <c r="T49" s="74">
        <f>SUMIF(T31:T48,"&gt;0")</f>
        <v/>
      </c>
      <c r="U49" s="74" t="n"/>
      <c r="V49" s="74">
        <f>SUMIF(V31:V48,"&gt;0")</f>
        <v/>
      </c>
      <c r="W49" s="74" t="n"/>
      <c r="X49" s="74">
        <f>SUMIF(X31:X48,"&gt;0")</f>
        <v/>
      </c>
      <c r="Z49" s="74">
        <f>SUMIF(Z31:Z48,"&gt;0")</f>
        <v/>
      </c>
      <c r="AA49" s="74" t="n"/>
      <c r="AB49" s="74">
        <f>SUMIF(AB31:AB48,"&gt;0")</f>
        <v/>
      </c>
      <c r="AC49" s="74" t="n"/>
      <c r="AD49" s="74">
        <f>SUMIF(AD31:AD48,"&gt;0")</f>
        <v/>
      </c>
      <c r="AE49" s="74" t="n"/>
      <c r="AF49" s="74">
        <f>SUMIF(AF31:AF48,"&gt;0")</f>
        <v/>
      </c>
      <c r="AG49" s="74" t="n"/>
      <c r="AH49" s="74">
        <f>SUMIF(AH31:AH48,"&gt;0")</f>
        <v/>
      </c>
      <c r="AI49" s="74" t="n"/>
      <c r="AJ49" s="74">
        <f>SUMIF(AJ31:AJ48,"&gt;0")</f>
        <v/>
      </c>
      <c r="AK49" s="74" t="n"/>
      <c r="AL49" s="74">
        <f>SUMIF(AL31:AL48,"&gt;0")</f>
        <v/>
      </c>
      <c r="AM49" s="74" t="n"/>
      <c r="AN49" s="74">
        <f>SUMIF(AN31:AN48,"&gt;0")</f>
        <v/>
      </c>
    </row>
    <row r="52">
      <c r="A52" s="75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</row>
    <row r="53">
      <c r="A53" s="77" t="inlineStr">
        <is>
          <t>#</t>
        </is>
      </c>
      <c r="B53" s="77" t="inlineStr">
        <is>
          <t>โปรไฟล์</t>
        </is>
      </c>
      <c r="C53" s="77" t="inlineStr">
        <is>
          <t>รหัส</t>
        </is>
      </c>
      <c r="D53" s="77" t="inlineStr">
        <is>
          <t>สูตรตัด (เดิม)</t>
        </is>
      </c>
      <c r="E53" s="77" t="inlineStr">
        <is>
          <t>หัก1</t>
        </is>
      </c>
      <c r="F53" s="77" t="inlineStr">
        <is>
          <t>หัก2</t>
        </is>
      </c>
      <c r="G53" s="77" t="inlineStr">
        <is>
          <t>หัก3</t>
        </is>
      </c>
      <c r="H53" s="77" t="inlineStr">
        <is>
          <t>หัก4</t>
        </is>
      </c>
      <c r="I53" s="77" t="inlineStr">
        <is>
          <t>หัก5</t>
        </is>
      </c>
      <c r="J53" s="77" t="inlineStr">
        <is>
          <t>หัก6</t>
        </is>
      </c>
      <c r="K53" s="77" t="inlineStr">
        <is>
          <t>หัก7</t>
        </is>
      </c>
      <c r="L53" s="77" t="inlineStr">
        <is>
          <t>จำนวน/ชุด</t>
        </is>
      </c>
      <c r="M53" s="122" t="n"/>
    </row>
    <row r="54" ht="44" customHeight="1">
      <c r="A54" s="78" t="n">
        <v>1</v>
      </c>
      <c r="B54" s="79" t="inlineStr">
        <is>
          <t>เฟรมข้าง</t>
        </is>
      </c>
      <c r="C54" s="80" t="inlineStr">
        <is>
          <t>F7978</t>
        </is>
      </c>
      <c r="D54" s="81" t="inlineStr">
        <is>
          <t>สูง</t>
        </is>
      </c>
      <c r="E54" s="82" t="n"/>
      <c r="F54" s="82" t="n"/>
      <c r="G54" s="82" t="n"/>
      <c r="H54" s="82" t="n"/>
      <c r="I54" s="82" t="n"/>
      <c r="J54" s="82" t="n"/>
      <c r="K54" s="82" t="n"/>
      <c r="L54" s="83" t="n"/>
      <c r="M54" s="82" t="n"/>
    </row>
    <row r="55" ht="44" customHeight="1">
      <c r="A55" s="78" t="n">
        <v>2</v>
      </c>
      <c r="B55" s="79" t="inlineStr">
        <is>
          <t>เฟรม บน-ล่าง</t>
        </is>
      </c>
      <c r="C55" s="80" t="inlineStr">
        <is>
          <t>F7976</t>
        </is>
      </c>
      <c r="D55" s="81" t="inlineStr">
        <is>
          <t>กว้าง-21-21</t>
        </is>
      </c>
      <c r="E55" s="83" t="n">
        <v>21</v>
      </c>
      <c r="F55" s="83" t="n">
        <v>21</v>
      </c>
      <c r="G55" s="82" t="n"/>
      <c r="H55" s="82" t="n"/>
      <c r="I55" s="82" t="n"/>
      <c r="J55" s="82" t="n"/>
      <c r="K55" s="82" t="n"/>
      <c r="L55" s="83" t="n"/>
      <c r="M55" s="82" t="n"/>
    </row>
    <row r="56" ht="44" customHeight="1">
      <c r="A56" s="78" t="n">
        <v>3</v>
      </c>
      <c r="B56" s="79" t="inlineStr">
        <is>
          <t>ตบกันสาด</t>
        </is>
      </c>
      <c r="C56" s="80" t="inlineStr">
        <is>
          <t>F7992</t>
        </is>
      </c>
      <c r="D56" s="81" t="inlineStr">
        <is>
          <t>กว้าง</t>
        </is>
      </c>
      <c r="E56" s="82" t="n"/>
      <c r="F56" s="82" t="n"/>
      <c r="G56" s="82" t="n"/>
      <c r="H56" s="82" t="n"/>
      <c r="I56" s="82" t="n"/>
      <c r="J56" s="82" t="n"/>
      <c r="K56" s="82" t="n"/>
      <c r="L56" s="83" t="n"/>
      <c r="M56" s="82" t="n"/>
    </row>
    <row r="57" ht="44" customHeight="1">
      <c r="A57" s="78" t="n">
        <v>4</v>
      </c>
      <c r="B57" s="79" t="inlineStr">
        <is>
          <t>เสา</t>
        </is>
      </c>
      <c r="C57" s="80" t="inlineStr">
        <is>
          <t>F7981</t>
        </is>
      </c>
      <c r="D57" s="81" t="inlineStr">
        <is>
          <t>สูง-21-19-13-21</t>
        </is>
      </c>
      <c r="E57" s="83" t="n">
        <v>21</v>
      </c>
      <c r="F57" s="83" t="n">
        <v>19</v>
      </c>
      <c r="G57" s="83" t="n">
        <v>13</v>
      </c>
      <c r="H57" s="83" t="n">
        <v>21</v>
      </c>
      <c r="I57" s="82" t="n"/>
      <c r="J57" s="82" t="n"/>
      <c r="K57" s="82" t="n"/>
      <c r="L57" s="83" t="n"/>
      <c r="M57" s="82" t="n"/>
    </row>
    <row r="58" ht="15" customHeight="1">
      <c r="A58" s="78" t="n">
        <v>5</v>
      </c>
      <c r="B58" s="79" t="inlineStr">
        <is>
          <t>ขวาง</t>
        </is>
      </c>
      <c r="C58" s="80" t="inlineStr">
        <is>
          <t>-</t>
        </is>
      </c>
      <c r="D58" s="81" t="inlineStr">
        <is>
          <t>((กว้าง-21-3-1.2-3-21)/2)+(66x1/2)</t>
        </is>
      </c>
      <c r="E58" s="83" t="n">
        <v>21</v>
      </c>
      <c r="F58" s="83" t="n">
        <v>3</v>
      </c>
      <c r="G58" s="83" t="n">
        <v>1.2</v>
      </c>
      <c r="H58" s="83" t="n">
        <v>3</v>
      </c>
      <c r="I58" s="83" t="n">
        <v>21</v>
      </c>
      <c r="J58" s="82" t="n"/>
      <c r="K58" s="82" t="n"/>
      <c r="L58" s="83" t="n"/>
      <c r="M58" s="82" t="n"/>
    </row>
    <row r="59" ht="44" customHeight="1">
      <c r="A59" s="78" t="n">
        <v>6</v>
      </c>
      <c r="B59" s="79" t="inlineStr">
        <is>
          <t>คิ้ว ตั้ง</t>
        </is>
      </c>
      <c r="C59" s="80" t="inlineStr">
        <is>
          <t>F7919</t>
        </is>
      </c>
      <c r="D59" s="81" t="inlineStr">
        <is>
          <t>เสา-66-66</t>
        </is>
      </c>
      <c r="E59" s="83" t="n">
        <v>66</v>
      </c>
      <c r="F59" s="83" t="n">
        <v>66</v>
      </c>
      <c r="G59" s="82" t="n"/>
      <c r="H59" s="82" t="n"/>
      <c r="I59" s="82" t="n"/>
      <c r="J59" s="82" t="n"/>
      <c r="K59" s="82" t="n"/>
      <c r="L59" s="83" t="n"/>
      <c r="M59" s="82" t="n"/>
    </row>
    <row r="60" ht="15" customHeight="1">
      <c r="A60" s="78" t="n">
        <v>7</v>
      </c>
      <c r="B60" s="79" t="inlineStr">
        <is>
          <t>คิ้ว ขวาง</t>
        </is>
      </c>
      <c r="C60" s="80" t="inlineStr">
        <is>
          <t>-</t>
        </is>
      </c>
      <c r="D60" s="81" t="inlineStr">
        <is>
          <t>ขวาง-51-51</t>
        </is>
      </c>
      <c r="E60" s="83" t="n">
        <v>51</v>
      </c>
      <c r="F60" s="83" t="n">
        <v>51</v>
      </c>
      <c r="G60" s="82" t="n"/>
      <c r="H60" s="82" t="n"/>
      <c r="I60" s="82" t="n"/>
      <c r="J60" s="82" t="n"/>
      <c r="K60" s="82" t="n"/>
      <c r="L60" s="83" t="n"/>
      <c r="M60" s="82" t="n"/>
    </row>
    <row r="61" ht="44" customHeight="1">
      <c r="A61" s="78" t="n">
        <v>8</v>
      </c>
      <c r="B61" s="79" t="inlineStr">
        <is>
          <t>ตบเกี่ยว</t>
        </is>
      </c>
      <c r="C61" s="80" t="inlineStr">
        <is>
          <t>F7982</t>
        </is>
      </c>
      <c r="D61" s="81" t="inlineStr">
        <is>
          <t>สูงกรอบบาน</t>
        </is>
      </c>
      <c r="E61" s="82" t="n"/>
      <c r="F61" s="82" t="n"/>
      <c r="G61" s="82" t="n"/>
      <c r="H61" s="82" t="n"/>
      <c r="I61" s="82" t="n"/>
      <c r="J61" s="82" t="n"/>
      <c r="K61" s="82" t="n"/>
      <c r="L61" s="83" t="n"/>
      <c r="M61" s="82" t="n"/>
    </row>
    <row r="62" ht="44" customHeight="1">
      <c r="A62" s="78" t="n">
        <v>9</v>
      </c>
      <c r="B62" s="79" t="inlineStr">
        <is>
          <t>ยูข้าง</t>
        </is>
      </c>
      <c r="C62" s="80" t="inlineStr">
        <is>
          <t>F7986</t>
        </is>
      </c>
      <c r="D62" s="81" t="inlineStr">
        <is>
          <t>สูง-45-45</t>
        </is>
      </c>
      <c r="E62" s="83" t="n">
        <v>45</v>
      </c>
      <c r="F62" s="83" t="n">
        <v>45</v>
      </c>
      <c r="G62" s="82" t="n"/>
      <c r="H62" s="82" t="n"/>
      <c r="I62" s="82" t="n"/>
      <c r="J62" s="82" t="n"/>
      <c r="K62" s="82" t="n"/>
      <c r="L62" s="83" t="n"/>
      <c r="M62" s="82" t="n"/>
    </row>
    <row r="63" ht="44" customHeight="1">
      <c r="A63" s="78" t="n">
        <v>10</v>
      </c>
      <c r="B63" s="79" t="inlineStr">
        <is>
          <t>ตบเฟรมบน</t>
        </is>
      </c>
      <c r="C63" s="80" t="inlineStr">
        <is>
          <t>F7993</t>
        </is>
      </c>
      <c r="D63" s="81" t="inlineStr">
        <is>
          <t>เท่าเฟรมบน</t>
        </is>
      </c>
      <c r="E63" s="83" t="n">
        <v>21</v>
      </c>
      <c r="F63" s="83" t="n">
        <v>21</v>
      </c>
      <c r="G63" s="82" t="n"/>
      <c r="H63" s="82" t="n"/>
      <c r="I63" s="82" t="n"/>
      <c r="J63" s="82" t="n"/>
      <c r="K63" s="82" t="n"/>
      <c r="L63" s="83" t="n"/>
      <c r="M63" s="82" t="n"/>
    </row>
    <row r="64" ht="44" customHeight="1">
      <c r="A64" s="78" t="n">
        <v>11</v>
      </c>
      <c r="B64" s="79" t="inlineStr">
        <is>
          <t>ตบยูข้าง</t>
        </is>
      </c>
      <c r="C64" s="80" t="inlineStr">
        <is>
          <t>F7988</t>
        </is>
      </c>
      <c r="D64" s="81" t="inlineStr">
        <is>
          <t>สูง-45-45</t>
        </is>
      </c>
      <c r="E64" s="83" t="n">
        <v>45</v>
      </c>
      <c r="F64" s="83" t="n">
        <v>45</v>
      </c>
      <c r="G64" s="82" t="n"/>
      <c r="H64" s="82" t="n"/>
      <c r="I64" s="82" t="n"/>
      <c r="J64" s="82" t="n"/>
      <c r="K64" s="82" t="n"/>
      <c r="L64" s="83" t="n"/>
      <c r="M64" s="82" t="n"/>
    </row>
    <row r="65" ht="15" customHeight="1">
      <c r="A65" s="78" t="n">
        <v>12</v>
      </c>
      <c r="B65" s="79" t="inlineStr">
        <is>
          <t>ปิดตบเกี่ยว</t>
        </is>
      </c>
      <c r="C65" s="80" t="inlineStr">
        <is>
          <t>-</t>
        </is>
      </c>
      <c r="D65" s="81" t="inlineStr">
        <is>
          <t>สูงกรอบบาน</t>
        </is>
      </c>
      <c r="E65" s="82" t="n"/>
      <c r="F65" s="82" t="n"/>
      <c r="G65" s="82" t="n"/>
      <c r="H65" s="82" t="n"/>
      <c r="I65" s="82" t="n"/>
      <c r="J65" s="82" t="n"/>
      <c r="K65" s="82" t="n"/>
      <c r="L65" s="83" t="n"/>
      <c r="M65" s="82" t="n"/>
    </row>
    <row r="66" ht="15" customHeight="1">
      <c r="A66" s="78" t="n">
        <v>13</v>
      </c>
      <c r="B66" s="79" t="inlineStr">
        <is>
          <t>ตบกันสาด</t>
        </is>
      </c>
      <c r="C66" s="80" t="inlineStr">
        <is>
          <t>-</t>
        </is>
      </c>
      <c r="D66" s="81" t="inlineStr">
        <is>
          <t>กว้าง</t>
        </is>
      </c>
      <c r="E66" s="82" t="n"/>
      <c r="F66" s="82" t="n"/>
      <c r="G66" s="82" t="n"/>
      <c r="H66" s="82" t="n"/>
      <c r="I66" s="82" t="n"/>
      <c r="J66" s="82" t="n"/>
      <c r="K66" s="82" t="n"/>
      <c r="L66" s="83" t="n"/>
      <c r="M66" s="82" t="n"/>
    </row>
    <row r="67" ht="44" customHeight="1">
      <c r="A67" s="78" t="n">
        <v>14</v>
      </c>
      <c r="B67" s="79" t="inlineStr">
        <is>
          <t>ราง</t>
        </is>
      </c>
      <c r="C67" s="80" t="inlineStr">
        <is>
          <t>F7994</t>
        </is>
      </c>
      <c r="D67" s="81" t="inlineStr">
        <is>
          <t>เท่าเฟรมล่าง</t>
        </is>
      </c>
      <c r="E67" s="83" t="n">
        <v>21</v>
      </c>
      <c r="F67" s="83" t="n">
        <v>21</v>
      </c>
      <c r="G67" s="82" t="n"/>
      <c r="H67" s="82" t="n"/>
      <c r="I67" s="82" t="n"/>
      <c r="J67" s="82" t="n"/>
      <c r="K67" s="82" t="n"/>
      <c r="L67" s="83" t="n"/>
      <c r="M67" s="82" t="n"/>
    </row>
    <row r="68" ht="44" customHeight="1">
      <c r="A68" s="78" t="n">
        <v>15</v>
      </c>
      <c r="B68" s="79" t="inlineStr">
        <is>
          <t>คิ้วลอย</t>
        </is>
      </c>
      <c r="C68" s="80" t="inlineStr">
        <is>
          <t>F7996</t>
        </is>
      </c>
      <c r="D68" s="81" t="inlineStr">
        <is>
          <t>สูง-25-25</t>
        </is>
      </c>
      <c r="E68" s="83" t="n">
        <v>25</v>
      </c>
      <c r="F68" s="83" t="n">
        <v>25</v>
      </c>
      <c r="G68" s="82" t="n"/>
      <c r="H68" s="82" t="n"/>
      <c r="I68" s="82" t="n"/>
      <c r="J68" s="82" t="n"/>
      <c r="K68" s="82" t="n"/>
      <c r="L68" s="83" t="n"/>
      <c r="M68" s="82" t="n"/>
    </row>
    <row r="69" ht="15" customHeight="1">
      <c r="A69" s="78" t="n"/>
      <c r="B69" s="79" t="n"/>
      <c r="C69" s="80" t="n"/>
      <c r="D69" s="81" t="n"/>
      <c r="E69" s="83" t="n"/>
      <c r="F69" s="83" t="n"/>
      <c r="G69" s="82" t="n"/>
      <c r="H69" s="82" t="n"/>
      <c r="I69" s="82" t="n"/>
      <c r="J69" s="82" t="n"/>
      <c r="K69" s="82" t="n"/>
      <c r="L69" s="83" t="n"/>
      <c r="M69" s="82" t="n"/>
    </row>
    <row r="70" ht="15" customHeight="1">
      <c r="A70" s="148" t="inlineStr">
        <is>
          <t>⑤ อุปกรณ์ + ตั้งค่ามือจับ (2 ชุด · บานเลื่อน 2)</t>
        </is>
      </c>
      <c r="B70" s="79" t="n"/>
      <c r="C70" s="80" t="n"/>
      <c r="D70" s="81" t="n"/>
      <c r="E70" s="83" t="n"/>
      <c r="F70" s="83" t="n"/>
      <c r="G70" s="82" t="n"/>
      <c r="H70" s="82" t="n"/>
      <c r="I70" s="82" t="n"/>
      <c r="J70" s="82" t="n"/>
      <c r="K70" s="82" t="n"/>
      <c r="L70" s="83" t="n"/>
      <c r="M70" s="82" t="n"/>
    </row>
    <row r="71">
      <c r="A71" s="149" t="inlineStr">
        <is>
          <t>ประเภทบาน →</t>
        </is>
      </c>
      <c r="B71" s="150" t="inlineStr">
        <is>
          <t>ประตู</t>
        </is>
      </c>
    </row>
    <row r="72">
      <c r="A72" s="151" t="inlineStr">
        <is>
          <t>ยี่ห้อมือจับ →</t>
        </is>
      </c>
      <c r="B72" s="150" t="inlineStr">
        <is>
          <t>เมโทร</t>
        </is>
      </c>
      <c r="F72" s="124" t="n"/>
    </row>
    <row r="73">
      <c r="A73" s="152" t="inlineStr">
        <is>
          <t>สีมือจับ →</t>
        </is>
      </c>
      <c r="B73" s="150" t="inlineStr">
        <is>
          <t>อบขาว</t>
        </is>
      </c>
      <c r="F73" s="126" t="n"/>
    </row>
    <row r="74">
      <c r="A74" s="152" t="inlineStr">
        <is>
          <t>มือจับ ชุด1 →</t>
        </is>
      </c>
      <c r="B74" s="150" t="inlineStr">
        <is>
          <t>กุญแจ+ล็อค</t>
        </is>
      </c>
      <c r="F74" s="126" t="n"/>
    </row>
    <row r="75">
      <c r="A75" s="152" t="inlineStr">
        <is>
          <t>มือจับ ชุด2 →</t>
        </is>
      </c>
      <c r="B75" s="150" t="inlineStr">
        <is>
          <t>ล็อค+ดัมมี่</t>
        </is>
      </c>
      <c r="F75" s="126" t="n"/>
    </row>
    <row r="76">
      <c r="A76" s="153" t="inlineStr">
        <is>
          <t>⑤.1 สรุปอุปกรณ์ (จำนวนลิงก์อัตโนมัติ)</t>
        </is>
      </c>
      <c r="F76" s="126" t="n"/>
    </row>
    <row r="77">
      <c r="A77" s="153" t="inlineStr">
        <is>
          <t>#</t>
        </is>
      </c>
      <c r="B77" s="154" t="inlineStr">
        <is>
          <t>อุปกรณ์</t>
        </is>
      </c>
      <c r="C77" s="154" t="inlineStr">
        <is>
          <t>รหัส SKU</t>
        </is>
      </c>
      <c r="D77" s="154" t="inlineStr">
        <is>
          <t>จำนวน</t>
        </is>
      </c>
      <c r="E77" s="154" t="inlineStr">
        <is>
          <t>หน่วย</t>
        </is>
      </c>
      <c r="F77" s="154" t="inlineStr">
        <is>
          <t>หมายเหตุ</t>
        </is>
      </c>
    </row>
    <row r="78">
      <c r="A78" s="149" t="n">
        <v>1</v>
      </c>
      <c r="B78" s="149" t="inlineStr">
        <is>
          <t>ล้อ 20</t>
        </is>
      </c>
      <c r="C78" s="150">
        <f>AK8</f>
        <v/>
      </c>
      <c r="D78" s="155">
        <f>AK30</f>
        <v/>
      </c>
      <c r="E78" s="149" t="inlineStr">
        <is>
          <t>ตัว</t>
        </is>
      </c>
      <c r="F78" s="149" t="inlineStr"/>
    </row>
    <row r="79">
      <c r="A79" s="149" t="n">
        <v>2</v>
      </c>
      <c r="B79" s="149" t="inlineStr">
        <is>
          <t>มือจับ กุญแจ</t>
        </is>
      </c>
      <c r="C79" s="150">
        <f>AL8</f>
        <v/>
      </c>
      <c r="D79" s="155">
        <f>AL30</f>
        <v/>
      </c>
      <c r="E79" s="149" t="inlineStr">
        <is>
          <t>ตัว</t>
        </is>
      </c>
      <c r="F79" s="149" t="inlineStr"/>
    </row>
    <row r="80">
      <c r="A80" s="149" t="n">
        <v>3</v>
      </c>
      <c r="B80" s="149" t="inlineStr">
        <is>
          <t>มือจับ ล็อค</t>
        </is>
      </c>
      <c r="C80" s="150">
        <f>AM8</f>
        <v/>
      </c>
      <c r="D80" s="155">
        <f>AM30</f>
        <v/>
      </c>
      <c r="E80" s="149" t="inlineStr">
        <is>
          <t>ตัว</t>
        </is>
      </c>
      <c r="F80" s="149" t="inlineStr"/>
    </row>
    <row r="81">
      <c r="A81" s="149" t="n">
        <v>4</v>
      </c>
      <c r="B81" s="149" t="inlineStr">
        <is>
          <t>มือจับ ดัมมี่</t>
        </is>
      </c>
      <c r="C81" s="150">
        <f>AN8</f>
        <v/>
      </c>
      <c r="D81" s="155">
        <f>AN30</f>
        <v/>
      </c>
      <c r="E81" s="149" t="inlineStr">
        <is>
          <t>ตัว</t>
        </is>
      </c>
      <c r="F81" s="149" t="inlineStr"/>
    </row>
    <row r="82">
      <c r="A82" s="149" t="n">
        <v>5</v>
      </c>
      <c r="B82" s="149" t="inlineStr">
        <is>
          <t>Digital lock</t>
        </is>
      </c>
      <c r="C82" s="150" t="inlineStr">
        <is>
          <t>-</t>
        </is>
      </c>
      <c r="D82" s="155">
        <f>AO30</f>
        <v/>
      </c>
      <c r="E82" s="149" t="inlineStr">
        <is>
          <t>ชุด</t>
        </is>
      </c>
      <c r="F82" s="149" t="inlineStr">
        <is>
          <t>ไม่ตัดสต็อก</t>
        </is>
      </c>
    </row>
    <row r="83">
      <c r="A83" s="149" t="n">
        <v>6</v>
      </c>
      <c r="B83" s="149" t="inlineStr">
        <is>
          <t>แกน A</t>
        </is>
      </c>
      <c r="C83" s="150">
        <f>AP8</f>
        <v/>
      </c>
      <c r="D83" s="155">
        <f>AP30</f>
        <v/>
      </c>
      <c r="E83" s="149" t="inlineStr">
        <is>
          <t>เส้น</t>
        </is>
      </c>
      <c r="F83" s="149" t="inlineStr"/>
    </row>
    <row r="84">
      <c r="A84" s="149" t="n">
        <v>7</v>
      </c>
      <c r="B84" s="149" t="inlineStr">
        <is>
          <t>แกน B</t>
        </is>
      </c>
      <c r="C84" s="150">
        <f>AQ8</f>
        <v/>
      </c>
      <c r="D84" s="155">
        <f>AQ30</f>
        <v/>
      </c>
      <c r="E84" s="149" t="inlineStr">
        <is>
          <t>เส้น</t>
        </is>
      </c>
      <c r="F84" s="149" t="inlineStr"/>
    </row>
    <row r="85">
      <c r="A85" s="149" t="n">
        <v>8</v>
      </c>
      <c r="B85" s="149" t="inlineStr">
        <is>
          <t>ปลายดำ</t>
        </is>
      </c>
      <c r="C85" s="150">
        <f>AR8</f>
        <v/>
      </c>
      <c r="D85" s="155">
        <f>AR30</f>
        <v/>
      </c>
      <c r="E85" s="149" t="inlineStr">
        <is>
          <t>ตัว</t>
        </is>
      </c>
      <c r="F85" s="149" t="inlineStr"/>
    </row>
    <row r="86">
      <c r="A86" s="149" t="n">
        <v>9</v>
      </c>
      <c r="B86" s="149" t="inlineStr">
        <is>
          <t>ตัวที เงิน</t>
        </is>
      </c>
      <c r="C86" s="150">
        <f>AS8</f>
        <v/>
      </c>
      <c r="D86" s="155">
        <f>AS30</f>
        <v/>
      </c>
      <c r="E86" s="149" t="inlineStr">
        <is>
          <t>ตัว</t>
        </is>
      </c>
      <c r="F86" s="149" t="inlineStr"/>
    </row>
    <row r="87">
      <c r="A87" s="149" t="n">
        <v>10</v>
      </c>
      <c r="B87" s="149" t="inlineStr">
        <is>
          <t>ก้ามปู</t>
        </is>
      </c>
      <c r="C87" s="150">
        <f>AT8</f>
        <v/>
      </c>
      <c r="D87" s="155">
        <f>AT30</f>
        <v/>
      </c>
      <c r="E87" s="149" t="inlineStr">
        <is>
          <t>ตัว</t>
        </is>
      </c>
      <c r="F87" s="149" t="inlineStr"/>
    </row>
    <row r="88">
      <c r="A88" s="149" t="n">
        <v>11</v>
      </c>
      <c r="B88" s="149" t="inlineStr">
        <is>
          <t>สปิงก็อท</t>
        </is>
      </c>
      <c r="C88" s="150">
        <f>AU8</f>
        <v/>
      </c>
      <c r="D88" s="155">
        <f>AU30</f>
        <v/>
      </c>
      <c r="E88" s="149" t="inlineStr">
        <is>
          <t>ตัว</t>
        </is>
      </c>
      <c r="F88" s="149" t="inlineStr"/>
    </row>
    <row r="89">
      <c r="A89" s="149" t="n">
        <v>12</v>
      </c>
      <c r="B89" s="149" t="inlineStr">
        <is>
          <t>ฉากประกอบมุม</t>
        </is>
      </c>
      <c r="C89" s="150">
        <f>AV8</f>
        <v/>
      </c>
      <c r="D89" s="155">
        <f>AV30</f>
        <v/>
      </c>
      <c r="E89" s="149" t="inlineStr">
        <is>
          <t>ตัว</t>
        </is>
      </c>
      <c r="F89" s="149" t="inlineStr"/>
    </row>
    <row r="90">
      <c r="A90" s="149" t="n">
        <v>13</v>
      </c>
      <c r="B90" s="149" t="inlineStr">
        <is>
          <t>ยางรูน้ำ</t>
        </is>
      </c>
      <c r="C90" s="150">
        <f>AW8</f>
        <v/>
      </c>
      <c r="D90" s="155">
        <f>AW30</f>
        <v/>
      </c>
      <c r="E90" s="149" t="inlineStr">
        <is>
          <t>ตัว</t>
        </is>
      </c>
      <c r="F90" s="149" t="inlineStr"/>
    </row>
    <row r="91">
      <c r="A91" s="149" t="n">
        <v>14</v>
      </c>
      <c r="B91" s="149" t="inlineStr">
        <is>
          <t>วาวรูน้ำ</t>
        </is>
      </c>
      <c r="C91" s="150">
        <f>AX8</f>
        <v/>
      </c>
      <c r="D91" s="155">
        <f>AX30</f>
        <v/>
      </c>
      <c r="E91" s="149" t="inlineStr">
        <is>
          <t>ตัว</t>
        </is>
      </c>
      <c r="F91" s="149" t="inlineStr"/>
    </row>
    <row r="92">
      <c r="A92" s="149" t="n">
        <v>15</v>
      </c>
      <c r="B92" s="149" t="inlineStr">
        <is>
          <t>สักหลาด 5×3</t>
        </is>
      </c>
      <c r="C92" s="150">
        <f>AY8</f>
        <v/>
      </c>
      <c r="D92" s="155">
        <f>AY30</f>
        <v/>
      </c>
      <c r="E92" s="149" t="inlineStr">
        <is>
          <t>เมตร</t>
        </is>
      </c>
      <c r="F92" s="149" t="inlineStr">
        <is>
          <t>เก็บเป็นเมตร</t>
        </is>
      </c>
    </row>
  </sheetData>
  <mergeCells count="57">
    <mergeCell ref="O6:P6"/>
    <mergeCell ref="B8:E9"/>
    <mergeCell ref="AA30:AE30"/>
    <mergeCell ref="Q7:T7"/>
    <mergeCell ref="AC8:AD8"/>
    <mergeCell ref="AE8:AF8"/>
    <mergeCell ref="Y7:Z7"/>
    <mergeCell ref="Q9:R9"/>
    <mergeCell ref="S9:T9"/>
    <mergeCell ref="M8:N8"/>
    <mergeCell ref="AC9:AD9"/>
    <mergeCell ref="O8:P8"/>
    <mergeCell ref="AE9:AF9"/>
    <mergeCell ref="A7:F7"/>
    <mergeCell ref="I6:J6"/>
    <mergeCell ref="U6:V6"/>
    <mergeCell ref="W6:X6"/>
    <mergeCell ref="G7:H7"/>
    <mergeCell ref="AA6:AB6"/>
    <mergeCell ref="I7:J7"/>
    <mergeCell ref="U7:V7"/>
    <mergeCell ref="W7:X7"/>
    <mergeCell ref="A8:A9"/>
    <mergeCell ref="I8:J8"/>
    <mergeCell ref="A30:F30"/>
    <mergeCell ref="U8:V8"/>
    <mergeCell ref="W8:X8"/>
    <mergeCell ref="M7:P7"/>
    <mergeCell ref="Y8:Z8"/>
    <mergeCell ref="K6:L6"/>
    <mergeCell ref="G9:H9"/>
    <mergeCell ref="AA8:AB8"/>
    <mergeCell ref="I9:J9"/>
    <mergeCell ref="U9:V9"/>
    <mergeCell ref="K9:L9"/>
    <mergeCell ref="M9:N9"/>
    <mergeCell ref="O9:P9"/>
    <mergeCell ref="M30:O30"/>
    <mergeCell ref="Y9:Z9"/>
    <mergeCell ref="AA9:AB9"/>
    <mergeCell ref="AA7:AF7"/>
    <mergeCell ref="F8:F9"/>
    <mergeCell ref="Q30:S30"/>
    <mergeCell ref="K8:L8"/>
    <mergeCell ref="Q6:R6"/>
    <mergeCell ref="S6:T6"/>
    <mergeCell ref="K7:L7"/>
    <mergeCell ref="G8:H8"/>
    <mergeCell ref="Q8:R8"/>
    <mergeCell ref="S8:T8"/>
    <mergeCell ref="G6:H6"/>
    <mergeCell ref="M6:N6"/>
    <mergeCell ref="Y6:Z6"/>
    <mergeCell ref="W9:X9"/>
    <mergeCell ref="AC6:AD6"/>
    <mergeCell ref="AE6:AF6"/>
    <mergeCell ref="A6:F6"/>
  </mergeCells>
  <dataValidations count="5">
    <dataValidation sqref="B71" showDropDown="0" showInputMessage="0" showErrorMessage="0" allowBlank="1" type="list">
      <formula1>"ประตู,หน้าต่าง"</formula1>
    </dataValidation>
    <dataValidation sqref="B72" showDropDown="0" showInputMessage="0" showErrorMessage="0" allowBlank="1" type="list">
      <formula1>"เมโทร,Align"</formula1>
    </dataValidation>
    <dataValidation sqref="B73" showDropDown="0" showInputMessage="0" showErrorMessage="0" allowBlank="1" type="list">
      <formula1>"อบขาว,ดำ"</formula1>
    </dataValidation>
    <dataValidation sqref="B74" showDropDown="0" showInputMessage="0" showErrorMessage="0" allowBlank="1" type="list">
      <formula1>=$BD$1:$BD$4</formula1>
    </dataValidation>
    <dataValidation sqref="B75" showDropDown="0" showInputMessage="0" showErrorMessage="0" allowBlank="1" type="list">
      <formula1>=$BD$1:$BD$4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D92"/>
  <sheetViews>
    <sheetView showGridLines="0"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26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6.75" customWidth="1" min="32" max="32"/>
    <col width="12.75" customWidth="1" min="33" max="33"/>
    <col width="12.75" customWidth="1" min="34" max="34"/>
    <col width="8.75" customWidth="1" min="35" max="35"/>
    <col width="8.875" customWidth="1" min="36" max="36"/>
    <col hidden="1" width="13" customWidth="1" min="53" max="53"/>
    <col hidden="1" width="13" customWidth="1" min="54" max="54"/>
    <col hidden="1" width="13" customWidth="1" min="55" max="55"/>
    <col hidden="1" width="13" customWidth="1" min="56" max="56"/>
  </cols>
  <sheetData>
    <row r="1" ht="40.15" customHeight="1">
      <c r="A1" s="1" t="inlineStr">
        <is>
          <t>JR ALUMINIUM &amp; GLASS  —  ใบรายการตัด · FUJI เลื่อนสลับ2ราง   (หน่วย: มม.)</t>
        </is>
      </c>
      <c r="B1" s="2" t="n"/>
      <c r="D1" s="3" t="n"/>
      <c r="E1" s="4" t="n"/>
      <c r="F1" s="3" t="n"/>
      <c r="G1" s="5" t="n"/>
      <c r="H1" s="5" t="n"/>
      <c r="I1" s="3" t="n"/>
      <c r="J1" s="3" t="n"/>
      <c r="K1" s="6" t="n"/>
      <c r="L1" s="6" t="n"/>
      <c r="M1" s="5" t="n"/>
      <c r="N1" s="5" t="n"/>
      <c r="O1" s="3" t="n"/>
      <c r="P1" s="7" t="n"/>
      <c r="Q1" s="6" t="n"/>
      <c r="R1" s="6" t="n"/>
      <c r="S1" s="5" t="n"/>
      <c r="T1" s="5" t="n"/>
      <c r="U1" s="5" t="n"/>
      <c r="V1" s="5" t="n"/>
      <c r="W1" s="5" t="n"/>
      <c r="X1" s="5" t="n"/>
      <c r="Y1" s="3" t="n"/>
      <c r="Z1" s="3" t="n"/>
      <c r="AA1" s="3" t="n"/>
      <c r="AB1" s="3" t="n"/>
      <c r="AC1" s="5" t="n"/>
      <c r="AD1" s="5" t="n"/>
      <c r="AE1" s="6" t="n"/>
      <c r="AF1" s="5" t="n"/>
      <c r="AG1" s="5" t="n"/>
      <c r="AH1" s="5" t="n"/>
      <c r="AI1" s="5" t="n"/>
      <c r="AJ1" s="5" t="n"/>
      <c r="AK1" s="5" t="n"/>
      <c r="BA1" t="inlineStr">
        <is>
          <t>เมโทรกุญแจอบขาว</t>
        </is>
      </c>
      <c r="BB1" t="inlineStr">
        <is>
          <t>JR00368</t>
        </is>
      </c>
      <c r="BD1">
        <f>IF($B$71="ประตู","กุญแจ+ล็อค","ล็อค")</f>
        <v/>
      </c>
    </row>
    <row r="2" ht="40.15" customHeight="1">
      <c r="A2" s="6" t="n"/>
      <c r="B2" s="6" t="n"/>
      <c r="C2" s="6" t="n"/>
      <c r="D2" s="6" t="n"/>
      <c r="E2" s="8" t="n"/>
      <c r="F2" s="6" t="n"/>
      <c r="G2" s="9" t="n"/>
      <c r="H2" s="9" t="n"/>
      <c r="I2" s="6" t="n"/>
      <c r="J2" s="6" t="n"/>
      <c r="K2" s="6" t="n"/>
      <c r="L2" s="6" t="n"/>
      <c r="M2" s="9" t="n"/>
      <c r="N2" s="9" t="n"/>
      <c r="O2" s="6" t="n"/>
      <c r="P2" s="6" t="n"/>
      <c r="Q2" s="9" t="n"/>
      <c r="R2" s="9" t="n"/>
      <c r="S2" s="9" t="n"/>
      <c r="T2" s="9" t="n"/>
      <c r="U2" s="9" t="n"/>
      <c r="V2" s="9" t="n"/>
      <c r="W2" s="9" t="n"/>
      <c r="X2" s="9" t="n"/>
      <c r="Y2" s="6" t="n"/>
      <c r="Z2" s="6" t="n"/>
      <c r="AA2" s="6" t="n"/>
      <c r="AB2" s="6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BA2" t="inlineStr">
        <is>
          <t>เมโทรกุญแจดำ</t>
        </is>
      </c>
      <c r="BB2" t="inlineStr">
        <is>
          <t>JR00371</t>
        </is>
      </c>
      <c r="BD2">
        <f>IF($B$71="ประตู","ล็อค+ดัมมี่","ดัมมี่")</f>
        <v/>
      </c>
    </row>
    <row r="3" ht="40.15" customHeight="1">
      <c r="A3" s="130">
        <f>HYPERLINK("#สารบัญ!A1","← สารบัญ")</f>
        <v/>
      </c>
      <c r="B3" s="6" t="n"/>
      <c r="C3" s="6" t="n"/>
      <c r="D3" s="85" t="n"/>
      <c r="E3" s="100" t="n"/>
      <c r="F3" s="6" t="n"/>
      <c r="G3" s="11" t="n"/>
      <c r="H3" s="11" t="n"/>
      <c r="I3" s="6" t="n"/>
      <c r="J3" s="6" t="n"/>
      <c r="K3" s="6" t="n"/>
      <c r="L3" s="6" t="n"/>
      <c r="M3" s="11" t="n"/>
      <c r="N3" s="11" t="n"/>
      <c r="O3" s="6" t="n"/>
      <c r="P3" s="6" t="n"/>
      <c r="S3" s="11" t="n"/>
      <c r="T3" s="11" t="n"/>
      <c r="U3" s="11" t="n"/>
      <c r="V3" s="11" t="n"/>
      <c r="W3" s="11" t="n"/>
      <c r="X3" s="11" t="n"/>
      <c r="Y3" s="6" t="n"/>
      <c r="Z3" s="6" t="n"/>
      <c r="AA3" s="6" t="n"/>
      <c r="AB3" s="6" t="n"/>
      <c r="AC3" s="11" t="n"/>
      <c r="AD3" s="11" t="n"/>
      <c r="AE3" s="9" t="n"/>
      <c r="AF3" s="9" t="n"/>
      <c r="AG3" s="11" t="n"/>
      <c r="AH3" s="11" t="n"/>
      <c r="AI3" s="11" t="n"/>
      <c r="AJ3" s="11" t="n"/>
      <c r="AK3" s="11" t="n"/>
      <c r="BA3" t="inlineStr">
        <is>
          <t>เมโทรล็อคอบขาว</t>
        </is>
      </c>
      <c r="BB3" t="inlineStr">
        <is>
          <t>JR00369</t>
        </is>
      </c>
      <c r="BD3">
        <f>IF($B$71="ประตู","ดัมมี่+ดัมมี่","")</f>
        <v/>
      </c>
    </row>
    <row r="4" ht="40.15" customHeight="1">
      <c r="A4" s="6" t="n"/>
      <c r="B4" s="6" t="n"/>
      <c r="C4" s="6" t="n"/>
      <c r="F4" s="6" t="n"/>
      <c r="I4" s="6" t="n"/>
      <c r="J4" s="6" t="n"/>
      <c r="K4" s="6" t="n"/>
      <c r="L4" s="6" t="n"/>
      <c r="O4" s="6" t="n"/>
      <c r="P4" s="6" t="n"/>
      <c r="Y4" s="6" t="n"/>
      <c r="Z4" s="6" t="n"/>
      <c r="AA4" s="6" t="n"/>
      <c r="AB4" s="6" t="n"/>
      <c r="AE4" s="9" t="n"/>
      <c r="AF4" s="9" t="n"/>
      <c r="BA4" t="inlineStr">
        <is>
          <t>เมโทรล็อคดำ</t>
        </is>
      </c>
      <c r="BB4" t="inlineStr">
        <is>
          <t>JR00372</t>
        </is>
      </c>
      <c r="BD4">
        <f>IF($B$71="ประตู","Digital lock","")</f>
        <v/>
      </c>
    </row>
    <row r="5" ht="40.15" customHeight="1">
      <c r="A5" s="6" t="n"/>
      <c r="B5" s="6" t="n"/>
      <c r="C5" s="6" t="n"/>
      <c r="D5" s="6" t="n"/>
      <c r="E5" s="8" t="n"/>
      <c r="F5" s="6" t="n"/>
      <c r="I5" s="6" t="n"/>
      <c r="J5" s="6" t="n"/>
      <c r="L5" s="6" t="n"/>
      <c r="O5" s="6" t="n"/>
      <c r="P5" s="6" t="n"/>
      <c r="Y5" s="6" t="n"/>
      <c r="Z5" s="6" t="n"/>
      <c r="AA5" s="6" t="n"/>
      <c r="AB5" s="6" t="n"/>
      <c r="BA5" t="inlineStr">
        <is>
          <t>เมโทรดัมมี่อบขาว</t>
        </is>
      </c>
      <c r="BB5" t="inlineStr">
        <is>
          <t>JR00370</t>
        </is>
      </c>
    </row>
    <row r="6" ht="60" customHeight="1">
      <c r="A6" s="13" t="inlineStr">
        <is>
          <t>สูตรตัด</t>
        </is>
      </c>
      <c r="B6" s="14" t="n"/>
      <c r="C6" s="14" t="n"/>
      <c r="D6" s="15" t="n"/>
      <c r="E6" s="16" t="inlineStr">
        <is>
          <t>สูง</t>
        </is>
      </c>
      <c r="F6" s="17" t="n"/>
      <c r="G6" s="16" t="inlineStr">
        <is>
          <t>กว้าง-21-21</t>
        </is>
      </c>
      <c r="H6" s="17" t="n"/>
      <c r="I6" s="16" t="inlineStr">
        <is>
          <t>สูง-21-19-13-21</t>
        </is>
      </c>
      <c r="J6" s="17" t="n"/>
      <c r="K6" s="16" t="inlineStr">
        <is>
          <t>((กว้าง-21-3-1.2-3-21)/2)+(78x1/2)</t>
        </is>
      </c>
      <c r="L6" s="17" t="n"/>
      <c r="M6" s="16" t="inlineStr">
        <is>
          <t>เสา-78-78</t>
        </is>
      </c>
      <c r="N6" s="17" t="n"/>
      <c r="O6" s="16" t="inlineStr">
        <is>
          <t>ขวาง-63-63</t>
        </is>
      </c>
      <c r="P6" s="17" t="n"/>
      <c r="Q6" s="16" t="inlineStr">
        <is>
          <t>สูงกรอบบาน</t>
        </is>
      </c>
      <c r="R6" s="17" t="n"/>
      <c r="S6" s="16" t="inlineStr">
        <is>
          <t>สูง-45-45</t>
        </is>
      </c>
      <c r="T6" s="17" t="n"/>
      <c r="U6" s="16" t="inlineStr">
        <is>
          <t>เท่าเฟรมบน</t>
        </is>
      </c>
      <c r="V6" s="17" t="n"/>
      <c r="W6" s="16" t="inlineStr">
        <is>
          <t>สูง-45-45</t>
        </is>
      </c>
      <c r="X6" s="17" t="n"/>
      <c r="Y6" s="16" t="inlineStr">
        <is>
          <t>สูงกรอบบาน</t>
        </is>
      </c>
      <c r="Z6" s="17" t="n"/>
      <c r="AA6" s="16" t="inlineStr">
        <is>
          <t>กว้าง</t>
        </is>
      </c>
      <c r="AB6" s="17" t="n"/>
      <c r="AC6" s="16" t="inlineStr">
        <is>
          <t>เท่าเฟรมล่าง</t>
        </is>
      </c>
      <c r="AD6" s="17" t="n"/>
      <c r="AE6" s="16" t="n"/>
      <c r="AF6" s="17" t="n"/>
      <c r="AG6" s="18" t="n"/>
      <c r="AH6" s="18" t="n"/>
      <c r="AI6" s="18" t="n"/>
      <c r="BA6" t="inlineStr">
        <is>
          <t>เมโทรดัมมี่ดำ</t>
        </is>
      </c>
      <c r="BB6" t="inlineStr">
        <is>
          <t>JR00373</t>
        </is>
      </c>
      <c r="BC6">
        <f>(COUNTIF($B$74:$B$75,"กุญแจ+ล็อค")+COUNTIF($B$74:$B$75,"ล็อค+ดัมมี่")+COUNTIF($B$74:$B$75,"ล็อค"))</f>
        <v/>
      </c>
    </row>
    <row r="7" ht="40.15" customHeight="1">
      <c r="A7" s="19" t="inlineStr">
        <is>
          <t>ใส่ข้อมูล</t>
        </is>
      </c>
      <c r="B7" s="20" t="n"/>
      <c r="C7" s="20" t="n"/>
      <c r="D7" s="21" t="n"/>
      <c r="E7" s="22" t="inlineStr">
        <is>
          <t>F7979</t>
        </is>
      </c>
      <c r="F7" s="15" t="n"/>
      <c r="G7" s="22" t="inlineStr">
        <is>
          <t>F7977</t>
        </is>
      </c>
      <c r="H7" s="15" t="n"/>
      <c r="I7" s="22" t="inlineStr">
        <is>
          <t>F7980</t>
        </is>
      </c>
      <c r="J7" s="14" t="n"/>
      <c r="K7" s="14" t="n"/>
      <c r="L7" s="15" t="n"/>
      <c r="M7" s="22" t="inlineStr">
        <is>
          <t>F7919</t>
        </is>
      </c>
      <c r="N7" s="14" t="n"/>
      <c r="O7" s="14" t="n"/>
      <c r="P7" s="15" t="n"/>
      <c r="Q7" s="22" t="inlineStr">
        <is>
          <t>F7983</t>
        </is>
      </c>
      <c r="R7" s="15" t="n"/>
      <c r="S7" s="22" t="inlineStr">
        <is>
          <t>F7986</t>
        </is>
      </c>
      <c r="T7" s="15" t="n"/>
      <c r="U7" s="22" t="inlineStr">
        <is>
          <t>F7993</t>
        </is>
      </c>
      <c r="V7" s="15" t="n"/>
      <c r="W7" s="22" t="inlineStr">
        <is>
          <t>F7988</t>
        </is>
      </c>
      <c r="X7" s="14" t="n"/>
      <c r="Y7" s="14" t="n"/>
      <c r="Z7" s="14" t="n"/>
      <c r="AA7" s="14" t="n"/>
      <c r="AB7" s="15" t="n"/>
      <c r="AC7" s="22" t="inlineStr">
        <is>
          <t>F7994</t>
        </is>
      </c>
      <c r="AD7" s="15" t="n"/>
      <c r="AE7" s="22" t="n"/>
      <c r="AF7" s="15" t="n"/>
      <c r="AG7" s="24" t="n"/>
      <c r="AH7" s="25" t="inlineStr">
        <is>
          <t>ขนาดกระจก</t>
        </is>
      </c>
      <c r="AI7" s="26" t="n"/>
      <c r="BA7" t="inlineStr">
        <is>
          <t>Alignกุญแจอบขาว</t>
        </is>
      </c>
      <c r="BB7" t="inlineStr">
        <is>
          <t>JR00377</t>
        </is>
      </c>
      <c r="BC7">
        <f>COUNTIF($B$74:$B$75,"กุญแจ+ล็อค")</f>
        <v/>
      </c>
    </row>
    <row r="8" ht="40.15" customHeight="1">
      <c r="A8" s="27" t="inlineStr">
        <is>
          <t>แผน</t>
        </is>
      </c>
      <c r="B8" s="28" t="inlineStr">
        <is>
          <t>ขนาดชิ้นงาน
(mm)</t>
        </is>
      </c>
      <c r="C8" s="29" t="n"/>
      <c r="D8" s="27" t="inlineStr">
        <is>
          <t>ชุด</t>
        </is>
      </c>
      <c r="E8" s="30" t="n"/>
      <c r="F8" s="31" t="n"/>
      <c r="G8" s="30" t="n"/>
      <c r="H8" s="31" t="n"/>
      <c r="I8" s="32" t="n"/>
      <c r="J8" s="33" t="n"/>
      <c r="K8" s="34" t="n"/>
      <c r="L8" s="31" t="n"/>
      <c r="M8" s="32" t="n"/>
      <c r="N8" s="33" t="n"/>
      <c r="O8" s="34" t="n"/>
      <c r="P8" s="31" t="n"/>
      <c r="Q8" s="32" t="n"/>
      <c r="R8" s="33" t="n"/>
      <c r="S8" s="32" t="n"/>
      <c r="T8" s="33" t="n"/>
      <c r="U8" s="32" t="n"/>
      <c r="V8" s="33" t="n"/>
      <c r="W8" s="32" t="n"/>
      <c r="X8" s="33" t="n"/>
      <c r="Y8" s="35" t="n"/>
      <c r="Z8" s="33" t="n"/>
      <c r="AA8" s="34" t="n"/>
      <c r="AB8" s="31" t="n"/>
      <c r="AC8" s="30" t="n"/>
      <c r="AD8" s="31" t="n"/>
      <c r="AE8" s="30" t="n"/>
      <c r="AF8" s="31" t="n"/>
      <c r="AG8" s="36" t="n"/>
      <c r="AH8" s="37" t="inlineStr">
        <is>
          <t>กรอบบาน</t>
        </is>
      </c>
      <c r="AI8" s="38" t="n"/>
      <c r="AK8" t="inlineStr">
        <is>
          <t>JR00577</t>
        </is>
      </c>
      <c r="AL8">
        <f>VLOOKUP($B$72&amp;"กุญแจ"&amp;$B$73,$BA$1:$BB$12,2,0)</f>
        <v/>
      </c>
      <c r="AM8">
        <f>VLOOKUP($B$72&amp;"ล็อค"&amp;$B$73,$BA$1:$BB$12,2,0)</f>
        <v/>
      </c>
      <c r="AN8">
        <f>VLOOKUP($B$72&amp;"ดัมมี่"&amp;$B$73,$BA$1:$BB$12,2,0)</f>
        <v/>
      </c>
      <c r="AO8" t="inlineStr"/>
      <c r="AP8" t="inlineStr">
        <is>
          <t>JR00478</t>
        </is>
      </c>
      <c r="AQ8" t="inlineStr">
        <is>
          <t>JR00479</t>
        </is>
      </c>
      <c r="AR8" t="inlineStr">
        <is>
          <t>JR00476</t>
        </is>
      </c>
      <c r="AS8" t="inlineStr">
        <is>
          <t>JR00475</t>
        </is>
      </c>
      <c r="AT8" t="inlineStr">
        <is>
          <t>JR00477</t>
        </is>
      </c>
      <c r="AU8" t="inlineStr">
        <is>
          <t>JR00592</t>
        </is>
      </c>
      <c r="AV8" t="inlineStr">
        <is>
          <t>JR00480</t>
        </is>
      </c>
      <c r="AW8" t="inlineStr">
        <is>
          <t>JR00589</t>
        </is>
      </c>
      <c r="AX8" t="inlineStr">
        <is>
          <t>JR00485</t>
        </is>
      </c>
      <c r="AY8" t="inlineStr">
        <is>
          <t>JR00794</t>
        </is>
      </c>
      <c r="BA8" t="inlineStr">
        <is>
          <t>Alignล็อคอบขาว</t>
        </is>
      </c>
      <c r="BB8" t="inlineStr">
        <is>
          <t>JR00378</t>
        </is>
      </c>
    </row>
    <row r="9" ht="40.15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 บน-ล่าง</t>
        </is>
      </c>
      <c r="H9" s="43" t="n"/>
      <c r="I9" s="42" t="inlineStr">
        <is>
          <t>เสา</t>
        </is>
      </c>
      <c r="J9" s="43" t="n"/>
      <c r="K9" s="42" t="inlineStr">
        <is>
          <t>ขวาง</t>
        </is>
      </c>
      <c r="L9" s="43" t="n"/>
      <c r="M9" s="42" t="inlineStr">
        <is>
          <t>คิ้ว ตั้ง</t>
        </is>
      </c>
      <c r="N9" s="43" t="n"/>
      <c r="O9" s="42" t="inlineStr">
        <is>
          <t>คิ้ว ขวาง</t>
        </is>
      </c>
      <c r="P9" s="43" t="n"/>
      <c r="Q9" s="42" t="inlineStr">
        <is>
          <t>ตบเกี่ยว</t>
        </is>
      </c>
      <c r="R9" s="43" t="n"/>
      <c r="S9" s="44" t="inlineStr">
        <is>
          <t>ยูข้าง</t>
        </is>
      </c>
      <c r="T9" s="43" t="n"/>
      <c r="U9" s="44" t="inlineStr">
        <is>
          <t>ตบเฟรมบน</t>
        </is>
      </c>
      <c r="V9" s="43" t="n"/>
      <c r="W9" s="44" t="inlineStr">
        <is>
          <t>ตบยูข้าง</t>
        </is>
      </c>
      <c r="X9" s="43" t="n"/>
      <c r="Y9" s="42" t="inlineStr">
        <is>
          <t>ปิดตบเกี่ยว</t>
        </is>
      </c>
      <c r="Z9" s="43" t="n"/>
      <c r="AA9" s="42" t="n"/>
      <c r="AB9" s="43" t="n"/>
      <c r="AC9" s="44" t="inlineStr">
        <is>
          <t>ราง</t>
        </is>
      </c>
      <c r="AD9" s="43" t="n"/>
      <c r="AE9" s="42" t="n"/>
      <c r="AF9" s="43" t="n"/>
      <c r="AG9" s="45" t="inlineStr">
        <is>
          <t>SH-68-68</t>
        </is>
      </c>
      <c r="AH9" s="46" t="inlineStr">
        <is>
          <t>SW-68-68</t>
        </is>
      </c>
      <c r="AI9" s="47" t="n"/>
      <c r="AK9" t="inlineStr">
        <is>
          <t>ล้อ 20</t>
        </is>
      </c>
      <c r="AL9" t="inlineStr">
        <is>
          <t>มือจับ กุญแจ</t>
        </is>
      </c>
      <c r="AM9" t="inlineStr">
        <is>
          <t>มือจับ ล็อค</t>
        </is>
      </c>
      <c r="AN9" t="inlineStr">
        <is>
          <t>มือจับ ดัมมี่</t>
        </is>
      </c>
      <c r="AO9" t="inlineStr">
        <is>
          <t>Digital lock</t>
        </is>
      </c>
      <c r="AP9" t="inlineStr">
        <is>
          <t>แกน A</t>
        </is>
      </c>
      <c r="AQ9" t="inlineStr">
        <is>
          <t>แกน B</t>
        </is>
      </c>
      <c r="AR9" t="inlineStr">
        <is>
          <t>ปลายดำ</t>
        </is>
      </c>
      <c r="AS9" t="inlineStr">
        <is>
          <t>ตัวที เงิน</t>
        </is>
      </c>
      <c r="AT9" t="inlineStr">
        <is>
          <t>ก้ามปู</t>
        </is>
      </c>
      <c r="AU9" t="inlineStr">
        <is>
          <t>สปิงก็อท</t>
        </is>
      </c>
      <c r="AV9" t="inlineStr">
        <is>
          <t>ฉากประกอบมุม</t>
        </is>
      </c>
      <c r="AW9" t="inlineStr">
        <is>
          <t>ยางรูน้ำ</t>
        </is>
      </c>
      <c r="AX9" t="inlineStr">
        <is>
          <t>วาวรูน้ำ</t>
        </is>
      </c>
      <c r="AY9" t="inlineStr">
        <is>
          <t>สักหลาด(ม.)</t>
        </is>
      </c>
      <c r="BA9" t="inlineStr">
        <is>
          <t>Alignดัมมี่อบขาว</t>
        </is>
      </c>
      <c r="BB9" t="inlineStr">
        <is>
          <t>JR00379</t>
        </is>
      </c>
      <c r="BC9">
        <f>(COUNTIF($B$74:$B$75,"ล็อค+ดัมมี่")+2*COUNTIF($B$74:$B$75,"ดัมมี่+ดัมมี่")+COUNTIF($B$74:$B$75,"ดัมมี่"))</f>
        <v/>
      </c>
    </row>
    <row r="10" ht="40.15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4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3" t="inlineStr">
        <is>
          <t>จำนวน</t>
        </is>
      </c>
      <c r="S10" s="52" t="inlineStr">
        <is>
          <t>ยาว</t>
        </is>
      </c>
      <c r="T10" s="54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3" t="inlineStr">
        <is>
          <t>จำนวน</t>
        </is>
      </c>
      <c r="AA10" s="52" t="inlineStr">
        <is>
          <t>ยาว</t>
        </is>
      </c>
      <c r="AB10" s="53" t="inlineStr">
        <is>
          <t>จำนวน</t>
        </is>
      </c>
      <c r="AC10" s="52" t="inlineStr">
        <is>
          <t>ยาว</t>
        </is>
      </c>
      <c r="AD10" s="54" t="inlineStr">
        <is>
          <t>จำนวน</t>
        </is>
      </c>
      <c r="AE10" s="52" t="inlineStr">
        <is>
          <t>ยาว</t>
        </is>
      </c>
      <c r="AF10" s="53" t="inlineStr">
        <is>
          <t>จำนวน</t>
        </is>
      </c>
      <c r="AG10" s="55" t="inlineStr">
        <is>
          <t>H</t>
        </is>
      </c>
      <c r="AH10" s="56" t="inlineStr">
        <is>
          <t>W</t>
        </is>
      </c>
      <c r="AI10" s="57" t="inlineStr">
        <is>
          <t>จำนวน</t>
        </is>
      </c>
      <c r="AK10" t="inlineStr">
        <is>
          <t>จำนวน</t>
        </is>
      </c>
      <c r="AL10" t="inlineStr">
        <is>
          <t>จำนวน</t>
        </is>
      </c>
      <c r="AM10" t="inlineStr">
        <is>
          <t>จำนวน</t>
        </is>
      </c>
      <c r="AN10" t="inlineStr">
        <is>
          <t>จำนวน</t>
        </is>
      </c>
      <c r="AO10" t="inlineStr">
        <is>
          <t>จำนวน</t>
        </is>
      </c>
      <c r="AP10" t="inlineStr">
        <is>
          <t>จำนวน</t>
        </is>
      </c>
      <c r="AQ10" t="inlineStr">
        <is>
          <t>จำนวน</t>
        </is>
      </c>
      <c r="AR10" t="inlineStr">
        <is>
          <t>จำนวน</t>
        </is>
      </c>
      <c r="AS10" t="inlineStr">
        <is>
          <t>จำนวน</t>
        </is>
      </c>
      <c r="AT10" t="inlineStr">
        <is>
          <t>จำนวน</t>
        </is>
      </c>
      <c r="AU10" t="inlineStr">
        <is>
          <t>จำนวน</t>
        </is>
      </c>
      <c r="AV10" t="inlineStr">
        <is>
          <t>จำนวน</t>
        </is>
      </c>
      <c r="AW10" t="inlineStr">
        <is>
          <t>จำนวน</t>
        </is>
      </c>
      <c r="AX10" t="inlineStr">
        <is>
          <t>จำนวน</t>
        </is>
      </c>
      <c r="AY10" t="inlineStr">
        <is>
          <t>จำนวน</t>
        </is>
      </c>
      <c r="BA10" t="inlineStr">
        <is>
          <t>Alignกุญแจดำ</t>
        </is>
      </c>
      <c r="BB10" t="inlineStr">
        <is>
          <t>JR00374</t>
        </is>
      </c>
      <c r="BC10">
        <f>COUNTIF($B$74:$B$75,"Digital lock")</f>
        <v/>
      </c>
    </row>
    <row r="11" ht="40.15" customHeight="1">
      <c r="A11" s="101" t="inlineStr">
        <is>
          <t>D1</t>
        </is>
      </c>
      <c r="B11" s="102" t="n">
        <v>1067</v>
      </c>
      <c r="C11" s="92" t="n">
        <v>1267</v>
      </c>
      <c r="D11" s="103" t="n">
        <v>1</v>
      </c>
      <c r="E11" s="104">
        <f>IF($A11="","",$B11)</f>
        <v/>
      </c>
      <c r="F11" s="92">
        <f>IF($A11="","",$L$54*$D11)</f>
        <v/>
      </c>
      <c r="G11" s="104">
        <f>IF($A11="","",$C11-$E$55-$F$55)</f>
        <v/>
      </c>
      <c r="H11" s="92">
        <f>IF($A11="","",$L$55*$D11)</f>
        <v/>
      </c>
      <c r="I11" s="104">
        <f>IF($A11="","",$B11-$E$56-$F$56-$G$56-$H$56)</f>
        <v/>
      </c>
      <c r="J11" s="92">
        <f>IF($A11="","",$L$56*$D11)</f>
        <v/>
      </c>
      <c r="K11" s="104">
        <f>IF($A11="","",(($C11-$E$57-$F$57-$G$57-$H$57-$I$57)/2)+(78*1)/2)</f>
        <v/>
      </c>
      <c r="L11" s="92">
        <f>IF($A11="","",$L$57*$D11)</f>
        <v/>
      </c>
      <c r="M11" s="104">
        <f>IF($A11="","",$I11-$E$58-$F$58)</f>
        <v/>
      </c>
      <c r="N11" s="92">
        <f>IF($A11="","",$L$58*$D11)</f>
        <v/>
      </c>
      <c r="O11" s="104">
        <f>IF($A11="","",$K11-$E$59-$F$59)</f>
        <v/>
      </c>
      <c r="P11" s="92">
        <f>IF($A11="","",$L$59*$D11)</f>
        <v/>
      </c>
      <c r="Q11" s="104">
        <f>IF($A11="","",$I11)</f>
        <v/>
      </c>
      <c r="R11" s="92">
        <f>IF($A11="","",$L$60*$D11)</f>
        <v/>
      </c>
      <c r="S11" s="104">
        <f>IF($A11="","",$B11-$E$61-$F$61)</f>
        <v/>
      </c>
      <c r="T11" s="92">
        <f>IF($A11="","",$L$61*$D11)</f>
        <v/>
      </c>
      <c r="U11" s="104">
        <f>IF($A11="","",$C11-$E$62-$F$62)</f>
        <v/>
      </c>
      <c r="V11" s="92">
        <f>IF($A11="","",$L$62*$D11)</f>
        <v/>
      </c>
      <c r="W11" s="104">
        <f>IF($A11="","",$B11-$E$63-$F$63)</f>
        <v/>
      </c>
      <c r="X11" s="92">
        <f>IF($A11="","",$L$63*$D11)</f>
        <v/>
      </c>
      <c r="Y11" s="104">
        <f>IF($A11="","",$Q11)</f>
        <v/>
      </c>
      <c r="Z11" s="92">
        <f>IF($A11="","",$L$64*$D11)</f>
        <v/>
      </c>
      <c r="AA11" s="104" t="n"/>
      <c r="AB11" s="92" t="n"/>
      <c r="AC11" s="104">
        <f>IF($A11="","",$C11-$E$65-$F$65)</f>
        <v/>
      </c>
      <c r="AD11" s="92">
        <f>IF($A11="","",$L$65*$D11)</f>
        <v/>
      </c>
      <c r="AE11" s="104" t="n"/>
      <c r="AF11" s="92" t="n"/>
      <c r="AG11" s="105">
        <f>IF($A11="","",$I11-68-68)</f>
        <v/>
      </c>
      <c r="AH11" s="135">
        <f>IF($A11="","",$K11-68-68)</f>
        <v/>
      </c>
      <c r="AI11" s="107">
        <f>IF($A11="","",2*$D11)</f>
        <v/>
      </c>
      <c r="AK11">
        <f>IF($A11="","",2*2*$D11)</f>
        <v/>
      </c>
      <c r="AL11">
        <f>IF($A11="","",$BC$7*$D11)</f>
        <v/>
      </c>
      <c r="AM11">
        <f>IF($A11="","",$BC$6*$D11)</f>
        <v/>
      </c>
      <c r="AN11">
        <f>IF($A11="","",$BC$9*$D11)</f>
        <v/>
      </c>
      <c r="AO11">
        <f>IF($A11="","",$BC$10*$D11)</f>
        <v/>
      </c>
      <c r="AP11">
        <f>IF($A11="","",2*$BC$6*$D11)</f>
        <v/>
      </c>
      <c r="AQ11">
        <f>IF($A11="","",IF($B11&gt;2800,2,IF($B11&gt;1400,1,0))*$BC$6*$D11)</f>
        <v/>
      </c>
      <c r="AR11">
        <f>IF($A11="","",2*$BC$6*$D11)</f>
        <v/>
      </c>
      <c r="AS11">
        <f>IF($A11="","",$BC$6*$D11)</f>
        <v/>
      </c>
      <c r="AT11">
        <f>IF($A11="","",2*$BC$6*$D11)</f>
        <v/>
      </c>
      <c r="AU11">
        <f>IF($A11="","",4*2*$D11)</f>
        <v/>
      </c>
      <c r="AV11">
        <f>IF($A11="","",16*2*$D11)</f>
        <v/>
      </c>
      <c r="AW11">
        <f>IF($A11="","",(2+MAX(0,ROUNDUP(($G11-1500)/500,0)))*$D11)</f>
        <v/>
      </c>
      <c r="AX11">
        <f>IF($A11="","",(2+MAX(0,ROUNDUP(($G11-1500)/500,0)))*$D11)</f>
        <v/>
      </c>
      <c r="AY11">
        <f>IF($A11="","",ROUND((2*2*($K11+$I11)*2*$D11+$Q11*$R11)/1000,1))</f>
        <v/>
      </c>
      <c r="BA11" t="inlineStr">
        <is>
          <t>Alignล็อคดำ</t>
        </is>
      </c>
      <c r="BB11" t="inlineStr">
        <is>
          <t>JR00375</t>
        </is>
      </c>
    </row>
    <row r="12" ht="40.15" customHeight="1">
      <c r="A12" s="101" t="n"/>
      <c r="B12" s="102" t="n"/>
      <c r="C12" s="92" t="n"/>
      <c r="D12" s="103" t="n"/>
      <c r="E12" s="108">
        <f>IF($A12="","",$B12)</f>
        <v/>
      </c>
      <c r="F12" s="98">
        <f>IF($A12="","",$L$54*$D12)</f>
        <v/>
      </c>
      <c r="G12" s="108">
        <f>IF($A12="","",$C12-$E$55-$F$55)</f>
        <v/>
      </c>
      <c r="H12" s="98">
        <f>IF($A12="","",$L$55*$D12)</f>
        <v/>
      </c>
      <c r="I12" s="108">
        <f>IF($A12="","",$B12-$E$56-$F$56-$G$56-$H$56)</f>
        <v/>
      </c>
      <c r="J12" s="98">
        <f>IF($A12="","",$L$56*$D12)</f>
        <v/>
      </c>
      <c r="K12" s="108">
        <f>IF($A12="","",(($C12-$E$57-$F$57-$G$57-$H$57-$I$57)/2)+(78*1)/2)</f>
        <v/>
      </c>
      <c r="L12" s="98">
        <f>IF($A12="","",$L$57*$D12)</f>
        <v/>
      </c>
      <c r="M12" s="108">
        <f>IF($A12="","",$I12-$E$58-$F$58)</f>
        <v/>
      </c>
      <c r="N12" s="98">
        <f>IF($A12="","",$L$58*$D12)</f>
        <v/>
      </c>
      <c r="O12" s="108">
        <f>IF($A12="","",$K12-$E$59-$F$59)</f>
        <v/>
      </c>
      <c r="P12" s="98">
        <f>IF($A12="","",$L$59*$D12)</f>
        <v/>
      </c>
      <c r="Q12" s="108">
        <f>IF($A12="","",$I12)</f>
        <v/>
      </c>
      <c r="R12" s="98">
        <f>IF($A12="","",$L$60*$D12)</f>
        <v/>
      </c>
      <c r="S12" s="108">
        <f>IF($A12="","",$B12-$E$61-$F$61)</f>
        <v/>
      </c>
      <c r="T12" s="98">
        <f>IF($A12="","",$L$61*$D12)</f>
        <v/>
      </c>
      <c r="U12" s="108">
        <f>IF($A12="","",$C12-$E$62-$F$62)</f>
        <v/>
      </c>
      <c r="V12" s="98">
        <f>IF($A12="","",$L$62*$D12)</f>
        <v/>
      </c>
      <c r="W12" s="108">
        <f>IF($A12="","",$B12-$E$63-$F$63)</f>
        <v/>
      </c>
      <c r="X12" s="98">
        <f>IF($A12="","",$L$63*$D12)</f>
        <v/>
      </c>
      <c r="Y12" s="108">
        <f>IF($A12="","",$Q12)</f>
        <v/>
      </c>
      <c r="Z12" s="98">
        <f>IF($A12="","",$L$64*$D12)</f>
        <v/>
      </c>
      <c r="AA12" s="108" t="n"/>
      <c r="AB12" s="98" t="n"/>
      <c r="AC12" s="108">
        <f>IF($A12="","",$C12-$E$65-$F$65)</f>
        <v/>
      </c>
      <c r="AD12" s="98">
        <f>IF($A12="","",$L$65*$D12)</f>
        <v/>
      </c>
      <c r="AE12" s="108" t="n"/>
      <c r="AF12" s="98" t="n"/>
      <c r="AG12" s="105">
        <f>IF($A12="","",$I12-68-68)</f>
        <v/>
      </c>
      <c r="AH12" s="106">
        <f>IF($A12="","",$K12-68-68)</f>
        <v/>
      </c>
      <c r="AI12" s="107">
        <f>IF($A12="","",2*$D12)</f>
        <v/>
      </c>
      <c r="AK12">
        <f>IF($A12="","",2*2*$D12)</f>
        <v/>
      </c>
      <c r="AL12">
        <f>IF($A12="","",$BC$7*$D12)</f>
        <v/>
      </c>
      <c r="AM12">
        <f>IF($A12="","",$BC$6*$D12)</f>
        <v/>
      </c>
      <c r="AN12">
        <f>IF($A12="","",$BC$9*$D12)</f>
        <v/>
      </c>
      <c r="AO12">
        <f>IF($A12="","",$BC$10*$D12)</f>
        <v/>
      </c>
      <c r="AP12">
        <f>IF($A12="","",2*$BC$6*$D12)</f>
        <v/>
      </c>
      <c r="AQ12">
        <f>IF($A12="","",IF($B12&gt;2800,2,IF($B12&gt;1400,1,0))*$BC$6*$D12)</f>
        <v/>
      </c>
      <c r="AR12">
        <f>IF($A12="","",2*$BC$6*$D12)</f>
        <v/>
      </c>
      <c r="AS12">
        <f>IF($A12="","",$BC$6*$D12)</f>
        <v/>
      </c>
      <c r="AT12">
        <f>IF($A12="","",2*$BC$6*$D12)</f>
        <v/>
      </c>
      <c r="AU12">
        <f>IF($A12="","",4*2*$D12)</f>
        <v/>
      </c>
      <c r="AV12">
        <f>IF($A12="","",16*2*$D12)</f>
        <v/>
      </c>
      <c r="AW12">
        <f>IF($A12="","",(2+MAX(0,ROUNDUP(($G12-1500)/500,0)))*$D12)</f>
        <v/>
      </c>
      <c r="AX12">
        <f>IF($A12="","",(2+MAX(0,ROUNDUP(($G12-1500)/500,0)))*$D12)</f>
        <v/>
      </c>
      <c r="AY12">
        <f>IF($A12="","",ROUND((2*2*($K12+$I12)*2*$D12+$Q12*$R12)/1000,1))</f>
        <v/>
      </c>
      <c r="BA12" t="inlineStr">
        <is>
          <t>Alignดัมมี่ดำ</t>
        </is>
      </c>
      <c r="BB12" t="inlineStr">
        <is>
          <t>JR00376</t>
        </is>
      </c>
    </row>
    <row r="13" ht="40.15" customHeight="1">
      <c r="A13" s="101" t="n"/>
      <c r="B13" s="102" t="n"/>
      <c r="C13" s="92" t="n"/>
      <c r="D13" s="103" t="n"/>
      <c r="E13" s="104">
        <f>IF($A13="","",$B13)</f>
        <v/>
      </c>
      <c r="F13" s="92">
        <f>IF($A13="","",$L$54*$D13)</f>
        <v/>
      </c>
      <c r="G13" s="104">
        <f>IF($A13="","",$C13-$E$55-$F$55)</f>
        <v/>
      </c>
      <c r="H13" s="92">
        <f>IF($A13="","",$L$55*$D13)</f>
        <v/>
      </c>
      <c r="I13" s="104">
        <f>IF($A13="","",$B13-$E$56-$F$56-$G$56-$H$56)</f>
        <v/>
      </c>
      <c r="J13" s="92">
        <f>IF($A13="","",$L$56*$D13)</f>
        <v/>
      </c>
      <c r="K13" s="104">
        <f>IF($A13="","",(($C13-$E$57-$F$57-$G$57-$H$57-$I$57)/2)+(78*1)/2)</f>
        <v/>
      </c>
      <c r="L13" s="92">
        <f>IF($A13="","",$L$57*$D13)</f>
        <v/>
      </c>
      <c r="M13" s="104">
        <f>IF($A13="","",$I13-$E$58-$F$58)</f>
        <v/>
      </c>
      <c r="N13" s="92">
        <f>IF($A13="","",$L$58*$D13)</f>
        <v/>
      </c>
      <c r="O13" s="104">
        <f>IF($A13="","",$K13-$E$59-$F$59)</f>
        <v/>
      </c>
      <c r="P13" s="92">
        <f>IF($A13="","",$L$59*$D13)</f>
        <v/>
      </c>
      <c r="Q13" s="104">
        <f>IF($A13="","",$I13)</f>
        <v/>
      </c>
      <c r="R13" s="92">
        <f>IF($A13="","",$L$60*$D13)</f>
        <v/>
      </c>
      <c r="S13" s="104">
        <f>IF($A13="","",$B13-$E$61-$F$61)</f>
        <v/>
      </c>
      <c r="T13" s="92">
        <f>IF($A13="","",$L$61*$D13)</f>
        <v/>
      </c>
      <c r="U13" s="104">
        <f>IF($A13="","",$C13-$E$62-$F$62)</f>
        <v/>
      </c>
      <c r="V13" s="92">
        <f>IF($A13="","",$L$62*$D13)</f>
        <v/>
      </c>
      <c r="W13" s="104">
        <f>IF($A13="","",$B13-$E$63-$F$63)</f>
        <v/>
      </c>
      <c r="X13" s="92">
        <f>IF($A13="","",$L$63*$D13)</f>
        <v/>
      </c>
      <c r="Y13" s="104">
        <f>IF($A13="","",$Q13)</f>
        <v/>
      </c>
      <c r="Z13" s="92">
        <f>IF($A13="","",$L$64*$D13)</f>
        <v/>
      </c>
      <c r="AA13" s="104" t="n"/>
      <c r="AB13" s="92" t="n"/>
      <c r="AC13" s="104">
        <f>IF($A13="","",$C13-$E$65-$F$65)</f>
        <v/>
      </c>
      <c r="AD13" s="92">
        <f>IF($A13="","",$L$65*$D13)</f>
        <v/>
      </c>
      <c r="AE13" s="104" t="n"/>
      <c r="AF13" s="92" t="n"/>
      <c r="AG13" s="105">
        <f>IF($A13="","",$I13-68-68)</f>
        <v/>
      </c>
      <c r="AH13" s="106">
        <f>IF($A13="","",$K13-68-68)</f>
        <v/>
      </c>
      <c r="AI13" s="107">
        <f>IF($A13="","",2*$D13)</f>
        <v/>
      </c>
      <c r="AK13">
        <f>IF($A13="","",2*2*$D13)</f>
        <v/>
      </c>
      <c r="AL13">
        <f>IF($A13="","",$BC$7*$D13)</f>
        <v/>
      </c>
      <c r="AM13">
        <f>IF($A13="","",$BC$6*$D13)</f>
        <v/>
      </c>
      <c r="AN13">
        <f>IF($A13="","",$BC$9*$D13)</f>
        <v/>
      </c>
      <c r="AO13">
        <f>IF($A13="","",$BC$10*$D13)</f>
        <v/>
      </c>
      <c r="AP13">
        <f>IF($A13="","",2*$BC$6*$D13)</f>
        <v/>
      </c>
      <c r="AQ13">
        <f>IF($A13="","",IF($B13&gt;2800,2,IF($B13&gt;1400,1,0))*$BC$6*$D13)</f>
        <v/>
      </c>
      <c r="AR13">
        <f>IF($A13="","",2*$BC$6*$D13)</f>
        <v/>
      </c>
      <c r="AS13">
        <f>IF($A13="","",$BC$6*$D13)</f>
        <v/>
      </c>
      <c r="AT13">
        <f>IF($A13="","",2*$BC$6*$D13)</f>
        <v/>
      </c>
      <c r="AU13">
        <f>IF($A13="","",4*2*$D13)</f>
        <v/>
      </c>
      <c r="AV13">
        <f>IF($A13="","",16*2*$D13)</f>
        <v/>
      </c>
      <c r="AW13">
        <f>IF($A13="","",(2+MAX(0,ROUNDUP(($G13-1500)/500,0)))*$D13)</f>
        <v/>
      </c>
      <c r="AX13">
        <f>IF($A13="","",(2+MAX(0,ROUNDUP(($G13-1500)/500,0)))*$D13)</f>
        <v/>
      </c>
      <c r="AY13">
        <f>IF($A13="","",ROUND((2*2*($K13+$I13)*2*$D13+$Q13*$R13)/1000,1))</f>
        <v/>
      </c>
    </row>
    <row r="14" ht="40.15" customHeight="1">
      <c r="A14" s="101" t="n"/>
      <c r="B14" s="102" t="n"/>
      <c r="C14" s="92" t="n"/>
      <c r="D14" s="103" t="n"/>
      <c r="E14" s="108">
        <f>IF($A14="","",$B14)</f>
        <v/>
      </c>
      <c r="F14" s="98">
        <f>IF($A14="","",$L$54*$D14)</f>
        <v/>
      </c>
      <c r="G14" s="108">
        <f>IF($A14="","",$C14-$E$55-$F$55)</f>
        <v/>
      </c>
      <c r="H14" s="98">
        <f>IF($A14="","",$L$55*$D14)</f>
        <v/>
      </c>
      <c r="I14" s="108">
        <f>IF($A14="","",$B14-$E$56-$F$56-$G$56-$H$56)</f>
        <v/>
      </c>
      <c r="J14" s="98">
        <f>IF($A14="","",$L$56*$D14)</f>
        <v/>
      </c>
      <c r="K14" s="108">
        <f>IF($A14="","",(($C14-$E$57-$F$57-$G$57-$H$57-$I$57)/2)+(78*1)/2)</f>
        <v/>
      </c>
      <c r="L14" s="98">
        <f>IF($A14="","",$L$57*$D14)</f>
        <v/>
      </c>
      <c r="M14" s="108">
        <f>IF($A14="","",$I14-$E$58-$F$58)</f>
        <v/>
      </c>
      <c r="N14" s="98">
        <f>IF($A14="","",$L$58*$D14)</f>
        <v/>
      </c>
      <c r="O14" s="108">
        <f>IF($A14="","",$K14-$E$59-$F$59)</f>
        <v/>
      </c>
      <c r="P14" s="98">
        <f>IF($A14="","",$L$59*$D14)</f>
        <v/>
      </c>
      <c r="Q14" s="108">
        <f>IF($A14="","",$I14)</f>
        <v/>
      </c>
      <c r="R14" s="98">
        <f>IF($A14="","",$L$60*$D14)</f>
        <v/>
      </c>
      <c r="S14" s="108">
        <f>IF($A14="","",$B14-$E$61-$F$61)</f>
        <v/>
      </c>
      <c r="T14" s="98">
        <f>IF($A14="","",$L$61*$D14)</f>
        <v/>
      </c>
      <c r="U14" s="108">
        <f>IF($A14="","",$C14-$E$62-$F$62)</f>
        <v/>
      </c>
      <c r="V14" s="98">
        <f>IF($A14="","",$L$62*$D14)</f>
        <v/>
      </c>
      <c r="W14" s="108">
        <f>IF($A14="","",$B14-$E$63-$F$63)</f>
        <v/>
      </c>
      <c r="X14" s="98">
        <f>IF($A14="","",$L$63*$D14)</f>
        <v/>
      </c>
      <c r="Y14" s="108">
        <f>IF($A14="","",$Q14)</f>
        <v/>
      </c>
      <c r="Z14" s="98">
        <f>IF($A14="","",$L$64*$D14)</f>
        <v/>
      </c>
      <c r="AA14" s="108" t="n"/>
      <c r="AB14" s="98" t="n"/>
      <c r="AC14" s="108">
        <f>IF($A14="","",$C14-$E$65-$F$65)</f>
        <v/>
      </c>
      <c r="AD14" s="98">
        <f>IF($A14="","",$L$65*$D14)</f>
        <v/>
      </c>
      <c r="AE14" s="108" t="n"/>
      <c r="AF14" s="98" t="n"/>
      <c r="AG14" s="105">
        <f>IF($A14="","",$I14-68-68)</f>
        <v/>
      </c>
      <c r="AH14" s="106">
        <f>IF($A14="","",$K14-68-68)</f>
        <v/>
      </c>
      <c r="AI14" s="107">
        <f>IF($A14="","",2*$D14)</f>
        <v/>
      </c>
      <c r="AK14">
        <f>IF($A14="","",2*2*$D14)</f>
        <v/>
      </c>
      <c r="AL14">
        <f>IF($A14="","",$BC$7*$D14)</f>
        <v/>
      </c>
      <c r="AM14">
        <f>IF($A14="","",$BC$6*$D14)</f>
        <v/>
      </c>
      <c r="AN14">
        <f>IF($A14="","",$BC$9*$D14)</f>
        <v/>
      </c>
      <c r="AO14">
        <f>IF($A14="","",$BC$10*$D14)</f>
        <v/>
      </c>
      <c r="AP14">
        <f>IF($A14="","",2*$BC$6*$D14)</f>
        <v/>
      </c>
      <c r="AQ14">
        <f>IF($A14="","",IF($B14&gt;2800,2,IF($B14&gt;1400,1,0))*$BC$6*$D14)</f>
        <v/>
      </c>
      <c r="AR14">
        <f>IF($A14="","",2*$BC$6*$D14)</f>
        <v/>
      </c>
      <c r="AS14">
        <f>IF($A14="","",$BC$6*$D14)</f>
        <v/>
      </c>
      <c r="AT14">
        <f>IF($A14="","",2*$BC$6*$D14)</f>
        <v/>
      </c>
      <c r="AU14">
        <f>IF($A14="","",4*2*$D14)</f>
        <v/>
      </c>
      <c r="AV14">
        <f>IF($A14="","",16*2*$D14)</f>
        <v/>
      </c>
      <c r="AW14">
        <f>IF($A14="","",(2+MAX(0,ROUNDUP(($G14-1500)/500,0)))*$D14)</f>
        <v/>
      </c>
      <c r="AX14">
        <f>IF($A14="","",(2+MAX(0,ROUNDUP(($G14-1500)/500,0)))*$D14)</f>
        <v/>
      </c>
      <c r="AY14">
        <f>IF($A14="","",ROUND((2*2*($K14+$I14)*2*$D14+$Q14*$R14)/1000,1))</f>
        <v/>
      </c>
    </row>
    <row r="15" ht="40.15" customHeight="1">
      <c r="A15" s="101" t="n"/>
      <c r="B15" s="102" t="n"/>
      <c r="C15" s="92" t="n"/>
      <c r="D15" s="103" t="n"/>
      <c r="E15" s="104">
        <f>IF($A15="","",$B15)</f>
        <v/>
      </c>
      <c r="F15" s="92">
        <f>IF($A15="","",$L$54*$D15)</f>
        <v/>
      </c>
      <c r="G15" s="104">
        <f>IF($A15="","",$C15-$E$55-$F$55)</f>
        <v/>
      </c>
      <c r="H15" s="92">
        <f>IF($A15="","",$L$55*$D15)</f>
        <v/>
      </c>
      <c r="I15" s="104">
        <f>IF($A15="","",$B15-$E$56-$F$56-$G$56-$H$56)</f>
        <v/>
      </c>
      <c r="J15" s="92">
        <f>IF($A15="","",$L$56*$D15)</f>
        <v/>
      </c>
      <c r="K15" s="104">
        <f>IF($A15="","",(($C15-$E$57-$F$57-$G$57-$H$57-$I$57)/2)+(78*1)/2)</f>
        <v/>
      </c>
      <c r="L15" s="92">
        <f>IF($A15="","",$L$57*$D15)</f>
        <v/>
      </c>
      <c r="M15" s="104">
        <f>IF($A15="","",$I15-$E$58-$F$58)</f>
        <v/>
      </c>
      <c r="N15" s="92">
        <f>IF($A15="","",$L$58*$D15)</f>
        <v/>
      </c>
      <c r="O15" s="104">
        <f>IF($A15="","",$K15-$E$59-$F$59)</f>
        <v/>
      </c>
      <c r="P15" s="92">
        <f>IF($A15="","",$L$59*$D15)</f>
        <v/>
      </c>
      <c r="Q15" s="104">
        <f>IF($A15="","",$I15)</f>
        <v/>
      </c>
      <c r="R15" s="92">
        <f>IF($A15="","",$L$60*$D15)</f>
        <v/>
      </c>
      <c r="S15" s="104">
        <f>IF($A15="","",$B15-$E$61-$F$61)</f>
        <v/>
      </c>
      <c r="T15" s="92">
        <f>IF($A15="","",$L$61*$D15)</f>
        <v/>
      </c>
      <c r="U15" s="104">
        <f>IF($A15="","",$C15-$E$62-$F$62)</f>
        <v/>
      </c>
      <c r="V15" s="92">
        <f>IF($A15="","",$L$62*$D15)</f>
        <v/>
      </c>
      <c r="W15" s="104">
        <f>IF($A15="","",$B15-$E$63-$F$63)</f>
        <v/>
      </c>
      <c r="X15" s="92">
        <f>IF($A15="","",$L$63*$D15)</f>
        <v/>
      </c>
      <c r="Y15" s="104">
        <f>IF($A15="","",$Q15)</f>
        <v/>
      </c>
      <c r="Z15" s="92">
        <f>IF($A15="","",$L$64*$D15)</f>
        <v/>
      </c>
      <c r="AA15" s="104" t="n"/>
      <c r="AB15" s="92" t="n"/>
      <c r="AC15" s="104">
        <f>IF($A15="","",$C15-$E$65-$F$65)</f>
        <v/>
      </c>
      <c r="AD15" s="92">
        <f>IF($A15="","",$L$65*$D15)</f>
        <v/>
      </c>
      <c r="AE15" s="104" t="n"/>
      <c r="AF15" s="92" t="n"/>
      <c r="AG15" s="105">
        <f>IF($A15="","",$I15-68-68)</f>
        <v/>
      </c>
      <c r="AH15" s="106">
        <f>IF($A15="","",$K15-68-68)</f>
        <v/>
      </c>
      <c r="AI15" s="107">
        <f>IF($A15="","",2*$D15)</f>
        <v/>
      </c>
      <c r="AK15">
        <f>IF($A15="","",2*2*$D15)</f>
        <v/>
      </c>
      <c r="AL15">
        <f>IF($A15="","",$BC$7*$D15)</f>
        <v/>
      </c>
      <c r="AM15">
        <f>IF($A15="","",$BC$6*$D15)</f>
        <v/>
      </c>
      <c r="AN15">
        <f>IF($A15="","",$BC$9*$D15)</f>
        <v/>
      </c>
      <c r="AO15">
        <f>IF($A15="","",$BC$10*$D15)</f>
        <v/>
      </c>
      <c r="AP15">
        <f>IF($A15="","",2*$BC$6*$D15)</f>
        <v/>
      </c>
      <c r="AQ15">
        <f>IF($A15="","",IF($B15&gt;2800,2,IF($B15&gt;1400,1,0))*$BC$6*$D15)</f>
        <v/>
      </c>
      <c r="AR15">
        <f>IF($A15="","",2*$BC$6*$D15)</f>
        <v/>
      </c>
      <c r="AS15">
        <f>IF($A15="","",$BC$6*$D15)</f>
        <v/>
      </c>
      <c r="AT15">
        <f>IF($A15="","",2*$BC$6*$D15)</f>
        <v/>
      </c>
      <c r="AU15">
        <f>IF($A15="","",4*2*$D15)</f>
        <v/>
      </c>
      <c r="AV15">
        <f>IF($A15="","",16*2*$D15)</f>
        <v/>
      </c>
      <c r="AW15">
        <f>IF($A15="","",(2+MAX(0,ROUNDUP(($G15-1500)/500,0)))*$D15)</f>
        <v/>
      </c>
      <c r="AX15">
        <f>IF($A15="","",(2+MAX(0,ROUNDUP(($G15-1500)/500,0)))*$D15)</f>
        <v/>
      </c>
      <c r="AY15">
        <f>IF($A15="","",ROUND((2*2*($K15+$I15)*2*$D15+$Q15*$R15)/1000,1))</f>
        <v/>
      </c>
    </row>
    <row r="16" ht="40.15" customHeight="1">
      <c r="A16" s="101" t="n"/>
      <c r="B16" s="102" t="n"/>
      <c r="C16" s="92" t="n"/>
      <c r="D16" s="103" t="n"/>
      <c r="E16" s="108">
        <f>IF($A16="","",$B16)</f>
        <v/>
      </c>
      <c r="F16" s="98">
        <f>IF($A16="","",$L$54*$D16)</f>
        <v/>
      </c>
      <c r="G16" s="108">
        <f>IF($A16="","",$C16-$E$55-$F$55)</f>
        <v/>
      </c>
      <c r="H16" s="98">
        <f>IF($A16="","",$L$55*$D16)</f>
        <v/>
      </c>
      <c r="I16" s="108">
        <f>IF($A16="","",$B16-$E$56-$F$56-$G$56-$H$56)</f>
        <v/>
      </c>
      <c r="J16" s="98">
        <f>IF($A16="","",$L$56*$D16)</f>
        <v/>
      </c>
      <c r="K16" s="108">
        <f>IF($A16="","",(($C16-$E$57-$F$57-$G$57-$H$57-$I$57)/2)+(78*1)/2)</f>
        <v/>
      </c>
      <c r="L16" s="98">
        <f>IF($A16="","",$L$57*$D16)</f>
        <v/>
      </c>
      <c r="M16" s="108">
        <f>IF($A16="","",$I16-$E$58-$F$58)</f>
        <v/>
      </c>
      <c r="N16" s="98">
        <f>IF($A16="","",$L$58*$D16)</f>
        <v/>
      </c>
      <c r="O16" s="108">
        <f>IF($A16="","",$K16-$E$59-$F$59)</f>
        <v/>
      </c>
      <c r="P16" s="98">
        <f>IF($A16="","",$L$59*$D16)</f>
        <v/>
      </c>
      <c r="Q16" s="108">
        <f>IF($A16="","",$I16)</f>
        <v/>
      </c>
      <c r="R16" s="98">
        <f>IF($A16="","",$L$60*$D16)</f>
        <v/>
      </c>
      <c r="S16" s="108">
        <f>IF($A16="","",$B16-$E$61-$F$61)</f>
        <v/>
      </c>
      <c r="T16" s="98">
        <f>IF($A16="","",$L$61*$D16)</f>
        <v/>
      </c>
      <c r="U16" s="108">
        <f>IF($A16="","",$C16-$E$62-$F$62)</f>
        <v/>
      </c>
      <c r="V16" s="98">
        <f>IF($A16="","",$L$62*$D16)</f>
        <v/>
      </c>
      <c r="W16" s="108">
        <f>IF($A16="","",$B16-$E$63-$F$63)</f>
        <v/>
      </c>
      <c r="X16" s="98">
        <f>IF($A16="","",$L$63*$D16)</f>
        <v/>
      </c>
      <c r="Y16" s="108">
        <f>IF($A16="","",$Q16)</f>
        <v/>
      </c>
      <c r="Z16" s="98">
        <f>IF($A16="","",$L$64*$D16)</f>
        <v/>
      </c>
      <c r="AA16" s="108" t="n"/>
      <c r="AB16" s="98" t="n"/>
      <c r="AC16" s="108">
        <f>IF($A16="","",$C16-$E$65-$F$65)</f>
        <v/>
      </c>
      <c r="AD16" s="98">
        <f>IF($A16="","",$L$65*$D16)</f>
        <v/>
      </c>
      <c r="AE16" s="108" t="n"/>
      <c r="AF16" s="98" t="n"/>
      <c r="AG16" s="105">
        <f>IF($A16="","",$I16-68-68)</f>
        <v/>
      </c>
      <c r="AH16" s="106">
        <f>IF($A16="","",$K16-68-68)</f>
        <v/>
      </c>
      <c r="AI16" s="107">
        <f>IF($A16="","",2*$D16)</f>
        <v/>
      </c>
      <c r="AK16">
        <f>IF($A16="","",2*2*$D16)</f>
        <v/>
      </c>
      <c r="AL16">
        <f>IF($A16="","",$BC$7*$D16)</f>
        <v/>
      </c>
      <c r="AM16">
        <f>IF($A16="","",$BC$6*$D16)</f>
        <v/>
      </c>
      <c r="AN16">
        <f>IF($A16="","",$BC$9*$D16)</f>
        <v/>
      </c>
      <c r="AO16">
        <f>IF($A16="","",$BC$10*$D16)</f>
        <v/>
      </c>
      <c r="AP16">
        <f>IF($A16="","",2*$BC$6*$D16)</f>
        <v/>
      </c>
      <c r="AQ16">
        <f>IF($A16="","",IF($B16&gt;2800,2,IF($B16&gt;1400,1,0))*$BC$6*$D16)</f>
        <v/>
      </c>
      <c r="AR16">
        <f>IF($A16="","",2*$BC$6*$D16)</f>
        <v/>
      </c>
      <c r="AS16">
        <f>IF($A16="","",$BC$6*$D16)</f>
        <v/>
      </c>
      <c r="AT16">
        <f>IF($A16="","",2*$BC$6*$D16)</f>
        <v/>
      </c>
      <c r="AU16">
        <f>IF($A16="","",4*2*$D16)</f>
        <v/>
      </c>
      <c r="AV16">
        <f>IF($A16="","",16*2*$D16)</f>
        <v/>
      </c>
      <c r="AW16">
        <f>IF($A16="","",(2+MAX(0,ROUNDUP(($G16-1500)/500,0)))*$D16)</f>
        <v/>
      </c>
      <c r="AX16">
        <f>IF($A16="","",(2+MAX(0,ROUNDUP(($G16-1500)/500,0)))*$D16)</f>
        <v/>
      </c>
      <c r="AY16">
        <f>IF($A16="","",ROUND((2*2*($K16+$I16)*2*$D16+$Q16*$R16)/1000,1))</f>
        <v/>
      </c>
    </row>
    <row r="17" ht="40.15" customHeight="1">
      <c r="A17" s="101" t="n"/>
      <c r="B17" s="102" t="n"/>
      <c r="C17" s="92" t="n"/>
      <c r="D17" s="103" t="n"/>
      <c r="E17" s="104">
        <f>IF($A17="","",$B17)</f>
        <v/>
      </c>
      <c r="F17" s="92">
        <f>IF($A17="","",$L$54*$D17)</f>
        <v/>
      </c>
      <c r="G17" s="104">
        <f>IF($A17="","",$C17-$E$55-$F$55)</f>
        <v/>
      </c>
      <c r="H17" s="92">
        <f>IF($A17="","",$L$55*$D17)</f>
        <v/>
      </c>
      <c r="I17" s="104">
        <f>IF($A17="","",$B17-$E$56-$F$56-$G$56-$H$56)</f>
        <v/>
      </c>
      <c r="J17" s="92">
        <f>IF($A17="","",$L$56*$D17)</f>
        <v/>
      </c>
      <c r="K17" s="104">
        <f>IF($A17="","",(($C17-$E$57-$F$57-$G$57-$H$57-$I$57)/2)+(78*1)/2)</f>
        <v/>
      </c>
      <c r="L17" s="92">
        <f>IF($A17="","",$L$57*$D17)</f>
        <v/>
      </c>
      <c r="M17" s="104">
        <f>IF($A17="","",$I17-$E$58-$F$58)</f>
        <v/>
      </c>
      <c r="N17" s="92">
        <f>IF($A17="","",$L$58*$D17)</f>
        <v/>
      </c>
      <c r="O17" s="104">
        <f>IF($A17="","",$K17-$E$59-$F$59)</f>
        <v/>
      </c>
      <c r="P17" s="92">
        <f>IF($A17="","",$L$59*$D17)</f>
        <v/>
      </c>
      <c r="Q17" s="104">
        <f>IF($A17="","",$I17)</f>
        <v/>
      </c>
      <c r="R17" s="92">
        <f>IF($A17="","",$L$60*$D17)</f>
        <v/>
      </c>
      <c r="S17" s="104">
        <f>IF($A17="","",$B17-$E$61-$F$61)</f>
        <v/>
      </c>
      <c r="T17" s="92">
        <f>IF($A17="","",$L$61*$D17)</f>
        <v/>
      </c>
      <c r="U17" s="104">
        <f>IF($A17="","",$C17-$E$62-$F$62)</f>
        <v/>
      </c>
      <c r="V17" s="92">
        <f>IF($A17="","",$L$62*$D17)</f>
        <v/>
      </c>
      <c r="W17" s="104">
        <f>IF($A17="","",$B17-$E$63-$F$63)</f>
        <v/>
      </c>
      <c r="X17" s="92">
        <f>IF($A17="","",$L$63*$D17)</f>
        <v/>
      </c>
      <c r="Y17" s="104">
        <f>IF($A17="","",$Q17)</f>
        <v/>
      </c>
      <c r="Z17" s="92">
        <f>IF($A17="","",$L$64*$D17)</f>
        <v/>
      </c>
      <c r="AA17" s="104" t="n"/>
      <c r="AB17" s="92" t="n"/>
      <c r="AC17" s="104">
        <f>IF($A17="","",$C17-$E$65-$F$65)</f>
        <v/>
      </c>
      <c r="AD17" s="92">
        <f>IF($A17="","",$L$65*$D17)</f>
        <v/>
      </c>
      <c r="AE17" s="104" t="n"/>
      <c r="AF17" s="92" t="n"/>
      <c r="AG17" s="105">
        <f>IF($A17="","",$I17-68-68)</f>
        <v/>
      </c>
      <c r="AH17" s="106">
        <f>IF($A17="","",$K17-68-68)</f>
        <v/>
      </c>
      <c r="AI17" s="107">
        <f>IF($A17="","",2*$D17)</f>
        <v/>
      </c>
      <c r="AK17">
        <f>IF($A17="","",2*2*$D17)</f>
        <v/>
      </c>
      <c r="AL17">
        <f>IF($A17="","",$BC$7*$D17)</f>
        <v/>
      </c>
      <c r="AM17">
        <f>IF($A17="","",$BC$6*$D17)</f>
        <v/>
      </c>
      <c r="AN17">
        <f>IF($A17="","",$BC$9*$D17)</f>
        <v/>
      </c>
      <c r="AO17">
        <f>IF($A17="","",$BC$10*$D17)</f>
        <v/>
      </c>
      <c r="AP17">
        <f>IF($A17="","",2*$BC$6*$D17)</f>
        <v/>
      </c>
      <c r="AQ17">
        <f>IF($A17="","",IF($B17&gt;2800,2,IF($B17&gt;1400,1,0))*$BC$6*$D17)</f>
        <v/>
      </c>
      <c r="AR17">
        <f>IF($A17="","",2*$BC$6*$D17)</f>
        <v/>
      </c>
      <c r="AS17">
        <f>IF($A17="","",$BC$6*$D17)</f>
        <v/>
      </c>
      <c r="AT17">
        <f>IF($A17="","",2*$BC$6*$D17)</f>
        <v/>
      </c>
      <c r="AU17">
        <f>IF($A17="","",4*2*$D17)</f>
        <v/>
      </c>
      <c r="AV17">
        <f>IF($A17="","",16*2*$D17)</f>
        <v/>
      </c>
      <c r="AW17">
        <f>IF($A17="","",(2+MAX(0,ROUNDUP(($G17-1500)/500,0)))*$D17)</f>
        <v/>
      </c>
      <c r="AX17">
        <f>IF($A17="","",(2+MAX(0,ROUNDUP(($G17-1500)/500,0)))*$D17)</f>
        <v/>
      </c>
      <c r="AY17">
        <f>IF($A17="","",ROUND((2*2*($K17+$I17)*2*$D17+$Q17*$R17)/1000,1))</f>
        <v/>
      </c>
    </row>
    <row r="18" ht="40.15" customHeight="1">
      <c r="A18" s="101" t="n"/>
      <c r="B18" s="102" t="n"/>
      <c r="C18" s="92" t="n"/>
      <c r="D18" s="103" t="n"/>
      <c r="E18" s="108">
        <f>IF($A18="","",$B18)</f>
        <v/>
      </c>
      <c r="F18" s="98">
        <f>IF($A18="","",$L$54*$D18)</f>
        <v/>
      </c>
      <c r="G18" s="108">
        <f>IF($A18="","",$C18-$E$55-$F$55)</f>
        <v/>
      </c>
      <c r="H18" s="98">
        <f>IF($A18="","",$L$55*$D18)</f>
        <v/>
      </c>
      <c r="I18" s="108">
        <f>IF($A18="","",$B18-$E$56-$F$56-$G$56-$H$56)</f>
        <v/>
      </c>
      <c r="J18" s="98">
        <f>IF($A18="","",$L$56*$D18)</f>
        <v/>
      </c>
      <c r="K18" s="108">
        <f>IF($A18="","",(($C18-$E$57-$F$57-$G$57-$H$57-$I$57)/2)+(78*1)/2)</f>
        <v/>
      </c>
      <c r="L18" s="98">
        <f>IF($A18="","",$L$57*$D18)</f>
        <v/>
      </c>
      <c r="M18" s="108">
        <f>IF($A18="","",$I18-$E$58-$F$58)</f>
        <v/>
      </c>
      <c r="N18" s="98">
        <f>IF($A18="","",$L$58*$D18)</f>
        <v/>
      </c>
      <c r="O18" s="108">
        <f>IF($A18="","",$K18-$E$59-$F$59)</f>
        <v/>
      </c>
      <c r="P18" s="98">
        <f>IF($A18="","",$L$59*$D18)</f>
        <v/>
      </c>
      <c r="Q18" s="108">
        <f>IF($A18="","",$I18)</f>
        <v/>
      </c>
      <c r="R18" s="98">
        <f>IF($A18="","",$L$60*$D18)</f>
        <v/>
      </c>
      <c r="S18" s="108">
        <f>IF($A18="","",$B18-$E$61-$F$61)</f>
        <v/>
      </c>
      <c r="T18" s="98">
        <f>IF($A18="","",$L$61*$D18)</f>
        <v/>
      </c>
      <c r="U18" s="108">
        <f>IF($A18="","",$C18-$E$62-$F$62)</f>
        <v/>
      </c>
      <c r="V18" s="98">
        <f>IF($A18="","",$L$62*$D18)</f>
        <v/>
      </c>
      <c r="W18" s="108">
        <f>IF($A18="","",$B18-$E$63-$F$63)</f>
        <v/>
      </c>
      <c r="X18" s="98">
        <f>IF($A18="","",$L$63*$D18)</f>
        <v/>
      </c>
      <c r="Y18" s="108">
        <f>IF($A18="","",$Q18)</f>
        <v/>
      </c>
      <c r="Z18" s="98">
        <f>IF($A18="","",$L$64*$D18)</f>
        <v/>
      </c>
      <c r="AA18" s="108" t="n"/>
      <c r="AB18" s="98" t="n"/>
      <c r="AC18" s="108">
        <f>IF($A18="","",$C18-$E$65-$F$65)</f>
        <v/>
      </c>
      <c r="AD18" s="98">
        <f>IF($A18="","",$L$65*$D18)</f>
        <v/>
      </c>
      <c r="AE18" s="108" t="n"/>
      <c r="AF18" s="98" t="n"/>
      <c r="AG18" s="105">
        <f>IF($A18="","",$I18-68-68)</f>
        <v/>
      </c>
      <c r="AH18" s="106">
        <f>IF($A18="","",$K18-68-68)</f>
        <v/>
      </c>
      <c r="AI18" s="107">
        <f>IF($A18="","",2*$D18)</f>
        <v/>
      </c>
      <c r="AK18">
        <f>IF($A18="","",2*2*$D18)</f>
        <v/>
      </c>
      <c r="AL18">
        <f>IF($A18="","",$BC$7*$D18)</f>
        <v/>
      </c>
      <c r="AM18">
        <f>IF($A18="","",$BC$6*$D18)</f>
        <v/>
      </c>
      <c r="AN18">
        <f>IF($A18="","",$BC$9*$D18)</f>
        <v/>
      </c>
      <c r="AO18">
        <f>IF($A18="","",$BC$10*$D18)</f>
        <v/>
      </c>
      <c r="AP18">
        <f>IF($A18="","",2*$BC$6*$D18)</f>
        <v/>
      </c>
      <c r="AQ18">
        <f>IF($A18="","",IF($B18&gt;2800,2,IF($B18&gt;1400,1,0))*$BC$6*$D18)</f>
        <v/>
      </c>
      <c r="AR18">
        <f>IF($A18="","",2*$BC$6*$D18)</f>
        <v/>
      </c>
      <c r="AS18">
        <f>IF($A18="","",$BC$6*$D18)</f>
        <v/>
      </c>
      <c r="AT18">
        <f>IF($A18="","",2*$BC$6*$D18)</f>
        <v/>
      </c>
      <c r="AU18">
        <f>IF($A18="","",4*2*$D18)</f>
        <v/>
      </c>
      <c r="AV18">
        <f>IF($A18="","",16*2*$D18)</f>
        <v/>
      </c>
      <c r="AW18">
        <f>IF($A18="","",(2+MAX(0,ROUNDUP(($G18-1500)/500,0)))*$D18)</f>
        <v/>
      </c>
      <c r="AX18">
        <f>IF($A18="","",(2+MAX(0,ROUNDUP(($G18-1500)/500,0)))*$D18)</f>
        <v/>
      </c>
      <c r="AY18">
        <f>IF($A18="","",ROUND((2*2*($K18+$I18)*2*$D18+$Q18*$R18)/1000,1))</f>
        <v/>
      </c>
    </row>
    <row r="19" ht="40.15" customHeight="1">
      <c r="A19" s="101" t="n"/>
      <c r="B19" s="102" t="n"/>
      <c r="C19" s="92" t="n"/>
      <c r="D19" s="103" t="n"/>
      <c r="E19" s="104">
        <f>IF($A19="","",$B19)</f>
        <v/>
      </c>
      <c r="F19" s="92">
        <f>IF($A19="","",$L$54*$D19)</f>
        <v/>
      </c>
      <c r="G19" s="104">
        <f>IF($A19="","",$C19-$E$55-$F$55)</f>
        <v/>
      </c>
      <c r="H19" s="92">
        <f>IF($A19="","",$L$55*$D19)</f>
        <v/>
      </c>
      <c r="I19" s="104">
        <f>IF($A19="","",$B19-$E$56-$F$56-$G$56-$H$56)</f>
        <v/>
      </c>
      <c r="J19" s="92">
        <f>IF($A19="","",$L$56*$D19)</f>
        <v/>
      </c>
      <c r="K19" s="104">
        <f>IF($A19="","",(($C19-$E$57-$F$57-$G$57-$H$57-$I$57)/2)+(78*1)/2)</f>
        <v/>
      </c>
      <c r="L19" s="92">
        <f>IF($A19="","",$L$57*$D19)</f>
        <v/>
      </c>
      <c r="M19" s="104">
        <f>IF($A19="","",$I19-$E$58-$F$58)</f>
        <v/>
      </c>
      <c r="N19" s="92">
        <f>IF($A19="","",$L$58*$D19)</f>
        <v/>
      </c>
      <c r="O19" s="104">
        <f>IF($A19="","",$K19-$E$59-$F$59)</f>
        <v/>
      </c>
      <c r="P19" s="92">
        <f>IF($A19="","",$L$59*$D19)</f>
        <v/>
      </c>
      <c r="Q19" s="104">
        <f>IF($A19="","",$I19)</f>
        <v/>
      </c>
      <c r="R19" s="92">
        <f>IF($A19="","",$L$60*$D19)</f>
        <v/>
      </c>
      <c r="S19" s="104">
        <f>IF($A19="","",$B19-$E$61-$F$61)</f>
        <v/>
      </c>
      <c r="T19" s="92">
        <f>IF($A19="","",$L$61*$D19)</f>
        <v/>
      </c>
      <c r="U19" s="104">
        <f>IF($A19="","",$C19-$E$62-$F$62)</f>
        <v/>
      </c>
      <c r="V19" s="92">
        <f>IF($A19="","",$L$62*$D19)</f>
        <v/>
      </c>
      <c r="W19" s="104">
        <f>IF($A19="","",$B19-$E$63-$F$63)</f>
        <v/>
      </c>
      <c r="X19" s="92">
        <f>IF($A19="","",$L$63*$D19)</f>
        <v/>
      </c>
      <c r="Y19" s="104">
        <f>IF($A19="","",$Q19)</f>
        <v/>
      </c>
      <c r="Z19" s="92">
        <f>IF($A19="","",$L$64*$D19)</f>
        <v/>
      </c>
      <c r="AA19" s="104" t="n"/>
      <c r="AB19" s="92" t="n"/>
      <c r="AC19" s="104">
        <f>IF($A19="","",$C19-$E$65-$F$65)</f>
        <v/>
      </c>
      <c r="AD19" s="92">
        <f>IF($A19="","",$L$65*$D19)</f>
        <v/>
      </c>
      <c r="AE19" s="104" t="n"/>
      <c r="AF19" s="92" t="n"/>
      <c r="AG19" s="105">
        <f>IF($A19="","",$I19-68-68)</f>
        <v/>
      </c>
      <c r="AH19" s="106">
        <f>IF($A19="","",$K19-68-68)</f>
        <v/>
      </c>
      <c r="AI19" s="107">
        <f>IF($A19="","",2*$D19)</f>
        <v/>
      </c>
      <c r="AK19">
        <f>IF($A19="","",2*2*$D19)</f>
        <v/>
      </c>
      <c r="AL19">
        <f>IF($A19="","",$BC$7*$D19)</f>
        <v/>
      </c>
      <c r="AM19">
        <f>IF($A19="","",$BC$6*$D19)</f>
        <v/>
      </c>
      <c r="AN19">
        <f>IF($A19="","",$BC$9*$D19)</f>
        <v/>
      </c>
      <c r="AO19">
        <f>IF($A19="","",$BC$10*$D19)</f>
        <v/>
      </c>
      <c r="AP19">
        <f>IF($A19="","",2*$BC$6*$D19)</f>
        <v/>
      </c>
      <c r="AQ19">
        <f>IF($A19="","",IF($B19&gt;2800,2,IF($B19&gt;1400,1,0))*$BC$6*$D19)</f>
        <v/>
      </c>
      <c r="AR19">
        <f>IF($A19="","",2*$BC$6*$D19)</f>
        <v/>
      </c>
      <c r="AS19">
        <f>IF($A19="","",$BC$6*$D19)</f>
        <v/>
      </c>
      <c r="AT19">
        <f>IF($A19="","",2*$BC$6*$D19)</f>
        <v/>
      </c>
      <c r="AU19">
        <f>IF($A19="","",4*2*$D19)</f>
        <v/>
      </c>
      <c r="AV19">
        <f>IF($A19="","",16*2*$D19)</f>
        <v/>
      </c>
      <c r="AW19">
        <f>IF($A19="","",(2+MAX(0,ROUNDUP(($G19-1500)/500,0)))*$D19)</f>
        <v/>
      </c>
      <c r="AX19">
        <f>IF($A19="","",(2+MAX(0,ROUNDUP(($G19-1500)/500,0)))*$D19)</f>
        <v/>
      </c>
      <c r="AY19">
        <f>IF($A19="","",ROUND((2*2*($K19+$I19)*2*$D19+$Q19*$R19)/1000,1))</f>
        <v/>
      </c>
    </row>
    <row r="20" ht="40.15" customHeight="1">
      <c r="A20" s="101" t="n"/>
      <c r="B20" s="102" t="n"/>
      <c r="C20" s="92" t="n"/>
      <c r="D20" s="103" t="n"/>
      <c r="E20" s="108">
        <f>IF($A20="","",$B20)</f>
        <v/>
      </c>
      <c r="F20" s="98">
        <f>IF($A20="","",$L$54*$D20)</f>
        <v/>
      </c>
      <c r="G20" s="108">
        <f>IF($A20="","",$C20-$E$55-$F$55)</f>
        <v/>
      </c>
      <c r="H20" s="98">
        <f>IF($A20="","",$L$55*$D20)</f>
        <v/>
      </c>
      <c r="I20" s="108">
        <f>IF($A20="","",$B20-$E$56-$F$56-$G$56-$H$56)</f>
        <v/>
      </c>
      <c r="J20" s="98">
        <f>IF($A20="","",$L$56*$D20)</f>
        <v/>
      </c>
      <c r="K20" s="108">
        <f>IF($A20="","",(($C20-$E$57-$F$57-$G$57-$H$57-$I$57)/2)+(78*1)/2)</f>
        <v/>
      </c>
      <c r="L20" s="98">
        <f>IF($A20="","",$L$57*$D20)</f>
        <v/>
      </c>
      <c r="M20" s="108">
        <f>IF($A20="","",$I20-$E$58-$F$58)</f>
        <v/>
      </c>
      <c r="N20" s="98">
        <f>IF($A20="","",$L$58*$D20)</f>
        <v/>
      </c>
      <c r="O20" s="108">
        <f>IF($A20="","",$K20-$E$59-$F$59)</f>
        <v/>
      </c>
      <c r="P20" s="98">
        <f>IF($A20="","",$L$59*$D20)</f>
        <v/>
      </c>
      <c r="Q20" s="108">
        <f>IF($A20="","",$I20)</f>
        <v/>
      </c>
      <c r="R20" s="98">
        <f>IF($A20="","",$L$60*$D20)</f>
        <v/>
      </c>
      <c r="S20" s="108">
        <f>IF($A20="","",$B20-$E$61-$F$61)</f>
        <v/>
      </c>
      <c r="T20" s="98">
        <f>IF($A20="","",$L$61*$D20)</f>
        <v/>
      </c>
      <c r="U20" s="108">
        <f>IF($A20="","",$C20-$E$62-$F$62)</f>
        <v/>
      </c>
      <c r="V20" s="98">
        <f>IF($A20="","",$L$62*$D20)</f>
        <v/>
      </c>
      <c r="W20" s="108">
        <f>IF($A20="","",$B20-$E$63-$F$63)</f>
        <v/>
      </c>
      <c r="X20" s="98">
        <f>IF($A20="","",$L$63*$D20)</f>
        <v/>
      </c>
      <c r="Y20" s="108">
        <f>IF($A20="","",$Q20)</f>
        <v/>
      </c>
      <c r="Z20" s="98">
        <f>IF($A20="","",$L$64*$D20)</f>
        <v/>
      </c>
      <c r="AA20" s="108" t="n"/>
      <c r="AB20" s="98" t="n"/>
      <c r="AC20" s="108">
        <f>IF($A20="","",$C20-$E$65-$F$65)</f>
        <v/>
      </c>
      <c r="AD20" s="98">
        <f>IF($A20="","",$L$65*$D20)</f>
        <v/>
      </c>
      <c r="AE20" s="108" t="n"/>
      <c r="AF20" s="98" t="n"/>
      <c r="AG20" s="105">
        <f>IF($A20="","",$I20-68-68)</f>
        <v/>
      </c>
      <c r="AH20" s="106">
        <f>IF($A20="","",$K20-68-68)</f>
        <v/>
      </c>
      <c r="AI20" s="107">
        <f>IF($A20="","",2*$D20)</f>
        <v/>
      </c>
      <c r="AK20">
        <f>IF($A20="","",2*2*$D20)</f>
        <v/>
      </c>
      <c r="AL20">
        <f>IF($A20="","",$BC$7*$D20)</f>
        <v/>
      </c>
      <c r="AM20">
        <f>IF($A20="","",$BC$6*$D20)</f>
        <v/>
      </c>
      <c r="AN20">
        <f>IF($A20="","",$BC$9*$D20)</f>
        <v/>
      </c>
      <c r="AO20">
        <f>IF($A20="","",$BC$10*$D20)</f>
        <v/>
      </c>
      <c r="AP20">
        <f>IF($A20="","",2*$BC$6*$D20)</f>
        <v/>
      </c>
      <c r="AQ20">
        <f>IF($A20="","",IF($B20&gt;2800,2,IF($B20&gt;1400,1,0))*$BC$6*$D20)</f>
        <v/>
      </c>
      <c r="AR20">
        <f>IF($A20="","",2*$BC$6*$D20)</f>
        <v/>
      </c>
      <c r="AS20">
        <f>IF($A20="","",$BC$6*$D20)</f>
        <v/>
      </c>
      <c r="AT20">
        <f>IF($A20="","",2*$BC$6*$D20)</f>
        <v/>
      </c>
      <c r="AU20">
        <f>IF($A20="","",4*2*$D20)</f>
        <v/>
      </c>
      <c r="AV20">
        <f>IF($A20="","",16*2*$D20)</f>
        <v/>
      </c>
      <c r="AW20">
        <f>IF($A20="","",(2+MAX(0,ROUNDUP(($G20-1500)/500,0)))*$D20)</f>
        <v/>
      </c>
      <c r="AX20">
        <f>IF($A20="","",(2+MAX(0,ROUNDUP(($G20-1500)/500,0)))*$D20)</f>
        <v/>
      </c>
      <c r="AY20">
        <f>IF($A20="","",ROUND((2*2*($K20+$I20)*2*$D20+$Q20*$R20)/1000,1))</f>
        <v/>
      </c>
    </row>
    <row r="21" ht="40.15" customHeight="1">
      <c r="A21" s="101" t="n"/>
      <c r="B21" s="102" t="n"/>
      <c r="C21" s="92" t="n"/>
      <c r="D21" s="103" t="n"/>
      <c r="E21" s="104">
        <f>IF($A21="","",$B21)</f>
        <v/>
      </c>
      <c r="F21" s="92">
        <f>IF($A21="","",$L$54*$D21)</f>
        <v/>
      </c>
      <c r="G21" s="104">
        <f>IF($A21="","",$C21-$E$55-$F$55)</f>
        <v/>
      </c>
      <c r="H21" s="92">
        <f>IF($A21="","",$L$55*$D21)</f>
        <v/>
      </c>
      <c r="I21" s="104">
        <f>IF($A21="","",$B21-$E$56-$F$56-$G$56-$H$56)</f>
        <v/>
      </c>
      <c r="J21" s="92">
        <f>IF($A21="","",$L$56*$D21)</f>
        <v/>
      </c>
      <c r="K21" s="104">
        <f>IF($A21="","",(($C21-$E$57-$F$57-$G$57-$H$57-$I$57)/2)+(78*1)/2)</f>
        <v/>
      </c>
      <c r="L21" s="92">
        <f>IF($A21="","",$L$57*$D21)</f>
        <v/>
      </c>
      <c r="M21" s="104">
        <f>IF($A21="","",$I21-$E$58-$F$58)</f>
        <v/>
      </c>
      <c r="N21" s="92">
        <f>IF($A21="","",$L$58*$D21)</f>
        <v/>
      </c>
      <c r="O21" s="104">
        <f>IF($A21="","",$K21-$E$59-$F$59)</f>
        <v/>
      </c>
      <c r="P21" s="92">
        <f>IF($A21="","",$L$59*$D21)</f>
        <v/>
      </c>
      <c r="Q21" s="104">
        <f>IF($A21="","",$I21)</f>
        <v/>
      </c>
      <c r="R21" s="92">
        <f>IF($A21="","",$L$60*$D21)</f>
        <v/>
      </c>
      <c r="S21" s="104">
        <f>IF($A21="","",$B21-$E$61-$F$61)</f>
        <v/>
      </c>
      <c r="T21" s="92">
        <f>IF($A21="","",$L$61*$D21)</f>
        <v/>
      </c>
      <c r="U21" s="104">
        <f>IF($A21="","",$C21-$E$62-$F$62)</f>
        <v/>
      </c>
      <c r="V21" s="92">
        <f>IF($A21="","",$L$62*$D21)</f>
        <v/>
      </c>
      <c r="W21" s="104">
        <f>IF($A21="","",$B21-$E$63-$F$63)</f>
        <v/>
      </c>
      <c r="X21" s="92">
        <f>IF($A21="","",$L$63*$D21)</f>
        <v/>
      </c>
      <c r="Y21" s="104">
        <f>IF($A21="","",$Q21)</f>
        <v/>
      </c>
      <c r="Z21" s="92">
        <f>IF($A21="","",$L$64*$D21)</f>
        <v/>
      </c>
      <c r="AA21" s="104" t="n"/>
      <c r="AB21" s="92" t="n"/>
      <c r="AC21" s="104">
        <f>IF($A21="","",$C21-$E$65-$F$65)</f>
        <v/>
      </c>
      <c r="AD21" s="92">
        <f>IF($A21="","",$L$65*$D21)</f>
        <v/>
      </c>
      <c r="AE21" s="104" t="n"/>
      <c r="AF21" s="92" t="n"/>
      <c r="AG21" s="105">
        <f>IF($A21="","",$I21-68-68)</f>
        <v/>
      </c>
      <c r="AH21" s="106">
        <f>IF($A21="","",$K21-68-68)</f>
        <v/>
      </c>
      <c r="AI21" s="107">
        <f>IF($A21="","",2*$D21)</f>
        <v/>
      </c>
      <c r="AK21">
        <f>IF($A21="","",2*2*$D21)</f>
        <v/>
      </c>
      <c r="AL21">
        <f>IF($A21="","",$BC$7*$D21)</f>
        <v/>
      </c>
      <c r="AM21">
        <f>IF($A21="","",$BC$6*$D21)</f>
        <v/>
      </c>
      <c r="AN21">
        <f>IF($A21="","",$BC$9*$D21)</f>
        <v/>
      </c>
      <c r="AO21">
        <f>IF($A21="","",$BC$10*$D21)</f>
        <v/>
      </c>
      <c r="AP21">
        <f>IF($A21="","",2*$BC$6*$D21)</f>
        <v/>
      </c>
      <c r="AQ21">
        <f>IF($A21="","",IF($B21&gt;2800,2,IF($B21&gt;1400,1,0))*$BC$6*$D21)</f>
        <v/>
      </c>
      <c r="AR21">
        <f>IF($A21="","",2*$BC$6*$D21)</f>
        <v/>
      </c>
      <c r="AS21">
        <f>IF($A21="","",$BC$6*$D21)</f>
        <v/>
      </c>
      <c r="AT21">
        <f>IF($A21="","",2*$BC$6*$D21)</f>
        <v/>
      </c>
      <c r="AU21">
        <f>IF($A21="","",4*2*$D21)</f>
        <v/>
      </c>
      <c r="AV21">
        <f>IF($A21="","",16*2*$D21)</f>
        <v/>
      </c>
      <c r="AW21">
        <f>IF($A21="","",(2+MAX(0,ROUNDUP(($G21-1500)/500,0)))*$D21)</f>
        <v/>
      </c>
      <c r="AX21">
        <f>IF($A21="","",(2+MAX(0,ROUNDUP(($G21-1500)/500,0)))*$D21)</f>
        <v/>
      </c>
      <c r="AY21">
        <f>IF($A21="","",ROUND((2*2*($K21+$I21)*2*$D21+$Q21*$R21)/1000,1))</f>
        <v/>
      </c>
    </row>
    <row r="22" ht="40.15" customHeight="1">
      <c r="A22" s="101" t="n"/>
      <c r="B22" s="102" t="n"/>
      <c r="C22" s="92" t="n"/>
      <c r="D22" s="103" t="n"/>
      <c r="E22" s="108">
        <f>IF($A22="","",$B22)</f>
        <v/>
      </c>
      <c r="F22" s="98">
        <f>IF($A22="","",$L$54*$D22)</f>
        <v/>
      </c>
      <c r="G22" s="108">
        <f>IF($A22="","",$C22-$E$55-$F$55)</f>
        <v/>
      </c>
      <c r="H22" s="98">
        <f>IF($A22="","",$L$55*$D22)</f>
        <v/>
      </c>
      <c r="I22" s="108">
        <f>IF($A22="","",$B22-$E$56-$F$56-$G$56-$H$56)</f>
        <v/>
      </c>
      <c r="J22" s="98">
        <f>IF($A22="","",$L$56*$D22)</f>
        <v/>
      </c>
      <c r="K22" s="108">
        <f>IF($A22="","",(($C22-$E$57-$F$57-$G$57-$H$57-$I$57)/2)+(78*1)/2)</f>
        <v/>
      </c>
      <c r="L22" s="98">
        <f>IF($A22="","",$L$57*$D22)</f>
        <v/>
      </c>
      <c r="M22" s="108">
        <f>IF($A22="","",$I22-$E$58-$F$58)</f>
        <v/>
      </c>
      <c r="N22" s="98">
        <f>IF($A22="","",$L$58*$D22)</f>
        <v/>
      </c>
      <c r="O22" s="108">
        <f>IF($A22="","",$K22-$E$59-$F$59)</f>
        <v/>
      </c>
      <c r="P22" s="98">
        <f>IF($A22="","",$L$59*$D22)</f>
        <v/>
      </c>
      <c r="Q22" s="108">
        <f>IF($A22="","",$I22)</f>
        <v/>
      </c>
      <c r="R22" s="98">
        <f>IF($A22="","",$L$60*$D22)</f>
        <v/>
      </c>
      <c r="S22" s="108">
        <f>IF($A22="","",$B22-$E$61-$F$61)</f>
        <v/>
      </c>
      <c r="T22" s="98">
        <f>IF($A22="","",$L$61*$D22)</f>
        <v/>
      </c>
      <c r="U22" s="108">
        <f>IF($A22="","",$C22-$E$62-$F$62)</f>
        <v/>
      </c>
      <c r="V22" s="98">
        <f>IF($A22="","",$L$62*$D22)</f>
        <v/>
      </c>
      <c r="W22" s="108">
        <f>IF($A22="","",$B22-$E$63-$F$63)</f>
        <v/>
      </c>
      <c r="X22" s="98">
        <f>IF($A22="","",$L$63*$D22)</f>
        <v/>
      </c>
      <c r="Y22" s="108">
        <f>IF($A22="","",$Q22)</f>
        <v/>
      </c>
      <c r="Z22" s="98">
        <f>IF($A22="","",$L$64*$D22)</f>
        <v/>
      </c>
      <c r="AA22" s="108" t="n"/>
      <c r="AB22" s="98" t="n"/>
      <c r="AC22" s="108">
        <f>IF($A22="","",$C22-$E$65-$F$65)</f>
        <v/>
      </c>
      <c r="AD22" s="98">
        <f>IF($A22="","",$L$65*$D22)</f>
        <v/>
      </c>
      <c r="AE22" s="108" t="n"/>
      <c r="AF22" s="98" t="n"/>
      <c r="AG22" s="105">
        <f>IF($A22="","",$I22-68-68)</f>
        <v/>
      </c>
      <c r="AH22" s="106">
        <f>IF($A22="","",$K22-68-68)</f>
        <v/>
      </c>
      <c r="AI22" s="107">
        <f>IF($A22="","",2*$D22)</f>
        <v/>
      </c>
      <c r="AK22">
        <f>IF($A22="","",2*2*$D22)</f>
        <v/>
      </c>
      <c r="AL22">
        <f>IF($A22="","",$BC$7*$D22)</f>
        <v/>
      </c>
      <c r="AM22">
        <f>IF($A22="","",$BC$6*$D22)</f>
        <v/>
      </c>
      <c r="AN22">
        <f>IF($A22="","",$BC$9*$D22)</f>
        <v/>
      </c>
      <c r="AO22">
        <f>IF($A22="","",$BC$10*$D22)</f>
        <v/>
      </c>
      <c r="AP22">
        <f>IF($A22="","",2*$BC$6*$D22)</f>
        <v/>
      </c>
      <c r="AQ22">
        <f>IF($A22="","",IF($B22&gt;2800,2,IF($B22&gt;1400,1,0))*$BC$6*$D22)</f>
        <v/>
      </c>
      <c r="AR22">
        <f>IF($A22="","",2*$BC$6*$D22)</f>
        <v/>
      </c>
      <c r="AS22">
        <f>IF($A22="","",$BC$6*$D22)</f>
        <v/>
      </c>
      <c r="AT22">
        <f>IF($A22="","",2*$BC$6*$D22)</f>
        <v/>
      </c>
      <c r="AU22">
        <f>IF($A22="","",4*2*$D22)</f>
        <v/>
      </c>
      <c r="AV22">
        <f>IF($A22="","",16*2*$D22)</f>
        <v/>
      </c>
      <c r="AW22">
        <f>IF($A22="","",(2+MAX(0,ROUNDUP(($G22-1500)/500,0)))*$D22)</f>
        <v/>
      </c>
      <c r="AX22">
        <f>IF($A22="","",(2+MAX(0,ROUNDUP(($G22-1500)/500,0)))*$D22)</f>
        <v/>
      </c>
      <c r="AY22">
        <f>IF($A22="","",ROUND((2*2*($K22+$I22)*2*$D22+$Q22*$R22)/1000,1))</f>
        <v/>
      </c>
    </row>
    <row r="23" ht="40.15" customHeight="1">
      <c r="A23" s="101" t="n"/>
      <c r="B23" s="102" t="n"/>
      <c r="C23" s="92" t="n"/>
      <c r="D23" s="103" t="n"/>
      <c r="E23" s="104">
        <f>IF($A23="","",$B23)</f>
        <v/>
      </c>
      <c r="F23" s="92">
        <f>IF($A23="","",$L$54*$D23)</f>
        <v/>
      </c>
      <c r="G23" s="104">
        <f>IF($A23="","",$C23-$E$55-$F$55)</f>
        <v/>
      </c>
      <c r="H23" s="92">
        <f>IF($A23="","",$L$55*$D23)</f>
        <v/>
      </c>
      <c r="I23" s="104">
        <f>IF($A23="","",$B23-$E$56-$F$56-$G$56-$H$56)</f>
        <v/>
      </c>
      <c r="J23" s="92">
        <f>IF($A23="","",$L$56*$D23)</f>
        <v/>
      </c>
      <c r="K23" s="104">
        <f>IF($A23="","",(($C23-$E$57-$F$57-$G$57-$H$57-$I$57)/2)+(78*1)/2)</f>
        <v/>
      </c>
      <c r="L23" s="92">
        <f>IF($A23="","",$L$57*$D23)</f>
        <v/>
      </c>
      <c r="M23" s="104">
        <f>IF($A23="","",$I23-$E$58-$F$58)</f>
        <v/>
      </c>
      <c r="N23" s="92">
        <f>IF($A23="","",$L$58*$D23)</f>
        <v/>
      </c>
      <c r="O23" s="104">
        <f>IF($A23="","",$K23-$E$59-$F$59)</f>
        <v/>
      </c>
      <c r="P23" s="92">
        <f>IF($A23="","",$L$59*$D23)</f>
        <v/>
      </c>
      <c r="Q23" s="104">
        <f>IF($A23="","",$I23)</f>
        <v/>
      </c>
      <c r="R23" s="92">
        <f>IF($A23="","",$L$60*$D23)</f>
        <v/>
      </c>
      <c r="S23" s="104">
        <f>IF($A23="","",$B23-$E$61-$F$61)</f>
        <v/>
      </c>
      <c r="T23" s="92">
        <f>IF($A23="","",$L$61*$D23)</f>
        <v/>
      </c>
      <c r="U23" s="104">
        <f>IF($A23="","",$C23-$E$62-$F$62)</f>
        <v/>
      </c>
      <c r="V23" s="92">
        <f>IF($A23="","",$L$62*$D23)</f>
        <v/>
      </c>
      <c r="W23" s="104">
        <f>IF($A23="","",$B23-$E$63-$F$63)</f>
        <v/>
      </c>
      <c r="X23" s="92">
        <f>IF($A23="","",$L$63*$D23)</f>
        <v/>
      </c>
      <c r="Y23" s="104">
        <f>IF($A23="","",$Q23)</f>
        <v/>
      </c>
      <c r="Z23" s="92">
        <f>IF($A23="","",$L$64*$D23)</f>
        <v/>
      </c>
      <c r="AA23" s="104" t="n"/>
      <c r="AB23" s="92" t="n"/>
      <c r="AC23" s="104">
        <f>IF($A23="","",$C23-$E$65-$F$65)</f>
        <v/>
      </c>
      <c r="AD23" s="92">
        <f>IF($A23="","",$L$65*$D23)</f>
        <v/>
      </c>
      <c r="AE23" s="104" t="n"/>
      <c r="AF23" s="92" t="n"/>
      <c r="AG23" s="105">
        <f>IF($A23="","",$I23-68-68)</f>
        <v/>
      </c>
      <c r="AH23" s="106">
        <f>IF($A23="","",$K23-68-68)</f>
        <v/>
      </c>
      <c r="AI23" s="107">
        <f>IF($A23="","",2*$D23)</f>
        <v/>
      </c>
      <c r="AK23">
        <f>IF($A23="","",2*2*$D23)</f>
        <v/>
      </c>
      <c r="AL23">
        <f>IF($A23="","",$BC$7*$D23)</f>
        <v/>
      </c>
      <c r="AM23">
        <f>IF($A23="","",$BC$6*$D23)</f>
        <v/>
      </c>
      <c r="AN23">
        <f>IF($A23="","",$BC$9*$D23)</f>
        <v/>
      </c>
      <c r="AO23">
        <f>IF($A23="","",$BC$10*$D23)</f>
        <v/>
      </c>
      <c r="AP23">
        <f>IF($A23="","",2*$BC$6*$D23)</f>
        <v/>
      </c>
      <c r="AQ23">
        <f>IF($A23="","",IF($B23&gt;2800,2,IF($B23&gt;1400,1,0))*$BC$6*$D23)</f>
        <v/>
      </c>
      <c r="AR23">
        <f>IF($A23="","",2*$BC$6*$D23)</f>
        <v/>
      </c>
      <c r="AS23">
        <f>IF($A23="","",$BC$6*$D23)</f>
        <v/>
      </c>
      <c r="AT23">
        <f>IF($A23="","",2*$BC$6*$D23)</f>
        <v/>
      </c>
      <c r="AU23">
        <f>IF($A23="","",4*2*$D23)</f>
        <v/>
      </c>
      <c r="AV23">
        <f>IF($A23="","",16*2*$D23)</f>
        <v/>
      </c>
      <c r="AW23">
        <f>IF($A23="","",(2+MAX(0,ROUNDUP(($G23-1500)/500,0)))*$D23)</f>
        <v/>
      </c>
      <c r="AX23">
        <f>IF($A23="","",(2+MAX(0,ROUNDUP(($G23-1500)/500,0)))*$D23)</f>
        <v/>
      </c>
      <c r="AY23">
        <f>IF($A23="","",ROUND((2*2*($K23+$I23)*2*$D23+$Q23*$R23)/1000,1))</f>
        <v/>
      </c>
    </row>
    <row r="24" ht="40.15" customHeight="1">
      <c r="A24" s="101" t="n"/>
      <c r="B24" s="102" t="n"/>
      <c r="C24" s="92" t="n"/>
      <c r="D24" s="103" t="n"/>
      <c r="E24" s="108">
        <f>IF($A24="","",$B24)</f>
        <v/>
      </c>
      <c r="F24" s="98">
        <f>IF($A24="","",$L$54*$D24)</f>
        <v/>
      </c>
      <c r="G24" s="108">
        <f>IF($A24="","",$C24-$E$55-$F$55)</f>
        <v/>
      </c>
      <c r="H24" s="98">
        <f>IF($A24="","",$L$55*$D24)</f>
        <v/>
      </c>
      <c r="I24" s="108">
        <f>IF($A24="","",$B24-$E$56-$F$56-$G$56-$H$56)</f>
        <v/>
      </c>
      <c r="J24" s="98">
        <f>IF($A24="","",$L$56*$D24)</f>
        <v/>
      </c>
      <c r="K24" s="108">
        <f>IF($A24="","",(($C24-$E$57-$F$57-$G$57-$H$57-$I$57)/2)+(78*1)/2)</f>
        <v/>
      </c>
      <c r="L24" s="98">
        <f>IF($A24="","",$L$57*$D24)</f>
        <v/>
      </c>
      <c r="M24" s="108">
        <f>IF($A24="","",$I24-$E$58-$F$58)</f>
        <v/>
      </c>
      <c r="N24" s="98">
        <f>IF($A24="","",$L$58*$D24)</f>
        <v/>
      </c>
      <c r="O24" s="108">
        <f>IF($A24="","",$K24-$E$59-$F$59)</f>
        <v/>
      </c>
      <c r="P24" s="98">
        <f>IF($A24="","",$L$59*$D24)</f>
        <v/>
      </c>
      <c r="Q24" s="108">
        <f>IF($A24="","",$I24)</f>
        <v/>
      </c>
      <c r="R24" s="98">
        <f>IF($A24="","",$L$60*$D24)</f>
        <v/>
      </c>
      <c r="S24" s="108">
        <f>IF($A24="","",$B24-$E$61-$F$61)</f>
        <v/>
      </c>
      <c r="T24" s="98">
        <f>IF($A24="","",$L$61*$D24)</f>
        <v/>
      </c>
      <c r="U24" s="108">
        <f>IF($A24="","",$C24-$E$62-$F$62)</f>
        <v/>
      </c>
      <c r="V24" s="98">
        <f>IF($A24="","",$L$62*$D24)</f>
        <v/>
      </c>
      <c r="W24" s="108">
        <f>IF($A24="","",$B24-$E$63-$F$63)</f>
        <v/>
      </c>
      <c r="X24" s="98">
        <f>IF($A24="","",$L$63*$D24)</f>
        <v/>
      </c>
      <c r="Y24" s="108">
        <f>IF($A24="","",$Q24)</f>
        <v/>
      </c>
      <c r="Z24" s="98">
        <f>IF($A24="","",$L$64*$D24)</f>
        <v/>
      </c>
      <c r="AA24" s="108" t="n"/>
      <c r="AB24" s="98" t="n"/>
      <c r="AC24" s="108">
        <f>IF($A24="","",$C24-$E$65-$F$65)</f>
        <v/>
      </c>
      <c r="AD24" s="98">
        <f>IF($A24="","",$L$65*$D24)</f>
        <v/>
      </c>
      <c r="AE24" s="108" t="n"/>
      <c r="AF24" s="98" t="n"/>
      <c r="AG24" s="105">
        <f>IF($A24="","",$I24-68-68)</f>
        <v/>
      </c>
      <c r="AH24" s="106">
        <f>IF($A24="","",$K24-68-68)</f>
        <v/>
      </c>
      <c r="AI24" s="107">
        <f>IF($A24="","",2*$D24)</f>
        <v/>
      </c>
      <c r="AK24">
        <f>IF($A24="","",2*2*$D24)</f>
        <v/>
      </c>
      <c r="AL24">
        <f>IF($A24="","",$BC$7*$D24)</f>
        <v/>
      </c>
      <c r="AM24">
        <f>IF($A24="","",$BC$6*$D24)</f>
        <v/>
      </c>
      <c r="AN24">
        <f>IF($A24="","",$BC$9*$D24)</f>
        <v/>
      </c>
      <c r="AO24">
        <f>IF($A24="","",$BC$10*$D24)</f>
        <v/>
      </c>
      <c r="AP24">
        <f>IF($A24="","",2*$BC$6*$D24)</f>
        <v/>
      </c>
      <c r="AQ24">
        <f>IF($A24="","",IF($B24&gt;2800,2,IF($B24&gt;1400,1,0))*$BC$6*$D24)</f>
        <v/>
      </c>
      <c r="AR24">
        <f>IF($A24="","",2*$BC$6*$D24)</f>
        <v/>
      </c>
      <c r="AS24">
        <f>IF($A24="","",$BC$6*$D24)</f>
        <v/>
      </c>
      <c r="AT24">
        <f>IF($A24="","",2*$BC$6*$D24)</f>
        <v/>
      </c>
      <c r="AU24">
        <f>IF($A24="","",4*2*$D24)</f>
        <v/>
      </c>
      <c r="AV24">
        <f>IF($A24="","",16*2*$D24)</f>
        <v/>
      </c>
      <c r="AW24">
        <f>IF($A24="","",(2+MAX(0,ROUNDUP(($G24-1500)/500,0)))*$D24)</f>
        <v/>
      </c>
      <c r="AX24">
        <f>IF($A24="","",(2+MAX(0,ROUNDUP(($G24-1500)/500,0)))*$D24)</f>
        <v/>
      </c>
      <c r="AY24">
        <f>IF($A24="","",ROUND((2*2*($K24+$I24)*2*$D24+$Q24*$R24)/1000,1))</f>
        <v/>
      </c>
    </row>
    <row r="25" ht="40.15" customHeight="1">
      <c r="A25" s="101" t="n"/>
      <c r="B25" s="102" t="n"/>
      <c r="C25" s="92" t="n"/>
      <c r="D25" s="103" t="n"/>
      <c r="E25" s="104">
        <f>IF($A25="","",$B25)</f>
        <v/>
      </c>
      <c r="F25" s="92">
        <f>IF($A25="","",$L$54*$D25)</f>
        <v/>
      </c>
      <c r="G25" s="104">
        <f>IF($A25="","",$C25-$E$55-$F$55)</f>
        <v/>
      </c>
      <c r="H25" s="92">
        <f>IF($A25="","",$L$55*$D25)</f>
        <v/>
      </c>
      <c r="I25" s="104">
        <f>IF($A25="","",$B25-$E$56-$F$56-$G$56-$H$56)</f>
        <v/>
      </c>
      <c r="J25" s="92">
        <f>IF($A25="","",$L$56*$D25)</f>
        <v/>
      </c>
      <c r="K25" s="104">
        <f>IF($A25="","",(($C25-$E$57-$F$57-$G$57-$H$57-$I$57)/2)+(78*1)/2)</f>
        <v/>
      </c>
      <c r="L25" s="92">
        <f>IF($A25="","",$L$57*$D25)</f>
        <v/>
      </c>
      <c r="M25" s="104">
        <f>IF($A25="","",$I25-$E$58-$F$58)</f>
        <v/>
      </c>
      <c r="N25" s="92">
        <f>IF($A25="","",$L$58*$D25)</f>
        <v/>
      </c>
      <c r="O25" s="104">
        <f>IF($A25="","",$K25-$E$59-$F$59)</f>
        <v/>
      </c>
      <c r="P25" s="92">
        <f>IF($A25="","",$L$59*$D25)</f>
        <v/>
      </c>
      <c r="Q25" s="104">
        <f>IF($A25="","",$I25)</f>
        <v/>
      </c>
      <c r="R25" s="92">
        <f>IF($A25="","",$L$60*$D25)</f>
        <v/>
      </c>
      <c r="S25" s="104">
        <f>IF($A25="","",$B25-$E$61-$F$61)</f>
        <v/>
      </c>
      <c r="T25" s="92">
        <f>IF($A25="","",$L$61*$D25)</f>
        <v/>
      </c>
      <c r="U25" s="104">
        <f>IF($A25="","",$C25-$E$62-$F$62)</f>
        <v/>
      </c>
      <c r="V25" s="92">
        <f>IF($A25="","",$L$62*$D25)</f>
        <v/>
      </c>
      <c r="W25" s="104">
        <f>IF($A25="","",$B25-$E$63-$F$63)</f>
        <v/>
      </c>
      <c r="X25" s="92">
        <f>IF($A25="","",$L$63*$D25)</f>
        <v/>
      </c>
      <c r="Y25" s="104">
        <f>IF($A25="","",$Q25)</f>
        <v/>
      </c>
      <c r="Z25" s="92">
        <f>IF($A25="","",$L$64*$D25)</f>
        <v/>
      </c>
      <c r="AA25" s="104" t="n"/>
      <c r="AB25" s="92" t="n"/>
      <c r="AC25" s="104">
        <f>IF($A25="","",$C25-$E$65-$F$65)</f>
        <v/>
      </c>
      <c r="AD25" s="92">
        <f>IF($A25="","",$L$65*$D25)</f>
        <v/>
      </c>
      <c r="AE25" s="104" t="n"/>
      <c r="AF25" s="92" t="n"/>
      <c r="AG25" s="105">
        <f>IF($A25="","",$I25-68-68)</f>
        <v/>
      </c>
      <c r="AH25" s="106">
        <f>IF($A25="","",$K25-68-68)</f>
        <v/>
      </c>
      <c r="AI25" s="107">
        <f>IF($A25="","",2*$D25)</f>
        <v/>
      </c>
      <c r="AK25">
        <f>IF($A25="","",2*2*$D25)</f>
        <v/>
      </c>
      <c r="AL25">
        <f>IF($A25="","",$BC$7*$D25)</f>
        <v/>
      </c>
      <c r="AM25">
        <f>IF($A25="","",$BC$6*$D25)</f>
        <v/>
      </c>
      <c r="AN25">
        <f>IF($A25="","",$BC$9*$D25)</f>
        <v/>
      </c>
      <c r="AO25">
        <f>IF($A25="","",$BC$10*$D25)</f>
        <v/>
      </c>
      <c r="AP25">
        <f>IF($A25="","",2*$BC$6*$D25)</f>
        <v/>
      </c>
      <c r="AQ25">
        <f>IF($A25="","",IF($B25&gt;2800,2,IF($B25&gt;1400,1,0))*$BC$6*$D25)</f>
        <v/>
      </c>
      <c r="AR25">
        <f>IF($A25="","",2*$BC$6*$D25)</f>
        <v/>
      </c>
      <c r="AS25">
        <f>IF($A25="","",$BC$6*$D25)</f>
        <v/>
      </c>
      <c r="AT25">
        <f>IF($A25="","",2*$BC$6*$D25)</f>
        <v/>
      </c>
      <c r="AU25">
        <f>IF($A25="","",4*2*$D25)</f>
        <v/>
      </c>
      <c r="AV25">
        <f>IF($A25="","",16*2*$D25)</f>
        <v/>
      </c>
      <c r="AW25">
        <f>IF($A25="","",(2+MAX(0,ROUNDUP(($G25-1500)/500,0)))*$D25)</f>
        <v/>
      </c>
      <c r="AX25">
        <f>IF($A25="","",(2+MAX(0,ROUNDUP(($G25-1500)/500,0)))*$D25)</f>
        <v/>
      </c>
      <c r="AY25">
        <f>IF($A25="","",ROUND((2*2*($K25+$I25)*2*$D25+$Q25*$R25)/1000,1))</f>
        <v/>
      </c>
    </row>
    <row r="26" ht="40.15" customHeight="1">
      <c r="A26" s="101" t="n"/>
      <c r="B26" s="102" t="n"/>
      <c r="C26" s="92" t="n"/>
      <c r="D26" s="103" t="n"/>
      <c r="E26" s="108">
        <f>IF($A26="","",$B26)</f>
        <v/>
      </c>
      <c r="F26" s="98">
        <f>IF($A26="","",$L$54*$D26)</f>
        <v/>
      </c>
      <c r="G26" s="108">
        <f>IF($A26="","",$C26-$E$55-$F$55)</f>
        <v/>
      </c>
      <c r="H26" s="98">
        <f>IF($A26="","",$L$55*$D26)</f>
        <v/>
      </c>
      <c r="I26" s="108">
        <f>IF($A26="","",$B26-$E$56-$F$56-$G$56-$H$56)</f>
        <v/>
      </c>
      <c r="J26" s="98">
        <f>IF($A26="","",$L$56*$D26)</f>
        <v/>
      </c>
      <c r="K26" s="108">
        <f>IF($A26="","",(($C26-$E$57-$F$57-$G$57-$H$57-$I$57)/2)+(78*1)/2)</f>
        <v/>
      </c>
      <c r="L26" s="98">
        <f>IF($A26="","",$L$57*$D26)</f>
        <v/>
      </c>
      <c r="M26" s="108">
        <f>IF($A26="","",$I26-$E$58-$F$58)</f>
        <v/>
      </c>
      <c r="N26" s="98">
        <f>IF($A26="","",$L$58*$D26)</f>
        <v/>
      </c>
      <c r="O26" s="108">
        <f>IF($A26="","",$K26-$E$59-$F$59)</f>
        <v/>
      </c>
      <c r="P26" s="98">
        <f>IF($A26="","",$L$59*$D26)</f>
        <v/>
      </c>
      <c r="Q26" s="108">
        <f>IF($A26="","",$I26)</f>
        <v/>
      </c>
      <c r="R26" s="98">
        <f>IF($A26="","",$L$60*$D26)</f>
        <v/>
      </c>
      <c r="S26" s="108">
        <f>IF($A26="","",$B26-$E$61-$F$61)</f>
        <v/>
      </c>
      <c r="T26" s="98">
        <f>IF($A26="","",$L$61*$D26)</f>
        <v/>
      </c>
      <c r="U26" s="108">
        <f>IF($A26="","",$C26-$E$62-$F$62)</f>
        <v/>
      </c>
      <c r="V26" s="98">
        <f>IF($A26="","",$L$62*$D26)</f>
        <v/>
      </c>
      <c r="W26" s="108">
        <f>IF($A26="","",$B26-$E$63-$F$63)</f>
        <v/>
      </c>
      <c r="X26" s="98">
        <f>IF($A26="","",$L$63*$D26)</f>
        <v/>
      </c>
      <c r="Y26" s="108">
        <f>IF($A26="","",$Q26)</f>
        <v/>
      </c>
      <c r="Z26" s="98">
        <f>IF($A26="","",$L$64*$D26)</f>
        <v/>
      </c>
      <c r="AA26" s="108" t="n"/>
      <c r="AB26" s="98" t="n"/>
      <c r="AC26" s="108">
        <f>IF($A26="","",$C26-$E$65-$F$65)</f>
        <v/>
      </c>
      <c r="AD26" s="98">
        <f>IF($A26="","",$L$65*$D26)</f>
        <v/>
      </c>
      <c r="AE26" s="108" t="n"/>
      <c r="AF26" s="98" t="n"/>
      <c r="AG26" s="105">
        <f>IF($A26="","",$I26-68-68)</f>
        <v/>
      </c>
      <c r="AH26" s="106">
        <f>IF($A26="","",$K26-68-68)</f>
        <v/>
      </c>
      <c r="AI26" s="107">
        <f>IF($A26="","",2*$D26)</f>
        <v/>
      </c>
      <c r="AK26">
        <f>IF($A26="","",2*2*$D26)</f>
        <v/>
      </c>
      <c r="AL26">
        <f>IF($A26="","",$BC$7*$D26)</f>
        <v/>
      </c>
      <c r="AM26">
        <f>IF($A26="","",$BC$6*$D26)</f>
        <v/>
      </c>
      <c r="AN26">
        <f>IF($A26="","",$BC$9*$D26)</f>
        <v/>
      </c>
      <c r="AO26">
        <f>IF($A26="","",$BC$10*$D26)</f>
        <v/>
      </c>
      <c r="AP26">
        <f>IF($A26="","",2*$BC$6*$D26)</f>
        <v/>
      </c>
      <c r="AQ26">
        <f>IF($A26="","",IF($B26&gt;2800,2,IF($B26&gt;1400,1,0))*$BC$6*$D26)</f>
        <v/>
      </c>
      <c r="AR26">
        <f>IF($A26="","",2*$BC$6*$D26)</f>
        <v/>
      </c>
      <c r="AS26">
        <f>IF($A26="","",$BC$6*$D26)</f>
        <v/>
      </c>
      <c r="AT26">
        <f>IF($A26="","",2*$BC$6*$D26)</f>
        <v/>
      </c>
      <c r="AU26">
        <f>IF($A26="","",4*2*$D26)</f>
        <v/>
      </c>
      <c r="AV26">
        <f>IF($A26="","",16*2*$D26)</f>
        <v/>
      </c>
      <c r="AW26">
        <f>IF($A26="","",(2+MAX(0,ROUNDUP(($G26-1500)/500,0)))*$D26)</f>
        <v/>
      </c>
      <c r="AX26">
        <f>IF($A26="","",(2+MAX(0,ROUNDUP(($G26-1500)/500,0)))*$D26)</f>
        <v/>
      </c>
      <c r="AY26">
        <f>IF($A26="","",ROUND((2*2*($K26+$I26)*2*$D26+$Q26*$R26)/1000,1))</f>
        <v/>
      </c>
    </row>
    <row r="27" ht="40.15" customHeight="1">
      <c r="A27" s="101" t="n"/>
      <c r="B27" s="102" t="n"/>
      <c r="C27" s="92" t="n"/>
      <c r="D27" s="103" t="n"/>
      <c r="E27" s="104">
        <f>IF($A27="","",$B27)</f>
        <v/>
      </c>
      <c r="F27" s="92">
        <f>IF($A27="","",$L$54*$D27)</f>
        <v/>
      </c>
      <c r="G27" s="104">
        <f>IF($A27="","",$C27-$E$55-$F$55)</f>
        <v/>
      </c>
      <c r="H27" s="92">
        <f>IF($A27="","",$L$55*$D27)</f>
        <v/>
      </c>
      <c r="I27" s="104">
        <f>IF($A27="","",$B27-$E$56-$F$56-$G$56-$H$56)</f>
        <v/>
      </c>
      <c r="J27" s="92">
        <f>IF($A27="","",$L$56*$D27)</f>
        <v/>
      </c>
      <c r="K27" s="104">
        <f>IF($A27="","",(($C27-$E$57-$F$57-$G$57-$H$57-$I$57)/2)+(78*1)/2)</f>
        <v/>
      </c>
      <c r="L27" s="92">
        <f>IF($A27="","",$L$57*$D27)</f>
        <v/>
      </c>
      <c r="M27" s="104">
        <f>IF($A27="","",$I27-$E$58-$F$58)</f>
        <v/>
      </c>
      <c r="N27" s="92">
        <f>IF($A27="","",$L$58*$D27)</f>
        <v/>
      </c>
      <c r="O27" s="104">
        <f>IF($A27="","",$K27-$E$59-$F$59)</f>
        <v/>
      </c>
      <c r="P27" s="92">
        <f>IF($A27="","",$L$59*$D27)</f>
        <v/>
      </c>
      <c r="Q27" s="104">
        <f>IF($A27="","",$I27)</f>
        <v/>
      </c>
      <c r="R27" s="92">
        <f>IF($A27="","",$L$60*$D27)</f>
        <v/>
      </c>
      <c r="S27" s="104">
        <f>IF($A27="","",$B27-$E$61-$F$61)</f>
        <v/>
      </c>
      <c r="T27" s="92">
        <f>IF($A27="","",$L$61*$D27)</f>
        <v/>
      </c>
      <c r="U27" s="104">
        <f>IF($A27="","",$C27-$E$62-$F$62)</f>
        <v/>
      </c>
      <c r="V27" s="92">
        <f>IF($A27="","",$L$62*$D27)</f>
        <v/>
      </c>
      <c r="W27" s="104">
        <f>IF($A27="","",$B27-$E$63-$F$63)</f>
        <v/>
      </c>
      <c r="X27" s="92">
        <f>IF($A27="","",$L$63*$D27)</f>
        <v/>
      </c>
      <c r="Y27" s="104">
        <f>IF($A27="","",$Q27)</f>
        <v/>
      </c>
      <c r="Z27" s="92">
        <f>IF($A27="","",$L$64*$D27)</f>
        <v/>
      </c>
      <c r="AA27" s="104" t="n"/>
      <c r="AB27" s="92" t="n"/>
      <c r="AC27" s="104">
        <f>IF($A27="","",$C27-$E$65-$F$65)</f>
        <v/>
      </c>
      <c r="AD27" s="92">
        <f>IF($A27="","",$L$65*$D27)</f>
        <v/>
      </c>
      <c r="AE27" s="104" t="n"/>
      <c r="AF27" s="92" t="n"/>
      <c r="AG27" s="105">
        <f>IF($A27="","",$I27-68-68)</f>
        <v/>
      </c>
      <c r="AH27" s="106">
        <f>IF($A27="","",$K27-68-68)</f>
        <v/>
      </c>
      <c r="AI27" s="107">
        <f>IF($A27="","",2*$D27)</f>
        <v/>
      </c>
      <c r="AK27">
        <f>IF($A27="","",2*2*$D27)</f>
        <v/>
      </c>
      <c r="AL27">
        <f>IF($A27="","",$BC$7*$D27)</f>
        <v/>
      </c>
      <c r="AM27">
        <f>IF($A27="","",$BC$6*$D27)</f>
        <v/>
      </c>
      <c r="AN27">
        <f>IF($A27="","",$BC$9*$D27)</f>
        <v/>
      </c>
      <c r="AO27">
        <f>IF($A27="","",$BC$10*$D27)</f>
        <v/>
      </c>
      <c r="AP27">
        <f>IF($A27="","",2*$BC$6*$D27)</f>
        <v/>
      </c>
      <c r="AQ27">
        <f>IF($A27="","",IF($B27&gt;2800,2,IF($B27&gt;1400,1,0))*$BC$6*$D27)</f>
        <v/>
      </c>
      <c r="AR27">
        <f>IF($A27="","",2*$BC$6*$D27)</f>
        <v/>
      </c>
      <c r="AS27">
        <f>IF($A27="","",$BC$6*$D27)</f>
        <v/>
      </c>
      <c r="AT27">
        <f>IF($A27="","",2*$BC$6*$D27)</f>
        <v/>
      </c>
      <c r="AU27">
        <f>IF($A27="","",4*2*$D27)</f>
        <v/>
      </c>
      <c r="AV27">
        <f>IF($A27="","",16*2*$D27)</f>
        <v/>
      </c>
      <c r="AW27">
        <f>IF($A27="","",(2+MAX(0,ROUNDUP(($G27-1500)/500,0)))*$D27)</f>
        <v/>
      </c>
      <c r="AX27">
        <f>IF($A27="","",(2+MAX(0,ROUNDUP(($G27-1500)/500,0)))*$D27)</f>
        <v/>
      </c>
      <c r="AY27">
        <f>IF($A27="","",ROUND((2*2*($K27+$I27)*2*$D27+$Q27*$R27)/1000,1))</f>
        <v/>
      </c>
    </row>
    <row r="28" ht="40.15" customHeight="1">
      <c r="A28" s="101" t="n"/>
      <c r="B28" s="102" t="n"/>
      <c r="C28" s="92" t="n"/>
      <c r="D28" s="103" t="n"/>
      <c r="E28" s="108">
        <f>IF($A28="","",$B28)</f>
        <v/>
      </c>
      <c r="F28" s="98">
        <f>IF($A28="","",$L$54*$D28)</f>
        <v/>
      </c>
      <c r="G28" s="108">
        <f>IF($A28="","",$C28-$E$55-$F$55)</f>
        <v/>
      </c>
      <c r="H28" s="98">
        <f>IF($A28="","",$L$55*$D28)</f>
        <v/>
      </c>
      <c r="I28" s="108">
        <f>IF($A28="","",$B28-$E$56-$F$56-$G$56-$H$56)</f>
        <v/>
      </c>
      <c r="J28" s="98">
        <f>IF($A28="","",$L$56*$D28)</f>
        <v/>
      </c>
      <c r="K28" s="108">
        <f>IF($A28="","",(($C28-$E$57-$F$57-$G$57-$H$57-$I$57)/2)+(78*1)/2)</f>
        <v/>
      </c>
      <c r="L28" s="98">
        <f>IF($A28="","",$L$57*$D28)</f>
        <v/>
      </c>
      <c r="M28" s="108">
        <f>IF($A28="","",$I28-$E$58-$F$58)</f>
        <v/>
      </c>
      <c r="N28" s="98">
        <f>IF($A28="","",$L$58*$D28)</f>
        <v/>
      </c>
      <c r="O28" s="108">
        <f>IF($A28="","",$K28-$E$59-$F$59)</f>
        <v/>
      </c>
      <c r="P28" s="98">
        <f>IF($A28="","",$L$59*$D28)</f>
        <v/>
      </c>
      <c r="Q28" s="108">
        <f>IF($A28="","",$I28)</f>
        <v/>
      </c>
      <c r="R28" s="98">
        <f>IF($A28="","",$L$60*$D28)</f>
        <v/>
      </c>
      <c r="S28" s="108">
        <f>IF($A28="","",$B28-$E$61-$F$61)</f>
        <v/>
      </c>
      <c r="T28" s="98">
        <f>IF($A28="","",$L$61*$D28)</f>
        <v/>
      </c>
      <c r="U28" s="108">
        <f>IF($A28="","",$C28-$E$62-$F$62)</f>
        <v/>
      </c>
      <c r="V28" s="98">
        <f>IF($A28="","",$L$62*$D28)</f>
        <v/>
      </c>
      <c r="W28" s="108">
        <f>IF($A28="","",$B28-$E$63-$F$63)</f>
        <v/>
      </c>
      <c r="X28" s="98">
        <f>IF($A28="","",$L$63*$D28)</f>
        <v/>
      </c>
      <c r="Y28" s="108">
        <f>IF($A28="","",$Q28)</f>
        <v/>
      </c>
      <c r="Z28" s="98">
        <f>IF($A28="","",$L$64*$D28)</f>
        <v/>
      </c>
      <c r="AA28" s="108" t="n"/>
      <c r="AB28" s="98" t="n"/>
      <c r="AC28" s="108">
        <f>IF($A28="","",$C28-$E$65-$F$65)</f>
        <v/>
      </c>
      <c r="AD28" s="98">
        <f>IF($A28="","",$L$65*$D28)</f>
        <v/>
      </c>
      <c r="AE28" s="108" t="n"/>
      <c r="AF28" s="98" t="n"/>
      <c r="AG28" s="105">
        <f>IF($A28="","",$I28-68-68)</f>
        <v/>
      </c>
      <c r="AH28" s="106">
        <f>IF($A28="","",$K28-68-68)</f>
        <v/>
      </c>
      <c r="AI28" s="107">
        <f>IF($A28="","",2*$D28)</f>
        <v/>
      </c>
      <c r="AK28">
        <f>IF($A28="","",2*2*$D28)</f>
        <v/>
      </c>
      <c r="AL28">
        <f>IF($A28="","",$BC$7*$D28)</f>
        <v/>
      </c>
      <c r="AM28">
        <f>IF($A28="","",$BC$6*$D28)</f>
        <v/>
      </c>
      <c r="AN28">
        <f>IF($A28="","",$BC$9*$D28)</f>
        <v/>
      </c>
      <c r="AO28">
        <f>IF($A28="","",$BC$10*$D28)</f>
        <v/>
      </c>
      <c r="AP28">
        <f>IF($A28="","",2*$BC$6*$D28)</f>
        <v/>
      </c>
      <c r="AQ28">
        <f>IF($A28="","",IF($B28&gt;2800,2,IF($B28&gt;1400,1,0))*$BC$6*$D28)</f>
        <v/>
      </c>
      <c r="AR28">
        <f>IF($A28="","",2*$BC$6*$D28)</f>
        <v/>
      </c>
      <c r="AS28">
        <f>IF($A28="","",$BC$6*$D28)</f>
        <v/>
      </c>
      <c r="AT28">
        <f>IF($A28="","",2*$BC$6*$D28)</f>
        <v/>
      </c>
      <c r="AU28">
        <f>IF($A28="","",4*2*$D28)</f>
        <v/>
      </c>
      <c r="AV28">
        <f>IF($A28="","",16*2*$D28)</f>
        <v/>
      </c>
      <c r="AW28">
        <f>IF($A28="","",(2+MAX(0,ROUNDUP(($G28-1500)/500,0)))*$D28)</f>
        <v/>
      </c>
      <c r="AX28">
        <f>IF($A28="","",(2+MAX(0,ROUNDUP(($G28-1500)/500,0)))*$D28)</f>
        <v/>
      </c>
      <c r="AY28">
        <f>IF($A28="","",ROUND((2*2*($K28+$I28)*2*$D28+$Q28*$R28)/1000,1))</f>
        <v/>
      </c>
    </row>
    <row r="29" ht="40.15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9" t="n"/>
    </row>
    <row r="30" ht="40.15" customHeight="1">
      <c r="A30" s="70" t="inlineStr">
        <is>
          <t>จำนวนเส้น 6.4 ม. ที่ต้องสั่ง →</t>
        </is>
      </c>
      <c r="B30" s="20" t="n"/>
      <c r="C30" s="20" t="n"/>
      <c r="D30" s="21" t="n"/>
      <c r="E30" s="71">
        <f>E$7</f>
        <v/>
      </c>
      <c r="F30" s="72">
        <f>(ROUNDUP(F49/6400,0))</f>
        <v/>
      </c>
      <c r="G30" s="72">
        <f>G$7</f>
        <v/>
      </c>
      <c r="H30" s="72">
        <f>(ROUNDUP(H49/6400,0))</f>
        <v/>
      </c>
      <c r="I30" s="72">
        <f>I$7</f>
        <v/>
      </c>
      <c r="J30" s="20" t="n"/>
      <c r="K30" s="21" t="n"/>
      <c r="L30" s="72">
        <f>(ROUNDUP(SUM(J49:L49)/6400,0))</f>
        <v/>
      </c>
      <c r="M30" s="72">
        <f>M$7</f>
        <v/>
      </c>
      <c r="N30" s="20" t="n"/>
      <c r="O30" s="21" t="n"/>
      <c r="P30" s="72">
        <f>(ROUNDUP(SUM(N49:P49)/6400,0))</f>
        <v/>
      </c>
      <c r="Q30" s="72">
        <f>Q$7</f>
        <v/>
      </c>
      <c r="R30" s="72">
        <f>(ROUNDUP(R49/6400,0))</f>
        <v/>
      </c>
      <c r="S30" s="72">
        <f>S$7</f>
        <v/>
      </c>
      <c r="T30" s="72">
        <f>(ROUNDUP(T49/6400,0))</f>
        <v/>
      </c>
      <c r="U30" s="72">
        <f>U$7</f>
        <v/>
      </c>
      <c r="V30" s="72">
        <f>(ROUNDUP(V49/5000,0))</f>
        <v/>
      </c>
      <c r="W30" s="72">
        <f>W$7</f>
        <v/>
      </c>
      <c r="X30" s="20" t="n"/>
      <c r="Y30" s="20" t="n"/>
      <c r="Z30" s="20" t="n"/>
      <c r="AA30" s="21" t="n"/>
      <c r="AB30" s="72">
        <f>(ROUNDUP(SUM(X49:AB49)/6400,0))</f>
        <v/>
      </c>
      <c r="AC30" s="72">
        <f>AC$7</f>
        <v/>
      </c>
      <c r="AD30" s="72">
        <f>(ROUNDUP(AD49/5000,0))</f>
        <v/>
      </c>
      <c r="AE30" s="72">
        <f>AE$7</f>
        <v/>
      </c>
      <c r="AF30" s="72">
        <f>(ROUNDUP(AF49/6400,0))</f>
        <v/>
      </c>
      <c r="AJ30" t="inlineStr">
        <is>
          <t>รวม</t>
        </is>
      </c>
      <c r="AK30">
        <f>SUM(AK11:AK28)</f>
        <v/>
      </c>
      <c r="AL30">
        <f>SUM(AL11:AL28)</f>
        <v/>
      </c>
      <c r="AM30">
        <f>SUM(AM11:AM28)</f>
        <v/>
      </c>
      <c r="AN30">
        <f>SUM(AN11:AN28)</f>
        <v/>
      </c>
      <c r="AO30">
        <f>SUM(AO11:AO28)</f>
        <v/>
      </c>
      <c r="AP30">
        <f>SUM(AP11:AP28)</f>
        <v/>
      </c>
      <c r="AQ30">
        <f>SUM(AQ11:AQ28)</f>
        <v/>
      </c>
      <c r="AR30">
        <f>SUM(AR11:AR28)</f>
        <v/>
      </c>
      <c r="AS30">
        <f>SUM(AS11:AS28)</f>
        <v/>
      </c>
      <c r="AT30">
        <f>SUM(AT11:AT28)</f>
        <v/>
      </c>
      <c r="AU30">
        <f>SUM(AU11:AU28)</f>
        <v/>
      </c>
      <c r="AV30">
        <f>SUM(AV11:AV28)</f>
        <v/>
      </c>
      <c r="AW30">
        <f>SUM(AW11:AW28)</f>
        <v/>
      </c>
      <c r="AX30">
        <f>SUM(AX11:AX28)</f>
        <v/>
      </c>
      <c r="AY30">
        <f>SUM(AY11:AY28)</f>
        <v/>
      </c>
    </row>
    <row r="31" hidden="1" ht="40.15" customHeight="1">
      <c r="F31" s="73">
        <f>IF($A11="","",F11*E11)</f>
        <v/>
      </c>
      <c r="G31" s="73" t="n"/>
      <c r="H31" s="73">
        <f>IF($A11="","",H11*G11)</f>
        <v/>
      </c>
      <c r="I31" s="73" t="n"/>
      <c r="J31" s="73">
        <f>IF($A11="","",J11*I11)</f>
        <v/>
      </c>
      <c r="K31" s="73" t="n"/>
      <c r="L31" s="73">
        <f>IF($A11="","",L11*K11)</f>
        <v/>
      </c>
      <c r="M31" s="73" t="n"/>
      <c r="N31" s="73">
        <f>IF($A11="","",N11*M11)</f>
        <v/>
      </c>
      <c r="O31" s="73" t="n"/>
      <c r="P31" s="73">
        <f>IF($A11="","",P11*O11)</f>
        <v/>
      </c>
      <c r="Q31" s="73" t="n"/>
      <c r="R31" s="73">
        <f>IF($A11="","",R11*Q11)</f>
        <v/>
      </c>
      <c r="S31" s="73" t="n"/>
      <c r="T31" s="73">
        <f>IF($A11="","",T11*S11)</f>
        <v/>
      </c>
      <c r="U31" s="73" t="n"/>
      <c r="V31" s="73">
        <f>IF($A11="","",V11*U11)</f>
        <v/>
      </c>
      <c r="W31" s="73" t="n"/>
      <c r="X31" s="73">
        <f>IF($A11="","",X11*W11)</f>
        <v/>
      </c>
      <c r="Y31" s="73" t="n"/>
      <c r="Z31" s="73">
        <f>IF($A11="","",Z11*Y11)</f>
        <v/>
      </c>
      <c r="AA31" s="73" t="n"/>
      <c r="AB31" s="73">
        <f>IF($A11="","",AB11*AA11)</f>
        <v/>
      </c>
      <c r="AC31" s="73" t="n"/>
      <c r="AD31" s="73">
        <f>IF($A11="","",AD11*AC11)</f>
        <v/>
      </c>
      <c r="AE31" s="73" t="n"/>
      <c r="AF31" s="73">
        <f>IF($A11="","",AF11*AE11)</f>
        <v/>
      </c>
    </row>
    <row r="32" hidden="1" ht="40.15" customHeight="1">
      <c r="F32" s="73">
        <f>IF($A12="","",F12*E12)</f>
        <v/>
      </c>
      <c r="G32" s="73" t="n"/>
      <c r="H32" s="73">
        <f>IF($A12="","",H12*G12)</f>
        <v/>
      </c>
      <c r="I32" s="73" t="n"/>
      <c r="J32" s="73">
        <f>IF($A12="","",J12*I12)</f>
        <v/>
      </c>
      <c r="K32" s="73" t="n"/>
      <c r="L32" s="73">
        <f>IF($A12="","",L12*K12)</f>
        <v/>
      </c>
      <c r="M32" s="73" t="n"/>
      <c r="N32" s="73">
        <f>IF($A12="","",N12*M12)</f>
        <v/>
      </c>
      <c r="O32" s="73" t="n"/>
      <c r="P32" s="73">
        <f>IF($A12="","",P12*O12)</f>
        <v/>
      </c>
      <c r="Q32" s="73" t="n"/>
      <c r="R32" s="73">
        <f>IF($A12="","",R12*Q12)</f>
        <v/>
      </c>
      <c r="S32" s="73" t="n"/>
      <c r="T32" s="73">
        <f>IF($A12="","",T12*S12)</f>
        <v/>
      </c>
      <c r="U32" s="73" t="n"/>
      <c r="V32" s="73">
        <f>IF($A12="","",V12*U12)</f>
        <v/>
      </c>
      <c r="W32" s="73" t="n"/>
      <c r="X32" s="73">
        <f>IF($A12="","",X12*W12)</f>
        <v/>
      </c>
      <c r="Y32" s="73" t="n"/>
      <c r="Z32" s="73">
        <f>IF($A12="","",Z12*Y12)</f>
        <v/>
      </c>
      <c r="AA32" s="73" t="n"/>
      <c r="AB32" s="73">
        <f>IF($A12="","",AB12*AA12)</f>
        <v/>
      </c>
      <c r="AC32" s="73" t="n"/>
      <c r="AD32" s="73">
        <f>IF($A12="","",AD12*AC12)</f>
        <v/>
      </c>
      <c r="AE32" s="73" t="n"/>
      <c r="AF32" s="73">
        <f>IF($A12="","",AF12*AE12)</f>
        <v/>
      </c>
    </row>
    <row r="33" hidden="1" ht="40.15" customHeight="1">
      <c r="F33" s="73">
        <f>IF($A13="","",F13*E13)</f>
        <v/>
      </c>
      <c r="G33" s="73" t="n"/>
      <c r="H33" s="73">
        <f>IF($A13="","",H13*G13)</f>
        <v/>
      </c>
      <c r="I33" s="73" t="n"/>
      <c r="J33" s="73">
        <f>IF($A13="","",J13*I13)</f>
        <v/>
      </c>
      <c r="K33" s="73" t="n"/>
      <c r="L33" s="73">
        <f>IF($A13="","",L13*K13)</f>
        <v/>
      </c>
      <c r="M33" s="73" t="n"/>
      <c r="N33" s="73">
        <f>IF($A13="","",N13*M13)</f>
        <v/>
      </c>
      <c r="O33" s="73" t="n"/>
      <c r="P33" s="73">
        <f>IF($A13="","",P13*O13)</f>
        <v/>
      </c>
      <c r="Q33" s="73" t="n"/>
      <c r="R33" s="73">
        <f>IF($A13="","",R13*Q13)</f>
        <v/>
      </c>
      <c r="S33" s="73" t="n"/>
      <c r="T33" s="73">
        <f>IF($A13="","",T13*S13)</f>
        <v/>
      </c>
      <c r="U33" s="73" t="n"/>
      <c r="V33" s="73">
        <f>IF($A13="","",V13*U13)</f>
        <v/>
      </c>
      <c r="W33" s="73" t="n"/>
      <c r="X33" s="73">
        <f>IF($A13="","",X13*W13)</f>
        <v/>
      </c>
      <c r="Y33" s="73" t="n"/>
      <c r="Z33" s="73">
        <f>IF($A13="","",Z13*Y13)</f>
        <v/>
      </c>
      <c r="AA33" s="73" t="n"/>
      <c r="AB33" s="73">
        <f>IF($A13="","",AB13*AA13)</f>
        <v/>
      </c>
      <c r="AC33" s="73" t="n"/>
      <c r="AD33" s="73">
        <f>IF($A13="","",AD13*AC13)</f>
        <v/>
      </c>
      <c r="AE33" s="73" t="n"/>
      <c r="AF33" s="73">
        <f>IF($A13="","",AF13*AE13)</f>
        <v/>
      </c>
    </row>
    <row r="34" hidden="1" ht="40.15" customHeight="1">
      <c r="F34" s="73">
        <f>IF($A14="","",F14*E14)</f>
        <v/>
      </c>
      <c r="G34" s="73" t="n"/>
      <c r="H34" s="73">
        <f>IF($A14="","",H14*G14)</f>
        <v/>
      </c>
      <c r="I34" s="73" t="n"/>
      <c r="J34" s="73">
        <f>IF($A14="","",J14*I14)</f>
        <v/>
      </c>
      <c r="K34" s="73" t="n"/>
      <c r="L34" s="73">
        <f>IF($A14="","",L14*K14)</f>
        <v/>
      </c>
      <c r="M34" s="73" t="n"/>
      <c r="N34" s="73">
        <f>IF($A14="","",N14*M14)</f>
        <v/>
      </c>
      <c r="O34" s="73" t="n"/>
      <c r="P34" s="73">
        <f>IF($A14="","",P14*O14)</f>
        <v/>
      </c>
      <c r="Q34" s="73" t="n"/>
      <c r="R34" s="73">
        <f>IF($A14="","",R14*Q14)</f>
        <v/>
      </c>
      <c r="S34" s="73" t="n"/>
      <c r="T34" s="73">
        <f>IF($A14="","",T14*S14)</f>
        <v/>
      </c>
      <c r="U34" s="73" t="n"/>
      <c r="V34" s="73">
        <f>IF($A14="","",V14*U14)</f>
        <v/>
      </c>
      <c r="W34" s="73" t="n"/>
      <c r="X34" s="73">
        <f>IF($A14="","",X14*W14)</f>
        <v/>
      </c>
      <c r="Y34" s="73" t="n"/>
      <c r="Z34" s="73">
        <f>IF($A14="","",Z14*Y14)</f>
        <v/>
      </c>
      <c r="AA34" s="73" t="n"/>
      <c r="AB34" s="73">
        <f>IF($A14="","",AB14*AA14)</f>
        <v/>
      </c>
      <c r="AC34" s="73" t="n"/>
      <c r="AD34" s="73">
        <f>IF($A14="","",AD14*AC14)</f>
        <v/>
      </c>
      <c r="AE34" s="73" t="n"/>
      <c r="AF34" s="73">
        <f>IF($A14="","",AF14*AE14)</f>
        <v/>
      </c>
    </row>
    <row r="35" hidden="1" ht="40.15" customHeight="1">
      <c r="F35" s="73">
        <f>IF($A15="","",F15*E15)</f>
        <v/>
      </c>
      <c r="G35" s="73" t="n"/>
      <c r="H35" s="73">
        <f>IF($A15="","",H15*G15)</f>
        <v/>
      </c>
      <c r="I35" s="73" t="n"/>
      <c r="J35" s="73">
        <f>IF($A15="","",J15*I15)</f>
        <v/>
      </c>
      <c r="K35" s="73" t="n"/>
      <c r="L35" s="73">
        <f>IF($A15="","",L15*K15)</f>
        <v/>
      </c>
      <c r="M35" s="73" t="n"/>
      <c r="N35" s="73">
        <f>IF($A15="","",N15*M15)</f>
        <v/>
      </c>
      <c r="O35" s="73" t="n"/>
      <c r="P35" s="73">
        <f>IF($A15="","",P15*O15)</f>
        <v/>
      </c>
      <c r="Q35" s="73" t="n"/>
      <c r="R35" s="73">
        <f>IF($A15="","",R15*Q15)</f>
        <v/>
      </c>
      <c r="S35" s="73" t="n"/>
      <c r="T35" s="73">
        <f>IF($A15="","",T15*S15)</f>
        <v/>
      </c>
      <c r="U35" s="73" t="n"/>
      <c r="V35" s="73">
        <f>IF($A15="","",V15*U15)</f>
        <v/>
      </c>
      <c r="W35" s="73" t="n"/>
      <c r="X35" s="73">
        <f>IF($A15="","",X15*W15)</f>
        <v/>
      </c>
      <c r="Y35" s="73" t="n"/>
      <c r="Z35" s="73">
        <f>IF($A15="","",Z15*Y15)</f>
        <v/>
      </c>
      <c r="AA35" s="73" t="n"/>
      <c r="AB35" s="73">
        <f>IF($A15="","",AB15*AA15)</f>
        <v/>
      </c>
      <c r="AC35" s="73" t="n"/>
      <c r="AD35" s="73">
        <f>IF($A15="","",AD15*AC15)</f>
        <v/>
      </c>
      <c r="AE35" s="73" t="n"/>
      <c r="AF35" s="73">
        <f>IF($A15="","",AF15*AE15)</f>
        <v/>
      </c>
    </row>
    <row r="36" hidden="1">
      <c r="F36" s="73">
        <f>IF($A16="","",F16*E16)</f>
        <v/>
      </c>
      <c r="G36" s="73" t="n"/>
      <c r="H36" s="73">
        <f>IF($A16="","",H16*G16)</f>
        <v/>
      </c>
      <c r="I36" s="73" t="n"/>
      <c r="J36" s="73">
        <f>IF($A16="","",J16*I16)</f>
        <v/>
      </c>
      <c r="K36" s="73" t="n"/>
      <c r="L36" s="73">
        <f>IF($A16="","",L16*K16)</f>
        <v/>
      </c>
      <c r="M36" s="73" t="n"/>
      <c r="N36" s="73">
        <f>IF($A16="","",N16*M16)</f>
        <v/>
      </c>
      <c r="O36" s="73" t="n"/>
      <c r="P36" s="73">
        <f>IF($A16="","",P16*O16)</f>
        <v/>
      </c>
      <c r="Q36" s="73" t="n"/>
      <c r="R36" s="73">
        <f>IF($A16="","",R16*Q16)</f>
        <v/>
      </c>
      <c r="S36" s="73" t="n"/>
      <c r="T36" s="73">
        <f>IF($A16="","",T16*S16)</f>
        <v/>
      </c>
      <c r="U36" s="73" t="n"/>
      <c r="V36" s="73">
        <f>IF($A16="","",V16*U16)</f>
        <v/>
      </c>
      <c r="W36" s="73" t="n"/>
      <c r="X36" s="73">
        <f>IF($A16="","",X16*W16)</f>
        <v/>
      </c>
      <c r="Y36" s="73" t="n"/>
      <c r="Z36" s="73">
        <f>IF($A16="","",Z16*Y16)</f>
        <v/>
      </c>
      <c r="AA36" s="73" t="n"/>
      <c r="AB36" s="73">
        <f>IF($A16="","",AB16*AA16)</f>
        <v/>
      </c>
      <c r="AC36" s="73" t="n"/>
      <c r="AD36" s="73">
        <f>IF($A16="","",AD16*AC16)</f>
        <v/>
      </c>
      <c r="AE36" s="73" t="n"/>
      <c r="AF36" s="73">
        <f>IF($A16="","",AF16*AE16)</f>
        <v/>
      </c>
    </row>
    <row r="37" hidden="1">
      <c r="F37" s="73">
        <f>IF($A17="","",F17*E17)</f>
        <v/>
      </c>
      <c r="G37" s="73" t="n"/>
      <c r="H37" s="73">
        <f>IF($A17="","",H17*G17)</f>
        <v/>
      </c>
      <c r="I37" s="73" t="n"/>
      <c r="J37" s="73">
        <f>IF($A17="","",J17*I17)</f>
        <v/>
      </c>
      <c r="K37" s="73" t="n"/>
      <c r="L37" s="73">
        <f>IF($A17="","",L17*K17)</f>
        <v/>
      </c>
      <c r="M37" s="73" t="n"/>
      <c r="N37" s="73">
        <f>IF($A17="","",N17*M17)</f>
        <v/>
      </c>
      <c r="O37" s="73" t="n"/>
      <c r="P37" s="73">
        <f>IF($A17="","",P17*O17)</f>
        <v/>
      </c>
      <c r="Q37" s="73" t="n"/>
      <c r="R37" s="73">
        <f>IF($A17="","",R17*Q17)</f>
        <v/>
      </c>
      <c r="S37" s="73" t="n"/>
      <c r="T37" s="73">
        <f>IF($A17="","",T17*S17)</f>
        <v/>
      </c>
      <c r="U37" s="73" t="n"/>
      <c r="V37" s="73">
        <f>IF($A17="","",V17*U17)</f>
        <v/>
      </c>
      <c r="W37" s="73" t="n"/>
      <c r="X37" s="73">
        <f>IF($A17="","",X17*W17)</f>
        <v/>
      </c>
      <c r="Y37" s="73" t="n"/>
      <c r="Z37" s="73">
        <f>IF($A17="","",Z17*Y17)</f>
        <v/>
      </c>
      <c r="AA37" s="73" t="n"/>
      <c r="AB37" s="73">
        <f>IF($A17="","",AB17*AA17)</f>
        <v/>
      </c>
      <c r="AC37" s="73" t="n"/>
      <c r="AD37" s="73">
        <f>IF($A17="","",AD17*AC17)</f>
        <v/>
      </c>
      <c r="AE37" s="73" t="n"/>
      <c r="AF37" s="73">
        <f>IF($A17="","",AF17*AE17)</f>
        <v/>
      </c>
    </row>
    <row r="38" hidden="1">
      <c r="F38" s="73">
        <f>IF($A18="","",F18*E18)</f>
        <v/>
      </c>
      <c r="G38" s="73" t="n"/>
      <c r="H38" s="73">
        <f>IF($A18="","",H18*G18)</f>
        <v/>
      </c>
      <c r="I38" s="73" t="n"/>
      <c r="J38" s="73">
        <f>IF($A18="","",J18*I18)</f>
        <v/>
      </c>
      <c r="K38" s="73" t="n"/>
      <c r="L38" s="73">
        <f>IF($A18="","",L18*K18)</f>
        <v/>
      </c>
      <c r="M38" s="73" t="n"/>
      <c r="N38" s="73">
        <f>IF($A18="","",N18*M18)</f>
        <v/>
      </c>
      <c r="O38" s="73" t="n"/>
      <c r="P38" s="73">
        <f>IF($A18="","",P18*O18)</f>
        <v/>
      </c>
      <c r="Q38" s="73" t="n"/>
      <c r="R38" s="73">
        <f>IF($A18="","",R18*Q18)</f>
        <v/>
      </c>
      <c r="S38" s="73" t="n"/>
      <c r="T38" s="73">
        <f>IF($A18="","",T18*S18)</f>
        <v/>
      </c>
      <c r="U38" s="73" t="n"/>
      <c r="V38" s="73">
        <f>IF($A18="","",V18*U18)</f>
        <v/>
      </c>
      <c r="W38" s="73" t="n"/>
      <c r="X38" s="73">
        <f>IF($A18="","",X18*W18)</f>
        <v/>
      </c>
      <c r="Y38" s="73" t="n"/>
      <c r="Z38" s="73">
        <f>IF($A18="","",Z18*Y18)</f>
        <v/>
      </c>
      <c r="AA38" s="73" t="n"/>
      <c r="AB38" s="73">
        <f>IF($A18="","",AB18*AA18)</f>
        <v/>
      </c>
      <c r="AC38" s="73" t="n"/>
      <c r="AD38" s="73">
        <f>IF($A18="","",AD18*AC18)</f>
        <v/>
      </c>
      <c r="AE38" s="73" t="n"/>
      <c r="AF38" s="73">
        <f>IF($A18="","",AF18*AE18)</f>
        <v/>
      </c>
    </row>
    <row r="39" hidden="1">
      <c r="F39" s="73">
        <f>IF($A19="","",F19*E19)</f>
        <v/>
      </c>
      <c r="G39" s="73" t="n"/>
      <c r="H39" s="73">
        <f>IF($A19="","",H19*G19)</f>
        <v/>
      </c>
      <c r="I39" s="73" t="n"/>
      <c r="J39" s="73">
        <f>IF($A19="","",J19*I19)</f>
        <v/>
      </c>
      <c r="K39" s="73" t="n"/>
      <c r="L39" s="73">
        <f>IF($A19="","",L19*K19)</f>
        <v/>
      </c>
      <c r="M39" s="73" t="n"/>
      <c r="N39" s="73">
        <f>IF($A19="","",N19*M19)</f>
        <v/>
      </c>
      <c r="O39" s="73" t="n"/>
      <c r="P39" s="73">
        <f>IF($A19="","",P19*O19)</f>
        <v/>
      </c>
      <c r="Q39" s="73" t="n"/>
      <c r="R39" s="73">
        <f>IF($A19="","",R19*Q19)</f>
        <v/>
      </c>
      <c r="S39" s="73" t="n"/>
      <c r="T39" s="73">
        <f>IF($A19="","",T19*S19)</f>
        <v/>
      </c>
      <c r="U39" s="73" t="n"/>
      <c r="V39" s="73">
        <f>IF($A19="","",V19*U19)</f>
        <v/>
      </c>
      <c r="W39" s="73" t="n"/>
      <c r="X39" s="73">
        <f>IF($A19="","",X19*W19)</f>
        <v/>
      </c>
      <c r="Y39" s="73" t="n"/>
      <c r="Z39" s="73">
        <f>IF($A19="","",Z19*Y19)</f>
        <v/>
      </c>
      <c r="AA39" s="73" t="n"/>
      <c r="AB39" s="73">
        <f>IF($A19="","",AB19*AA19)</f>
        <v/>
      </c>
      <c r="AC39" s="73" t="n"/>
      <c r="AD39" s="73">
        <f>IF($A19="","",AD19*AC19)</f>
        <v/>
      </c>
      <c r="AE39" s="73" t="n"/>
      <c r="AF39" s="73">
        <f>IF($A19="","",AF19*AE19)</f>
        <v/>
      </c>
    </row>
    <row r="40" hidden="1">
      <c r="F40" s="73">
        <f>IF($A20="","",F20*E20)</f>
        <v/>
      </c>
      <c r="G40" s="73" t="n"/>
      <c r="H40" s="73">
        <f>IF($A20="","",H20*G20)</f>
        <v/>
      </c>
      <c r="I40" s="73" t="n"/>
      <c r="J40" s="73">
        <f>IF($A20="","",J20*I20)</f>
        <v/>
      </c>
      <c r="K40" s="73" t="n"/>
      <c r="L40" s="73">
        <f>IF($A20="","",L20*K20)</f>
        <v/>
      </c>
      <c r="M40" s="73" t="n"/>
      <c r="N40" s="73">
        <f>IF($A20="","",N20*M20)</f>
        <v/>
      </c>
      <c r="O40" s="73" t="n"/>
      <c r="P40" s="73">
        <f>IF($A20="","",P20*O20)</f>
        <v/>
      </c>
      <c r="Q40" s="73" t="n"/>
      <c r="R40" s="73">
        <f>IF($A20="","",R20*Q20)</f>
        <v/>
      </c>
      <c r="S40" s="73" t="n"/>
      <c r="T40" s="73">
        <f>IF($A20="","",T20*S20)</f>
        <v/>
      </c>
      <c r="U40" s="73" t="n"/>
      <c r="V40" s="73">
        <f>IF($A20="","",V20*U20)</f>
        <v/>
      </c>
      <c r="W40" s="73" t="n"/>
      <c r="X40" s="73">
        <f>IF($A20="","",X20*W20)</f>
        <v/>
      </c>
      <c r="Y40" s="73" t="n"/>
      <c r="Z40" s="73">
        <f>IF($A20="","",Z20*Y20)</f>
        <v/>
      </c>
      <c r="AA40" s="73" t="n"/>
      <c r="AB40" s="73">
        <f>IF($A20="","",AB20*AA20)</f>
        <v/>
      </c>
      <c r="AC40" s="73" t="n"/>
      <c r="AD40" s="73">
        <f>IF($A20="","",AD20*AC20)</f>
        <v/>
      </c>
      <c r="AE40" s="73" t="n"/>
      <c r="AF40" s="73">
        <f>IF($A20="","",AF20*AE20)</f>
        <v/>
      </c>
    </row>
    <row r="41" hidden="1">
      <c r="F41" s="73">
        <f>IF($A21="","",F21*E21)</f>
        <v/>
      </c>
      <c r="G41" s="73" t="n"/>
      <c r="H41" s="73">
        <f>IF($A21="","",H21*G21)</f>
        <v/>
      </c>
      <c r="I41" s="73" t="n"/>
      <c r="J41" s="73">
        <f>IF($A21="","",J21*I21)</f>
        <v/>
      </c>
      <c r="K41" s="73" t="n"/>
      <c r="L41" s="73">
        <f>IF($A21="","",L21*K21)</f>
        <v/>
      </c>
      <c r="M41" s="73" t="n"/>
      <c r="N41" s="73">
        <f>IF($A21="","",N21*M21)</f>
        <v/>
      </c>
      <c r="O41" s="73" t="n"/>
      <c r="P41" s="73">
        <f>IF($A21="","",P21*O21)</f>
        <v/>
      </c>
      <c r="Q41" s="73" t="n"/>
      <c r="R41" s="73">
        <f>IF($A21="","",R21*Q21)</f>
        <v/>
      </c>
      <c r="S41" s="73" t="n"/>
      <c r="T41" s="73">
        <f>IF($A21="","",T21*S21)</f>
        <v/>
      </c>
      <c r="U41" s="73" t="n"/>
      <c r="V41" s="73">
        <f>IF($A21="","",V21*U21)</f>
        <v/>
      </c>
      <c r="W41" s="73" t="n"/>
      <c r="X41" s="73">
        <f>IF($A21="","",X21*W21)</f>
        <v/>
      </c>
      <c r="Y41" s="73" t="n"/>
      <c r="Z41" s="73">
        <f>IF($A21="","",Z21*Y21)</f>
        <v/>
      </c>
      <c r="AA41" s="73" t="n"/>
      <c r="AB41" s="73">
        <f>IF($A21="","",AB21*AA21)</f>
        <v/>
      </c>
      <c r="AC41" s="73" t="n"/>
      <c r="AD41" s="73">
        <f>IF($A21="","",AD21*AC21)</f>
        <v/>
      </c>
      <c r="AE41" s="73" t="n"/>
      <c r="AF41" s="73">
        <f>IF($A21="","",AF21*AE21)</f>
        <v/>
      </c>
    </row>
    <row r="42" hidden="1">
      <c r="F42" s="73">
        <f>IF($A22="","",F22*E22)</f>
        <v/>
      </c>
      <c r="G42" s="73" t="n"/>
      <c r="H42" s="73">
        <f>IF($A22="","",H22*G22)</f>
        <v/>
      </c>
      <c r="I42" s="73" t="n"/>
      <c r="J42" s="73">
        <f>IF($A22="","",J22*I22)</f>
        <v/>
      </c>
      <c r="K42" s="73" t="n"/>
      <c r="L42" s="73">
        <f>IF($A22="","",L22*K22)</f>
        <v/>
      </c>
      <c r="M42" s="73" t="n"/>
      <c r="N42" s="73">
        <f>IF($A22="","",N22*M22)</f>
        <v/>
      </c>
      <c r="O42" s="73" t="n"/>
      <c r="P42" s="73">
        <f>IF($A22="","",P22*O22)</f>
        <v/>
      </c>
      <c r="Q42" s="73" t="n"/>
      <c r="R42" s="73">
        <f>IF($A22="","",R22*Q22)</f>
        <v/>
      </c>
      <c r="S42" s="73" t="n"/>
      <c r="T42" s="73">
        <f>IF($A22="","",T22*S22)</f>
        <v/>
      </c>
      <c r="U42" s="73" t="n"/>
      <c r="V42" s="73">
        <f>IF($A22="","",V22*U22)</f>
        <v/>
      </c>
      <c r="W42" s="73" t="n"/>
      <c r="X42" s="73">
        <f>IF($A22="","",X22*W22)</f>
        <v/>
      </c>
      <c r="Y42" s="73" t="n"/>
      <c r="Z42" s="73">
        <f>IF($A22="","",Z22*Y22)</f>
        <v/>
      </c>
      <c r="AA42" s="73" t="n"/>
      <c r="AB42" s="73">
        <f>IF($A22="","",AB22*AA22)</f>
        <v/>
      </c>
      <c r="AC42" s="73" t="n"/>
      <c r="AD42" s="73">
        <f>IF($A22="","",AD22*AC22)</f>
        <v/>
      </c>
      <c r="AE42" s="73" t="n"/>
      <c r="AF42" s="73">
        <f>IF($A22="","",AF22*AE22)</f>
        <v/>
      </c>
    </row>
    <row r="43" hidden="1">
      <c r="F43" s="73">
        <f>IF($A23="","",F23*E23)</f>
        <v/>
      </c>
      <c r="G43" s="73" t="n"/>
      <c r="H43" s="73">
        <f>IF($A23="","",H23*G23)</f>
        <v/>
      </c>
      <c r="I43" s="73" t="n"/>
      <c r="J43" s="73">
        <f>IF($A23="","",J23*I23)</f>
        <v/>
      </c>
      <c r="K43" s="73" t="n"/>
      <c r="L43" s="73">
        <f>IF($A23="","",L23*K23)</f>
        <v/>
      </c>
      <c r="M43" s="73" t="n"/>
      <c r="N43" s="73">
        <f>IF($A23="","",N23*M23)</f>
        <v/>
      </c>
      <c r="O43" s="73" t="n"/>
      <c r="P43" s="73">
        <f>IF($A23="","",P23*O23)</f>
        <v/>
      </c>
      <c r="Q43" s="73" t="n"/>
      <c r="R43" s="73">
        <f>IF($A23="","",R23*Q23)</f>
        <v/>
      </c>
      <c r="S43" s="73" t="n"/>
      <c r="T43" s="73">
        <f>IF($A23="","",T23*S23)</f>
        <v/>
      </c>
      <c r="U43" s="73" t="n"/>
      <c r="V43" s="73">
        <f>IF($A23="","",V23*U23)</f>
        <v/>
      </c>
      <c r="W43" s="73" t="n"/>
      <c r="X43" s="73">
        <f>IF($A23="","",X23*W23)</f>
        <v/>
      </c>
      <c r="Y43" s="73" t="n"/>
      <c r="Z43" s="73">
        <f>IF($A23="","",Z23*Y23)</f>
        <v/>
      </c>
      <c r="AA43" s="73" t="n"/>
      <c r="AB43" s="73">
        <f>IF($A23="","",AB23*AA23)</f>
        <v/>
      </c>
      <c r="AC43" s="73" t="n"/>
      <c r="AD43" s="73">
        <f>IF($A23="","",AD23*AC23)</f>
        <v/>
      </c>
      <c r="AE43" s="73" t="n"/>
      <c r="AF43" s="73">
        <f>IF($A23="","",AF23*AE23)</f>
        <v/>
      </c>
    </row>
    <row r="44" hidden="1">
      <c r="F44" s="73">
        <f>IF($A24="","",F24*E24)</f>
        <v/>
      </c>
      <c r="G44" s="73" t="n"/>
      <c r="H44" s="73">
        <f>IF($A24="","",H24*G24)</f>
        <v/>
      </c>
      <c r="I44" s="73" t="n"/>
      <c r="J44" s="73">
        <f>IF($A24="","",J24*I24)</f>
        <v/>
      </c>
      <c r="K44" s="73" t="n"/>
      <c r="L44" s="73">
        <f>IF($A24="","",L24*K24)</f>
        <v/>
      </c>
      <c r="M44" s="73" t="n"/>
      <c r="N44" s="73">
        <f>IF($A24="","",N24*M24)</f>
        <v/>
      </c>
      <c r="O44" s="73" t="n"/>
      <c r="P44" s="73">
        <f>IF($A24="","",P24*O24)</f>
        <v/>
      </c>
      <c r="Q44" s="73" t="n"/>
      <c r="R44" s="73">
        <f>IF($A24="","",R24*Q24)</f>
        <v/>
      </c>
      <c r="S44" s="73" t="n"/>
      <c r="T44" s="73">
        <f>IF($A24="","",T24*S24)</f>
        <v/>
      </c>
      <c r="U44" s="73" t="n"/>
      <c r="V44" s="73">
        <f>IF($A24="","",V24*U24)</f>
        <v/>
      </c>
      <c r="W44" s="73" t="n"/>
      <c r="X44" s="73">
        <f>IF($A24="","",X24*W24)</f>
        <v/>
      </c>
      <c r="Y44" s="73" t="n"/>
      <c r="Z44" s="73">
        <f>IF($A24="","",Z24*Y24)</f>
        <v/>
      </c>
      <c r="AA44" s="73" t="n"/>
      <c r="AB44" s="73">
        <f>IF($A24="","",AB24*AA24)</f>
        <v/>
      </c>
      <c r="AC44" s="73" t="n"/>
      <c r="AD44" s="73">
        <f>IF($A24="","",AD24*AC24)</f>
        <v/>
      </c>
      <c r="AE44" s="73" t="n"/>
      <c r="AF44" s="73">
        <f>IF($A24="","",AF24*AE24)</f>
        <v/>
      </c>
    </row>
    <row r="45" hidden="1">
      <c r="F45" s="73">
        <f>IF($A25="","",F25*E25)</f>
        <v/>
      </c>
      <c r="G45" s="73" t="n"/>
      <c r="H45" s="73">
        <f>IF($A25="","",H25*G25)</f>
        <v/>
      </c>
      <c r="I45" s="73" t="n"/>
      <c r="J45" s="73">
        <f>IF($A25="","",J25*I25)</f>
        <v/>
      </c>
      <c r="K45" s="73" t="n"/>
      <c r="L45" s="73">
        <f>IF($A25="","",L25*K25)</f>
        <v/>
      </c>
      <c r="M45" s="73" t="n"/>
      <c r="N45" s="73">
        <f>IF($A25="","",N25*M25)</f>
        <v/>
      </c>
      <c r="O45" s="73" t="n"/>
      <c r="P45" s="73">
        <f>IF($A25="","",P25*O25)</f>
        <v/>
      </c>
      <c r="Q45" s="73" t="n"/>
      <c r="R45" s="73">
        <f>IF($A25="","",R25*Q25)</f>
        <v/>
      </c>
      <c r="S45" s="73" t="n"/>
      <c r="T45" s="73">
        <f>IF($A25="","",T25*S25)</f>
        <v/>
      </c>
      <c r="U45" s="73" t="n"/>
      <c r="V45" s="73">
        <f>IF($A25="","",V25*U25)</f>
        <v/>
      </c>
      <c r="W45" s="73" t="n"/>
      <c r="X45" s="73">
        <f>IF($A25="","",X25*W25)</f>
        <v/>
      </c>
      <c r="Y45" s="73" t="n"/>
      <c r="Z45" s="73">
        <f>IF($A25="","",Z25*Y25)</f>
        <v/>
      </c>
      <c r="AA45" s="73" t="n"/>
      <c r="AB45" s="73">
        <f>IF($A25="","",AB25*AA25)</f>
        <v/>
      </c>
      <c r="AC45" s="73" t="n"/>
      <c r="AD45" s="73">
        <f>IF($A25="","",AD25*AC25)</f>
        <v/>
      </c>
      <c r="AE45" s="73" t="n"/>
      <c r="AF45" s="73">
        <f>IF($A25="","",AF25*AE25)</f>
        <v/>
      </c>
    </row>
    <row r="46" hidden="1">
      <c r="F46" s="73">
        <f>IF($A26="","",F26*E26)</f>
        <v/>
      </c>
      <c r="G46" s="73" t="n"/>
      <c r="H46" s="73">
        <f>IF($A26="","",H26*G26)</f>
        <v/>
      </c>
      <c r="I46" s="73" t="n"/>
      <c r="J46" s="73">
        <f>IF($A26="","",J26*I26)</f>
        <v/>
      </c>
      <c r="K46" s="73" t="n"/>
      <c r="L46" s="73">
        <f>IF($A26="","",L26*K26)</f>
        <v/>
      </c>
      <c r="M46" s="73" t="n"/>
      <c r="N46" s="73">
        <f>IF($A26="","",N26*M26)</f>
        <v/>
      </c>
      <c r="O46" s="73" t="n"/>
      <c r="P46" s="73">
        <f>IF($A26="","",P26*O26)</f>
        <v/>
      </c>
      <c r="Q46" s="73" t="n"/>
      <c r="R46" s="73">
        <f>IF($A26="","",R26*Q26)</f>
        <v/>
      </c>
      <c r="S46" s="73" t="n"/>
      <c r="T46" s="73">
        <f>IF($A26="","",T26*S26)</f>
        <v/>
      </c>
      <c r="U46" s="73" t="n"/>
      <c r="V46" s="73">
        <f>IF($A26="","",V26*U26)</f>
        <v/>
      </c>
      <c r="W46" s="73" t="n"/>
      <c r="X46" s="73">
        <f>IF($A26="","",X26*W26)</f>
        <v/>
      </c>
      <c r="Y46" s="73" t="n"/>
      <c r="Z46" s="73">
        <f>IF($A26="","",Z26*Y26)</f>
        <v/>
      </c>
      <c r="AA46" s="73" t="n"/>
      <c r="AB46" s="73">
        <f>IF($A26="","",AB26*AA26)</f>
        <v/>
      </c>
      <c r="AC46" s="73" t="n"/>
      <c r="AD46" s="73">
        <f>IF($A26="","",AD26*AC26)</f>
        <v/>
      </c>
      <c r="AE46" s="73" t="n"/>
      <c r="AF46" s="73">
        <f>IF($A26="","",AF26*AE26)</f>
        <v/>
      </c>
    </row>
    <row r="47" hidden="1">
      <c r="F47" s="73">
        <f>IF($A27="","",F27*E27)</f>
        <v/>
      </c>
      <c r="G47" s="73" t="n"/>
      <c r="H47" s="73">
        <f>IF($A27="","",H27*G27)</f>
        <v/>
      </c>
      <c r="I47" s="73" t="n"/>
      <c r="J47" s="73">
        <f>IF($A27="","",J27*I27)</f>
        <v/>
      </c>
      <c r="K47" s="73" t="n"/>
      <c r="L47" s="73">
        <f>IF($A27="","",L27*K27)</f>
        <v/>
      </c>
      <c r="M47" s="73" t="n"/>
      <c r="N47" s="73">
        <f>IF($A27="","",N27*M27)</f>
        <v/>
      </c>
      <c r="O47" s="73" t="n"/>
      <c r="P47" s="73">
        <f>IF($A27="","",P27*O27)</f>
        <v/>
      </c>
      <c r="Q47" s="73" t="n"/>
      <c r="R47" s="73">
        <f>IF($A27="","",R27*Q27)</f>
        <v/>
      </c>
      <c r="S47" s="73" t="n"/>
      <c r="T47" s="73">
        <f>IF($A27="","",T27*S27)</f>
        <v/>
      </c>
      <c r="U47" s="73" t="n"/>
      <c r="V47" s="73">
        <f>IF($A27="","",V27*U27)</f>
        <v/>
      </c>
      <c r="W47" s="73" t="n"/>
      <c r="X47" s="73">
        <f>IF($A27="","",X27*W27)</f>
        <v/>
      </c>
      <c r="Y47" s="73" t="n"/>
      <c r="Z47" s="73">
        <f>IF($A27="","",Z27*Y27)</f>
        <v/>
      </c>
      <c r="AA47" s="73" t="n"/>
      <c r="AB47" s="73">
        <f>IF($A27="","",AB27*AA27)</f>
        <v/>
      </c>
      <c r="AC47" s="73" t="n"/>
      <c r="AD47" s="73">
        <f>IF($A27="","",AD27*AC27)</f>
        <v/>
      </c>
      <c r="AE47" s="73" t="n"/>
      <c r="AF47" s="73">
        <f>IF($A27="","",AF27*AE27)</f>
        <v/>
      </c>
    </row>
    <row r="48" hidden="1">
      <c r="F48" s="73">
        <f>IF($A28="","",F28*E28)</f>
        <v/>
      </c>
      <c r="G48" s="73" t="n"/>
      <c r="H48" s="73">
        <f>IF($A28="","",H28*G28)</f>
        <v/>
      </c>
      <c r="I48" s="73" t="n"/>
      <c r="J48" s="73">
        <f>IF($A28="","",J28*I28)</f>
        <v/>
      </c>
      <c r="K48" s="73" t="n"/>
      <c r="L48" s="73">
        <f>IF($A28="","",L28*K28)</f>
        <v/>
      </c>
      <c r="M48" s="73" t="n"/>
      <c r="N48" s="73">
        <f>IF($A28="","",N28*M28)</f>
        <v/>
      </c>
      <c r="O48" s="73" t="n"/>
      <c r="P48" s="73">
        <f>IF($A28="","",P28*O28)</f>
        <v/>
      </c>
      <c r="Q48" s="73" t="n"/>
      <c r="R48" s="73">
        <f>IF($A28="","",R28*Q28)</f>
        <v/>
      </c>
      <c r="S48" s="73" t="n"/>
      <c r="T48" s="73">
        <f>IF($A28="","",T28*S28)</f>
        <v/>
      </c>
      <c r="U48" s="73" t="n"/>
      <c r="V48" s="73">
        <f>IF($A28="","",V28*U28)</f>
        <v/>
      </c>
      <c r="W48" s="73" t="n"/>
      <c r="X48" s="73">
        <f>IF($A28="","",X28*W28)</f>
        <v/>
      </c>
      <c r="Y48" s="73" t="n"/>
      <c r="Z48" s="73">
        <f>IF($A28="","",Z28*Y28)</f>
        <v/>
      </c>
      <c r="AA48" s="73" t="n"/>
      <c r="AB48" s="73">
        <f>IF($A28="","",AB28*AA28)</f>
        <v/>
      </c>
      <c r="AC48" s="73" t="n"/>
      <c r="AD48" s="73">
        <f>IF($A28="","",AD28*AC28)</f>
        <v/>
      </c>
      <c r="AE48" s="73" t="n"/>
      <c r="AF48" s="73">
        <f>IF($A28="","",AF28*AE28)</f>
        <v/>
      </c>
    </row>
    <row r="49" hidden="1">
      <c r="F49" s="74">
        <f>SUMIF(F31:F48,"&gt;0")</f>
        <v/>
      </c>
      <c r="H49" s="74">
        <f>SUMIF(H31:H48,"&gt;0")</f>
        <v/>
      </c>
      <c r="I49" s="74" t="n"/>
      <c r="J49" s="74">
        <f>SUMIF(J31:J48,"&gt;0")</f>
        <v/>
      </c>
      <c r="K49" s="74" t="n"/>
      <c r="L49" s="74">
        <f>SUMIF(L31:L48,"&gt;0")</f>
        <v/>
      </c>
      <c r="N49" s="74">
        <f>SUMIF(N31:N48,"&gt;0")</f>
        <v/>
      </c>
      <c r="O49" s="74" t="n"/>
      <c r="P49" s="74">
        <f>SUMIF(P31:P48,"&gt;0")</f>
        <v/>
      </c>
      <c r="Q49" s="74" t="n"/>
      <c r="R49" s="74">
        <f>SUMIF(R31:R48,"&gt;0")</f>
        <v/>
      </c>
      <c r="S49" s="74" t="n"/>
      <c r="T49" s="74">
        <f>SUMIF(T31:T48,"&gt;0")</f>
        <v/>
      </c>
      <c r="V49" s="74">
        <f>SUMIF(V31:V48,"&gt;0")</f>
        <v/>
      </c>
      <c r="W49" s="74" t="n"/>
      <c r="X49" s="74">
        <f>SUMIF(X31:X48,"&gt;0")</f>
        <v/>
      </c>
      <c r="Y49" s="74" t="n"/>
      <c r="Z49" s="74">
        <f>SUMIF(Z31:Z48,"&gt;0")</f>
        <v/>
      </c>
      <c r="AA49" s="74" t="n"/>
      <c r="AB49" s="74">
        <f>SUMIF(AB31:AB48,"&gt;0")</f>
        <v/>
      </c>
      <c r="AC49" s="74" t="n"/>
      <c r="AD49" s="74">
        <f>SUMIF(AD31:AD48,"&gt;0")</f>
        <v/>
      </c>
      <c r="AE49" s="74" t="n"/>
      <c r="AF49" s="74">
        <f>SUMIF(AF31:AF48,"&gt;0")</f>
        <v/>
      </c>
    </row>
    <row r="52">
      <c r="A52" s="75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</row>
    <row r="53">
      <c r="A53" s="77" t="inlineStr">
        <is>
          <t>#</t>
        </is>
      </c>
      <c r="B53" s="77" t="inlineStr">
        <is>
          <t>โปรไฟล์</t>
        </is>
      </c>
      <c r="C53" s="77" t="inlineStr">
        <is>
          <t>รหัส</t>
        </is>
      </c>
      <c r="D53" s="77" t="inlineStr">
        <is>
          <t>สูตรตัด (เดิม)</t>
        </is>
      </c>
      <c r="E53" s="77" t="inlineStr">
        <is>
          <t>หัก1</t>
        </is>
      </c>
      <c r="F53" s="77" t="inlineStr">
        <is>
          <t>หัก2</t>
        </is>
      </c>
      <c r="G53" s="77" t="inlineStr">
        <is>
          <t>หัก3</t>
        </is>
      </c>
      <c r="H53" s="77" t="inlineStr">
        <is>
          <t>หัก4</t>
        </is>
      </c>
      <c r="I53" s="77" t="inlineStr">
        <is>
          <t>หัก5</t>
        </is>
      </c>
      <c r="J53" s="77" t="inlineStr">
        <is>
          <t>หัก6</t>
        </is>
      </c>
      <c r="K53" s="77" t="inlineStr">
        <is>
          <t>หัก7</t>
        </is>
      </c>
      <c r="L53" s="77" t="inlineStr">
        <is>
          <t>จำนวน/ชุด</t>
        </is>
      </c>
      <c r="M53" s="122" t="n"/>
    </row>
    <row r="54" ht="44" customHeight="1">
      <c r="A54" s="78" t="n">
        <v>1</v>
      </c>
      <c r="B54" s="79" t="inlineStr">
        <is>
          <t>เฟรมข้าง</t>
        </is>
      </c>
      <c r="C54" s="80" t="inlineStr">
        <is>
          <t>F7979</t>
        </is>
      </c>
      <c r="D54" s="81" t="inlineStr">
        <is>
          <t>สูง</t>
        </is>
      </c>
      <c r="E54" s="82" t="n"/>
      <c r="F54" s="82" t="n"/>
      <c r="G54" s="82" t="n"/>
      <c r="H54" s="82" t="n"/>
      <c r="I54" s="82" t="n"/>
      <c r="J54" s="82" t="n"/>
      <c r="K54" s="82" t="n"/>
      <c r="L54" s="83" t="n">
        <v>2</v>
      </c>
      <c r="M54" s="82" t="n"/>
    </row>
    <row r="55" ht="44" customHeight="1">
      <c r="A55" s="78" t="n">
        <v>2</v>
      </c>
      <c r="B55" s="79" t="inlineStr">
        <is>
          <t>เฟรม บน-ล่าง</t>
        </is>
      </c>
      <c r="C55" s="80" t="inlineStr">
        <is>
          <t>F7977</t>
        </is>
      </c>
      <c r="D55" s="81" t="inlineStr">
        <is>
          <t>กว้าง-21-21</t>
        </is>
      </c>
      <c r="E55" s="83" t="n">
        <v>21</v>
      </c>
      <c r="F55" s="83" t="n">
        <v>21</v>
      </c>
      <c r="G55" s="82" t="n"/>
      <c r="H55" s="82" t="n"/>
      <c r="I55" s="82" t="n"/>
      <c r="J55" s="82" t="n"/>
      <c r="K55" s="82" t="n"/>
      <c r="L55" s="83" t="n">
        <v>2</v>
      </c>
      <c r="M55" s="82" t="n"/>
    </row>
    <row r="56" ht="44" customHeight="1">
      <c r="A56" s="78" t="n">
        <v>3</v>
      </c>
      <c r="B56" s="79" t="inlineStr">
        <is>
          <t>เสา</t>
        </is>
      </c>
      <c r="C56" s="80" t="inlineStr">
        <is>
          <t>F7980</t>
        </is>
      </c>
      <c r="D56" s="81" t="inlineStr">
        <is>
          <t>สูง-21-19-13-21</t>
        </is>
      </c>
      <c r="E56" s="83" t="n">
        <v>21</v>
      </c>
      <c r="F56" s="83" t="n">
        <v>19</v>
      </c>
      <c r="G56" s="83" t="n">
        <v>13</v>
      </c>
      <c r="H56" s="83" t="n">
        <v>21</v>
      </c>
      <c r="I56" s="82" t="n"/>
      <c r="J56" s="82" t="n"/>
      <c r="K56" s="82" t="n"/>
      <c r="L56" s="83" t="n">
        <v>4</v>
      </c>
      <c r="M56" s="82" t="n"/>
    </row>
    <row r="57" ht="15" customHeight="1">
      <c r="A57" s="78" t="n">
        <v>4</v>
      </c>
      <c r="B57" s="79" t="inlineStr">
        <is>
          <t>ขวาง</t>
        </is>
      </c>
      <c r="C57" s="80" t="inlineStr">
        <is>
          <t>-</t>
        </is>
      </c>
      <c r="D57" s="81" t="inlineStr">
        <is>
          <t>((กว้าง-21-3-1.2-3-21)/2)+(78x1/2)</t>
        </is>
      </c>
      <c r="E57" s="83" t="n">
        <v>21</v>
      </c>
      <c r="F57" s="83" t="n">
        <v>3</v>
      </c>
      <c r="G57" s="83" t="n">
        <v>1.2</v>
      </c>
      <c r="H57" s="83" t="n">
        <v>3</v>
      </c>
      <c r="I57" s="83" t="n">
        <v>21</v>
      </c>
      <c r="J57" s="82" t="n"/>
      <c r="K57" s="82" t="n"/>
      <c r="L57" s="83" t="n">
        <v>4</v>
      </c>
      <c r="M57" s="82" t="n"/>
    </row>
    <row r="58" ht="44" customHeight="1">
      <c r="A58" s="78" t="n">
        <v>5</v>
      </c>
      <c r="B58" s="79" t="inlineStr">
        <is>
          <t>คิ้ว ตั้ง</t>
        </is>
      </c>
      <c r="C58" s="80" t="inlineStr">
        <is>
          <t>F7919</t>
        </is>
      </c>
      <c r="D58" s="81" t="inlineStr">
        <is>
          <t>เสา-78-78</t>
        </is>
      </c>
      <c r="E58" s="83" t="n">
        <v>78</v>
      </c>
      <c r="F58" s="83" t="n">
        <v>78</v>
      </c>
      <c r="G58" s="82" t="n"/>
      <c r="H58" s="82" t="n"/>
      <c r="I58" s="82" t="n"/>
      <c r="J58" s="82" t="n"/>
      <c r="K58" s="82" t="n"/>
      <c r="L58" s="83" t="n">
        <v>4</v>
      </c>
      <c r="M58" s="82" t="n"/>
    </row>
    <row r="59" ht="15" customHeight="1">
      <c r="A59" s="78" t="n">
        <v>6</v>
      </c>
      <c r="B59" s="79" t="inlineStr">
        <is>
          <t>คิ้ว ขวาง</t>
        </is>
      </c>
      <c r="C59" s="80" t="inlineStr">
        <is>
          <t>-</t>
        </is>
      </c>
      <c r="D59" s="81" t="inlineStr">
        <is>
          <t>ขวาง-63-63</t>
        </is>
      </c>
      <c r="E59" s="83" t="n">
        <v>63</v>
      </c>
      <c r="F59" s="83" t="n">
        <v>63</v>
      </c>
      <c r="G59" s="82" t="n"/>
      <c r="H59" s="82" t="n"/>
      <c r="I59" s="82" t="n"/>
      <c r="J59" s="82" t="n"/>
      <c r="K59" s="82" t="n"/>
      <c r="L59" s="83" t="n">
        <v>4</v>
      </c>
      <c r="M59" s="82" t="n"/>
    </row>
    <row r="60" ht="44" customHeight="1">
      <c r="A60" s="78" t="n">
        <v>7</v>
      </c>
      <c r="B60" s="79" t="inlineStr">
        <is>
          <t>ตบเกี่ยว</t>
        </is>
      </c>
      <c r="C60" s="80" t="inlineStr">
        <is>
          <t>F7983</t>
        </is>
      </c>
      <c r="D60" s="81" t="inlineStr">
        <is>
          <t>สูงกรอบบาน</t>
        </is>
      </c>
      <c r="E60" s="82" t="n"/>
      <c r="F60" s="82" t="n"/>
      <c r="G60" s="82" t="n"/>
      <c r="H60" s="82" t="n"/>
      <c r="I60" s="82" t="n"/>
      <c r="J60" s="82" t="n"/>
      <c r="K60" s="82" t="n"/>
      <c r="L60" s="83" t="n">
        <v>2</v>
      </c>
      <c r="M60" s="82" t="n"/>
    </row>
    <row r="61" ht="44" customHeight="1">
      <c r="A61" s="78" t="n">
        <v>8</v>
      </c>
      <c r="B61" s="79" t="inlineStr">
        <is>
          <t>ยูข้าง</t>
        </is>
      </c>
      <c r="C61" s="80" t="inlineStr">
        <is>
          <t>F7986</t>
        </is>
      </c>
      <c r="D61" s="81" t="inlineStr">
        <is>
          <t>สูง-45-45</t>
        </is>
      </c>
      <c r="E61" s="83" t="n">
        <v>45</v>
      </c>
      <c r="F61" s="83" t="n">
        <v>45</v>
      </c>
      <c r="G61" s="82" t="n"/>
      <c r="H61" s="82" t="n"/>
      <c r="I61" s="82" t="n"/>
      <c r="J61" s="82" t="n"/>
      <c r="K61" s="82" t="n"/>
      <c r="L61" s="83" t="n">
        <v>2</v>
      </c>
      <c r="M61" s="82" t="n"/>
    </row>
    <row r="62" ht="44" customHeight="1">
      <c r="A62" s="78" t="n">
        <v>9</v>
      </c>
      <c r="B62" s="79" t="inlineStr">
        <is>
          <t>ตบเฟรมบน</t>
        </is>
      </c>
      <c r="C62" s="80" t="inlineStr">
        <is>
          <t>F7993</t>
        </is>
      </c>
      <c r="D62" s="81" t="inlineStr">
        <is>
          <t>เท่าเฟรมบน</t>
        </is>
      </c>
      <c r="E62" s="83" t="n">
        <v>21</v>
      </c>
      <c r="F62" s="83" t="n">
        <v>21</v>
      </c>
      <c r="G62" s="82" t="n"/>
      <c r="H62" s="82" t="n"/>
      <c r="I62" s="82" t="n"/>
      <c r="J62" s="82" t="n"/>
      <c r="K62" s="82" t="n"/>
      <c r="L62" s="83" t="n">
        <v>2</v>
      </c>
      <c r="M62" s="82" t="n"/>
    </row>
    <row r="63" ht="44" customHeight="1">
      <c r="A63" s="78" t="n">
        <v>10</v>
      </c>
      <c r="B63" s="79" t="inlineStr">
        <is>
          <t>ตบยูข้าง</t>
        </is>
      </c>
      <c r="C63" s="80" t="inlineStr">
        <is>
          <t>F7988</t>
        </is>
      </c>
      <c r="D63" s="81" t="inlineStr">
        <is>
          <t>สูง-45-45</t>
        </is>
      </c>
      <c r="E63" s="83" t="n">
        <v>45</v>
      </c>
      <c r="F63" s="83" t="n">
        <v>45</v>
      </c>
      <c r="G63" s="82" t="n"/>
      <c r="H63" s="82" t="n"/>
      <c r="I63" s="82" t="n"/>
      <c r="J63" s="82" t="n"/>
      <c r="K63" s="82" t="n"/>
      <c r="L63" s="83" t="n">
        <v>2</v>
      </c>
      <c r="M63" s="82" t="n"/>
    </row>
    <row r="64" ht="15" customHeight="1">
      <c r="A64" s="78" t="n">
        <v>11</v>
      </c>
      <c r="B64" s="79" t="inlineStr">
        <is>
          <t>ปิดตบเกี่ยว</t>
        </is>
      </c>
      <c r="C64" s="80" t="inlineStr">
        <is>
          <t>-</t>
        </is>
      </c>
      <c r="D64" s="81" t="inlineStr">
        <is>
          <t>สูงกรอบบาน</t>
        </is>
      </c>
      <c r="E64" s="82" t="n"/>
      <c r="F64" s="82" t="n"/>
      <c r="G64" s="82" t="n"/>
      <c r="H64" s="82" t="n"/>
      <c r="I64" s="82" t="n"/>
      <c r="J64" s="82" t="n"/>
      <c r="K64" s="82" t="n"/>
      <c r="L64" s="83" t="n">
        <v>2</v>
      </c>
      <c r="M64" s="82" t="n"/>
    </row>
    <row r="65" ht="44" customHeight="1">
      <c r="A65" s="78" t="n">
        <v>12</v>
      </c>
      <c r="B65" s="79" t="inlineStr">
        <is>
          <t>ราง</t>
        </is>
      </c>
      <c r="C65" s="80" t="inlineStr">
        <is>
          <t>F7994</t>
        </is>
      </c>
      <c r="D65" s="81" t="inlineStr">
        <is>
          <t>เท่าเฟรมล่าง</t>
        </is>
      </c>
      <c r="E65" s="83" t="n">
        <v>21</v>
      </c>
      <c r="F65" s="83" t="n">
        <v>21</v>
      </c>
      <c r="G65" s="82" t="n"/>
      <c r="H65" s="82" t="n"/>
      <c r="I65" s="82" t="n"/>
      <c r="J65" s="82" t="n"/>
      <c r="K65" s="82" t="n"/>
      <c r="L65" s="83" t="n">
        <v>2</v>
      </c>
      <c r="M65" s="82" t="n"/>
    </row>
    <row r="67">
      <c r="A67" s="123" t="inlineStr">
        <is>
          <t>⑥ อุปกรณ์ ต่อ 1 บาน — คูณจำนวนบานที่ผลิต</t>
        </is>
      </c>
      <c r="B67" s="131" t="n"/>
      <c r="C67" s="131" t="n"/>
      <c r="D67" s="131" t="n"/>
      <c r="E67" s="132" t="n"/>
      <c r="F67" s="124" t="inlineStr">
        <is>
          <t>ต่อบาน</t>
        </is>
      </c>
    </row>
    <row r="68">
      <c r="A68" s="125" t="inlineStr">
        <is>
          <t>1. ล้อ 27</t>
        </is>
      </c>
      <c r="B68" s="131" t="n"/>
      <c r="C68" s="131" t="n"/>
      <c r="D68" s="131" t="n"/>
      <c r="E68" s="132" t="n"/>
      <c r="F68" s="126" t="n">
        <v>2</v>
      </c>
    </row>
    <row r="69">
      <c r="A69" s="125" t="n"/>
      <c r="F69" s="126" t="n"/>
    </row>
    <row r="70">
      <c r="A70" s="153" t="inlineStr">
        <is>
          <t>⑤ อุปกรณ์ + ตั้งค่ามือจับ (2 ชุด · บานเลื่อน 2)</t>
        </is>
      </c>
      <c r="F70" s="126" t="n"/>
    </row>
    <row r="71">
      <c r="A71" s="152" t="inlineStr">
        <is>
          <t>ประเภทบาน →</t>
        </is>
      </c>
      <c r="B71" s="150" t="inlineStr">
        <is>
          <t>ประตู</t>
        </is>
      </c>
      <c r="F71" s="126" t="n"/>
    </row>
    <row r="72">
      <c r="A72" s="156" t="inlineStr">
        <is>
          <t>ยี่ห้อมือจับ →</t>
        </is>
      </c>
      <c r="B72" s="150" t="inlineStr">
        <is>
          <t>เมโทร</t>
        </is>
      </c>
    </row>
    <row r="73">
      <c r="A73" s="149" t="inlineStr">
        <is>
          <t>สีมือจับ →</t>
        </is>
      </c>
      <c r="B73" s="150" t="inlineStr">
        <is>
          <t>อบขาว</t>
        </is>
      </c>
    </row>
    <row r="74">
      <c r="A74" s="149" t="inlineStr">
        <is>
          <t>มือจับ ชุด1 →</t>
        </is>
      </c>
      <c r="B74" s="150" t="inlineStr">
        <is>
          <t>กุญแจ+ล็อค</t>
        </is>
      </c>
    </row>
    <row r="75">
      <c r="A75" s="149" t="inlineStr">
        <is>
          <t>มือจับ ชุด2 →</t>
        </is>
      </c>
      <c r="B75" s="150" t="inlineStr">
        <is>
          <t>ล็อค+ดัมมี่</t>
        </is>
      </c>
    </row>
    <row r="76">
      <c r="A76" s="154" t="inlineStr">
        <is>
          <t>⑤.1 สรุปอุปกรณ์ (จำนวนลิงก์อัตโนมัติ)</t>
        </is>
      </c>
    </row>
    <row r="77">
      <c r="A77" s="154" t="inlineStr">
        <is>
          <t>#</t>
        </is>
      </c>
      <c r="B77" s="154" t="inlineStr">
        <is>
          <t>อุปกรณ์</t>
        </is>
      </c>
      <c r="C77" s="154" t="inlineStr">
        <is>
          <t>รหัส SKU</t>
        </is>
      </c>
      <c r="D77" s="154" t="inlineStr">
        <is>
          <t>จำนวน</t>
        </is>
      </c>
      <c r="E77" s="154" t="inlineStr">
        <is>
          <t>หน่วย</t>
        </is>
      </c>
      <c r="F77" s="154" t="inlineStr">
        <is>
          <t>หมายเหตุ</t>
        </is>
      </c>
    </row>
    <row r="78">
      <c r="A78" s="149" t="n">
        <v>1</v>
      </c>
      <c r="B78" s="149" t="inlineStr">
        <is>
          <t>ล้อ 20</t>
        </is>
      </c>
      <c r="C78" s="150">
        <f>AK8</f>
        <v/>
      </c>
      <c r="D78" s="155">
        <f>AK30</f>
        <v/>
      </c>
      <c r="E78" s="149" t="inlineStr">
        <is>
          <t>ตัว</t>
        </is>
      </c>
      <c r="F78" s="149" t="inlineStr"/>
    </row>
    <row r="79">
      <c r="A79" s="149" t="n">
        <v>2</v>
      </c>
      <c r="B79" s="149" t="inlineStr">
        <is>
          <t>มือจับ กุญแจ</t>
        </is>
      </c>
      <c r="C79" s="150">
        <f>AL8</f>
        <v/>
      </c>
      <c r="D79" s="155">
        <f>AL30</f>
        <v/>
      </c>
      <c r="E79" s="149" t="inlineStr">
        <is>
          <t>ตัว</t>
        </is>
      </c>
      <c r="F79" s="149" t="inlineStr"/>
    </row>
    <row r="80">
      <c r="A80" s="149" t="n">
        <v>3</v>
      </c>
      <c r="B80" s="149" t="inlineStr">
        <is>
          <t>มือจับ ล็อค</t>
        </is>
      </c>
      <c r="C80" s="150">
        <f>AM8</f>
        <v/>
      </c>
      <c r="D80" s="155">
        <f>AM30</f>
        <v/>
      </c>
      <c r="E80" s="149" t="inlineStr">
        <is>
          <t>ตัว</t>
        </is>
      </c>
      <c r="F80" s="149" t="inlineStr"/>
    </row>
    <row r="81">
      <c r="A81" s="149" t="n">
        <v>4</v>
      </c>
      <c r="B81" s="149" t="inlineStr">
        <is>
          <t>มือจับ ดัมมี่</t>
        </is>
      </c>
      <c r="C81" s="150">
        <f>AN8</f>
        <v/>
      </c>
      <c r="D81" s="155">
        <f>AN30</f>
        <v/>
      </c>
      <c r="E81" s="149" t="inlineStr">
        <is>
          <t>ตัว</t>
        </is>
      </c>
      <c r="F81" s="149" t="inlineStr"/>
    </row>
    <row r="82">
      <c r="A82" s="149" t="n">
        <v>5</v>
      </c>
      <c r="B82" s="149" t="inlineStr">
        <is>
          <t>Digital lock</t>
        </is>
      </c>
      <c r="C82" s="150" t="inlineStr">
        <is>
          <t>-</t>
        </is>
      </c>
      <c r="D82" s="155">
        <f>AO30</f>
        <v/>
      </c>
      <c r="E82" s="149" t="inlineStr">
        <is>
          <t>ชุด</t>
        </is>
      </c>
      <c r="F82" s="149" t="inlineStr">
        <is>
          <t>ไม่ตัดสต็อก</t>
        </is>
      </c>
    </row>
    <row r="83">
      <c r="A83" s="149" t="n">
        <v>6</v>
      </c>
      <c r="B83" s="149" t="inlineStr">
        <is>
          <t>แกน A</t>
        </is>
      </c>
      <c r="C83" s="150">
        <f>AP8</f>
        <v/>
      </c>
      <c r="D83" s="155">
        <f>AP30</f>
        <v/>
      </c>
      <c r="E83" s="149" t="inlineStr">
        <is>
          <t>เส้น</t>
        </is>
      </c>
      <c r="F83" s="149" t="inlineStr"/>
    </row>
    <row r="84">
      <c r="A84" s="149" t="n">
        <v>7</v>
      </c>
      <c r="B84" s="149" t="inlineStr">
        <is>
          <t>แกน B</t>
        </is>
      </c>
      <c r="C84" s="150">
        <f>AQ8</f>
        <v/>
      </c>
      <c r="D84" s="155">
        <f>AQ30</f>
        <v/>
      </c>
      <c r="E84" s="149" t="inlineStr">
        <is>
          <t>เส้น</t>
        </is>
      </c>
      <c r="F84" s="149" t="inlineStr"/>
    </row>
    <row r="85">
      <c r="A85" s="149" t="n">
        <v>8</v>
      </c>
      <c r="B85" s="149" t="inlineStr">
        <is>
          <t>ปลายดำ</t>
        </is>
      </c>
      <c r="C85" s="150">
        <f>AR8</f>
        <v/>
      </c>
      <c r="D85" s="155">
        <f>AR30</f>
        <v/>
      </c>
      <c r="E85" s="149" t="inlineStr">
        <is>
          <t>ตัว</t>
        </is>
      </c>
      <c r="F85" s="149" t="inlineStr"/>
    </row>
    <row r="86">
      <c r="A86" s="149" t="n">
        <v>9</v>
      </c>
      <c r="B86" s="149" t="inlineStr">
        <is>
          <t>ตัวที เงิน</t>
        </is>
      </c>
      <c r="C86" s="150">
        <f>AS8</f>
        <v/>
      </c>
      <c r="D86" s="155">
        <f>AS30</f>
        <v/>
      </c>
      <c r="E86" s="149" t="inlineStr">
        <is>
          <t>ตัว</t>
        </is>
      </c>
      <c r="F86" s="149" t="inlineStr"/>
    </row>
    <row r="87">
      <c r="A87" s="149" t="n">
        <v>10</v>
      </c>
      <c r="B87" s="149" t="inlineStr">
        <is>
          <t>ก้ามปู</t>
        </is>
      </c>
      <c r="C87" s="150">
        <f>AT8</f>
        <v/>
      </c>
      <c r="D87" s="155">
        <f>AT30</f>
        <v/>
      </c>
      <c r="E87" s="149" t="inlineStr">
        <is>
          <t>ตัว</t>
        </is>
      </c>
      <c r="F87" s="149" t="inlineStr"/>
    </row>
    <row r="88">
      <c r="A88" s="149" t="n">
        <v>11</v>
      </c>
      <c r="B88" s="149" t="inlineStr">
        <is>
          <t>สปิงก็อท</t>
        </is>
      </c>
      <c r="C88" s="150">
        <f>AU8</f>
        <v/>
      </c>
      <c r="D88" s="155">
        <f>AU30</f>
        <v/>
      </c>
      <c r="E88" s="149" t="inlineStr">
        <is>
          <t>ตัว</t>
        </is>
      </c>
      <c r="F88" s="149" t="inlineStr"/>
    </row>
    <row r="89">
      <c r="A89" s="149" t="n">
        <v>12</v>
      </c>
      <c r="B89" s="149" t="inlineStr">
        <is>
          <t>ฉากประกอบมุม</t>
        </is>
      </c>
      <c r="C89" s="150">
        <f>AV8</f>
        <v/>
      </c>
      <c r="D89" s="155">
        <f>AV30</f>
        <v/>
      </c>
      <c r="E89" s="149" t="inlineStr">
        <is>
          <t>ตัว</t>
        </is>
      </c>
      <c r="F89" s="149" t="inlineStr"/>
    </row>
    <row r="90">
      <c r="A90" s="149" t="n">
        <v>13</v>
      </c>
      <c r="B90" s="149" t="inlineStr">
        <is>
          <t>ยางรูน้ำ</t>
        </is>
      </c>
      <c r="C90" s="150">
        <f>AW8</f>
        <v/>
      </c>
      <c r="D90" s="155">
        <f>AW30</f>
        <v/>
      </c>
      <c r="E90" s="149" t="inlineStr">
        <is>
          <t>ตัว</t>
        </is>
      </c>
      <c r="F90" s="149" t="inlineStr"/>
    </row>
    <row r="91">
      <c r="A91" s="149" t="n">
        <v>14</v>
      </c>
      <c r="B91" s="149" t="inlineStr">
        <is>
          <t>วาวรูน้ำ</t>
        </is>
      </c>
      <c r="C91" s="150">
        <f>AX8</f>
        <v/>
      </c>
      <c r="D91" s="155">
        <f>AX30</f>
        <v/>
      </c>
      <c r="E91" s="149" t="inlineStr">
        <is>
          <t>ตัว</t>
        </is>
      </c>
      <c r="F91" s="149" t="inlineStr"/>
    </row>
    <row r="92">
      <c r="A92" s="149" t="n">
        <v>15</v>
      </c>
      <c r="B92" s="149" t="inlineStr">
        <is>
          <t>สักหลาด 5×3</t>
        </is>
      </c>
      <c r="C92" s="150">
        <f>AY8</f>
        <v/>
      </c>
      <c r="D92" s="155">
        <f>AY30</f>
        <v/>
      </c>
      <c r="E92" s="149" t="inlineStr">
        <is>
          <t>เมตร</t>
        </is>
      </c>
      <c r="F92" s="149" t="inlineStr">
        <is>
          <t>เก็บเป็นเมตร</t>
        </is>
      </c>
    </row>
  </sheetData>
  <mergeCells count="63">
    <mergeCell ref="Q7:R7"/>
    <mergeCell ref="U9:V9"/>
    <mergeCell ref="I6:J6"/>
    <mergeCell ref="AC7:AD7"/>
    <mergeCell ref="AE7:AF7"/>
    <mergeCell ref="O6:P6"/>
    <mergeCell ref="U6:V6"/>
    <mergeCell ref="K9:L9"/>
    <mergeCell ref="W6:X6"/>
    <mergeCell ref="M9:N9"/>
    <mergeCell ref="O9:P9"/>
    <mergeCell ref="G8:H8"/>
    <mergeCell ref="M30:O30"/>
    <mergeCell ref="E8:F8"/>
    <mergeCell ref="Y9:Z9"/>
    <mergeCell ref="Q8:R8"/>
    <mergeCell ref="W7:AB7"/>
    <mergeCell ref="AA9:AB9"/>
    <mergeCell ref="S8:T8"/>
    <mergeCell ref="W30:AA30"/>
    <mergeCell ref="G7:H7"/>
    <mergeCell ref="AA6:AB6"/>
    <mergeCell ref="S7:T7"/>
    <mergeCell ref="A30:D30"/>
    <mergeCell ref="G6:H6"/>
    <mergeCell ref="AC8:AD8"/>
    <mergeCell ref="E9:F9"/>
    <mergeCell ref="AE8:AF8"/>
    <mergeCell ref="U7:V7"/>
    <mergeCell ref="A8:A9"/>
    <mergeCell ref="E6:F6"/>
    <mergeCell ref="A6:D6"/>
    <mergeCell ref="M6:N6"/>
    <mergeCell ref="K8:L8"/>
    <mergeCell ref="Q6:R6"/>
    <mergeCell ref="S6:T6"/>
    <mergeCell ref="D8:D9"/>
    <mergeCell ref="A7:D7"/>
    <mergeCell ref="Y6:Z6"/>
    <mergeCell ref="Q9:R9"/>
    <mergeCell ref="I7:L7"/>
    <mergeCell ref="I8:J8"/>
    <mergeCell ref="S9:T9"/>
    <mergeCell ref="I30:K30"/>
    <mergeCell ref="M8:N8"/>
    <mergeCell ref="W9:X9"/>
    <mergeCell ref="AC9:AD9"/>
    <mergeCell ref="O8:P8"/>
    <mergeCell ref="U8:V8"/>
    <mergeCell ref="AE9:AF9"/>
    <mergeCell ref="W8:X8"/>
    <mergeCell ref="B8:C9"/>
    <mergeCell ref="AC6:AD6"/>
    <mergeCell ref="E7:F7"/>
    <mergeCell ref="AE6:AF6"/>
    <mergeCell ref="M7:P7"/>
    <mergeCell ref="A68:E68"/>
    <mergeCell ref="Y8:Z8"/>
    <mergeCell ref="K6:L6"/>
    <mergeCell ref="G9:H9"/>
    <mergeCell ref="AA8:AB8"/>
    <mergeCell ref="I9:J9"/>
    <mergeCell ref="A67:E67"/>
  </mergeCells>
  <dataValidations count="5">
    <dataValidation sqref="B71" showDropDown="0" showInputMessage="0" showErrorMessage="0" allowBlank="1" type="list">
      <formula1>"ประตู,หน้าต่าง"</formula1>
    </dataValidation>
    <dataValidation sqref="B72" showDropDown="0" showInputMessage="0" showErrorMessage="0" allowBlank="1" type="list">
      <formula1>"เมโทร,Align"</formula1>
    </dataValidation>
    <dataValidation sqref="B73" showDropDown="0" showInputMessage="0" showErrorMessage="0" allowBlank="1" type="list">
      <formula1>"อบขาว,ดำ"</formula1>
    </dataValidation>
    <dataValidation sqref="B74" showDropDown="0" showInputMessage="0" showErrorMessage="0" allowBlank="1" type="list">
      <formula1>=$BD$1:$BD$4</formula1>
    </dataValidation>
    <dataValidation sqref="B75" showDropDown="0" showInputMessage="0" showErrorMessage="0" allowBlank="1" type="list">
      <formula1>=$BD$1:$BD$4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D92"/>
  <sheetViews>
    <sheetView showGridLines="0"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26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6.75" customWidth="1" min="32" max="32"/>
    <col width="12.75" customWidth="1" min="33" max="33"/>
    <col width="6.75" customWidth="1" min="34" max="34"/>
    <col width="12.75" customWidth="1" min="35" max="35"/>
    <col width="6.75" customWidth="1" min="36" max="36"/>
    <col width="12.75" customWidth="1" min="37" max="37"/>
    <col width="6.75" customWidth="1" min="38" max="38"/>
    <col width="12.75" customWidth="1" min="39" max="39"/>
    <col width="12.75" customWidth="1" min="40" max="40"/>
    <col width="8.75" customWidth="1" min="41" max="41"/>
    <col width="8.875" customWidth="1" min="42" max="42"/>
    <col hidden="1" width="13" customWidth="1" min="53" max="53"/>
    <col hidden="1" width="13" customWidth="1" min="54" max="54"/>
    <col hidden="1" width="13" customWidth="1" min="55" max="55"/>
    <col hidden="1" width="13" customWidth="1" min="56" max="56"/>
  </cols>
  <sheetData>
    <row r="1" ht="40.15" customHeight="1">
      <c r="A1" s="1" t="inlineStr">
        <is>
          <t>JR ALUMINIUM &amp; GLASS  —  ใบรายการตัด · FUJI เลื่อนสลับ ภายใน+มุ้ง   (หน่วย: มม.)</t>
        </is>
      </c>
      <c r="B1" s="2" t="n"/>
      <c r="D1" s="3" t="n"/>
      <c r="E1" s="4" t="n"/>
      <c r="F1" s="3" t="n"/>
      <c r="G1" s="5" t="n"/>
      <c r="H1" s="5" t="n"/>
      <c r="I1" s="5" t="n"/>
      <c r="J1" s="5" t="n"/>
      <c r="K1" s="6" t="n"/>
      <c r="L1" s="5" t="n"/>
      <c r="M1" s="3" t="n"/>
      <c r="N1" s="3" t="n"/>
      <c r="O1" s="6" t="n"/>
      <c r="P1" s="6" t="n"/>
      <c r="Q1" s="5" t="n"/>
      <c r="R1" s="5" t="n"/>
      <c r="S1" s="3" t="n"/>
      <c r="T1" s="7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3" t="n"/>
      <c r="AH1" s="3" t="n"/>
      <c r="AI1" s="3" t="n"/>
      <c r="AJ1" s="3" t="n"/>
      <c r="AK1" s="5" t="n"/>
      <c r="AL1" s="5" t="n"/>
      <c r="AM1" s="5" t="n"/>
      <c r="AN1" s="5" t="n"/>
      <c r="AO1" s="5" t="n"/>
      <c r="AP1" s="5" t="n"/>
      <c r="AQ1" s="5" t="n"/>
      <c r="BA1" t="inlineStr">
        <is>
          <t>เมโทรกุญแจอบขาว</t>
        </is>
      </c>
      <c r="BB1" t="inlineStr">
        <is>
          <t>JR00368</t>
        </is>
      </c>
      <c r="BD1">
        <f>IF($B$71="ประตู","กุญแจ+ล็อค","ล็อค")</f>
        <v/>
      </c>
    </row>
    <row r="2" ht="40.15" customHeight="1">
      <c r="A2" s="6" t="n"/>
      <c r="B2" s="6" t="n"/>
      <c r="C2" s="6" t="n"/>
      <c r="D2" s="6" t="n"/>
      <c r="E2" s="8" t="n"/>
      <c r="F2" s="6" t="n"/>
      <c r="G2" s="9" t="n"/>
      <c r="H2" s="9" t="n"/>
      <c r="I2" s="9" t="n"/>
      <c r="J2" s="9" t="n"/>
      <c r="K2" s="9" t="n"/>
      <c r="L2" s="9" t="n"/>
      <c r="M2" s="6" t="n"/>
      <c r="N2" s="6" t="n"/>
      <c r="O2" s="6" t="n"/>
      <c r="P2" s="6" t="n"/>
      <c r="Q2" s="9" t="n"/>
      <c r="R2" s="9" t="n"/>
      <c r="S2" s="6" t="n"/>
      <c r="T2" s="6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6" t="n"/>
      <c r="AH2" s="6" t="n"/>
      <c r="AI2" s="6" t="n"/>
      <c r="AJ2" s="6" t="n"/>
      <c r="AK2" s="9" t="n"/>
      <c r="AL2" s="9" t="n"/>
      <c r="AM2" s="9" t="n"/>
      <c r="AN2" s="9" t="n"/>
      <c r="AO2" s="9" t="n"/>
      <c r="AP2" s="9" t="n"/>
      <c r="AQ2" s="9" t="n"/>
      <c r="BA2" t="inlineStr">
        <is>
          <t>เมโทรกุญแจดำ</t>
        </is>
      </c>
      <c r="BB2" t="inlineStr">
        <is>
          <t>JR00371</t>
        </is>
      </c>
      <c r="BD2">
        <f>IF($B$71="ประตู","ล็อค+ดัมมี่","ดัมมี่")</f>
        <v/>
      </c>
    </row>
    <row r="3" ht="40.15" customHeight="1">
      <c r="A3" s="130">
        <f>HYPERLINK("#สารบัญ!A1","← สารบัญ")</f>
        <v/>
      </c>
      <c r="B3" s="117" t="inlineStr">
        <is>
          <t>บู๊ทฟูจิ</t>
        </is>
      </c>
      <c r="C3" s="85" t="n"/>
      <c r="D3" s="85" t="n"/>
      <c r="E3" s="100" t="n"/>
      <c r="F3" s="6" t="n"/>
      <c r="G3" s="11" t="n"/>
      <c r="H3" s="11" t="n"/>
      <c r="I3" s="11" t="n"/>
      <c r="J3" s="11" t="n"/>
      <c r="K3" s="9" t="n"/>
      <c r="L3" s="9" t="n"/>
      <c r="M3" s="6" t="n"/>
      <c r="N3" s="6" t="n"/>
      <c r="O3" s="6" t="n"/>
      <c r="P3" s="6" t="n"/>
      <c r="Q3" s="11" t="n"/>
      <c r="R3" s="11" t="n"/>
      <c r="S3" s="6" t="n"/>
      <c r="T3" s="6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6" t="n"/>
      <c r="AH3" s="6" t="n"/>
      <c r="AI3" s="6" t="n"/>
      <c r="AJ3" s="6" t="n"/>
      <c r="AK3" s="11" t="n"/>
      <c r="AL3" s="11" t="n"/>
      <c r="AM3" s="11" t="n"/>
      <c r="AN3" s="11" t="n"/>
      <c r="AO3" s="11" t="n"/>
      <c r="AP3" s="11" t="n"/>
      <c r="AQ3" s="11" t="n"/>
      <c r="BA3" t="inlineStr">
        <is>
          <t>เมโทรล็อคอบขาว</t>
        </is>
      </c>
      <c r="BB3" t="inlineStr">
        <is>
          <t>JR00369</t>
        </is>
      </c>
      <c r="BD3">
        <f>IF($B$71="ประตู","ดัมมี่+ดัมมี่","")</f>
        <v/>
      </c>
    </row>
    <row r="4" ht="40.15" customHeight="1">
      <c r="A4" s="6" t="n"/>
      <c r="B4" s="6" t="n"/>
      <c r="C4" s="6" t="n"/>
      <c r="F4" s="6" t="n"/>
      <c r="K4" s="9" t="n"/>
      <c r="L4" s="9" t="n"/>
      <c r="M4" s="6" t="n"/>
      <c r="N4" s="6" t="n"/>
      <c r="O4" s="6" t="n"/>
      <c r="P4" s="6" t="n"/>
      <c r="S4" s="6" t="n"/>
      <c r="T4" s="6" t="n"/>
      <c r="AG4" s="6" t="n"/>
      <c r="AH4" s="6" t="n"/>
      <c r="AI4" s="6" t="n"/>
      <c r="AJ4" s="6" t="n"/>
      <c r="BA4" t="inlineStr">
        <is>
          <t>เมโทรล็อคดำ</t>
        </is>
      </c>
      <c r="BB4" t="inlineStr">
        <is>
          <t>JR00372</t>
        </is>
      </c>
      <c r="BD4">
        <f>IF($B$71="ประตู","Digital lock","")</f>
        <v/>
      </c>
    </row>
    <row r="5" ht="40.15" customHeight="1">
      <c r="A5" s="6" t="n"/>
      <c r="B5" s="6" t="n"/>
      <c r="C5" s="6" t="n"/>
      <c r="D5" s="6" t="n"/>
      <c r="E5" s="8" t="n"/>
      <c r="F5" s="6" t="n"/>
      <c r="M5" s="6" t="n"/>
      <c r="N5" s="6" t="n"/>
      <c r="P5" s="6" t="n"/>
      <c r="S5" s="6" t="n"/>
      <c r="T5" s="6" t="n"/>
      <c r="AG5" s="6" t="n"/>
      <c r="AH5" s="6" t="n"/>
      <c r="AI5" s="6" t="n"/>
      <c r="AJ5" s="6" t="n"/>
      <c r="BA5" t="inlineStr">
        <is>
          <t>เมโทรดัมมี่อบขาว</t>
        </is>
      </c>
      <c r="BB5" t="inlineStr">
        <is>
          <t>JR00370</t>
        </is>
      </c>
    </row>
    <row r="6" ht="60" customHeight="1">
      <c r="A6" s="13" t="inlineStr">
        <is>
          <t>สูตรตัด</t>
        </is>
      </c>
      <c r="B6" s="14" t="n"/>
      <c r="C6" s="14" t="n"/>
      <c r="D6" s="15" t="n"/>
      <c r="E6" s="16" t="inlineStr">
        <is>
          <t>สูง</t>
        </is>
      </c>
      <c r="F6" s="17" t="n"/>
      <c r="G6" s="16" t="inlineStr">
        <is>
          <t>กว้าง-21-21</t>
        </is>
      </c>
      <c r="H6" s="17" t="n"/>
      <c r="I6" s="16" t="inlineStr">
        <is>
          <t>กว้าง-21-21</t>
        </is>
      </c>
      <c r="J6" s="17" t="n"/>
      <c r="K6" s="16" t="inlineStr">
        <is>
          <t>กว้าง</t>
        </is>
      </c>
      <c r="L6" s="17" t="n"/>
      <c r="M6" s="16" t="inlineStr">
        <is>
          <t>สูง-14-13-21</t>
        </is>
      </c>
      <c r="N6" s="17" t="n"/>
      <c r="O6" s="16" t="inlineStr">
        <is>
          <t>((กว้าง-21-3-3--1.221)/2)+(78x1/2)</t>
        </is>
      </c>
      <c r="P6" s="17" t="n"/>
      <c r="Q6" s="16" t="inlineStr">
        <is>
          <t>เสา-78-78</t>
        </is>
      </c>
      <c r="R6" s="17" t="n"/>
      <c r="S6" s="16" t="inlineStr">
        <is>
          <t>ขวาง-63-63</t>
        </is>
      </c>
      <c r="T6" s="17" t="n"/>
      <c r="U6" s="16" t="inlineStr">
        <is>
          <t>สูงกรอบบาน</t>
        </is>
      </c>
      <c r="V6" s="17" t="n"/>
      <c r="W6" s="16" t="inlineStr">
        <is>
          <t>สูง-45-45</t>
        </is>
      </c>
      <c r="X6" s="17" t="n"/>
      <c r="Y6" s="16" t="inlineStr">
        <is>
          <t>สูงS-63-63</t>
        </is>
      </c>
      <c r="Z6" s="17" t="n"/>
      <c r="AA6" s="16" t="inlineStr">
        <is>
          <t>สูง-45-45</t>
        </is>
      </c>
      <c r="AB6" s="17" t="n"/>
      <c r="AC6" s="16" t="inlineStr">
        <is>
          <t>เท่าเฟรมบน</t>
        </is>
      </c>
      <c r="AD6" s="17" t="n"/>
      <c r="AE6" s="16" t="inlineStr">
        <is>
          <t>สูง-45-45</t>
        </is>
      </c>
      <c r="AF6" s="17" t="n"/>
      <c r="AG6" s="16" t="inlineStr">
        <is>
          <t>สูงกรอบบาน</t>
        </is>
      </c>
      <c r="AI6" s="16" t="inlineStr">
        <is>
          <t>กว้าง</t>
        </is>
      </c>
      <c r="AK6" s="16" t="inlineStr">
        <is>
          <t>เท่าเฟรมล่าง</t>
        </is>
      </c>
      <c r="AM6" s="18" t="n"/>
      <c r="AN6" s="18" t="n"/>
      <c r="AO6" s="18" t="n"/>
      <c r="BA6" t="inlineStr">
        <is>
          <t>เมโทรดัมมี่ดำ</t>
        </is>
      </c>
      <c r="BB6" t="inlineStr">
        <is>
          <t>JR00373</t>
        </is>
      </c>
      <c r="BC6">
        <f>(COUNTIF($B$74:$B$75,"กุญแจ+ล็อค")+COUNTIF($B$74:$B$75,"ล็อค+ดัมมี่")+COUNTIF($B$74:$B$75,"ล็อค"))</f>
        <v/>
      </c>
    </row>
    <row r="7" ht="40.15" customHeight="1">
      <c r="A7" s="19" t="inlineStr">
        <is>
          <t>ใส่ข้อมูล</t>
        </is>
      </c>
      <c r="B7" s="20" t="n"/>
      <c r="C7" s="20" t="n"/>
      <c r="D7" s="21" t="n"/>
      <c r="E7" s="22" t="inlineStr">
        <is>
          <t>F7978</t>
        </is>
      </c>
      <c r="F7" s="15" t="n"/>
      <c r="G7" s="22" t="inlineStr">
        <is>
          <t>F7976</t>
        </is>
      </c>
      <c r="H7" s="15" t="n"/>
      <c r="I7" s="22" t="inlineStr">
        <is>
          <t>F7902</t>
        </is>
      </c>
      <c r="J7" s="15" t="n"/>
      <c r="K7" s="22" t="inlineStr">
        <is>
          <t>F7992</t>
        </is>
      </c>
      <c r="L7" s="15" t="n"/>
      <c r="M7" s="22" t="inlineStr">
        <is>
          <t>F7980</t>
        </is>
      </c>
      <c r="N7" s="14" t="n"/>
      <c r="O7" s="14" t="n"/>
      <c r="P7" s="15" t="n"/>
      <c r="Q7" s="22" t="inlineStr">
        <is>
          <t>F7919</t>
        </is>
      </c>
      <c r="R7" s="14" t="n"/>
      <c r="S7" s="14" t="n"/>
      <c r="T7" s="15" t="n"/>
      <c r="U7" s="22" t="inlineStr">
        <is>
          <t>F7983</t>
        </is>
      </c>
      <c r="V7" s="15" t="n"/>
      <c r="W7" s="23" t="inlineStr">
        <is>
          <t>F7985</t>
        </is>
      </c>
      <c r="X7" s="15" t="n"/>
      <c r="Y7" s="22" t="inlineStr">
        <is>
          <t>F7966</t>
        </is>
      </c>
      <c r="Z7" s="15" t="n"/>
      <c r="AA7" s="22" t="inlineStr">
        <is>
          <t>F7986</t>
        </is>
      </c>
      <c r="AB7" s="15" t="n"/>
      <c r="AC7" s="22" t="inlineStr">
        <is>
          <t>F7993</t>
        </is>
      </c>
      <c r="AD7" s="15" t="n"/>
      <c r="AE7" s="22" t="inlineStr">
        <is>
          <t>F7988</t>
        </is>
      </c>
      <c r="AK7" s="22" t="inlineStr">
        <is>
          <t>F7994</t>
        </is>
      </c>
      <c r="AM7" s="24" t="n"/>
      <c r="AN7" s="25" t="inlineStr">
        <is>
          <t>ขนาดกระจก</t>
        </is>
      </c>
      <c r="AO7" s="26" t="n"/>
      <c r="BA7" t="inlineStr">
        <is>
          <t>Alignกุญแจอบขาว</t>
        </is>
      </c>
      <c r="BB7" t="inlineStr">
        <is>
          <t>JR00377</t>
        </is>
      </c>
      <c r="BC7">
        <f>COUNTIF($B$74:$B$75,"กุญแจ+ล็อค")</f>
        <v/>
      </c>
    </row>
    <row r="8" ht="40.15" customHeight="1">
      <c r="A8" s="27" t="inlineStr">
        <is>
          <t>แผน</t>
        </is>
      </c>
      <c r="B8" s="28" t="inlineStr">
        <is>
          <t>ขนาดชิ้นงาน
(mm)</t>
        </is>
      </c>
      <c r="C8" s="29" t="n"/>
      <c r="D8" s="27" t="inlineStr">
        <is>
          <t>ชุด</t>
        </is>
      </c>
      <c r="E8" s="30" t="n"/>
      <c r="F8" s="31" t="n"/>
      <c r="G8" s="30" t="n"/>
      <c r="H8" s="31" t="n"/>
      <c r="I8" s="32" t="n"/>
      <c r="J8" s="33" t="n"/>
      <c r="K8" s="30" t="n"/>
      <c r="L8" s="31" t="n"/>
      <c r="M8" s="32" t="n"/>
      <c r="N8" s="33" t="n"/>
      <c r="O8" s="34" t="n"/>
      <c r="P8" s="31" t="n"/>
      <c r="Q8" s="32" t="n"/>
      <c r="R8" s="33" t="n"/>
      <c r="S8" s="34" t="n"/>
      <c r="T8" s="31" t="n"/>
      <c r="U8" s="30" t="n"/>
      <c r="V8" s="31" t="n"/>
      <c r="W8" s="34" t="n"/>
      <c r="X8" s="31" t="n"/>
      <c r="Y8" s="32" t="n"/>
      <c r="Z8" s="33" t="n"/>
      <c r="AA8" s="32" t="n"/>
      <c r="AB8" s="33" t="n"/>
      <c r="AC8" s="32" t="n"/>
      <c r="AD8" s="33" t="n"/>
      <c r="AE8" s="32" t="n"/>
      <c r="AF8" s="33" t="n"/>
      <c r="AG8" s="35" t="n"/>
      <c r="AI8" s="34" t="n"/>
      <c r="AK8" s="30" t="inlineStr">
        <is>
          <t>JR00577</t>
        </is>
      </c>
      <c r="AL8">
        <f>VLOOKUP($B$72&amp;"กุญแจ"&amp;$B$73,$BA$1:$BB$12,2,0)</f>
        <v/>
      </c>
      <c r="AM8" s="36">
        <f>VLOOKUP($B$72&amp;"ล็อค"&amp;$B$73,$BA$1:$BB$12,2,0)</f>
        <v/>
      </c>
      <c r="AN8" s="37">
        <f>VLOOKUP($B$72&amp;"ดัมมี่"&amp;$B$73,$BA$1:$BB$12,2,0)</f>
        <v/>
      </c>
      <c r="AO8" s="38" t="inlineStr"/>
      <c r="AP8" t="inlineStr">
        <is>
          <t>JR00478</t>
        </is>
      </c>
      <c r="AQ8" t="inlineStr">
        <is>
          <t>JR00479</t>
        </is>
      </c>
      <c r="AR8" t="inlineStr">
        <is>
          <t>JR00476</t>
        </is>
      </c>
      <c r="AS8" t="inlineStr">
        <is>
          <t>JR00475</t>
        </is>
      </c>
      <c r="AT8" t="inlineStr">
        <is>
          <t>JR00477</t>
        </is>
      </c>
      <c r="AU8" t="inlineStr">
        <is>
          <t>JR00592</t>
        </is>
      </c>
      <c r="AV8" t="inlineStr">
        <is>
          <t>JR00480</t>
        </is>
      </c>
      <c r="AW8" t="inlineStr">
        <is>
          <t>JR00589</t>
        </is>
      </c>
      <c r="AX8" t="inlineStr">
        <is>
          <t>JR00485</t>
        </is>
      </c>
      <c r="AY8" t="inlineStr">
        <is>
          <t>JR00794</t>
        </is>
      </c>
      <c r="BA8" t="inlineStr">
        <is>
          <t>Alignล็อคอบขาว</t>
        </is>
      </c>
      <c r="BB8" t="inlineStr">
        <is>
          <t>JR00378</t>
        </is>
      </c>
    </row>
    <row r="9" ht="40.15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 บน</t>
        </is>
      </c>
      <c r="H9" s="43" t="n"/>
      <c r="I9" s="42" t="inlineStr">
        <is>
          <t>เฟรม-ล่าง</t>
        </is>
      </c>
      <c r="J9" s="43" t="n"/>
      <c r="K9" s="42" t="inlineStr">
        <is>
          <t>ตบกันสาด</t>
        </is>
      </c>
      <c r="L9" s="43" t="n"/>
      <c r="M9" s="42" t="inlineStr">
        <is>
          <t>เสา</t>
        </is>
      </c>
      <c r="N9" s="43" t="n"/>
      <c r="O9" s="42" t="inlineStr">
        <is>
          <t>ขวาง</t>
        </is>
      </c>
      <c r="P9" s="43" t="n"/>
      <c r="Q9" s="42" t="inlineStr">
        <is>
          <t>คิ้ว ตั้ง</t>
        </is>
      </c>
      <c r="R9" s="43" t="n"/>
      <c r="S9" s="42" t="inlineStr">
        <is>
          <t>คิ้ว ขวาง</t>
        </is>
      </c>
      <c r="T9" s="43" t="n"/>
      <c r="U9" s="42" t="inlineStr">
        <is>
          <t>ตบเกี่ยว</t>
        </is>
      </c>
      <c r="V9" s="43" t="n"/>
      <c r="W9" s="42" t="inlineStr">
        <is>
          <t>ต่อราง</t>
        </is>
      </c>
      <c r="X9" s="43" t="n"/>
      <c r="Y9" s="44" t="inlineStr">
        <is>
          <t>ซอยกลาง</t>
        </is>
      </c>
      <c r="Z9" s="43" t="n"/>
      <c r="AA9" s="44" t="inlineStr">
        <is>
          <t>ยูข้าง</t>
        </is>
      </c>
      <c r="AB9" s="43" t="n"/>
      <c r="AC9" s="44" t="inlineStr">
        <is>
          <t>ตบเฟรมบน</t>
        </is>
      </c>
      <c r="AD9" s="43" t="n"/>
      <c r="AE9" s="44" t="inlineStr">
        <is>
          <t>ตบยูข้าง</t>
        </is>
      </c>
      <c r="AF9" s="43" t="n"/>
      <c r="AG9" s="42" t="inlineStr">
        <is>
          <t>ปิดตบเกี่ยว</t>
        </is>
      </c>
      <c r="AI9" s="42" t="inlineStr">
        <is>
          <t>ตบกันสาด</t>
        </is>
      </c>
      <c r="AK9" s="44" t="inlineStr">
        <is>
          <t>ล้อ 20</t>
        </is>
      </c>
      <c r="AL9" t="inlineStr">
        <is>
          <t>มือจับ กุญแจ</t>
        </is>
      </c>
      <c r="AM9" s="45" t="inlineStr">
        <is>
          <t>มือจับ ล็อค</t>
        </is>
      </c>
      <c r="AN9" s="46" t="inlineStr">
        <is>
          <t>มือจับ ดัมมี่</t>
        </is>
      </c>
      <c r="AO9" s="47" t="inlineStr">
        <is>
          <t>Digital lock</t>
        </is>
      </c>
      <c r="AP9" t="inlineStr">
        <is>
          <t>แกน A</t>
        </is>
      </c>
      <c r="AQ9" t="inlineStr">
        <is>
          <t>แกน B</t>
        </is>
      </c>
      <c r="AR9" t="inlineStr">
        <is>
          <t>ปลายดำ</t>
        </is>
      </c>
      <c r="AS9" t="inlineStr">
        <is>
          <t>ตัวที เงิน</t>
        </is>
      </c>
      <c r="AT9" t="inlineStr">
        <is>
          <t>ก้ามปู</t>
        </is>
      </c>
      <c r="AU9" t="inlineStr">
        <is>
          <t>สปิงก็อท</t>
        </is>
      </c>
      <c r="AV9" t="inlineStr">
        <is>
          <t>ฉากประกอบมุม</t>
        </is>
      </c>
      <c r="AW9" t="inlineStr">
        <is>
          <t>ยางรูน้ำ</t>
        </is>
      </c>
      <c r="AX9" t="inlineStr">
        <is>
          <t>วาวรูน้ำ</t>
        </is>
      </c>
      <c r="AY9" t="inlineStr">
        <is>
          <t>สักหลาด(ม.)</t>
        </is>
      </c>
      <c r="BA9" t="inlineStr">
        <is>
          <t>Alignดัมมี่อบขาว</t>
        </is>
      </c>
      <c r="BB9" t="inlineStr">
        <is>
          <t>JR00379</t>
        </is>
      </c>
      <c r="BC9">
        <f>(COUNTIF($B$74:$B$75,"ล็อค+ดัมมี่")+2*COUNTIF($B$74:$B$75,"ดัมมี่+ดัมมี่")+COUNTIF($B$74:$B$75,"ดัมมี่"))</f>
        <v/>
      </c>
    </row>
    <row r="10" ht="40.15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4" t="inlineStr">
        <is>
          <t>จำนวน</t>
        </is>
      </c>
      <c r="K10" s="52" t="inlineStr">
        <is>
          <t>ยาว</t>
        </is>
      </c>
      <c r="L10" s="53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4" t="inlineStr">
        <is>
          <t>จำนวน</t>
        </is>
      </c>
      <c r="U10" s="52" t="inlineStr">
        <is>
          <t>ยาว</t>
        </is>
      </c>
      <c r="V10" s="53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4" t="inlineStr">
        <is>
          <t>จำนวน</t>
        </is>
      </c>
      <c r="AA10" s="52" t="inlineStr">
        <is>
          <t>ยาว</t>
        </is>
      </c>
      <c r="AB10" s="54" t="inlineStr">
        <is>
          <t>จำนวน</t>
        </is>
      </c>
      <c r="AC10" s="52" t="inlineStr">
        <is>
          <t>ยาว</t>
        </is>
      </c>
      <c r="AD10" s="54" t="inlineStr">
        <is>
          <t>จำนวน</t>
        </is>
      </c>
      <c r="AE10" s="52" t="inlineStr">
        <is>
          <t>ยาว</t>
        </is>
      </c>
      <c r="AF10" s="54" t="inlineStr">
        <is>
          <t>จำนวน</t>
        </is>
      </c>
      <c r="AG10" s="52" t="inlineStr">
        <is>
          <t>ยาว</t>
        </is>
      </c>
      <c r="AH10" s="53" t="inlineStr">
        <is>
          <t>จำนวน</t>
        </is>
      </c>
      <c r="AI10" s="52" t="inlineStr">
        <is>
          <t>ยาว</t>
        </is>
      </c>
      <c r="AJ10" s="53" t="inlineStr">
        <is>
          <t>จำนวน</t>
        </is>
      </c>
      <c r="AK10" s="52" t="inlineStr">
        <is>
          <t>จำนวน</t>
        </is>
      </c>
      <c r="AL10" s="54" t="inlineStr">
        <is>
          <t>จำนวน</t>
        </is>
      </c>
      <c r="AM10" s="55" t="inlineStr">
        <is>
          <t>จำนวน</t>
        </is>
      </c>
      <c r="AN10" s="56" t="inlineStr">
        <is>
          <t>จำนวน</t>
        </is>
      </c>
      <c r="AO10" s="57" t="inlineStr">
        <is>
          <t>จำนวน</t>
        </is>
      </c>
      <c r="AP10" t="inlineStr">
        <is>
          <t>จำนวน</t>
        </is>
      </c>
      <c r="AQ10" t="inlineStr">
        <is>
          <t>จำนวน</t>
        </is>
      </c>
      <c r="AR10" t="inlineStr">
        <is>
          <t>จำนวน</t>
        </is>
      </c>
      <c r="AS10" t="inlineStr">
        <is>
          <t>จำนวน</t>
        </is>
      </c>
      <c r="AT10" t="inlineStr">
        <is>
          <t>จำนวน</t>
        </is>
      </c>
      <c r="AU10" t="inlineStr">
        <is>
          <t>จำนวน</t>
        </is>
      </c>
      <c r="AV10" t="inlineStr">
        <is>
          <t>จำนวน</t>
        </is>
      </c>
      <c r="AW10" t="inlineStr">
        <is>
          <t>จำนวน</t>
        </is>
      </c>
      <c r="AX10" t="inlineStr">
        <is>
          <t>จำนวน</t>
        </is>
      </c>
      <c r="AY10" t="inlineStr">
        <is>
          <t>จำนวน</t>
        </is>
      </c>
      <c r="BA10" t="inlineStr">
        <is>
          <t>Alignกุญแจดำ</t>
        </is>
      </c>
      <c r="BB10" t="inlineStr">
        <is>
          <t>JR00374</t>
        </is>
      </c>
      <c r="BC10">
        <f>COUNTIF($B$74:$B$75,"Digital lock")</f>
        <v/>
      </c>
    </row>
    <row r="11" ht="40.15" customHeight="1">
      <c r="A11" s="99" t="inlineStr">
        <is>
          <t>D1</t>
        </is>
      </c>
      <c r="B11" s="88" t="n">
        <v>3054</v>
      </c>
      <c r="C11" s="89" t="n">
        <v>3054</v>
      </c>
      <c r="D11" s="90" t="n">
        <v>1</v>
      </c>
      <c r="E11" s="91">
        <f>IF($A11="","",$B11)</f>
        <v/>
      </c>
      <c r="F11" s="89">
        <f>IF($A11="","",$L$54*$D11)</f>
        <v/>
      </c>
      <c r="G11" s="91">
        <f>IF($A11="","",$C11-$E$55-$F$55)</f>
        <v/>
      </c>
      <c r="H11" s="89">
        <f>IF($A11="","",$L$55*$D11)</f>
        <v/>
      </c>
      <c r="I11" s="91">
        <f>IF($A11="","",$C11-$E$56-$F$56)</f>
        <v/>
      </c>
      <c r="J11" s="89">
        <f>IF($A11="","",$L$56*$D11)</f>
        <v/>
      </c>
      <c r="K11" s="91">
        <f>IF($A11="","",$C11)</f>
        <v/>
      </c>
      <c r="L11" s="89">
        <f>IF($A11="","",$L$57*$D11)</f>
        <v/>
      </c>
      <c r="M11" s="91">
        <f>IF($A11="","",$B11-$E$58-$F$58-$G$58)</f>
        <v/>
      </c>
      <c r="N11" s="89">
        <f>IF($A11="","",$L$58*$D11)</f>
        <v/>
      </c>
      <c r="O11" s="91">
        <f>IF($A11="","",(($C11-$E$59-$F$59-$G$59-$H$59-$I$59)/2)+(78*1)/2)</f>
        <v/>
      </c>
      <c r="P11" s="89">
        <f>IF($A11="","",$L$59*$D11)</f>
        <v/>
      </c>
      <c r="Q11" s="91">
        <f>IF($A11="","",$M11-$E$60-$F$60)</f>
        <v/>
      </c>
      <c r="R11" s="89">
        <f>IF($A11="","",$L$60*$D11)</f>
        <v/>
      </c>
      <c r="S11" s="91">
        <f>IF($A11="","",$O11-$E$61-$F$61)</f>
        <v/>
      </c>
      <c r="T11" s="89">
        <f>IF($A11="","",$L$61*$D11)</f>
        <v/>
      </c>
      <c r="U11" s="91">
        <f>IF($A11="","",$M11)</f>
        <v/>
      </c>
      <c r="V11" s="89">
        <f>IF($A11="","",$L$62*$D11)</f>
        <v/>
      </c>
      <c r="W11" s="91">
        <f>IF($A11="","",$M11)</f>
        <v/>
      </c>
      <c r="X11" s="89">
        <f>IF($A11="","",$L$63*$D11)</f>
        <v/>
      </c>
      <c r="Y11" s="91">
        <f>IF($A11="","",$M11-$E$64-$F$64)</f>
        <v/>
      </c>
      <c r="Z11" s="89">
        <f>IF($A11="","",$L$64*$D11)</f>
        <v/>
      </c>
      <c r="AA11" s="91">
        <f>IF($A11="","",$B11-$E$65-$F$65)</f>
        <v/>
      </c>
      <c r="AB11" s="89">
        <f>IF($A11="","",$L$65*$D11)</f>
        <v/>
      </c>
      <c r="AC11" s="91">
        <f>IF($A11="","",$C11-$E$66-$F$66)</f>
        <v/>
      </c>
      <c r="AD11" s="89">
        <f>IF($A11="","",$L$66*$D11)</f>
        <v/>
      </c>
      <c r="AE11" s="91">
        <f>IF($A11="","",$B11-$E$67-$F$67)</f>
        <v/>
      </c>
      <c r="AF11" s="89">
        <f>IF($A11="","",$L$67*$D11)</f>
        <v/>
      </c>
      <c r="AG11" s="91">
        <f>IF($A11="","",$U11)</f>
        <v/>
      </c>
      <c r="AH11" s="89">
        <f>IF($A11="","",$L$68*$D11)</f>
        <v/>
      </c>
      <c r="AI11" s="91">
        <f>IF($A11="","",$C11)</f>
        <v/>
      </c>
      <c r="AJ11" s="89">
        <f>IF($A11="","",$L$69*$D11)</f>
        <v/>
      </c>
      <c r="AK11" s="91">
        <f>IF($A11="","",2*2*$D11)</f>
        <v/>
      </c>
      <c r="AL11" s="89">
        <f>IF($A11="","",$BC$7*$D11)</f>
        <v/>
      </c>
      <c r="AM11" s="93">
        <f>IF($A11="","",$BC$6*$D11)</f>
        <v/>
      </c>
      <c r="AN11" s="134">
        <f>IF($A11="","",$BC$9*$D11)</f>
        <v/>
      </c>
      <c r="AO11" s="95">
        <f>IF($A11="","",$BC$10*$D11)</f>
        <v/>
      </c>
      <c r="AP11">
        <f>IF($A11="","",2*$BC$6*$D11)</f>
        <v/>
      </c>
      <c r="AQ11">
        <f>IF($A11="","",IF($B11&gt;2800,2,IF($B11&gt;1400,1,0))*$BC$6*$D11)</f>
        <v/>
      </c>
      <c r="AR11">
        <f>IF($A11="","",2*$BC$6*$D11)</f>
        <v/>
      </c>
      <c r="AS11">
        <f>IF($A11="","",$BC$6*$D11)</f>
        <v/>
      </c>
      <c r="AT11">
        <f>IF($A11="","",2*$BC$6*$D11)</f>
        <v/>
      </c>
      <c r="AU11">
        <f>IF($A11="","",4*2*$D11)</f>
        <v/>
      </c>
      <c r="AV11">
        <f>IF($A11="","",16*2*$D11)</f>
        <v/>
      </c>
      <c r="AW11">
        <f>IF($A11="","",(2+MAX(0,ROUNDUP(($I11-1500)/500,0)))*$D11)</f>
        <v/>
      </c>
      <c r="AX11">
        <f>IF($A11="","",(2+MAX(0,ROUNDUP(($I11-1500)/500,0)))*$D11)</f>
        <v/>
      </c>
      <c r="AY11">
        <f>IF($A11="","",ROUND((2*2*($O11+$M11)*2*$D11+$U11*$V11)/1000,1))</f>
        <v/>
      </c>
      <c r="BA11" t="inlineStr">
        <is>
          <t>Alignล็อคดำ</t>
        </is>
      </c>
      <c r="BB11" t="inlineStr">
        <is>
          <t>JR00375</t>
        </is>
      </c>
    </row>
    <row r="12" ht="40.15" customHeight="1">
      <c r="A12" s="99" t="n"/>
      <c r="B12" s="88" t="n"/>
      <c r="C12" s="89" t="n"/>
      <c r="D12" s="90" t="n"/>
      <c r="E12" s="96">
        <f>IF($A12="","",$B12)</f>
        <v/>
      </c>
      <c r="F12" s="97">
        <f>IF($A12="","",$L$54*$D12)</f>
        <v/>
      </c>
      <c r="G12" s="96">
        <f>IF($A12="","",$C12-$E$55-$F$55)</f>
        <v/>
      </c>
      <c r="H12" s="97">
        <f>IF($A12="","",$L$55*$D12)</f>
        <v/>
      </c>
      <c r="I12" s="96">
        <f>IF($A12="","",$C12-$E$56-$F$56)</f>
        <v/>
      </c>
      <c r="J12" s="97">
        <f>IF($A12="","",$L$56*$D12)</f>
        <v/>
      </c>
      <c r="K12" s="96">
        <f>IF($A12="","",$C12)</f>
        <v/>
      </c>
      <c r="L12" s="97">
        <f>IF($A12="","",$L$57*$D12)</f>
        <v/>
      </c>
      <c r="M12" s="96">
        <f>IF($A12="","",$B12-$E$58-$F$58-$G$58)</f>
        <v/>
      </c>
      <c r="N12" s="97">
        <f>IF($A12="","",$L$58*$D12)</f>
        <v/>
      </c>
      <c r="O12" s="96">
        <f>IF($A12="","",(($C12-$E$59-$F$59-$G$59-$H$59-$I$59)/2)+(78*1)/2)</f>
        <v/>
      </c>
      <c r="P12" s="97">
        <f>IF($A12="","",$L$59*$D12)</f>
        <v/>
      </c>
      <c r="Q12" s="96">
        <f>IF($A12="","",$M12-$E$60-$F$60)</f>
        <v/>
      </c>
      <c r="R12" s="97">
        <f>IF($A12="","",$L$60*$D12)</f>
        <v/>
      </c>
      <c r="S12" s="96">
        <f>IF($A12="","",$O12-$E$61-$F$61)</f>
        <v/>
      </c>
      <c r="T12" s="97">
        <f>IF($A12="","",$L$61*$D12)</f>
        <v/>
      </c>
      <c r="U12" s="96">
        <f>IF($A12="","",$M12)</f>
        <v/>
      </c>
      <c r="V12" s="97">
        <f>IF($A12="","",$L$62*$D12)</f>
        <v/>
      </c>
      <c r="W12" s="96">
        <f>IF($A12="","",$M12)</f>
        <v/>
      </c>
      <c r="X12" s="97">
        <f>IF($A12="","",$L$63*$D12)</f>
        <v/>
      </c>
      <c r="Y12" s="96">
        <f>IF($A12="","",$M12-$E$64-$F$64)</f>
        <v/>
      </c>
      <c r="Z12" s="97">
        <f>IF($A12="","",$L$64*$D12)</f>
        <v/>
      </c>
      <c r="AA12" s="96">
        <f>IF($A12="","",$B12-$E$65-$F$65)</f>
        <v/>
      </c>
      <c r="AB12" s="97">
        <f>IF($A12="","",$L$65*$D12)</f>
        <v/>
      </c>
      <c r="AC12" s="96">
        <f>IF($A12="","",$C12-$E$66-$F$66)</f>
        <v/>
      </c>
      <c r="AD12" s="97">
        <f>IF($A12="","",$L$66*$D12)</f>
        <v/>
      </c>
      <c r="AE12" s="96">
        <f>IF($A12="","",$B12-$E$67-$F$67)</f>
        <v/>
      </c>
      <c r="AF12" s="97">
        <f>IF($A12="","",$L$67*$D12)</f>
        <v/>
      </c>
      <c r="AG12" s="96">
        <f>IF($A12="","",$U12)</f>
        <v/>
      </c>
      <c r="AH12" s="97">
        <f>IF($A12="","",$L$68*$D12)</f>
        <v/>
      </c>
      <c r="AI12" s="96">
        <f>IF($A12="","",$C12)</f>
        <v/>
      </c>
      <c r="AJ12" s="97">
        <f>IF($A12="","",$L$69*$D12)</f>
        <v/>
      </c>
      <c r="AK12" s="96">
        <f>IF($A12="","",2*2*$D12)</f>
        <v/>
      </c>
      <c r="AL12" s="97">
        <f>IF($A12="","",$BC$7*$D12)</f>
        <v/>
      </c>
      <c r="AM12" s="93">
        <f>IF($A12="","",$BC$6*$D12)</f>
        <v/>
      </c>
      <c r="AN12" s="94">
        <f>IF($A12="","",$BC$9*$D12)</f>
        <v/>
      </c>
      <c r="AO12" s="95">
        <f>IF($A12="","",$BC$10*$D12)</f>
        <v/>
      </c>
      <c r="AP12">
        <f>IF($A12="","",2*$BC$6*$D12)</f>
        <v/>
      </c>
      <c r="AQ12">
        <f>IF($A12="","",IF($B12&gt;2800,2,IF($B12&gt;1400,1,0))*$BC$6*$D12)</f>
        <v/>
      </c>
      <c r="AR12">
        <f>IF($A12="","",2*$BC$6*$D12)</f>
        <v/>
      </c>
      <c r="AS12">
        <f>IF($A12="","",$BC$6*$D12)</f>
        <v/>
      </c>
      <c r="AT12">
        <f>IF($A12="","",2*$BC$6*$D12)</f>
        <v/>
      </c>
      <c r="AU12">
        <f>IF($A12="","",4*2*$D12)</f>
        <v/>
      </c>
      <c r="AV12">
        <f>IF($A12="","",16*2*$D12)</f>
        <v/>
      </c>
      <c r="AW12">
        <f>IF($A12="","",(2+MAX(0,ROUNDUP(($I12-1500)/500,0)))*$D12)</f>
        <v/>
      </c>
      <c r="AX12">
        <f>IF($A12="","",(2+MAX(0,ROUNDUP(($I12-1500)/500,0)))*$D12)</f>
        <v/>
      </c>
      <c r="AY12">
        <f>IF($A12="","",ROUND((2*2*($O12+$M12)*2*$D12+$U12*$V12)/1000,1))</f>
        <v/>
      </c>
      <c r="BA12" t="inlineStr">
        <is>
          <t>Alignดัมมี่ดำ</t>
        </is>
      </c>
      <c r="BB12" t="inlineStr">
        <is>
          <t>JR00376</t>
        </is>
      </c>
    </row>
    <row r="13" ht="40.15" customHeight="1">
      <c r="A13" s="99" t="n"/>
      <c r="B13" s="88" t="n"/>
      <c r="C13" s="89" t="n"/>
      <c r="D13" s="90" t="n"/>
      <c r="E13" s="91">
        <f>IF($A13="","",$B13)</f>
        <v/>
      </c>
      <c r="F13" s="89">
        <f>IF($A13="","",$L$54*$D13)</f>
        <v/>
      </c>
      <c r="G13" s="91">
        <f>IF($A13="","",$C13-$E$55-$F$55)</f>
        <v/>
      </c>
      <c r="H13" s="89">
        <f>IF($A13="","",$L$55*$D13)</f>
        <v/>
      </c>
      <c r="I13" s="91">
        <f>IF($A13="","",$C13-$E$56-$F$56)</f>
        <v/>
      </c>
      <c r="J13" s="89">
        <f>IF($A13="","",$L$56*$D13)</f>
        <v/>
      </c>
      <c r="K13" s="91">
        <f>IF($A13="","",$C13)</f>
        <v/>
      </c>
      <c r="L13" s="89">
        <f>IF($A13="","",$L$57*$D13)</f>
        <v/>
      </c>
      <c r="M13" s="91">
        <f>IF($A13="","",$B13-$E$58-$F$58-$G$58)</f>
        <v/>
      </c>
      <c r="N13" s="89">
        <f>IF($A13="","",$L$58*$D13)</f>
        <v/>
      </c>
      <c r="O13" s="91">
        <f>IF($A13="","",(($C13-$E$59-$F$59-$G$59-$H$59-$I$59)/2)+(78*1)/2)</f>
        <v/>
      </c>
      <c r="P13" s="89">
        <f>IF($A13="","",$L$59*$D13)</f>
        <v/>
      </c>
      <c r="Q13" s="91">
        <f>IF($A13="","",$M13-$E$60-$F$60)</f>
        <v/>
      </c>
      <c r="R13" s="89">
        <f>IF($A13="","",$L$60*$D13)</f>
        <v/>
      </c>
      <c r="S13" s="91">
        <f>IF($A13="","",$O13-$E$61-$F$61)</f>
        <v/>
      </c>
      <c r="T13" s="89">
        <f>IF($A13="","",$L$61*$D13)</f>
        <v/>
      </c>
      <c r="U13" s="91">
        <f>IF($A13="","",$M13)</f>
        <v/>
      </c>
      <c r="V13" s="89">
        <f>IF($A13="","",$L$62*$D13)</f>
        <v/>
      </c>
      <c r="W13" s="91">
        <f>IF($A13="","",$M13)</f>
        <v/>
      </c>
      <c r="X13" s="89">
        <f>IF($A13="","",$L$63*$D13)</f>
        <v/>
      </c>
      <c r="Y13" s="91">
        <f>IF($A13="","",$M13-$E$64-$F$64)</f>
        <v/>
      </c>
      <c r="Z13" s="89">
        <f>IF($A13="","",$L$64*$D13)</f>
        <v/>
      </c>
      <c r="AA13" s="91">
        <f>IF($A13="","",$B13-$E$65-$F$65)</f>
        <v/>
      </c>
      <c r="AB13" s="89">
        <f>IF($A13="","",$L$65*$D13)</f>
        <v/>
      </c>
      <c r="AC13" s="91">
        <f>IF($A13="","",$C13-$E$66-$F$66)</f>
        <v/>
      </c>
      <c r="AD13" s="89">
        <f>IF($A13="","",$L$66*$D13)</f>
        <v/>
      </c>
      <c r="AE13" s="91">
        <f>IF($A13="","",$B13-$E$67-$F$67)</f>
        <v/>
      </c>
      <c r="AF13" s="89">
        <f>IF($A13="","",$L$67*$D13)</f>
        <v/>
      </c>
      <c r="AG13" s="91">
        <f>IF($A13="","",$U13)</f>
        <v/>
      </c>
      <c r="AH13" s="89">
        <f>IF($A13="","",$L$68*$D13)</f>
        <v/>
      </c>
      <c r="AI13" s="91">
        <f>IF($A13="","",$C13)</f>
        <v/>
      </c>
      <c r="AJ13" s="89">
        <f>IF($A13="","",$L$69*$D13)</f>
        <v/>
      </c>
      <c r="AK13" s="91">
        <f>IF($A13="","",2*2*$D13)</f>
        <v/>
      </c>
      <c r="AL13" s="89">
        <f>IF($A13="","",$BC$7*$D13)</f>
        <v/>
      </c>
      <c r="AM13" s="93">
        <f>IF($A13="","",$BC$6*$D13)</f>
        <v/>
      </c>
      <c r="AN13" s="94">
        <f>IF($A13="","",$BC$9*$D13)</f>
        <v/>
      </c>
      <c r="AO13" s="95">
        <f>IF($A13="","",$BC$10*$D13)</f>
        <v/>
      </c>
      <c r="AP13">
        <f>IF($A13="","",2*$BC$6*$D13)</f>
        <v/>
      </c>
      <c r="AQ13">
        <f>IF($A13="","",IF($B13&gt;2800,2,IF($B13&gt;1400,1,0))*$BC$6*$D13)</f>
        <v/>
      </c>
      <c r="AR13">
        <f>IF($A13="","",2*$BC$6*$D13)</f>
        <v/>
      </c>
      <c r="AS13">
        <f>IF($A13="","",$BC$6*$D13)</f>
        <v/>
      </c>
      <c r="AT13">
        <f>IF($A13="","",2*$BC$6*$D13)</f>
        <v/>
      </c>
      <c r="AU13">
        <f>IF($A13="","",4*2*$D13)</f>
        <v/>
      </c>
      <c r="AV13">
        <f>IF($A13="","",16*2*$D13)</f>
        <v/>
      </c>
      <c r="AW13">
        <f>IF($A13="","",(2+MAX(0,ROUNDUP(($I13-1500)/500,0)))*$D13)</f>
        <v/>
      </c>
      <c r="AX13">
        <f>IF($A13="","",(2+MAX(0,ROUNDUP(($I13-1500)/500,0)))*$D13)</f>
        <v/>
      </c>
      <c r="AY13">
        <f>IF($A13="","",ROUND((2*2*($O13+$M13)*2*$D13+$U13*$V13)/1000,1))</f>
        <v/>
      </c>
    </row>
    <row r="14" ht="40.15" customHeight="1">
      <c r="A14" s="99" t="n"/>
      <c r="B14" s="88" t="n"/>
      <c r="C14" s="89" t="n"/>
      <c r="D14" s="90" t="n"/>
      <c r="E14" s="96">
        <f>IF($A14="","",$B14)</f>
        <v/>
      </c>
      <c r="F14" s="97">
        <f>IF($A14="","",$L$54*$D14)</f>
        <v/>
      </c>
      <c r="G14" s="96">
        <f>IF($A14="","",$C14-$E$55-$F$55)</f>
        <v/>
      </c>
      <c r="H14" s="97">
        <f>IF($A14="","",$L$55*$D14)</f>
        <v/>
      </c>
      <c r="I14" s="96">
        <f>IF($A14="","",$C14-$E$56-$F$56)</f>
        <v/>
      </c>
      <c r="J14" s="97">
        <f>IF($A14="","",$L$56*$D14)</f>
        <v/>
      </c>
      <c r="K14" s="96">
        <f>IF($A14="","",$C14)</f>
        <v/>
      </c>
      <c r="L14" s="97">
        <f>IF($A14="","",$L$57*$D14)</f>
        <v/>
      </c>
      <c r="M14" s="96">
        <f>IF($A14="","",$B14-$E$58-$F$58-$G$58)</f>
        <v/>
      </c>
      <c r="N14" s="97">
        <f>IF($A14="","",$L$58*$D14)</f>
        <v/>
      </c>
      <c r="O14" s="96">
        <f>IF($A14="","",(($C14-$E$59-$F$59-$G$59-$H$59-$I$59)/2)+(78*1)/2)</f>
        <v/>
      </c>
      <c r="P14" s="97">
        <f>IF($A14="","",$L$59*$D14)</f>
        <v/>
      </c>
      <c r="Q14" s="96">
        <f>IF($A14="","",$M14-$E$60-$F$60)</f>
        <v/>
      </c>
      <c r="R14" s="97">
        <f>IF($A14="","",$L$60*$D14)</f>
        <v/>
      </c>
      <c r="S14" s="96">
        <f>IF($A14="","",$O14-$E$61-$F$61)</f>
        <v/>
      </c>
      <c r="T14" s="97">
        <f>IF($A14="","",$L$61*$D14)</f>
        <v/>
      </c>
      <c r="U14" s="96">
        <f>IF($A14="","",$M14)</f>
        <v/>
      </c>
      <c r="V14" s="97">
        <f>IF($A14="","",$L$62*$D14)</f>
        <v/>
      </c>
      <c r="W14" s="96">
        <f>IF($A14="","",$M14)</f>
        <v/>
      </c>
      <c r="X14" s="97">
        <f>IF($A14="","",$L$63*$D14)</f>
        <v/>
      </c>
      <c r="Y14" s="96">
        <f>IF($A14="","",$M14-$E$64-$F$64)</f>
        <v/>
      </c>
      <c r="Z14" s="97">
        <f>IF($A14="","",$L$64*$D14)</f>
        <v/>
      </c>
      <c r="AA14" s="96">
        <f>IF($A14="","",$B14-$E$65-$F$65)</f>
        <v/>
      </c>
      <c r="AB14" s="97">
        <f>IF($A14="","",$L$65*$D14)</f>
        <v/>
      </c>
      <c r="AC14" s="96">
        <f>IF($A14="","",$C14-$E$66-$F$66)</f>
        <v/>
      </c>
      <c r="AD14" s="97">
        <f>IF($A14="","",$L$66*$D14)</f>
        <v/>
      </c>
      <c r="AE14" s="96">
        <f>IF($A14="","",$B14-$E$67-$F$67)</f>
        <v/>
      </c>
      <c r="AF14" s="97">
        <f>IF($A14="","",$L$67*$D14)</f>
        <v/>
      </c>
      <c r="AG14" s="96">
        <f>IF($A14="","",$U14)</f>
        <v/>
      </c>
      <c r="AH14" s="97">
        <f>IF($A14="","",$L$68*$D14)</f>
        <v/>
      </c>
      <c r="AI14" s="96">
        <f>IF($A14="","",$C14)</f>
        <v/>
      </c>
      <c r="AJ14" s="97">
        <f>IF($A14="","",$L$69*$D14)</f>
        <v/>
      </c>
      <c r="AK14" s="96">
        <f>IF($A14="","",2*2*$D14)</f>
        <v/>
      </c>
      <c r="AL14" s="97">
        <f>IF($A14="","",$BC$7*$D14)</f>
        <v/>
      </c>
      <c r="AM14" s="93">
        <f>IF($A14="","",$BC$6*$D14)</f>
        <v/>
      </c>
      <c r="AN14" s="94">
        <f>IF($A14="","",$BC$9*$D14)</f>
        <v/>
      </c>
      <c r="AO14" s="95">
        <f>IF($A14="","",$BC$10*$D14)</f>
        <v/>
      </c>
      <c r="AP14">
        <f>IF($A14="","",2*$BC$6*$D14)</f>
        <v/>
      </c>
      <c r="AQ14">
        <f>IF($A14="","",IF($B14&gt;2800,2,IF($B14&gt;1400,1,0))*$BC$6*$D14)</f>
        <v/>
      </c>
      <c r="AR14">
        <f>IF($A14="","",2*$BC$6*$D14)</f>
        <v/>
      </c>
      <c r="AS14">
        <f>IF($A14="","",$BC$6*$D14)</f>
        <v/>
      </c>
      <c r="AT14">
        <f>IF($A14="","",2*$BC$6*$D14)</f>
        <v/>
      </c>
      <c r="AU14">
        <f>IF($A14="","",4*2*$D14)</f>
        <v/>
      </c>
      <c r="AV14">
        <f>IF($A14="","",16*2*$D14)</f>
        <v/>
      </c>
      <c r="AW14">
        <f>IF($A14="","",(2+MAX(0,ROUNDUP(($I14-1500)/500,0)))*$D14)</f>
        <v/>
      </c>
      <c r="AX14">
        <f>IF($A14="","",(2+MAX(0,ROUNDUP(($I14-1500)/500,0)))*$D14)</f>
        <v/>
      </c>
      <c r="AY14">
        <f>IF($A14="","",ROUND((2*2*($O14+$M14)*2*$D14+$U14*$V14)/1000,1))</f>
        <v/>
      </c>
    </row>
    <row r="15" ht="40.15" customHeight="1">
      <c r="A15" s="99" t="n"/>
      <c r="B15" s="88" t="n"/>
      <c r="C15" s="89" t="n"/>
      <c r="D15" s="90" t="n"/>
      <c r="E15" s="91">
        <f>IF($A15="","",$B15)</f>
        <v/>
      </c>
      <c r="F15" s="89">
        <f>IF($A15="","",$L$54*$D15)</f>
        <v/>
      </c>
      <c r="G15" s="91">
        <f>IF($A15="","",$C15-$E$55-$F$55)</f>
        <v/>
      </c>
      <c r="H15" s="89">
        <f>IF($A15="","",$L$55*$D15)</f>
        <v/>
      </c>
      <c r="I15" s="91">
        <f>IF($A15="","",$C15-$E$56-$F$56)</f>
        <v/>
      </c>
      <c r="J15" s="89">
        <f>IF($A15="","",$L$56*$D15)</f>
        <v/>
      </c>
      <c r="K15" s="91">
        <f>IF($A15="","",$C15)</f>
        <v/>
      </c>
      <c r="L15" s="89">
        <f>IF($A15="","",$L$57*$D15)</f>
        <v/>
      </c>
      <c r="M15" s="91">
        <f>IF($A15="","",$B15-$E$58-$F$58-$G$58)</f>
        <v/>
      </c>
      <c r="N15" s="89">
        <f>IF($A15="","",$L$58*$D15)</f>
        <v/>
      </c>
      <c r="O15" s="91">
        <f>IF($A15="","",(($C15-$E$59-$F$59-$G$59-$H$59-$I$59)/2)+(78*1)/2)</f>
        <v/>
      </c>
      <c r="P15" s="89">
        <f>IF($A15="","",$L$59*$D15)</f>
        <v/>
      </c>
      <c r="Q15" s="91">
        <f>IF($A15="","",$M15-$E$60-$F$60)</f>
        <v/>
      </c>
      <c r="R15" s="89">
        <f>IF($A15="","",$L$60*$D15)</f>
        <v/>
      </c>
      <c r="S15" s="91">
        <f>IF($A15="","",$O15-$E$61-$F$61)</f>
        <v/>
      </c>
      <c r="T15" s="89">
        <f>IF($A15="","",$L$61*$D15)</f>
        <v/>
      </c>
      <c r="U15" s="91">
        <f>IF($A15="","",$M15)</f>
        <v/>
      </c>
      <c r="V15" s="89">
        <f>IF($A15="","",$L$62*$D15)</f>
        <v/>
      </c>
      <c r="W15" s="91">
        <f>IF($A15="","",$M15)</f>
        <v/>
      </c>
      <c r="X15" s="89">
        <f>IF($A15="","",$L$63*$D15)</f>
        <v/>
      </c>
      <c r="Y15" s="91">
        <f>IF($A15="","",$M15-$E$64-$F$64)</f>
        <v/>
      </c>
      <c r="Z15" s="89">
        <f>IF($A15="","",$L$64*$D15)</f>
        <v/>
      </c>
      <c r="AA15" s="91">
        <f>IF($A15="","",$B15-$E$65-$F$65)</f>
        <v/>
      </c>
      <c r="AB15" s="89">
        <f>IF($A15="","",$L$65*$D15)</f>
        <v/>
      </c>
      <c r="AC15" s="91">
        <f>IF($A15="","",$C15-$E$66-$F$66)</f>
        <v/>
      </c>
      <c r="AD15" s="89">
        <f>IF($A15="","",$L$66*$D15)</f>
        <v/>
      </c>
      <c r="AE15" s="91">
        <f>IF($A15="","",$B15-$E$67-$F$67)</f>
        <v/>
      </c>
      <c r="AF15" s="89">
        <f>IF($A15="","",$L$67*$D15)</f>
        <v/>
      </c>
      <c r="AG15" s="91">
        <f>IF($A15="","",$U15)</f>
        <v/>
      </c>
      <c r="AH15" s="89">
        <f>IF($A15="","",$L$68*$D15)</f>
        <v/>
      </c>
      <c r="AI15" s="91">
        <f>IF($A15="","",$C15)</f>
        <v/>
      </c>
      <c r="AJ15" s="89">
        <f>IF($A15="","",$L$69*$D15)</f>
        <v/>
      </c>
      <c r="AK15" s="91">
        <f>IF($A15="","",2*2*$D15)</f>
        <v/>
      </c>
      <c r="AL15" s="89">
        <f>IF($A15="","",$BC$7*$D15)</f>
        <v/>
      </c>
      <c r="AM15" s="93">
        <f>IF($A15="","",$BC$6*$D15)</f>
        <v/>
      </c>
      <c r="AN15" s="94">
        <f>IF($A15="","",$BC$9*$D15)</f>
        <v/>
      </c>
      <c r="AO15" s="95">
        <f>IF($A15="","",$BC$10*$D15)</f>
        <v/>
      </c>
      <c r="AP15">
        <f>IF($A15="","",2*$BC$6*$D15)</f>
        <v/>
      </c>
      <c r="AQ15">
        <f>IF($A15="","",IF($B15&gt;2800,2,IF($B15&gt;1400,1,0))*$BC$6*$D15)</f>
        <v/>
      </c>
      <c r="AR15">
        <f>IF($A15="","",2*$BC$6*$D15)</f>
        <v/>
      </c>
      <c r="AS15">
        <f>IF($A15="","",$BC$6*$D15)</f>
        <v/>
      </c>
      <c r="AT15">
        <f>IF($A15="","",2*$BC$6*$D15)</f>
        <v/>
      </c>
      <c r="AU15">
        <f>IF($A15="","",4*2*$D15)</f>
        <v/>
      </c>
      <c r="AV15">
        <f>IF($A15="","",16*2*$D15)</f>
        <v/>
      </c>
      <c r="AW15">
        <f>IF($A15="","",(2+MAX(0,ROUNDUP(($I15-1500)/500,0)))*$D15)</f>
        <v/>
      </c>
      <c r="AX15">
        <f>IF($A15="","",(2+MAX(0,ROUNDUP(($I15-1500)/500,0)))*$D15)</f>
        <v/>
      </c>
      <c r="AY15">
        <f>IF($A15="","",ROUND((2*2*($O15+$M15)*2*$D15+$U15*$V15)/1000,1))</f>
        <v/>
      </c>
    </row>
    <row r="16" ht="40.15" customHeight="1">
      <c r="A16" s="99" t="n"/>
      <c r="B16" s="88" t="n"/>
      <c r="C16" s="89" t="n"/>
      <c r="D16" s="90" t="n"/>
      <c r="E16" s="96">
        <f>IF($A16="","",$B16)</f>
        <v/>
      </c>
      <c r="F16" s="97">
        <f>IF($A16="","",$L$54*$D16)</f>
        <v/>
      </c>
      <c r="G16" s="96">
        <f>IF($A16="","",$C16-$E$55-$F$55)</f>
        <v/>
      </c>
      <c r="H16" s="97">
        <f>IF($A16="","",$L$55*$D16)</f>
        <v/>
      </c>
      <c r="I16" s="96">
        <f>IF($A16="","",$C16-$E$56-$F$56)</f>
        <v/>
      </c>
      <c r="J16" s="97">
        <f>IF($A16="","",$L$56*$D16)</f>
        <v/>
      </c>
      <c r="K16" s="96">
        <f>IF($A16="","",$C16)</f>
        <v/>
      </c>
      <c r="L16" s="97">
        <f>IF($A16="","",$L$57*$D16)</f>
        <v/>
      </c>
      <c r="M16" s="96">
        <f>IF($A16="","",$B16-$E$58-$F$58-$G$58)</f>
        <v/>
      </c>
      <c r="N16" s="97">
        <f>IF($A16="","",$L$58*$D16)</f>
        <v/>
      </c>
      <c r="O16" s="96">
        <f>IF($A16="","",(($C16-$E$59-$F$59-$G$59-$H$59-$I$59)/2)+(78*1)/2)</f>
        <v/>
      </c>
      <c r="P16" s="97">
        <f>IF($A16="","",$L$59*$D16)</f>
        <v/>
      </c>
      <c r="Q16" s="96">
        <f>IF($A16="","",$M16-$E$60-$F$60)</f>
        <v/>
      </c>
      <c r="R16" s="97">
        <f>IF($A16="","",$L$60*$D16)</f>
        <v/>
      </c>
      <c r="S16" s="96">
        <f>IF($A16="","",$O16-$E$61-$F$61)</f>
        <v/>
      </c>
      <c r="T16" s="97">
        <f>IF($A16="","",$L$61*$D16)</f>
        <v/>
      </c>
      <c r="U16" s="96">
        <f>IF($A16="","",$M16)</f>
        <v/>
      </c>
      <c r="V16" s="97">
        <f>IF($A16="","",$L$62*$D16)</f>
        <v/>
      </c>
      <c r="W16" s="96">
        <f>IF($A16="","",$M16)</f>
        <v/>
      </c>
      <c r="X16" s="97">
        <f>IF($A16="","",$L$63*$D16)</f>
        <v/>
      </c>
      <c r="Y16" s="96">
        <f>IF($A16="","",$M16-$E$64-$F$64)</f>
        <v/>
      </c>
      <c r="Z16" s="97">
        <f>IF($A16="","",$L$64*$D16)</f>
        <v/>
      </c>
      <c r="AA16" s="96">
        <f>IF($A16="","",$B16-$E$65-$F$65)</f>
        <v/>
      </c>
      <c r="AB16" s="97">
        <f>IF($A16="","",$L$65*$D16)</f>
        <v/>
      </c>
      <c r="AC16" s="96">
        <f>IF($A16="","",$C16-$E$66-$F$66)</f>
        <v/>
      </c>
      <c r="AD16" s="97">
        <f>IF($A16="","",$L$66*$D16)</f>
        <v/>
      </c>
      <c r="AE16" s="96">
        <f>IF($A16="","",$B16-$E$67-$F$67)</f>
        <v/>
      </c>
      <c r="AF16" s="97">
        <f>IF($A16="","",$L$67*$D16)</f>
        <v/>
      </c>
      <c r="AG16" s="96">
        <f>IF($A16="","",$U16)</f>
        <v/>
      </c>
      <c r="AH16" s="97">
        <f>IF($A16="","",$L$68*$D16)</f>
        <v/>
      </c>
      <c r="AI16" s="96">
        <f>IF($A16="","",$C16)</f>
        <v/>
      </c>
      <c r="AJ16" s="97">
        <f>IF($A16="","",$L$69*$D16)</f>
        <v/>
      </c>
      <c r="AK16" s="96">
        <f>IF($A16="","",2*2*$D16)</f>
        <v/>
      </c>
      <c r="AL16" s="97">
        <f>IF($A16="","",$BC$7*$D16)</f>
        <v/>
      </c>
      <c r="AM16" s="93">
        <f>IF($A16="","",$BC$6*$D16)</f>
        <v/>
      </c>
      <c r="AN16" s="94">
        <f>IF($A16="","",$BC$9*$D16)</f>
        <v/>
      </c>
      <c r="AO16" s="95">
        <f>IF($A16="","",$BC$10*$D16)</f>
        <v/>
      </c>
      <c r="AP16">
        <f>IF($A16="","",2*$BC$6*$D16)</f>
        <v/>
      </c>
      <c r="AQ16">
        <f>IF($A16="","",IF($B16&gt;2800,2,IF($B16&gt;1400,1,0))*$BC$6*$D16)</f>
        <v/>
      </c>
      <c r="AR16">
        <f>IF($A16="","",2*$BC$6*$D16)</f>
        <v/>
      </c>
      <c r="AS16">
        <f>IF($A16="","",$BC$6*$D16)</f>
        <v/>
      </c>
      <c r="AT16">
        <f>IF($A16="","",2*$BC$6*$D16)</f>
        <v/>
      </c>
      <c r="AU16">
        <f>IF($A16="","",4*2*$D16)</f>
        <v/>
      </c>
      <c r="AV16">
        <f>IF($A16="","",16*2*$D16)</f>
        <v/>
      </c>
      <c r="AW16">
        <f>IF($A16="","",(2+MAX(0,ROUNDUP(($I16-1500)/500,0)))*$D16)</f>
        <v/>
      </c>
      <c r="AX16">
        <f>IF($A16="","",(2+MAX(0,ROUNDUP(($I16-1500)/500,0)))*$D16)</f>
        <v/>
      </c>
      <c r="AY16">
        <f>IF($A16="","",ROUND((2*2*($O16+$M16)*2*$D16+$U16*$V16)/1000,1))</f>
        <v/>
      </c>
    </row>
    <row r="17" ht="40.15" customHeight="1">
      <c r="A17" s="99" t="n"/>
      <c r="B17" s="88" t="n"/>
      <c r="C17" s="89" t="n"/>
      <c r="D17" s="90" t="n"/>
      <c r="E17" s="91">
        <f>IF($A17="","",$B17)</f>
        <v/>
      </c>
      <c r="F17" s="89">
        <f>IF($A17="","",$L$54*$D17)</f>
        <v/>
      </c>
      <c r="G17" s="91">
        <f>IF($A17="","",$C17-$E$55-$F$55)</f>
        <v/>
      </c>
      <c r="H17" s="89">
        <f>IF($A17="","",$L$55*$D17)</f>
        <v/>
      </c>
      <c r="I17" s="91">
        <f>IF($A17="","",$C17-$E$56-$F$56)</f>
        <v/>
      </c>
      <c r="J17" s="89">
        <f>IF($A17="","",$L$56*$D17)</f>
        <v/>
      </c>
      <c r="K17" s="91">
        <f>IF($A17="","",$C17)</f>
        <v/>
      </c>
      <c r="L17" s="89">
        <f>IF($A17="","",$L$57*$D17)</f>
        <v/>
      </c>
      <c r="M17" s="91">
        <f>IF($A17="","",$B17-$E$58-$F$58-$G$58)</f>
        <v/>
      </c>
      <c r="N17" s="89">
        <f>IF($A17="","",$L$58*$D17)</f>
        <v/>
      </c>
      <c r="O17" s="91">
        <f>IF($A17="","",(($C17-$E$59-$F$59-$G$59-$H$59-$I$59)/2)+(78*1)/2)</f>
        <v/>
      </c>
      <c r="P17" s="89">
        <f>IF($A17="","",$L$59*$D17)</f>
        <v/>
      </c>
      <c r="Q17" s="91">
        <f>IF($A17="","",$M17-$E$60-$F$60)</f>
        <v/>
      </c>
      <c r="R17" s="89">
        <f>IF($A17="","",$L$60*$D17)</f>
        <v/>
      </c>
      <c r="S17" s="91">
        <f>IF($A17="","",$O17-$E$61-$F$61)</f>
        <v/>
      </c>
      <c r="T17" s="89">
        <f>IF($A17="","",$L$61*$D17)</f>
        <v/>
      </c>
      <c r="U17" s="91">
        <f>IF($A17="","",$M17)</f>
        <v/>
      </c>
      <c r="V17" s="89">
        <f>IF($A17="","",$L$62*$D17)</f>
        <v/>
      </c>
      <c r="W17" s="91">
        <f>IF($A17="","",$M17)</f>
        <v/>
      </c>
      <c r="X17" s="89">
        <f>IF($A17="","",$L$63*$D17)</f>
        <v/>
      </c>
      <c r="Y17" s="91">
        <f>IF($A17="","",$M17-$E$64-$F$64)</f>
        <v/>
      </c>
      <c r="Z17" s="89">
        <f>IF($A17="","",$L$64*$D17)</f>
        <v/>
      </c>
      <c r="AA17" s="91">
        <f>IF($A17="","",$B17-$E$65-$F$65)</f>
        <v/>
      </c>
      <c r="AB17" s="89">
        <f>IF($A17="","",$L$65*$D17)</f>
        <v/>
      </c>
      <c r="AC17" s="91">
        <f>IF($A17="","",$C17-$E$66-$F$66)</f>
        <v/>
      </c>
      <c r="AD17" s="89">
        <f>IF($A17="","",$L$66*$D17)</f>
        <v/>
      </c>
      <c r="AE17" s="91">
        <f>IF($A17="","",$B17-$E$67-$F$67)</f>
        <v/>
      </c>
      <c r="AF17" s="89">
        <f>IF($A17="","",$L$67*$D17)</f>
        <v/>
      </c>
      <c r="AG17" s="91">
        <f>IF($A17="","",$U17)</f>
        <v/>
      </c>
      <c r="AH17" s="89">
        <f>IF($A17="","",$L$68*$D17)</f>
        <v/>
      </c>
      <c r="AI17" s="91">
        <f>IF($A17="","",$C17)</f>
        <v/>
      </c>
      <c r="AJ17" s="89">
        <f>IF($A17="","",$L$69*$D17)</f>
        <v/>
      </c>
      <c r="AK17" s="91">
        <f>IF($A17="","",2*2*$D17)</f>
        <v/>
      </c>
      <c r="AL17" s="89">
        <f>IF($A17="","",$BC$7*$D17)</f>
        <v/>
      </c>
      <c r="AM17" s="93">
        <f>IF($A17="","",$BC$6*$D17)</f>
        <v/>
      </c>
      <c r="AN17" s="94">
        <f>IF($A17="","",$BC$9*$D17)</f>
        <v/>
      </c>
      <c r="AO17" s="95">
        <f>IF($A17="","",$BC$10*$D17)</f>
        <v/>
      </c>
      <c r="AP17">
        <f>IF($A17="","",2*$BC$6*$D17)</f>
        <v/>
      </c>
      <c r="AQ17">
        <f>IF($A17="","",IF($B17&gt;2800,2,IF($B17&gt;1400,1,0))*$BC$6*$D17)</f>
        <v/>
      </c>
      <c r="AR17">
        <f>IF($A17="","",2*$BC$6*$D17)</f>
        <v/>
      </c>
      <c r="AS17">
        <f>IF($A17="","",$BC$6*$D17)</f>
        <v/>
      </c>
      <c r="AT17">
        <f>IF($A17="","",2*$BC$6*$D17)</f>
        <v/>
      </c>
      <c r="AU17">
        <f>IF($A17="","",4*2*$D17)</f>
        <v/>
      </c>
      <c r="AV17">
        <f>IF($A17="","",16*2*$D17)</f>
        <v/>
      </c>
      <c r="AW17">
        <f>IF($A17="","",(2+MAX(0,ROUNDUP(($I17-1500)/500,0)))*$D17)</f>
        <v/>
      </c>
      <c r="AX17">
        <f>IF($A17="","",(2+MAX(0,ROUNDUP(($I17-1500)/500,0)))*$D17)</f>
        <v/>
      </c>
      <c r="AY17">
        <f>IF($A17="","",ROUND((2*2*($O17+$M17)*2*$D17+$U17*$V17)/1000,1))</f>
        <v/>
      </c>
    </row>
    <row r="18" ht="40.15" customHeight="1">
      <c r="A18" s="99" t="n"/>
      <c r="B18" s="88" t="n"/>
      <c r="C18" s="89" t="n"/>
      <c r="D18" s="90" t="n"/>
      <c r="E18" s="96">
        <f>IF($A18="","",$B18)</f>
        <v/>
      </c>
      <c r="F18" s="97">
        <f>IF($A18="","",$L$54*$D18)</f>
        <v/>
      </c>
      <c r="G18" s="96">
        <f>IF($A18="","",$C18-$E$55-$F$55)</f>
        <v/>
      </c>
      <c r="H18" s="97">
        <f>IF($A18="","",$L$55*$D18)</f>
        <v/>
      </c>
      <c r="I18" s="96">
        <f>IF($A18="","",$C18-$E$56-$F$56)</f>
        <v/>
      </c>
      <c r="J18" s="97">
        <f>IF($A18="","",$L$56*$D18)</f>
        <v/>
      </c>
      <c r="K18" s="96">
        <f>IF($A18="","",$C18)</f>
        <v/>
      </c>
      <c r="L18" s="97">
        <f>IF($A18="","",$L$57*$D18)</f>
        <v/>
      </c>
      <c r="M18" s="96">
        <f>IF($A18="","",$B18-$E$58-$F$58-$G$58)</f>
        <v/>
      </c>
      <c r="N18" s="97">
        <f>IF($A18="","",$L$58*$D18)</f>
        <v/>
      </c>
      <c r="O18" s="96">
        <f>IF($A18="","",(($C18-$E$59-$F$59-$G$59-$H$59-$I$59)/2)+(78*1)/2)</f>
        <v/>
      </c>
      <c r="P18" s="97">
        <f>IF($A18="","",$L$59*$D18)</f>
        <v/>
      </c>
      <c r="Q18" s="96">
        <f>IF($A18="","",$M18-$E$60-$F$60)</f>
        <v/>
      </c>
      <c r="R18" s="97">
        <f>IF($A18="","",$L$60*$D18)</f>
        <v/>
      </c>
      <c r="S18" s="96">
        <f>IF($A18="","",$O18-$E$61-$F$61)</f>
        <v/>
      </c>
      <c r="T18" s="97">
        <f>IF($A18="","",$L$61*$D18)</f>
        <v/>
      </c>
      <c r="U18" s="96">
        <f>IF($A18="","",$M18)</f>
        <v/>
      </c>
      <c r="V18" s="97">
        <f>IF($A18="","",$L$62*$D18)</f>
        <v/>
      </c>
      <c r="W18" s="96">
        <f>IF($A18="","",$M18)</f>
        <v/>
      </c>
      <c r="X18" s="97">
        <f>IF($A18="","",$L$63*$D18)</f>
        <v/>
      </c>
      <c r="Y18" s="96">
        <f>IF($A18="","",$M18-$E$64-$F$64)</f>
        <v/>
      </c>
      <c r="Z18" s="97">
        <f>IF($A18="","",$L$64*$D18)</f>
        <v/>
      </c>
      <c r="AA18" s="96">
        <f>IF($A18="","",$B18-$E$65-$F$65)</f>
        <v/>
      </c>
      <c r="AB18" s="97">
        <f>IF($A18="","",$L$65*$D18)</f>
        <v/>
      </c>
      <c r="AC18" s="96">
        <f>IF($A18="","",$C18-$E$66-$F$66)</f>
        <v/>
      </c>
      <c r="AD18" s="97">
        <f>IF($A18="","",$L$66*$D18)</f>
        <v/>
      </c>
      <c r="AE18" s="96">
        <f>IF($A18="","",$B18-$E$67-$F$67)</f>
        <v/>
      </c>
      <c r="AF18" s="97">
        <f>IF($A18="","",$L$67*$D18)</f>
        <v/>
      </c>
      <c r="AG18" s="96">
        <f>IF($A18="","",$U18)</f>
        <v/>
      </c>
      <c r="AH18" s="97">
        <f>IF($A18="","",$L$68*$D18)</f>
        <v/>
      </c>
      <c r="AI18" s="96">
        <f>IF($A18="","",$C18)</f>
        <v/>
      </c>
      <c r="AJ18" s="97">
        <f>IF($A18="","",$L$69*$D18)</f>
        <v/>
      </c>
      <c r="AK18" s="96">
        <f>IF($A18="","",2*2*$D18)</f>
        <v/>
      </c>
      <c r="AL18" s="97">
        <f>IF($A18="","",$BC$7*$D18)</f>
        <v/>
      </c>
      <c r="AM18" s="93">
        <f>IF($A18="","",$BC$6*$D18)</f>
        <v/>
      </c>
      <c r="AN18" s="94">
        <f>IF($A18="","",$BC$9*$D18)</f>
        <v/>
      </c>
      <c r="AO18" s="95">
        <f>IF($A18="","",$BC$10*$D18)</f>
        <v/>
      </c>
      <c r="AP18">
        <f>IF($A18="","",2*$BC$6*$D18)</f>
        <v/>
      </c>
      <c r="AQ18">
        <f>IF($A18="","",IF($B18&gt;2800,2,IF($B18&gt;1400,1,0))*$BC$6*$D18)</f>
        <v/>
      </c>
      <c r="AR18">
        <f>IF($A18="","",2*$BC$6*$D18)</f>
        <v/>
      </c>
      <c r="AS18">
        <f>IF($A18="","",$BC$6*$D18)</f>
        <v/>
      </c>
      <c r="AT18">
        <f>IF($A18="","",2*$BC$6*$D18)</f>
        <v/>
      </c>
      <c r="AU18">
        <f>IF($A18="","",4*2*$D18)</f>
        <v/>
      </c>
      <c r="AV18">
        <f>IF($A18="","",16*2*$D18)</f>
        <v/>
      </c>
      <c r="AW18">
        <f>IF($A18="","",(2+MAX(0,ROUNDUP(($I18-1500)/500,0)))*$D18)</f>
        <v/>
      </c>
      <c r="AX18">
        <f>IF($A18="","",(2+MAX(0,ROUNDUP(($I18-1500)/500,0)))*$D18)</f>
        <v/>
      </c>
      <c r="AY18">
        <f>IF($A18="","",ROUND((2*2*($O18+$M18)*2*$D18+$U18*$V18)/1000,1))</f>
        <v/>
      </c>
    </row>
    <row r="19" ht="40.15" customHeight="1">
      <c r="A19" s="99" t="n"/>
      <c r="B19" s="88" t="n"/>
      <c r="C19" s="89" t="n"/>
      <c r="D19" s="90" t="n"/>
      <c r="E19" s="91">
        <f>IF($A19="","",$B19)</f>
        <v/>
      </c>
      <c r="F19" s="89">
        <f>IF($A19="","",$L$54*$D19)</f>
        <v/>
      </c>
      <c r="G19" s="91">
        <f>IF($A19="","",$C19-$E$55-$F$55)</f>
        <v/>
      </c>
      <c r="H19" s="89">
        <f>IF($A19="","",$L$55*$D19)</f>
        <v/>
      </c>
      <c r="I19" s="91">
        <f>IF($A19="","",$C19-$E$56-$F$56)</f>
        <v/>
      </c>
      <c r="J19" s="89">
        <f>IF($A19="","",$L$56*$D19)</f>
        <v/>
      </c>
      <c r="K19" s="91">
        <f>IF($A19="","",$C19)</f>
        <v/>
      </c>
      <c r="L19" s="89">
        <f>IF($A19="","",$L$57*$D19)</f>
        <v/>
      </c>
      <c r="M19" s="91">
        <f>IF($A19="","",$B19-$E$58-$F$58-$G$58)</f>
        <v/>
      </c>
      <c r="N19" s="89">
        <f>IF($A19="","",$L$58*$D19)</f>
        <v/>
      </c>
      <c r="O19" s="91">
        <f>IF($A19="","",(($C19-$E$59-$F$59-$G$59-$H$59-$I$59)/2)+(78*1)/2)</f>
        <v/>
      </c>
      <c r="P19" s="89">
        <f>IF($A19="","",$L$59*$D19)</f>
        <v/>
      </c>
      <c r="Q19" s="91">
        <f>IF($A19="","",$M19-$E$60-$F$60)</f>
        <v/>
      </c>
      <c r="R19" s="89">
        <f>IF($A19="","",$L$60*$D19)</f>
        <v/>
      </c>
      <c r="S19" s="91">
        <f>IF($A19="","",$O19-$E$61-$F$61)</f>
        <v/>
      </c>
      <c r="T19" s="89">
        <f>IF($A19="","",$L$61*$D19)</f>
        <v/>
      </c>
      <c r="U19" s="91">
        <f>IF($A19="","",$M19)</f>
        <v/>
      </c>
      <c r="V19" s="89">
        <f>IF($A19="","",$L$62*$D19)</f>
        <v/>
      </c>
      <c r="W19" s="91">
        <f>IF($A19="","",$M19)</f>
        <v/>
      </c>
      <c r="X19" s="89">
        <f>IF($A19="","",$L$63*$D19)</f>
        <v/>
      </c>
      <c r="Y19" s="91">
        <f>IF($A19="","",$M19-$E$64-$F$64)</f>
        <v/>
      </c>
      <c r="Z19" s="89">
        <f>IF($A19="","",$L$64*$D19)</f>
        <v/>
      </c>
      <c r="AA19" s="91">
        <f>IF($A19="","",$B19-$E$65-$F$65)</f>
        <v/>
      </c>
      <c r="AB19" s="89">
        <f>IF($A19="","",$L$65*$D19)</f>
        <v/>
      </c>
      <c r="AC19" s="91">
        <f>IF($A19="","",$C19-$E$66-$F$66)</f>
        <v/>
      </c>
      <c r="AD19" s="89">
        <f>IF($A19="","",$L$66*$D19)</f>
        <v/>
      </c>
      <c r="AE19" s="91">
        <f>IF($A19="","",$B19-$E$67-$F$67)</f>
        <v/>
      </c>
      <c r="AF19" s="89">
        <f>IF($A19="","",$L$67*$D19)</f>
        <v/>
      </c>
      <c r="AG19" s="91">
        <f>IF($A19="","",$U19)</f>
        <v/>
      </c>
      <c r="AH19" s="89">
        <f>IF($A19="","",$L$68*$D19)</f>
        <v/>
      </c>
      <c r="AI19" s="91">
        <f>IF($A19="","",$C19)</f>
        <v/>
      </c>
      <c r="AJ19" s="89">
        <f>IF($A19="","",$L$69*$D19)</f>
        <v/>
      </c>
      <c r="AK19" s="91">
        <f>IF($A19="","",2*2*$D19)</f>
        <v/>
      </c>
      <c r="AL19" s="89">
        <f>IF($A19="","",$BC$7*$D19)</f>
        <v/>
      </c>
      <c r="AM19" s="93">
        <f>IF($A19="","",$BC$6*$D19)</f>
        <v/>
      </c>
      <c r="AN19" s="94">
        <f>IF($A19="","",$BC$9*$D19)</f>
        <v/>
      </c>
      <c r="AO19" s="95">
        <f>IF($A19="","",$BC$10*$D19)</f>
        <v/>
      </c>
      <c r="AP19">
        <f>IF($A19="","",2*$BC$6*$D19)</f>
        <v/>
      </c>
      <c r="AQ19">
        <f>IF($A19="","",IF($B19&gt;2800,2,IF($B19&gt;1400,1,0))*$BC$6*$D19)</f>
        <v/>
      </c>
      <c r="AR19">
        <f>IF($A19="","",2*$BC$6*$D19)</f>
        <v/>
      </c>
      <c r="AS19">
        <f>IF($A19="","",$BC$6*$D19)</f>
        <v/>
      </c>
      <c r="AT19">
        <f>IF($A19="","",2*$BC$6*$D19)</f>
        <v/>
      </c>
      <c r="AU19">
        <f>IF($A19="","",4*2*$D19)</f>
        <v/>
      </c>
      <c r="AV19">
        <f>IF($A19="","",16*2*$D19)</f>
        <v/>
      </c>
      <c r="AW19">
        <f>IF($A19="","",(2+MAX(0,ROUNDUP(($I19-1500)/500,0)))*$D19)</f>
        <v/>
      </c>
      <c r="AX19">
        <f>IF($A19="","",(2+MAX(0,ROUNDUP(($I19-1500)/500,0)))*$D19)</f>
        <v/>
      </c>
      <c r="AY19">
        <f>IF($A19="","",ROUND((2*2*($O19+$M19)*2*$D19+$U19*$V19)/1000,1))</f>
        <v/>
      </c>
    </row>
    <row r="20" ht="40.15" customHeight="1">
      <c r="A20" s="99" t="n"/>
      <c r="B20" s="88" t="n"/>
      <c r="C20" s="89" t="n"/>
      <c r="D20" s="90" t="n"/>
      <c r="E20" s="96">
        <f>IF($A20="","",$B20)</f>
        <v/>
      </c>
      <c r="F20" s="97">
        <f>IF($A20="","",$L$54*$D20)</f>
        <v/>
      </c>
      <c r="G20" s="96">
        <f>IF($A20="","",$C20-$E$55-$F$55)</f>
        <v/>
      </c>
      <c r="H20" s="97">
        <f>IF($A20="","",$L$55*$D20)</f>
        <v/>
      </c>
      <c r="I20" s="96">
        <f>IF($A20="","",$C20-$E$56-$F$56)</f>
        <v/>
      </c>
      <c r="J20" s="97">
        <f>IF($A20="","",$L$56*$D20)</f>
        <v/>
      </c>
      <c r="K20" s="96">
        <f>IF($A20="","",$C20)</f>
        <v/>
      </c>
      <c r="L20" s="97">
        <f>IF($A20="","",$L$57*$D20)</f>
        <v/>
      </c>
      <c r="M20" s="96">
        <f>IF($A20="","",$B20-$E$58-$F$58-$G$58)</f>
        <v/>
      </c>
      <c r="N20" s="97">
        <f>IF($A20="","",$L$58*$D20)</f>
        <v/>
      </c>
      <c r="O20" s="96">
        <f>IF($A20="","",(($C20-$E$59-$F$59-$G$59-$H$59-$I$59)/2)+(78*1)/2)</f>
        <v/>
      </c>
      <c r="P20" s="97">
        <f>IF($A20="","",$L$59*$D20)</f>
        <v/>
      </c>
      <c r="Q20" s="96">
        <f>IF($A20="","",$M20-$E$60-$F$60)</f>
        <v/>
      </c>
      <c r="R20" s="97">
        <f>IF($A20="","",$L$60*$D20)</f>
        <v/>
      </c>
      <c r="S20" s="96">
        <f>IF($A20="","",$O20-$E$61-$F$61)</f>
        <v/>
      </c>
      <c r="T20" s="97">
        <f>IF($A20="","",$L$61*$D20)</f>
        <v/>
      </c>
      <c r="U20" s="96">
        <f>IF($A20="","",$M20)</f>
        <v/>
      </c>
      <c r="V20" s="97">
        <f>IF($A20="","",$L$62*$D20)</f>
        <v/>
      </c>
      <c r="W20" s="96">
        <f>IF($A20="","",$M20)</f>
        <v/>
      </c>
      <c r="X20" s="97">
        <f>IF($A20="","",$L$63*$D20)</f>
        <v/>
      </c>
      <c r="Y20" s="96">
        <f>IF($A20="","",$M20-$E$64-$F$64)</f>
        <v/>
      </c>
      <c r="Z20" s="97">
        <f>IF($A20="","",$L$64*$D20)</f>
        <v/>
      </c>
      <c r="AA20" s="96">
        <f>IF($A20="","",$B20-$E$65-$F$65)</f>
        <v/>
      </c>
      <c r="AB20" s="97">
        <f>IF($A20="","",$L$65*$D20)</f>
        <v/>
      </c>
      <c r="AC20" s="96">
        <f>IF($A20="","",$C20-$E$66-$F$66)</f>
        <v/>
      </c>
      <c r="AD20" s="97">
        <f>IF($A20="","",$L$66*$D20)</f>
        <v/>
      </c>
      <c r="AE20" s="96">
        <f>IF($A20="","",$B20-$E$67-$F$67)</f>
        <v/>
      </c>
      <c r="AF20" s="97">
        <f>IF($A20="","",$L$67*$D20)</f>
        <v/>
      </c>
      <c r="AG20" s="96">
        <f>IF($A20="","",$U20)</f>
        <v/>
      </c>
      <c r="AH20" s="97">
        <f>IF($A20="","",$L$68*$D20)</f>
        <v/>
      </c>
      <c r="AI20" s="96">
        <f>IF($A20="","",$C20)</f>
        <v/>
      </c>
      <c r="AJ20" s="97">
        <f>IF($A20="","",$L$69*$D20)</f>
        <v/>
      </c>
      <c r="AK20" s="96">
        <f>IF($A20="","",2*2*$D20)</f>
        <v/>
      </c>
      <c r="AL20" s="97">
        <f>IF($A20="","",$BC$7*$D20)</f>
        <v/>
      </c>
      <c r="AM20" s="93">
        <f>IF($A20="","",$BC$6*$D20)</f>
        <v/>
      </c>
      <c r="AN20" s="94">
        <f>IF($A20="","",$BC$9*$D20)</f>
        <v/>
      </c>
      <c r="AO20" s="95">
        <f>IF($A20="","",$BC$10*$D20)</f>
        <v/>
      </c>
      <c r="AP20">
        <f>IF($A20="","",2*$BC$6*$D20)</f>
        <v/>
      </c>
      <c r="AQ20">
        <f>IF($A20="","",IF($B20&gt;2800,2,IF($B20&gt;1400,1,0))*$BC$6*$D20)</f>
        <v/>
      </c>
      <c r="AR20">
        <f>IF($A20="","",2*$BC$6*$D20)</f>
        <v/>
      </c>
      <c r="AS20">
        <f>IF($A20="","",$BC$6*$D20)</f>
        <v/>
      </c>
      <c r="AT20">
        <f>IF($A20="","",2*$BC$6*$D20)</f>
        <v/>
      </c>
      <c r="AU20">
        <f>IF($A20="","",4*2*$D20)</f>
        <v/>
      </c>
      <c r="AV20">
        <f>IF($A20="","",16*2*$D20)</f>
        <v/>
      </c>
      <c r="AW20">
        <f>IF($A20="","",(2+MAX(0,ROUNDUP(($I20-1500)/500,0)))*$D20)</f>
        <v/>
      </c>
      <c r="AX20">
        <f>IF($A20="","",(2+MAX(0,ROUNDUP(($I20-1500)/500,0)))*$D20)</f>
        <v/>
      </c>
      <c r="AY20">
        <f>IF($A20="","",ROUND((2*2*($O20+$M20)*2*$D20+$U20*$V20)/1000,1))</f>
        <v/>
      </c>
    </row>
    <row r="21" ht="40.15" customHeight="1">
      <c r="A21" s="99" t="n"/>
      <c r="B21" s="88" t="n"/>
      <c r="C21" s="89" t="n"/>
      <c r="D21" s="90" t="n"/>
      <c r="E21" s="91">
        <f>IF($A21="","",$B21)</f>
        <v/>
      </c>
      <c r="F21" s="89">
        <f>IF($A21="","",$L$54*$D21)</f>
        <v/>
      </c>
      <c r="G21" s="91">
        <f>IF($A21="","",$C21-$E$55-$F$55)</f>
        <v/>
      </c>
      <c r="H21" s="89">
        <f>IF($A21="","",$L$55*$D21)</f>
        <v/>
      </c>
      <c r="I21" s="91">
        <f>IF($A21="","",$C21-$E$56-$F$56)</f>
        <v/>
      </c>
      <c r="J21" s="89">
        <f>IF($A21="","",$L$56*$D21)</f>
        <v/>
      </c>
      <c r="K21" s="91">
        <f>IF($A21="","",$C21)</f>
        <v/>
      </c>
      <c r="L21" s="89">
        <f>IF($A21="","",$L$57*$D21)</f>
        <v/>
      </c>
      <c r="M21" s="91">
        <f>IF($A21="","",$B21-$E$58-$F$58-$G$58)</f>
        <v/>
      </c>
      <c r="N21" s="89">
        <f>IF($A21="","",$L$58*$D21)</f>
        <v/>
      </c>
      <c r="O21" s="91">
        <f>IF($A21="","",(($C21-$E$59-$F$59-$G$59-$H$59-$I$59)/2)+(78*1)/2)</f>
        <v/>
      </c>
      <c r="P21" s="89">
        <f>IF($A21="","",$L$59*$D21)</f>
        <v/>
      </c>
      <c r="Q21" s="91">
        <f>IF($A21="","",$M21-$E$60-$F$60)</f>
        <v/>
      </c>
      <c r="R21" s="89">
        <f>IF($A21="","",$L$60*$D21)</f>
        <v/>
      </c>
      <c r="S21" s="91">
        <f>IF($A21="","",$O21-$E$61-$F$61)</f>
        <v/>
      </c>
      <c r="T21" s="89">
        <f>IF($A21="","",$L$61*$D21)</f>
        <v/>
      </c>
      <c r="U21" s="91">
        <f>IF($A21="","",$M21)</f>
        <v/>
      </c>
      <c r="V21" s="89">
        <f>IF($A21="","",$L$62*$D21)</f>
        <v/>
      </c>
      <c r="W21" s="91">
        <f>IF($A21="","",$M21)</f>
        <v/>
      </c>
      <c r="X21" s="89">
        <f>IF($A21="","",$L$63*$D21)</f>
        <v/>
      </c>
      <c r="Y21" s="91">
        <f>IF($A21="","",$M21-$E$64-$F$64)</f>
        <v/>
      </c>
      <c r="Z21" s="89">
        <f>IF($A21="","",$L$64*$D21)</f>
        <v/>
      </c>
      <c r="AA21" s="91">
        <f>IF($A21="","",$B21-$E$65-$F$65)</f>
        <v/>
      </c>
      <c r="AB21" s="89">
        <f>IF($A21="","",$L$65*$D21)</f>
        <v/>
      </c>
      <c r="AC21" s="91">
        <f>IF($A21="","",$C21-$E$66-$F$66)</f>
        <v/>
      </c>
      <c r="AD21" s="89">
        <f>IF($A21="","",$L$66*$D21)</f>
        <v/>
      </c>
      <c r="AE21" s="91">
        <f>IF($A21="","",$B21-$E$67-$F$67)</f>
        <v/>
      </c>
      <c r="AF21" s="89">
        <f>IF($A21="","",$L$67*$D21)</f>
        <v/>
      </c>
      <c r="AG21" s="91">
        <f>IF($A21="","",$U21)</f>
        <v/>
      </c>
      <c r="AH21" s="89">
        <f>IF($A21="","",$L$68*$D21)</f>
        <v/>
      </c>
      <c r="AI21" s="91">
        <f>IF($A21="","",$C21)</f>
        <v/>
      </c>
      <c r="AJ21" s="89">
        <f>IF($A21="","",$L$69*$D21)</f>
        <v/>
      </c>
      <c r="AK21" s="91">
        <f>IF($A21="","",2*2*$D21)</f>
        <v/>
      </c>
      <c r="AL21" s="89">
        <f>IF($A21="","",$BC$7*$D21)</f>
        <v/>
      </c>
      <c r="AM21" s="93">
        <f>IF($A21="","",$BC$6*$D21)</f>
        <v/>
      </c>
      <c r="AN21" s="94">
        <f>IF($A21="","",$BC$9*$D21)</f>
        <v/>
      </c>
      <c r="AO21" s="95">
        <f>IF($A21="","",$BC$10*$D21)</f>
        <v/>
      </c>
      <c r="AP21">
        <f>IF($A21="","",2*$BC$6*$D21)</f>
        <v/>
      </c>
      <c r="AQ21">
        <f>IF($A21="","",IF($B21&gt;2800,2,IF($B21&gt;1400,1,0))*$BC$6*$D21)</f>
        <v/>
      </c>
      <c r="AR21">
        <f>IF($A21="","",2*$BC$6*$D21)</f>
        <v/>
      </c>
      <c r="AS21">
        <f>IF($A21="","",$BC$6*$D21)</f>
        <v/>
      </c>
      <c r="AT21">
        <f>IF($A21="","",2*$BC$6*$D21)</f>
        <v/>
      </c>
      <c r="AU21">
        <f>IF($A21="","",4*2*$D21)</f>
        <v/>
      </c>
      <c r="AV21">
        <f>IF($A21="","",16*2*$D21)</f>
        <v/>
      </c>
      <c r="AW21">
        <f>IF($A21="","",(2+MAX(0,ROUNDUP(($I21-1500)/500,0)))*$D21)</f>
        <v/>
      </c>
      <c r="AX21">
        <f>IF($A21="","",(2+MAX(0,ROUNDUP(($I21-1500)/500,0)))*$D21)</f>
        <v/>
      </c>
      <c r="AY21">
        <f>IF($A21="","",ROUND((2*2*($O21+$M21)*2*$D21+$U21*$V21)/1000,1))</f>
        <v/>
      </c>
    </row>
    <row r="22" ht="40.15" customHeight="1">
      <c r="A22" s="99" t="n"/>
      <c r="B22" s="88" t="n"/>
      <c r="C22" s="89" t="n"/>
      <c r="D22" s="90" t="n"/>
      <c r="E22" s="96">
        <f>IF($A22="","",$B22)</f>
        <v/>
      </c>
      <c r="F22" s="97">
        <f>IF($A22="","",$L$54*$D22)</f>
        <v/>
      </c>
      <c r="G22" s="96">
        <f>IF($A22="","",$C22-$E$55-$F$55)</f>
        <v/>
      </c>
      <c r="H22" s="97">
        <f>IF($A22="","",$L$55*$D22)</f>
        <v/>
      </c>
      <c r="I22" s="96">
        <f>IF($A22="","",$C22-$E$56-$F$56)</f>
        <v/>
      </c>
      <c r="J22" s="97">
        <f>IF($A22="","",$L$56*$D22)</f>
        <v/>
      </c>
      <c r="K22" s="96">
        <f>IF($A22="","",$C22)</f>
        <v/>
      </c>
      <c r="L22" s="97">
        <f>IF($A22="","",$L$57*$D22)</f>
        <v/>
      </c>
      <c r="M22" s="96">
        <f>IF($A22="","",$B22-$E$58-$F$58-$G$58)</f>
        <v/>
      </c>
      <c r="N22" s="97">
        <f>IF($A22="","",$L$58*$D22)</f>
        <v/>
      </c>
      <c r="O22" s="96">
        <f>IF($A22="","",(($C22-$E$59-$F$59-$G$59-$H$59-$I$59)/2)+(78*1)/2)</f>
        <v/>
      </c>
      <c r="P22" s="97">
        <f>IF($A22="","",$L$59*$D22)</f>
        <v/>
      </c>
      <c r="Q22" s="96">
        <f>IF($A22="","",$M22-$E$60-$F$60)</f>
        <v/>
      </c>
      <c r="R22" s="97">
        <f>IF($A22="","",$L$60*$D22)</f>
        <v/>
      </c>
      <c r="S22" s="96">
        <f>IF($A22="","",$O22-$E$61-$F$61)</f>
        <v/>
      </c>
      <c r="T22" s="97">
        <f>IF($A22="","",$L$61*$D22)</f>
        <v/>
      </c>
      <c r="U22" s="96">
        <f>IF($A22="","",$M22)</f>
        <v/>
      </c>
      <c r="V22" s="97">
        <f>IF($A22="","",$L$62*$D22)</f>
        <v/>
      </c>
      <c r="W22" s="96">
        <f>IF($A22="","",$M22)</f>
        <v/>
      </c>
      <c r="X22" s="97">
        <f>IF($A22="","",$L$63*$D22)</f>
        <v/>
      </c>
      <c r="Y22" s="96">
        <f>IF($A22="","",$M22-$E$64-$F$64)</f>
        <v/>
      </c>
      <c r="Z22" s="97">
        <f>IF($A22="","",$L$64*$D22)</f>
        <v/>
      </c>
      <c r="AA22" s="96">
        <f>IF($A22="","",$B22-$E$65-$F$65)</f>
        <v/>
      </c>
      <c r="AB22" s="97">
        <f>IF($A22="","",$L$65*$D22)</f>
        <v/>
      </c>
      <c r="AC22" s="96">
        <f>IF($A22="","",$C22-$E$66-$F$66)</f>
        <v/>
      </c>
      <c r="AD22" s="97">
        <f>IF($A22="","",$L$66*$D22)</f>
        <v/>
      </c>
      <c r="AE22" s="96">
        <f>IF($A22="","",$B22-$E$67-$F$67)</f>
        <v/>
      </c>
      <c r="AF22" s="97">
        <f>IF($A22="","",$L$67*$D22)</f>
        <v/>
      </c>
      <c r="AG22" s="96">
        <f>IF($A22="","",$U22)</f>
        <v/>
      </c>
      <c r="AH22" s="97">
        <f>IF($A22="","",$L$68*$D22)</f>
        <v/>
      </c>
      <c r="AI22" s="96">
        <f>IF($A22="","",$C22)</f>
        <v/>
      </c>
      <c r="AJ22" s="97">
        <f>IF($A22="","",$L$69*$D22)</f>
        <v/>
      </c>
      <c r="AK22" s="96">
        <f>IF($A22="","",2*2*$D22)</f>
        <v/>
      </c>
      <c r="AL22" s="97">
        <f>IF($A22="","",$BC$7*$D22)</f>
        <v/>
      </c>
      <c r="AM22" s="93">
        <f>IF($A22="","",$BC$6*$D22)</f>
        <v/>
      </c>
      <c r="AN22" s="94">
        <f>IF($A22="","",$BC$9*$D22)</f>
        <v/>
      </c>
      <c r="AO22" s="95">
        <f>IF($A22="","",$BC$10*$D22)</f>
        <v/>
      </c>
      <c r="AP22">
        <f>IF($A22="","",2*$BC$6*$D22)</f>
        <v/>
      </c>
      <c r="AQ22">
        <f>IF($A22="","",IF($B22&gt;2800,2,IF($B22&gt;1400,1,0))*$BC$6*$D22)</f>
        <v/>
      </c>
      <c r="AR22">
        <f>IF($A22="","",2*$BC$6*$D22)</f>
        <v/>
      </c>
      <c r="AS22">
        <f>IF($A22="","",$BC$6*$D22)</f>
        <v/>
      </c>
      <c r="AT22">
        <f>IF($A22="","",2*$BC$6*$D22)</f>
        <v/>
      </c>
      <c r="AU22">
        <f>IF($A22="","",4*2*$D22)</f>
        <v/>
      </c>
      <c r="AV22">
        <f>IF($A22="","",16*2*$D22)</f>
        <v/>
      </c>
      <c r="AW22">
        <f>IF($A22="","",(2+MAX(0,ROUNDUP(($I22-1500)/500,0)))*$D22)</f>
        <v/>
      </c>
      <c r="AX22">
        <f>IF($A22="","",(2+MAX(0,ROUNDUP(($I22-1500)/500,0)))*$D22)</f>
        <v/>
      </c>
      <c r="AY22">
        <f>IF($A22="","",ROUND((2*2*($O22+$M22)*2*$D22+$U22*$V22)/1000,1))</f>
        <v/>
      </c>
    </row>
    <row r="23" ht="40.15" customHeight="1">
      <c r="A23" s="99" t="n"/>
      <c r="B23" s="88" t="n"/>
      <c r="C23" s="89" t="n"/>
      <c r="D23" s="90" t="n"/>
      <c r="E23" s="91">
        <f>IF($A23="","",$B23)</f>
        <v/>
      </c>
      <c r="F23" s="89">
        <f>IF($A23="","",$L$54*$D23)</f>
        <v/>
      </c>
      <c r="G23" s="91">
        <f>IF($A23="","",$C23-$E$55-$F$55)</f>
        <v/>
      </c>
      <c r="H23" s="89">
        <f>IF($A23="","",$L$55*$D23)</f>
        <v/>
      </c>
      <c r="I23" s="91">
        <f>IF($A23="","",$C23-$E$56-$F$56)</f>
        <v/>
      </c>
      <c r="J23" s="89">
        <f>IF($A23="","",$L$56*$D23)</f>
        <v/>
      </c>
      <c r="K23" s="91">
        <f>IF($A23="","",$C23)</f>
        <v/>
      </c>
      <c r="L23" s="89">
        <f>IF($A23="","",$L$57*$D23)</f>
        <v/>
      </c>
      <c r="M23" s="91">
        <f>IF($A23="","",$B23-$E$58-$F$58-$G$58)</f>
        <v/>
      </c>
      <c r="N23" s="89">
        <f>IF($A23="","",$L$58*$D23)</f>
        <v/>
      </c>
      <c r="O23" s="91">
        <f>IF($A23="","",(($C23-$E$59-$F$59-$G$59-$H$59-$I$59)/2)+(78*1)/2)</f>
        <v/>
      </c>
      <c r="P23" s="89">
        <f>IF($A23="","",$L$59*$D23)</f>
        <v/>
      </c>
      <c r="Q23" s="91">
        <f>IF($A23="","",$M23-$E$60-$F$60)</f>
        <v/>
      </c>
      <c r="R23" s="89">
        <f>IF($A23="","",$L$60*$D23)</f>
        <v/>
      </c>
      <c r="S23" s="91">
        <f>IF($A23="","",$O23-$E$61-$F$61)</f>
        <v/>
      </c>
      <c r="T23" s="89">
        <f>IF($A23="","",$L$61*$D23)</f>
        <v/>
      </c>
      <c r="U23" s="91">
        <f>IF($A23="","",$M23)</f>
        <v/>
      </c>
      <c r="V23" s="89">
        <f>IF($A23="","",$L$62*$D23)</f>
        <v/>
      </c>
      <c r="W23" s="91">
        <f>IF($A23="","",$M23)</f>
        <v/>
      </c>
      <c r="X23" s="89">
        <f>IF($A23="","",$L$63*$D23)</f>
        <v/>
      </c>
      <c r="Y23" s="91">
        <f>IF($A23="","",$M23-$E$64-$F$64)</f>
        <v/>
      </c>
      <c r="Z23" s="89">
        <f>IF($A23="","",$L$64*$D23)</f>
        <v/>
      </c>
      <c r="AA23" s="91">
        <f>IF($A23="","",$B23-$E$65-$F$65)</f>
        <v/>
      </c>
      <c r="AB23" s="89">
        <f>IF($A23="","",$L$65*$D23)</f>
        <v/>
      </c>
      <c r="AC23" s="91">
        <f>IF($A23="","",$C23-$E$66-$F$66)</f>
        <v/>
      </c>
      <c r="AD23" s="89">
        <f>IF($A23="","",$L$66*$D23)</f>
        <v/>
      </c>
      <c r="AE23" s="91">
        <f>IF($A23="","",$B23-$E$67-$F$67)</f>
        <v/>
      </c>
      <c r="AF23" s="89">
        <f>IF($A23="","",$L$67*$D23)</f>
        <v/>
      </c>
      <c r="AG23" s="91">
        <f>IF($A23="","",$U23)</f>
        <v/>
      </c>
      <c r="AH23" s="89">
        <f>IF($A23="","",$L$68*$D23)</f>
        <v/>
      </c>
      <c r="AI23" s="91">
        <f>IF($A23="","",$C23)</f>
        <v/>
      </c>
      <c r="AJ23" s="89">
        <f>IF($A23="","",$L$69*$D23)</f>
        <v/>
      </c>
      <c r="AK23" s="91">
        <f>IF($A23="","",2*2*$D23)</f>
        <v/>
      </c>
      <c r="AL23" s="89">
        <f>IF($A23="","",$BC$7*$D23)</f>
        <v/>
      </c>
      <c r="AM23" s="93">
        <f>IF($A23="","",$BC$6*$D23)</f>
        <v/>
      </c>
      <c r="AN23" s="94">
        <f>IF($A23="","",$BC$9*$D23)</f>
        <v/>
      </c>
      <c r="AO23" s="95">
        <f>IF($A23="","",$BC$10*$D23)</f>
        <v/>
      </c>
      <c r="AP23">
        <f>IF($A23="","",2*$BC$6*$D23)</f>
        <v/>
      </c>
      <c r="AQ23">
        <f>IF($A23="","",IF($B23&gt;2800,2,IF($B23&gt;1400,1,0))*$BC$6*$D23)</f>
        <v/>
      </c>
      <c r="AR23">
        <f>IF($A23="","",2*$BC$6*$D23)</f>
        <v/>
      </c>
      <c r="AS23">
        <f>IF($A23="","",$BC$6*$D23)</f>
        <v/>
      </c>
      <c r="AT23">
        <f>IF($A23="","",2*$BC$6*$D23)</f>
        <v/>
      </c>
      <c r="AU23">
        <f>IF($A23="","",4*2*$D23)</f>
        <v/>
      </c>
      <c r="AV23">
        <f>IF($A23="","",16*2*$D23)</f>
        <v/>
      </c>
      <c r="AW23">
        <f>IF($A23="","",(2+MAX(0,ROUNDUP(($I23-1500)/500,0)))*$D23)</f>
        <v/>
      </c>
      <c r="AX23">
        <f>IF($A23="","",(2+MAX(0,ROUNDUP(($I23-1500)/500,0)))*$D23)</f>
        <v/>
      </c>
      <c r="AY23">
        <f>IF($A23="","",ROUND((2*2*($O23+$M23)*2*$D23+$U23*$V23)/1000,1))</f>
        <v/>
      </c>
    </row>
    <row r="24" ht="40.15" customHeight="1">
      <c r="A24" s="99" t="n"/>
      <c r="B24" s="88" t="n"/>
      <c r="C24" s="89" t="n"/>
      <c r="D24" s="90" t="n"/>
      <c r="E24" s="96">
        <f>IF($A24="","",$B24)</f>
        <v/>
      </c>
      <c r="F24" s="97">
        <f>IF($A24="","",$L$54*$D24)</f>
        <v/>
      </c>
      <c r="G24" s="96">
        <f>IF($A24="","",$C24-$E$55-$F$55)</f>
        <v/>
      </c>
      <c r="H24" s="97">
        <f>IF($A24="","",$L$55*$D24)</f>
        <v/>
      </c>
      <c r="I24" s="96">
        <f>IF($A24="","",$C24-$E$56-$F$56)</f>
        <v/>
      </c>
      <c r="J24" s="97">
        <f>IF($A24="","",$L$56*$D24)</f>
        <v/>
      </c>
      <c r="K24" s="96">
        <f>IF($A24="","",$C24)</f>
        <v/>
      </c>
      <c r="L24" s="97">
        <f>IF($A24="","",$L$57*$D24)</f>
        <v/>
      </c>
      <c r="M24" s="96">
        <f>IF($A24="","",$B24-$E$58-$F$58-$G$58)</f>
        <v/>
      </c>
      <c r="N24" s="97">
        <f>IF($A24="","",$L$58*$D24)</f>
        <v/>
      </c>
      <c r="O24" s="96">
        <f>IF($A24="","",(($C24-$E$59-$F$59-$G$59-$H$59-$I$59)/2)+(78*1)/2)</f>
        <v/>
      </c>
      <c r="P24" s="97">
        <f>IF($A24="","",$L$59*$D24)</f>
        <v/>
      </c>
      <c r="Q24" s="96">
        <f>IF($A24="","",$M24-$E$60-$F$60)</f>
        <v/>
      </c>
      <c r="R24" s="97">
        <f>IF($A24="","",$L$60*$D24)</f>
        <v/>
      </c>
      <c r="S24" s="96">
        <f>IF($A24="","",$O24-$E$61-$F$61)</f>
        <v/>
      </c>
      <c r="T24" s="97">
        <f>IF($A24="","",$L$61*$D24)</f>
        <v/>
      </c>
      <c r="U24" s="96">
        <f>IF($A24="","",$M24)</f>
        <v/>
      </c>
      <c r="V24" s="97">
        <f>IF($A24="","",$L$62*$D24)</f>
        <v/>
      </c>
      <c r="W24" s="96">
        <f>IF($A24="","",$M24)</f>
        <v/>
      </c>
      <c r="X24" s="97">
        <f>IF($A24="","",$L$63*$D24)</f>
        <v/>
      </c>
      <c r="Y24" s="96">
        <f>IF($A24="","",$M24-$E$64-$F$64)</f>
        <v/>
      </c>
      <c r="Z24" s="97">
        <f>IF($A24="","",$L$64*$D24)</f>
        <v/>
      </c>
      <c r="AA24" s="96">
        <f>IF($A24="","",$B24-$E$65-$F$65)</f>
        <v/>
      </c>
      <c r="AB24" s="97">
        <f>IF($A24="","",$L$65*$D24)</f>
        <v/>
      </c>
      <c r="AC24" s="96">
        <f>IF($A24="","",$C24-$E$66-$F$66)</f>
        <v/>
      </c>
      <c r="AD24" s="97">
        <f>IF($A24="","",$L$66*$D24)</f>
        <v/>
      </c>
      <c r="AE24" s="96">
        <f>IF($A24="","",$B24-$E$67-$F$67)</f>
        <v/>
      </c>
      <c r="AF24" s="97">
        <f>IF($A24="","",$L$67*$D24)</f>
        <v/>
      </c>
      <c r="AG24" s="96">
        <f>IF($A24="","",$U24)</f>
        <v/>
      </c>
      <c r="AH24" s="97">
        <f>IF($A24="","",$L$68*$D24)</f>
        <v/>
      </c>
      <c r="AI24" s="96">
        <f>IF($A24="","",$C24)</f>
        <v/>
      </c>
      <c r="AJ24" s="97">
        <f>IF($A24="","",$L$69*$D24)</f>
        <v/>
      </c>
      <c r="AK24" s="96">
        <f>IF($A24="","",2*2*$D24)</f>
        <v/>
      </c>
      <c r="AL24" s="97">
        <f>IF($A24="","",$BC$7*$D24)</f>
        <v/>
      </c>
      <c r="AM24" s="93">
        <f>IF($A24="","",$BC$6*$D24)</f>
        <v/>
      </c>
      <c r="AN24" s="94">
        <f>IF($A24="","",$BC$9*$D24)</f>
        <v/>
      </c>
      <c r="AO24" s="95">
        <f>IF($A24="","",$BC$10*$D24)</f>
        <v/>
      </c>
      <c r="AP24">
        <f>IF($A24="","",2*$BC$6*$D24)</f>
        <v/>
      </c>
      <c r="AQ24">
        <f>IF($A24="","",IF($B24&gt;2800,2,IF($B24&gt;1400,1,0))*$BC$6*$D24)</f>
        <v/>
      </c>
      <c r="AR24">
        <f>IF($A24="","",2*$BC$6*$D24)</f>
        <v/>
      </c>
      <c r="AS24">
        <f>IF($A24="","",$BC$6*$D24)</f>
        <v/>
      </c>
      <c r="AT24">
        <f>IF($A24="","",2*$BC$6*$D24)</f>
        <v/>
      </c>
      <c r="AU24">
        <f>IF($A24="","",4*2*$D24)</f>
        <v/>
      </c>
      <c r="AV24">
        <f>IF($A24="","",16*2*$D24)</f>
        <v/>
      </c>
      <c r="AW24">
        <f>IF($A24="","",(2+MAX(0,ROUNDUP(($I24-1500)/500,0)))*$D24)</f>
        <v/>
      </c>
      <c r="AX24">
        <f>IF($A24="","",(2+MAX(0,ROUNDUP(($I24-1500)/500,0)))*$D24)</f>
        <v/>
      </c>
      <c r="AY24">
        <f>IF($A24="","",ROUND((2*2*($O24+$M24)*2*$D24+$U24*$V24)/1000,1))</f>
        <v/>
      </c>
    </row>
    <row r="25" ht="40.15" customHeight="1">
      <c r="A25" s="99" t="n"/>
      <c r="B25" s="88" t="n"/>
      <c r="C25" s="89" t="n"/>
      <c r="D25" s="90" t="n"/>
      <c r="E25" s="91">
        <f>IF($A25="","",$B25)</f>
        <v/>
      </c>
      <c r="F25" s="89">
        <f>IF($A25="","",$L$54*$D25)</f>
        <v/>
      </c>
      <c r="G25" s="91">
        <f>IF($A25="","",$C25-$E$55-$F$55)</f>
        <v/>
      </c>
      <c r="H25" s="89">
        <f>IF($A25="","",$L$55*$D25)</f>
        <v/>
      </c>
      <c r="I25" s="91">
        <f>IF($A25="","",$C25-$E$56-$F$56)</f>
        <v/>
      </c>
      <c r="J25" s="89">
        <f>IF($A25="","",$L$56*$D25)</f>
        <v/>
      </c>
      <c r="K25" s="91">
        <f>IF($A25="","",$C25)</f>
        <v/>
      </c>
      <c r="L25" s="89">
        <f>IF($A25="","",$L$57*$D25)</f>
        <v/>
      </c>
      <c r="M25" s="91">
        <f>IF($A25="","",$B25-$E$58-$F$58-$G$58)</f>
        <v/>
      </c>
      <c r="N25" s="89">
        <f>IF($A25="","",$L$58*$D25)</f>
        <v/>
      </c>
      <c r="O25" s="91">
        <f>IF($A25="","",(($C25-$E$59-$F$59-$G$59-$H$59-$I$59)/2)+(78*1)/2)</f>
        <v/>
      </c>
      <c r="P25" s="89">
        <f>IF($A25="","",$L$59*$D25)</f>
        <v/>
      </c>
      <c r="Q25" s="91">
        <f>IF($A25="","",$M25-$E$60-$F$60)</f>
        <v/>
      </c>
      <c r="R25" s="89">
        <f>IF($A25="","",$L$60*$D25)</f>
        <v/>
      </c>
      <c r="S25" s="91">
        <f>IF($A25="","",$O25-$E$61-$F$61)</f>
        <v/>
      </c>
      <c r="T25" s="89">
        <f>IF($A25="","",$L$61*$D25)</f>
        <v/>
      </c>
      <c r="U25" s="91">
        <f>IF($A25="","",$M25)</f>
        <v/>
      </c>
      <c r="V25" s="89">
        <f>IF($A25="","",$L$62*$D25)</f>
        <v/>
      </c>
      <c r="W25" s="91">
        <f>IF($A25="","",$M25)</f>
        <v/>
      </c>
      <c r="X25" s="89">
        <f>IF($A25="","",$L$63*$D25)</f>
        <v/>
      </c>
      <c r="Y25" s="91">
        <f>IF($A25="","",$M25-$E$64-$F$64)</f>
        <v/>
      </c>
      <c r="Z25" s="89">
        <f>IF($A25="","",$L$64*$D25)</f>
        <v/>
      </c>
      <c r="AA25" s="91">
        <f>IF($A25="","",$B25-$E$65-$F$65)</f>
        <v/>
      </c>
      <c r="AB25" s="89">
        <f>IF($A25="","",$L$65*$D25)</f>
        <v/>
      </c>
      <c r="AC25" s="91">
        <f>IF($A25="","",$C25-$E$66-$F$66)</f>
        <v/>
      </c>
      <c r="AD25" s="89">
        <f>IF($A25="","",$L$66*$D25)</f>
        <v/>
      </c>
      <c r="AE25" s="91">
        <f>IF($A25="","",$B25-$E$67-$F$67)</f>
        <v/>
      </c>
      <c r="AF25" s="89">
        <f>IF($A25="","",$L$67*$D25)</f>
        <v/>
      </c>
      <c r="AG25" s="91">
        <f>IF($A25="","",$U25)</f>
        <v/>
      </c>
      <c r="AH25" s="89">
        <f>IF($A25="","",$L$68*$D25)</f>
        <v/>
      </c>
      <c r="AI25" s="91">
        <f>IF($A25="","",$C25)</f>
        <v/>
      </c>
      <c r="AJ25" s="89">
        <f>IF($A25="","",$L$69*$D25)</f>
        <v/>
      </c>
      <c r="AK25" s="91">
        <f>IF($A25="","",2*2*$D25)</f>
        <v/>
      </c>
      <c r="AL25" s="89">
        <f>IF($A25="","",$BC$7*$D25)</f>
        <v/>
      </c>
      <c r="AM25" s="93">
        <f>IF($A25="","",$BC$6*$D25)</f>
        <v/>
      </c>
      <c r="AN25" s="94">
        <f>IF($A25="","",$BC$9*$D25)</f>
        <v/>
      </c>
      <c r="AO25" s="95">
        <f>IF($A25="","",$BC$10*$D25)</f>
        <v/>
      </c>
      <c r="AP25">
        <f>IF($A25="","",2*$BC$6*$D25)</f>
        <v/>
      </c>
      <c r="AQ25">
        <f>IF($A25="","",IF($B25&gt;2800,2,IF($B25&gt;1400,1,0))*$BC$6*$D25)</f>
        <v/>
      </c>
      <c r="AR25">
        <f>IF($A25="","",2*$BC$6*$D25)</f>
        <v/>
      </c>
      <c r="AS25">
        <f>IF($A25="","",$BC$6*$D25)</f>
        <v/>
      </c>
      <c r="AT25">
        <f>IF($A25="","",2*$BC$6*$D25)</f>
        <v/>
      </c>
      <c r="AU25">
        <f>IF($A25="","",4*2*$D25)</f>
        <v/>
      </c>
      <c r="AV25">
        <f>IF($A25="","",16*2*$D25)</f>
        <v/>
      </c>
      <c r="AW25">
        <f>IF($A25="","",(2+MAX(0,ROUNDUP(($I25-1500)/500,0)))*$D25)</f>
        <v/>
      </c>
      <c r="AX25">
        <f>IF($A25="","",(2+MAX(0,ROUNDUP(($I25-1500)/500,0)))*$D25)</f>
        <v/>
      </c>
      <c r="AY25">
        <f>IF($A25="","",ROUND((2*2*($O25+$M25)*2*$D25+$U25*$V25)/1000,1))</f>
        <v/>
      </c>
    </row>
    <row r="26" ht="40.15" customHeight="1">
      <c r="A26" s="99" t="n"/>
      <c r="B26" s="88" t="n"/>
      <c r="C26" s="89" t="n"/>
      <c r="D26" s="90" t="n"/>
      <c r="E26" s="96">
        <f>IF($A26="","",$B26)</f>
        <v/>
      </c>
      <c r="F26" s="97">
        <f>IF($A26="","",$L$54*$D26)</f>
        <v/>
      </c>
      <c r="G26" s="96">
        <f>IF($A26="","",$C26-$E$55-$F$55)</f>
        <v/>
      </c>
      <c r="H26" s="97">
        <f>IF($A26="","",$L$55*$D26)</f>
        <v/>
      </c>
      <c r="I26" s="96">
        <f>IF($A26="","",$C26-$E$56-$F$56)</f>
        <v/>
      </c>
      <c r="J26" s="97">
        <f>IF($A26="","",$L$56*$D26)</f>
        <v/>
      </c>
      <c r="K26" s="96">
        <f>IF($A26="","",$C26)</f>
        <v/>
      </c>
      <c r="L26" s="97">
        <f>IF($A26="","",$L$57*$D26)</f>
        <v/>
      </c>
      <c r="M26" s="96">
        <f>IF($A26="","",$B26-$E$58-$F$58-$G$58)</f>
        <v/>
      </c>
      <c r="N26" s="97">
        <f>IF($A26="","",$L$58*$D26)</f>
        <v/>
      </c>
      <c r="O26" s="96">
        <f>IF($A26="","",(($C26-$E$59-$F$59-$G$59-$H$59-$I$59)/2)+(78*1)/2)</f>
        <v/>
      </c>
      <c r="P26" s="97">
        <f>IF($A26="","",$L$59*$D26)</f>
        <v/>
      </c>
      <c r="Q26" s="96">
        <f>IF($A26="","",$M26-$E$60-$F$60)</f>
        <v/>
      </c>
      <c r="R26" s="97">
        <f>IF($A26="","",$L$60*$D26)</f>
        <v/>
      </c>
      <c r="S26" s="96">
        <f>IF($A26="","",$O26-$E$61-$F$61)</f>
        <v/>
      </c>
      <c r="T26" s="97">
        <f>IF($A26="","",$L$61*$D26)</f>
        <v/>
      </c>
      <c r="U26" s="96">
        <f>IF($A26="","",$M26)</f>
        <v/>
      </c>
      <c r="V26" s="97">
        <f>IF($A26="","",$L$62*$D26)</f>
        <v/>
      </c>
      <c r="W26" s="96">
        <f>IF($A26="","",$M26)</f>
        <v/>
      </c>
      <c r="X26" s="97">
        <f>IF($A26="","",$L$63*$D26)</f>
        <v/>
      </c>
      <c r="Y26" s="96">
        <f>IF($A26="","",$M26-$E$64-$F$64)</f>
        <v/>
      </c>
      <c r="Z26" s="97">
        <f>IF($A26="","",$L$64*$D26)</f>
        <v/>
      </c>
      <c r="AA26" s="96">
        <f>IF($A26="","",$B26-$E$65-$F$65)</f>
        <v/>
      </c>
      <c r="AB26" s="97">
        <f>IF($A26="","",$L$65*$D26)</f>
        <v/>
      </c>
      <c r="AC26" s="96">
        <f>IF($A26="","",$C26-$E$66-$F$66)</f>
        <v/>
      </c>
      <c r="AD26" s="97">
        <f>IF($A26="","",$L$66*$D26)</f>
        <v/>
      </c>
      <c r="AE26" s="96">
        <f>IF($A26="","",$B26-$E$67-$F$67)</f>
        <v/>
      </c>
      <c r="AF26" s="97">
        <f>IF($A26="","",$L$67*$D26)</f>
        <v/>
      </c>
      <c r="AG26" s="96">
        <f>IF($A26="","",$U26)</f>
        <v/>
      </c>
      <c r="AH26" s="97">
        <f>IF($A26="","",$L$68*$D26)</f>
        <v/>
      </c>
      <c r="AI26" s="96">
        <f>IF($A26="","",$C26)</f>
        <v/>
      </c>
      <c r="AJ26" s="97">
        <f>IF($A26="","",$L$69*$D26)</f>
        <v/>
      </c>
      <c r="AK26" s="96">
        <f>IF($A26="","",2*2*$D26)</f>
        <v/>
      </c>
      <c r="AL26" s="97">
        <f>IF($A26="","",$BC$7*$D26)</f>
        <v/>
      </c>
      <c r="AM26" s="93">
        <f>IF($A26="","",$BC$6*$D26)</f>
        <v/>
      </c>
      <c r="AN26" s="94">
        <f>IF($A26="","",$BC$9*$D26)</f>
        <v/>
      </c>
      <c r="AO26" s="95">
        <f>IF($A26="","",$BC$10*$D26)</f>
        <v/>
      </c>
      <c r="AP26">
        <f>IF($A26="","",2*$BC$6*$D26)</f>
        <v/>
      </c>
      <c r="AQ26">
        <f>IF($A26="","",IF($B26&gt;2800,2,IF($B26&gt;1400,1,0))*$BC$6*$D26)</f>
        <v/>
      </c>
      <c r="AR26">
        <f>IF($A26="","",2*$BC$6*$D26)</f>
        <v/>
      </c>
      <c r="AS26">
        <f>IF($A26="","",$BC$6*$D26)</f>
        <v/>
      </c>
      <c r="AT26">
        <f>IF($A26="","",2*$BC$6*$D26)</f>
        <v/>
      </c>
      <c r="AU26">
        <f>IF($A26="","",4*2*$D26)</f>
        <v/>
      </c>
      <c r="AV26">
        <f>IF($A26="","",16*2*$D26)</f>
        <v/>
      </c>
      <c r="AW26">
        <f>IF($A26="","",(2+MAX(0,ROUNDUP(($I26-1500)/500,0)))*$D26)</f>
        <v/>
      </c>
      <c r="AX26">
        <f>IF($A26="","",(2+MAX(0,ROUNDUP(($I26-1500)/500,0)))*$D26)</f>
        <v/>
      </c>
      <c r="AY26">
        <f>IF($A26="","",ROUND((2*2*($O26+$M26)*2*$D26+$U26*$V26)/1000,1))</f>
        <v/>
      </c>
    </row>
    <row r="27" ht="40.15" customHeight="1">
      <c r="A27" s="99" t="n"/>
      <c r="B27" s="88" t="n"/>
      <c r="C27" s="89" t="n"/>
      <c r="D27" s="90" t="n"/>
      <c r="E27" s="91">
        <f>IF($A27="","",$B27)</f>
        <v/>
      </c>
      <c r="F27" s="89">
        <f>IF($A27="","",$L$54*$D27)</f>
        <v/>
      </c>
      <c r="G27" s="91">
        <f>IF($A27="","",$C27-$E$55-$F$55)</f>
        <v/>
      </c>
      <c r="H27" s="89">
        <f>IF($A27="","",$L$55*$D27)</f>
        <v/>
      </c>
      <c r="I27" s="91">
        <f>IF($A27="","",$C27-$E$56-$F$56)</f>
        <v/>
      </c>
      <c r="J27" s="89">
        <f>IF($A27="","",$L$56*$D27)</f>
        <v/>
      </c>
      <c r="K27" s="91">
        <f>IF($A27="","",$C27)</f>
        <v/>
      </c>
      <c r="L27" s="89">
        <f>IF($A27="","",$L$57*$D27)</f>
        <v/>
      </c>
      <c r="M27" s="91">
        <f>IF($A27="","",$B27-$E$58-$F$58-$G$58)</f>
        <v/>
      </c>
      <c r="N27" s="89">
        <f>IF($A27="","",$L$58*$D27)</f>
        <v/>
      </c>
      <c r="O27" s="91">
        <f>IF($A27="","",(($C27-$E$59-$F$59-$G$59-$H$59-$I$59)/2)+(78*1)/2)</f>
        <v/>
      </c>
      <c r="P27" s="89">
        <f>IF($A27="","",$L$59*$D27)</f>
        <v/>
      </c>
      <c r="Q27" s="91">
        <f>IF($A27="","",$M27-$E$60-$F$60)</f>
        <v/>
      </c>
      <c r="R27" s="89">
        <f>IF($A27="","",$L$60*$D27)</f>
        <v/>
      </c>
      <c r="S27" s="91">
        <f>IF($A27="","",$O27-$E$61-$F$61)</f>
        <v/>
      </c>
      <c r="T27" s="89">
        <f>IF($A27="","",$L$61*$D27)</f>
        <v/>
      </c>
      <c r="U27" s="91">
        <f>IF($A27="","",$M27)</f>
        <v/>
      </c>
      <c r="V27" s="89">
        <f>IF($A27="","",$L$62*$D27)</f>
        <v/>
      </c>
      <c r="W27" s="91">
        <f>IF($A27="","",$M27)</f>
        <v/>
      </c>
      <c r="X27" s="89">
        <f>IF($A27="","",$L$63*$D27)</f>
        <v/>
      </c>
      <c r="Y27" s="91">
        <f>IF($A27="","",$M27-$E$64-$F$64)</f>
        <v/>
      </c>
      <c r="Z27" s="89">
        <f>IF($A27="","",$L$64*$D27)</f>
        <v/>
      </c>
      <c r="AA27" s="91">
        <f>IF($A27="","",$B27-$E$65-$F$65)</f>
        <v/>
      </c>
      <c r="AB27" s="89">
        <f>IF($A27="","",$L$65*$D27)</f>
        <v/>
      </c>
      <c r="AC27" s="91">
        <f>IF($A27="","",$C27-$E$66-$F$66)</f>
        <v/>
      </c>
      <c r="AD27" s="89">
        <f>IF($A27="","",$L$66*$D27)</f>
        <v/>
      </c>
      <c r="AE27" s="91">
        <f>IF($A27="","",$B27-$E$67-$F$67)</f>
        <v/>
      </c>
      <c r="AF27" s="89">
        <f>IF($A27="","",$L$67*$D27)</f>
        <v/>
      </c>
      <c r="AG27" s="91">
        <f>IF($A27="","",$U27)</f>
        <v/>
      </c>
      <c r="AH27" s="89">
        <f>IF($A27="","",$L$68*$D27)</f>
        <v/>
      </c>
      <c r="AI27" s="91">
        <f>IF($A27="","",$C27)</f>
        <v/>
      </c>
      <c r="AJ27" s="89">
        <f>IF($A27="","",$L$69*$D27)</f>
        <v/>
      </c>
      <c r="AK27" s="91">
        <f>IF($A27="","",2*2*$D27)</f>
        <v/>
      </c>
      <c r="AL27" s="89">
        <f>IF($A27="","",$BC$7*$D27)</f>
        <v/>
      </c>
      <c r="AM27" s="93">
        <f>IF($A27="","",$BC$6*$D27)</f>
        <v/>
      </c>
      <c r="AN27" s="94">
        <f>IF($A27="","",$BC$9*$D27)</f>
        <v/>
      </c>
      <c r="AO27" s="95">
        <f>IF($A27="","",$BC$10*$D27)</f>
        <v/>
      </c>
      <c r="AP27">
        <f>IF($A27="","",2*$BC$6*$D27)</f>
        <v/>
      </c>
      <c r="AQ27">
        <f>IF($A27="","",IF($B27&gt;2800,2,IF($B27&gt;1400,1,0))*$BC$6*$D27)</f>
        <v/>
      </c>
      <c r="AR27">
        <f>IF($A27="","",2*$BC$6*$D27)</f>
        <v/>
      </c>
      <c r="AS27">
        <f>IF($A27="","",$BC$6*$D27)</f>
        <v/>
      </c>
      <c r="AT27">
        <f>IF($A27="","",2*$BC$6*$D27)</f>
        <v/>
      </c>
      <c r="AU27">
        <f>IF($A27="","",4*2*$D27)</f>
        <v/>
      </c>
      <c r="AV27">
        <f>IF($A27="","",16*2*$D27)</f>
        <v/>
      </c>
      <c r="AW27">
        <f>IF($A27="","",(2+MAX(0,ROUNDUP(($I27-1500)/500,0)))*$D27)</f>
        <v/>
      </c>
      <c r="AX27">
        <f>IF($A27="","",(2+MAX(0,ROUNDUP(($I27-1500)/500,0)))*$D27)</f>
        <v/>
      </c>
      <c r="AY27">
        <f>IF($A27="","",ROUND((2*2*($O27+$M27)*2*$D27+$U27*$V27)/1000,1))</f>
        <v/>
      </c>
    </row>
    <row r="28" ht="40.15" customHeight="1">
      <c r="A28" s="99" t="n"/>
      <c r="B28" s="88" t="n"/>
      <c r="C28" s="89" t="n"/>
      <c r="D28" s="90" t="n"/>
      <c r="E28" s="96">
        <f>IF($A28="","",$B28)</f>
        <v/>
      </c>
      <c r="F28" s="97">
        <f>IF($A28="","",$L$54*$D28)</f>
        <v/>
      </c>
      <c r="G28" s="96">
        <f>IF($A28="","",$C28-$E$55-$F$55)</f>
        <v/>
      </c>
      <c r="H28" s="97">
        <f>IF($A28="","",$L$55*$D28)</f>
        <v/>
      </c>
      <c r="I28" s="96">
        <f>IF($A28="","",$C28-$E$56-$F$56)</f>
        <v/>
      </c>
      <c r="J28" s="97">
        <f>IF($A28="","",$L$56*$D28)</f>
        <v/>
      </c>
      <c r="K28" s="96">
        <f>IF($A28="","",$C28)</f>
        <v/>
      </c>
      <c r="L28" s="97">
        <f>IF($A28="","",$L$57*$D28)</f>
        <v/>
      </c>
      <c r="M28" s="96">
        <f>IF($A28="","",$B28-$E$58-$F$58-$G$58)</f>
        <v/>
      </c>
      <c r="N28" s="97">
        <f>IF($A28="","",$L$58*$D28)</f>
        <v/>
      </c>
      <c r="O28" s="96">
        <f>IF($A28="","",(($C28-$E$59-$F$59-$G$59-$H$59-$I$59)/2)+(78*1)/2)</f>
        <v/>
      </c>
      <c r="P28" s="97">
        <f>IF($A28="","",$L$59*$D28)</f>
        <v/>
      </c>
      <c r="Q28" s="96">
        <f>IF($A28="","",$M28-$E$60-$F$60)</f>
        <v/>
      </c>
      <c r="R28" s="97">
        <f>IF($A28="","",$L$60*$D28)</f>
        <v/>
      </c>
      <c r="S28" s="96">
        <f>IF($A28="","",$O28-$E$61-$F$61)</f>
        <v/>
      </c>
      <c r="T28" s="97">
        <f>IF($A28="","",$L$61*$D28)</f>
        <v/>
      </c>
      <c r="U28" s="96">
        <f>IF($A28="","",$M28)</f>
        <v/>
      </c>
      <c r="V28" s="97">
        <f>IF($A28="","",$L$62*$D28)</f>
        <v/>
      </c>
      <c r="W28" s="96">
        <f>IF($A28="","",$M28)</f>
        <v/>
      </c>
      <c r="X28" s="97">
        <f>IF($A28="","",$L$63*$D28)</f>
        <v/>
      </c>
      <c r="Y28" s="96">
        <f>IF($A28="","",$M28-$E$64-$F$64)</f>
        <v/>
      </c>
      <c r="Z28" s="97">
        <f>IF($A28="","",$L$64*$D28)</f>
        <v/>
      </c>
      <c r="AA28" s="96">
        <f>IF($A28="","",$B28-$E$65-$F$65)</f>
        <v/>
      </c>
      <c r="AB28" s="97">
        <f>IF($A28="","",$L$65*$D28)</f>
        <v/>
      </c>
      <c r="AC28" s="96">
        <f>IF($A28="","",$C28-$E$66-$F$66)</f>
        <v/>
      </c>
      <c r="AD28" s="97">
        <f>IF($A28="","",$L$66*$D28)</f>
        <v/>
      </c>
      <c r="AE28" s="96">
        <f>IF($A28="","",$B28-$E$67-$F$67)</f>
        <v/>
      </c>
      <c r="AF28" s="97">
        <f>IF($A28="","",$L$67*$D28)</f>
        <v/>
      </c>
      <c r="AG28" s="96">
        <f>IF($A28="","",$U28)</f>
        <v/>
      </c>
      <c r="AH28" s="97">
        <f>IF($A28="","",$L$68*$D28)</f>
        <v/>
      </c>
      <c r="AI28" s="96">
        <f>IF($A28="","",$C28)</f>
        <v/>
      </c>
      <c r="AJ28" s="97">
        <f>IF($A28="","",$L$69*$D28)</f>
        <v/>
      </c>
      <c r="AK28" s="96">
        <f>IF($A28="","",2*2*$D28)</f>
        <v/>
      </c>
      <c r="AL28" s="97">
        <f>IF($A28="","",$BC$7*$D28)</f>
        <v/>
      </c>
      <c r="AM28" s="93">
        <f>IF($A28="","",$BC$6*$D28)</f>
        <v/>
      </c>
      <c r="AN28" s="94">
        <f>IF($A28="","",$BC$9*$D28)</f>
        <v/>
      </c>
      <c r="AO28" s="95">
        <f>IF($A28="","",$BC$10*$D28)</f>
        <v/>
      </c>
      <c r="AP28">
        <f>IF($A28="","",2*$BC$6*$D28)</f>
        <v/>
      </c>
      <c r="AQ28">
        <f>IF($A28="","",IF($B28&gt;2800,2,IF($B28&gt;1400,1,0))*$BC$6*$D28)</f>
        <v/>
      </c>
      <c r="AR28">
        <f>IF($A28="","",2*$BC$6*$D28)</f>
        <v/>
      </c>
      <c r="AS28">
        <f>IF($A28="","",$BC$6*$D28)</f>
        <v/>
      </c>
      <c r="AT28">
        <f>IF($A28="","",2*$BC$6*$D28)</f>
        <v/>
      </c>
      <c r="AU28">
        <f>IF($A28="","",4*2*$D28)</f>
        <v/>
      </c>
      <c r="AV28">
        <f>IF($A28="","",16*2*$D28)</f>
        <v/>
      </c>
      <c r="AW28">
        <f>IF($A28="","",(2+MAX(0,ROUNDUP(($I28-1500)/500,0)))*$D28)</f>
        <v/>
      </c>
      <c r="AX28">
        <f>IF($A28="","",(2+MAX(0,ROUNDUP(($I28-1500)/500,0)))*$D28)</f>
        <v/>
      </c>
      <c r="AY28">
        <f>IF($A28="","",ROUND((2*2*($O28+$M28)*2*$D28+$U28*$V28)/1000,1))</f>
        <v/>
      </c>
    </row>
    <row r="29" ht="40.15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8" t="n"/>
      <c r="AK29" s="68" t="n"/>
      <c r="AL29" s="68" t="n"/>
      <c r="AM29" s="69" t="n"/>
    </row>
    <row r="30" ht="40.15" customHeight="1">
      <c r="A30" s="70" t="inlineStr">
        <is>
          <t>จำนวนเส้น 6.4 ม. ที่ต้องสั่ง →</t>
        </is>
      </c>
      <c r="B30" s="20" t="n"/>
      <c r="C30" s="20" t="n"/>
      <c r="D30" s="21" t="n"/>
      <c r="E30" s="71">
        <f>E$7</f>
        <v/>
      </c>
      <c r="F30" s="72">
        <f>(ROUNDUP(F49/6400,0))</f>
        <v/>
      </c>
      <c r="G30" s="72">
        <f>G$7</f>
        <v/>
      </c>
      <c r="H30" s="72">
        <f>(ROUNDUP(H49/6400,0))</f>
        <v/>
      </c>
      <c r="I30" s="72">
        <f>I$7</f>
        <v/>
      </c>
      <c r="J30" s="72">
        <f>(ROUNDUP(J49/6400,0))</f>
        <v/>
      </c>
      <c r="K30" s="72">
        <f>K$7</f>
        <v/>
      </c>
      <c r="L30" s="72">
        <f>(ROUNDUP(L49/6400,0))</f>
        <v/>
      </c>
      <c r="M30" s="72">
        <f>M$7</f>
        <v/>
      </c>
      <c r="N30" s="20" t="n"/>
      <c r="O30" s="21" t="n"/>
      <c r="P30" s="72">
        <f>(ROUNDUP(SUM(N49:P49)/6400,0))</f>
        <v/>
      </c>
      <c r="Q30" s="72">
        <f>Q$7</f>
        <v/>
      </c>
      <c r="R30" s="20" t="n"/>
      <c r="S30" s="21" t="n"/>
      <c r="T30" s="72">
        <f>(ROUNDUP(SUM(R49:T49)/6400,0))</f>
        <v/>
      </c>
      <c r="U30" s="72">
        <f>U$7</f>
        <v/>
      </c>
      <c r="V30" s="72">
        <f>(ROUNDUP(V49/6400,0))</f>
        <v/>
      </c>
      <c r="W30" s="72">
        <f>W$7</f>
        <v/>
      </c>
      <c r="X30" s="72">
        <f>(ROUNDUP(X49/6400,0))</f>
        <v/>
      </c>
      <c r="Y30" s="72">
        <f>Y$7</f>
        <v/>
      </c>
      <c r="Z30" s="72">
        <f>(ROUNDUP(Z49/6400,0))</f>
        <v/>
      </c>
      <c r="AA30" s="72">
        <f>AA$7</f>
        <v/>
      </c>
      <c r="AB30" s="72">
        <f>(ROUNDUP(AB49/6400,0))</f>
        <v/>
      </c>
      <c r="AC30" s="72">
        <f>AC$7</f>
        <v/>
      </c>
      <c r="AD30" s="72">
        <f>(ROUNDUP(AD49/5000,0))</f>
        <v/>
      </c>
      <c r="AE30" s="72">
        <f>AE$7</f>
        <v/>
      </c>
      <c r="AJ30" s="72" t="inlineStr">
        <is>
          <t>รวม</t>
        </is>
      </c>
      <c r="AK30" s="72">
        <f>SUM(AK11:AK28)</f>
        <v/>
      </c>
      <c r="AL30" s="72">
        <f>SUM(AL11:AL28)</f>
        <v/>
      </c>
      <c r="AM30">
        <f>SUM(AM11:AM28)</f>
        <v/>
      </c>
      <c r="AN30">
        <f>SUM(AN11:AN28)</f>
        <v/>
      </c>
      <c r="AO30">
        <f>SUM(AO11:AO28)</f>
        <v/>
      </c>
      <c r="AP30">
        <f>SUM(AP11:AP28)</f>
        <v/>
      </c>
      <c r="AQ30">
        <f>SUM(AQ11:AQ28)</f>
        <v/>
      </c>
      <c r="AR30">
        <f>SUM(AR11:AR28)</f>
        <v/>
      </c>
      <c r="AS30">
        <f>SUM(AS11:AS28)</f>
        <v/>
      </c>
      <c r="AT30">
        <f>SUM(AT11:AT28)</f>
        <v/>
      </c>
      <c r="AU30">
        <f>SUM(AU11:AU28)</f>
        <v/>
      </c>
      <c r="AV30">
        <f>SUM(AV11:AV28)</f>
        <v/>
      </c>
      <c r="AW30">
        <f>SUM(AW11:AW28)</f>
        <v/>
      </c>
      <c r="AX30">
        <f>SUM(AX11:AX28)</f>
        <v/>
      </c>
      <c r="AY30">
        <f>SUM(AY11:AY28)</f>
        <v/>
      </c>
    </row>
    <row r="31" hidden="1" ht="40.15" customHeight="1">
      <c r="F31" s="73">
        <f>IF($A11="","",F11*E11)</f>
        <v/>
      </c>
      <c r="G31" s="73" t="n"/>
      <c r="H31" s="73">
        <f>IF($A11="","",H11*G11)</f>
        <v/>
      </c>
      <c r="I31" s="73" t="n"/>
      <c r="J31" s="73">
        <f>IF($A11="","",J11*I11)</f>
        <v/>
      </c>
      <c r="K31" s="73" t="n"/>
      <c r="L31" s="73">
        <f>IF($A11="","",L11*K11)</f>
        <v/>
      </c>
      <c r="M31" s="73" t="n"/>
      <c r="N31" s="73">
        <f>IF($A11="","",N11*M11)</f>
        <v/>
      </c>
      <c r="O31" s="73" t="n"/>
      <c r="P31" s="73">
        <f>IF($A11="","",P11*O11)</f>
        <v/>
      </c>
      <c r="Q31" s="73" t="n"/>
      <c r="R31" s="73">
        <f>IF($A11="","",R11*Q11)</f>
        <v/>
      </c>
      <c r="S31" s="73" t="n"/>
      <c r="T31" s="73">
        <f>IF($A11="","",T11*S11)</f>
        <v/>
      </c>
      <c r="U31" s="73" t="n"/>
      <c r="V31" s="73">
        <f>IF($A11="","",V11*U11)</f>
        <v/>
      </c>
      <c r="W31" s="73" t="n"/>
      <c r="X31" s="73">
        <f>IF($A11="","",X11*W11)</f>
        <v/>
      </c>
      <c r="Y31" s="73" t="n"/>
      <c r="Z31" s="73">
        <f>IF($A11="","",Z11*Y11)</f>
        <v/>
      </c>
      <c r="AA31" s="73" t="n"/>
      <c r="AB31" s="73">
        <f>IF($A11="","",AB11*AA11)</f>
        <v/>
      </c>
      <c r="AC31" s="73" t="n"/>
      <c r="AD31" s="73">
        <f>IF($A11="","",AD11*AC11)</f>
        <v/>
      </c>
      <c r="AE31" s="73" t="n"/>
      <c r="AF31" s="73">
        <f>IF($A11="","",AF11*AE11)</f>
        <v/>
      </c>
      <c r="AG31" s="73" t="n"/>
      <c r="AH31" s="73">
        <f>IF($A11="","",AH11*AG11)</f>
        <v/>
      </c>
      <c r="AI31" s="73" t="n"/>
      <c r="AJ31" s="73">
        <f>IF($A11="","",AJ11*AI11)</f>
        <v/>
      </c>
      <c r="AK31" s="73" t="n"/>
      <c r="AL31" s="73">
        <f>IF($A11="","",AL11*AK11)</f>
        <v/>
      </c>
    </row>
    <row r="32" hidden="1" ht="40.15" customHeight="1">
      <c r="F32" s="73">
        <f>IF($A12="","",F12*E12)</f>
        <v/>
      </c>
      <c r="G32" s="73" t="n"/>
      <c r="H32" s="73">
        <f>IF($A12="","",H12*G12)</f>
        <v/>
      </c>
      <c r="I32" s="73" t="n"/>
      <c r="J32" s="73">
        <f>IF($A12="","",J12*I12)</f>
        <v/>
      </c>
      <c r="K32" s="73" t="n"/>
      <c r="L32" s="73">
        <f>IF($A12="","",L12*K12)</f>
        <v/>
      </c>
      <c r="M32" s="73" t="n"/>
      <c r="N32" s="73">
        <f>IF($A12="","",N12*M12)</f>
        <v/>
      </c>
      <c r="O32" s="73" t="n"/>
      <c r="P32" s="73">
        <f>IF($A12="","",P12*O12)</f>
        <v/>
      </c>
      <c r="Q32" s="73" t="n"/>
      <c r="R32" s="73">
        <f>IF($A12="","",R12*Q12)</f>
        <v/>
      </c>
      <c r="S32" s="73" t="n"/>
      <c r="T32" s="73">
        <f>IF($A12="","",T12*S12)</f>
        <v/>
      </c>
      <c r="U32" s="73" t="n"/>
      <c r="V32" s="73">
        <f>IF($A12="","",V12*U12)</f>
        <v/>
      </c>
      <c r="W32" s="73" t="n"/>
      <c r="X32" s="73">
        <f>IF($A12="","",X12*W12)</f>
        <v/>
      </c>
      <c r="Y32" s="73" t="n"/>
      <c r="Z32" s="73">
        <f>IF($A12="","",Z12*Y12)</f>
        <v/>
      </c>
      <c r="AA32" s="73" t="n"/>
      <c r="AB32" s="73">
        <f>IF($A12="","",AB12*AA12)</f>
        <v/>
      </c>
      <c r="AC32" s="73" t="n"/>
      <c r="AD32" s="73">
        <f>IF($A12="","",AD12*AC12)</f>
        <v/>
      </c>
      <c r="AE32" s="73" t="n"/>
      <c r="AF32" s="73">
        <f>IF($A12="","",AF12*AE12)</f>
        <v/>
      </c>
      <c r="AG32" s="73" t="n"/>
      <c r="AH32" s="73">
        <f>IF($A12="","",AH12*AG12)</f>
        <v/>
      </c>
      <c r="AI32" s="73" t="n"/>
      <c r="AJ32" s="73">
        <f>IF($A12="","",AJ12*AI12)</f>
        <v/>
      </c>
      <c r="AK32" s="73" t="n"/>
      <c r="AL32" s="73">
        <f>IF($A12="","",AL12*AK12)</f>
        <v/>
      </c>
    </row>
    <row r="33" hidden="1" ht="40.15" customHeight="1">
      <c r="F33" s="73">
        <f>IF($A13="","",F13*E13)</f>
        <v/>
      </c>
      <c r="G33" s="73" t="n"/>
      <c r="H33" s="73">
        <f>IF($A13="","",H13*G13)</f>
        <v/>
      </c>
      <c r="I33" s="73" t="n"/>
      <c r="J33" s="73">
        <f>IF($A13="","",J13*I13)</f>
        <v/>
      </c>
      <c r="K33" s="73" t="n"/>
      <c r="L33" s="73">
        <f>IF($A13="","",L13*K13)</f>
        <v/>
      </c>
      <c r="M33" s="73" t="n"/>
      <c r="N33" s="73">
        <f>IF($A13="","",N13*M13)</f>
        <v/>
      </c>
      <c r="O33" s="73" t="n"/>
      <c r="P33" s="73">
        <f>IF($A13="","",P13*O13)</f>
        <v/>
      </c>
      <c r="Q33" s="73" t="n"/>
      <c r="R33" s="73">
        <f>IF($A13="","",R13*Q13)</f>
        <v/>
      </c>
      <c r="S33" s="73" t="n"/>
      <c r="T33" s="73">
        <f>IF($A13="","",T13*S13)</f>
        <v/>
      </c>
      <c r="U33" s="73" t="n"/>
      <c r="V33" s="73">
        <f>IF($A13="","",V13*U13)</f>
        <v/>
      </c>
      <c r="W33" s="73" t="n"/>
      <c r="X33" s="73">
        <f>IF($A13="","",X13*W13)</f>
        <v/>
      </c>
      <c r="Y33" s="73" t="n"/>
      <c r="Z33" s="73">
        <f>IF($A13="","",Z13*Y13)</f>
        <v/>
      </c>
      <c r="AA33" s="73" t="n"/>
      <c r="AB33" s="73">
        <f>IF($A13="","",AB13*AA13)</f>
        <v/>
      </c>
      <c r="AC33" s="73" t="n"/>
      <c r="AD33" s="73">
        <f>IF($A13="","",AD13*AC13)</f>
        <v/>
      </c>
      <c r="AE33" s="73" t="n"/>
      <c r="AF33" s="73">
        <f>IF($A13="","",AF13*AE13)</f>
        <v/>
      </c>
      <c r="AG33" s="73" t="n"/>
      <c r="AH33" s="73">
        <f>IF($A13="","",AH13*AG13)</f>
        <v/>
      </c>
      <c r="AI33" s="73" t="n"/>
      <c r="AJ33" s="73">
        <f>IF($A13="","",AJ13*AI13)</f>
        <v/>
      </c>
      <c r="AK33" s="73" t="n"/>
      <c r="AL33" s="73">
        <f>IF($A13="","",AL13*AK13)</f>
        <v/>
      </c>
    </row>
    <row r="34" hidden="1" ht="40.15" customHeight="1">
      <c r="F34" s="73">
        <f>IF($A14="","",F14*E14)</f>
        <v/>
      </c>
      <c r="G34" s="73" t="n"/>
      <c r="H34" s="73">
        <f>IF($A14="","",H14*G14)</f>
        <v/>
      </c>
      <c r="I34" s="73" t="n"/>
      <c r="J34" s="73">
        <f>IF($A14="","",J14*I14)</f>
        <v/>
      </c>
      <c r="K34" s="73" t="n"/>
      <c r="L34" s="73">
        <f>IF($A14="","",L14*K14)</f>
        <v/>
      </c>
      <c r="M34" s="73" t="n"/>
      <c r="N34" s="73">
        <f>IF($A14="","",N14*M14)</f>
        <v/>
      </c>
      <c r="O34" s="73" t="n"/>
      <c r="P34" s="73">
        <f>IF($A14="","",P14*O14)</f>
        <v/>
      </c>
      <c r="Q34" s="73" t="n"/>
      <c r="R34" s="73">
        <f>IF($A14="","",R14*Q14)</f>
        <v/>
      </c>
      <c r="S34" s="73" t="n"/>
      <c r="T34" s="73">
        <f>IF($A14="","",T14*S14)</f>
        <v/>
      </c>
      <c r="U34" s="73" t="n"/>
      <c r="V34" s="73">
        <f>IF($A14="","",V14*U14)</f>
        <v/>
      </c>
      <c r="W34" s="73" t="n"/>
      <c r="X34" s="73">
        <f>IF($A14="","",X14*W14)</f>
        <v/>
      </c>
      <c r="Y34" s="73" t="n"/>
      <c r="Z34" s="73">
        <f>IF($A14="","",Z14*Y14)</f>
        <v/>
      </c>
      <c r="AA34" s="73" t="n"/>
      <c r="AB34" s="73">
        <f>IF($A14="","",AB14*AA14)</f>
        <v/>
      </c>
      <c r="AC34" s="73" t="n"/>
      <c r="AD34" s="73">
        <f>IF($A14="","",AD14*AC14)</f>
        <v/>
      </c>
      <c r="AE34" s="73" t="n"/>
      <c r="AF34" s="73">
        <f>IF($A14="","",AF14*AE14)</f>
        <v/>
      </c>
      <c r="AG34" s="73" t="n"/>
      <c r="AH34" s="73">
        <f>IF($A14="","",AH14*AG14)</f>
        <v/>
      </c>
      <c r="AI34" s="73" t="n"/>
      <c r="AJ34" s="73">
        <f>IF($A14="","",AJ14*AI14)</f>
        <v/>
      </c>
      <c r="AK34" s="73" t="n"/>
      <c r="AL34" s="73">
        <f>IF($A14="","",AL14*AK14)</f>
        <v/>
      </c>
    </row>
    <row r="35" hidden="1" ht="40.15" customHeight="1">
      <c r="F35" s="73">
        <f>IF($A15="","",F15*E15)</f>
        <v/>
      </c>
      <c r="G35" s="73" t="n"/>
      <c r="H35" s="73">
        <f>IF($A15="","",H15*G15)</f>
        <v/>
      </c>
      <c r="I35" s="73" t="n"/>
      <c r="J35" s="73">
        <f>IF($A15="","",J15*I15)</f>
        <v/>
      </c>
      <c r="K35" s="73" t="n"/>
      <c r="L35" s="73">
        <f>IF($A15="","",L15*K15)</f>
        <v/>
      </c>
      <c r="M35" s="73" t="n"/>
      <c r="N35" s="73">
        <f>IF($A15="","",N15*M15)</f>
        <v/>
      </c>
      <c r="O35" s="73" t="n"/>
      <c r="P35" s="73">
        <f>IF($A15="","",P15*O15)</f>
        <v/>
      </c>
      <c r="Q35" s="73" t="n"/>
      <c r="R35" s="73">
        <f>IF($A15="","",R15*Q15)</f>
        <v/>
      </c>
      <c r="S35" s="73" t="n"/>
      <c r="T35" s="73">
        <f>IF($A15="","",T15*S15)</f>
        <v/>
      </c>
      <c r="U35" s="73" t="n"/>
      <c r="V35" s="73">
        <f>IF($A15="","",V15*U15)</f>
        <v/>
      </c>
      <c r="W35" s="73" t="n"/>
      <c r="X35" s="73">
        <f>IF($A15="","",X15*W15)</f>
        <v/>
      </c>
      <c r="Y35" s="73" t="n"/>
      <c r="Z35" s="73">
        <f>IF($A15="","",Z15*Y15)</f>
        <v/>
      </c>
      <c r="AA35" s="73" t="n"/>
      <c r="AB35" s="73">
        <f>IF($A15="","",AB15*AA15)</f>
        <v/>
      </c>
      <c r="AC35" s="73" t="n"/>
      <c r="AD35" s="73">
        <f>IF($A15="","",AD15*AC15)</f>
        <v/>
      </c>
      <c r="AE35" s="73" t="n"/>
      <c r="AF35" s="73">
        <f>IF($A15="","",AF15*AE15)</f>
        <v/>
      </c>
      <c r="AG35" s="73" t="n"/>
      <c r="AH35" s="73">
        <f>IF($A15="","",AH15*AG15)</f>
        <v/>
      </c>
      <c r="AI35" s="73" t="n"/>
      <c r="AJ35" s="73">
        <f>IF($A15="","",AJ15*AI15)</f>
        <v/>
      </c>
      <c r="AK35" s="73" t="n"/>
      <c r="AL35" s="73">
        <f>IF($A15="","",AL15*AK15)</f>
        <v/>
      </c>
    </row>
    <row r="36" hidden="1">
      <c r="F36" s="73">
        <f>IF($A16="","",F16*E16)</f>
        <v/>
      </c>
      <c r="G36" s="73" t="n"/>
      <c r="H36" s="73">
        <f>IF($A16="","",H16*G16)</f>
        <v/>
      </c>
      <c r="I36" s="73" t="n"/>
      <c r="J36" s="73">
        <f>IF($A16="","",J16*I16)</f>
        <v/>
      </c>
      <c r="K36" s="73" t="n"/>
      <c r="L36" s="73">
        <f>IF($A16="","",L16*K16)</f>
        <v/>
      </c>
      <c r="M36" s="73" t="n"/>
      <c r="N36" s="73">
        <f>IF($A16="","",N16*M16)</f>
        <v/>
      </c>
      <c r="O36" s="73" t="n"/>
      <c r="P36" s="73">
        <f>IF($A16="","",P16*O16)</f>
        <v/>
      </c>
      <c r="Q36" s="73" t="n"/>
      <c r="R36" s="73">
        <f>IF($A16="","",R16*Q16)</f>
        <v/>
      </c>
      <c r="S36" s="73" t="n"/>
      <c r="T36" s="73">
        <f>IF($A16="","",T16*S16)</f>
        <v/>
      </c>
      <c r="U36" s="73" t="n"/>
      <c r="V36" s="73">
        <f>IF($A16="","",V16*U16)</f>
        <v/>
      </c>
      <c r="W36" s="73" t="n"/>
      <c r="X36" s="73">
        <f>IF($A16="","",X16*W16)</f>
        <v/>
      </c>
      <c r="Y36" s="73" t="n"/>
      <c r="Z36" s="73">
        <f>IF($A16="","",Z16*Y16)</f>
        <v/>
      </c>
      <c r="AA36" s="73" t="n"/>
      <c r="AB36" s="73">
        <f>IF($A16="","",AB16*AA16)</f>
        <v/>
      </c>
      <c r="AC36" s="73" t="n"/>
      <c r="AD36" s="73">
        <f>IF($A16="","",AD16*AC16)</f>
        <v/>
      </c>
      <c r="AE36" s="73" t="n"/>
      <c r="AF36" s="73">
        <f>IF($A16="","",AF16*AE16)</f>
        <v/>
      </c>
      <c r="AG36" s="73" t="n"/>
      <c r="AH36" s="73">
        <f>IF($A16="","",AH16*AG16)</f>
        <v/>
      </c>
      <c r="AI36" s="73" t="n"/>
      <c r="AJ36" s="73">
        <f>IF($A16="","",AJ16*AI16)</f>
        <v/>
      </c>
      <c r="AK36" s="73" t="n"/>
      <c r="AL36" s="73">
        <f>IF($A16="","",AL16*AK16)</f>
        <v/>
      </c>
    </row>
    <row r="37" hidden="1">
      <c r="F37" s="73">
        <f>IF($A17="","",F17*E17)</f>
        <v/>
      </c>
      <c r="G37" s="73" t="n"/>
      <c r="H37" s="73">
        <f>IF($A17="","",H17*G17)</f>
        <v/>
      </c>
      <c r="I37" s="73" t="n"/>
      <c r="J37" s="73">
        <f>IF($A17="","",J17*I17)</f>
        <v/>
      </c>
      <c r="K37" s="73" t="n"/>
      <c r="L37" s="73">
        <f>IF($A17="","",L17*K17)</f>
        <v/>
      </c>
      <c r="M37" s="73" t="n"/>
      <c r="N37" s="73">
        <f>IF($A17="","",N17*M17)</f>
        <v/>
      </c>
      <c r="O37" s="73" t="n"/>
      <c r="P37" s="73">
        <f>IF($A17="","",P17*O17)</f>
        <v/>
      </c>
      <c r="Q37" s="73" t="n"/>
      <c r="R37" s="73">
        <f>IF($A17="","",R17*Q17)</f>
        <v/>
      </c>
      <c r="S37" s="73" t="n"/>
      <c r="T37" s="73">
        <f>IF($A17="","",T17*S17)</f>
        <v/>
      </c>
      <c r="U37" s="73" t="n"/>
      <c r="V37" s="73">
        <f>IF($A17="","",V17*U17)</f>
        <v/>
      </c>
      <c r="W37" s="73" t="n"/>
      <c r="X37" s="73">
        <f>IF($A17="","",X17*W17)</f>
        <v/>
      </c>
      <c r="Y37" s="73" t="n"/>
      <c r="Z37" s="73">
        <f>IF($A17="","",Z17*Y17)</f>
        <v/>
      </c>
      <c r="AA37" s="73" t="n"/>
      <c r="AB37" s="73">
        <f>IF($A17="","",AB17*AA17)</f>
        <v/>
      </c>
      <c r="AC37" s="73" t="n"/>
      <c r="AD37" s="73">
        <f>IF($A17="","",AD17*AC17)</f>
        <v/>
      </c>
      <c r="AE37" s="73" t="n"/>
      <c r="AF37" s="73">
        <f>IF($A17="","",AF17*AE17)</f>
        <v/>
      </c>
      <c r="AG37" s="73" t="n"/>
      <c r="AH37" s="73">
        <f>IF($A17="","",AH17*AG17)</f>
        <v/>
      </c>
      <c r="AI37" s="73" t="n"/>
      <c r="AJ37" s="73">
        <f>IF($A17="","",AJ17*AI17)</f>
        <v/>
      </c>
      <c r="AK37" s="73" t="n"/>
      <c r="AL37" s="73">
        <f>IF($A17="","",AL17*AK17)</f>
        <v/>
      </c>
    </row>
    <row r="38" hidden="1">
      <c r="F38" s="73">
        <f>IF($A18="","",F18*E18)</f>
        <v/>
      </c>
      <c r="G38" s="73" t="n"/>
      <c r="H38" s="73">
        <f>IF($A18="","",H18*G18)</f>
        <v/>
      </c>
      <c r="I38" s="73" t="n"/>
      <c r="J38" s="73">
        <f>IF($A18="","",J18*I18)</f>
        <v/>
      </c>
      <c r="K38" s="73" t="n"/>
      <c r="L38" s="73">
        <f>IF($A18="","",L18*K18)</f>
        <v/>
      </c>
      <c r="M38" s="73" t="n"/>
      <c r="N38" s="73">
        <f>IF($A18="","",N18*M18)</f>
        <v/>
      </c>
      <c r="O38" s="73" t="n"/>
      <c r="P38" s="73">
        <f>IF($A18="","",P18*O18)</f>
        <v/>
      </c>
      <c r="Q38" s="73" t="n"/>
      <c r="R38" s="73">
        <f>IF($A18="","",R18*Q18)</f>
        <v/>
      </c>
      <c r="S38" s="73" t="n"/>
      <c r="T38" s="73">
        <f>IF($A18="","",T18*S18)</f>
        <v/>
      </c>
      <c r="U38" s="73" t="n"/>
      <c r="V38" s="73">
        <f>IF($A18="","",V18*U18)</f>
        <v/>
      </c>
      <c r="W38" s="73" t="n"/>
      <c r="X38" s="73">
        <f>IF($A18="","",X18*W18)</f>
        <v/>
      </c>
      <c r="Y38" s="73" t="n"/>
      <c r="Z38" s="73">
        <f>IF($A18="","",Z18*Y18)</f>
        <v/>
      </c>
      <c r="AA38" s="73" t="n"/>
      <c r="AB38" s="73">
        <f>IF($A18="","",AB18*AA18)</f>
        <v/>
      </c>
      <c r="AC38" s="73" t="n"/>
      <c r="AD38" s="73">
        <f>IF($A18="","",AD18*AC18)</f>
        <v/>
      </c>
      <c r="AE38" s="73" t="n"/>
      <c r="AF38" s="73">
        <f>IF($A18="","",AF18*AE18)</f>
        <v/>
      </c>
      <c r="AG38" s="73" t="n"/>
      <c r="AH38" s="73">
        <f>IF($A18="","",AH18*AG18)</f>
        <v/>
      </c>
      <c r="AI38" s="73" t="n"/>
      <c r="AJ38" s="73">
        <f>IF($A18="","",AJ18*AI18)</f>
        <v/>
      </c>
      <c r="AK38" s="73" t="n"/>
      <c r="AL38" s="73">
        <f>IF($A18="","",AL18*AK18)</f>
        <v/>
      </c>
    </row>
    <row r="39" hidden="1">
      <c r="F39" s="73">
        <f>IF($A19="","",F19*E19)</f>
        <v/>
      </c>
      <c r="G39" s="73" t="n"/>
      <c r="H39" s="73">
        <f>IF($A19="","",H19*G19)</f>
        <v/>
      </c>
      <c r="I39" s="73" t="n"/>
      <c r="J39" s="73">
        <f>IF($A19="","",J19*I19)</f>
        <v/>
      </c>
      <c r="K39" s="73" t="n"/>
      <c r="L39" s="73">
        <f>IF($A19="","",L19*K19)</f>
        <v/>
      </c>
      <c r="M39" s="73" t="n"/>
      <c r="N39" s="73">
        <f>IF($A19="","",N19*M19)</f>
        <v/>
      </c>
      <c r="O39" s="73" t="n"/>
      <c r="P39" s="73">
        <f>IF($A19="","",P19*O19)</f>
        <v/>
      </c>
      <c r="Q39" s="73" t="n"/>
      <c r="R39" s="73">
        <f>IF($A19="","",R19*Q19)</f>
        <v/>
      </c>
      <c r="S39" s="73" t="n"/>
      <c r="T39" s="73">
        <f>IF($A19="","",T19*S19)</f>
        <v/>
      </c>
      <c r="U39" s="73" t="n"/>
      <c r="V39" s="73">
        <f>IF($A19="","",V19*U19)</f>
        <v/>
      </c>
      <c r="W39" s="73" t="n"/>
      <c r="X39" s="73">
        <f>IF($A19="","",X19*W19)</f>
        <v/>
      </c>
      <c r="Y39" s="73" t="n"/>
      <c r="Z39" s="73">
        <f>IF($A19="","",Z19*Y19)</f>
        <v/>
      </c>
      <c r="AA39" s="73" t="n"/>
      <c r="AB39" s="73">
        <f>IF($A19="","",AB19*AA19)</f>
        <v/>
      </c>
      <c r="AC39" s="73" t="n"/>
      <c r="AD39" s="73">
        <f>IF($A19="","",AD19*AC19)</f>
        <v/>
      </c>
      <c r="AE39" s="73" t="n"/>
      <c r="AF39" s="73">
        <f>IF($A19="","",AF19*AE19)</f>
        <v/>
      </c>
      <c r="AG39" s="73" t="n"/>
      <c r="AH39" s="73">
        <f>IF($A19="","",AH19*AG19)</f>
        <v/>
      </c>
      <c r="AI39" s="73" t="n"/>
      <c r="AJ39" s="73">
        <f>IF($A19="","",AJ19*AI19)</f>
        <v/>
      </c>
      <c r="AK39" s="73" t="n"/>
      <c r="AL39" s="73">
        <f>IF($A19="","",AL19*AK19)</f>
        <v/>
      </c>
    </row>
    <row r="40" hidden="1">
      <c r="F40" s="73">
        <f>IF($A20="","",F20*E20)</f>
        <v/>
      </c>
      <c r="G40" s="73" t="n"/>
      <c r="H40" s="73">
        <f>IF($A20="","",H20*G20)</f>
        <v/>
      </c>
      <c r="I40" s="73" t="n"/>
      <c r="J40" s="73">
        <f>IF($A20="","",J20*I20)</f>
        <v/>
      </c>
      <c r="K40" s="73" t="n"/>
      <c r="L40" s="73">
        <f>IF($A20="","",L20*K20)</f>
        <v/>
      </c>
      <c r="M40" s="73" t="n"/>
      <c r="N40" s="73">
        <f>IF($A20="","",N20*M20)</f>
        <v/>
      </c>
      <c r="O40" s="73" t="n"/>
      <c r="P40" s="73">
        <f>IF($A20="","",P20*O20)</f>
        <v/>
      </c>
      <c r="Q40" s="73" t="n"/>
      <c r="R40" s="73">
        <f>IF($A20="","",R20*Q20)</f>
        <v/>
      </c>
      <c r="S40" s="73" t="n"/>
      <c r="T40" s="73">
        <f>IF($A20="","",T20*S20)</f>
        <v/>
      </c>
      <c r="U40" s="73" t="n"/>
      <c r="V40" s="73">
        <f>IF($A20="","",V20*U20)</f>
        <v/>
      </c>
      <c r="W40" s="73" t="n"/>
      <c r="X40" s="73">
        <f>IF($A20="","",X20*W20)</f>
        <v/>
      </c>
      <c r="Y40" s="73" t="n"/>
      <c r="Z40" s="73">
        <f>IF($A20="","",Z20*Y20)</f>
        <v/>
      </c>
      <c r="AA40" s="73" t="n"/>
      <c r="AB40" s="73">
        <f>IF($A20="","",AB20*AA20)</f>
        <v/>
      </c>
      <c r="AC40" s="73" t="n"/>
      <c r="AD40" s="73">
        <f>IF($A20="","",AD20*AC20)</f>
        <v/>
      </c>
      <c r="AE40" s="73" t="n"/>
      <c r="AF40" s="73">
        <f>IF($A20="","",AF20*AE20)</f>
        <v/>
      </c>
      <c r="AG40" s="73" t="n"/>
      <c r="AH40" s="73">
        <f>IF($A20="","",AH20*AG20)</f>
        <v/>
      </c>
      <c r="AI40" s="73" t="n"/>
      <c r="AJ40" s="73">
        <f>IF($A20="","",AJ20*AI20)</f>
        <v/>
      </c>
      <c r="AK40" s="73" t="n"/>
      <c r="AL40" s="73">
        <f>IF($A20="","",AL20*AK20)</f>
        <v/>
      </c>
    </row>
    <row r="41" hidden="1">
      <c r="F41" s="73">
        <f>IF($A21="","",F21*E21)</f>
        <v/>
      </c>
      <c r="G41" s="73" t="n"/>
      <c r="H41" s="73">
        <f>IF($A21="","",H21*G21)</f>
        <v/>
      </c>
      <c r="I41" s="73" t="n"/>
      <c r="J41" s="73">
        <f>IF($A21="","",J21*I21)</f>
        <v/>
      </c>
      <c r="K41" s="73" t="n"/>
      <c r="L41" s="73">
        <f>IF($A21="","",L21*K21)</f>
        <v/>
      </c>
      <c r="M41" s="73" t="n"/>
      <c r="N41" s="73">
        <f>IF($A21="","",N21*M21)</f>
        <v/>
      </c>
      <c r="O41" s="73" t="n"/>
      <c r="P41" s="73">
        <f>IF($A21="","",P21*O21)</f>
        <v/>
      </c>
      <c r="Q41" s="73" t="n"/>
      <c r="R41" s="73">
        <f>IF($A21="","",R21*Q21)</f>
        <v/>
      </c>
      <c r="S41" s="73" t="n"/>
      <c r="T41" s="73">
        <f>IF($A21="","",T21*S21)</f>
        <v/>
      </c>
      <c r="U41" s="73" t="n"/>
      <c r="V41" s="73">
        <f>IF($A21="","",V21*U21)</f>
        <v/>
      </c>
      <c r="W41" s="73" t="n"/>
      <c r="X41" s="73">
        <f>IF($A21="","",X21*W21)</f>
        <v/>
      </c>
      <c r="Y41" s="73" t="n"/>
      <c r="Z41" s="73">
        <f>IF($A21="","",Z21*Y21)</f>
        <v/>
      </c>
      <c r="AA41" s="73" t="n"/>
      <c r="AB41" s="73">
        <f>IF($A21="","",AB21*AA21)</f>
        <v/>
      </c>
      <c r="AC41" s="73" t="n"/>
      <c r="AD41" s="73">
        <f>IF($A21="","",AD21*AC21)</f>
        <v/>
      </c>
      <c r="AE41" s="73" t="n"/>
      <c r="AF41" s="73">
        <f>IF($A21="","",AF21*AE21)</f>
        <v/>
      </c>
      <c r="AG41" s="73" t="n"/>
      <c r="AH41" s="73">
        <f>IF($A21="","",AH21*AG21)</f>
        <v/>
      </c>
      <c r="AI41" s="73" t="n"/>
      <c r="AJ41" s="73">
        <f>IF($A21="","",AJ21*AI21)</f>
        <v/>
      </c>
      <c r="AK41" s="73" t="n"/>
      <c r="AL41" s="73">
        <f>IF($A21="","",AL21*AK21)</f>
        <v/>
      </c>
    </row>
    <row r="42" hidden="1">
      <c r="F42" s="73">
        <f>IF($A22="","",F22*E22)</f>
        <v/>
      </c>
      <c r="G42" s="73" t="n"/>
      <c r="H42" s="73">
        <f>IF($A22="","",H22*G22)</f>
        <v/>
      </c>
      <c r="I42" s="73" t="n"/>
      <c r="J42" s="73">
        <f>IF($A22="","",J22*I22)</f>
        <v/>
      </c>
      <c r="K42" s="73" t="n"/>
      <c r="L42" s="73">
        <f>IF($A22="","",L22*K22)</f>
        <v/>
      </c>
      <c r="M42" s="73" t="n"/>
      <c r="N42" s="73">
        <f>IF($A22="","",N22*M22)</f>
        <v/>
      </c>
      <c r="O42" s="73" t="n"/>
      <c r="P42" s="73">
        <f>IF($A22="","",P22*O22)</f>
        <v/>
      </c>
      <c r="Q42" s="73" t="n"/>
      <c r="R42" s="73">
        <f>IF($A22="","",R22*Q22)</f>
        <v/>
      </c>
      <c r="S42" s="73" t="n"/>
      <c r="T42" s="73">
        <f>IF($A22="","",T22*S22)</f>
        <v/>
      </c>
      <c r="U42" s="73" t="n"/>
      <c r="V42" s="73">
        <f>IF($A22="","",V22*U22)</f>
        <v/>
      </c>
      <c r="W42" s="73" t="n"/>
      <c r="X42" s="73">
        <f>IF($A22="","",X22*W22)</f>
        <v/>
      </c>
      <c r="Y42" s="73" t="n"/>
      <c r="Z42" s="73">
        <f>IF($A22="","",Z22*Y22)</f>
        <v/>
      </c>
      <c r="AA42" s="73" t="n"/>
      <c r="AB42" s="73">
        <f>IF($A22="","",AB22*AA22)</f>
        <v/>
      </c>
      <c r="AC42" s="73" t="n"/>
      <c r="AD42" s="73">
        <f>IF($A22="","",AD22*AC22)</f>
        <v/>
      </c>
      <c r="AE42" s="73" t="n"/>
      <c r="AF42" s="73">
        <f>IF($A22="","",AF22*AE22)</f>
        <v/>
      </c>
      <c r="AG42" s="73" t="n"/>
      <c r="AH42" s="73">
        <f>IF($A22="","",AH22*AG22)</f>
        <v/>
      </c>
      <c r="AI42" s="73" t="n"/>
      <c r="AJ42" s="73">
        <f>IF($A22="","",AJ22*AI22)</f>
        <v/>
      </c>
      <c r="AK42" s="73" t="n"/>
      <c r="AL42" s="73">
        <f>IF($A22="","",AL22*AK22)</f>
        <v/>
      </c>
    </row>
    <row r="43" hidden="1">
      <c r="F43" s="73">
        <f>IF($A23="","",F23*E23)</f>
        <v/>
      </c>
      <c r="G43" s="73" t="n"/>
      <c r="H43" s="73">
        <f>IF($A23="","",H23*G23)</f>
        <v/>
      </c>
      <c r="I43" s="73" t="n"/>
      <c r="J43" s="73">
        <f>IF($A23="","",J23*I23)</f>
        <v/>
      </c>
      <c r="K43" s="73" t="n"/>
      <c r="L43" s="73">
        <f>IF($A23="","",L23*K23)</f>
        <v/>
      </c>
      <c r="M43" s="73" t="n"/>
      <c r="N43" s="73">
        <f>IF($A23="","",N23*M23)</f>
        <v/>
      </c>
      <c r="O43" s="73" t="n"/>
      <c r="P43" s="73">
        <f>IF($A23="","",P23*O23)</f>
        <v/>
      </c>
      <c r="Q43" s="73" t="n"/>
      <c r="R43" s="73">
        <f>IF($A23="","",R23*Q23)</f>
        <v/>
      </c>
      <c r="S43" s="73" t="n"/>
      <c r="T43" s="73">
        <f>IF($A23="","",T23*S23)</f>
        <v/>
      </c>
      <c r="U43" s="73" t="n"/>
      <c r="V43" s="73">
        <f>IF($A23="","",V23*U23)</f>
        <v/>
      </c>
      <c r="W43" s="73" t="n"/>
      <c r="X43" s="73">
        <f>IF($A23="","",X23*W23)</f>
        <v/>
      </c>
      <c r="Y43" s="73" t="n"/>
      <c r="Z43" s="73">
        <f>IF($A23="","",Z23*Y23)</f>
        <v/>
      </c>
      <c r="AA43" s="73" t="n"/>
      <c r="AB43" s="73">
        <f>IF($A23="","",AB23*AA23)</f>
        <v/>
      </c>
      <c r="AC43" s="73" t="n"/>
      <c r="AD43" s="73">
        <f>IF($A23="","",AD23*AC23)</f>
        <v/>
      </c>
      <c r="AE43" s="73" t="n"/>
      <c r="AF43" s="73">
        <f>IF($A23="","",AF23*AE23)</f>
        <v/>
      </c>
      <c r="AG43" s="73" t="n"/>
      <c r="AH43" s="73">
        <f>IF($A23="","",AH23*AG23)</f>
        <v/>
      </c>
      <c r="AI43" s="73" t="n"/>
      <c r="AJ43" s="73">
        <f>IF($A23="","",AJ23*AI23)</f>
        <v/>
      </c>
      <c r="AK43" s="73" t="n"/>
      <c r="AL43" s="73">
        <f>IF($A23="","",AL23*AK23)</f>
        <v/>
      </c>
    </row>
    <row r="44" hidden="1">
      <c r="F44" s="73">
        <f>IF($A24="","",F24*E24)</f>
        <v/>
      </c>
      <c r="G44" s="73" t="n"/>
      <c r="H44" s="73">
        <f>IF($A24="","",H24*G24)</f>
        <v/>
      </c>
      <c r="I44" s="73" t="n"/>
      <c r="J44" s="73">
        <f>IF($A24="","",J24*I24)</f>
        <v/>
      </c>
      <c r="K44" s="73" t="n"/>
      <c r="L44" s="73">
        <f>IF($A24="","",L24*K24)</f>
        <v/>
      </c>
      <c r="M44" s="73" t="n"/>
      <c r="N44" s="73">
        <f>IF($A24="","",N24*M24)</f>
        <v/>
      </c>
      <c r="O44" s="73" t="n"/>
      <c r="P44" s="73">
        <f>IF($A24="","",P24*O24)</f>
        <v/>
      </c>
      <c r="Q44" s="73" t="n"/>
      <c r="R44" s="73">
        <f>IF($A24="","",R24*Q24)</f>
        <v/>
      </c>
      <c r="S44" s="73" t="n"/>
      <c r="T44" s="73">
        <f>IF($A24="","",T24*S24)</f>
        <v/>
      </c>
      <c r="U44" s="73" t="n"/>
      <c r="V44" s="73">
        <f>IF($A24="","",V24*U24)</f>
        <v/>
      </c>
      <c r="W44" s="73" t="n"/>
      <c r="X44" s="73">
        <f>IF($A24="","",X24*W24)</f>
        <v/>
      </c>
      <c r="Y44" s="73" t="n"/>
      <c r="Z44" s="73">
        <f>IF($A24="","",Z24*Y24)</f>
        <v/>
      </c>
      <c r="AA44" s="73" t="n"/>
      <c r="AB44" s="73">
        <f>IF($A24="","",AB24*AA24)</f>
        <v/>
      </c>
      <c r="AC44" s="73" t="n"/>
      <c r="AD44" s="73">
        <f>IF($A24="","",AD24*AC24)</f>
        <v/>
      </c>
      <c r="AE44" s="73" t="n"/>
      <c r="AF44" s="73">
        <f>IF($A24="","",AF24*AE24)</f>
        <v/>
      </c>
      <c r="AG44" s="73" t="n"/>
      <c r="AH44" s="73">
        <f>IF($A24="","",AH24*AG24)</f>
        <v/>
      </c>
      <c r="AI44" s="73" t="n"/>
      <c r="AJ44" s="73">
        <f>IF($A24="","",AJ24*AI24)</f>
        <v/>
      </c>
      <c r="AK44" s="73" t="n"/>
      <c r="AL44" s="73">
        <f>IF($A24="","",AL24*AK24)</f>
        <v/>
      </c>
    </row>
    <row r="45" hidden="1">
      <c r="F45" s="73">
        <f>IF($A25="","",F25*E25)</f>
        <v/>
      </c>
      <c r="G45" s="73" t="n"/>
      <c r="H45" s="73">
        <f>IF($A25="","",H25*G25)</f>
        <v/>
      </c>
      <c r="I45" s="73" t="n"/>
      <c r="J45" s="73">
        <f>IF($A25="","",J25*I25)</f>
        <v/>
      </c>
      <c r="K45" s="73" t="n"/>
      <c r="L45" s="73">
        <f>IF($A25="","",L25*K25)</f>
        <v/>
      </c>
      <c r="M45" s="73" t="n"/>
      <c r="N45" s="73">
        <f>IF($A25="","",N25*M25)</f>
        <v/>
      </c>
      <c r="O45" s="73" t="n"/>
      <c r="P45" s="73">
        <f>IF($A25="","",P25*O25)</f>
        <v/>
      </c>
      <c r="Q45" s="73" t="n"/>
      <c r="R45" s="73">
        <f>IF($A25="","",R25*Q25)</f>
        <v/>
      </c>
      <c r="S45" s="73" t="n"/>
      <c r="T45" s="73">
        <f>IF($A25="","",T25*S25)</f>
        <v/>
      </c>
      <c r="U45" s="73" t="n"/>
      <c r="V45" s="73">
        <f>IF($A25="","",V25*U25)</f>
        <v/>
      </c>
      <c r="W45" s="73" t="n"/>
      <c r="X45" s="73">
        <f>IF($A25="","",X25*W25)</f>
        <v/>
      </c>
      <c r="Y45" s="73" t="n"/>
      <c r="Z45" s="73">
        <f>IF($A25="","",Z25*Y25)</f>
        <v/>
      </c>
      <c r="AA45" s="73" t="n"/>
      <c r="AB45" s="73">
        <f>IF($A25="","",AB25*AA25)</f>
        <v/>
      </c>
      <c r="AC45" s="73" t="n"/>
      <c r="AD45" s="73">
        <f>IF($A25="","",AD25*AC25)</f>
        <v/>
      </c>
      <c r="AE45" s="73" t="n"/>
      <c r="AF45" s="73">
        <f>IF($A25="","",AF25*AE25)</f>
        <v/>
      </c>
      <c r="AG45" s="73" t="n"/>
      <c r="AH45" s="73">
        <f>IF($A25="","",AH25*AG25)</f>
        <v/>
      </c>
      <c r="AI45" s="73" t="n"/>
      <c r="AJ45" s="73">
        <f>IF($A25="","",AJ25*AI25)</f>
        <v/>
      </c>
      <c r="AK45" s="73" t="n"/>
      <c r="AL45" s="73">
        <f>IF($A25="","",AL25*AK25)</f>
        <v/>
      </c>
    </row>
    <row r="46" hidden="1">
      <c r="F46" s="73">
        <f>IF($A26="","",F26*E26)</f>
        <v/>
      </c>
      <c r="G46" s="73" t="n"/>
      <c r="H46" s="73">
        <f>IF($A26="","",H26*G26)</f>
        <v/>
      </c>
      <c r="I46" s="73" t="n"/>
      <c r="J46" s="73">
        <f>IF($A26="","",J26*I26)</f>
        <v/>
      </c>
      <c r="K46" s="73" t="n"/>
      <c r="L46" s="73">
        <f>IF($A26="","",L26*K26)</f>
        <v/>
      </c>
      <c r="M46" s="73" t="n"/>
      <c r="N46" s="73">
        <f>IF($A26="","",N26*M26)</f>
        <v/>
      </c>
      <c r="O46" s="73" t="n"/>
      <c r="P46" s="73">
        <f>IF($A26="","",P26*O26)</f>
        <v/>
      </c>
      <c r="Q46" s="73" t="n"/>
      <c r="R46" s="73">
        <f>IF($A26="","",R26*Q26)</f>
        <v/>
      </c>
      <c r="S46" s="73" t="n"/>
      <c r="T46" s="73">
        <f>IF($A26="","",T26*S26)</f>
        <v/>
      </c>
      <c r="U46" s="73" t="n"/>
      <c r="V46" s="73">
        <f>IF($A26="","",V26*U26)</f>
        <v/>
      </c>
      <c r="W46" s="73" t="n"/>
      <c r="X46" s="73">
        <f>IF($A26="","",X26*W26)</f>
        <v/>
      </c>
      <c r="Y46" s="73" t="n"/>
      <c r="Z46" s="73">
        <f>IF($A26="","",Z26*Y26)</f>
        <v/>
      </c>
      <c r="AA46" s="73" t="n"/>
      <c r="AB46" s="73">
        <f>IF($A26="","",AB26*AA26)</f>
        <v/>
      </c>
      <c r="AC46" s="73" t="n"/>
      <c r="AD46" s="73">
        <f>IF($A26="","",AD26*AC26)</f>
        <v/>
      </c>
      <c r="AE46" s="73" t="n"/>
      <c r="AF46" s="73">
        <f>IF($A26="","",AF26*AE26)</f>
        <v/>
      </c>
      <c r="AG46" s="73" t="n"/>
      <c r="AH46" s="73">
        <f>IF($A26="","",AH26*AG26)</f>
        <v/>
      </c>
      <c r="AI46" s="73" t="n"/>
      <c r="AJ46" s="73">
        <f>IF($A26="","",AJ26*AI26)</f>
        <v/>
      </c>
      <c r="AK46" s="73" t="n"/>
      <c r="AL46" s="73">
        <f>IF($A26="","",AL26*AK26)</f>
        <v/>
      </c>
    </row>
    <row r="47" hidden="1">
      <c r="F47" s="73">
        <f>IF($A27="","",F27*E27)</f>
        <v/>
      </c>
      <c r="G47" s="73" t="n"/>
      <c r="H47" s="73">
        <f>IF($A27="","",H27*G27)</f>
        <v/>
      </c>
      <c r="I47" s="73" t="n"/>
      <c r="J47" s="73">
        <f>IF($A27="","",J27*I27)</f>
        <v/>
      </c>
      <c r="K47" s="73" t="n"/>
      <c r="L47" s="73">
        <f>IF($A27="","",L27*K27)</f>
        <v/>
      </c>
      <c r="M47" s="73" t="n"/>
      <c r="N47" s="73">
        <f>IF($A27="","",N27*M27)</f>
        <v/>
      </c>
      <c r="O47" s="73" t="n"/>
      <c r="P47" s="73">
        <f>IF($A27="","",P27*O27)</f>
        <v/>
      </c>
      <c r="Q47" s="73" t="n"/>
      <c r="R47" s="73">
        <f>IF($A27="","",R27*Q27)</f>
        <v/>
      </c>
      <c r="S47" s="73" t="n"/>
      <c r="T47" s="73">
        <f>IF($A27="","",T27*S27)</f>
        <v/>
      </c>
      <c r="U47" s="73" t="n"/>
      <c r="V47" s="73">
        <f>IF($A27="","",V27*U27)</f>
        <v/>
      </c>
      <c r="W47" s="73" t="n"/>
      <c r="X47" s="73">
        <f>IF($A27="","",X27*W27)</f>
        <v/>
      </c>
      <c r="Y47" s="73" t="n"/>
      <c r="Z47" s="73">
        <f>IF($A27="","",Z27*Y27)</f>
        <v/>
      </c>
      <c r="AA47" s="73" t="n"/>
      <c r="AB47" s="73">
        <f>IF($A27="","",AB27*AA27)</f>
        <v/>
      </c>
      <c r="AC47" s="73" t="n"/>
      <c r="AD47" s="73">
        <f>IF($A27="","",AD27*AC27)</f>
        <v/>
      </c>
      <c r="AE47" s="73" t="n"/>
      <c r="AF47" s="73">
        <f>IF($A27="","",AF27*AE27)</f>
        <v/>
      </c>
      <c r="AG47" s="73" t="n"/>
      <c r="AH47" s="73">
        <f>IF($A27="","",AH27*AG27)</f>
        <v/>
      </c>
      <c r="AI47" s="73" t="n"/>
      <c r="AJ47" s="73">
        <f>IF($A27="","",AJ27*AI27)</f>
        <v/>
      </c>
      <c r="AK47" s="73" t="n"/>
      <c r="AL47" s="73">
        <f>IF($A27="","",AL27*AK27)</f>
        <v/>
      </c>
    </row>
    <row r="48" hidden="1">
      <c r="F48" s="73">
        <f>IF($A28="","",F28*E28)</f>
        <v/>
      </c>
      <c r="G48" s="73" t="n"/>
      <c r="H48" s="73">
        <f>IF($A28="","",H28*G28)</f>
        <v/>
      </c>
      <c r="I48" s="73" t="n"/>
      <c r="J48" s="73">
        <f>IF($A28="","",J28*I28)</f>
        <v/>
      </c>
      <c r="K48" s="73" t="n"/>
      <c r="L48" s="73">
        <f>IF($A28="","",L28*K28)</f>
        <v/>
      </c>
      <c r="M48" s="73" t="n"/>
      <c r="N48" s="73">
        <f>IF($A28="","",N28*M28)</f>
        <v/>
      </c>
      <c r="O48" s="73" t="n"/>
      <c r="P48" s="73">
        <f>IF($A28="","",P28*O28)</f>
        <v/>
      </c>
      <c r="Q48" s="73" t="n"/>
      <c r="R48" s="73">
        <f>IF($A28="","",R28*Q28)</f>
        <v/>
      </c>
      <c r="S48" s="73" t="n"/>
      <c r="T48" s="73">
        <f>IF($A28="","",T28*S28)</f>
        <v/>
      </c>
      <c r="U48" s="73" t="n"/>
      <c r="V48" s="73">
        <f>IF($A28="","",V28*U28)</f>
        <v/>
      </c>
      <c r="W48" s="73" t="n"/>
      <c r="X48" s="73">
        <f>IF($A28="","",X28*W28)</f>
        <v/>
      </c>
      <c r="Y48" s="73" t="n"/>
      <c r="Z48" s="73">
        <f>IF($A28="","",Z28*Y28)</f>
        <v/>
      </c>
      <c r="AA48" s="73" t="n"/>
      <c r="AB48" s="73">
        <f>IF($A28="","",AB28*AA28)</f>
        <v/>
      </c>
      <c r="AC48" s="73" t="n"/>
      <c r="AD48" s="73">
        <f>IF($A28="","",AD28*AC28)</f>
        <v/>
      </c>
      <c r="AE48" s="73" t="n"/>
      <c r="AF48" s="73">
        <f>IF($A28="","",AF28*AE28)</f>
        <v/>
      </c>
      <c r="AG48" s="73" t="n"/>
      <c r="AH48" s="73">
        <f>IF($A28="","",AH28*AG28)</f>
        <v/>
      </c>
      <c r="AI48" s="73" t="n"/>
      <c r="AJ48" s="73">
        <f>IF($A28="","",AJ28*AI28)</f>
        <v/>
      </c>
      <c r="AK48" s="73" t="n"/>
      <c r="AL48" s="73">
        <f>IF($A28="","",AL28*AK28)</f>
        <v/>
      </c>
    </row>
    <row r="49" hidden="1">
      <c r="F49" s="74">
        <f>SUMIF(F31:F48,"&gt;0")</f>
        <v/>
      </c>
      <c r="H49" s="74">
        <f>SUMIF(H31:H48,"&gt;0")</f>
        <v/>
      </c>
      <c r="I49" s="74" t="n"/>
      <c r="J49" s="74">
        <f>SUMIF(J31:J48,"&gt;0")</f>
        <v/>
      </c>
      <c r="K49" s="74" t="n"/>
      <c r="L49" s="74">
        <f>SUMIF(L31:L48,"&gt;0")</f>
        <v/>
      </c>
      <c r="M49" s="74" t="n"/>
      <c r="N49" s="74">
        <f>SUMIF(N31:N48,"&gt;0")</f>
        <v/>
      </c>
      <c r="O49" s="74" t="n"/>
      <c r="P49" s="74">
        <f>SUMIF(P31:P48,"&gt;0")</f>
        <v/>
      </c>
      <c r="R49" s="74">
        <f>SUMIF(R31:R48,"&gt;0")</f>
        <v/>
      </c>
      <c r="S49" s="74" t="n"/>
      <c r="T49" s="74">
        <f>SUMIF(T31:T48,"&gt;0")</f>
        <v/>
      </c>
      <c r="U49" s="74" t="n"/>
      <c r="V49" s="74">
        <f>SUMIF(V31:V48,"&gt;0")</f>
        <v/>
      </c>
      <c r="W49" s="74" t="n"/>
      <c r="X49" s="74">
        <f>SUMIF(X31:X48,"&gt;0")</f>
        <v/>
      </c>
      <c r="Y49" s="74" t="n"/>
      <c r="Z49" s="74">
        <f>SUMIF(Z31:Z48,"&gt;0")</f>
        <v/>
      </c>
      <c r="AA49" s="74" t="n"/>
      <c r="AB49" s="74">
        <f>SUMIF(AB31:AB48,"&gt;0")</f>
        <v/>
      </c>
      <c r="AD49" s="74">
        <f>SUMIF(AD31:AD48,"&gt;0")</f>
        <v/>
      </c>
      <c r="AE49" s="74" t="n"/>
      <c r="AF49" s="74">
        <f>SUMIF(AF31:AF48,"&gt;0")</f>
        <v/>
      </c>
      <c r="AG49" s="74" t="n"/>
      <c r="AH49" s="74">
        <f>SUMIF(AH31:AH48,"&gt;0")</f>
        <v/>
      </c>
      <c r="AI49" s="74" t="n"/>
      <c r="AJ49" s="74">
        <f>SUMIF(AJ31:AJ48,"&gt;0")</f>
        <v/>
      </c>
      <c r="AK49" s="74" t="n"/>
      <c r="AL49" s="74">
        <f>SUMIF(AL31:AL48,"&gt;0")</f>
        <v/>
      </c>
    </row>
    <row r="52">
      <c r="A52" s="75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</row>
    <row r="53">
      <c r="A53" s="77" t="inlineStr">
        <is>
          <t>#</t>
        </is>
      </c>
      <c r="B53" s="77" t="inlineStr">
        <is>
          <t>โปรไฟล์</t>
        </is>
      </c>
      <c r="C53" s="77" t="inlineStr">
        <is>
          <t>รหัส</t>
        </is>
      </c>
      <c r="D53" s="77" t="inlineStr">
        <is>
          <t>สูตรตัด (เดิม)</t>
        </is>
      </c>
      <c r="E53" s="77" t="inlineStr">
        <is>
          <t>หัก1</t>
        </is>
      </c>
      <c r="F53" s="77" t="inlineStr">
        <is>
          <t>หัก2</t>
        </is>
      </c>
      <c r="G53" s="77" t="inlineStr">
        <is>
          <t>หัก3</t>
        </is>
      </c>
      <c r="H53" s="77" t="inlineStr">
        <is>
          <t>หัก4</t>
        </is>
      </c>
      <c r="I53" s="77" t="inlineStr">
        <is>
          <t>หัก5</t>
        </is>
      </c>
      <c r="J53" s="77" t="inlineStr">
        <is>
          <t>หัก6</t>
        </is>
      </c>
      <c r="K53" s="77" t="inlineStr">
        <is>
          <t>หัก7</t>
        </is>
      </c>
      <c r="L53" s="77" t="inlineStr">
        <is>
          <t>จำนวน/ชุด</t>
        </is>
      </c>
      <c r="M53" s="122" t="n"/>
    </row>
    <row r="54" ht="44" customHeight="1">
      <c r="A54" s="78" t="n">
        <v>1</v>
      </c>
      <c r="B54" s="79" t="inlineStr">
        <is>
          <t>เฟรมข้าง</t>
        </is>
      </c>
      <c r="C54" s="80" t="inlineStr">
        <is>
          <t>F7978</t>
        </is>
      </c>
      <c r="D54" s="81" t="inlineStr">
        <is>
          <t>สูง</t>
        </is>
      </c>
      <c r="E54" s="82" t="n"/>
      <c r="F54" s="82" t="n"/>
      <c r="G54" s="82" t="n"/>
      <c r="H54" s="82" t="n"/>
      <c r="I54" s="82" t="n"/>
      <c r="J54" s="82" t="n"/>
      <c r="K54" s="82" t="n"/>
      <c r="L54" s="83" t="n">
        <v>2</v>
      </c>
      <c r="M54" s="82" t="n"/>
    </row>
    <row r="55" ht="44" customHeight="1">
      <c r="A55" s="78" t="n">
        <v>2</v>
      </c>
      <c r="B55" s="79" t="inlineStr">
        <is>
          <t>เฟรม บน</t>
        </is>
      </c>
      <c r="C55" s="80" t="inlineStr">
        <is>
          <t>F7976</t>
        </is>
      </c>
      <c r="D55" s="81" t="inlineStr">
        <is>
          <t>กว้าง-21-21</t>
        </is>
      </c>
      <c r="E55" s="83" t="n">
        <v>21</v>
      </c>
      <c r="F55" s="83" t="n">
        <v>21</v>
      </c>
      <c r="G55" s="82" t="n"/>
      <c r="H55" s="82" t="n"/>
      <c r="I55" s="82" t="n"/>
      <c r="J55" s="82" t="n"/>
      <c r="K55" s="82" t="n"/>
      <c r="L55" s="83" t="n">
        <v>1</v>
      </c>
      <c r="M55" s="82" t="n"/>
    </row>
    <row r="56" ht="44" customHeight="1">
      <c r="A56" s="78" t="n">
        <v>3</v>
      </c>
      <c r="B56" s="79" t="inlineStr">
        <is>
          <t>เฟรม-ล่าง</t>
        </is>
      </c>
      <c r="C56" s="80" t="inlineStr">
        <is>
          <t>F7902</t>
        </is>
      </c>
      <c r="D56" s="81" t="inlineStr">
        <is>
          <t>กว้าง-21-21</t>
        </is>
      </c>
      <c r="E56" s="83" t="n">
        <v>21</v>
      </c>
      <c r="F56" s="83" t="n">
        <v>21</v>
      </c>
      <c r="G56" s="82" t="n"/>
      <c r="H56" s="82" t="n"/>
      <c r="I56" s="82" t="n"/>
      <c r="J56" s="82" t="n"/>
      <c r="K56" s="82" t="n"/>
      <c r="L56" s="83" t="n">
        <v>1</v>
      </c>
      <c r="M56" s="82" t="n"/>
    </row>
    <row r="57" ht="44" customHeight="1">
      <c r="A57" s="78" t="n">
        <v>4</v>
      </c>
      <c r="B57" s="79" t="inlineStr">
        <is>
          <t>ตบกันสาด</t>
        </is>
      </c>
      <c r="C57" s="80" t="inlineStr">
        <is>
          <t>F7992</t>
        </is>
      </c>
      <c r="D57" s="81" t="inlineStr">
        <is>
          <t>กว้าง</t>
        </is>
      </c>
      <c r="E57" s="82" t="n"/>
      <c r="F57" s="82" t="n"/>
      <c r="G57" s="82" t="n"/>
      <c r="H57" s="82" t="n"/>
      <c r="I57" s="82" t="n"/>
      <c r="J57" s="82" t="n"/>
      <c r="K57" s="82" t="n"/>
      <c r="L57" s="83" t="n">
        <v>1</v>
      </c>
      <c r="M57" s="82" t="n"/>
    </row>
    <row r="58" ht="44" customHeight="1">
      <c r="A58" s="78" t="n">
        <v>5</v>
      </c>
      <c r="B58" s="79" t="inlineStr">
        <is>
          <t>เสา</t>
        </is>
      </c>
      <c r="C58" s="80" t="inlineStr">
        <is>
          <t>F7980</t>
        </is>
      </c>
      <c r="D58" s="81" t="inlineStr">
        <is>
          <t>สูง-14-13-21</t>
        </is>
      </c>
      <c r="E58" s="83" t="n">
        <v>14</v>
      </c>
      <c r="F58" s="83" t="n">
        <v>13</v>
      </c>
      <c r="G58" s="83" t="n">
        <v>21</v>
      </c>
      <c r="H58" s="82" t="n"/>
      <c r="I58" s="82" t="n"/>
      <c r="J58" s="82" t="n"/>
      <c r="K58" s="82" t="n"/>
      <c r="L58" s="83" t="n">
        <v>6</v>
      </c>
      <c r="M58" s="82" t="n"/>
    </row>
    <row r="59" ht="15" customHeight="1">
      <c r="A59" s="78" t="n">
        <v>6</v>
      </c>
      <c r="B59" s="79" t="inlineStr">
        <is>
          <t>ขวาง</t>
        </is>
      </c>
      <c r="C59" s="80" t="inlineStr">
        <is>
          <t>-</t>
        </is>
      </c>
      <c r="D59" s="81" t="inlineStr">
        <is>
          <t>((กว้าง-21-3-3--1.221)/2)+(78x1/2)</t>
        </is>
      </c>
      <c r="E59" s="83" t="n">
        <v>21</v>
      </c>
      <c r="F59" s="83" t="n">
        <v>3</v>
      </c>
      <c r="G59" s="83" t="n">
        <v>3</v>
      </c>
      <c r="H59" s="83" t="n">
        <v>1.2</v>
      </c>
      <c r="I59" s="83" t="n">
        <v>21</v>
      </c>
      <c r="J59" s="82" t="n"/>
      <c r="K59" s="82" t="n"/>
      <c r="L59" s="83" t="n">
        <v>6</v>
      </c>
      <c r="M59" s="82" t="n"/>
    </row>
    <row r="60" ht="44" customHeight="1">
      <c r="A60" s="78" t="n">
        <v>7</v>
      </c>
      <c r="B60" s="79" t="inlineStr">
        <is>
          <t>คิ้ว ตั้ง</t>
        </is>
      </c>
      <c r="C60" s="80" t="inlineStr">
        <is>
          <t>F7919</t>
        </is>
      </c>
      <c r="D60" s="81" t="inlineStr">
        <is>
          <t>เสา-78-78</t>
        </is>
      </c>
      <c r="E60" s="83" t="n">
        <v>78</v>
      </c>
      <c r="F60" s="83" t="n">
        <v>78</v>
      </c>
      <c r="G60" s="82" t="n"/>
      <c r="H60" s="82" t="n"/>
      <c r="I60" s="82" t="n"/>
      <c r="J60" s="82" t="n"/>
      <c r="K60" s="82" t="n"/>
      <c r="L60" s="83" t="n">
        <v>6</v>
      </c>
      <c r="M60" s="82" t="n"/>
    </row>
    <row r="61" ht="15" customHeight="1">
      <c r="A61" s="78" t="n">
        <v>8</v>
      </c>
      <c r="B61" s="79" t="inlineStr">
        <is>
          <t>คิ้ว ขวาง</t>
        </is>
      </c>
      <c r="C61" s="80" t="inlineStr">
        <is>
          <t>-</t>
        </is>
      </c>
      <c r="D61" s="81" t="inlineStr">
        <is>
          <t>ขวาง-63-63</t>
        </is>
      </c>
      <c r="E61" s="83" t="n">
        <v>63</v>
      </c>
      <c r="F61" s="83" t="n">
        <v>63</v>
      </c>
      <c r="G61" s="82" t="n"/>
      <c r="H61" s="82" t="n"/>
      <c r="I61" s="82" t="n"/>
      <c r="J61" s="82" t="n"/>
      <c r="K61" s="82" t="n"/>
      <c r="L61" s="83" t="n">
        <v>6</v>
      </c>
      <c r="M61" s="82" t="n"/>
    </row>
    <row r="62" ht="44" customHeight="1">
      <c r="A62" s="78" t="n">
        <v>9</v>
      </c>
      <c r="B62" s="79" t="inlineStr">
        <is>
          <t>ตบเกี่ยว</t>
        </is>
      </c>
      <c r="C62" s="80" t="inlineStr">
        <is>
          <t>F7983</t>
        </is>
      </c>
      <c r="D62" s="81" t="inlineStr">
        <is>
          <t>สูงกรอบบาน</t>
        </is>
      </c>
      <c r="E62" s="82" t="n"/>
      <c r="F62" s="82" t="n"/>
      <c r="G62" s="82" t="n"/>
      <c r="H62" s="82" t="n"/>
      <c r="I62" s="82" t="n"/>
      <c r="J62" s="82" t="n"/>
      <c r="K62" s="82" t="n"/>
      <c r="L62" s="83" t="n">
        <v>2</v>
      </c>
      <c r="M62" s="82" t="n"/>
    </row>
    <row r="63" ht="44" customHeight="1">
      <c r="A63" s="78" t="n">
        <v>10</v>
      </c>
      <c r="B63" s="79" t="inlineStr">
        <is>
          <t>ต่อราง</t>
        </is>
      </c>
      <c r="C63" s="80" t="inlineStr">
        <is>
          <t>F7985</t>
        </is>
      </c>
      <c r="D63" s="81" t="inlineStr">
        <is>
          <t>สูง-45-45</t>
        </is>
      </c>
      <c r="E63" s="82" t="n"/>
      <c r="F63" s="82" t="n"/>
      <c r="G63" s="82" t="n"/>
      <c r="H63" s="82" t="n"/>
      <c r="I63" s="82" t="n"/>
      <c r="J63" s="82" t="n"/>
      <c r="K63" s="82" t="n"/>
      <c r="L63" s="83" t="n">
        <v>1</v>
      </c>
      <c r="M63" s="82" t="n"/>
    </row>
    <row r="64" ht="44" customHeight="1">
      <c r="A64" s="78" t="n">
        <v>11</v>
      </c>
      <c r="B64" s="79" t="inlineStr">
        <is>
          <t>ซอยกลาง</t>
        </is>
      </c>
      <c r="C64" s="80" t="inlineStr">
        <is>
          <t>F7966</t>
        </is>
      </c>
      <c r="D64" s="81" t="inlineStr">
        <is>
          <t>สูงS-63-63</t>
        </is>
      </c>
      <c r="E64" s="83" t="n">
        <v>63</v>
      </c>
      <c r="F64" s="83" t="n">
        <v>63</v>
      </c>
      <c r="G64" s="82" t="n"/>
      <c r="H64" s="82" t="n"/>
      <c r="I64" s="82" t="n"/>
      <c r="J64" s="82" t="n"/>
      <c r="K64" s="82" t="n"/>
      <c r="L64" s="83" t="n">
        <v>1</v>
      </c>
      <c r="M64" s="82" t="n"/>
    </row>
    <row r="65" ht="44" customHeight="1">
      <c r="A65" s="78" t="n">
        <v>12</v>
      </c>
      <c r="B65" s="79" t="inlineStr">
        <is>
          <t>ยูข้าง</t>
        </is>
      </c>
      <c r="C65" s="80" t="inlineStr">
        <is>
          <t>F7986</t>
        </is>
      </c>
      <c r="D65" s="81" t="inlineStr">
        <is>
          <t>สูง-45-45</t>
        </is>
      </c>
      <c r="E65" s="83" t="n">
        <v>45</v>
      </c>
      <c r="F65" s="83" t="n">
        <v>45</v>
      </c>
      <c r="G65" s="82" t="n"/>
      <c r="H65" s="82" t="n"/>
      <c r="I65" s="82" t="n"/>
      <c r="J65" s="82" t="n"/>
      <c r="K65" s="82" t="n"/>
      <c r="L65" s="83" t="n">
        <v>3</v>
      </c>
      <c r="M65" s="82" t="n"/>
    </row>
    <row r="66" ht="44" customHeight="1">
      <c r="A66" s="78" t="n">
        <v>13</v>
      </c>
      <c r="B66" s="79" t="inlineStr">
        <is>
          <t>ตบเฟรมบน</t>
        </is>
      </c>
      <c r="C66" s="80" t="inlineStr">
        <is>
          <t>F7993</t>
        </is>
      </c>
      <c r="D66" s="81" t="inlineStr">
        <is>
          <t>เท่าเฟรมบน</t>
        </is>
      </c>
      <c r="E66" s="83" t="n">
        <v>21</v>
      </c>
      <c r="F66" s="83" t="n">
        <v>21</v>
      </c>
      <c r="G66" s="82" t="n"/>
      <c r="H66" s="82" t="n"/>
      <c r="I66" s="82" t="n"/>
      <c r="J66" s="82" t="n"/>
      <c r="K66" s="82" t="n"/>
      <c r="L66" s="83" t="n">
        <v>3</v>
      </c>
      <c r="M66" s="82" t="n"/>
    </row>
    <row r="67" ht="44" customHeight="1">
      <c r="A67" s="78" t="n">
        <v>14</v>
      </c>
      <c r="B67" s="79" t="inlineStr">
        <is>
          <t>ตบยูข้าง</t>
        </is>
      </c>
      <c r="C67" s="80" t="inlineStr">
        <is>
          <t>F7988</t>
        </is>
      </c>
      <c r="D67" s="81" t="inlineStr">
        <is>
          <t>สูง-45-45</t>
        </is>
      </c>
      <c r="E67" s="83" t="n">
        <v>45</v>
      </c>
      <c r="F67" s="83" t="n">
        <v>45</v>
      </c>
      <c r="G67" s="82" t="n"/>
      <c r="H67" s="82" t="n"/>
      <c r="I67" s="82" t="n"/>
      <c r="J67" s="82" t="n"/>
      <c r="K67" s="82" t="n"/>
      <c r="L67" s="83" t="n">
        <v>3</v>
      </c>
      <c r="M67" s="82" t="n"/>
    </row>
    <row r="68" ht="15" customHeight="1">
      <c r="A68" s="78" t="n">
        <v>15</v>
      </c>
      <c r="B68" s="79" t="inlineStr">
        <is>
          <t>ปิดตบเกี่ยว</t>
        </is>
      </c>
      <c r="C68" s="80" t="inlineStr">
        <is>
          <t>-</t>
        </is>
      </c>
      <c r="D68" s="81" t="inlineStr">
        <is>
          <t>สูงกรอบบาน</t>
        </is>
      </c>
      <c r="E68" s="82" t="n"/>
      <c r="F68" s="82" t="n"/>
      <c r="G68" s="82" t="n"/>
      <c r="H68" s="82" t="n"/>
      <c r="I68" s="82" t="n"/>
      <c r="J68" s="82" t="n"/>
      <c r="K68" s="82" t="n"/>
      <c r="L68" s="83" t="n">
        <v>4</v>
      </c>
      <c r="M68" s="82" t="n"/>
    </row>
    <row r="69" ht="15" customHeight="1">
      <c r="A69" s="78" t="n"/>
      <c r="B69" s="79" t="n"/>
      <c r="C69" s="80" t="n"/>
      <c r="D69" s="81" t="n"/>
      <c r="E69" s="82" t="n"/>
      <c r="F69" s="82" t="n"/>
      <c r="G69" s="82" t="n"/>
      <c r="H69" s="82" t="n"/>
      <c r="I69" s="82" t="n"/>
      <c r="J69" s="82" t="n"/>
      <c r="K69" s="82" t="n"/>
      <c r="L69" s="83" t="n">
        <v>1</v>
      </c>
      <c r="M69" s="82" t="n"/>
    </row>
    <row r="70" ht="44" customHeight="1">
      <c r="A70" s="148" t="inlineStr">
        <is>
          <t>⑤ อุปกรณ์ + ตั้งค่ามือจับ (2 ชุด · บานเลื่อน 2)</t>
        </is>
      </c>
      <c r="B70" s="79" t="n"/>
      <c r="C70" s="80" t="n"/>
      <c r="D70" s="81" t="n"/>
      <c r="E70" s="83" t="n"/>
      <c r="F70" s="83" t="n"/>
      <c r="G70" s="82" t="n"/>
      <c r="H70" s="82" t="n"/>
      <c r="I70" s="82" t="n"/>
      <c r="J70" s="82" t="n"/>
      <c r="K70" s="82" t="n"/>
      <c r="L70" s="83" t="n">
        <v>3</v>
      </c>
      <c r="M70" s="82" t="n"/>
    </row>
    <row r="71">
      <c r="A71" s="149" t="inlineStr">
        <is>
          <t>ประเภทบาน →</t>
        </is>
      </c>
      <c r="B71" s="150" t="inlineStr">
        <is>
          <t>ประตู</t>
        </is>
      </c>
    </row>
    <row r="72">
      <c r="A72" s="151" t="inlineStr">
        <is>
          <t>ยี่ห้อมือจับ →</t>
        </is>
      </c>
      <c r="B72" s="150" t="inlineStr">
        <is>
          <t>เมโทร</t>
        </is>
      </c>
      <c r="F72" s="124" t="n"/>
    </row>
    <row r="73">
      <c r="A73" s="152" t="inlineStr">
        <is>
          <t>สีมือจับ →</t>
        </is>
      </c>
      <c r="B73" s="150" t="inlineStr">
        <is>
          <t>อบขาว</t>
        </is>
      </c>
      <c r="F73" s="126" t="n"/>
    </row>
    <row r="74">
      <c r="A74" s="152" t="inlineStr">
        <is>
          <t>มือจับ ชุด1 →</t>
        </is>
      </c>
      <c r="B74" s="150" t="inlineStr">
        <is>
          <t>กุญแจ+ล็อค</t>
        </is>
      </c>
      <c r="F74" s="126" t="n"/>
    </row>
    <row r="75">
      <c r="A75" s="152" t="inlineStr">
        <is>
          <t>มือจับ ชุด2 →</t>
        </is>
      </c>
      <c r="B75" s="150" t="inlineStr">
        <is>
          <t>ล็อค+ดัมมี่</t>
        </is>
      </c>
      <c r="F75" s="126" t="n"/>
    </row>
    <row r="76">
      <c r="A76" s="153" t="inlineStr">
        <is>
          <t>⑤.1 สรุปอุปกรณ์ (จำนวนลิงก์อัตโนมัติ)</t>
        </is>
      </c>
      <c r="F76" s="126" t="n"/>
    </row>
    <row r="77">
      <c r="A77" s="153" t="inlineStr">
        <is>
          <t>#</t>
        </is>
      </c>
      <c r="B77" s="154" t="inlineStr">
        <is>
          <t>อุปกรณ์</t>
        </is>
      </c>
      <c r="C77" s="154" t="inlineStr">
        <is>
          <t>รหัส SKU</t>
        </is>
      </c>
      <c r="D77" s="154" t="inlineStr">
        <is>
          <t>จำนวน</t>
        </is>
      </c>
      <c r="E77" s="154" t="inlineStr">
        <is>
          <t>หน่วย</t>
        </is>
      </c>
      <c r="F77" s="154" t="inlineStr">
        <is>
          <t>หมายเหตุ</t>
        </is>
      </c>
    </row>
    <row r="78">
      <c r="A78" s="149" t="n">
        <v>1</v>
      </c>
      <c r="B78" s="149" t="inlineStr">
        <is>
          <t>ล้อ 20</t>
        </is>
      </c>
      <c r="C78" s="150">
        <f>AK8</f>
        <v/>
      </c>
      <c r="D78" s="155">
        <f>AK30</f>
        <v/>
      </c>
      <c r="E78" s="149" t="inlineStr">
        <is>
          <t>ตัว</t>
        </is>
      </c>
      <c r="F78" s="149" t="inlineStr"/>
    </row>
    <row r="79">
      <c r="A79" s="149" t="n">
        <v>2</v>
      </c>
      <c r="B79" s="149" t="inlineStr">
        <is>
          <t>มือจับ กุญแจ</t>
        </is>
      </c>
      <c r="C79" s="150">
        <f>AL8</f>
        <v/>
      </c>
      <c r="D79" s="155">
        <f>AL30</f>
        <v/>
      </c>
      <c r="E79" s="149" t="inlineStr">
        <is>
          <t>ตัว</t>
        </is>
      </c>
      <c r="F79" s="149" t="inlineStr"/>
    </row>
    <row r="80">
      <c r="A80" s="149" t="n">
        <v>3</v>
      </c>
      <c r="B80" s="149" t="inlineStr">
        <is>
          <t>มือจับ ล็อค</t>
        </is>
      </c>
      <c r="C80" s="150">
        <f>AM8</f>
        <v/>
      </c>
      <c r="D80" s="155">
        <f>AM30</f>
        <v/>
      </c>
      <c r="E80" s="149" t="inlineStr">
        <is>
          <t>ตัว</t>
        </is>
      </c>
      <c r="F80" s="149" t="inlineStr"/>
    </row>
    <row r="81">
      <c r="A81" s="149" t="n">
        <v>4</v>
      </c>
      <c r="B81" s="149" t="inlineStr">
        <is>
          <t>มือจับ ดัมมี่</t>
        </is>
      </c>
      <c r="C81" s="150">
        <f>AN8</f>
        <v/>
      </c>
      <c r="D81" s="155">
        <f>AN30</f>
        <v/>
      </c>
      <c r="E81" s="149" t="inlineStr">
        <is>
          <t>ตัว</t>
        </is>
      </c>
      <c r="F81" s="149" t="inlineStr"/>
    </row>
    <row r="82">
      <c r="A82" s="149" t="n">
        <v>5</v>
      </c>
      <c r="B82" s="149" t="inlineStr">
        <is>
          <t>Digital lock</t>
        </is>
      </c>
      <c r="C82" s="150" t="inlineStr">
        <is>
          <t>-</t>
        </is>
      </c>
      <c r="D82" s="155">
        <f>AO30</f>
        <v/>
      </c>
      <c r="E82" s="149" t="inlineStr">
        <is>
          <t>ชุด</t>
        </is>
      </c>
      <c r="F82" s="149" t="inlineStr">
        <is>
          <t>ไม่ตัดสต็อก</t>
        </is>
      </c>
    </row>
    <row r="83">
      <c r="A83" s="149" t="n">
        <v>6</v>
      </c>
      <c r="B83" s="149" t="inlineStr">
        <is>
          <t>แกน A</t>
        </is>
      </c>
      <c r="C83" s="150">
        <f>AP8</f>
        <v/>
      </c>
      <c r="D83" s="155">
        <f>AP30</f>
        <v/>
      </c>
      <c r="E83" s="149" t="inlineStr">
        <is>
          <t>เส้น</t>
        </is>
      </c>
      <c r="F83" s="149" t="inlineStr"/>
    </row>
    <row r="84">
      <c r="A84" s="149" t="n">
        <v>7</v>
      </c>
      <c r="B84" s="149" t="inlineStr">
        <is>
          <t>แกน B</t>
        </is>
      </c>
      <c r="C84" s="150">
        <f>AQ8</f>
        <v/>
      </c>
      <c r="D84" s="155">
        <f>AQ30</f>
        <v/>
      </c>
      <c r="E84" s="149" t="inlineStr">
        <is>
          <t>เส้น</t>
        </is>
      </c>
      <c r="F84" s="149" t="inlineStr"/>
    </row>
    <row r="85">
      <c r="A85" s="149" t="n">
        <v>8</v>
      </c>
      <c r="B85" s="149" t="inlineStr">
        <is>
          <t>ปลายดำ</t>
        </is>
      </c>
      <c r="C85" s="150">
        <f>AR8</f>
        <v/>
      </c>
      <c r="D85" s="155">
        <f>AR30</f>
        <v/>
      </c>
      <c r="E85" s="149" t="inlineStr">
        <is>
          <t>ตัว</t>
        </is>
      </c>
      <c r="F85" s="149" t="inlineStr"/>
    </row>
    <row r="86">
      <c r="A86" s="149" t="n">
        <v>9</v>
      </c>
      <c r="B86" s="149" t="inlineStr">
        <is>
          <t>ตัวที เงิน</t>
        </is>
      </c>
      <c r="C86" s="150">
        <f>AS8</f>
        <v/>
      </c>
      <c r="D86" s="155">
        <f>AS30</f>
        <v/>
      </c>
      <c r="E86" s="149" t="inlineStr">
        <is>
          <t>ตัว</t>
        </is>
      </c>
      <c r="F86" s="149" t="inlineStr"/>
    </row>
    <row r="87">
      <c r="A87" s="149" t="n">
        <v>10</v>
      </c>
      <c r="B87" s="149" t="inlineStr">
        <is>
          <t>ก้ามปู</t>
        </is>
      </c>
      <c r="C87" s="150">
        <f>AT8</f>
        <v/>
      </c>
      <c r="D87" s="155">
        <f>AT30</f>
        <v/>
      </c>
      <c r="E87" s="149" t="inlineStr">
        <is>
          <t>ตัว</t>
        </is>
      </c>
      <c r="F87" s="149" t="inlineStr"/>
    </row>
    <row r="88">
      <c r="A88" s="149" t="n">
        <v>11</v>
      </c>
      <c r="B88" s="149" t="inlineStr">
        <is>
          <t>สปิงก็อท</t>
        </is>
      </c>
      <c r="C88" s="150">
        <f>AU8</f>
        <v/>
      </c>
      <c r="D88" s="155">
        <f>AU30</f>
        <v/>
      </c>
      <c r="E88" s="149" t="inlineStr">
        <is>
          <t>ตัว</t>
        </is>
      </c>
      <c r="F88" s="149" t="inlineStr"/>
    </row>
    <row r="89">
      <c r="A89" s="149" t="n">
        <v>12</v>
      </c>
      <c r="B89" s="149" t="inlineStr">
        <is>
          <t>ฉากประกอบมุม</t>
        </is>
      </c>
      <c r="C89" s="150">
        <f>AV8</f>
        <v/>
      </c>
      <c r="D89" s="155">
        <f>AV30</f>
        <v/>
      </c>
      <c r="E89" s="149" t="inlineStr">
        <is>
          <t>ตัว</t>
        </is>
      </c>
      <c r="F89" s="149" t="inlineStr"/>
    </row>
    <row r="90">
      <c r="A90" s="149" t="n">
        <v>13</v>
      </c>
      <c r="B90" s="149" t="inlineStr">
        <is>
          <t>ยางรูน้ำ</t>
        </is>
      </c>
      <c r="C90" s="150">
        <f>AW8</f>
        <v/>
      </c>
      <c r="D90" s="155">
        <f>AW30</f>
        <v/>
      </c>
      <c r="E90" s="149" t="inlineStr">
        <is>
          <t>ตัว</t>
        </is>
      </c>
      <c r="F90" s="149" t="inlineStr"/>
    </row>
    <row r="91">
      <c r="A91" s="149" t="n">
        <v>14</v>
      </c>
      <c r="B91" s="149" t="inlineStr">
        <is>
          <t>วาวรูน้ำ</t>
        </is>
      </c>
      <c r="C91" s="150">
        <f>AX8</f>
        <v/>
      </c>
      <c r="D91" s="155">
        <f>AX30</f>
        <v/>
      </c>
      <c r="E91" s="149" t="inlineStr">
        <is>
          <t>ตัว</t>
        </is>
      </c>
      <c r="F91" s="149" t="inlineStr"/>
    </row>
    <row r="92">
      <c r="A92" s="149" t="n">
        <v>15</v>
      </c>
      <c r="B92" s="149" t="inlineStr">
        <is>
          <t>สักหลาด 5×3</t>
        </is>
      </c>
      <c r="C92" s="150">
        <f>AY8</f>
        <v/>
      </c>
      <c r="D92" s="155">
        <f>AY30</f>
        <v/>
      </c>
      <c r="E92" s="149" t="inlineStr">
        <is>
          <t>เมตร</t>
        </is>
      </c>
      <c r="F92" s="149" t="inlineStr">
        <is>
          <t>เก็บเป็นเมตร</t>
        </is>
      </c>
    </row>
  </sheetData>
  <mergeCells count="61">
    <mergeCell ref="O6:P6"/>
    <mergeCell ref="E8:F8"/>
    <mergeCell ref="Q7:T7"/>
    <mergeCell ref="AC8:AD8"/>
    <mergeCell ref="AE8:AF8"/>
    <mergeCell ref="Y7:Z7"/>
    <mergeCell ref="AA7:AB7"/>
    <mergeCell ref="D8:D9"/>
    <mergeCell ref="A7:D7"/>
    <mergeCell ref="Q9:R9"/>
    <mergeCell ref="S9:T9"/>
    <mergeCell ref="M8:N8"/>
    <mergeCell ref="AC9:AD9"/>
    <mergeCell ref="O8:P8"/>
    <mergeCell ref="AE9:AF9"/>
    <mergeCell ref="I6:J6"/>
    <mergeCell ref="U6:V6"/>
    <mergeCell ref="W6:X6"/>
    <mergeCell ref="G7:H7"/>
    <mergeCell ref="AA6:AB6"/>
    <mergeCell ref="I7:J7"/>
    <mergeCell ref="A30:D30"/>
    <mergeCell ref="U7:V7"/>
    <mergeCell ref="W7:X7"/>
    <mergeCell ref="A8:A9"/>
    <mergeCell ref="I8:J8"/>
    <mergeCell ref="U8:V8"/>
    <mergeCell ref="W8:X8"/>
    <mergeCell ref="M7:P7"/>
    <mergeCell ref="Y8:Z8"/>
    <mergeCell ref="K6:L6"/>
    <mergeCell ref="G9:H9"/>
    <mergeCell ref="AA8:AB8"/>
    <mergeCell ref="I9:J9"/>
    <mergeCell ref="U9:V9"/>
    <mergeCell ref="K9:L9"/>
    <mergeCell ref="M9:N9"/>
    <mergeCell ref="O9:P9"/>
    <mergeCell ref="M30:O30"/>
    <mergeCell ref="Y9:Z9"/>
    <mergeCell ref="AA9:AB9"/>
    <mergeCell ref="Q30:S30"/>
    <mergeCell ref="E6:F6"/>
    <mergeCell ref="K8:L8"/>
    <mergeCell ref="Q6:R6"/>
    <mergeCell ref="S6:T6"/>
    <mergeCell ref="K7:L7"/>
    <mergeCell ref="E7:F7"/>
    <mergeCell ref="AC7:AD7"/>
    <mergeCell ref="G8:H8"/>
    <mergeCell ref="Q8:R8"/>
    <mergeCell ref="S8:T8"/>
    <mergeCell ref="G6:H6"/>
    <mergeCell ref="E9:F9"/>
    <mergeCell ref="A6:D6"/>
    <mergeCell ref="M6:N6"/>
    <mergeCell ref="Y6:Z6"/>
    <mergeCell ref="W9:X9"/>
    <mergeCell ref="B8:C9"/>
    <mergeCell ref="AC6:AD6"/>
    <mergeCell ref="AE6:AF6"/>
  </mergeCells>
  <dataValidations count="5">
    <dataValidation sqref="B71" showDropDown="0" showInputMessage="0" showErrorMessage="0" allowBlank="1" type="list">
      <formula1>"ประตู,หน้าต่าง"</formula1>
    </dataValidation>
    <dataValidation sqref="B72" showDropDown="0" showInputMessage="0" showErrorMessage="0" allowBlank="1" type="list">
      <formula1>"เมโทร,Align"</formula1>
    </dataValidation>
    <dataValidation sqref="B73" showDropDown="0" showInputMessage="0" showErrorMessage="0" allowBlank="1" type="list">
      <formula1>"อบขาว,ดำ"</formula1>
    </dataValidation>
    <dataValidation sqref="B74" showDropDown="0" showInputMessage="0" showErrorMessage="0" allowBlank="1" type="list">
      <formula1>=$BD$1:$BD$4</formula1>
    </dataValidation>
    <dataValidation sqref="B75" showDropDown="0" showInputMessage="0" showErrorMessage="0" allowBlank="1" type="list">
      <formula1>=$BD$1:$BD$4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D92"/>
  <sheetViews>
    <sheetView showGridLines="0"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26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6.75" customWidth="1" min="32" max="32"/>
    <col width="12.75" customWidth="1" min="33" max="33"/>
    <col width="12.75" customWidth="1" min="34" max="34"/>
    <col width="8.75" customWidth="1" min="35" max="35"/>
    <col width="8.875" customWidth="1" min="36" max="36"/>
    <col hidden="1" width="13" customWidth="1" min="53" max="53"/>
    <col hidden="1" width="13" customWidth="1" min="54" max="54"/>
    <col hidden="1" width="13" customWidth="1" min="55" max="55"/>
    <col hidden="1" width="13" customWidth="1" min="56" max="56"/>
  </cols>
  <sheetData>
    <row r="1" ht="40.15" customHeight="1">
      <c r="A1" s="1" t="inlineStr">
        <is>
          <t>JR ALUMINIUM &amp; GLASS  —  ใบรายการตัด · FUJI เลื่อนสลับ ภายใน   (หน่วย: มม.)</t>
        </is>
      </c>
      <c r="B1" s="2" t="n"/>
      <c r="D1" s="3" t="n"/>
      <c r="E1" s="4" t="n"/>
      <c r="F1" s="3" t="n"/>
      <c r="G1" s="5" t="n"/>
      <c r="H1" s="5" t="n"/>
      <c r="I1" s="5" t="n"/>
      <c r="J1" s="5" t="n"/>
      <c r="K1" s="3" t="n"/>
      <c r="L1" s="3" t="n"/>
      <c r="M1" s="6" t="n"/>
      <c r="N1" s="6" t="n"/>
      <c r="O1" s="5" t="n"/>
      <c r="P1" s="5" t="n"/>
      <c r="Q1" s="3" t="n"/>
      <c r="R1" s="7" t="n"/>
      <c r="S1" s="6" t="n"/>
      <c r="T1" s="6" t="n"/>
      <c r="U1" s="5" t="n"/>
      <c r="V1" s="5" t="n"/>
      <c r="W1" s="5" t="n"/>
      <c r="X1" s="5" t="n"/>
      <c r="Y1" s="5" t="n"/>
      <c r="Z1" s="5" t="n"/>
      <c r="AA1" s="3" t="n"/>
      <c r="AB1" s="3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BA1" t="inlineStr">
        <is>
          <t>เมโทรกุญแจอบขาว</t>
        </is>
      </c>
      <c r="BB1" t="inlineStr">
        <is>
          <t>JR00368</t>
        </is>
      </c>
      <c r="BD1">
        <f>IF($B$71="ประตู","กุญแจ+ล็อค","ล็อค")</f>
        <v/>
      </c>
    </row>
    <row r="2" ht="40.15" customHeight="1">
      <c r="A2" s="6" t="n"/>
      <c r="B2" s="6" t="n"/>
      <c r="C2" s="6" t="n"/>
      <c r="D2" s="6" t="n"/>
      <c r="E2" s="8" t="n"/>
      <c r="F2" s="6" t="n"/>
      <c r="G2" s="9" t="n"/>
      <c r="H2" s="9" t="n"/>
      <c r="I2" s="9" t="n"/>
      <c r="J2" s="9" t="n"/>
      <c r="K2" s="6" t="n"/>
      <c r="L2" s="6" t="n"/>
      <c r="M2" s="6" t="n"/>
      <c r="N2" s="6" t="n"/>
      <c r="O2" s="9" t="n"/>
      <c r="P2" s="9" t="n"/>
      <c r="Q2" s="6" t="n"/>
      <c r="R2" s="6" t="n"/>
      <c r="S2" s="9" t="n"/>
      <c r="T2" s="9" t="n"/>
      <c r="U2" s="9" t="n"/>
      <c r="V2" s="9" t="n"/>
      <c r="W2" s="9" t="n"/>
      <c r="X2" s="9" t="n"/>
      <c r="Y2" s="9" t="n"/>
      <c r="Z2" s="9" t="n"/>
      <c r="AA2" s="6" t="n"/>
      <c r="AB2" s="6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BA2" t="inlineStr">
        <is>
          <t>เมโทรกุญแจดำ</t>
        </is>
      </c>
      <c r="BB2" t="inlineStr">
        <is>
          <t>JR00371</t>
        </is>
      </c>
      <c r="BD2">
        <f>IF($B$71="ประตู","ล็อค+ดัมมี่","ดัมมี่")</f>
        <v/>
      </c>
    </row>
    <row r="3" ht="40.15" customHeight="1">
      <c r="A3" s="130">
        <f>HYPERLINK("#สารบัญ!A1","← สารบัญ")</f>
        <v/>
      </c>
      <c r="B3" s="6" t="n"/>
      <c r="C3" s="6" t="n"/>
      <c r="D3" s="6" t="n"/>
      <c r="E3" s="8" t="n"/>
      <c r="F3" s="6" t="n"/>
      <c r="G3" s="11" t="n"/>
      <c r="H3" s="11" t="n"/>
      <c r="I3" s="11" t="n"/>
      <c r="J3" s="11" t="n"/>
      <c r="K3" s="6" t="n"/>
      <c r="L3" s="6" t="n"/>
      <c r="M3" s="6" t="n"/>
      <c r="N3" s="6" t="n"/>
      <c r="O3" s="11" t="n"/>
      <c r="P3" s="11" t="n"/>
      <c r="Q3" s="6" t="n"/>
      <c r="R3" s="6" t="n"/>
      <c r="U3" s="11" t="n"/>
      <c r="V3" s="11" t="n"/>
      <c r="W3" s="11" t="n"/>
      <c r="X3" s="11" t="n"/>
      <c r="Y3" s="11" t="n"/>
      <c r="Z3" s="11" t="n"/>
      <c r="AA3" s="6" t="n"/>
      <c r="AB3" s="6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BA3" t="inlineStr">
        <is>
          <t>เมโทรล็อคอบขาว</t>
        </is>
      </c>
      <c r="BB3" t="inlineStr">
        <is>
          <t>JR00369</t>
        </is>
      </c>
      <c r="BD3">
        <f>IF($B$71="ประตู","ดัมมี่+ดัมมี่","")</f>
        <v/>
      </c>
    </row>
    <row r="4" ht="40.15" customHeight="1">
      <c r="A4" s="6" t="n"/>
      <c r="B4" s="6" t="n"/>
      <c r="C4" s="6" t="n"/>
      <c r="D4" s="6" t="n"/>
      <c r="E4" s="8" t="n"/>
      <c r="F4" s="6" t="n"/>
      <c r="K4" s="6" t="n"/>
      <c r="L4" s="6" t="n"/>
      <c r="M4" s="6" t="n"/>
      <c r="N4" s="6" t="n"/>
      <c r="Q4" s="6" t="n"/>
      <c r="R4" s="6" t="n"/>
      <c r="AA4" s="6" t="n"/>
      <c r="AB4" s="6" t="n"/>
      <c r="BA4" t="inlineStr">
        <is>
          <t>เมโทรล็อคดำ</t>
        </is>
      </c>
      <c r="BB4" t="inlineStr">
        <is>
          <t>JR00372</t>
        </is>
      </c>
      <c r="BD4">
        <f>IF($B$71="ประตู","Digital lock","")</f>
        <v/>
      </c>
    </row>
    <row r="5" ht="40.15" customHeight="1">
      <c r="A5" s="6" t="n"/>
      <c r="B5" s="6" t="n"/>
      <c r="C5" s="6" t="n"/>
      <c r="D5" s="6" t="n"/>
      <c r="E5" s="8" t="n"/>
      <c r="F5" s="6" t="n"/>
      <c r="K5" s="6" t="n"/>
      <c r="L5" s="6" t="n"/>
      <c r="N5" s="6" t="n"/>
      <c r="Q5" s="6" t="n"/>
      <c r="R5" s="6" t="n"/>
      <c r="AA5" s="6" t="n"/>
      <c r="AB5" s="6" t="n"/>
      <c r="BA5" t="inlineStr">
        <is>
          <t>เมโทรดัมมี่อบขาว</t>
        </is>
      </c>
      <c r="BB5" t="inlineStr">
        <is>
          <t>JR00370</t>
        </is>
      </c>
    </row>
    <row r="6" ht="60" customHeight="1">
      <c r="A6" s="13" t="inlineStr">
        <is>
          <t>สูตรตัด</t>
        </is>
      </c>
      <c r="B6" s="14" t="n"/>
      <c r="C6" s="14" t="n"/>
      <c r="D6" s="15" t="n"/>
      <c r="E6" s="16" t="inlineStr">
        <is>
          <t>สูง</t>
        </is>
      </c>
      <c r="F6" s="17" t="n"/>
      <c r="G6" s="16" t="inlineStr">
        <is>
          <t>กว้าง-21-21</t>
        </is>
      </c>
      <c r="H6" s="17" t="n"/>
      <c r="I6" s="16" t="inlineStr">
        <is>
          <t>กว้าง-21-21</t>
        </is>
      </c>
      <c r="J6" s="17" t="n"/>
      <c r="K6" s="16" t="inlineStr">
        <is>
          <t>สูง-14-13-21</t>
        </is>
      </c>
      <c r="L6" s="17" t="n"/>
      <c r="M6" s="16" t="inlineStr">
        <is>
          <t>((กว้าง-21-3-3--1.221)/2)+(78x1/2)</t>
        </is>
      </c>
      <c r="N6" s="17" t="n"/>
      <c r="O6" s="16" t="inlineStr">
        <is>
          <t>เสา-78-78</t>
        </is>
      </c>
      <c r="P6" s="17" t="n"/>
      <c r="Q6" s="16" t="inlineStr">
        <is>
          <t>ขวาง-63-63</t>
        </is>
      </c>
      <c r="R6" s="17" t="n"/>
      <c r="S6" s="16" t="inlineStr">
        <is>
          <t>สูงกรอบบาน</t>
        </is>
      </c>
      <c r="T6" s="17" t="n"/>
      <c r="U6" s="16" t="inlineStr">
        <is>
          <t>สูง-8-45</t>
        </is>
      </c>
      <c r="V6" s="17" t="n"/>
      <c r="W6" s="16" t="inlineStr">
        <is>
          <t>เท่าเฟรมบน</t>
        </is>
      </c>
      <c r="X6" s="17" t="n"/>
      <c r="Y6" s="16" t="inlineStr">
        <is>
          <t>สูง-8-45</t>
        </is>
      </c>
      <c r="Z6" s="17" t="n"/>
      <c r="AA6" s="16" t="inlineStr">
        <is>
          <t>สูงกรอบบาน</t>
        </is>
      </c>
      <c r="AB6" s="17" t="n"/>
      <c r="AC6" s="16" t="inlineStr">
        <is>
          <t>เท่าเฟรมล่าง</t>
        </is>
      </c>
      <c r="AD6" s="17" t="n"/>
      <c r="AE6" s="16" t="n"/>
      <c r="AF6" s="17" t="n"/>
      <c r="AG6" s="18" t="n"/>
      <c r="AH6" s="18" t="n"/>
      <c r="AI6" s="18" t="n"/>
      <c r="BA6" t="inlineStr">
        <is>
          <t>เมโทรดัมมี่ดำ</t>
        </is>
      </c>
      <c r="BB6" t="inlineStr">
        <is>
          <t>JR00373</t>
        </is>
      </c>
      <c r="BC6">
        <f>(COUNTIF($B$74:$B$75,"กุญแจ+ล็อค")+COUNTIF($B$74:$B$75,"ล็อค+ดัมมี่")+COUNTIF($B$74:$B$75,"ล็อค"))</f>
        <v/>
      </c>
    </row>
    <row r="7" ht="40.15" customHeight="1">
      <c r="A7" s="19" t="inlineStr">
        <is>
          <t>ใส่ข้อมูล</t>
        </is>
      </c>
      <c r="B7" s="20" t="n"/>
      <c r="C7" s="20" t="n"/>
      <c r="D7" s="21" t="n"/>
      <c r="E7" s="22" t="inlineStr">
        <is>
          <t>F7978</t>
        </is>
      </c>
      <c r="F7" s="15" t="n"/>
      <c r="G7" s="22" t="inlineStr">
        <is>
          <t>F7976</t>
        </is>
      </c>
      <c r="H7" s="15" t="n"/>
      <c r="I7" s="22" t="inlineStr">
        <is>
          <t>F7902</t>
        </is>
      </c>
      <c r="J7" s="15" t="n"/>
      <c r="K7" s="22" t="inlineStr">
        <is>
          <t>F7980</t>
        </is>
      </c>
      <c r="L7" s="14" t="n"/>
      <c r="M7" s="14" t="n"/>
      <c r="N7" s="15" t="n"/>
      <c r="O7" s="22" t="inlineStr">
        <is>
          <t>F7919</t>
        </is>
      </c>
      <c r="P7" s="14" t="n"/>
      <c r="Q7" s="14" t="n"/>
      <c r="R7" s="15" t="n"/>
      <c r="S7" s="22" t="inlineStr">
        <is>
          <t>F7983</t>
        </is>
      </c>
      <c r="T7" s="15" t="n"/>
      <c r="U7" s="22" t="inlineStr">
        <is>
          <t>F7986</t>
        </is>
      </c>
      <c r="V7" s="15" t="n"/>
      <c r="W7" s="22" t="inlineStr">
        <is>
          <t>F7993</t>
        </is>
      </c>
      <c r="X7" s="15" t="n"/>
      <c r="Y7" s="22" t="inlineStr">
        <is>
          <t>F7988</t>
        </is>
      </c>
      <c r="Z7" s="14" t="n"/>
      <c r="AA7" s="14" t="n"/>
      <c r="AB7" s="15" t="n"/>
      <c r="AC7" s="22" t="inlineStr">
        <is>
          <t>F7994</t>
        </is>
      </c>
      <c r="AD7" s="15" t="n"/>
      <c r="AE7" s="22" t="n"/>
      <c r="AF7" s="15" t="n"/>
      <c r="AG7" s="24" t="n"/>
      <c r="AH7" s="25" t="inlineStr">
        <is>
          <t>ขนาดกระจก</t>
        </is>
      </c>
      <c r="AI7" s="26" t="n"/>
      <c r="BA7" t="inlineStr">
        <is>
          <t>Alignกุญแจอบขาว</t>
        </is>
      </c>
      <c r="BB7" t="inlineStr">
        <is>
          <t>JR00377</t>
        </is>
      </c>
      <c r="BC7">
        <f>COUNTIF($B$74:$B$75,"กุญแจ+ล็อค")</f>
        <v/>
      </c>
    </row>
    <row r="8" ht="40.15" customHeight="1">
      <c r="A8" s="27" t="inlineStr">
        <is>
          <t>แผน</t>
        </is>
      </c>
      <c r="B8" s="28" t="inlineStr">
        <is>
          <t>ขนาดชิ้นงาน
(mm)</t>
        </is>
      </c>
      <c r="C8" s="29" t="n"/>
      <c r="D8" s="27" t="inlineStr">
        <is>
          <t>ชุด</t>
        </is>
      </c>
      <c r="E8" s="30" t="n"/>
      <c r="F8" s="31" t="n"/>
      <c r="G8" s="30" t="n"/>
      <c r="H8" s="31" t="n"/>
      <c r="I8" s="32" t="n"/>
      <c r="J8" s="33" t="n"/>
      <c r="K8" s="32" t="n"/>
      <c r="L8" s="33" t="n"/>
      <c r="M8" s="34" t="n"/>
      <c r="N8" s="31" t="n"/>
      <c r="O8" s="32" t="n"/>
      <c r="P8" s="33" t="n"/>
      <c r="Q8" s="34" t="n"/>
      <c r="R8" s="31" t="n"/>
      <c r="S8" s="30" t="n"/>
      <c r="T8" s="31" t="n"/>
      <c r="U8" s="32" t="n"/>
      <c r="V8" s="33" t="n"/>
      <c r="W8" s="32" t="n"/>
      <c r="X8" s="33" t="n"/>
      <c r="Y8" s="32" t="n"/>
      <c r="Z8" s="33" t="n"/>
      <c r="AA8" s="35" t="n"/>
      <c r="AB8" s="33" t="n"/>
      <c r="AC8" s="30" t="n"/>
      <c r="AD8" s="31" t="n"/>
      <c r="AE8" s="32" t="n"/>
      <c r="AF8" s="33" t="n"/>
      <c r="AG8" s="36" t="n"/>
      <c r="AH8" s="37" t="inlineStr">
        <is>
          <t>กรอบบาน</t>
        </is>
      </c>
      <c r="AI8" s="38" t="n"/>
      <c r="AK8" t="inlineStr">
        <is>
          <t>JR00577</t>
        </is>
      </c>
      <c r="AL8">
        <f>VLOOKUP($B$72&amp;"กุญแจ"&amp;$B$73,$BA$1:$BB$12,2,0)</f>
        <v/>
      </c>
      <c r="AM8">
        <f>VLOOKUP($B$72&amp;"ล็อค"&amp;$B$73,$BA$1:$BB$12,2,0)</f>
        <v/>
      </c>
      <c r="AN8">
        <f>VLOOKUP($B$72&amp;"ดัมมี่"&amp;$B$73,$BA$1:$BB$12,2,0)</f>
        <v/>
      </c>
      <c r="AO8" t="inlineStr"/>
      <c r="AP8" t="inlineStr">
        <is>
          <t>JR00478</t>
        </is>
      </c>
      <c r="AQ8" t="inlineStr">
        <is>
          <t>JR00479</t>
        </is>
      </c>
      <c r="AR8" t="inlineStr">
        <is>
          <t>JR00476</t>
        </is>
      </c>
      <c r="AS8" t="inlineStr">
        <is>
          <t>JR00475</t>
        </is>
      </c>
      <c r="AT8" t="inlineStr">
        <is>
          <t>JR00477</t>
        </is>
      </c>
      <c r="AU8" t="inlineStr">
        <is>
          <t>JR00592</t>
        </is>
      </c>
      <c r="AV8" t="inlineStr">
        <is>
          <t>JR00480</t>
        </is>
      </c>
      <c r="AW8" t="inlineStr">
        <is>
          <t>JR00589</t>
        </is>
      </c>
      <c r="AX8" t="inlineStr">
        <is>
          <t>JR00485</t>
        </is>
      </c>
      <c r="AY8" t="inlineStr">
        <is>
          <t>JR00794</t>
        </is>
      </c>
      <c r="BA8" t="inlineStr">
        <is>
          <t>Alignล็อคอบขาว</t>
        </is>
      </c>
      <c r="BB8" t="inlineStr">
        <is>
          <t>JR00378</t>
        </is>
      </c>
    </row>
    <row r="9" ht="40.15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 บน</t>
        </is>
      </c>
      <c r="H9" s="43" t="n"/>
      <c r="I9" s="42" t="inlineStr">
        <is>
          <t>เฟรม-ล่าง</t>
        </is>
      </c>
      <c r="J9" s="43" t="n"/>
      <c r="K9" s="42" t="inlineStr">
        <is>
          <t>เสา</t>
        </is>
      </c>
      <c r="L9" s="43" t="n"/>
      <c r="M9" s="42" t="inlineStr">
        <is>
          <t>ขวาง</t>
        </is>
      </c>
      <c r="N9" s="43" t="n"/>
      <c r="O9" s="42" t="inlineStr">
        <is>
          <t>คิ้ว ตั้ง</t>
        </is>
      </c>
      <c r="P9" s="43" t="n"/>
      <c r="Q9" s="42" t="inlineStr">
        <is>
          <t>คิ้ว ขวาง</t>
        </is>
      </c>
      <c r="R9" s="43" t="n"/>
      <c r="S9" s="42" t="inlineStr">
        <is>
          <t>ตบเกี่ยว</t>
        </is>
      </c>
      <c r="T9" s="43" t="n"/>
      <c r="U9" s="44" t="inlineStr">
        <is>
          <t>ยูข้าง</t>
        </is>
      </c>
      <c r="V9" s="43" t="n"/>
      <c r="W9" s="44" t="inlineStr">
        <is>
          <t>ตบเฟรมบน</t>
        </is>
      </c>
      <c r="X9" s="43" t="n"/>
      <c r="Y9" s="44" t="inlineStr">
        <is>
          <t>ตบยูข้าง</t>
        </is>
      </c>
      <c r="Z9" s="43" t="n"/>
      <c r="AA9" s="42" t="inlineStr">
        <is>
          <t>ปิดตบเกี่ยว</t>
        </is>
      </c>
      <c r="AB9" s="43" t="n"/>
      <c r="AC9" s="44" t="inlineStr">
        <is>
          <t>ราง</t>
        </is>
      </c>
      <c r="AD9" s="43" t="n"/>
      <c r="AE9" s="44" t="n"/>
      <c r="AF9" s="43" t="n"/>
      <c r="AG9" s="45" t="inlineStr">
        <is>
          <t>SH-68-68</t>
        </is>
      </c>
      <c r="AH9" s="46" t="inlineStr">
        <is>
          <t>SW-68-68</t>
        </is>
      </c>
      <c r="AI9" s="47" t="n"/>
      <c r="AK9" t="inlineStr">
        <is>
          <t>ล้อ 20</t>
        </is>
      </c>
      <c r="AL9" t="inlineStr">
        <is>
          <t>มือจับ กุญแจ</t>
        </is>
      </c>
      <c r="AM9" t="inlineStr">
        <is>
          <t>มือจับ ล็อค</t>
        </is>
      </c>
      <c r="AN9" t="inlineStr">
        <is>
          <t>มือจับ ดัมมี่</t>
        </is>
      </c>
      <c r="AO9" t="inlineStr">
        <is>
          <t>Digital lock</t>
        </is>
      </c>
      <c r="AP9" t="inlineStr">
        <is>
          <t>แกน A</t>
        </is>
      </c>
      <c r="AQ9" t="inlineStr">
        <is>
          <t>แกน B</t>
        </is>
      </c>
      <c r="AR9" t="inlineStr">
        <is>
          <t>ปลายดำ</t>
        </is>
      </c>
      <c r="AS9" t="inlineStr">
        <is>
          <t>ตัวที เงิน</t>
        </is>
      </c>
      <c r="AT9" t="inlineStr">
        <is>
          <t>ก้ามปู</t>
        </is>
      </c>
      <c r="AU9" t="inlineStr">
        <is>
          <t>สปิงก็อท</t>
        </is>
      </c>
      <c r="AV9" t="inlineStr">
        <is>
          <t>ฉากประกอบมุม</t>
        </is>
      </c>
      <c r="AW9" t="inlineStr">
        <is>
          <t>ยางรูน้ำ</t>
        </is>
      </c>
      <c r="AX9" t="inlineStr">
        <is>
          <t>วาวรูน้ำ</t>
        </is>
      </c>
      <c r="AY9" t="inlineStr">
        <is>
          <t>สักหลาด(ม.)</t>
        </is>
      </c>
      <c r="BA9" t="inlineStr">
        <is>
          <t>Alignดัมมี่อบขาว</t>
        </is>
      </c>
      <c r="BB9" t="inlineStr">
        <is>
          <t>JR00379</t>
        </is>
      </c>
      <c r="BC9">
        <f>(COUNTIF($B$74:$B$75,"ล็อค+ดัมมี่")+2*COUNTIF($B$74:$B$75,"ดัมมี่+ดัมมี่")+COUNTIF($B$74:$B$75,"ดัมมี่"))</f>
        <v/>
      </c>
    </row>
    <row r="10" ht="40.15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4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3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4" t="inlineStr">
        <is>
          <t>จำนวน</t>
        </is>
      </c>
      <c r="AA10" s="52" t="inlineStr">
        <is>
          <t>ยาว</t>
        </is>
      </c>
      <c r="AB10" s="53" t="inlineStr">
        <is>
          <t>จำนวน</t>
        </is>
      </c>
      <c r="AC10" s="52" t="inlineStr">
        <is>
          <t>ยาว</t>
        </is>
      </c>
      <c r="AD10" s="54" t="inlineStr">
        <is>
          <t>จำนวน</t>
        </is>
      </c>
      <c r="AE10" s="52" t="inlineStr">
        <is>
          <t>ยาว</t>
        </is>
      </c>
      <c r="AF10" s="54" t="inlineStr">
        <is>
          <t>จำนวน</t>
        </is>
      </c>
      <c r="AG10" s="55" t="inlineStr">
        <is>
          <t>H</t>
        </is>
      </c>
      <c r="AH10" s="56" t="inlineStr">
        <is>
          <t>W</t>
        </is>
      </c>
      <c r="AI10" s="57" t="inlineStr">
        <is>
          <t>จำนวน</t>
        </is>
      </c>
      <c r="AK10" t="inlineStr">
        <is>
          <t>จำนวน</t>
        </is>
      </c>
      <c r="AL10" t="inlineStr">
        <is>
          <t>จำนวน</t>
        </is>
      </c>
      <c r="AM10" t="inlineStr">
        <is>
          <t>จำนวน</t>
        </is>
      </c>
      <c r="AN10" t="inlineStr">
        <is>
          <t>จำนวน</t>
        </is>
      </c>
      <c r="AO10" t="inlineStr">
        <is>
          <t>จำนวน</t>
        </is>
      </c>
      <c r="AP10" t="inlineStr">
        <is>
          <t>จำนวน</t>
        </is>
      </c>
      <c r="AQ10" t="inlineStr">
        <is>
          <t>จำนวน</t>
        </is>
      </c>
      <c r="AR10" t="inlineStr">
        <is>
          <t>จำนวน</t>
        </is>
      </c>
      <c r="AS10" t="inlineStr">
        <is>
          <t>จำนวน</t>
        </is>
      </c>
      <c r="AT10" t="inlineStr">
        <is>
          <t>จำนวน</t>
        </is>
      </c>
      <c r="AU10" t="inlineStr">
        <is>
          <t>จำนวน</t>
        </is>
      </c>
      <c r="AV10" t="inlineStr">
        <is>
          <t>จำนวน</t>
        </is>
      </c>
      <c r="AW10" t="inlineStr">
        <is>
          <t>จำนวน</t>
        </is>
      </c>
      <c r="AX10" t="inlineStr">
        <is>
          <t>จำนวน</t>
        </is>
      </c>
      <c r="AY10" t="inlineStr">
        <is>
          <t>จำนวน</t>
        </is>
      </c>
      <c r="BA10" t="inlineStr">
        <is>
          <t>Alignกุญแจดำ</t>
        </is>
      </c>
      <c r="BB10" t="inlineStr">
        <is>
          <t>JR00374</t>
        </is>
      </c>
      <c r="BC10">
        <f>COUNTIF($B$74:$B$75,"Digital lock")</f>
        <v/>
      </c>
    </row>
    <row r="11" ht="40.15" customHeight="1">
      <c r="A11" s="99" t="inlineStr">
        <is>
          <t>D1</t>
        </is>
      </c>
      <c r="B11" s="88" t="n">
        <v>3054</v>
      </c>
      <c r="C11" s="89" t="n">
        <v>3054</v>
      </c>
      <c r="D11" s="90" t="n">
        <v>1</v>
      </c>
      <c r="E11" s="91">
        <f>IF($A11="","",$B11)</f>
        <v/>
      </c>
      <c r="F11" s="89">
        <f>IF($A11="","",$L$54*$D11)</f>
        <v/>
      </c>
      <c r="G11" s="91">
        <f>IF($A11="","",$C11-$E$55-$F$55)</f>
        <v/>
      </c>
      <c r="H11" s="89">
        <f>IF($A11="","",$L$55*$D11)</f>
        <v/>
      </c>
      <c r="I11" s="91">
        <f>IF($A11="","",$C11-$E$56-$F$56)</f>
        <v/>
      </c>
      <c r="J11" s="89">
        <f>IF($A11="","",$L$56*$D11)</f>
        <v/>
      </c>
      <c r="K11" s="91">
        <f>IF($A11="","",$B11-$E$57-$F$57-$G$57)</f>
        <v/>
      </c>
      <c r="L11" s="89">
        <f>IF($A11="","",$L$57*$D11)</f>
        <v/>
      </c>
      <c r="M11" s="91">
        <f>IF($A11="","",(($C11-$E$58-$F$58-$G$58-$H$58-$I$58)/2)+(78*1)/2)</f>
        <v/>
      </c>
      <c r="N11" s="89">
        <f>IF($A11="","",$L$58*$D11)</f>
        <v/>
      </c>
      <c r="O11" s="91">
        <f>IF($A11="","",$K11-$E$59-$F$59)</f>
        <v/>
      </c>
      <c r="P11" s="89">
        <f>IF($A11="","",$L$59*$D11)</f>
        <v/>
      </c>
      <c r="Q11" s="91">
        <f>IF($A11="","",$M11-$E$60-$F$60)</f>
        <v/>
      </c>
      <c r="R11" s="89">
        <f>IF($A11="","",$L$60*$D11)</f>
        <v/>
      </c>
      <c r="S11" s="91">
        <f>IF($A11="","",$K11)</f>
        <v/>
      </c>
      <c r="T11" s="89">
        <f>IF($A11="","",$L$61*$D11)</f>
        <v/>
      </c>
      <c r="U11" s="91">
        <f>IF($A11="","",$B11-$E$62-$F$62)</f>
        <v/>
      </c>
      <c r="V11" s="89">
        <f>IF($A11="","",$L$62*$D11)</f>
        <v/>
      </c>
      <c r="W11" s="91">
        <f>IF($A11="","",$C11-$E$63-$F$63)</f>
        <v/>
      </c>
      <c r="X11" s="89">
        <f>IF($A11="","",$L$63*$D11)</f>
        <v/>
      </c>
      <c r="Y11" s="91">
        <f>IF($A11="","",$B11-$E$64-$F$64)</f>
        <v/>
      </c>
      <c r="Z11" s="89">
        <f>IF($A11="","",$L$64*$D11)</f>
        <v/>
      </c>
      <c r="AA11" s="91">
        <f>IF($A11="","",$S11)</f>
        <v/>
      </c>
      <c r="AB11" s="89">
        <f>IF($A11="","",$L$65*$D11)</f>
        <v/>
      </c>
      <c r="AC11" s="91">
        <f>IF($A11="","",$C11-$E$66-$F$66)</f>
        <v/>
      </c>
      <c r="AD11" s="89">
        <f>IF($A11="","",$L$66*$D11)</f>
        <v/>
      </c>
      <c r="AE11" s="91" t="n"/>
      <c r="AF11" s="89" t="n"/>
      <c r="AG11" s="93">
        <f>IF($A11="","",$K11-68-68)</f>
        <v/>
      </c>
      <c r="AH11" s="134">
        <f>IF($A11="","",$M11-68-68)</f>
        <v/>
      </c>
      <c r="AI11" s="95">
        <f>IF($A11="","",2*$D11)</f>
        <v/>
      </c>
      <c r="AK11">
        <f>IF($A11="","",2*2*$D11)</f>
        <v/>
      </c>
      <c r="AL11">
        <f>IF($A11="","",$BC$7*$D11)</f>
        <v/>
      </c>
      <c r="AM11">
        <f>IF($A11="","",$BC$6*$D11)</f>
        <v/>
      </c>
      <c r="AN11">
        <f>IF($A11="","",$BC$9*$D11)</f>
        <v/>
      </c>
      <c r="AO11">
        <f>IF($A11="","",$BC$10*$D11)</f>
        <v/>
      </c>
      <c r="AP11">
        <f>IF($A11="","",2*$BC$6*$D11)</f>
        <v/>
      </c>
      <c r="AQ11">
        <f>IF($A11="","",IF($B11&gt;2800,2,IF($B11&gt;1400,1,0))*$BC$6*$D11)</f>
        <v/>
      </c>
      <c r="AR11">
        <f>IF($A11="","",2*$BC$6*$D11)</f>
        <v/>
      </c>
      <c r="AS11">
        <f>IF($A11="","",$BC$6*$D11)</f>
        <v/>
      </c>
      <c r="AT11">
        <f>IF($A11="","",2*$BC$6*$D11)</f>
        <v/>
      </c>
      <c r="AU11">
        <f>IF($A11="","",4*2*$D11)</f>
        <v/>
      </c>
      <c r="AV11">
        <f>IF($A11="","",16*2*$D11)</f>
        <v/>
      </c>
      <c r="AW11">
        <f>IF($A11="","",(2+MAX(0,ROUNDUP(($I11-1500)/500,0)))*$D11)</f>
        <v/>
      </c>
      <c r="AX11">
        <f>IF($A11="","",(2+MAX(0,ROUNDUP(($I11-1500)/500,0)))*$D11)</f>
        <v/>
      </c>
      <c r="AY11">
        <f>IF($A11="","",ROUND((2*2*($M11+$K11)*2*$D11+$S11*$T11)/1000,1))</f>
        <v/>
      </c>
      <c r="BA11" t="inlineStr">
        <is>
          <t>Alignล็อคดำ</t>
        </is>
      </c>
      <c r="BB11" t="inlineStr">
        <is>
          <t>JR00375</t>
        </is>
      </c>
    </row>
    <row r="12" ht="40.15" customHeight="1">
      <c r="A12" s="99" t="n"/>
      <c r="B12" s="88" t="n"/>
      <c r="C12" s="89" t="n"/>
      <c r="D12" s="90" t="n"/>
      <c r="E12" s="96">
        <f>IF($A12="","",$B12)</f>
        <v/>
      </c>
      <c r="F12" s="97">
        <f>IF($A12="","",$L$54*$D12)</f>
        <v/>
      </c>
      <c r="G12" s="96">
        <f>IF($A12="","",$C12-$E$55-$F$55)</f>
        <v/>
      </c>
      <c r="H12" s="97">
        <f>IF($A12="","",$L$55*$D12)</f>
        <v/>
      </c>
      <c r="I12" s="96">
        <f>IF($A12="","",$C12-$E$56-$F$56)</f>
        <v/>
      </c>
      <c r="J12" s="97">
        <f>IF($A12="","",$L$56*$D12)</f>
        <v/>
      </c>
      <c r="K12" s="96">
        <f>IF($A12="","",$B12-$E$57-$F$57-$G$57)</f>
        <v/>
      </c>
      <c r="L12" s="97">
        <f>IF($A12="","",$L$57*$D12)</f>
        <v/>
      </c>
      <c r="M12" s="96">
        <f>IF($A12="","",(($C12-$E$58-$F$58-$G$58-$H$58-$I$58)/2)+(78*1)/2)</f>
        <v/>
      </c>
      <c r="N12" s="97">
        <f>IF($A12="","",$L$58*$D12)</f>
        <v/>
      </c>
      <c r="O12" s="96">
        <f>IF($A12="","",$K12-$E$59-$F$59)</f>
        <v/>
      </c>
      <c r="P12" s="97">
        <f>IF($A12="","",$L$59*$D12)</f>
        <v/>
      </c>
      <c r="Q12" s="96">
        <f>IF($A12="","",$M12-$E$60-$F$60)</f>
        <v/>
      </c>
      <c r="R12" s="97">
        <f>IF($A12="","",$L$60*$D12)</f>
        <v/>
      </c>
      <c r="S12" s="96">
        <f>IF($A12="","",$K12)</f>
        <v/>
      </c>
      <c r="T12" s="97">
        <f>IF($A12="","",$L$61*$D12)</f>
        <v/>
      </c>
      <c r="U12" s="96">
        <f>IF($A12="","",$B12-$E$62-$F$62)</f>
        <v/>
      </c>
      <c r="V12" s="97">
        <f>IF($A12="","",$L$62*$D12)</f>
        <v/>
      </c>
      <c r="W12" s="96">
        <f>IF($A12="","",$C12-$E$63-$F$63)</f>
        <v/>
      </c>
      <c r="X12" s="97">
        <f>IF($A12="","",$L$63*$D12)</f>
        <v/>
      </c>
      <c r="Y12" s="96">
        <f>IF($A12="","",$B12-$E$64-$F$64)</f>
        <v/>
      </c>
      <c r="Z12" s="97">
        <f>IF($A12="","",$L$64*$D12)</f>
        <v/>
      </c>
      <c r="AA12" s="96">
        <f>IF($A12="","",$S12)</f>
        <v/>
      </c>
      <c r="AB12" s="97">
        <f>IF($A12="","",$L$65*$D12)</f>
        <v/>
      </c>
      <c r="AC12" s="96">
        <f>IF($A12="","",$C12-$E$66-$F$66)</f>
        <v/>
      </c>
      <c r="AD12" s="97">
        <f>IF($A12="","",$L$66*$D12)</f>
        <v/>
      </c>
      <c r="AE12" s="96" t="n"/>
      <c r="AF12" s="97" t="n"/>
      <c r="AG12" s="93">
        <f>IF($A12="","",$K12-68-68)</f>
        <v/>
      </c>
      <c r="AH12" s="94">
        <f>IF($A12="","",$M12-68-68)</f>
        <v/>
      </c>
      <c r="AI12" s="95">
        <f>IF($A12="","",2*$D12)</f>
        <v/>
      </c>
      <c r="AK12">
        <f>IF($A12="","",2*2*$D12)</f>
        <v/>
      </c>
      <c r="AL12">
        <f>IF($A12="","",$BC$7*$D12)</f>
        <v/>
      </c>
      <c r="AM12">
        <f>IF($A12="","",$BC$6*$D12)</f>
        <v/>
      </c>
      <c r="AN12">
        <f>IF($A12="","",$BC$9*$D12)</f>
        <v/>
      </c>
      <c r="AO12">
        <f>IF($A12="","",$BC$10*$D12)</f>
        <v/>
      </c>
      <c r="AP12">
        <f>IF($A12="","",2*$BC$6*$D12)</f>
        <v/>
      </c>
      <c r="AQ12">
        <f>IF($A12="","",IF($B12&gt;2800,2,IF($B12&gt;1400,1,0))*$BC$6*$D12)</f>
        <v/>
      </c>
      <c r="AR12">
        <f>IF($A12="","",2*$BC$6*$D12)</f>
        <v/>
      </c>
      <c r="AS12">
        <f>IF($A12="","",$BC$6*$D12)</f>
        <v/>
      </c>
      <c r="AT12">
        <f>IF($A12="","",2*$BC$6*$D12)</f>
        <v/>
      </c>
      <c r="AU12">
        <f>IF($A12="","",4*2*$D12)</f>
        <v/>
      </c>
      <c r="AV12">
        <f>IF($A12="","",16*2*$D12)</f>
        <v/>
      </c>
      <c r="AW12">
        <f>IF($A12="","",(2+MAX(0,ROUNDUP(($I12-1500)/500,0)))*$D12)</f>
        <v/>
      </c>
      <c r="AX12">
        <f>IF($A12="","",(2+MAX(0,ROUNDUP(($I12-1500)/500,0)))*$D12)</f>
        <v/>
      </c>
      <c r="AY12">
        <f>IF($A12="","",ROUND((2*2*($M12+$K12)*2*$D12+$S12*$T12)/1000,1))</f>
        <v/>
      </c>
      <c r="BA12" t="inlineStr">
        <is>
          <t>Alignดัมมี่ดำ</t>
        </is>
      </c>
      <c r="BB12" t="inlineStr">
        <is>
          <t>JR00376</t>
        </is>
      </c>
    </row>
    <row r="13" ht="40.15" customHeight="1">
      <c r="A13" s="99" t="n"/>
      <c r="B13" s="88" t="n"/>
      <c r="C13" s="89" t="n"/>
      <c r="D13" s="90" t="n"/>
      <c r="E13" s="91">
        <f>IF($A13="","",$B13)</f>
        <v/>
      </c>
      <c r="F13" s="89">
        <f>IF($A13="","",$L$54*$D13)</f>
        <v/>
      </c>
      <c r="G13" s="91">
        <f>IF($A13="","",$C13-$E$55-$F$55)</f>
        <v/>
      </c>
      <c r="H13" s="89">
        <f>IF($A13="","",$L$55*$D13)</f>
        <v/>
      </c>
      <c r="I13" s="91">
        <f>IF($A13="","",$C13-$E$56-$F$56)</f>
        <v/>
      </c>
      <c r="J13" s="89">
        <f>IF($A13="","",$L$56*$D13)</f>
        <v/>
      </c>
      <c r="K13" s="91">
        <f>IF($A13="","",$B13-$E$57-$F$57-$G$57)</f>
        <v/>
      </c>
      <c r="L13" s="89">
        <f>IF($A13="","",$L$57*$D13)</f>
        <v/>
      </c>
      <c r="M13" s="91">
        <f>IF($A13="","",(($C13-$E$58-$F$58-$G$58-$H$58-$I$58)/2)+(78*1)/2)</f>
        <v/>
      </c>
      <c r="N13" s="89">
        <f>IF($A13="","",$L$58*$D13)</f>
        <v/>
      </c>
      <c r="O13" s="91">
        <f>IF($A13="","",$K13-$E$59-$F$59)</f>
        <v/>
      </c>
      <c r="P13" s="89">
        <f>IF($A13="","",$L$59*$D13)</f>
        <v/>
      </c>
      <c r="Q13" s="91">
        <f>IF($A13="","",$M13-$E$60-$F$60)</f>
        <v/>
      </c>
      <c r="R13" s="89">
        <f>IF($A13="","",$L$60*$D13)</f>
        <v/>
      </c>
      <c r="S13" s="91">
        <f>IF($A13="","",$K13)</f>
        <v/>
      </c>
      <c r="T13" s="89">
        <f>IF($A13="","",$L$61*$D13)</f>
        <v/>
      </c>
      <c r="U13" s="91">
        <f>IF($A13="","",$B13-$E$62-$F$62)</f>
        <v/>
      </c>
      <c r="V13" s="89">
        <f>IF($A13="","",$L$62*$D13)</f>
        <v/>
      </c>
      <c r="W13" s="91">
        <f>IF($A13="","",$C13-$E$63-$F$63)</f>
        <v/>
      </c>
      <c r="X13" s="89">
        <f>IF($A13="","",$L$63*$D13)</f>
        <v/>
      </c>
      <c r="Y13" s="91">
        <f>IF($A13="","",$B13-$E$64-$F$64)</f>
        <v/>
      </c>
      <c r="Z13" s="89">
        <f>IF($A13="","",$L$64*$D13)</f>
        <v/>
      </c>
      <c r="AA13" s="91">
        <f>IF($A13="","",$S13)</f>
        <v/>
      </c>
      <c r="AB13" s="89">
        <f>IF($A13="","",$L$65*$D13)</f>
        <v/>
      </c>
      <c r="AC13" s="91">
        <f>IF($A13="","",$C13-$E$66-$F$66)</f>
        <v/>
      </c>
      <c r="AD13" s="89">
        <f>IF($A13="","",$L$66*$D13)</f>
        <v/>
      </c>
      <c r="AE13" s="91" t="n"/>
      <c r="AF13" s="89" t="n"/>
      <c r="AG13" s="93">
        <f>IF($A13="","",$K13-68-68)</f>
        <v/>
      </c>
      <c r="AH13" s="94">
        <f>IF($A13="","",$M13-68-68)</f>
        <v/>
      </c>
      <c r="AI13" s="95">
        <f>IF($A13="","",2*$D13)</f>
        <v/>
      </c>
      <c r="AK13">
        <f>IF($A13="","",2*2*$D13)</f>
        <v/>
      </c>
      <c r="AL13">
        <f>IF($A13="","",$BC$7*$D13)</f>
        <v/>
      </c>
      <c r="AM13">
        <f>IF($A13="","",$BC$6*$D13)</f>
        <v/>
      </c>
      <c r="AN13">
        <f>IF($A13="","",$BC$9*$D13)</f>
        <v/>
      </c>
      <c r="AO13">
        <f>IF($A13="","",$BC$10*$D13)</f>
        <v/>
      </c>
      <c r="AP13">
        <f>IF($A13="","",2*$BC$6*$D13)</f>
        <v/>
      </c>
      <c r="AQ13">
        <f>IF($A13="","",IF($B13&gt;2800,2,IF($B13&gt;1400,1,0))*$BC$6*$D13)</f>
        <v/>
      </c>
      <c r="AR13">
        <f>IF($A13="","",2*$BC$6*$D13)</f>
        <v/>
      </c>
      <c r="AS13">
        <f>IF($A13="","",$BC$6*$D13)</f>
        <v/>
      </c>
      <c r="AT13">
        <f>IF($A13="","",2*$BC$6*$D13)</f>
        <v/>
      </c>
      <c r="AU13">
        <f>IF($A13="","",4*2*$D13)</f>
        <v/>
      </c>
      <c r="AV13">
        <f>IF($A13="","",16*2*$D13)</f>
        <v/>
      </c>
      <c r="AW13">
        <f>IF($A13="","",(2+MAX(0,ROUNDUP(($I13-1500)/500,0)))*$D13)</f>
        <v/>
      </c>
      <c r="AX13">
        <f>IF($A13="","",(2+MAX(0,ROUNDUP(($I13-1500)/500,0)))*$D13)</f>
        <v/>
      </c>
      <c r="AY13">
        <f>IF($A13="","",ROUND((2*2*($M13+$K13)*2*$D13+$S13*$T13)/1000,1))</f>
        <v/>
      </c>
    </row>
    <row r="14" ht="40.15" customHeight="1">
      <c r="A14" s="99" t="n"/>
      <c r="B14" s="88" t="n"/>
      <c r="C14" s="89" t="n"/>
      <c r="D14" s="90" t="n"/>
      <c r="E14" s="96">
        <f>IF($A14="","",$B14)</f>
        <v/>
      </c>
      <c r="F14" s="97">
        <f>IF($A14="","",$L$54*$D14)</f>
        <v/>
      </c>
      <c r="G14" s="96">
        <f>IF($A14="","",$C14-$E$55-$F$55)</f>
        <v/>
      </c>
      <c r="H14" s="97">
        <f>IF($A14="","",$L$55*$D14)</f>
        <v/>
      </c>
      <c r="I14" s="96">
        <f>IF($A14="","",$C14-$E$56-$F$56)</f>
        <v/>
      </c>
      <c r="J14" s="97">
        <f>IF($A14="","",$L$56*$D14)</f>
        <v/>
      </c>
      <c r="K14" s="96">
        <f>IF($A14="","",$B14-$E$57-$F$57-$G$57)</f>
        <v/>
      </c>
      <c r="L14" s="97">
        <f>IF($A14="","",$L$57*$D14)</f>
        <v/>
      </c>
      <c r="M14" s="96">
        <f>IF($A14="","",(($C14-$E$58-$F$58-$G$58-$H$58-$I$58)/2)+(78*1)/2)</f>
        <v/>
      </c>
      <c r="N14" s="97">
        <f>IF($A14="","",$L$58*$D14)</f>
        <v/>
      </c>
      <c r="O14" s="96">
        <f>IF($A14="","",$K14-$E$59-$F$59)</f>
        <v/>
      </c>
      <c r="P14" s="97">
        <f>IF($A14="","",$L$59*$D14)</f>
        <v/>
      </c>
      <c r="Q14" s="96">
        <f>IF($A14="","",$M14-$E$60-$F$60)</f>
        <v/>
      </c>
      <c r="R14" s="97">
        <f>IF($A14="","",$L$60*$D14)</f>
        <v/>
      </c>
      <c r="S14" s="96">
        <f>IF($A14="","",$K14)</f>
        <v/>
      </c>
      <c r="T14" s="97">
        <f>IF($A14="","",$L$61*$D14)</f>
        <v/>
      </c>
      <c r="U14" s="96">
        <f>IF($A14="","",$B14-$E$62-$F$62)</f>
        <v/>
      </c>
      <c r="V14" s="97">
        <f>IF($A14="","",$L$62*$D14)</f>
        <v/>
      </c>
      <c r="W14" s="96">
        <f>IF($A14="","",$C14-$E$63-$F$63)</f>
        <v/>
      </c>
      <c r="X14" s="97">
        <f>IF($A14="","",$L$63*$D14)</f>
        <v/>
      </c>
      <c r="Y14" s="96">
        <f>IF($A14="","",$B14-$E$64-$F$64)</f>
        <v/>
      </c>
      <c r="Z14" s="97">
        <f>IF($A14="","",$L$64*$D14)</f>
        <v/>
      </c>
      <c r="AA14" s="96">
        <f>IF($A14="","",$S14)</f>
        <v/>
      </c>
      <c r="AB14" s="97">
        <f>IF($A14="","",$L$65*$D14)</f>
        <v/>
      </c>
      <c r="AC14" s="96">
        <f>IF($A14="","",$C14-$E$66-$F$66)</f>
        <v/>
      </c>
      <c r="AD14" s="97">
        <f>IF($A14="","",$L$66*$D14)</f>
        <v/>
      </c>
      <c r="AE14" s="96" t="n"/>
      <c r="AF14" s="97" t="n"/>
      <c r="AG14" s="93">
        <f>IF($A14="","",$K14-68-68)</f>
        <v/>
      </c>
      <c r="AH14" s="94">
        <f>IF($A14="","",$M14-68-68)</f>
        <v/>
      </c>
      <c r="AI14" s="95">
        <f>IF($A14="","",2*$D14)</f>
        <v/>
      </c>
      <c r="AK14">
        <f>IF($A14="","",2*2*$D14)</f>
        <v/>
      </c>
      <c r="AL14">
        <f>IF($A14="","",$BC$7*$D14)</f>
        <v/>
      </c>
      <c r="AM14">
        <f>IF($A14="","",$BC$6*$D14)</f>
        <v/>
      </c>
      <c r="AN14">
        <f>IF($A14="","",$BC$9*$D14)</f>
        <v/>
      </c>
      <c r="AO14">
        <f>IF($A14="","",$BC$10*$D14)</f>
        <v/>
      </c>
      <c r="AP14">
        <f>IF($A14="","",2*$BC$6*$D14)</f>
        <v/>
      </c>
      <c r="AQ14">
        <f>IF($A14="","",IF($B14&gt;2800,2,IF($B14&gt;1400,1,0))*$BC$6*$D14)</f>
        <v/>
      </c>
      <c r="AR14">
        <f>IF($A14="","",2*$BC$6*$D14)</f>
        <v/>
      </c>
      <c r="AS14">
        <f>IF($A14="","",$BC$6*$D14)</f>
        <v/>
      </c>
      <c r="AT14">
        <f>IF($A14="","",2*$BC$6*$D14)</f>
        <v/>
      </c>
      <c r="AU14">
        <f>IF($A14="","",4*2*$D14)</f>
        <v/>
      </c>
      <c r="AV14">
        <f>IF($A14="","",16*2*$D14)</f>
        <v/>
      </c>
      <c r="AW14">
        <f>IF($A14="","",(2+MAX(0,ROUNDUP(($I14-1500)/500,0)))*$D14)</f>
        <v/>
      </c>
      <c r="AX14">
        <f>IF($A14="","",(2+MAX(0,ROUNDUP(($I14-1500)/500,0)))*$D14)</f>
        <v/>
      </c>
      <c r="AY14">
        <f>IF($A14="","",ROUND((2*2*($M14+$K14)*2*$D14+$S14*$T14)/1000,1))</f>
        <v/>
      </c>
    </row>
    <row r="15" ht="40.15" customHeight="1">
      <c r="A15" s="99" t="n"/>
      <c r="B15" s="88" t="n"/>
      <c r="C15" s="89" t="n"/>
      <c r="D15" s="90" t="n"/>
      <c r="E15" s="91">
        <f>IF($A15="","",$B15)</f>
        <v/>
      </c>
      <c r="F15" s="89">
        <f>IF($A15="","",$L$54*$D15)</f>
        <v/>
      </c>
      <c r="G15" s="91">
        <f>IF($A15="","",$C15-$E$55-$F$55)</f>
        <v/>
      </c>
      <c r="H15" s="89">
        <f>IF($A15="","",$L$55*$D15)</f>
        <v/>
      </c>
      <c r="I15" s="91">
        <f>IF($A15="","",$C15-$E$56-$F$56)</f>
        <v/>
      </c>
      <c r="J15" s="89">
        <f>IF($A15="","",$L$56*$D15)</f>
        <v/>
      </c>
      <c r="K15" s="91">
        <f>IF($A15="","",$B15-$E$57-$F$57-$G$57)</f>
        <v/>
      </c>
      <c r="L15" s="89">
        <f>IF($A15="","",$L$57*$D15)</f>
        <v/>
      </c>
      <c r="M15" s="91">
        <f>IF($A15="","",(($C15-$E$58-$F$58-$G$58-$H$58-$I$58)/2)+(78*1)/2)</f>
        <v/>
      </c>
      <c r="N15" s="89">
        <f>IF($A15="","",$L$58*$D15)</f>
        <v/>
      </c>
      <c r="O15" s="91">
        <f>IF($A15="","",$K15-$E$59-$F$59)</f>
        <v/>
      </c>
      <c r="P15" s="89">
        <f>IF($A15="","",$L$59*$D15)</f>
        <v/>
      </c>
      <c r="Q15" s="91">
        <f>IF($A15="","",$M15-$E$60-$F$60)</f>
        <v/>
      </c>
      <c r="R15" s="89">
        <f>IF($A15="","",$L$60*$D15)</f>
        <v/>
      </c>
      <c r="S15" s="91">
        <f>IF($A15="","",$K15)</f>
        <v/>
      </c>
      <c r="T15" s="89">
        <f>IF($A15="","",$L$61*$D15)</f>
        <v/>
      </c>
      <c r="U15" s="91">
        <f>IF($A15="","",$B15-$E$62-$F$62)</f>
        <v/>
      </c>
      <c r="V15" s="89">
        <f>IF($A15="","",$L$62*$D15)</f>
        <v/>
      </c>
      <c r="W15" s="91">
        <f>IF($A15="","",$C15-$E$63-$F$63)</f>
        <v/>
      </c>
      <c r="X15" s="89">
        <f>IF($A15="","",$L$63*$D15)</f>
        <v/>
      </c>
      <c r="Y15" s="91">
        <f>IF($A15="","",$B15-$E$64-$F$64)</f>
        <v/>
      </c>
      <c r="Z15" s="89">
        <f>IF($A15="","",$L$64*$D15)</f>
        <v/>
      </c>
      <c r="AA15" s="91">
        <f>IF($A15="","",$S15)</f>
        <v/>
      </c>
      <c r="AB15" s="89">
        <f>IF($A15="","",$L$65*$D15)</f>
        <v/>
      </c>
      <c r="AC15" s="91">
        <f>IF($A15="","",$C15-$E$66-$F$66)</f>
        <v/>
      </c>
      <c r="AD15" s="89">
        <f>IF($A15="","",$L$66*$D15)</f>
        <v/>
      </c>
      <c r="AE15" s="91" t="n"/>
      <c r="AF15" s="89" t="n"/>
      <c r="AG15" s="93">
        <f>IF($A15="","",$K15-68-68)</f>
        <v/>
      </c>
      <c r="AH15" s="94">
        <f>IF($A15="","",$M15-68-68)</f>
        <v/>
      </c>
      <c r="AI15" s="95">
        <f>IF($A15="","",2*$D15)</f>
        <v/>
      </c>
      <c r="AK15">
        <f>IF($A15="","",2*2*$D15)</f>
        <v/>
      </c>
      <c r="AL15">
        <f>IF($A15="","",$BC$7*$D15)</f>
        <v/>
      </c>
      <c r="AM15">
        <f>IF($A15="","",$BC$6*$D15)</f>
        <v/>
      </c>
      <c r="AN15">
        <f>IF($A15="","",$BC$9*$D15)</f>
        <v/>
      </c>
      <c r="AO15">
        <f>IF($A15="","",$BC$10*$D15)</f>
        <v/>
      </c>
      <c r="AP15">
        <f>IF($A15="","",2*$BC$6*$D15)</f>
        <v/>
      </c>
      <c r="AQ15">
        <f>IF($A15="","",IF($B15&gt;2800,2,IF($B15&gt;1400,1,0))*$BC$6*$D15)</f>
        <v/>
      </c>
      <c r="AR15">
        <f>IF($A15="","",2*$BC$6*$D15)</f>
        <v/>
      </c>
      <c r="AS15">
        <f>IF($A15="","",$BC$6*$D15)</f>
        <v/>
      </c>
      <c r="AT15">
        <f>IF($A15="","",2*$BC$6*$D15)</f>
        <v/>
      </c>
      <c r="AU15">
        <f>IF($A15="","",4*2*$D15)</f>
        <v/>
      </c>
      <c r="AV15">
        <f>IF($A15="","",16*2*$D15)</f>
        <v/>
      </c>
      <c r="AW15">
        <f>IF($A15="","",(2+MAX(0,ROUNDUP(($I15-1500)/500,0)))*$D15)</f>
        <v/>
      </c>
      <c r="AX15">
        <f>IF($A15="","",(2+MAX(0,ROUNDUP(($I15-1500)/500,0)))*$D15)</f>
        <v/>
      </c>
      <c r="AY15">
        <f>IF($A15="","",ROUND((2*2*($M15+$K15)*2*$D15+$S15*$T15)/1000,1))</f>
        <v/>
      </c>
    </row>
    <row r="16" ht="40.15" customHeight="1">
      <c r="A16" s="99" t="n"/>
      <c r="B16" s="88" t="n"/>
      <c r="C16" s="89" t="n"/>
      <c r="D16" s="90" t="n"/>
      <c r="E16" s="96">
        <f>IF($A16="","",$B16)</f>
        <v/>
      </c>
      <c r="F16" s="97">
        <f>IF($A16="","",$L$54*$D16)</f>
        <v/>
      </c>
      <c r="G16" s="96">
        <f>IF($A16="","",$C16-$E$55-$F$55)</f>
        <v/>
      </c>
      <c r="H16" s="97">
        <f>IF($A16="","",$L$55*$D16)</f>
        <v/>
      </c>
      <c r="I16" s="96">
        <f>IF($A16="","",$C16-$E$56-$F$56)</f>
        <v/>
      </c>
      <c r="J16" s="97">
        <f>IF($A16="","",$L$56*$D16)</f>
        <v/>
      </c>
      <c r="K16" s="96">
        <f>IF($A16="","",$B16-$E$57-$F$57-$G$57)</f>
        <v/>
      </c>
      <c r="L16" s="97">
        <f>IF($A16="","",$L$57*$D16)</f>
        <v/>
      </c>
      <c r="M16" s="96">
        <f>IF($A16="","",(($C16-$E$58-$F$58-$G$58-$H$58-$I$58)/2)+(78*1)/2)</f>
        <v/>
      </c>
      <c r="N16" s="97">
        <f>IF($A16="","",$L$58*$D16)</f>
        <v/>
      </c>
      <c r="O16" s="96">
        <f>IF($A16="","",$K16-$E$59-$F$59)</f>
        <v/>
      </c>
      <c r="P16" s="97">
        <f>IF($A16="","",$L$59*$D16)</f>
        <v/>
      </c>
      <c r="Q16" s="96">
        <f>IF($A16="","",$M16-$E$60-$F$60)</f>
        <v/>
      </c>
      <c r="R16" s="97">
        <f>IF($A16="","",$L$60*$D16)</f>
        <v/>
      </c>
      <c r="S16" s="96">
        <f>IF($A16="","",$K16)</f>
        <v/>
      </c>
      <c r="T16" s="97">
        <f>IF($A16="","",$L$61*$D16)</f>
        <v/>
      </c>
      <c r="U16" s="96">
        <f>IF($A16="","",$B16-$E$62-$F$62)</f>
        <v/>
      </c>
      <c r="V16" s="97">
        <f>IF($A16="","",$L$62*$D16)</f>
        <v/>
      </c>
      <c r="W16" s="96">
        <f>IF($A16="","",$C16-$E$63-$F$63)</f>
        <v/>
      </c>
      <c r="X16" s="97">
        <f>IF($A16="","",$L$63*$D16)</f>
        <v/>
      </c>
      <c r="Y16" s="96">
        <f>IF($A16="","",$B16-$E$64-$F$64)</f>
        <v/>
      </c>
      <c r="Z16" s="97">
        <f>IF($A16="","",$L$64*$D16)</f>
        <v/>
      </c>
      <c r="AA16" s="96">
        <f>IF($A16="","",$S16)</f>
        <v/>
      </c>
      <c r="AB16" s="97">
        <f>IF($A16="","",$L$65*$D16)</f>
        <v/>
      </c>
      <c r="AC16" s="96">
        <f>IF($A16="","",$C16-$E$66-$F$66)</f>
        <v/>
      </c>
      <c r="AD16" s="97">
        <f>IF($A16="","",$L$66*$D16)</f>
        <v/>
      </c>
      <c r="AE16" s="96" t="n"/>
      <c r="AF16" s="97" t="n"/>
      <c r="AG16" s="93">
        <f>IF($A16="","",$K16-68-68)</f>
        <v/>
      </c>
      <c r="AH16" s="94">
        <f>IF($A16="","",$M16-68-68)</f>
        <v/>
      </c>
      <c r="AI16" s="95">
        <f>IF($A16="","",2*$D16)</f>
        <v/>
      </c>
      <c r="AK16">
        <f>IF($A16="","",2*2*$D16)</f>
        <v/>
      </c>
      <c r="AL16">
        <f>IF($A16="","",$BC$7*$D16)</f>
        <v/>
      </c>
      <c r="AM16">
        <f>IF($A16="","",$BC$6*$D16)</f>
        <v/>
      </c>
      <c r="AN16">
        <f>IF($A16="","",$BC$9*$D16)</f>
        <v/>
      </c>
      <c r="AO16">
        <f>IF($A16="","",$BC$10*$D16)</f>
        <v/>
      </c>
      <c r="AP16">
        <f>IF($A16="","",2*$BC$6*$D16)</f>
        <v/>
      </c>
      <c r="AQ16">
        <f>IF($A16="","",IF($B16&gt;2800,2,IF($B16&gt;1400,1,0))*$BC$6*$D16)</f>
        <v/>
      </c>
      <c r="AR16">
        <f>IF($A16="","",2*$BC$6*$D16)</f>
        <v/>
      </c>
      <c r="AS16">
        <f>IF($A16="","",$BC$6*$D16)</f>
        <v/>
      </c>
      <c r="AT16">
        <f>IF($A16="","",2*$BC$6*$D16)</f>
        <v/>
      </c>
      <c r="AU16">
        <f>IF($A16="","",4*2*$D16)</f>
        <v/>
      </c>
      <c r="AV16">
        <f>IF($A16="","",16*2*$D16)</f>
        <v/>
      </c>
      <c r="AW16">
        <f>IF($A16="","",(2+MAX(0,ROUNDUP(($I16-1500)/500,0)))*$D16)</f>
        <v/>
      </c>
      <c r="AX16">
        <f>IF($A16="","",(2+MAX(0,ROUNDUP(($I16-1500)/500,0)))*$D16)</f>
        <v/>
      </c>
      <c r="AY16">
        <f>IF($A16="","",ROUND((2*2*($M16+$K16)*2*$D16+$S16*$T16)/1000,1))</f>
        <v/>
      </c>
    </row>
    <row r="17" ht="40.15" customHeight="1">
      <c r="A17" s="99" t="n"/>
      <c r="B17" s="88" t="n"/>
      <c r="C17" s="89" t="n"/>
      <c r="D17" s="90" t="n"/>
      <c r="E17" s="91">
        <f>IF($A17="","",$B17)</f>
        <v/>
      </c>
      <c r="F17" s="89">
        <f>IF($A17="","",$L$54*$D17)</f>
        <v/>
      </c>
      <c r="G17" s="91">
        <f>IF($A17="","",$C17-$E$55-$F$55)</f>
        <v/>
      </c>
      <c r="H17" s="89">
        <f>IF($A17="","",$L$55*$D17)</f>
        <v/>
      </c>
      <c r="I17" s="91">
        <f>IF($A17="","",$C17-$E$56-$F$56)</f>
        <v/>
      </c>
      <c r="J17" s="89">
        <f>IF($A17="","",$L$56*$D17)</f>
        <v/>
      </c>
      <c r="K17" s="91">
        <f>IF($A17="","",$B17-$E$57-$F$57-$G$57)</f>
        <v/>
      </c>
      <c r="L17" s="89">
        <f>IF($A17="","",$L$57*$D17)</f>
        <v/>
      </c>
      <c r="M17" s="91">
        <f>IF($A17="","",(($C17-$E$58-$F$58-$G$58-$H$58-$I$58)/2)+(78*1)/2)</f>
        <v/>
      </c>
      <c r="N17" s="89">
        <f>IF($A17="","",$L$58*$D17)</f>
        <v/>
      </c>
      <c r="O17" s="91">
        <f>IF($A17="","",$K17-$E$59-$F$59)</f>
        <v/>
      </c>
      <c r="P17" s="89">
        <f>IF($A17="","",$L$59*$D17)</f>
        <v/>
      </c>
      <c r="Q17" s="91">
        <f>IF($A17="","",$M17-$E$60-$F$60)</f>
        <v/>
      </c>
      <c r="R17" s="89">
        <f>IF($A17="","",$L$60*$D17)</f>
        <v/>
      </c>
      <c r="S17" s="91">
        <f>IF($A17="","",$K17)</f>
        <v/>
      </c>
      <c r="T17" s="89">
        <f>IF($A17="","",$L$61*$D17)</f>
        <v/>
      </c>
      <c r="U17" s="91">
        <f>IF($A17="","",$B17-$E$62-$F$62)</f>
        <v/>
      </c>
      <c r="V17" s="89">
        <f>IF($A17="","",$L$62*$D17)</f>
        <v/>
      </c>
      <c r="W17" s="91">
        <f>IF($A17="","",$C17-$E$63-$F$63)</f>
        <v/>
      </c>
      <c r="X17" s="89">
        <f>IF($A17="","",$L$63*$D17)</f>
        <v/>
      </c>
      <c r="Y17" s="91">
        <f>IF($A17="","",$B17-$E$64-$F$64)</f>
        <v/>
      </c>
      <c r="Z17" s="89">
        <f>IF($A17="","",$L$64*$D17)</f>
        <v/>
      </c>
      <c r="AA17" s="91">
        <f>IF($A17="","",$S17)</f>
        <v/>
      </c>
      <c r="AB17" s="89">
        <f>IF($A17="","",$L$65*$D17)</f>
        <v/>
      </c>
      <c r="AC17" s="91">
        <f>IF($A17="","",$C17-$E$66-$F$66)</f>
        <v/>
      </c>
      <c r="AD17" s="89">
        <f>IF($A17="","",$L$66*$D17)</f>
        <v/>
      </c>
      <c r="AE17" s="91" t="n"/>
      <c r="AF17" s="89" t="n"/>
      <c r="AG17" s="93">
        <f>IF($A17="","",$K17-68-68)</f>
        <v/>
      </c>
      <c r="AH17" s="94">
        <f>IF($A17="","",$M17-68-68)</f>
        <v/>
      </c>
      <c r="AI17" s="95">
        <f>IF($A17="","",2*$D17)</f>
        <v/>
      </c>
      <c r="AK17">
        <f>IF($A17="","",2*2*$D17)</f>
        <v/>
      </c>
      <c r="AL17">
        <f>IF($A17="","",$BC$7*$D17)</f>
        <v/>
      </c>
      <c r="AM17">
        <f>IF($A17="","",$BC$6*$D17)</f>
        <v/>
      </c>
      <c r="AN17">
        <f>IF($A17="","",$BC$9*$D17)</f>
        <v/>
      </c>
      <c r="AO17">
        <f>IF($A17="","",$BC$10*$D17)</f>
        <v/>
      </c>
      <c r="AP17">
        <f>IF($A17="","",2*$BC$6*$D17)</f>
        <v/>
      </c>
      <c r="AQ17">
        <f>IF($A17="","",IF($B17&gt;2800,2,IF($B17&gt;1400,1,0))*$BC$6*$D17)</f>
        <v/>
      </c>
      <c r="AR17">
        <f>IF($A17="","",2*$BC$6*$D17)</f>
        <v/>
      </c>
      <c r="AS17">
        <f>IF($A17="","",$BC$6*$D17)</f>
        <v/>
      </c>
      <c r="AT17">
        <f>IF($A17="","",2*$BC$6*$D17)</f>
        <v/>
      </c>
      <c r="AU17">
        <f>IF($A17="","",4*2*$D17)</f>
        <v/>
      </c>
      <c r="AV17">
        <f>IF($A17="","",16*2*$D17)</f>
        <v/>
      </c>
      <c r="AW17">
        <f>IF($A17="","",(2+MAX(0,ROUNDUP(($I17-1500)/500,0)))*$D17)</f>
        <v/>
      </c>
      <c r="AX17">
        <f>IF($A17="","",(2+MAX(0,ROUNDUP(($I17-1500)/500,0)))*$D17)</f>
        <v/>
      </c>
      <c r="AY17">
        <f>IF($A17="","",ROUND((2*2*($M17+$K17)*2*$D17+$S17*$T17)/1000,1))</f>
        <v/>
      </c>
    </row>
    <row r="18" ht="40.15" customHeight="1">
      <c r="A18" s="99" t="n"/>
      <c r="B18" s="88" t="n"/>
      <c r="C18" s="89" t="n"/>
      <c r="D18" s="90" t="n"/>
      <c r="E18" s="96">
        <f>IF($A18="","",$B18)</f>
        <v/>
      </c>
      <c r="F18" s="97">
        <f>IF($A18="","",$L$54*$D18)</f>
        <v/>
      </c>
      <c r="G18" s="96">
        <f>IF($A18="","",$C18-$E$55-$F$55)</f>
        <v/>
      </c>
      <c r="H18" s="97">
        <f>IF($A18="","",$L$55*$D18)</f>
        <v/>
      </c>
      <c r="I18" s="96">
        <f>IF($A18="","",$C18-$E$56-$F$56)</f>
        <v/>
      </c>
      <c r="J18" s="97">
        <f>IF($A18="","",$L$56*$D18)</f>
        <v/>
      </c>
      <c r="K18" s="96">
        <f>IF($A18="","",$B18-$E$57-$F$57-$G$57)</f>
        <v/>
      </c>
      <c r="L18" s="97">
        <f>IF($A18="","",$L$57*$D18)</f>
        <v/>
      </c>
      <c r="M18" s="96">
        <f>IF($A18="","",(($C18-$E$58-$F$58-$G$58-$H$58-$I$58)/2)+(78*1)/2)</f>
        <v/>
      </c>
      <c r="N18" s="97">
        <f>IF($A18="","",$L$58*$D18)</f>
        <v/>
      </c>
      <c r="O18" s="96">
        <f>IF($A18="","",$K18-$E$59-$F$59)</f>
        <v/>
      </c>
      <c r="P18" s="97">
        <f>IF($A18="","",$L$59*$D18)</f>
        <v/>
      </c>
      <c r="Q18" s="96">
        <f>IF($A18="","",$M18-$E$60-$F$60)</f>
        <v/>
      </c>
      <c r="R18" s="97">
        <f>IF($A18="","",$L$60*$D18)</f>
        <v/>
      </c>
      <c r="S18" s="96">
        <f>IF($A18="","",$K18)</f>
        <v/>
      </c>
      <c r="T18" s="97">
        <f>IF($A18="","",$L$61*$D18)</f>
        <v/>
      </c>
      <c r="U18" s="96">
        <f>IF($A18="","",$B18-$E$62-$F$62)</f>
        <v/>
      </c>
      <c r="V18" s="97">
        <f>IF($A18="","",$L$62*$D18)</f>
        <v/>
      </c>
      <c r="W18" s="96">
        <f>IF($A18="","",$C18-$E$63-$F$63)</f>
        <v/>
      </c>
      <c r="X18" s="97">
        <f>IF($A18="","",$L$63*$D18)</f>
        <v/>
      </c>
      <c r="Y18" s="96">
        <f>IF($A18="","",$B18-$E$64-$F$64)</f>
        <v/>
      </c>
      <c r="Z18" s="97">
        <f>IF($A18="","",$L$64*$D18)</f>
        <v/>
      </c>
      <c r="AA18" s="96">
        <f>IF($A18="","",$S18)</f>
        <v/>
      </c>
      <c r="AB18" s="97">
        <f>IF($A18="","",$L$65*$D18)</f>
        <v/>
      </c>
      <c r="AC18" s="96">
        <f>IF($A18="","",$C18-$E$66-$F$66)</f>
        <v/>
      </c>
      <c r="AD18" s="97">
        <f>IF($A18="","",$L$66*$D18)</f>
        <v/>
      </c>
      <c r="AE18" s="96" t="n"/>
      <c r="AF18" s="97" t="n"/>
      <c r="AG18" s="93">
        <f>IF($A18="","",$K18-68-68)</f>
        <v/>
      </c>
      <c r="AH18" s="94">
        <f>IF($A18="","",$M18-68-68)</f>
        <v/>
      </c>
      <c r="AI18" s="95">
        <f>IF($A18="","",2*$D18)</f>
        <v/>
      </c>
      <c r="AK18">
        <f>IF($A18="","",2*2*$D18)</f>
        <v/>
      </c>
      <c r="AL18">
        <f>IF($A18="","",$BC$7*$D18)</f>
        <v/>
      </c>
      <c r="AM18">
        <f>IF($A18="","",$BC$6*$D18)</f>
        <v/>
      </c>
      <c r="AN18">
        <f>IF($A18="","",$BC$9*$D18)</f>
        <v/>
      </c>
      <c r="AO18">
        <f>IF($A18="","",$BC$10*$D18)</f>
        <v/>
      </c>
      <c r="AP18">
        <f>IF($A18="","",2*$BC$6*$D18)</f>
        <v/>
      </c>
      <c r="AQ18">
        <f>IF($A18="","",IF($B18&gt;2800,2,IF($B18&gt;1400,1,0))*$BC$6*$D18)</f>
        <v/>
      </c>
      <c r="AR18">
        <f>IF($A18="","",2*$BC$6*$D18)</f>
        <v/>
      </c>
      <c r="AS18">
        <f>IF($A18="","",$BC$6*$D18)</f>
        <v/>
      </c>
      <c r="AT18">
        <f>IF($A18="","",2*$BC$6*$D18)</f>
        <v/>
      </c>
      <c r="AU18">
        <f>IF($A18="","",4*2*$D18)</f>
        <v/>
      </c>
      <c r="AV18">
        <f>IF($A18="","",16*2*$D18)</f>
        <v/>
      </c>
      <c r="AW18">
        <f>IF($A18="","",(2+MAX(0,ROUNDUP(($I18-1500)/500,0)))*$D18)</f>
        <v/>
      </c>
      <c r="AX18">
        <f>IF($A18="","",(2+MAX(0,ROUNDUP(($I18-1500)/500,0)))*$D18)</f>
        <v/>
      </c>
      <c r="AY18">
        <f>IF($A18="","",ROUND((2*2*($M18+$K18)*2*$D18+$S18*$T18)/1000,1))</f>
        <v/>
      </c>
    </row>
    <row r="19" ht="40.15" customHeight="1">
      <c r="A19" s="99" t="n"/>
      <c r="B19" s="88" t="n"/>
      <c r="C19" s="89" t="n"/>
      <c r="D19" s="90" t="n"/>
      <c r="E19" s="91">
        <f>IF($A19="","",$B19)</f>
        <v/>
      </c>
      <c r="F19" s="89">
        <f>IF($A19="","",$L$54*$D19)</f>
        <v/>
      </c>
      <c r="G19" s="91">
        <f>IF($A19="","",$C19-$E$55-$F$55)</f>
        <v/>
      </c>
      <c r="H19" s="89">
        <f>IF($A19="","",$L$55*$D19)</f>
        <v/>
      </c>
      <c r="I19" s="91">
        <f>IF($A19="","",$C19-$E$56-$F$56)</f>
        <v/>
      </c>
      <c r="J19" s="89">
        <f>IF($A19="","",$L$56*$D19)</f>
        <v/>
      </c>
      <c r="K19" s="91">
        <f>IF($A19="","",$B19-$E$57-$F$57-$G$57)</f>
        <v/>
      </c>
      <c r="L19" s="89">
        <f>IF($A19="","",$L$57*$D19)</f>
        <v/>
      </c>
      <c r="M19" s="91">
        <f>IF($A19="","",(($C19-$E$58-$F$58-$G$58-$H$58-$I$58)/2)+(78*1)/2)</f>
        <v/>
      </c>
      <c r="N19" s="89">
        <f>IF($A19="","",$L$58*$D19)</f>
        <v/>
      </c>
      <c r="O19" s="91">
        <f>IF($A19="","",$K19-$E$59-$F$59)</f>
        <v/>
      </c>
      <c r="P19" s="89">
        <f>IF($A19="","",$L$59*$D19)</f>
        <v/>
      </c>
      <c r="Q19" s="91">
        <f>IF($A19="","",$M19-$E$60-$F$60)</f>
        <v/>
      </c>
      <c r="R19" s="89">
        <f>IF($A19="","",$L$60*$D19)</f>
        <v/>
      </c>
      <c r="S19" s="91">
        <f>IF($A19="","",$K19)</f>
        <v/>
      </c>
      <c r="T19" s="89">
        <f>IF($A19="","",$L$61*$D19)</f>
        <v/>
      </c>
      <c r="U19" s="91">
        <f>IF($A19="","",$B19-$E$62-$F$62)</f>
        <v/>
      </c>
      <c r="V19" s="89">
        <f>IF($A19="","",$L$62*$D19)</f>
        <v/>
      </c>
      <c r="W19" s="91">
        <f>IF($A19="","",$C19-$E$63-$F$63)</f>
        <v/>
      </c>
      <c r="X19" s="89">
        <f>IF($A19="","",$L$63*$D19)</f>
        <v/>
      </c>
      <c r="Y19" s="91">
        <f>IF($A19="","",$B19-$E$64-$F$64)</f>
        <v/>
      </c>
      <c r="Z19" s="89">
        <f>IF($A19="","",$L$64*$D19)</f>
        <v/>
      </c>
      <c r="AA19" s="91">
        <f>IF($A19="","",$S19)</f>
        <v/>
      </c>
      <c r="AB19" s="89">
        <f>IF($A19="","",$L$65*$D19)</f>
        <v/>
      </c>
      <c r="AC19" s="91">
        <f>IF($A19="","",$C19-$E$66-$F$66)</f>
        <v/>
      </c>
      <c r="AD19" s="89">
        <f>IF($A19="","",$L$66*$D19)</f>
        <v/>
      </c>
      <c r="AE19" s="91" t="n"/>
      <c r="AF19" s="89" t="n"/>
      <c r="AG19" s="93">
        <f>IF($A19="","",$K19-68-68)</f>
        <v/>
      </c>
      <c r="AH19" s="94">
        <f>IF($A19="","",$M19-68-68)</f>
        <v/>
      </c>
      <c r="AI19" s="95">
        <f>IF($A19="","",2*$D19)</f>
        <v/>
      </c>
      <c r="AK19">
        <f>IF($A19="","",2*2*$D19)</f>
        <v/>
      </c>
      <c r="AL19">
        <f>IF($A19="","",$BC$7*$D19)</f>
        <v/>
      </c>
      <c r="AM19">
        <f>IF($A19="","",$BC$6*$D19)</f>
        <v/>
      </c>
      <c r="AN19">
        <f>IF($A19="","",$BC$9*$D19)</f>
        <v/>
      </c>
      <c r="AO19">
        <f>IF($A19="","",$BC$10*$D19)</f>
        <v/>
      </c>
      <c r="AP19">
        <f>IF($A19="","",2*$BC$6*$D19)</f>
        <v/>
      </c>
      <c r="AQ19">
        <f>IF($A19="","",IF($B19&gt;2800,2,IF($B19&gt;1400,1,0))*$BC$6*$D19)</f>
        <v/>
      </c>
      <c r="AR19">
        <f>IF($A19="","",2*$BC$6*$D19)</f>
        <v/>
      </c>
      <c r="AS19">
        <f>IF($A19="","",$BC$6*$D19)</f>
        <v/>
      </c>
      <c r="AT19">
        <f>IF($A19="","",2*$BC$6*$D19)</f>
        <v/>
      </c>
      <c r="AU19">
        <f>IF($A19="","",4*2*$D19)</f>
        <v/>
      </c>
      <c r="AV19">
        <f>IF($A19="","",16*2*$D19)</f>
        <v/>
      </c>
      <c r="AW19">
        <f>IF($A19="","",(2+MAX(0,ROUNDUP(($I19-1500)/500,0)))*$D19)</f>
        <v/>
      </c>
      <c r="AX19">
        <f>IF($A19="","",(2+MAX(0,ROUNDUP(($I19-1500)/500,0)))*$D19)</f>
        <v/>
      </c>
      <c r="AY19">
        <f>IF($A19="","",ROUND((2*2*($M19+$K19)*2*$D19+$S19*$T19)/1000,1))</f>
        <v/>
      </c>
    </row>
    <row r="20" ht="40.15" customHeight="1">
      <c r="A20" s="99" t="n"/>
      <c r="B20" s="88" t="n"/>
      <c r="C20" s="89" t="n"/>
      <c r="D20" s="90" t="n"/>
      <c r="E20" s="96">
        <f>IF($A20="","",$B20)</f>
        <v/>
      </c>
      <c r="F20" s="97">
        <f>IF($A20="","",$L$54*$D20)</f>
        <v/>
      </c>
      <c r="G20" s="96">
        <f>IF($A20="","",$C20-$E$55-$F$55)</f>
        <v/>
      </c>
      <c r="H20" s="97">
        <f>IF($A20="","",$L$55*$D20)</f>
        <v/>
      </c>
      <c r="I20" s="96">
        <f>IF($A20="","",$C20-$E$56-$F$56)</f>
        <v/>
      </c>
      <c r="J20" s="97">
        <f>IF($A20="","",$L$56*$D20)</f>
        <v/>
      </c>
      <c r="K20" s="96">
        <f>IF($A20="","",$B20-$E$57-$F$57-$G$57)</f>
        <v/>
      </c>
      <c r="L20" s="97">
        <f>IF($A20="","",$L$57*$D20)</f>
        <v/>
      </c>
      <c r="M20" s="96">
        <f>IF($A20="","",(($C20-$E$58-$F$58-$G$58-$H$58-$I$58)/2)+(78*1)/2)</f>
        <v/>
      </c>
      <c r="N20" s="97">
        <f>IF($A20="","",$L$58*$D20)</f>
        <v/>
      </c>
      <c r="O20" s="96">
        <f>IF($A20="","",$K20-$E$59-$F$59)</f>
        <v/>
      </c>
      <c r="P20" s="97">
        <f>IF($A20="","",$L$59*$D20)</f>
        <v/>
      </c>
      <c r="Q20" s="96">
        <f>IF($A20="","",$M20-$E$60-$F$60)</f>
        <v/>
      </c>
      <c r="R20" s="97">
        <f>IF($A20="","",$L$60*$D20)</f>
        <v/>
      </c>
      <c r="S20" s="96">
        <f>IF($A20="","",$K20)</f>
        <v/>
      </c>
      <c r="T20" s="97">
        <f>IF($A20="","",$L$61*$D20)</f>
        <v/>
      </c>
      <c r="U20" s="96">
        <f>IF($A20="","",$B20-$E$62-$F$62)</f>
        <v/>
      </c>
      <c r="V20" s="97">
        <f>IF($A20="","",$L$62*$D20)</f>
        <v/>
      </c>
      <c r="W20" s="96">
        <f>IF($A20="","",$C20-$E$63-$F$63)</f>
        <v/>
      </c>
      <c r="X20" s="97">
        <f>IF($A20="","",$L$63*$D20)</f>
        <v/>
      </c>
      <c r="Y20" s="96">
        <f>IF($A20="","",$B20-$E$64-$F$64)</f>
        <v/>
      </c>
      <c r="Z20" s="97">
        <f>IF($A20="","",$L$64*$D20)</f>
        <v/>
      </c>
      <c r="AA20" s="96">
        <f>IF($A20="","",$S20)</f>
        <v/>
      </c>
      <c r="AB20" s="97">
        <f>IF($A20="","",$L$65*$D20)</f>
        <v/>
      </c>
      <c r="AC20" s="96">
        <f>IF($A20="","",$C20-$E$66-$F$66)</f>
        <v/>
      </c>
      <c r="AD20" s="97">
        <f>IF($A20="","",$L$66*$D20)</f>
        <v/>
      </c>
      <c r="AE20" s="96" t="n"/>
      <c r="AF20" s="97" t="n"/>
      <c r="AG20" s="93">
        <f>IF($A20="","",$K20-68-68)</f>
        <v/>
      </c>
      <c r="AH20" s="94">
        <f>IF($A20="","",$M20-68-68)</f>
        <v/>
      </c>
      <c r="AI20" s="95">
        <f>IF($A20="","",2*$D20)</f>
        <v/>
      </c>
      <c r="AK20">
        <f>IF($A20="","",2*2*$D20)</f>
        <v/>
      </c>
      <c r="AL20">
        <f>IF($A20="","",$BC$7*$D20)</f>
        <v/>
      </c>
      <c r="AM20">
        <f>IF($A20="","",$BC$6*$D20)</f>
        <v/>
      </c>
      <c r="AN20">
        <f>IF($A20="","",$BC$9*$D20)</f>
        <v/>
      </c>
      <c r="AO20">
        <f>IF($A20="","",$BC$10*$D20)</f>
        <v/>
      </c>
      <c r="AP20">
        <f>IF($A20="","",2*$BC$6*$D20)</f>
        <v/>
      </c>
      <c r="AQ20">
        <f>IF($A20="","",IF($B20&gt;2800,2,IF($B20&gt;1400,1,0))*$BC$6*$D20)</f>
        <v/>
      </c>
      <c r="AR20">
        <f>IF($A20="","",2*$BC$6*$D20)</f>
        <v/>
      </c>
      <c r="AS20">
        <f>IF($A20="","",$BC$6*$D20)</f>
        <v/>
      </c>
      <c r="AT20">
        <f>IF($A20="","",2*$BC$6*$D20)</f>
        <v/>
      </c>
      <c r="AU20">
        <f>IF($A20="","",4*2*$D20)</f>
        <v/>
      </c>
      <c r="AV20">
        <f>IF($A20="","",16*2*$D20)</f>
        <v/>
      </c>
      <c r="AW20">
        <f>IF($A20="","",(2+MAX(0,ROUNDUP(($I20-1500)/500,0)))*$D20)</f>
        <v/>
      </c>
      <c r="AX20">
        <f>IF($A20="","",(2+MAX(0,ROUNDUP(($I20-1500)/500,0)))*$D20)</f>
        <v/>
      </c>
      <c r="AY20">
        <f>IF($A20="","",ROUND((2*2*($M20+$K20)*2*$D20+$S20*$T20)/1000,1))</f>
        <v/>
      </c>
    </row>
    <row r="21" ht="40.15" customHeight="1">
      <c r="A21" s="99" t="n"/>
      <c r="B21" s="88" t="n"/>
      <c r="C21" s="89" t="n"/>
      <c r="D21" s="90" t="n"/>
      <c r="E21" s="91">
        <f>IF($A21="","",$B21)</f>
        <v/>
      </c>
      <c r="F21" s="89">
        <f>IF($A21="","",$L$54*$D21)</f>
        <v/>
      </c>
      <c r="G21" s="91">
        <f>IF($A21="","",$C21-$E$55-$F$55)</f>
        <v/>
      </c>
      <c r="H21" s="89">
        <f>IF($A21="","",$L$55*$D21)</f>
        <v/>
      </c>
      <c r="I21" s="91">
        <f>IF($A21="","",$C21-$E$56-$F$56)</f>
        <v/>
      </c>
      <c r="J21" s="89">
        <f>IF($A21="","",$L$56*$D21)</f>
        <v/>
      </c>
      <c r="K21" s="91">
        <f>IF($A21="","",$B21-$E$57-$F$57-$G$57)</f>
        <v/>
      </c>
      <c r="L21" s="89">
        <f>IF($A21="","",$L$57*$D21)</f>
        <v/>
      </c>
      <c r="M21" s="91">
        <f>IF($A21="","",(($C21-$E$58-$F$58-$G$58-$H$58-$I$58)/2)+(78*1)/2)</f>
        <v/>
      </c>
      <c r="N21" s="89">
        <f>IF($A21="","",$L$58*$D21)</f>
        <v/>
      </c>
      <c r="O21" s="91">
        <f>IF($A21="","",$K21-$E$59-$F$59)</f>
        <v/>
      </c>
      <c r="P21" s="89">
        <f>IF($A21="","",$L$59*$D21)</f>
        <v/>
      </c>
      <c r="Q21" s="91">
        <f>IF($A21="","",$M21-$E$60-$F$60)</f>
        <v/>
      </c>
      <c r="R21" s="89">
        <f>IF($A21="","",$L$60*$D21)</f>
        <v/>
      </c>
      <c r="S21" s="91">
        <f>IF($A21="","",$K21)</f>
        <v/>
      </c>
      <c r="T21" s="89">
        <f>IF($A21="","",$L$61*$D21)</f>
        <v/>
      </c>
      <c r="U21" s="91">
        <f>IF($A21="","",$B21-$E$62-$F$62)</f>
        <v/>
      </c>
      <c r="V21" s="89">
        <f>IF($A21="","",$L$62*$D21)</f>
        <v/>
      </c>
      <c r="W21" s="91">
        <f>IF($A21="","",$C21-$E$63-$F$63)</f>
        <v/>
      </c>
      <c r="X21" s="89">
        <f>IF($A21="","",$L$63*$D21)</f>
        <v/>
      </c>
      <c r="Y21" s="91">
        <f>IF($A21="","",$B21-$E$64-$F$64)</f>
        <v/>
      </c>
      <c r="Z21" s="89">
        <f>IF($A21="","",$L$64*$D21)</f>
        <v/>
      </c>
      <c r="AA21" s="91">
        <f>IF($A21="","",$S21)</f>
        <v/>
      </c>
      <c r="AB21" s="89">
        <f>IF($A21="","",$L$65*$D21)</f>
        <v/>
      </c>
      <c r="AC21" s="91">
        <f>IF($A21="","",$C21-$E$66-$F$66)</f>
        <v/>
      </c>
      <c r="AD21" s="89">
        <f>IF($A21="","",$L$66*$D21)</f>
        <v/>
      </c>
      <c r="AE21" s="91" t="n"/>
      <c r="AF21" s="89" t="n"/>
      <c r="AG21" s="93">
        <f>IF($A21="","",$K21-68-68)</f>
        <v/>
      </c>
      <c r="AH21" s="94">
        <f>IF($A21="","",$M21-68-68)</f>
        <v/>
      </c>
      <c r="AI21" s="95">
        <f>IF($A21="","",2*$D21)</f>
        <v/>
      </c>
      <c r="AK21">
        <f>IF($A21="","",2*2*$D21)</f>
        <v/>
      </c>
      <c r="AL21">
        <f>IF($A21="","",$BC$7*$D21)</f>
        <v/>
      </c>
      <c r="AM21">
        <f>IF($A21="","",$BC$6*$D21)</f>
        <v/>
      </c>
      <c r="AN21">
        <f>IF($A21="","",$BC$9*$D21)</f>
        <v/>
      </c>
      <c r="AO21">
        <f>IF($A21="","",$BC$10*$D21)</f>
        <v/>
      </c>
      <c r="AP21">
        <f>IF($A21="","",2*$BC$6*$D21)</f>
        <v/>
      </c>
      <c r="AQ21">
        <f>IF($A21="","",IF($B21&gt;2800,2,IF($B21&gt;1400,1,0))*$BC$6*$D21)</f>
        <v/>
      </c>
      <c r="AR21">
        <f>IF($A21="","",2*$BC$6*$D21)</f>
        <v/>
      </c>
      <c r="AS21">
        <f>IF($A21="","",$BC$6*$D21)</f>
        <v/>
      </c>
      <c r="AT21">
        <f>IF($A21="","",2*$BC$6*$D21)</f>
        <v/>
      </c>
      <c r="AU21">
        <f>IF($A21="","",4*2*$D21)</f>
        <v/>
      </c>
      <c r="AV21">
        <f>IF($A21="","",16*2*$D21)</f>
        <v/>
      </c>
      <c r="AW21">
        <f>IF($A21="","",(2+MAX(0,ROUNDUP(($I21-1500)/500,0)))*$D21)</f>
        <v/>
      </c>
      <c r="AX21">
        <f>IF($A21="","",(2+MAX(0,ROUNDUP(($I21-1500)/500,0)))*$D21)</f>
        <v/>
      </c>
      <c r="AY21">
        <f>IF($A21="","",ROUND((2*2*($M21+$K21)*2*$D21+$S21*$T21)/1000,1))</f>
        <v/>
      </c>
    </row>
    <row r="22" ht="40.15" customHeight="1">
      <c r="A22" s="99" t="n"/>
      <c r="B22" s="88" t="n"/>
      <c r="C22" s="89" t="n"/>
      <c r="D22" s="90" t="n"/>
      <c r="E22" s="96">
        <f>IF($A22="","",$B22)</f>
        <v/>
      </c>
      <c r="F22" s="97">
        <f>IF($A22="","",$L$54*$D22)</f>
        <v/>
      </c>
      <c r="G22" s="96">
        <f>IF($A22="","",$C22-$E$55-$F$55)</f>
        <v/>
      </c>
      <c r="H22" s="97">
        <f>IF($A22="","",$L$55*$D22)</f>
        <v/>
      </c>
      <c r="I22" s="96">
        <f>IF($A22="","",$C22-$E$56-$F$56)</f>
        <v/>
      </c>
      <c r="J22" s="97">
        <f>IF($A22="","",$L$56*$D22)</f>
        <v/>
      </c>
      <c r="K22" s="96">
        <f>IF($A22="","",$B22-$E$57-$F$57-$G$57)</f>
        <v/>
      </c>
      <c r="L22" s="97">
        <f>IF($A22="","",$L$57*$D22)</f>
        <v/>
      </c>
      <c r="M22" s="96">
        <f>IF($A22="","",(($C22-$E$58-$F$58-$G$58-$H$58-$I$58)/2)+(78*1)/2)</f>
        <v/>
      </c>
      <c r="N22" s="97">
        <f>IF($A22="","",$L$58*$D22)</f>
        <v/>
      </c>
      <c r="O22" s="96">
        <f>IF($A22="","",$K22-$E$59-$F$59)</f>
        <v/>
      </c>
      <c r="P22" s="97">
        <f>IF($A22="","",$L$59*$D22)</f>
        <v/>
      </c>
      <c r="Q22" s="96">
        <f>IF($A22="","",$M22-$E$60-$F$60)</f>
        <v/>
      </c>
      <c r="R22" s="97">
        <f>IF($A22="","",$L$60*$D22)</f>
        <v/>
      </c>
      <c r="S22" s="96">
        <f>IF($A22="","",$K22)</f>
        <v/>
      </c>
      <c r="T22" s="97">
        <f>IF($A22="","",$L$61*$D22)</f>
        <v/>
      </c>
      <c r="U22" s="96">
        <f>IF($A22="","",$B22-$E$62-$F$62)</f>
        <v/>
      </c>
      <c r="V22" s="97">
        <f>IF($A22="","",$L$62*$D22)</f>
        <v/>
      </c>
      <c r="W22" s="96">
        <f>IF($A22="","",$C22-$E$63-$F$63)</f>
        <v/>
      </c>
      <c r="X22" s="97">
        <f>IF($A22="","",$L$63*$D22)</f>
        <v/>
      </c>
      <c r="Y22" s="96">
        <f>IF($A22="","",$B22-$E$64-$F$64)</f>
        <v/>
      </c>
      <c r="Z22" s="97">
        <f>IF($A22="","",$L$64*$D22)</f>
        <v/>
      </c>
      <c r="AA22" s="96">
        <f>IF($A22="","",$S22)</f>
        <v/>
      </c>
      <c r="AB22" s="97">
        <f>IF($A22="","",$L$65*$D22)</f>
        <v/>
      </c>
      <c r="AC22" s="96">
        <f>IF($A22="","",$C22-$E$66-$F$66)</f>
        <v/>
      </c>
      <c r="AD22" s="97">
        <f>IF($A22="","",$L$66*$D22)</f>
        <v/>
      </c>
      <c r="AE22" s="96" t="n"/>
      <c r="AF22" s="97" t="n"/>
      <c r="AG22" s="93">
        <f>IF($A22="","",$K22-68-68)</f>
        <v/>
      </c>
      <c r="AH22" s="94">
        <f>IF($A22="","",$M22-68-68)</f>
        <v/>
      </c>
      <c r="AI22" s="95">
        <f>IF($A22="","",2*$D22)</f>
        <v/>
      </c>
      <c r="AK22">
        <f>IF($A22="","",2*2*$D22)</f>
        <v/>
      </c>
      <c r="AL22">
        <f>IF($A22="","",$BC$7*$D22)</f>
        <v/>
      </c>
      <c r="AM22">
        <f>IF($A22="","",$BC$6*$D22)</f>
        <v/>
      </c>
      <c r="AN22">
        <f>IF($A22="","",$BC$9*$D22)</f>
        <v/>
      </c>
      <c r="AO22">
        <f>IF($A22="","",$BC$10*$D22)</f>
        <v/>
      </c>
      <c r="AP22">
        <f>IF($A22="","",2*$BC$6*$D22)</f>
        <v/>
      </c>
      <c r="AQ22">
        <f>IF($A22="","",IF($B22&gt;2800,2,IF($B22&gt;1400,1,0))*$BC$6*$D22)</f>
        <v/>
      </c>
      <c r="AR22">
        <f>IF($A22="","",2*$BC$6*$D22)</f>
        <v/>
      </c>
      <c r="AS22">
        <f>IF($A22="","",$BC$6*$D22)</f>
        <v/>
      </c>
      <c r="AT22">
        <f>IF($A22="","",2*$BC$6*$D22)</f>
        <v/>
      </c>
      <c r="AU22">
        <f>IF($A22="","",4*2*$D22)</f>
        <v/>
      </c>
      <c r="AV22">
        <f>IF($A22="","",16*2*$D22)</f>
        <v/>
      </c>
      <c r="AW22">
        <f>IF($A22="","",(2+MAX(0,ROUNDUP(($I22-1500)/500,0)))*$D22)</f>
        <v/>
      </c>
      <c r="AX22">
        <f>IF($A22="","",(2+MAX(0,ROUNDUP(($I22-1500)/500,0)))*$D22)</f>
        <v/>
      </c>
      <c r="AY22">
        <f>IF($A22="","",ROUND((2*2*($M22+$K22)*2*$D22+$S22*$T22)/1000,1))</f>
        <v/>
      </c>
    </row>
    <row r="23" ht="40.15" customHeight="1">
      <c r="A23" s="99" t="n"/>
      <c r="B23" s="88" t="n"/>
      <c r="C23" s="89" t="n"/>
      <c r="D23" s="90" t="n"/>
      <c r="E23" s="91">
        <f>IF($A23="","",$B23)</f>
        <v/>
      </c>
      <c r="F23" s="89">
        <f>IF($A23="","",$L$54*$D23)</f>
        <v/>
      </c>
      <c r="G23" s="91">
        <f>IF($A23="","",$C23-$E$55-$F$55)</f>
        <v/>
      </c>
      <c r="H23" s="89">
        <f>IF($A23="","",$L$55*$D23)</f>
        <v/>
      </c>
      <c r="I23" s="91">
        <f>IF($A23="","",$C23-$E$56-$F$56)</f>
        <v/>
      </c>
      <c r="J23" s="89">
        <f>IF($A23="","",$L$56*$D23)</f>
        <v/>
      </c>
      <c r="K23" s="91">
        <f>IF($A23="","",$B23-$E$57-$F$57-$G$57)</f>
        <v/>
      </c>
      <c r="L23" s="89">
        <f>IF($A23="","",$L$57*$D23)</f>
        <v/>
      </c>
      <c r="M23" s="91">
        <f>IF($A23="","",(($C23-$E$58-$F$58-$G$58-$H$58-$I$58)/2)+(78*1)/2)</f>
        <v/>
      </c>
      <c r="N23" s="89">
        <f>IF($A23="","",$L$58*$D23)</f>
        <v/>
      </c>
      <c r="O23" s="91">
        <f>IF($A23="","",$K23-$E$59-$F$59)</f>
        <v/>
      </c>
      <c r="P23" s="89">
        <f>IF($A23="","",$L$59*$D23)</f>
        <v/>
      </c>
      <c r="Q23" s="91">
        <f>IF($A23="","",$M23-$E$60-$F$60)</f>
        <v/>
      </c>
      <c r="R23" s="89">
        <f>IF($A23="","",$L$60*$D23)</f>
        <v/>
      </c>
      <c r="S23" s="91">
        <f>IF($A23="","",$K23)</f>
        <v/>
      </c>
      <c r="T23" s="89">
        <f>IF($A23="","",$L$61*$D23)</f>
        <v/>
      </c>
      <c r="U23" s="91">
        <f>IF($A23="","",$B23-$E$62-$F$62)</f>
        <v/>
      </c>
      <c r="V23" s="89">
        <f>IF($A23="","",$L$62*$D23)</f>
        <v/>
      </c>
      <c r="W23" s="91">
        <f>IF($A23="","",$C23-$E$63-$F$63)</f>
        <v/>
      </c>
      <c r="X23" s="89">
        <f>IF($A23="","",$L$63*$D23)</f>
        <v/>
      </c>
      <c r="Y23" s="91">
        <f>IF($A23="","",$B23-$E$64-$F$64)</f>
        <v/>
      </c>
      <c r="Z23" s="89">
        <f>IF($A23="","",$L$64*$D23)</f>
        <v/>
      </c>
      <c r="AA23" s="91">
        <f>IF($A23="","",$S23)</f>
        <v/>
      </c>
      <c r="AB23" s="89">
        <f>IF($A23="","",$L$65*$D23)</f>
        <v/>
      </c>
      <c r="AC23" s="91">
        <f>IF($A23="","",$C23-$E$66-$F$66)</f>
        <v/>
      </c>
      <c r="AD23" s="89">
        <f>IF($A23="","",$L$66*$D23)</f>
        <v/>
      </c>
      <c r="AE23" s="91" t="n"/>
      <c r="AF23" s="89" t="n"/>
      <c r="AG23" s="93">
        <f>IF($A23="","",$K23-68-68)</f>
        <v/>
      </c>
      <c r="AH23" s="94">
        <f>IF($A23="","",$M23-68-68)</f>
        <v/>
      </c>
      <c r="AI23" s="95">
        <f>IF($A23="","",2*$D23)</f>
        <v/>
      </c>
      <c r="AK23">
        <f>IF($A23="","",2*2*$D23)</f>
        <v/>
      </c>
      <c r="AL23">
        <f>IF($A23="","",$BC$7*$D23)</f>
        <v/>
      </c>
      <c r="AM23">
        <f>IF($A23="","",$BC$6*$D23)</f>
        <v/>
      </c>
      <c r="AN23">
        <f>IF($A23="","",$BC$9*$D23)</f>
        <v/>
      </c>
      <c r="AO23">
        <f>IF($A23="","",$BC$10*$D23)</f>
        <v/>
      </c>
      <c r="AP23">
        <f>IF($A23="","",2*$BC$6*$D23)</f>
        <v/>
      </c>
      <c r="AQ23">
        <f>IF($A23="","",IF($B23&gt;2800,2,IF($B23&gt;1400,1,0))*$BC$6*$D23)</f>
        <v/>
      </c>
      <c r="AR23">
        <f>IF($A23="","",2*$BC$6*$D23)</f>
        <v/>
      </c>
      <c r="AS23">
        <f>IF($A23="","",$BC$6*$D23)</f>
        <v/>
      </c>
      <c r="AT23">
        <f>IF($A23="","",2*$BC$6*$D23)</f>
        <v/>
      </c>
      <c r="AU23">
        <f>IF($A23="","",4*2*$D23)</f>
        <v/>
      </c>
      <c r="AV23">
        <f>IF($A23="","",16*2*$D23)</f>
        <v/>
      </c>
      <c r="AW23">
        <f>IF($A23="","",(2+MAX(0,ROUNDUP(($I23-1500)/500,0)))*$D23)</f>
        <v/>
      </c>
      <c r="AX23">
        <f>IF($A23="","",(2+MAX(0,ROUNDUP(($I23-1500)/500,0)))*$D23)</f>
        <v/>
      </c>
      <c r="AY23">
        <f>IF($A23="","",ROUND((2*2*($M23+$K23)*2*$D23+$S23*$T23)/1000,1))</f>
        <v/>
      </c>
    </row>
    <row r="24" ht="40.15" customHeight="1">
      <c r="A24" s="99" t="n"/>
      <c r="B24" s="88" t="n"/>
      <c r="C24" s="89" t="n"/>
      <c r="D24" s="90" t="n"/>
      <c r="E24" s="96">
        <f>IF($A24="","",$B24)</f>
        <v/>
      </c>
      <c r="F24" s="97">
        <f>IF($A24="","",$L$54*$D24)</f>
        <v/>
      </c>
      <c r="G24" s="96">
        <f>IF($A24="","",$C24-$E$55-$F$55)</f>
        <v/>
      </c>
      <c r="H24" s="97">
        <f>IF($A24="","",$L$55*$D24)</f>
        <v/>
      </c>
      <c r="I24" s="96">
        <f>IF($A24="","",$C24-$E$56-$F$56)</f>
        <v/>
      </c>
      <c r="J24" s="97">
        <f>IF($A24="","",$L$56*$D24)</f>
        <v/>
      </c>
      <c r="K24" s="96">
        <f>IF($A24="","",$B24-$E$57-$F$57-$G$57)</f>
        <v/>
      </c>
      <c r="L24" s="97">
        <f>IF($A24="","",$L$57*$D24)</f>
        <v/>
      </c>
      <c r="M24" s="96">
        <f>IF($A24="","",(($C24-$E$58-$F$58-$G$58-$H$58-$I$58)/2)+(78*1)/2)</f>
        <v/>
      </c>
      <c r="N24" s="97">
        <f>IF($A24="","",$L$58*$D24)</f>
        <v/>
      </c>
      <c r="O24" s="96">
        <f>IF($A24="","",$K24-$E$59-$F$59)</f>
        <v/>
      </c>
      <c r="P24" s="97">
        <f>IF($A24="","",$L$59*$D24)</f>
        <v/>
      </c>
      <c r="Q24" s="96">
        <f>IF($A24="","",$M24-$E$60-$F$60)</f>
        <v/>
      </c>
      <c r="R24" s="97">
        <f>IF($A24="","",$L$60*$D24)</f>
        <v/>
      </c>
      <c r="S24" s="96">
        <f>IF($A24="","",$K24)</f>
        <v/>
      </c>
      <c r="T24" s="97">
        <f>IF($A24="","",$L$61*$D24)</f>
        <v/>
      </c>
      <c r="U24" s="96">
        <f>IF($A24="","",$B24-$E$62-$F$62)</f>
        <v/>
      </c>
      <c r="V24" s="97">
        <f>IF($A24="","",$L$62*$D24)</f>
        <v/>
      </c>
      <c r="W24" s="96">
        <f>IF($A24="","",$C24-$E$63-$F$63)</f>
        <v/>
      </c>
      <c r="X24" s="97">
        <f>IF($A24="","",$L$63*$D24)</f>
        <v/>
      </c>
      <c r="Y24" s="96">
        <f>IF($A24="","",$B24-$E$64-$F$64)</f>
        <v/>
      </c>
      <c r="Z24" s="97">
        <f>IF($A24="","",$L$64*$D24)</f>
        <v/>
      </c>
      <c r="AA24" s="96">
        <f>IF($A24="","",$S24)</f>
        <v/>
      </c>
      <c r="AB24" s="97">
        <f>IF($A24="","",$L$65*$D24)</f>
        <v/>
      </c>
      <c r="AC24" s="96">
        <f>IF($A24="","",$C24-$E$66-$F$66)</f>
        <v/>
      </c>
      <c r="AD24" s="97">
        <f>IF($A24="","",$L$66*$D24)</f>
        <v/>
      </c>
      <c r="AE24" s="96" t="n"/>
      <c r="AF24" s="97" t="n"/>
      <c r="AG24" s="93">
        <f>IF($A24="","",$K24-68-68)</f>
        <v/>
      </c>
      <c r="AH24" s="94">
        <f>IF($A24="","",$M24-68-68)</f>
        <v/>
      </c>
      <c r="AI24" s="95">
        <f>IF($A24="","",2*$D24)</f>
        <v/>
      </c>
      <c r="AK24">
        <f>IF($A24="","",2*2*$D24)</f>
        <v/>
      </c>
      <c r="AL24">
        <f>IF($A24="","",$BC$7*$D24)</f>
        <v/>
      </c>
      <c r="AM24">
        <f>IF($A24="","",$BC$6*$D24)</f>
        <v/>
      </c>
      <c r="AN24">
        <f>IF($A24="","",$BC$9*$D24)</f>
        <v/>
      </c>
      <c r="AO24">
        <f>IF($A24="","",$BC$10*$D24)</f>
        <v/>
      </c>
      <c r="AP24">
        <f>IF($A24="","",2*$BC$6*$D24)</f>
        <v/>
      </c>
      <c r="AQ24">
        <f>IF($A24="","",IF($B24&gt;2800,2,IF($B24&gt;1400,1,0))*$BC$6*$D24)</f>
        <v/>
      </c>
      <c r="AR24">
        <f>IF($A24="","",2*$BC$6*$D24)</f>
        <v/>
      </c>
      <c r="AS24">
        <f>IF($A24="","",$BC$6*$D24)</f>
        <v/>
      </c>
      <c r="AT24">
        <f>IF($A24="","",2*$BC$6*$D24)</f>
        <v/>
      </c>
      <c r="AU24">
        <f>IF($A24="","",4*2*$D24)</f>
        <v/>
      </c>
      <c r="AV24">
        <f>IF($A24="","",16*2*$D24)</f>
        <v/>
      </c>
      <c r="AW24">
        <f>IF($A24="","",(2+MAX(0,ROUNDUP(($I24-1500)/500,0)))*$D24)</f>
        <v/>
      </c>
      <c r="AX24">
        <f>IF($A24="","",(2+MAX(0,ROUNDUP(($I24-1500)/500,0)))*$D24)</f>
        <v/>
      </c>
      <c r="AY24">
        <f>IF($A24="","",ROUND((2*2*($M24+$K24)*2*$D24+$S24*$T24)/1000,1))</f>
        <v/>
      </c>
    </row>
    <row r="25" ht="40.15" customHeight="1">
      <c r="A25" s="99" t="n"/>
      <c r="B25" s="88" t="n"/>
      <c r="C25" s="89" t="n"/>
      <c r="D25" s="90" t="n"/>
      <c r="E25" s="91">
        <f>IF($A25="","",$B25)</f>
        <v/>
      </c>
      <c r="F25" s="89">
        <f>IF($A25="","",$L$54*$D25)</f>
        <v/>
      </c>
      <c r="G25" s="91">
        <f>IF($A25="","",$C25-$E$55-$F$55)</f>
        <v/>
      </c>
      <c r="H25" s="89">
        <f>IF($A25="","",$L$55*$D25)</f>
        <v/>
      </c>
      <c r="I25" s="91">
        <f>IF($A25="","",$C25-$E$56-$F$56)</f>
        <v/>
      </c>
      <c r="J25" s="89">
        <f>IF($A25="","",$L$56*$D25)</f>
        <v/>
      </c>
      <c r="K25" s="91">
        <f>IF($A25="","",$B25-$E$57-$F$57-$G$57)</f>
        <v/>
      </c>
      <c r="L25" s="89">
        <f>IF($A25="","",$L$57*$D25)</f>
        <v/>
      </c>
      <c r="M25" s="91">
        <f>IF($A25="","",(($C25-$E$58-$F$58-$G$58-$H$58-$I$58)/2)+(78*1)/2)</f>
        <v/>
      </c>
      <c r="N25" s="89">
        <f>IF($A25="","",$L$58*$D25)</f>
        <v/>
      </c>
      <c r="O25" s="91">
        <f>IF($A25="","",$K25-$E$59-$F$59)</f>
        <v/>
      </c>
      <c r="P25" s="89">
        <f>IF($A25="","",$L$59*$D25)</f>
        <v/>
      </c>
      <c r="Q25" s="91">
        <f>IF($A25="","",$M25-$E$60-$F$60)</f>
        <v/>
      </c>
      <c r="R25" s="89">
        <f>IF($A25="","",$L$60*$D25)</f>
        <v/>
      </c>
      <c r="S25" s="91">
        <f>IF($A25="","",$K25)</f>
        <v/>
      </c>
      <c r="T25" s="89">
        <f>IF($A25="","",$L$61*$D25)</f>
        <v/>
      </c>
      <c r="U25" s="91">
        <f>IF($A25="","",$B25-$E$62-$F$62)</f>
        <v/>
      </c>
      <c r="V25" s="89">
        <f>IF($A25="","",$L$62*$D25)</f>
        <v/>
      </c>
      <c r="W25" s="91">
        <f>IF($A25="","",$C25-$E$63-$F$63)</f>
        <v/>
      </c>
      <c r="X25" s="89">
        <f>IF($A25="","",$L$63*$D25)</f>
        <v/>
      </c>
      <c r="Y25" s="91">
        <f>IF($A25="","",$B25-$E$64-$F$64)</f>
        <v/>
      </c>
      <c r="Z25" s="89">
        <f>IF($A25="","",$L$64*$D25)</f>
        <v/>
      </c>
      <c r="AA25" s="91">
        <f>IF($A25="","",$S25)</f>
        <v/>
      </c>
      <c r="AB25" s="89">
        <f>IF($A25="","",$L$65*$D25)</f>
        <v/>
      </c>
      <c r="AC25" s="91">
        <f>IF($A25="","",$C25-$E$66-$F$66)</f>
        <v/>
      </c>
      <c r="AD25" s="89">
        <f>IF($A25="","",$L$66*$D25)</f>
        <v/>
      </c>
      <c r="AE25" s="91" t="n"/>
      <c r="AF25" s="89" t="n"/>
      <c r="AG25" s="93">
        <f>IF($A25="","",$K25-68-68)</f>
        <v/>
      </c>
      <c r="AH25" s="94">
        <f>IF($A25="","",$M25-68-68)</f>
        <v/>
      </c>
      <c r="AI25" s="95">
        <f>IF($A25="","",2*$D25)</f>
        <v/>
      </c>
      <c r="AK25">
        <f>IF($A25="","",2*2*$D25)</f>
        <v/>
      </c>
      <c r="AL25">
        <f>IF($A25="","",$BC$7*$D25)</f>
        <v/>
      </c>
      <c r="AM25">
        <f>IF($A25="","",$BC$6*$D25)</f>
        <v/>
      </c>
      <c r="AN25">
        <f>IF($A25="","",$BC$9*$D25)</f>
        <v/>
      </c>
      <c r="AO25">
        <f>IF($A25="","",$BC$10*$D25)</f>
        <v/>
      </c>
      <c r="AP25">
        <f>IF($A25="","",2*$BC$6*$D25)</f>
        <v/>
      </c>
      <c r="AQ25">
        <f>IF($A25="","",IF($B25&gt;2800,2,IF($B25&gt;1400,1,0))*$BC$6*$D25)</f>
        <v/>
      </c>
      <c r="AR25">
        <f>IF($A25="","",2*$BC$6*$D25)</f>
        <v/>
      </c>
      <c r="AS25">
        <f>IF($A25="","",$BC$6*$D25)</f>
        <v/>
      </c>
      <c r="AT25">
        <f>IF($A25="","",2*$BC$6*$D25)</f>
        <v/>
      </c>
      <c r="AU25">
        <f>IF($A25="","",4*2*$D25)</f>
        <v/>
      </c>
      <c r="AV25">
        <f>IF($A25="","",16*2*$D25)</f>
        <v/>
      </c>
      <c r="AW25">
        <f>IF($A25="","",(2+MAX(0,ROUNDUP(($I25-1500)/500,0)))*$D25)</f>
        <v/>
      </c>
      <c r="AX25">
        <f>IF($A25="","",(2+MAX(0,ROUNDUP(($I25-1500)/500,0)))*$D25)</f>
        <v/>
      </c>
      <c r="AY25">
        <f>IF($A25="","",ROUND((2*2*($M25+$K25)*2*$D25+$S25*$T25)/1000,1))</f>
        <v/>
      </c>
    </row>
    <row r="26" ht="40.15" customHeight="1">
      <c r="A26" s="99" t="n"/>
      <c r="B26" s="88" t="n"/>
      <c r="C26" s="89" t="n"/>
      <c r="D26" s="90" t="n"/>
      <c r="E26" s="96">
        <f>IF($A26="","",$B26)</f>
        <v/>
      </c>
      <c r="F26" s="97">
        <f>IF($A26="","",$L$54*$D26)</f>
        <v/>
      </c>
      <c r="G26" s="96">
        <f>IF($A26="","",$C26-$E$55-$F$55)</f>
        <v/>
      </c>
      <c r="H26" s="97">
        <f>IF($A26="","",$L$55*$D26)</f>
        <v/>
      </c>
      <c r="I26" s="96">
        <f>IF($A26="","",$C26-$E$56-$F$56)</f>
        <v/>
      </c>
      <c r="J26" s="97">
        <f>IF($A26="","",$L$56*$D26)</f>
        <v/>
      </c>
      <c r="K26" s="96">
        <f>IF($A26="","",$B26-$E$57-$F$57-$G$57)</f>
        <v/>
      </c>
      <c r="L26" s="97">
        <f>IF($A26="","",$L$57*$D26)</f>
        <v/>
      </c>
      <c r="M26" s="96">
        <f>IF($A26="","",(($C26-$E$58-$F$58-$G$58-$H$58-$I$58)/2)+(78*1)/2)</f>
        <v/>
      </c>
      <c r="N26" s="97">
        <f>IF($A26="","",$L$58*$D26)</f>
        <v/>
      </c>
      <c r="O26" s="96">
        <f>IF($A26="","",$K26-$E$59-$F$59)</f>
        <v/>
      </c>
      <c r="P26" s="97">
        <f>IF($A26="","",$L$59*$D26)</f>
        <v/>
      </c>
      <c r="Q26" s="96">
        <f>IF($A26="","",$M26-$E$60-$F$60)</f>
        <v/>
      </c>
      <c r="R26" s="97">
        <f>IF($A26="","",$L$60*$D26)</f>
        <v/>
      </c>
      <c r="S26" s="96">
        <f>IF($A26="","",$K26)</f>
        <v/>
      </c>
      <c r="T26" s="97">
        <f>IF($A26="","",$L$61*$D26)</f>
        <v/>
      </c>
      <c r="U26" s="96">
        <f>IF($A26="","",$B26-$E$62-$F$62)</f>
        <v/>
      </c>
      <c r="V26" s="97">
        <f>IF($A26="","",$L$62*$D26)</f>
        <v/>
      </c>
      <c r="W26" s="96">
        <f>IF($A26="","",$C26-$E$63-$F$63)</f>
        <v/>
      </c>
      <c r="X26" s="97">
        <f>IF($A26="","",$L$63*$D26)</f>
        <v/>
      </c>
      <c r="Y26" s="96">
        <f>IF($A26="","",$B26-$E$64-$F$64)</f>
        <v/>
      </c>
      <c r="Z26" s="97">
        <f>IF($A26="","",$L$64*$D26)</f>
        <v/>
      </c>
      <c r="AA26" s="96">
        <f>IF($A26="","",$S26)</f>
        <v/>
      </c>
      <c r="AB26" s="97">
        <f>IF($A26="","",$L$65*$D26)</f>
        <v/>
      </c>
      <c r="AC26" s="96">
        <f>IF($A26="","",$C26-$E$66-$F$66)</f>
        <v/>
      </c>
      <c r="AD26" s="97">
        <f>IF($A26="","",$L$66*$D26)</f>
        <v/>
      </c>
      <c r="AE26" s="96" t="n"/>
      <c r="AF26" s="97" t="n"/>
      <c r="AG26" s="93">
        <f>IF($A26="","",$K26-68-68)</f>
        <v/>
      </c>
      <c r="AH26" s="94">
        <f>IF($A26="","",$M26-68-68)</f>
        <v/>
      </c>
      <c r="AI26" s="95">
        <f>IF($A26="","",2*$D26)</f>
        <v/>
      </c>
      <c r="AK26">
        <f>IF($A26="","",2*2*$D26)</f>
        <v/>
      </c>
      <c r="AL26">
        <f>IF($A26="","",$BC$7*$D26)</f>
        <v/>
      </c>
      <c r="AM26">
        <f>IF($A26="","",$BC$6*$D26)</f>
        <v/>
      </c>
      <c r="AN26">
        <f>IF($A26="","",$BC$9*$D26)</f>
        <v/>
      </c>
      <c r="AO26">
        <f>IF($A26="","",$BC$10*$D26)</f>
        <v/>
      </c>
      <c r="AP26">
        <f>IF($A26="","",2*$BC$6*$D26)</f>
        <v/>
      </c>
      <c r="AQ26">
        <f>IF($A26="","",IF($B26&gt;2800,2,IF($B26&gt;1400,1,0))*$BC$6*$D26)</f>
        <v/>
      </c>
      <c r="AR26">
        <f>IF($A26="","",2*$BC$6*$D26)</f>
        <v/>
      </c>
      <c r="AS26">
        <f>IF($A26="","",$BC$6*$D26)</f>
        <v/>
      </c>
      <c r="AT26">
        <f>IF($A26="","",2*$BC$6*$D26)</f>
        <v/>
      </c>
      <c r="AU26">
        <f>IF($A26="","",4*2*$D26)</f>
        <v/>
      </c>
      <c r="AV26">
        <f>IF($A26="","",16*2*$D26)</f>
        <v/>
      </c>
      <c r="AW26">
        <f>IF($A26="","",(2+MAX(0,ROUNDUP(($I26-1500)/500,0)))*$D26)</f>
        <v/>
      </c>
      <c r="AX26">
        <f>IF($A26="","",(2+MAX(0,ROUNDUP(($I26-1500)/500,0)))*$D26)</f>
        <v/>
      </c>
      <c r="AY26">
        <f>IF($A26="","",ROUND((2*2*($M26+$K26)*2*$D26+$S26*$T26)/1000,1))</f>
        <v/>
      </c>
    </row>
    <row r="27" ht="40.15" customHeight="1">
      <c r="A27" s="99" t="n"/>
      <c r="B27" s="88" t="n"/>
      <c r="C27" s="89" t="n"/>
      <c r="D27" s="90" t="n"/>
      <c r="E27" s="91">
        <f>IF($A27="","",$B27)</f>
        <v/>
      </c>
      <c r="F27" s="89">
        <f>IF($A27="","",$L$54*$D27)</f>
        <v/>
      </c>
      <c r="G27" s="91">
        <f>IF($A27="","",$C27-$E$55-$F$55)</f>
        <v/>
      </c>
      <c r="H27" s="89">
        <f>IF($A27="","",$L$55*$D27)</f>
        <v/>
      </c>
      <c r="I27" s="91">
        <f>IF($A27="","",$C27-$E$56-$F$56)</f>
        <v/>
      </c>
      <c r="J27" s="89">
        <f>IF($A27="","",$L$56*$D27)</f>
        <v/>
      </c>
      <c r="K27" s="91">
        <f>IF($A27="","",$B27-$E$57-$F$57-$G$57)</f>
        <v/>
      </c>
      <c r="L27" s="89">
        <f>IF($A27="","",$L$57*$D27)</f>
        <v/>
      </c>
      <c r="M27" s="91">
        <f>IF($A27="","",(($C27-$E$58-$F$58-$G$58-$H$58-$I$58)/2)+(78*1)/2)</f>
        <v/>
      </c>
      <c r="N27" s="89">
        <f>IF($A27="","",$L$58*$D27)</f>
        <v/>
      </c>
      <c r="O27" s="91">
        <f>IF($A27="","",$K27-$E$59-$F$59)</f>
        <v/>
      </c>
      <c r="P27" s="89">
        <f>IF($A27="","",$L$59*$D27)</f>
        <v/>
      </c>
      <c r="Q27" s="91">
        <f>IF($A27="","",$M27-$E$60-$F$60)</f>
        <v/>
      </c>
      <c r="R27" s="89">
        <f>IF($A27="","",$L$60*$D27)</f>
        <v/>
      </c>
      <c r="S27" s="91">
        <f>IF($A27="","",$K27)</f>
        <v/>
      </c>
      <c r="T27" s="89">
        <f>IF($A27="","",$L$61*$D27)</f>
        <v/>
      </c>
      <c r="U27" s="91">
        <f>IF($A27="","",$B27-$E$62-$F$62)</f>
        <v/>
      </c>
      <c r="V27" s="89">
        <f>IF($A27="","",$L$62*$D27)</f>
        <v/>
      </c>
      <c r="W27" s="91">
        <f>IF($A27="","",$C27-$E$63-$F$63)</f>
        <v/>
      </c>
      <c r="X27" s="89">
        <f>IF($A27="","",$L$63*$D27)</f>
        <v/>
      </c>
      <c r="Y27" s="91">
        <f>IF($A27="","",$B27-$E$64-$F$64)</f>
        <v/>
      </c>
      <c r="Z27" s="89">
        <f>IF($A27="","",$L$64*$D27)</f>
        <v/>
      </c>
      <c r="AA27" s="91">
        <f>IF($A27="","",$S27)</f>
        <v/>
      </c>
      <c r="AB27" s="89">
        <f>IF($A27="","",$L$65*$D27)</f>
        <v/>
      </c>
      <c r="AC27" s="91">
        <f>IF($A27="","",$C27-$E$66-$F$66)</f>
        <v/>
      </c>
      <c r="AD27" s="89">
        <f>IF($A27="","",$L$66*$D27)</f>
        <v/>
      </c>
      <c r="AE27" s="91" t="n"/>
      <c r="AF27" s="89" t="n"/>
      <c r="AG27" s="93">
        <f>IF($A27="","",$K27-68-68)</f>
        <v/>
      </c>
      <c r="AH27" s="94">
        <f>IF($A27="","",$M27-68-68)</f>
        <v/>
      </c>
      <c r="AI27" s="95">
        <f>IF($A27="","",2*$D27)</f>
        <v/>
      </c>
      <c r="AK27">
        <f>IF($A27="","",2*2*$D27)</f>
        <v/>
      </c>
      <c r="AL27">
        <f>IF($A27="","",$BC$7*$D27)</f>
        <v/>
      </c>
      <c r="AM27">
        <f>IF($A27="","",$BC$6*$D27)</f>
        <v/>
      </c>
      <c r="AN27">
        <f>IF($A27="","",$BC$9*$D27)</f>
        <v/>
      </c>
      <c r="AO27">
        <f>IF($A27="","",$BC$10*$D27)</f>
        <v/>
      </c>
      <c r="AP27">
        <f>IF($A27="","",2*$BC$6*$D27)</f>
        <v/>
      </c>
      <c r="AQ27">
        <f>IF($A27="","",IF($B27&gt;2800,2,IF($B27&gt;1400,1,0))*$BC$6*$D27)</f>
        <v/>
      </c>
      <c r="AR27">
        <f>IF($A27="","",2*$BC$6*$D27)</f>
        <v/>
      </c>
      <c r="AS27">
        <f>IF($A27="","",$BC$6*$D27)</f>
        <v/>
      </c>
      <c r="AT27">
        <f>IF($A27="","",2*$BC$6*$D27)</f>
        <v/>
      </c>
      <c r="AU27">
        <f>IF($A27="","",4*2*$D27)</f>
        <v/>
      </c>
      <c r="AV27">
        <f>IF($A27="","",16*2*$D27)</f>
        <v/>
      </c>
      <c r="AW27">
        <f>IF($A27="","",(2+MAX(0,ROUNDUP(($I27-1500)/500,0)))*$D27)</f>
        <v/>
      </c>
      <c r="AX27">
        <f>IF($A27="","",(2+MAX(0,ROUNDUP(($I27-1500)/500,0)))*$D27)</f>
        <v/>
      </c>
      <c r="AY27">
        <f>IF($A27="","",ROUND((2*2*($M27+$K27)*2*$D27+$S27*$T27)/1000,1))</f>
        <v/>
      </c>
    </row>
    <row r="28" ht="40.15" customHeight="1">
      <c r="A28" s="99" t="n"/>
      <c r="B28" s="88" t="n"/>
      <c r="C28" s="89" t="n"/>
      <c r="D28" s="90" t="n"/>
      <c r="E28" s="96">
        <f>IF($A28="","",$B28)</f>
        <v/>
      </c>
      <c r="F28" s="97">
        <f>IF($A28="","",$L$54*$D28)</f>
        <v/>
      </c>
      <c r="G28" s="96">
        <f>IF($A28="","",$C28-$E$55-$F$55)</f>
        <v/>
      </c>
      <c r="H28" s="97">
        <f>IF($A28="","",$L$55*$D28)</f>
        <v/>
      </c>
      <c r="I28" s="96">
        <f>IF($A28="","",$C28-$E$56-$F$56)</f>
        <v/>
      </c>
      <c r="J28" s="97">
        <f>IF($A28="","",$L$56*$D28)</f>
        <v/>
      </c>
      <c r="K28" s="96">
        <f>IF($A28="","",$B28-$E$57-$F$57-$G$57)</f>
        <v/>
      </c>
      <c r="L28" s="97">
        <f>IF($A28="","",$L$57*$D28)</f>
        <v/>
      </c>
      <c r="M28" s="96">
        <f>IF($A28="","",(($C28-$E$58-$F$58-$G$58-$H$58-$I$58)/2)+(78*1)/2)</f>
        <v/>
      </c>
      <c r="N28" s="97">
        <f>IF($A28="","",$L$58*$D28)</f>
        <v/>
      </c>
      <c r="O28" s="96">
        <f>IF($A28="","",$K28-$E$59-$F$59)</f>
        <v/>
      </c>
      <c r="P28" s="97">
        <f>IF($A28="","",$L$59*$D28)</f>
        <v/>
      </c>
      <c r="Q28" s="96">
        <f>IF($A28="","",$M28-$E$60-$F$60)</f>
        <v/>
      </c>
      <c r="R28" s="97">
        <f>IF($A28="","",$L$60*$D28)</f>
        <v/>
      </c>
      <c r="S28" s="96">
        <f>IF($A28="","",$K28)</f>
        <v/>
      </c>
      <c r="T28" s="97">
        <f>IF($A28="","",$L$61*$D28)</f>
        <v/>
      </c>
      <c r="U28" s="96">
        <f>IF($A28="","",$B28-$E$62-$F$62)</f>
        <v/>
      </c>
      <c r="V28" s="97">
        <f>IF($A28="","",$L$62*$D28)</f>
        <v/>
      </c>
      <c r="W28" s="96">
        <f>IF($A28="","",$C28-$E$63-$F$63)</f>
        <v/>
      </c>
      <c r="X28" s="97">
        <f>IF($A28="","",$L$63*$D28)</f>
        <v/>
      </c>
      <c r="Y28" s="96">
        <f>IF($A28="","",$B28-$E$64-$F$64)</f>
        <v/>
      </c>
      <c r="Z28" s="97">
        <f>IF($A28="","",$L$64*$D28)</f>
        <v/>
      </c>
      <c r="AA28" s="96">
        <f>IF($A28="","",$S28)</f>
        <v/>
      </c>
      <c r="AB28" s="97">
        <f>IF($A28="","",$L$65*$D28)</f>
        <v/>
      </c>
      <c r="AC28" s="96">
        <f>IF($A28="","",$C28-$E$66-$F$66)</f>
        <v/>
      </c>
      <c r="AD28" s="97">
        <f>IF($A28="","",$L$66*$D28)</f>
        <v/>
      </c>
      <c r="AE28" s="96" t="n"/>
      <c r="AF28" s="97" t="n"/>
      <c r="AG28" s="93">
        <f>IF($A28="","",$K28-68-68)</f>
        <v/>
      </c>
      <c r="AH28" s="94">
        <f>IF($A28="","",$M28-68-68)</f>
        <v/>
      </c>
      <c r="AI28" s="95">
        <f>IF($A28="","",2*$D28)</f>
        <v/>
      </c>
      <c r="AK28">
        <f>IF($A28="","",2*2*$D28)</f>
        <v/>
      </c>
      <c r="AL28">
        <f>IF($A28="","",$BC$7*$D28)</f>
        <v/>
      </c>
      <c r="AM28">
        <f>IF($A28="","",$BC$6*$D28)</f>
        <v/>
      </c>
      <c r="AN28">
        <f>IF($A28="","",$BC$9*$D28)</f>
        <v/>
      </c>
      <c r="AO28">
        <f>IF($A28="","",$BC$10*$D28)</f>
        <v/>
      </c>
      <c r="AP28">
        <f>IF($A28="","",2*$BC$6*$D28)</f>
        <v/>
      </c>
      <c r="AQ28">
        <f>IF($A28="","",IF($B28&gt;2800,2,IF($B28&gt;1400,1,0))*$BC$6*$D28)</f>
        <v/>
      </c>
      <c r="AR28">
        <f>IF($A28="","",2*$BC$6*$D28)</f>
        <v/>
      </c>
      <c r="AS28">
        <f>IF($A28="","",$BC$6*$D28)</f>
        <v/>
      </c>
      <c r="AT28">
        <f>IF($A28="","",2*$BC$6*$D28)</f>
        <v/>
      </c>
      <c r="AU28">
        <f>IF($A28="","",4*2*$D28)</f>
        <v/>
      </c>
      <c r="AV28">
        <f>IF($A28="","",16*2*$D28)</f>
        <v/>
      </c>
      <c r="AW28">
        <f>IF($A28="","",(2+MAX(0,ROUNDUP(($I28-1500)/500,0)))*$D28)</f>
        <v/>
      </c>
      <c r="AX28">
        <f>IF($A28="","",(2+MAX(0,ROUNDUP(($I28-1500)/500,0)))*$D28)</f>
        <v/>
      </c>
      <c r="AY28">
        <f>IF($A28="","",ROUND((2*2*($M28+$K28)*2*$D28+$S28*$T28)/1000,1))</f>
        <v/>
      </c>
    </row>
    <row r="29" ht="40.15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9" t="n"/>
    </row>
    <row r="30" ht="40.15" customHeight="1">
      <c r="A30" s="70" t="inlineStr">
        <is>
          <t>จำนวนเส้น 6.4 ม. ที่ต้องสั่ง →</t>
        </is>
      </c>
      <c r="B30" s="20" t="n"/>
      <c r="C30" s="20" t="n"/>
      <c r="D30" s="21" t="n"/>
      <c r="E30" s="71">
        <f>E$7</f>
        <v/>
      </c>
      <c r="F30" s="72">
        <f>(ROUNDUP(F49/6400,0))</f>
        <v/>
      </c>
      <c r="G30" s="72">
        <f>G$7</f>
        <v/>
      </c>
      <c r="H30" s="72">
        <f>(ROUNDUP(H49/6400,0))</f>
        <v/>
      </c>
      <c r="I30" s="72">
        <f>I$7</f>
        <v/>
      </c>
      <c r="J30" s="72">
        <f>(ROUNDUP(J49/6400,0))</f>
        <v/>
      </c>
      <c r="K30" s="72">
        <f>K$7</f>
        <v/>
      </c>
      <c r="L30" s="20" t="n"/>
      <c r="M30" s="21" t="n"/>
      <c r="N30" s="72">
        <f>(ROUNDUP(SUM(L49:N49)/6400,0))</f>
        <v/>
      </c>
      <c r="O30" s="72">
        <f>O$7</f>
        <v/>
      </c>
      <c r="P30" s="20" t="n"/>
      <c r="Q30" s="21" t="n"/>
      <c r="R30" s="72">
        <f>(ROUNDUP(SUM(P49:R49)/6400,0))</f>
        <v/>
      </c>
      <c r="S30" s="72">
        <f>S$7</f>
        <v/>
      </c>
      <c r="T30" s="72">
        <f>(ROUNDUP(T49/6400,0))</f>
        <v/>
      </c>
      <c r="U30" s="72">
        <f>U$7</f>
        <v/>
      </c>
      <c r="V30" s="72">
        <f>(ROUNDUP(V49/6400,0))</f>
        <v/>
      </c>
      <c r="W30" s="72">
        <f>W$7</f>
        <v/>
      </c>
      <c r="X30" s="72">
        <f>(ROUNDUP(X49/5000,0))</f>
        <v/>
      </c>
      <c r="Y30" s="72">
        <f>Y$7</f>
        <v/>
      </c>
      <c r="Z30" s="20" t="n"/>
      <c r="AA30" s="21" t="n"/>
      <c r="AB30" s="72">
        <f>(ROUNDUP(SUM(Z49:AB49)/6400,0))</f>
        <v/>
      </c>
      <c r="AC30" s="72">
        <f>AC$7</f>
        <v/>
      </c>
      <c r="AD30" s="72">
        <f>(ROUNDUP(AD49/5000,0))</f>
        <v/>
      </c>
      <c r="AE30" s="72">
        <f>AE$7</f>
        <v/>
      </c>
      <c r="AF30" s="72">
        <f>(ROUNDUP(AF49/6400,0))</f>
        <v/>
      </c>
      <c r="AJ30" t="inlineStr">
        <is>
          <t>รวม</t>
        </is>
      </c>
      <c r="AK30">
        <f>SUM(AK11:AK28)</f>
        <v/>
      </c>
      <c r="AL30">
        <f>SUM(AL11:AL28)</f>
        <v/>
      </c>
      <c r="AM30">
        <f>SUM(AM11:AM28)</f>
        <v/>
      </c>
      <c r="AN30">
        <f>SUM(AN11:AN28)</f>
        <v/>
      </c>
      <c r="AO30">
        <f>SUM(AO11:AO28)</f>
        <v/>
      </c>
      <c r="AP30">
        <f>SUM(AP11:AP28)</f>
        <v/>
      </c>
      <c r="AQ30">
        <f>SUM(AQ11:AQ28)</f>
        <v/>
      </c>
      <c r="AR30">
        <f>SUM(AR11:AR28)</f>
        <v/>
      </c>
      <c r="AS30">
        <f>SUM(AS11:AS28)</f>
        <v/>
      </c>
      <c r="AT30">
        <f>SUM(AT11:AT28)</f>
        <v/>
      </c>
      <c r="AU30">
        <f>SUM(AU11:AU28)</f>
        <v/>
      </c>
      <c r="AV30">
        <f>SUM(AV11:AV28)</f>
        <v/>
      </c>
      <c r="AW30">
        <f>SUM(AW11:AW28)</f>
        <v/>
      </c>
      <c r="AX30">
        <f>SUM(AX11:AX28)</f>
        <v/>
      </c>
      <c r="AY30">
        <f>SUM(AY11:AY28)</f>
        <v/>
      </c>
    </row>
    <row r="31" hidden="1" ht="40.15" customHeight="1">
      <c r="F31" s="73">
        <f>IF($A11="","",F11*E11)</f>
        <v/>
      </c>
      <c r="G31" s="73" t="n"/>
      <c r="H31" s="73">
        <f>IF($A11="","",H11*G11)</f>
        <v/>
      </c>
      <c r="I31" s="73" t="n"/>
      <c r="J31" s="73">
        <f>IF($A11="","",J11*I11)</f>
        <v/>
      </c>
      <c r="K31" s="73" t="n"/>
      <c r="L31" s="73">
        <f>IF($A11="","",L11*K11)</f>
        <v/>
      </c>
      <c r="M31" s="73" t="n"/>
      <c r="N31" s="73">
        <f>IF($A11="","",N11*M11)</f>
        <v/>
      </c>
      <c r="O31" s="73" t="n"/>
      <c r="P31" s="73">
        <f>IF($A11="","",P11*O11)</f>
        <v/>
      </c>
      <c r="Q31" s="73" t="n"/>
      <c r="R31" s="73">
        <f>IF($A11="","",R11*Q11)</f>
        <v/>
      </c>
      <c r="S31" s="73" t="n"/>
      <c r="T31" s="73">
        <f>IF($A11="","",T11*S11)</f>
        <v/>
      </c>
      <c r="U31" s="73" t="n"/>
      <c r="V31" s="73">
        <f>IF($A11="","",V11*U11)</f>
        <v/>
      </c>
      <c r="W31" s="73" t="n"/>
      <c r="X31" s="73">
        <f>IF($A11="","",X11*W11)</f>
        <v/>
      </c>
      <c r="Y31" s="73" t="n"/>
      <c r="Z31" s="73">
        <f>IF($A11="","",Z11*Y11)</f>
        <v/>
      </c>
      <c r="AA31" s="73" t="n"/>
      <c r="AB31" s="73">
        <f>IF($A11="","",AB11*AA11)</f>
        <v/>
      </c>
      <c r="AC31" s="73" t="n"/>
      <c r="AD31" s="73">
        <f>IF($A11="","",AD11*AC11)</f>
        <v/>
      </c>
      <c r="AE31" s="73" t="n"/>
      <c r="AF31" s="73">
        <f>IF($A11="","",AF11*AE11)</f>
        <v/>
      </c>
    </row>
    <row r="32" hidden="1" ht="40.15" customHeight="1">
      <c r="F32" s="73">
        <f>IF($A12="","",F12*E12)</f>
        <v/>
      </c>
      <c r="G32" s="73" t="n"/>
      <c r="H32" s="73">
        <f>IF($A12="","",H12*G12)</f>
        <v/>
      </c>
      <c r="I32" s="73" t="n"/>
      <c r="J32" s="73">
        <f>IF($A12="","",J12*I12)</f>
        <v/>
      </c>
      <c r="K32" s="73" t="n"/>
      <c r="L32" s="73">
        <f>IF($A12="","",L12*K12)</f>
        <v/>
      </c>
      <c r="M32" s="73" t="n"/>
      <c r="N32" s="73">
        <f>IF($A12="","",N12*M12)</f>
        <v/>
      </c>
      <c r="O32" s="73" t="n"/>
      <c r="P32" s="73">
        <f>IF($A12="","",P12*O12)</f>
        <v/>
      </c>
      <c r="Q32" s="73" t="n"/>
      <c r="R32" s="73">
        <f>IF($A12="","",R12*Q12)</f>
        <v/>
      </c>
      <c r="S32" s="73" t="n"/>
      <c r="T32" s="73">
        <f>IF($A12="","",T12*S12)</f>
        <v/>
      </c>
      <c r="U32" s="73" t="n"/>
      <c r="V32" s="73">
        <f>IF($A12="","",V12*U12)</f>
        <v/>
      </c>
      <c r="W32" s="73" t="n"/>
      <c r="X32" s="73">
        <f>IF($A12="","",X12*W12)</f>
        <v/>
      </c>
      <c r="Y32" s="73" t="n"/>
      <c r="Z32" s="73">
        <f>IF($A12="","",Z12*Y12)</f>
        <v/>
      </c>
      <c r="AA32" s="73" t="n"/>
      <c r="AB32" s="73">
        <f>IF($A12="","",AB12*AA12)</f>
        <v/>
      </c>
      <c r="AC32" s="73" t="n"/>
      <c r="AD32" s="73">
        <f>IF($A12="","",AD12*AC12)</f>
        <v/>
      </c>
      <c r="AE32" s="73" t="n"/>
      <c r="AF32" s="73">
        <f>IF($A12="","",AF12*AE12)</f>
        <v/>
      </c>
    </row>
    <row r="33" hidden="1" ht="40.15" customHeight="1">
      <c r="F33" s="73">
        <f>IF($A13="","",F13*E13)</f>
        <v/>
      </c>
      <c r="G33" s="73" t="n"/>
      <c r="H33" s="73">
        <f>IF($A13="","",H13*G13)</f>
        <v/>
      </c>
      <c r="I33" s="73" t="n"/>
      <c r="J33" s="73">
        <f>IF($A13="","",J13*I13)</f>
        <v/>
      </c>
      <c r="K33" s="73" t="n"/>
      <c r="L33" s="73">
        <f>IF($A13="","",L13*K13)</f>
        <v/>
      </c>
      <c r="M33" s="73" t="n"/>
      <c r="N33" s="73">
        <f>IF($A13="","",N13*M13)</f>
        <v/>
      </c>
      <c r="O33" s="73" t="n"/>
      <c r="P33" s="73">
        <f>IF($A13="","",P13*O13)</f>
        <v/>
      </c>
      <c r="Q33" s="73" t="n"/>
      <c r="R33" s="73">
        <f>IF($A13="","",R13*Q13)</f>
        <v/>
      </c>
      <c r="S33" s="73" t="n"/>
      <c r="T33" s="73">
        <f>IF($A13="","",T13*S13)</f>
        <v/>
      </c>
      <c r="U33" s="73" t="n"/>
      <c r="V33" s="73">
        <f>IF($A13="","",V13*U13)</f>
        <v/>
      </c>
      <c r="W33" s="73" t="n"/>
      <c r="X33" s="73">
        <f>IF($A13="","",X13*W13)</f>
        <v/>
      </c>
      <c r="Y33" s="73" t="n"/>
      <c r="Z33" s="73">
        <f>IF($A13="","",Z13*Y13)</f>
        <v/>
      </c>
      <c r="AA33" s="73" t="n"/>
      <c r="AB33" s="73">
        <f>IF($A13="","",AB13*AA13)</f>
        <v/>
      </c>
      <c r="AC33" s="73" t="n"/>
      <c r="AD33" s="73">
        <f>IF($A13="","",AD13*AC13)</f>
        <v/>
      </c>
      <c r="AE33" s="73" t="n"/>
      <c r="AF33" s="73">
        <f>IF($A13="","",AF13*AE13)</f>
        <v/>
      </c>
    </row>
    <row r="34" hidden="1" ht="40.15" customHeight="1">
      <c r="F34" s="73">
        <f>IF($A14="","",F14*E14)</f>
        <v/>
      </c>
      <c r="G34" s="73" t="n"/>
      <c r="H34" s="73">
        <f>IF($A14="","",H14*G14)</f>
        <v/>
      </c>
      <c r="I34" s="73" t="n"/>
      <c r="J34" s="73">
        <f>IF($A14="","",J14*I14)</f>
        <v/>
      </c>
      <c r="K34" s="73" t="n"/>
      <c r="L34" s="73">
        <f>IF($A14="","",L14*K14)</f>
        <v/>
      </c>
      <c r="M34" s="73" t="n"/>
      <c r="N34" s="73">
        <f>IF($A14="","",N14*M14)</f>
        <v/>
      </c>
      <c r="O34" s="73" t="n"/>
      <c r="P34" s="73">
        <f>IF($A14="","",P14*O14)</f>
        <v/>
      </c>
      <c r="Q34" s="73" t="n"/>
      <c r="R34" s="73">
        <f>IF($A14="","",R14*Q14)</f>
        <v/>
      </c>
      <c r="S34" s="73" t="n"/>
      <c r="T34" s="73">
        <f>IF($A14="","",T14*S14)</f>
        <v/>
      </c>
      <c r="U34" s="73" t="n"/>
      <c r="V34" s="73">
        <f>IF($A14="","",V14*U14)</f>
        <v/>
      </c>
      <c r="W34" s="73" t="n"/>
      <c r="X34" s="73">
        <f>IF($A14="","",X14*W14)</f>
        <v/>
      </c>
      <c r="Y34" s="73" t="n"/>
      <c r="Z34" s="73">
        <f>IF($A14="","",Z14*Y14)</f>
        <v/>
      </c>
      <c r="AA34" s="73" t="n"/>
      <c r="AB34" s="73">
        <f>IF($A14="","",AB14*AA14)</f>
        <v/>
      </c>
      <c r="AC34" s="73" t="n"/>
      <c r="AD34" s="73">
        <f>IF($A14="","",AD14*AC14)</f>
        <v/>
      </c>
      <c r="AE34" s="73" t="n"/>
      <c r="AF34" s="73">
        <f>IF($A14="","",AF14*AE14)</f>
        <v/>
      </c>
    </row>
    <row r="35" hidden="1" ht="40.15" customHeight="1">
      <c r="F35" s="73">
        <f>IF($A15="","",F15*E15)</f>
        <v/>
      </c>
      <c r="G35" s="73" t="n"/>
      <c r="H35" s="73">
        <f>IF($A15="","",H15*G15)</f>
        <v/>
      </c>
      <c r="I35" s="73" t="n"/>
      <c r="J35" s="73">
        <f>IF($A15="","",J15*I15)</f>
        <v/>
      </c>
      <c r="K35" s="73" t="n"/>
      <c r="L35" s="73">
        <f>IF($A15="","",L15*K15)</f>
        <v/>
      </c>
      <c r="M35" s="73" t="n"/>
      <c r="N35" s="73">
        <f>IF($A15="","",N15*M15)</f>
        <v/>
      </c>
      <c r="O35" s="73" t="n"/>
      <c r="P35" s="73">
        <f>IF($A15="","",P15*O15)</f>
        <v/>
      </c>
      <c r="Q35" s="73" t="n"/>
      <c r="R35" s="73">
        <f>IF($A15="","",R15*Q15)</f>
        <v/>
      </c>
      <c r="S35" s="73" t="n"/>
      <c r="T35" s="73">
        <f>IF($A15="","",T15*S15)</f>
        <v/>
      </c>
      <c r="U35" s="73" t="n"/>
      <c r="V35" s="73">
        <f>IF($A15="","",V15*U15)</f>
        <v/>
      </c>
      <c r="W35" s="73" t="n"/>
      <c r="X35" s="73">
        <f>IF($A15="","",X15*W15)</f>
        <v/>
      </c>
      <c r="Y35" s="73" t="n"/>
      <c r="Z35" s="73">
        <f>IF($A15="","",Z15*Y15)</f>
        <v/>
      </c>
      <c r="AA35" s="73" t="n"/>
      <c r="AB35" s="73">
        <f>IF($A15="","",AB15*AA15)</f>
        <v/>
      </c>
      <c r="AC35" s="73" t="n"/>
      <c r="AD35" s="73">
        <f>IF($A15="","",AD15*AC15)</f>
        <v/>
      </c>
      <c r="AE35" s="73" t="n"/>
      <c r="AF35" s="73">
        <f>IF($A15="","",AF15*AE15)</f>
        <v/>
      </c>
    </row>
    <row r="36" hidden="1">
      <c r="F36" s="73">
        <f>IF($A16="","",F16*E16)</f>
        <v/>
      </c>
      <c r="G36" s="73" t="n"/>
      <c r="H36" s="73">
        <f>IF($A16="","",H16*G16)</f>
        <v/>
      </c>
      <c r="I36" s="73" t="n"/>
      <c r="J36" s="73">
        <f>IF($A16="","",J16*I16)</f>
        <v/>
      </c>
      <c r="K36" s="73" t="n"/>
      <c r="L36" s="73">
        <f>IF($A16="","",L16*K16)</f>
        <v/>
      </c>
      <c r="M36" s="73" t="n"/>
      <c r="N36" s="73">
        <f>IF($A16="","",N16*M16)</f>
        <v/>
      </c>
      <c r="O36" s="73" t="n"/>
      <c r="P36" s="73">
        <f>IF($A16="","",P16*O16)</f>
        <v/>
      </c>
      <c r="Q36" s="73" t="n"/>
      <c r="R36" s="73">
        <f>IF($A16="","",R16*Q16)</f>
        <v/>
      </c>
      <c r="S36" s="73" t="n"/>
      <c r="T36" s="73">
        <f>IF($A16="","",T16*S16)</f>
        <v/>
      </c>
      <c r="U36" s="73" t="n"/>
      <c r="V36" s="73">
        <f>IF($A16="","",V16*U16)</f>
        <v/>
      </c>
      <c r="W36" s="73" t="n"/>
      <c r="X36" s="73">
        <f>IF($A16="","",X16*W16)</f>
        <v/>
      </c>
      <c r="Y36" s="73" t="n"/>
      <c r="Z36" s="73">
        <f>IF($A16="","",Z16*Y16)</f>
        <v/>
      </c>
      <c r="AA36" s="73" t="n"/>
      <c r="AB36" s="73">
        <f>IF($A16="","",AB16*AA16)</f>
        <v/>
      </c>
      <c r="AC36" s="73" t="n"/>
      <c r="AD36" s="73">
        <f>IF($A16="","",AD16*AC16)</f>
        <v/>
      </c>
      <c r="AE36" s="73" t="n"/>
      <c r="AF36" s="73">
        <f>IF($A16="","",AF16*AE16)</f>
        <v/>
      </c>
    </row>
    <row r="37" hidden="1">
      <c r="F37" s="73">
        <f>IF($A17="","",F17*E17)</f>
        <v/>
      </c>
      <c r="G37" s="73" t="n"/>
      <c r="H37" s="73">
        <f>IF($A17="","",H17*G17)</f>
        <v/>
      </c>
      <c r="I37" s="73" t="n"/>
      <c r="J37" s="73">
        <f>IF($A17="","",J17*I17)</f>
        <v/>
      </c>
      <c r="K37" s="73" t="n"/>
      <c r="L37" s="73">
        <f>IF($A17="","",L17*K17)</f>
        <v/>
      </c>
      <c r="M37" s="73" t="n"/>
      <c r="N37" s="73">
        <f>IF($A17="","",N17*M17)</f>
        <v/>
      </c>
      <c r="O37" s="73" t="n"/>
      <c r="P37" s="73">
        <f>IF($A17="","",P17*O17)</f>
        <v/>
      </c>
      <c r="Q37" s="73" t="n"/>
      <c r="R37" s="73">
        <f>IF($A17="","",R17*Q17)</f>
        <v/>
      </c>
      <c r="S37" s="73" t="n"/>
      <c r="T37" s="73">
        <f>IF($A17="","",T17*S17)</f>
        <v/>
      </c>
      <c r="U37" s="73" t="n"/>
      <c r="V37" s="73">
        <f>IF($A17="","",V17*U17)</f>
        <v/>
      </c>
      <c r="W37" s="73" t="n"/>
      <c r="X37" s="73">
        <f>IF($A17="","",X17*W17)</f>
        <v/>
      </c>
      <c r="Y37" s="73" t="n"/>
      <c r="Z37" s="73">
        <f>IF($A17="","",Z17*Y17)</f>
        <v/>
      </c>
      <c r="AA37" s="73" t="n"/>
      <c r="AB37" s="73">
        <f>IF($A17="","",AB17*AA17)</f>
        <v/>
      </c>
      <c r="AC37" s="73" t="n"/>
      <c r="AD37" s="73">
        <f>IF($A17="","",AD17*AC17)</f>
        <v/>
      </c>
      <c r="AE37" s="73" t="n"/>
      <c r="AF37" s="73">
        <f>IF($A17="","",AF17*AE17)</f>
        <v/>
      </c>
    </row>
    <row r="38" hidden="1">
      <c r="F38" s="73">
        <f>IF($A18="","",F18*E18)</f>
        <v/>
      </c>
      <c r="G38" s="73" t="n"/>
      <c r="H38" s="73">
        <f>IF($A18="","",H18*G18)</f>
        <v/>
      </c>
      <c r="I38" s="73" t="n"/>
      <c r="J38" s="73">
        <f>IF($A18="","",J18*I18)</f>
        <v/>
      </c>
      <c r="K38" s="73" t="n"/>
      <c r="L38" s="73">
        <f>IF($A18="","",L18*K18)</f>
        <v/>
      </c>
      <c r="M38" s="73" t="n"/>
      <c r="N38" s="73">
        <f>IF($A18="","",N18*M18)</f>
        <v/>
      </c>
      <c r="O38" s="73" t="n"/>
      <c r="P38" s="73">
        <f>IF($A18="","",P18*O18)</f>
        <v/>
      </c>
      <c r="Q38" s="73" t="n"/>
      <c r="R38" s="73">
        <f>IF($A18="","",R18*Q18)</f>
        <v/>
      </c>
      <c r="S38" s="73" t="n"/>
      <c r="T38" s="73">
        <f>IF($A18="","",T18*S18)</f>
        <v/>
      </c>
      <c r="U38" s="73" t="n"/>
      <c r="V38" s="73">
        <f>IF($A18="","",V18*U18)</f>
        <v/>
      </c>
      <c r="W38" s="73" t="n"/>
      <c r="X38" s="73">
        <f>IF($A18="","",X18*W18)</f>
        <v/>
      </c>
      <c r="Y38" s="73" t="n"/>
      <c r="Z38" s="73">
        <f>IF($A18="","",Z18*Y18)</f>
        <v/>
      </c>
      <c r="AA38" s="73" t="n"/>
      <c r="AB38" s="73">
        <f>IF($A18="","",AB18*AA18)</f>
        <v/>
      </c>
      <c r="AC38" s="73" t="n"/>
      <c r="AD38" s="73">
        <f>IF($A18="","",AD18*AC18)</f>
        <v/>
      </c>
      <c r="AE38" s="73" t="n"/>
      <c r="AF38" s="73">
        <f>IF($A18="","",AF18*AE18)</f>
        <v/>
      </c>
    </row>
    <row r="39" hidden="1">
      <c r="F39" s="73">
        <f>IF($A19="","",F19*E19)</f>
        <v/>
      </c>
      <c r="G39" s="73" t="n"/>
      <c r="H39" s="73">
        <f>IF($A19="","",H19*G19)</f>
        <v/>
      </c>
      <c r="I39" s="73" t="n"/>
      <c r="J39" s="73">
        <f>IF($A19="","",J19*I19)</f>
        <v/>
      </c>
      <c r="K39" s="73" t="n"/>
      <c r="L39" s="73">
        <f>IF($A19="","",L19*K19)</f>
        <v/>
      </c>
      <c r="M39" s="73" t="n"/>
      <c r="N39" s="73">
        <f>IF($A19="","",N19*M19)</f>
        <v/>
      </c>
      <c r="O39" s="73" t="n"/>
      <c r="P39" s="73">
        <f>IF($A19="","",P19*O19)</f>
        <v/>
      </c>
      <c r="Q39" s="73" t="n"/>
      <c r="R39" s="73">
        <f>IF($A19="","",R19*Q19)</f>
        <v/>
      </c>
      <c r="S39" s="73" t="n"/>
      <c r="T39" s="73">
        <f>IF($A19="","",T19*S19)</f>
        <v/>
      </c>
      <c r="U39" s="73" t="n"/>
      <c r="V39" s="73">
        <f>IF($A19="","",V19*U19)</f>
        <v/>
      </c>
      <c r="W39" s="73" t="n"/>
      <c r="X39" s="73">
        <f>IF($A19="","",X19*W19)</f>
        <v/>
      </c>
      <c r="Y39" s="73" t="n"/>
      <c r="Z39" s="73">
        <f>IF($A19="","",Z19*Y19)</f>
        <v/>
      </c>
      <c r="AA39" s="73" t="n"/>
      <c r="AB39" s="73">
        <f>IF($A19="","",AB19*AA19)</f>
        <v/>
      </c>
      <c r="AC39" s="73" t="n"/>
      <c r="AD39" s="73">
        <f>IF($A19="","",AD19*AC19)</f>
        <v/>
      </c>
      <c r="AE39" s="73" t="n"/>
      <c r="AF39" s="73">
        <f>IF($A19="","",AF19*AE19)</f>
        <v/>
      </c>
    </row>
    <row r="40" hidden="1">
      <c r="F40" s="73">
        <f>IF($A20="","",F20*E20)</f>
        <v/>
      </c>
      <c r="G40" s="73" t="n"/>
      <c r="H40" s="73">
        <f>IF($A20="","",H20*G20)</f>
        <v/>
      </c>
      <c r="I40" s="73" t="n"/>
      <c r="J40" s="73">
        <f>IF($A20="","",J20*I20)</f>
        <v/>
      </c>
      <c r="K40" s="73" t="n"/>
      <c r="L40" s="73">
        <f>IF($A20="","",L20*K20)</f>
        <v/>
      </c>
      <c r="M40" s="73" t="n"/>
      <c r="N40" s="73">
        <f>IF($A20="","",N20*M20)</f>
        <v/>
      </c>
      <c r="O40" s="73" t="n"/>
      <c r="P40" s="73">
        <f>IF($A20="","",P20*O20)</f>
        <v/>
      </c>
      <c r="Q40" s="73" t="n"/>
      <c r="R40" s="73">
        <f>IF($A20="","",R20*Q20)</f>
        <v/>
      </c>
      <c r="S40" s="73" t="n"/>
      <c r="T40" s="73">
        <f>IF($A20="","",T20*S20)</f>
        <v/>
      </c>
      <c r="U40" s="73" t="n"/>
      <c r="V40" s="73">
        <f>IF($A20="","",V20*U20)</f>
        <v/>
      </c>
      <c r="W40" s="73" t="n"/>
      <c r="X40" s="73">
        <f>IF($A20="","",X20*W20)</f>
        <v/>
      </c>
      <c r="Y40" s="73" t="n"/>
      <c r="Z40" s="73">
        <f>IF($A20="","",Z20*Y20)</f>
        <v/>
      </c>
      <c r="AA40" s="73" t="n"/>
      <c r="AB40" s="73">
        <f>IF($A20="","",AB20*AA20)</f>
        <v/>
      </c>
      <c r="AC40" s="73" t="n"/>
      <c r="AD40" s="73">
        <f>IF($A20="","",AD20*AC20)</f>
        <v/>
      </c>
      <c r="AE40" s="73" t="n"/>
      <c r="AF40" s="73">
        <f>IF($A20="","",AF20*AE20)</f>
        <v/>
      </c>
    </row>
    <row r="41" hidden="1">
      <c r="F41" s="73">
        <f>IF($A21="","",F21*E21)</f>
        <v/>
      </c>
      <c r="G41" s="73" t="n"/>
      <c r="H41" s="73">
        <f>IF($A21="","",H21*G21)</f>
        <v/>
      </c>
      <c r="I41" s="73" t="n"/>
      <c r="J41" s="73">
        <f>IF($A21="","",J21*I21)</f>
        <v/>
      </c>
      <c r="K41" s="73" t="n"/>
      <c r="L41" s="73">
        <f>IF($A21="","",L21*K21)</f>
        <v/>
      </c>
      <c r="M41" s="73" t="n"/>
      <c r="N41" s="73">
        <f>IF($A21="","",N21*M21)</f>
        <v/>
      </c>
      <c r="O41" s="73" t="n"/>
      <c r="P41" s="73">
        <f>IF($A21="","",P21*O21)</f>
        <v/>
      </c>
      <c r="Q41" s="73" t="n"/>
      <c r="R41" s="73">
        <f>IF($A21="","",R21*Q21)</f>
        <v/>
      </c>
      <c r="S41" s="73" t="n"/>
      <c r="T41" s="73">
        <f>IF($A21="","",T21*S21)</f>
        <v/>
      </c>
      <c r="U41" s="73" t="n"/>
      <c r="V41" s="73">
        <f>IF($A21="","",V21*U21)</f>
        <v/>
      </c>
      <c r="W41" s="73" t="n"/>
      <c r="X41" s="73">
        <f>IF($A21="","",X21*W21)</f>
        <v/>
      </c>
      <c r="Y41" s="73" t="n"/>
      <c r="Z41" s="73">
        <f>IF($A21="","",Z21*Y21)</f>
        <v/>
      </c>
      <c r="AA41" s="73" t="n"/>
      <c r="AB41" s="73">
        <f>IF($A21="","",AB21*AA21)</f>
        <v/>
      </c>
      <c r="AC41" s="73" t="n"/>
      <c r="AD41" s="73">
        <f>IF($A21="","",AD21*AC21)</f>
        <v/>
      </c>
      <c r="AE41" s="73" t="n"/>
      <c r="AF41" s="73">
        <f>IF($A21="","",AF21*AE21)</f>
        <v/>
      </c>
    </row>
    <row r="42" hidden="1">
      <c r="F42" s="73">
        <f>IF($A22="","",F22*E22)</f>
        <v/>
      </c>
      <c r="G42" s="73" t="n"/>
      <c r="H42" s="73">
        <f>IF($A22="","",H22*G22)</f>
        <v/>
      </c>
      <c r="I42" s="73" t="n"/>
      <c r="J42" s="73">
        <f>IF($A22="","",J22*I22)</f>
        <v/>
      </c>
      <c r="K42" s="73" t="n"/>
      <c r="L42" s="73">
        <f>IF($A22="","",L22*K22)</f>
        <v/>
      </c>
      <c r="M42" s="73" t="n"/>
      <c r="N42" s="73">
        <f>IF($A22="","",N22*M22)</f>
        <v/>
      </c>
      <c r="O42" s="73" t="n"/>
      <c r="P42" s="73">
        <f>IF($A22="","",P22*O22)</f>
        <v/>
      </c>
      <c r="Q42" s="73" t="n"/>
      <c r="R42" s="73">
        <f>IF($A22="","",R22*Q22)</f>
        <v/>
      </c>
      <c r="S42" s="73" t="n"/>
      <c r="T42" s="73">
        <f>IF($A22="","",T22*S22)</f>
        <v/>
      </c>
      <c r="U42" s="73" t="n"/>
      <c r="V42" s="73">
        <f>IF($A22="","",V22*U22)</f>
        <v/>
      </c>
      <c r="W42" s="73" t="n"/>
      <c r="X42" s="73">
        <f>IF($A22="","",X22*W22)</f>
        <v/>
      </c>
      <c r="Y42" s="73" t="n"/>
      <c r="Z42" s="73">
        <f>IF($A22="","",Z22*Y22)</f>
        <v/>
      </c>
      <c r="AA42" s="73" t="n"/>
      <c r="AB42" s="73">
        <f>IF($A22="","",AB22*AA22)</f>
        <v/>
      </c>
      <c r="AC42" s="73" t="n"/>
      <c r="AD42" s="73">
        <f>IF($A22="","",AD22*AC22)</f>
        <v/>
      </c>
      <c r="AE42" s="73" t="n"/>
      <c r="AF42" s="73">
        <f>IF($A22="","",AF22*AE22)</f>
        <v/>
      </c>
    </row>
    <row r="43" hidden="1">
      <c r="F43" s="73">
        <f>IF($A23="","",F23*E23)</f>
        <v/>
      </c>
      <c r="G43" s="73" t="n"/>
      <c r="H43" s="73">
        <f>IF($A23="","",H23*G23)</f>
        <v/>
      </c>
      <c r="I43" s="73" t="n"/>
      <c r="J43" s="73">
        <f>IF($A23="","",J23*I23)</f>
        <v/>
      </c>
      <c r="K43" s="73" t="n"/>
      <c r="L43" s="73">
        <f>IF($A23="","",L23*K23)</f>
        <v/>
      </c>
      <c r="M43" s="73" t="n"/>
      <c r="N43" s="73">
        <f>IF($A23="","",N23*M23)</f>
        <v/>
      </c>
      <c r="O43" s="73" t="n"/>
      <c r="P43" s="73">
        <f>IF($A23="","",P23*O23)</f>
        <v/>
      </c>
      <c r="Q43" s="73" t="n"/>
      <c r="R43" s="73">
        <f>IF($A23="","",R23*Q23)</f>
        <v/>
      </c>
      <c r="S43" s="73" t="n"/>
      <c r="T43" s="73">
        <f>IF($A23="","",T23*S23)</f>
        <v/>
      </c>
      <c r="U43" s="73" t="n"/>
      <c r="V43" s="73">
        <f>IF($A23="","",V23*U23)</f>
        <v/>
      </c>
      <c r="W43" s="73" t="n"/>
      <c r="X43" s="73">
        <f>IF($A23="","",X23*W23)</f>
        <v/>
      </c>
      <c r="Y43" s="73" t="n"/>
      <c r="Z43" s="73">
        <f>IF($A23="","",Z23*Y23)</f>
        <v/>
      </c>
      <c r="AA43" s="73" t="n"/>
      <c r="AB43" s="73">
        <f>IF($A23="","",AB23*AA23)</f>
        <v/>
      </c>
      <c r="AC43" s="73" t="n"/>
      <c r="AD43" s="73">
        <f>IF($A23="","",AD23*AC23)</f>
        <v/>
      </c>
      <c r="AE43" s="73" t="n"/>
      <c r="AF43" s="73">
        <f>IF($A23="","",AF23*AE23)</f>
        <v/>
      </c>
    </row>
    <row r="44" hidden="1">
      <c r="F44" s="73">
        <f>IF($A24="","",F24*E24)</f>
        <v/>
      </c>
      <c r="G44" s="73" t="n"/>
      <c r="H44" s="73">
        <f>IF($A24="","",H24*G24)</f>
        <v/>
      </c>
      <c r="I44" s="73" t="n"/>
      <c r="J44" s="73">
        <f>IF($A24="","",J24*I24)</f>
        <v/>
      </c>
      <c r="K44" s="73" t="n"/>
      <c r="L44" s="73">
        <f>IF($A24="","",L24*K24)</f>
        <v/>
      </c>
      <c r="M44" s="73" t="n"/>
      <c r="N44" s="73">
        <f>IF($A24="","",N24*M24)</f>
        <v/>
      </c>
      <c r="O44" s="73" t="n"/>
      <c r="P44" s="73">
        <f>IF($A24="","",P24*O24)</f>
        <v/>
      </c>
      <c r="Q44" s="73" t="n"/>
      <c r="R44" s="73">
        <f>IF($A24="","",R24*Q24)</f>
        <v/>
      </c>
      <c r="S44" s="73" t="n"/>
      <c r="T44" s="73">
        <f>IF($A24="","",T24*S24)</f>
        <v/>
      </c>
      <c r="U44" s="73" t="n"/>
      <c r="V44" s="73">
        <f>IF($A24="","",V24*U24)</f>
        <v/>
      </c>
      <c r="W44" s="73" t="n"/>
      <c r="X44" s="73">
        <f>IF($A24="","",X24*W24)</f>
        <v/>
      </c>
      <c r="Y44" s="73" t="n"/>
      <c r="Z44" s="73">
        <f>IF($A24="","",Z24*Y24)</f>
        <v/>
      </c>
      <c r="AA44" s="73" t="n"/>
      <c r="AB44" s="73">
        <f>IF($A24="","",AB24*AA24)</f>
        <v/>
      </c>
      <c r="AC44" s="73" t="n"/>
      <c r="AD44" s="73">
        <f>IF($A24="","",AD24*AC24)</f>
        <v/>
      </c>
      <c r="AE44" s="73" t="n"/>
      <c r="AF44" s="73">
        <f>IF($A24="","",AF24*AE24)</f>
        <v/>
      </c>
    </row>
    <row r="45" hidden="1">
      <c r="F45" s="73">
        <f>IF($A25="","",F25*E25)</f>
        <v/>
      </c>
      <c r="G45" s="73" t="n"/>
      <c r="H45" s="73">
        <f>IF($A25="","",H25*G25)</f>
        <v/>
      </c>
      <c r="I45" s="73" t="n"/>
      <c r="J45" s="73">
        <f>IF($A25="","",J25*I25)</f>
        <v/>
      </c>
      <c r="K45" s="73" t="n"/>
      <c r="L45" s="73">
        <f>IF($A25="","",L25*K25)</f>
        <v/>
      </c>
      <c r="M45" s="73" t="n"/>
      <c r="N45" s="73">
        <f>IF($A25="","",N25*M25)</f>
        <v/>
      </c>
      <c r="O45" s="73" t="n"/>
      <c r="P45" s="73">
        <f>IF($A25="","",P25*O25)</f>
        <v/>
      </c>
      <c r="Q45" s="73" t="n"/>
      <c r="R45" s="73">
        <f>IF($A25="","",R25*Q25)</f>
        <v/>
      </c>
      <c r="S45" s="73" t="n"/>
      <c r="T45" s="73">
        <f>IF($A25="","",T25*S25)</f>
        <v/>
      </c>
      <c r="U45" s="73" t="n"/>
      <c r="V45" s="73">
        <f>IF($A25="","",V25*U25)</f>
        <v/>
      </c>
      <c r="W45" s="73" t="n"/>
      <c r="X45" s="73">
        <f>IF($A25="","",X25*W25)</f>
        <v/>
      </c>
      <c r="Y45" s="73" t="n"/>
      <c r="Z45" s="73">
        <f>IF($A25="","",Z25*Y25)</f>
        <v/>
      </c>
      <c r="AA45" s="73" t="n"/>
      <c r="AB45" s="73">
        <f>IF($A25="","",AB25*AA25)</f>
        <v/>
      </c>
      <c r="AC45" s="73" t="n"/>
      <c r="AD45" s="73">
        <f>IF($A25="","",AD25*AC25)</f>
        <v/>
      </c>
      <c r="AE45" s="73" t="n"/>
      <c r="AF45" s="73">
        <f>IF($A25="","",AF25*AE25)</f>
        <v/>
      </c>
    </row>
    <row r="46" hidden="1">
      <c r="F46" s="73">
        <f>IF($A26="","",F26*E26)</f>
        <v/>
      </c>
      <c r="G46" s="73" t="n"/>
      <c r="H46" s="73">
        <f>IF($A26="","",H26*G26)</f>
        <v/>
      </c>
      <c r="I46" s="73" t="n"/>
      <c r="J46" s="73">
        <f>IF($A26="","",J26*I26)</f>
        <v/>
      </c>
      <c r="K46" s="73" t="n"/>
      <c r="L46" s="73">
        <f>IF($A26="","",L26*K26)</f>
        <v/>
      </c>
      <c r="M46" s="73" t="n"/>
      <c r="N46" s="73">
        <f>IF($A26="","",N26*M26)</f>
        <v/>
      </c>
      <c r="O46" s="73" t="n"/>
      <c r="P46" s="73">
        <f>IF($A26="","",P26*O26)</f>
        <v/>
      </c>
      <c r="Q46" s="73" t="n"/>
      <c r="R46" s="73">
        <f>IF($A26="","",R26*Q26)</f>
        <v/>
      </c>
      <c r="S46" s="73" t="n"/>
      <c r="T46" s="73">
        <f>IF($A26="","",T26*S26)</f>
        <v/>
      </c>
      <c r="U46" s="73" t="n"/>
      <c r="V46" s="73">
        <f>IF($A26="","",V26*U26)</f>
        <v/>
      </c>
      <c r="W46" s="73" t="n"/>
      <c r="X46" s="73">
        <f>IF($A26="","",X26*W26)</f>
        <v/>
      </c>
      <c r="Y46" s="73" t="n"/>
      <c r="Z46" s="73">
        <f>IF($A26="","",Z26*Y26)</f>
        <v/>
      </c>
      <c r="AA46" s="73" t="n"/>
      <c r="AB46" s="73">
        <f>IF($A26="","",AB26*AA26)</f>
        <v/>
      </c>
      <c r="AC46" s="73" t="n"/>
      <c r="AD46" s="73">
        <f>IF($A26="","",AD26*AC26)</f>
        <v/>
      </c>
      <c r="AE46" s="73" t="n"/>
      <c r="AF46" s="73">
        <f>IF($A26="","",AF26*AE26)</f>
        <v/>
      </c>
    </row>
    <row r="47" hidden="1">
      <c r="F47" s="73">
        <f>IF($A27="","",F27*E27)</f>
        <v/>
      </c>
      <c r="G47" s="73" t="n"/>
      <c r="H47" s="73">
        <f>IF($A27="","",H27*G27)</f>
        <v/>
      </c>
      <c r="I47" s="73" t="n"/>
      <c r="J47" s="73">
        <f>IF($A27="","",J27*I27)</f>
        <v/>
      </c>
      <c r="K47" s="73" t="n"/>
      <c r="L47" s="73">
        <f>IF($A27="","",L27*K27)</f>
        <v/>
      </c>
      <c r="M47" s="73" t="n"/>
      <c r="N47" s="73">
        <f>IF($A27="","",N27*M27)</f>
        <v/>
      </c>
      <c r="O47" s="73" t="n"/>
      <c r="P47" s="73">
        <f>IF($A27="","",P27*O27)</f>
        <v/>
      </c>
      <c r="Q47" s="73" t="n"/>
      <c r="R47" s="73">
        <f>IF($A27="","",R27*Q27)</f>
        <v/>
      </c>
      <c r="S47" s="73" t="n"/>
      <c r="T47" s="73">
        <f>IF($A27="","",T27*S27)</f>
        <v/>
      </c>
      <c r="U47" s="73" t="n"/>
      <c r="V47" s="73">
        <f>IF($A27="","",V27*U27)</f>
        <v/>
      </c>
      <c r="W47" s="73" t="n"/>
      <c r="X47" s="73">
        <f>IF($A27="","",X27*W27)</f>
        <v/>
      </c>
      <c r="Y47" s="73" t="n"/>
      <c r="Z47" s="73">
        <f>IF($A27="","",Z27*Y27)</f>
        <v/>
      </c>
      <c r="AA47" s="73" t="n"/>
      <c r="AB47" s="73">
        <f>IF($A27="","",AB27*AA27)</f>
        <v/>
      </c>
      <c r="AC47" s="73" t="n"/>
      <c r="AD47" s="73">
        <f>IF($A27="","",AD27*AC27)</f>
        <v/>
      </c>
      <c r="AE47" s="73" t="n"/>
      <c r="AF47" s="73">
        <f>IF($A27="","",AF27*AE27)</f>
        <v/>
      </c>
    </row>
    <row r="48" hidden="1">
      <c r="F48" s="73">
        <f>IF($A28="","",F28*E28)</f>
        <v/>
      </c>
      <c r="G48" s="73" t="n"/>
      <c r="H48" s="73">
        <f>IF($A28="","",H28*G28)</f>
        <v/>
      </c>
      <c r="I48" s="73" t="n"/>
      <c r="J48" s="73">
        <f>IF($A28="","",J28*I28)</f>
        <v/>
      </c>
      <c r="K48" s="73" t="n"/>
      <c r="L48" s="73">
        <f>IF($A28="","",L28*K28)</f>
        <v/>
      </c>
      <c r="M48" s="73" t="n"/>
      <c r="N48" s="73">
        <f>IF($A28="","",N28*M28)</f>
        <v/>
      </c>
      <c r="O48" s="73" t="n"/>
      <c r="P48" s="73">
        <f>IF($A28="","",P28*O28)</f>
        <v/>
      </c>
      <c r="Q48" s="73" t="n"/>
      <c r="R48" s="73">
        <f>IF($A28="","",R28*Q28)</f>
        <v/>
      </c>
      <c r="S48" s="73" t="n"/>
      <c r="T48" s="73">
        <f>IF($A28="","",T28*S28)</f>
        <v/>
      </c>
      <c r="U48" s="73" t="n"/>
      <c r="V48" s="73">
        <f>IF($A28="","",V28*U28)</f>
        <v/>
      </c>
      <c r="W48" s="73" t="n"/>
      <c r="X48" s="73">
        <f>IF($A28="","",X28*W28)</f>
        <v/>
      </c>
      <c r="Y48" s="73" t="n"/>
      <c r="Z48" s="73">
        <f>IF($A28="","",Z28*Y28)</f>
        <v/>
      </c>
      <c r="AA48" s="73" t="n"/>
      <c r="AB48" s="73">
        <f>IF($A28="","",AB28*AA28)</f>
        <v/>
      </c>
      <c r="AC48" s="73" t="n"/>
      <c r="AD48" s="73">
        <f>IF($A28="","",AD28*AC28)</f>
        <v/>
      </c>
      <c r="AE48" s="73" t="n"/>
      <c r="AF48" s="73">
        <f>IF($A28="","",AF28*AE28)</f>
        <v/>
      </c>
    </row>
    <row r="49" hidden="1">
      <c r="F49" s="74">
        <f>SUMIF(F31:F48,"&gt;0")</f>
        <v/>
      </c>
      <c r="H49" s="74">
        <f>SUMIF(H31:H48,"&gt;0")</f>
        <v/>
      </c>
      <c r="I49" s="74" t="n"/>
      <c r="J49" s="74">
        <f>SUMIF(J31:J48,"&gt;0")</f>
        <v/>
      </c>
      <c r="K49" s="74" t="n"/>
      <c r="L49" s="74">
        <f>SUMIF(L31:L48,"&gt;0")</f>
        <v/>
      </c>
      <c r="M49" s="74" t="n"/>
      <c r="N49" s="74">
        <f>SUMIF(N31:N48,"&gt;0")</f>
        <v/>
      </c>
      <c r="P49" s="74">
        <f>SUMIF(P31:P48,"&gt;0")</f>
        <v/>
      </c>
      <c r="Q49" s="74" t="n"/>
      <c r="R49" s="74">
        <f>SUMIF(R31:R48,"&gt;0")</f>
        <v/>
      </c>
      <c r="S49" s="74" t="n"/>
      <c r="T49" s="74">
        <f>SUMIF(T31:T48,"&gt;0")</f>
        <v/>
      </c>
      <c r="U49" s="74" t="n"/>
      <c r="V49" s="74">
        <f>SUMIF(V31:V48,"&gt;0")</f>
        <v/>
      </c>
      <c r="X49" s="74">
        <f>SUMIF(X31:X48,"&gt;0")</f>
        <v/>
      </c>
      <c r="Y49" s="74" t="n"/>
      <c r="Z49" s="74">
        <f>SUMIF(Z31:Z48,"&gt;0")</f>
        <v/>
      </c>
      <c r="AA49" s="74" t="n"/>
      <c r="AB49" s="74">
        <f>SUMIF(AB31:AB48,"&gt;0")</f>
        <v/>
      </c>
      <c r="AC49" s="74" t="n"/>
      <c r="AD49" s="74">
        <f>SUMIF(AD31:AD48,"&gt;0")</f>
        <v/>
      </c>
      <c r="AE49" s="74" t="n"/>
      <c r="AF49" s="74">
        <f>SUMIF(AF31:AF48,"&gt;0")</f>
        <v/>
      </c>
    </row>
    <row r="52">
      <c r="A52" s="75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</row>
    <row r="53">
      <c r="A53" s="77" t="inlineStr">
        <is>
          <t>#</t>
        </is>
      </c>
      <c r="B53" s="77" t="inlineStr">
        <is>
          <t>โปรไฟล์</t>
        </is>
      </c>
      <c r="C53" s="77" t="inlineStr">
        <is>
          <t>รหัส</t>
        </is>
      </c>
      <c r="D53" s="77" t="inlineStr">
        <is>
          <t>สูตรตัด (เดิม)</t>
        </is>
      </c>
      <c r="E53" s="77" t="inlineStr">
        <is>
          <t>หัก1</t>
        </is>
      </c>
      <c r="F53" s="77" t="inlineStr">
        <is>
          <t>หัก2</t>
        </is>
      </c>
      <c r="G53" s="77" t="inlineStr">
        <is>
          <t>หัก3</t>
        </is>
      </c>
      <c r="H53" s="77" t="inlineStr">
        <is>
          <t>หัก4</t>
        </is>
      </c>
      <c r="I53" s="77" t="inlineStr">
        <is>
          <t>หัก5</t>
        </is>
      </c>
      <c r="J53" s="77" t="inlineStr">
        <is>
          <t>หัก6</t>
        </is>
      </c>
      <c r="K53" s="77" t="inlineStr">
        <is>
          <t>หัก7</t>
        </is>
      </c>
      <c r="L53" s="77" t="inlineStr">
        <is>
          <t>จำนวน/ชุด</t>
        </is>
      </c>
      <c r="M53" s="122" t="n"/>
    </row>
    <row r="54" ht="44" customHeight="1">
      <c r="A54" s="78" t="n">
        <v>1</v>
      </c>
      <c r="B54" s="79" t="inlineStr">
        <is>
          <t>เฟรมข้าง</t>
        </is>
      </c>
      <c r="C54" s="80" t="inlineStr">
        <is>
          <t>F7978</t>
        </is>
      </c>
      <c r="D54" s="81" t="inlineStr">
        <is>
          <t>สูง</t>
        </is>
      </c>
      <c r="E54" s="82" t="n"/>
      <c r="F54" s="82" t="n"/>
      <c r="G54" s="82" t="n"/>
      <c r="H54" s="82" t="n"/>
      <c r="I54" s="82" t="n"/>
      <c r="J54" s="82" t="n"/>
      <c r="K54" s="82" t="n"/>
      <c r="L54" s="83" t="n">
        <v>2</v>
      </c>
      <c r="M54" s="82" t="n"/>
    </row>
    <row r="55" ht="44" customHeight="1">
      <c r="A55" s="78" t="n">
        <v>2</v>
      </c>
      <c r="B55" s="79" t="inlineStr">
        <is>
          <t>เฟรม บน</t>
        </is>
      </c>
      <c r="C55" s="80" t="inlineStr">
        <is>
          <t>F7976</t>
        </is>
      </c>
      <c r="D55" s="81" t="inlineStr">
        <is>
          <t>กว้าง-21-21</t>
        </is>
      </c>
      <c r="E55" s="83" t="n">
        <v>21</v>
      </c>
      <c r="F55" s="83" t="n">
        <v>21</v>
      </c>
      <c r="G55" s="82" t="n"/>
      <c r="H55" s="82" t="n"/>
      <c r="I55" s="82" t="n"/>
      <c r="J55" s="82" t="n"/>
      <c r="K55" s="82" t="n"/>
      <c r="L55" s="83" t="n">
        <v>1</v>
      </c>
      <c r="M55" s="82" t="n"/>
    </row>
    <row r="56" ht="44" customHeight="1">
      <c r="A56" s="78" t="n">
        <v>3</v>
      </c>
      <c r="B56" s="79" t="inlineStr">
        <is>
          <t>เฟรม-ล่าง</t>
        </is>
      </c>
      <c r="C56" s="80" t="inlineStr">
        <is>
          <t>F7902</t>
        </is>
      </c>
      <c r="D56" s="81" t="inlineStr">
        <is>
          <t>กว้าง-21-21</t>
        </is>
      </c>
      <c r="E56" s="83" t="n">
        <v>21</v>
      </c>
      <c r="F56" s="83" t="n">
        <v>21</v>
      </c>
      <c r="G56" s="82" t="n"/>
      <c r="H56" s="82" t="n"/>
      <c r="I56" s="82" t="n"/>
      <c r="J56" s="82" t="n"/>
      <c r="K56" s="82" t="n"/>
      <c r="L56" s="83" t="n">
        <v>1</v>
      </c>
      <c r="M56" s="82" t="n"/>
    </row>
    <row r="57" ht="44" customHeight="1">
      <c r="A57" s="78" t="n">
        <v>4</v>
      </c>
      <c r="B57" s="79" t="inlineStr">
        <is>
          <t>เสา</t>
        </is>
      </c>
      <c r="C57" s="80" t="inlineStr">
        <is>
          <t>F7980</t>
        </is>
      </c>
      <c r="D57" s="81" t="inlineStr">
        <is>
          <t>สูง-14-13-21</t>
        </is>
      </c>
      <c r="E57" s="83" t="n">
        <v>14</v>
      </c>
      <c r="F57" s="83" t="n">
        <v>13</v>
      </c>
      <c r="G57" s="83" t="n">
        <v>21</v>
      </c>
      <c r="H57" s="82" t="n"/>
      <c r="I57" s="82" t="n"/>
      <c r="J57" s="82" t="n"/>
      <c r="K57" s="82" t="n"/>
      <c r="L57" s="83" t="n">
        <v>4</v>
      </c>
      <c r="M57" s="82" t="n"/>
    </row>
    <row r="58" ht="15" customHeight="1">
      <c r="A58" s="78" t="n">
        <v>5</v>
      </c>
      <c r="B58" s="79" t="inlineStr">
        <is>
          <t>ขวาง</t>
        </is>
      </c>
      <c r="C58" s="80" t="inlineStr">
        <is>
          <t>-</t>
        </is>
      </c>
      <c r="D58" s="81" t="inlineStr">
        <is>
          <t>((กว้าง-21-3-3--1.221)/2)+(78x1/2)</t>
        </is>
      </c>
      <c r="E58" s="83" t="n">
        <v>21</v>
      </c>
      <c r="F58" s="83" t="n">
        <v>3</v>
      </c>
      <c r="G58" s="83" t="n">
        <v>3</v>
      </c>
      <c r="H58" s="83" t="n">
        <v>1.2</v>
      </c>
      <c r="I58" s="83" t="n">
        <v>21</v>
      </c>
      <c r="J58" s="82" t="n"/>
      <c r="K58" s="82" t="n"/>
      <c r="L58" s="83" t="n">
        <v>4</v>
      </c>
      <c r="M58" s="82" t="n"/>
    </row>
    <row r="59" ht="44" customHeight="1">
      <c r="A59" s="78" t="n">
        <v>6</v>
      </c>
      <c r="B59" s="79" t="inlineStr">
        <is>
          <t>คิ้ว ตั้ง</t>
        </is>
      </c>
      <c r="C59" s="80" t="inlineStr">
        <is>
          <t>F7919</t>
        </is>
      </c>
      <c r="D59" s="81" t="inlineStr">
        <is>
          <t>เสา-78-78</t>
        </is>
      </c>
      <c r="E59" s="83" t="n">
        <v>78</v>
      </c>
      <c r="F59" s="83" t="n">
        <v>78</v>
      </c>
      <c r="G59" s="82" t="n"/>
      <c r="H59" s="82" t="n"/>
      <c r="I59" s="82" t="n"/>
      <c r="J59" s="82" t="n"/>
      <c r="K59" s="82" t="n"/>
      <c r="L59" s="83" t="n">
        <v>4</v>
      </c>
      <c r="M59" s="82" t="n"/>
    </row>
    <row r="60" ht="15" customHeight="1">
      <c r="A60" s="78" t="n">
        <v>7</v>
      </c>
      <c r="B60" s="79" t="inlineStr">
        <is>
          <t>คิ้ว ขวาง</t>
        </is>
      </c>
      <c r="C60" s="80" t="inlineStr">
        <is>
          <t>-</t>
        </is>
      </c>
      <c r="D60" s="81" t="inlineStr">
        <is>
          <t>ขวาง-63-63</t>
        </is>
      </c>
      <c r="E60" s="83" t="n">
        <v>63</v>
      </c>
      <c r="F60" s="83" t="n">
        <v>63</v>
      </c>
      <c r="G60" s="82" t="n"/>
      <c r="H60" s="82" t="n"/>
      <c r="I60" s="82" t="n"/>
      <c r="J60" s="82" t="n"/>
      <c r="K60" s="82" t="n"/>
      <c r="L60" s="83" t="n">
        <v>4</v>
      </c>
      <c r="M60" s="82" t="n"/>
    </row>
    <row r="61" ht="44" customHeight="1">
      <c r="A61" s="78" t="n">
        <v>8</v>
      </c>
      <c r="B61" s="79" t="inlineStr">
        <is>
          <t>ตบเกี่ยว</t>
        </is>
      </c>
      <c r="C61" s="80" t="inlineStr">
        <is>
          <t>F7983</t>
        </is>
      </c>
      <c r="D61" s="81" t="inlineStr">
        <is>
          <t>สูงกรอบบาน</t>
        </is>
      </c>
      <c r="E61" s="82" t="n"/>
      <c r="F61" s="82" t="n"/>
      <c r="G61" s="82" t="n"/>
      <c r="H61" s="82" t="n"/>
      <c r="I61" s="82" t="n"/>
      <c r="J61" s="82" t="n"/>
      <c r="K61" s="82" t="n"/>
      <c r="L61" s="83" t="n">
        <v>2</v>
      </c>
      <c r="M61" s="82" t="n"/>
    </row>
    <row r="62" ht="44" customHeight="1">
      <c r="A62" s="78" t="n">
        <v>9</v>
      </c>
      <c r="B62" s="79" t="inlineStr">
        <is>
          <t>ยูข้าง</t>
        </is>
      </c>
      <c r="C62" s="80" t="inlineStr">
        <is>
          <t>F7986</t>
        </is>
      </c>
      <c r="D62" s="81" t="inlineStr">
        <is>
          <t>สูง-8-45</t>
        </is>
      </c>
      <c r="E62" s="83" t="n">
        <v>8</v>
      </c>
      <c r="F62" s="83" t="n">
        <v>45</v>
      </c>
      <c r="G62" s="82" t="n"/>
      <c r="H62" s="82" t="n"/>
      <c r="I62" s="82" t="n"/>
      <c r="J62" s="82" t="n"/>
      <c r="K62" s="82" t="n"/>
      <c r="L62" s="83" t="n">
        <v>2</v>
      </c>
      <c r="M62" s="82" t="n"/>
    </row>
    <row r="63" ht="44" customHeight="1">
      <c r="A63" s="78" t="n">
        <v>10</v>
      </c>
      <c r="B63" s="79" t="inlineStr">
        <is>
          <t>ตบเฟรมบน</t>
        </is>
      </c>
      <c r="C63" s="80" t="inlineStr">
        <is>
          <t>F7993</t>
        </is>
      </c>
      <c r="D63" s="81" t="inlineStr">
        <is>
          <t>เท่าเฟรมบน</t>
        </is>
      </c>
      <c r="E63" s="83" t="n">
        <v>21</v>
      </c>
      <c r="F63" s="83" t="n">
        <v>21</v>
      </c>
      <c r="G63" s="82" t="n"/>
      <c r="H63" s="82" t="n"/>
      <c r="I63" s="82" t="n"/>
      <c r="J63" s="82" t="n"/>
      <c r="K63" s="82" t="n"/>
      <c r="L63" s="83" t="n">
        <v>3</v>
      </c>
      <c r="M63" s="82" t="n"/>
    </row>
    <row r="64" ht="44" customHeight="1">
      <c r="A64" s="78" t="n">
        <v>11</v>
      </c>
      <c r="B64" s="79" t="inlineStr">
        <is>
          <t>ตบยูข้าง</t>
        </is>
      </c>
      <c r="C64" s="80" t="inlineStr">
        <is>
          <t>F7988</t>
        </is>
      </c>
      <c r="D64" s="81" t="inlineStr">
        <is>
          <t>สูง-8-45</t>
        </is>
      </c>
      <c r="E64" s="83" t="n">
        <v>45</v>
      </c>
      <c r="F64" s="83" t="n">
        <v>45</v>
      </c>
      <c r="G64" s="82" t="n"/>
      <c r="H64" s="82" t="n"/>
      <c r="I64" s="82" t="n"/>
      <c r="J64" s="82" t="n"/>
      <c r="K64" s="82" t="n"/>
      <c r="L64" s="83" t="n">
        <v>2</v>
      </c>
      <c r="M64" s="82" t="n"/>
    </row>
    <row r="65" ht="15" customHeight="1">
      <c r="A65" s="78" t="n">
        <v>12</v>
      </c>
      <c r="B65" s="79" t="inlineStr">
        <is>
          <t>ปิดตบเกี่ยว</t>
        </is>
      </c>
      <c r="C65" s="80" t="inlineStr">
        <is>
          <t>-</t>
        </is>
      </c>
      <c r="D65" s="81" t="inlineStr">
        <is>
          <t>สูงกรอบบาน</t>
        </is>
      </c>
      <c r="E65" s="82" t="n"/>
      <c r="F65" s="82" t="n"/>
      <c r="G65" s="82" t="n"/>
      <c r="H65" s="82" t="n"/>
      <c r="I65" s="82" t="n"/>
      <c r="J65" s="82" t="n"/>
      <c r="K65" s="82" t="n"/>
      <c r="L65" s="83" t="n">
        <v>4</v>
      </c>
      <c r="M65" s="82" t="n"/>
    </row>
    <row r="66" ht="44" customHeight="1">
      <c r="A66" s="78" t="n">
        <v>13</v>
      </c>
      <c r="B66" s="79" t="inlineStr">
        <is>
          <t>ราง</t>
        </is>
      </c>
      <c r="C66" s="80" t="inlineStr">
        <is>
          <t>F7994</t>
        </is>
      </c>
      <c r="D66" s="81" t="inlineStr">
        <is>
          <t>เท่าเฟรมล่าง</t>
        </is>
      </c>
      <c r="E66" s="83" t="n">
        <v>21</v>
      </c>
      <c r="F66" s="83" t="n">
        <v>21</v>
      </c>
      <c r="G66" s="82" t="n"/>
      <c r="H66" s="82" t="n"/>
      <c r="I66" s="82" t="n"/>
      <c r="J66" s="82" t="n"/>
      <c r="K66" s="82" t="n"/>
      <c r="L66" s="83" t="n">
        <v>3</v>
      </c>
      <c r="M66" s="82" t="n"/>
    </row>
    <row r="68">
      <c r="A68" s="123" t="inlineStr">
        <is>
          <t>⑥ อุปกรณ์ ต่อ 1 บาน — คูณจำนวนบานที่ผลิต</t>
        </is>
      </c>
      <c r="B68" s="131" t="n"/>
      <c r="C68" s="131" t="n"/>
      <c r="D68" s="131" t="n"/>
      <c r="E68" s="132" t="n"/>
      <c r="F68" s="124" t="inlineStr">
        <is>
          <t>ต่อบาน</t>
        </is>
      </c>
    </row>
    <row r="69">
      <c r="A69" s="125" t="n"/>
      <c r="F69" s="126" t="n"/>
    </row>
    <row r="70">
      <c r="A70" s="153" t="inlineStr">
        <is>
          <t>⑤ อุปกรณ์ + ตั้งค่ามือจับ (2 ชุด · บานเลื่อน 2)</t>
        </is>
      </c>
      <c r="F70" s="126" t="n"/>
    </row>
    <row r="71">
      <c r="A71" s="152" t="inlineStr">
        <is>
          <t>ประเภทบาน →</t>
        </is>
      </c>
      <c r="B71" s="150" t="inlineStr">
        <is>
          <t>ประตู</t>
        </is>
      </c>
      <c r="F71" s="126" t="n"/>
    </row>
    <row r="72">
      <c r="A72" s="152" t="inlineStr">
        <is>
          <t>ยี่ห้อมือจับ →</t>
        </is>
      </c>
      <c r="B72" s="150" t="inlineStr">
        <is>
          <t>เมโทร</t>
        </is>
      </c>
      <c r="F72" s="126" t="n"/>
    </row>
    <row r="73">
      <c r="A73" s="156" t="inlineStr">
        <is>
          <t>สีมือจับ →</t>
        </is>
      </c>
      <c r="B73" s="150" t="inlineStr">
        <is>
          <t>อบขาว</t>
        </is>
      </c>
    </row>
    <row r="74">
      <c r="A74" s="149" t="inlineStr">
        <is>
          <t>มือจับ ชุด1 →</t>
        </is>
      </c>
      <c r="B74" s="150" t="inlineStr">
        <is>
          <t>กุญแจ+ล็อค</t>
        </is>
      </c>
    </row>
    <row r="75">
      <c r="A75" s="149" t="inlineStr">
        <is>
          <t>มือจับ ชุด2 →</t>
        </is>
      </c>
      <c r="B75" s="150" t="inlineStr">
        <is>
          <t>ล็อค+ดัมมี่</t>
        </is>
      </c>
    </row>
    <row r="76">
      <c r="A76" s="154" t="inlineStr">
        <is>
          <t>⑤.1 สรุปอุปกรณ์ (จำนวนลิงก์อัตโนมัติ)</t>
        </is>
      </c>
    </row>
    <row r="77">
      <c r="A77" s="154" t="inlineStr">
        <is>
          <t>#</t>
        </is>
      </c>
      <c r="B77" s="154" t="inlineStr">
        <is>
          <t>อุปกรณ์</t>
        </is>
      </c>
      <c r="C77" s="154" t="inlineStr">
        <is>
          <t>รหัส SKU</t>
        </is>
      </c>
      <c r="D77" s="154" t="inlineStr">
        <is>
          <t>จำนวน</t>
        </is>
      </c>
      <c r="E77" s="154" t="inlineStr">
        <is>
          <t>หน่วย</t>
        </is>
      </c>
      <c r="F77" s="154" t="inlineStr">
        <is>
          <t>หมายเหตุ</t>
        </is>
      </c>
    </row>
    <row r="78">
      <c r="A78" s="149" t="n">
        <v>1</v>
      </c>
      <c r="B78" s="149" t="inlineStr">
        <is>
          <t>ล้อ 20</t>
        </is>
      </c>
      <c r="C78" s="150">
        <f>AK8</f>
        <v/>
      </c>
      <c r="D78" s="155">
        <f>AK30</f>
        <v/>
      </c>
      <c r="E78" s="149" t="inlineStr">
        <is>
          <t>ตัว</t>
        </is>
      </c>
      <c r="F78" s="149" t="inlineStr"/>
    </row>
    <row r="79">
      <c r="A79" s="149" t="n">
        <v>2</v>
      </c>
      <c r="B79" s="149" t="inlineStr">
        <is>
          <t>มือจับ กุญแจ</t>
        </is>
      </c>
      <c r="C79" s="150">
        <f>AL8</f>
        <v/>
      </c>
      <c r="D79" s="155">
        <f>AL30</f>
        <v/>
      </c>
      <c r="E79" s="149" t="inlineStr">
        <is>
          <t>ตัว</t>
        </is>
      </c>
      <c r="F79" s="149" t="inlineStr"/>
    </row>
    <row r="80">
      <c r="A80" s="149" t="n">
        <v>3</v>
      </c>
      <c r="B80" s="149" t="inlineStr">
        <is>
          <t>มือจับ ล็อค</t>
        </is>
      </c>
      <c r="C80" s="150">
        <f>AM8</f>
        <v/>
      </c>
      <c r="D80" s="155">
        <f>AM30</f>
        <v/>
      </c>
      <c r="E80" s="149" t="inlineStr">
        <is>
          <t>ตัว</t>
        </is>
      </c>
      <c r="F80" s="149" t="inlineStr"/>
    </row>
    <row r="81">
      <c r="A81" s="149" t="n">
        <v>4</v>
      </c>
      <c r="B81" s="149" t="inlineStr">
        <is>
          <t>มือจับ ดัมมี่</t>
        </is>
      </c>
      <c r="C81" s="150">
        <f>AN8</f>
        <v/>
      </c>
      <c r="D81" s="155">
        <f>AN30</f>
        <v/>
      </c>
      <c r="E81" s="149" t="inlineStr">
        <is>
          <t>ตัว</t>
        </is>
      </c>
      <c r="F81" s="149" t="inlineStr"/>
    </row>
    <row r="82">
      <c r="A82" s="149" t="n">
        <v>5</v>
      </c>
      <c r="B82" s="149" t="inlineStr">
        <is>
          <t>Digital lock</t>
        </is>
      </c>
      <c r="C82" s="150" t="inlineStr">
        <is>
          <t>-</t>
        </is>
      </c>
      <c r="D82" s="155">
        <f>AO30</f>
        <v/>
      </c>
      <c r="E82" s="149" t="inlineStr">
        <is>
          <t>ชุด</t>
        </is>
      </c>
      <c r="F82" s="149" t="inlineStr">
        <is>
          <t>ไม่ตัดสต็อก</t>
        </is>
      </c>
    </row>
    <row r="83">
      <c r="A83" s="149" t="n">
        <v>6</v>
      </c>
      <c r="B83" s="149" t="inlineStr">
        <is>
          <t>แกน A</t>
        </is>
      </c>
      <c r="C83" s="150">
        <f>AP8</f>
        <v/>
      </c>
      <c r="D83" s="155">
        <f>AP30</f>
        <v/>
      </c>
      <c r="E83" s="149" t="inlineStr">
        <is>
          <t>เส้น</t>
        </is>
      </c>
      <c r="F83" s="149" t="inlineStr"/>
    </row>
    <row r="84">
      <c r="A84" s="149" t="n">
        <v>7</v>
      </c>
      <c r="B84" s="149" t="inlineStr">
        <is>
          <t>แกน B</t>
        </is>
      </c>
      <c r="C84" s="150">
        <f>AQ8</f>
        <v/>
      </c>
      <c r="D84" s="155">
        <f>AQ30</f>
        <v/>
      </c>
      <c r="E84" s="149" t="inlineStr">
        <is>
          <t>เส้น</t>
        </is>
      </c>
      <c r="F84" s="149" t="inlineStr"/>
    </row>
    <row r="85">
      <c r="A85" s="149" t="n">
        <v>8</v>
      </c>
      <c r="B85" s="149" t="inlineStr">
        <is>
          <t>ปลายดำ</t>
        </is>
      </c>
      <c r="C85" s="150">
        <f>AR8</f>
        <v/>
      </c>
      <c r="D85" s="155">
        <f>AR30</f>
        <v/>
      </c>
      <c r="E85" s="149" t="inlineStr">
        <is>
          <t>ตัว</t>
        </is>
      </c>
      <c r="F85" s="149" t="inlineStr"/>
    </row>
    <row r="86">
      <c r="A86" s="149" t="n">
        <v>9</v>
      </c>
      <c r="B86" s="149" t="inlineStr">
        <is>
          <t>ตัวที เงิน</t>
        </is>
      </c>
      <c r="C86" s="150">
        <f>AS8</f>
        <v/>
      </c>
      <c r="D86" s="155">
        <f>AS30</f>
        <v/>
      </c>
      <c r="E86" s="149" t="inlineStr">
        <is>
          <t>ตัว</t>
        </is>
      </c>
      <c r="F86" s="149" t="inlineStr"/>
    </row>
    <row r="87">
      <c r="A87" s="149" t="n">
        <v>10</v>
      </c>
      <c r="B87" s="149" t="inlineStr">
        <is>
          <t>ก้ามปู</t>
        </is>
      </c>
      <c r="C87" s="150">
        <f>AT8</f>
        <v/>
      </c>
      <c r="D87" s="155">
        <f>AT30</f>
        <v/>
      </c>
      <c r="E87" s="149" t="inlineStr">
        <is>
          <t>ตัว</t>
        </is>
      </c>
      <c r="F87" s="149" t="inlineStr"/>
    </row>
    <row r="88">
      <c r="A88" s="149" t="n">
        <v>11</v>
      </c>
      <c r="B88" s="149" t="inlineStr">
        <is>
          <t>สปิงก็อท</t>
        </is>
      </c>
      <c r="C88" s="150">
        <f>AU8</f>
        <v/>
      </c>
      <c r="D88" s="155">
        <f>AU30</f>
        <v/>
      </c>
      <c r="E88" s="149" t="inlineStr">
        <is>
          <t>ตัว</t>
        </is>
      </c>
      <c r="F88" s="149" t="inlineStr"/>
    </row>
    <row r="89">
      <c r="A89" s="149" t="n">
        <v>12</v>
      </c>
      <c r="B89" s="149" t="inlineStr">
        <is>
          <t>ฉากประกอบมุม</t>
        </is>
      </c>
      <c r="C89" s="150">
        <f>AV8</f>
        <v/>
      </c>
      <c r="D89" s="155">
        <f>AV30</f>
        <v/>
      </c>
      <c r="E89" s="149" t="inlineStr">
        <is>
          <t>ตัว</t>
        </is>
      </c>
      <c r="F89" s="149" t="inlineStr"/>
    </row>
    <row r="90">
      <c r="A90" s="149" t="n">
        <v>13</v>
      </c>
      <c r="B90" s="149" t="inlineStr">
        <is>
          <t>ยางรูน้ำ</t>
        </is>
      </c>
      <c r="C90" s="150">
        <f>AW8</f>
        <v/>
      </c>
      <c r="D90" s="155">
        <f>AW30</f>
        <v/>
      </c>
      <c r="E90" s="149" t="inlineStr">
        <is>
          <t>ตัว</t>
        </is>
      </c>
      <c r="F90" s="149" t="inlineStr"/>
    </row>
    <row r="91">
      <c r="A91" s="149" t="n">
        <v>14</v>
      </c>
      <c r="B91" s="149" t="inlineStr">
        <is>
          <t>วาวรูน้ำ</t>
        </is>
      </c>
      <c r="C91" s="150">
        <f>AX8</f>
        <v/>
      </c>
      <c r="D91" s="155">
        <f>AX30</f>
        <v/>
      </c>
      <c r="E91" s="149" t="inlineStr">
        <is>
          <t>ตัว</t>
        </is>
      </c>
      <c r="F91" s="149" t="inlineStr"/>
    </row>
    <row r="92">
      <c r="A92" s="149" t="n">
        <v>15</v>
      </c>
      <c r="B92" s="149" t="inlineStr">
        <is>
          <t>สักหลาด 5×3</t>
        </is>
      </c>
      <c r="C92" s="150">
        <f>AY8</f>
        <v/>
      </c>
      <c r="D92" s="155">
        <f>AY30</f>
        <v/>
      </c>
      <c r="E92" s="149" t="inlineStr">
        <is>
          <t>เมตร</t>
        </is>
      </c>
      <c r="F92" s="149" t="inlineStr">
        <is>
          <t>เก็บเป็นเมตร</t>
        </is>
      </c>
    </row>
  </sheetData>
  <mergeCells count="63">
    <mergeCell ref="U9:V9"/>
    <mergeCell ref="I6:J6"/>
    <mergeCell ref="AC7:AD7"/>
    <mergeCell ref="AE7:AF7"/>
    <mergeCell ref="O6:P6"/>
    <mergeCell ref="U6:V6"/>
    <mergeCell ref="K9:L9"/>
    <mergeCell ref="W6:X6"/>
    <mergeCell ref="M9:N9"/>
    <mergeCell ref="K7:N7"/>
    <mergeCell ref="O9:P9"/>
    <mergeCell ref="Y30:AA30"/>
    <mergeCell ref="G8:H8"/>
    <mergeCell ref="E8:F8"/>
    <mergeCell ref="Y9:Z9"/>
    <mergeCell ref="Q8:R8"/>
    <mergeCell ref="AA9:AB9"/>
    <mergeCell ref="S8:T8"/>
    <mergeCell ref="G7:H7"/>
    <mergeCell ref="AA6:AB6"/>
    <mergeCell ref="S7:T7"/>
    <mergeCell ref="I7:J7"/>
    <mergeCell ref="O7:R7"/>
    <mergeCell ref="A30:D30"/>
    <mergeCell ref="G6:H6"/>
    <mergeCell ref="AC8:AD8"/>
    <mergeCell ref="E9:F9"/>
    <mergeCell ref="AE8:AF8"/>
    <mergeCell ref="U7:V7"/>
    <mergeCell ref="W7:X7"/>
    <mergeCell ref="A8:A9"/>
    <mergeCell ref="E6:F6"/>
    <mergeCell ref="A6:D6"/>
    <mergeCell ref="M6:N6"/>
    <mergeCell ref="K8:L8"/>
    <mergeCell ref="Q6:R6"/>
    <mergeCell ref="S6:T6"/>
    <mergeCell ref="D8:D9"/>
    <mergeCell ref="A7:D7"/>
    <mergeCell ref="Y6:Z6"/>
    <mergeCell ref="Q9:R9"/>
    <mergeCell ref="I8:J8"/>
    <mergeCell ref="S9:T9"/>
    <mergeCell ref="K30:M30"/>
    <mergeCell ref="W9:X9"/>
    <mergeCell ref="AC9:AD9"/>
    <mergeCell ref="M8:N8"/>
    <mergeCell ref="O8:P8"/>
    <mergeCell ref="AE9:AF9"/>
    <mergeCell ref="U8:V8"/>
    <mergeCell ref="W8:X8"/>
    <mergeCell ref="B8:C9"/>
    <mergeCell ref="AC6:AD6"/>
    <mergeCell ref="E7:F7"/>
    <mergeCell ref="AE6:AF6"/>
    <mergeCell ref="A68:E68"/>
    <mergeCell ref="O30:Q30"/>
    <mergeCell ref="Y7:AB7"/>
    <mergeCell ref="Y8:Z8"/>
    <mergeCell ref="K6:L6"/>
    <mergeCell ref="G9:H9"/>
    <mergeCell ref="AA8:AB8"/>
    <mergeCell ref="I9:J9"/>
  </mergeCells>
  <dataValidations count="5">
    <dataValidation sqref="B71" showDropDown="0" showInputMessage="0" showErrorMessage="0" allowBlank="1" type="list">
      <formula1>"ประตู,หน้าต่าง"</formula1>
    </dataValidation>
    <dataValidation sqref="B72" showDropDown="0" showInputMessage="0" showErrorMessage="0" allowBlank="1" type="list">
      <formula1>"เมโทร,Align"</formula1>
    </dataValidation>
    <dataValidation sqref="B73" showDropDown="0" showInputMessage="0" showErrorMessage="0" allowBlank="1" type="list">
      <formula1>"อบขาว,ดำ"</formula1>
    </dataValidation>
    <dataValidation sqref="B74" showDropDown="0" showInputMessage="0" showErrorMessage="0" allowBlank="1" type="list">
      <formula1>=$BD$1:$BD$4</formula1>
    </dataValidation>
    <dataValidation sqref="B75" showDropDown="0" showInputMessage="0" showErrorMessage="0" allowBlank="1" type="list">
      <formula1>=$BD$1:$BD$4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D92"/>
  <sheetViews>
    <sheetView showGridLines="0"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26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6.75" customWidth="1" min="32" max="32"/>
    <col width="12.75" customWidth="1" min="33" max="33"/>
    <col width="12.75" customWidth="1" min="34" max="34"/>
    <col width="8.75" customWidth="1" min="35" max="35"/>
    <col width="8.875" customWidth="1" min="36" max="36"/>
    <col hidden="1" width="13" customWidth="1" min="53" max="53"/>
    <col hidden="1" width="13" customWidth="1" min="54" max="54"/>
    <col hidden="1" width="13" customWidth="1" min="55" max="55"/>
    <col hidden="1" width="13" customWidth="1" min="56" max="56"/>
  </cols>
  <sheetData>
    <row r="1" ht="40.15" customHeight="1">
      <c r="A1" s="1" t="inlineStr">
        <is>
          <t>JR ALUMINIUM &amp; GLASS  —  ใบรายการตัด · FUJI เลื่อน3ราง ภายใน   (หน่วย: มม.)</t>
        </is>
      </c>
      <c r="B1" s="2" t="n"/>
      <c r="D1" s="3" t="n"/>
      <c r="E1" s="4" t="n"/>
      <c r="F1" s="3" t="n"/>
      <c r="G1" s="5" t="n"/>
      <c r="H1" s="5" t="n"/>
      <c r="I1" s="6" t="n"/>
      <c r="J1" s="5" t="n"/>
      <c r="K1" s="3" t="n"/>
      <c r="L1" s="3" t="n"/>
      <c r="M1" s="6" t="n"/>
      <c r="N1" s="6" t="n"/>
      <c r="O1" s="5" t="n"/>
      <c r="P1" s="5" t="n"/>
      <c r="Q1" s="3" t="n"/>
      <c r="R1" s="7" t="n"/>
      <c r="S1" s="6" t="n"/>
      <c r="T1" s="6" t="n"/>
      <c r="U1" s="5" t="n"/>
      <c r="V1" s="5" t="n"/>
      <c r="W1" s="5" t="n"/>
      <c r="X1" s="5" t="n"/>
      <c r="Y1" s="5" t="n"/>
      <c r="Z1" s="5" t="n"/>
      <c r="AA1" s="3" t="n"/>
      <c r="AB1" s="3" t="n"/>
      <c r="AC1" s="5" t="n"/>
      <c r="AD1" s="5" t="n"/>
      <c r="AE1" s="3" t="n"/>
      <c r="AF1" s="3" t="n"/>
      <c r="AG1" s="5" t="n"/>
      <c r="AH1" s="5" t="n"/>
      <c r="AI1" s="5" t="n"/>
      <c r="AJ1" s="5" t="n"/>
      <c r="AK1" s="5" t="n"/>
      <c r="BA1" t="inlineStr">
        <is>
          <t>เมโทรกุญแจอบขาว</t>
        </is>
      </c>
      <c r="BB1" t="inlineStr">
        <is>
          <t>JR00368</t>
        </is>
      </c>
      <c r="BD1">
        <f>IF($B$71="ประตู","กุญแจ+ล็อค","ล็อค")</f>
        <v/>
      </c>
    </row>
    <row r="2" ht="40.15" customHeight="1">
      <c r="A2" s="6" t="n"/>
      <c r="B2" s="6" t="n"/>
      <c r="C2" s="6" t="n"/>
      <c r="D2" s="6" t="n"/>
      <c r="E2" s="8" t="n"/>
      <c r="F2" s="6" t="n"/>
      <c r="G2" s="9" t="n"/>
      <c r="H2" s="9" t="n"/>
      <c r="I2" s="9" t="n"/>
      <c r="J2" s="9" t="n"/>
      <c r="K2" s="6" t="n"/>
      <c r="L2" s="6" t="n"/>
      <c r="M2" s="6" t="n"/>
      <c r="N2" s="6" t="n"/>
      <c r="O2" s="9" t="n"/>
      <c r="P2" s="9" t="n"/>
      <c r="Q2" s="6" t="n"/>
      <c r="R2" s="6" t="n"/>
      <c r="S2" s="9" t="n"/>
      <c r="T2" s="9" t="n"/>
      <c r="U2" s="9" t="n"/>
      <c r="V2" s="9" t="n"/>
      <c r="W2" s="9" t="n"/>
      <c r="X2" s="9" t="n"/>
      <c r="Y2" s="9" t="n"/>
      <c r="Z2" s="9" t="n"/>
      <c r="AA2" s="6" t="n"/>
      <c r="AB2" s="6" t="n"/>
      <c r="AC2" s="9" t="n"/>
      <c r="AD2" s="9" t="n"/>
      <c r="AE2" s="6" t="n"/>
      <c r="AF2" s="6" t="n"/>
      <c r="AG2" s="9" t="n"/>
      <c r="AH2" s="9" t="n"/>
      <c r="AI2" s="9" t="n"/>
      <c r="AJ2" s="9" t="n"/>
      <c r="AK2" s="9" t="n"/>
      <c r="BA2" t="inlineStr">
        <is>
          <t>เมโทรกุญแจดำ</t>
        </is>
      </c>
      <c r="BB2" t="inlineStr">
        <is>
          <t>JR00371</t>
        </is>
      </c>
      <c r="BD2">
        <f>IF($B$71="ประตู","ล็อค+ดัมมี่","ดัมมี่")</f>
        <v/>
      </c>
    </row>
    <row r="3" ht="40.15" customHeight="1">
      <c r="A3" s="130">
        <f>HYPERLINK("#สารบัญ!A1","← สารบัญ")</f>
        <v/>
      </c>
      <c r="B3" s="6" t="n"/>
      <c r="C3" s="6" t="n"/>
      <c r="D3" s="6" t="n"/>
      <c r="E3" s="8" t="n"/>
      <c r="F3" s="6" t="n"/>
      <c r="G3" s="11" t="n"/>
      <c r="H3" s="11" t="n"/>
      <c r="I3" s="9" t="n"/>
      <c r="J3" s="9" t="n"/>
      <c r="K3" s="6" t="n"/>
      <c r="L3" s="6" t="n"/>
      <c r="M3" s="6" t="n"/>
      <c r="N3" s="6" t="n"/>
      <c r="O3" s="11" t="n"/>
      <c r="P3" s="11" t="n"/>
      <c r="Q3" s="6" t="n"/>
      <c r="R3" s="6" t="n"/>
      <c r="U3" s="11" t="n"/>
      <c r="V3" s="11" t="n"/>
      <c r="W3" s="11" t="n"/>
      <c r="X3" s="11" t="n"/>
      <c r="Y3" s="11" t="n"/>
      <c r="Z3" s="11" t="n"/>
      <c r="AA3" s="6" t="n"/>
      <c r="AB3" s="6" t="n"/>
      <c r="AC3" s="11" t="n"/>
      <c r="AD3" s="11" t="n"/>
      <c r="AE3" s="6" t="n"/>
      <c r="AF3" s="6" t="n"/>
      <c r="AG3" s="11" t="n"/>
      <c r="AH3" s="11" t="n"/>
      <c r="AI3" s="11" t="n"/>
      <c r="AJ3" s="11" t="n"/>
      <c r="AK3" s="11" t="n"/>
      <c r="BA3" t="inlineStr">
        <is>
          <t>เมโทรล็อคอบขาว</t>
        </is>
      </c>
      <c r="BB3" t="inlineStr">
        <is>
          <t>JR00369</t>
        </is>
      </c>
      <c r="BD3">
        <f>IF($B$71="ประตู","ดัมมี่+ดัมมี่","")</f>
        <v/>
      </c>
    </row>
    <row r="4" ht="40.15" customHeight="1">
      <c r="A4" s="6" t="n"/>
      <c r="B4" s="6" t="n"/>
      <c r="C4" s="6" t="n"/>
      <c r="D4" s="6" t="n"/>
      <c r="E4" s="8" t="n"/>
      <c r="F4" s="6" t="n"/>
      <c r="I4" s="9" t="n"/>
      <c r="J4" s="9" t="n"/>
      <c r="K4" s="6" t="n"/>
      <c r="L4" s="6" t="n"/>
      <c r="M4" s="6" t="n"/>
      <c r="N4" s="6" t="n"/>
      <c r="Q4" s="6" t="n"/>
      <c r="R4" s="6" t="n"/>
      <c r="AA4" s="6" t="n"/>
      <c r="AB4" s="6" t="n"/>
      <c r="AE4" s="6" t="n"/>
      <c r="AF4" s="6" t="n"/>
      <c r="BA4" t="inlineStr">
        <is>
          <t>เมโทรล็อคดำ</t>
        </is>
      </c>
      <c r="BB4" t="inlineStr">
        <is>
          <t>JR00372</t>
        </is>
      </c>
      <c r="BD4">
        <f>IF($B$71="ประตู","Digital lock","")</f>
        <v/>
      </c>
    </row>
    <row r="5" ht="40.15" customHeight="1">
      <c r="A5" s="6" t="n"/>
      <c r="B5" s="6" t="n"/>
      <c r="C5" s="6" t="n"/>
      <c r="D5" s="6" t="n"/>
      <c r="E5" s="8" t="n"/>
      <c r="F5" s="6" t="n"/>
      <c r="K5" s="6" t="n"/>
      <c r="L5" s="6" t="n"/>
      <c r="N5" s="6" t="n"/>
      <c r="Q5" s="6" t="n"/>
      <c r="R5" s="6" t="n"/>
      <c r="AA5" s="6" t="n"/>
      <c r="AB5" s="6" t="n"/>
      <c r="AE5" s="6" t="n"/>
      <c r="AF5" s="6" t="n"/>
      <c r="BA5" t="inlineStr">
        <is>
          <t>เมโทรดัมมี่อบขาว</t>
        </is>
      </c>
      <c r="BB5" t="inlineStr">
        <is>
          <t>JR00370</t>
        </is>
      </c>
    </row>
    <row r="6" ht="60" customHeight="1">
      <c r="A6" s="13" t="inlineStr">
        <is>
          <t>สูตรตัด</t>
        </is>
      </c>
      <c r="B6" s="14" t="n"/>
      <c r="C6" s="14" t="n"/>
      <c r="D6" s="15" t="n"/>
      <c r="E6" s="16" t="inlineStr">
        <is>
          <t>สูง</t>
        </is>
      </c>
      <c r="F6" s="17" t="n"/>
      <c r="G6" s="16" t="inlineStr">
        <is>
          <t>กว้าง-21-21</t>
        </is>
      </c>
      <c r="H6" s="17" t="n"/>
      <c r="I6" s="16" t="inlineStr">
        <is>
          <t>กว้าง-21-21</t>
        </is>
      </c>
      <c r="J6" s="17" t="n"/>
      <c r="K6" s="16" t="inlineStr">
        <is>
          <t>สูง-14-13-21</t>
        </is>
      </c>
      <c r="L6" s="17" t="n"/>
      <c r="M6" s="16" t="inlineStr">
        <is>
          <t>((กว้าง-21-3-2.4-3-21)/3)+(78x2/3)</t>
        </is>
      </c>
      <c r="N6" s="17" t="n"/>
      <c r="O6" s="16" t="inlineStr">
        <is>
          <t>เสา-78-78</t>
        </is>
      </c>
      <c r="P6" s="17" t="n"/>
      <c r="Q6" s="16" t="inlineStr">
        <is>
          <t>ขวาง-63-63</t>
        </is>
      </c>
      <c r="R6" s="17" t="n"/>
      <c r="S6" s="16" t="inlineStr">
        <is>
          <t>สูงกรอบบาน</t>
        </is>
      </c>
      <c r="T6" s="17" t="n"/>
      <c r="U6" s="16" t="inlineStr">
        <is>
          <t>สูง-8-45</t>
        </is>
      </c>
      <c r="V6" s="17" t="n"/>
      <c r="W6" s="16" t="inlineStr">
        <is>
          <t>เท่าเฟรมบน</t>
        </is>
      </c>
      <c r="X6" s="17" t="n"/>
      <c r="Y6" s="16" t="inlineStr">
        <is>
          <t>สูง-8-45</t>
        </is>
      </c>
      <c r="Z6" s="17" t="n"/>
      <c r="AA6" s="16" t="inlineStr">
        <is>
          <t>สูงกรอบบาน</t>
        </is>
      </c>
      <c r="AB6" s="17" t="n"/>
      <c r="AC6" s="16" t="inlineStr">
        <is>
          <t>เท่าเฟรมล่าง</t>
        </is>
      </c>
      <c r="AD6" s="17" t="n"/>
      <c r="AE6" s="16" t="n"/>
      <c r="AF6" s="17" t="n"/>
      <c r="AG6" s="18" t="n"/>
      <c r="AH6" s="18" t="n"/>
      <c r="AI6" s="18" t="n"/>
      <c r="BA6" t="inlineStr">
        <is>
          <t>เมโทรดัมมี่ดำ</t>
        </is>
      </c>
      <c r="BB6" t="inlineStr">
        <is>
          <t>JR00373</t>
        </is>
      </c>
      <c r="BC6">
        <f>(COUNTIF($B$74:$B$75,"กุญแจ+ล็อค")+COUNTIF($B$74:$B$75,"ล็อค+ดัมมี่")+COUNTIF($B$74:$B$75,"ล็อค"))</f>
        <v/>
      </c>
    </row>
    <row r="7" ht="40.15" customHeight="1">
      <c r="A7" s="19" t="inlineStr">
        <is>
          <t>ใส่ข้อมูล</t>
        </is>
      </c>
      <c r="B7" s="20" t="n"/>
      <c r="C7" s="20" t="n"/>
      <c r="D7" s="21" t="n"/>
      <c r="E7" s="22" t="inlineStr">
        <is>
          <t>F7978</t>
        </is>
      </c>
      <c r="F7" s="15" t="n"/>
      <c r="G7" s="22" t="inlineStr">
        <is>
          <t>F7976</t>
        </is>
      </c>
      <c r="H7" s="15" t="n"/>
      <c r="I7" s="22" t="inlineStr">
        <is>
          <t>F7902</t>
        </is>
      </c>
      <c r="J7" s="15" t="n"/>
      <c r="K7" s="22" t="inlineStr">
        <is>
          <t>F7980</t>
        </is>
      </c>
      <c r="L7" s="14" t="n"/>
      <c r="M7" s="14" t="n"/>
      <c r="N7" s="15" t="n"/>
      <c r="O7" s="22" t="inlineStr">
        <is>
          <t>F7919</t>
        </is>
      </c>
      <c r="P7" s="14" t="n"/>
      <c r="Q7" s="14" t="n"/>
      <c r="R7" s="15" t="n"/>
      <c r="S7" s="22" t="inlineStr">
        <is>
          <t>F7983</t>
        </is>
      </c>
      <c r="T7" s="15" t="n"/>
      <c r="U7" s="22" t="inlineStr">
        <is>
          <t>F7986</t>
        </is>
      </c>
      <c r="V7" s="15" t="n"/>
      <c r="W7" s="22" t="inlineStr">
        <is>
          <t>F7993</t>
        </is>
      </c>
      <c r="X7" s="15" t="n"/>
      <c r="Y7" s="86" t="inlineStr">
        <is>
          <t>F7988</t>
        </is>
      </c>
      <c r="Z7" s="14" t="n"/>
      <c r="AA7" s="14" t="n"/>
      <c r="AB7" s="14" t="n"/>
      <c r="AC7" s="22" t="inlineStr">
        <is>
          <t>F7994</t>
        </is>
      </c>
      <c r="AD7" s="15" t="n"/>
      <c r="AE7" s="118" t="n"/>
      <c r="AF7" s="119" t="n"/>
      <c r="AG7" s="24" t="n"/>
      <c r="AH7" s="25" t="inlineStr">
        <is>
          <t>ขนาดกระจก</t>
        </is>
      </c>
      <c r="AI7" s="26" t="n"/>
      <c r="BA7" t="inlineStr">
        <is>
          <t>Alignกุญแจอบขาว</t>
        </is>
      </c>
      <c r="BB7" t="inlineStr">
        <is>
          <t>JR00377</t>
        </is>
      </c>
      <c r="BC7">
        <f>COUNTIF($B$74:$B$75,"กุญแจ+ล็อค")</f>
        <v/>
      </c>
    </row>
    <row r="8" ht="40.15" customHeight="1">
      <c r="A8" s="27" t="inlineStr">
        <is>
          <t>แผน</t>
        </is>
      </c>
      <c r="B8" s="28" t="inlineStr">
        <is>
          <t>ขนาดชิ้นงาน
(mm)</t>
        </is>
      </c>
      <c r="C8" s="29" t="n"/>
      <c r="D8" s="27" t="inlineStr">
        <is>
          <t>ชุด</t>
        </is>
      </c>
      <c r="E8" s="30" t="n"/>
      <c r="F8" s="31" t="n"/>
      <c r="G8" s="30" t="n"/>
      <c r="H8" s="31" t="n"/>
      <c r="I8" s="32" t="n"/>
      <c r="J8" s="33" t="n"/>
      <c r="K8" s="32" t="n"/>
      <c r="L8" s="33" t="n"/>
      <c r="M8" s="34" t="n"/>
      <c r="N8" s="31" t="n"/>
      <c r="O8" s="32" t="n"/>
      <c r="P8" s="33" t="n"/>
      <c r="Q8" s="34" t="n"/>
      <c r="R8" s="31" t="n"/>
      <c r="S8" s="32" t="n"/>
      <c r="T8" s="33" t="n"/>
      <c r="U8" s="32" t="n"/>
      <c r="V8" s="33" t="n"/>
      <c r="W8" s="32" t="n"/>
      <c r="X8" s="33" t="n"/>
      <c r="Y8" s="32" t="n"/>
      <c r="Z8" s="33" t="n"/>
      <c r="AA8" s="35" t="n"/>
      <c r="AB8" s="33" t="n"/>
      <c r="AC8" s="30" t="n"/>
      <c r="AD8" s="31" t="n"/>
      <c r="AE8" s="34" t="n"/>
      <c r="AF8" s="31" t="n"/>
      <c r="AG8" s="36" t="n"/>
      <c r="AH8" s="37" t="inlineStr">
        <is>
          <t>กรอบบาน</t>
        </is>
      </c>
      <c r="AI8" s="38" t="n"/>
      <c r="AK8" t="inlineStr">
        <is>
          <t>JR00577</t>
        </is>
      </c>
      <c r="AL8">
        <f>VLOOKUP($B$72&amp;"กุญแจ"&amp;$B$73,$BA$1:$BB$12,2,0)</f>
        <v/>
      </c>
      <c r="AM8">
        <f>VLOOKUP($B$72&amp;"ล็อค"&amp;$B$73,$BA$1:$BB$12,2,0)</f>
        <v/>
      </c>
      <c r="AN8">
        <f>VLOOKUP($B$72&amp;"ดัมมี่"&amp;$B$73,$BA$1:$BB$12,2,0)</f>
        <v/>
      </c>
      <c r="AO8" t="inlineStr"/>
      <c r="AP8" t="inlineStr">
        <is>
          <t>JR00478</t>
        </is>
      </c>
      <c r="AQ8" t="inlineStr">
        <is>
          <t>JR00479</t>
        </is>
      </c>
      <c r="AR8" t="inlineStr">
        <is>
          <t>JR00476</t>
        </is>
      </c>
      <c r="AS8" t="inlineStr">
        <is>
          <t>JR00475</t>
        </is>
      </c>
      <c r="AT8" t="inlineStr">
        <is>
          <t>JR00477</t>
        </is>
      </c>
      <c r="AU8" t="inlineStr">
        <is>
          <t>JR00592</t>
        </is>
      </c>
      <c r="AV8" t="inlineStr">
        <is>
          <t>JR00480</t>
        </is>
      </c>
      <c r="AW8" t="inlineStr">
        <is>
          <t>JR00589</t>
        </is>
      </c>
      <c r="AX8" t="inlineStr">
        <is>
          <t>JR00485</t>
        </is>
      </c>
      <c r="AY8" t="inlineStr">
        <is>
          <t>JR00794</t>
        </is>
      </c>
      <c r="BA8" t="inlineStr">
        <is>
          <t>Alignล็อคอบขาว</t>
        </is>
      </c>
      <c r="BB8" t="inlineStr">
        <is>
          <t>JR00378</t>
        </is>
      </c>
    </row>
    <row r="9" ht="40.15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 บน</t>
        </is>
      </c>
      <c r="H9" s="43" t="n"/>
      <c r="I9" s="42" t="inlineStr">
        <is>
          <t>เฟรม-ล่าง</t>
        </is>
      </c>
      <c r="J9" s="43" t="n"/>
      <c r="K9" s="42" t="inlineStr">
        <is>
          <t>เสา</t>
        </is>
      </c>
      <c r="L9" s="43" t="n"/>
      <c r="M9" s="42" t="inlineStr">
        <is>
          <t>ขวาง</t>
        </is>
      </c>
      <c r="N9" s="43" t="n"/>
      <c r="O9" s="42" t="inlineStr">
        <is>
          <t>คิ้ว ตั้ง</t>
        </is>
      </c>
      <c r="P9" s="43" t="n"/>
      <c r="Q9" s="42" t="inlineStr">
        <is>
          <t>คิ้ว ขวาง</t>
        </is>
      </c>
      <c r="R9" s="43" t="n"/>
      <c r="S9" s="42" t="inlineStr">
        <is>
          <t>ตบเกี่ยว</t>
        </is>
      </c>
      <c r="T9" s="43" t="n"/>
      <c r="U9" s="44" t="inlineStr">
        <is>
          <t>ยูข้าง</t>
        </is>
      </c>
      <c r="V9" s="43" t="n"/>
      <c r="W9" s="44" t="inlineStr">
        <is>
          <t>ตบเฟรมบน</t>
        </is>
      </c>
      <c r="X9" s="43" t="n"/>
      <c r="Y9" s="44" t="inlineStr">
        <is>
          <t>ตบยูข้าง</t>
        </is>
      </c>
      <c r="Z9" s="43" t="n"/>
      <c r="AA9" s="42" t="inlineStr">
        <is>
          <t>ปิดตบเกี่ยว</t>
        </is>
      </c>
      <c r="AB9" s="43" t="n"/>
      <c r="AC9" s="44" t="inlineStr">
        <is>
          <t>ราง</t>
        </is>
      </c>
      <c r="AD9" s="43" t="n"/>
      <c r="AE9" s="42" t="n"/>
      <c r="AF9" s="43" t="n"/>
      <c r="AG9" s="45" t="inlineStr">
        <is>
          <t>SH-68-68</t>
        </is>
      </c>
      <c r="AH9" s="46" t="inlineStr">
        <is>
          <t>SW-68-68</t>
        </is>
      </c>
      <c r="AI9" s="47" t="n"/>
      <c r="AK9" t="inlineStr">
        <is>
          <t>ล้อ 20</t>
        </is>
      </c>
      <c r="AL9" t="inlineStr">
        <is>
          <t>มือจับ กุญแจ</t>
        </is>
      </c>
      <c r="AM9" t="inlineStr">
        <is>
          <t>มือจับ ล็อค</t>
        </is>
      </c>
      <c r="AN9" t="inlineStr">
        <is>
          <t>มือจับ ดัมมี่</t>
        </is>
      </c>
      <c r="AO9" t="inlineStr">
        <is>
          <t>Digital lock</t>
        </is>
      </c>
      <c r="AP9" t="inlineStr">
        <is>
          <t>แกน A</t>
        </is>
      </c>
      <c r="AQ9" t="inlineStr">
        <is>
          <t>แกน B</t>
        </is>
      </c>
      <c r="AR9" t="inlineStr">
        <is>
          <t>ปลายดำ</t>
        </is>
      </c>
      <c r="AS9" t="inlineStr">
        <is>
          <t>ตัวที เงิน</t>
        </is>
      </c>
      <c r="AT9" t="inlineStr">
        <is>
          <t>ก้ามปู</t>
        </is>
      </c>
      <c r="AU9" t="inlineStr">
        <is>
          <t>สปิงก็อท</t>
        </is>
      </c>
      <c r="AV9" t="inlineStr">
        <is>
          <t>ฉากประกอบมุม</t>
        </is>
      </c>
      <c r="AW9" t="inlineStr">
        <is>
          <t>ยางรูน้ำ</t>
        </is>
      </c>
      <c r="AX9" t="inlineStr">
        <is>
          <t>วาวรูน้ำ</t>
        </is>
      </c>
      <c r="AY9" t="inlineStr">
        <is>
          <t>สักหลาด(ม.)</t>
        </is>
      </c>
      <c r="BA9" t="inlineStr">
        <is>
          <t>Alignดัมมี่อบขาว</t>
        </is>
      </c>
      <c r="BB9" t="inlineStr">
        <is>
          <t>JR00379</t>
        </is>
      </c>
      <c r="BC9">
        <f>(COUNTIF($B$74:$B$75,"ล็อค+ดัมมี่")+2*COUNTIF($B$74:$B$75,"ดัมมี่+ดัมมี่")+COUNTIF($B$74:$B$75,"ดัมมี่"))</f>
        <v/>
      </c>
    </row>
    <row r="10" ht="40.15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3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3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4" t="inlineStr">
        <is>
          <t>จำนวน</t>
        </is>
      </c>
      <c r="AA10" s="52" t="inlineStr">
        <is>
          <t>ยาว</t>
        </is>
      </c>
      <c r="AB10" s="53" t="inlineStr">
        <is>
          <t>จำนวน</t>
        </is>
      </c>
      <c r="AC10" s="52" t="inlineStr">
        <is>
          <t>ยาว</t>
        </is>
      </c>
      <c r="AD10" s="54" t="inlineStr">
        <is>
          <t>จำนวน</t>
        </is>
      </c>
      <c r="AE10" s="52" t="inlineStr">
        <is>
          <t>ยาว</t>
        </is>
      </c>
      <c r="AF10" s="53" t="inlineStr">
        <is>
          <t>จำนวน</t>
        </is>
      </c>
      <c r="AG10" s="55" t="inlineStr">
        <is>
          <t>H</t>
        </is>
      </c>
      <c r="AH10" s="56" t="inlineStr">
        <is>
          <t>W</t>
        </is>
      </c>
      <c r="AI10" s="57" t="inlineStr">
        <is>
          <t>จำนวน</t>
        </is>
      </c>
      <c r="AK10" t="inlineStr">
        <is>
          <t>จำนวน</t>
        </is>
      </c>
      <c r="AL10" t="inlineStr">
        <is>
          <t>จำนวน</t>
        </is>
      </c>
      <c r="AM10" t="inlineStr">
        <is>
          <t>จำนวน</t>
        </is>
      </c>
      <c r="AN10" t="inlineStr">
        <is>
          <t>จำนวน</t>
        </is>
      </c>
      <c r="AO10" t="inlineStr">
        <is>
          <t>จำนวน</t>
        </is>
      </c>
      <c r="AP10" t="inlineStr">
        <is>
          <t>จำนวน</t>
        </is>
      </c>
      <c r="AQ10" t="inlineStr">
        <is>
          <t>จำนวน</t>
        </is>
      </c>
      <c r="AR10" t="inlineStr">
        <is>
          <t>จำนวน</t>
        </is>
      </c>
      <c r="AS10" t="inlineStr">
        <is>
          <t>จำนวน</t>
        </is>
      </c>
      <c r="AT10" t="inlineStr">
        <is>
          <t>จำนวน</t>
        </is>
      </c>
      <c r="AU10" t="inlineStr">
        <is>
          <t>จำนวน</t>
        </is>
      </c>
      <c r="AV10" t="inlineStr">
        <is>
          <t>จำนวน</t>
        </is>
      </c>
      <c r="AW10" t="inlineStr">
        <is>
          <t>จำนวน</t>
        </is>
      </c>
      <c r="AX10" t="inlineStr">
        <is>
          <t>จำนวน</t>
        </is>
      </c>
      <c r="AY10" t="inlineStr">
        <is>
          <t>จำนวน</t>
        </is>
      </c>
      <c r="BA10" t="inlineStr">
        <is>
          <t>Alignกุญแจดำ</t>
        </is>
      </c>
      <c r="BB10" t="inlineStr">
        <is>
          <t>JR00374</t>
        </is>
      </c>
      <c r="BC10">
        <f>COUNTIF($B$74:$B$75,"Digital lock")</f>
        <v/>
      </c>
    </row>
    <row r="11" ht="40.15" customHeight="1">
      <c r="A11" s="99" t="inlineStr">
        <is>
          <t>D3</t>
        </is>
      </c>
      <c r="B11" s="88" t="n">
        <v>3170</v>
      </c>
      <c r="C11" s="89" t="n">
        <v>3540</v>
      </c>
      <c r="D11" s="90" t="n">
        <v>1</v>
      </c>
      <c r="E11" s="91">
        <f>IF($A11="","",$B11)</f>
        <v/>
      </c>
      <c r="F11" s="89">
        <f>IF($A11="","",$L$54*$D11)</f>
        <v/>
      </c>
      <c r="G11" s="91">
        <f>IF($A11="","",$C11-$E$55-$F$55)</f>
        <v/>
      </c>
      <c r="H11" s="89">
        <f>IF($A11="","",$L$55*$D11)</f>
        <v/>
      </c>
      <c r="I11" s="91">
        <f>IF($A11="","",$G11)</f>
        <v/>
      </c>
      <c r="J11" s="89">
        <f>IF($A11="","",$L$56*$D11)</f>
        <v/>
      </c>
      <c r="K11" s="91">
        <f>IF($A11="","",$B11-$E$57-$F$57-$G$57)</f>
        <v/>
      </c>
      <c r="L11" s="89">
        <f>IF($A11="","",$L$57*$D11)</f>
        <v/>
      </c>
      <c r="M11" s="91">
        <f>IF($A11="","",(($C11-$E$58-$F$58-$G$58-$H$58-$I$58)/3)+(78*2)/3)</f>
        <v/>
      </c>
      <c r="N11" s="89">
        <f>IF($A11="","",$L$58*$D11)</f>
        <v/>
      </c>
      <c r="O11" s="91">
        <f>IF($A11="","",$K11-$E$59-$F$59)</f>
        <v/>
      </c>
      <c r="P11" s="89">
        <f>IF($A11="","",$L$59*$D11)</f>
        <v/>
      </c>
      <c r="Q11" s="91">
        <f>IF($A11="","",$M11-$E$60-$F$60)</f>
        <v/>
      </c>
      <c r="R11" s="89">
        <f>IF($A11="","",$L$60*$D11)</f>
        <v/>
      </c>
      <c r="S11" s="91">
        <f>IF($A11="","",$K11)</f>
        <v/>
      </c>
      <c r="T11" s="89">
        <f>IF($A11="","",$L$61*$D11)</f>
        <v/>
      </c>
      <c r="U11" s="91">
        <f>IF($A11="","",$B11-$E$62-$F$62)</f>
        <v/>
      </c>
      <c r="V11" s="89">
        <f>IF($A11="","",$L$62*$D11)</f>
        <v/>
      </c>
      <c r="W11" s="91">
        <f>IF($A11="","",$C11-$E$63-$F$63)</f>
        <v/>
      </c>
      <c r="X11" s="89">
        <f>IF($A11="","",$L$63*$D11)</f>
        <v/>
      </c>
      <c r="Y11" s="91">
        <f>IF($A11="","",$B11-$E$64-$F$64)</f>
        <v/>
      </c>
      <c r="Z11" s="89">
        <f>IF($A11="","",$L$64*$D11)</f>
        <v/>
      </c>
      <c r="AA11" s="91">
        <f>IF($A11="","",$S11)</f>
        <v/>
      </c>
      <c r="AB11" s="89">
        <f>IF($A11="","",$L$65*$D11)</f>
        <v/>
      </c>
      <c r="AC11" s="91">
        <f>IF($A11="","",$C11-$E$66-$F$66)</f>
        <v/>
      </c>
      <c r="AD11" s="89">
        <f>IF($A11="","",$L$66*$D11)</f>
        <v/>
      </c>
      <c r="AE11" s="91" t="n"/>
      <c r="AF11" s="89" t="n"/>
      <c r="AG11" s="93">
        <f>IF($A11="","",$K11-68-68)</f>
        <v/>
      </c>
      <c r="AH11" s="134">
        <f>IF($A11="","",$M11-68-68)</f>
        <v/>
      </c>
      <c r="AI11" s="95">
        <f>IF($A11="","",3*$D11)</f>
        <v/>
      </c>
      <c r="AK11">
        <f>IF($A11="","",2*3*$D11)</f>
        <v/>
      </c>
      <c r="AL11">
        <f>IF($A11="","",$BC$7*$D11)</f>
        <v/>
      </c>
      <c r="AM11">
        <f>IF($A11="","",$BC$6*$D11)</f>
        <v/>
      </c>
      <c r="AN11">
        <f>IF($A11="","",$BC$9*$D11)</f>
        <v/>
      </c>
      <c r="AO11">
        <f>IF($A11="","",$BC$10*$D11)</f>
        <v/>
      </c>
      <c r="AP11">
        <f>IF($A11="","",2*$BC$6*$D11)</f>
        <v/>
      </c>
      <c r="AQ11">
        <f>IF($A11="","",IF($B11&gt;2800,2,IF($B11&gt;1400,1,0))*$BC$6*$D11)</f>
        <v/>
      </c>
      <c r="AR11">
        <f>IF($A11="","",2*$BC$6*$D11)</f>
        <v/>
      </c>
      <c r="AS11">
        <f>IF($A11="","",$BC$6*$D11)</f>
        <v/>
      </c>
      <c r="AT11">
        <f>IF($A11="","",2*$BC$6*$D11)</f>
        <v/>
      </c>
      <c r="AU11">
        <f>IF($A11="","",4*3*$D11)</f>
        <v/>
      </c>
      <c r="AV11">
        <f>IF($A11="","",16*3*$D11)</f>
        <v/>
      </c>
      <c r="AW11">
        <f>IF($A11="","",(2+MAX(0,ROUNDUP(($I11-1500)/500,0)))*$D11)</f>
        <v/>
      </c>
      <c r="AX11">
        <f>IF($A11="","",(2+MAX(0,ROUNDUP(($I11-1500)/500,0)))*$D11)</f>
        <v/>
      </c>
      <c r="AY11">
        <f>IF($A11="","",ROUND((2*2*($M11+$K11)*3*$D11+$S11*$T11)/1000,1))</f>
        <v/>
      </c>
      <c r="BA11" t="inlineStr">
        <is>
          <t>Alignล็อคดำ</t>
        </is>
      </c>
      <c r="BB11" t="inlineStr">
        <is>
          <t>JR00375</t>
        </is>
      </c>
    </row>
    <row r="12" ht="40.15" customHeight="1">
      <c r="A12" s="99" t="n"/>
      <c r="B12" s="88" t="n"/>
      <c r="C12" s="89" t="n"/>
      <c r="D12" s="90" t="n"/>
      <c r="E12" s="96">
        <f>IF($A12="","",$B12)</f>
        <v/>
      </c>
      <c r="F12" s="97">
        <f>IF($A12="","",$L$54*$D12)</f>
        <v/>
      </c>
      <c r="G12" s="96">
        <f>IF($A12="","",$C12-$E$55-$F$55)</f>
        <v/>
      </c>
      <c r="H12" s="97">
        <f>IF($A12="","",$L$55*$D12)</f>
        <v/>
      </c>
      <c r="I12" s="96">
        <f>IF($A12="","",$G12)</f>
        <v/>
      </c>
      <c r="J12" s="97">
        <f>IF($A12="","",$L$56*$D12)</f>
        <v/>
      </c>
      <c r="K12" s="96">
        <f>IF($A12="","",$B12-$E$57-$F$57-$G$57)</f>
        <v/>
      </c>
      <c r="L12" s="97">
        <f>IF($A12="","",$L$57*$D12)</f>
        <v/>
      </c>
      <c r="M12" s="96">
        <f>IF($A12="","",(($C12-$E$58-$F$58-$G$58-$H$58-$I$58)/3)+(78*2)/3)</f>
        <v/>
      </c>
      <c r="N12" s="97">
        <f>IF($A12="","",$L$58*$D12)</f>
        <v/>
      </c>
      <c r="O12" s="96">
        <f>IF($A12="","",$K12-$E$59-$F$59)</f>
        <v/>
      </c>
      <c r="P12" s="97">
        <f>IF($A12="","",$L$59*$D12)</f>
        <v/>
      </c>
      <c r="Q12" s="96">
        <f>IF($A12="","",$M12-$E$60-$F$60)</f>
        <v/>
      </c>
      <c r="R12" s="97">
        <f>IF($A12="","",$L$60*$D12)</f>
        <v/>
      </c>
      <c r="S12" s="96">
        <f>IF($A12="","",$K12)</f>
        <v/>
      </c>
      <c r="T12" s="97">
        <f>IF($A12="","",$L$61*$D12)</f>
        <v/>
      </c>
      <c r="U12" s="96">
        <f>IF($A12="","",$B12-$E$62-$F$62)</f>
        <v/>
      </c>
      <c r="V12" s="97">
        <f>IF($A12="","",$L$62*$D12)</f>
        <v/>
      </c>
      <c r="W12" s="96">
        <f>IF($A12="","",$C12-$E$63-$F$63)</f>
        <v/>
      </c>
      <c r="X12" s="97">
        <f>IF($A12="","",$L$63*$D12)</f>
        <v/>
      </c>
      <c r="Y12" s="96">
        <f>IF($A12="","",$B12-$E$64-$F$64)</f>
        <v/>
      </c>
      <c r="Z12" s="97">
        <f>IF($A12="","",$L$64*$D12)</f>
        <v/>
      </c>
      <c r="AA12" s="96">
        <f>IF($A12="","",$S12)</f>
        <v/>
      </c>
      <c r="AB12" s="97">
        <f>IF($A12="","",$L$65*$D12)</f>
        <v/>
      </c>
      <c r="AC12" s="96">
        <f>IF($A12="","",$C12-$E$66-$F$66)</f>
        <v/>
      </c>
      <c r="AD12" s="97">
        <f>IF($A12="","",$L$66*$D12)</f>
        <v/>
      </c>
      <c r="AE12" s="96" t="n"/>
      <c r="AF12" s="97" t="n"/>
      <c r="AG12" s="93">
        <f>IF($A12="","",$K12-68-68)</f>
        <v/>
      </c>
      <c r="AH12" s="94">
        <f>IF($A12="","",$M12-68-68)</f>
        <v/>
      </c>
      <c r="AI12" s="95">
        <f>IF($A12="","",3*$D12)</f>
        <v/>
      </c>
      <c r="AK12">
        <f>IF($A12="","",2*3*$D12)</f>
        <v/>
      </c>
      <c r="AL12">
        <f>IF($A12="","",$BC$7*$D12)</f>
        <v/>
      </c>
      <c r="AM12">
        <f>IF($A12="","",$BC$6*$D12)</f>
        <v/>
      </c>
      <c r="AN12">
        <f>IF($A12="","",$BC$9*$D12)</f>
        <v/>
      </c>
      <c r="AO12">
        <f>IF($A12="","",$BC$10*$D12)</f>
        <v/>
      </c>
      <c r="AP12">
        <f>IF($A12="","",2*$BC$6*$D12)</f>
        <v/>
      </c>
      <c r="AQ12">
        <f>IF($A12="","",IF($B12&gt;2800,2,IF($B12&gt;1400,1,0))*$BC$6*$D12)</f>
        <v/>
      </c>
      <c r="AR12">
        <f>IF($A12="","",2*$BC$6*$D12)</f>
        <v/>
      </c>
      <c r="AS12">
        <f>IF($A12="","",$BC$6*$D12)</f>
        <v/>
      </c>
      <c r="AT12">
        <f>IF($A12="","",2*$BC$6*$D12)</f>
        <v/>
      </c>
      <c r="AU12">
        <f>IF($A12="","",4*3*$D12)</f>
        <v/>
      </c>
      <c r="AV12">
        <f>IF($A12="","",16*3*$D12)</f>
        <v/>
      </c>
      <c r="AW12">
        <f>IF($A12="","",(2+MAX(0,ROUNDUP(($I12-1500)/500,0)))*$D12)</f>
        <v/>
      </c>
      <c r="AX12">
        <f>IF($A12="","",(2+MAX(0,ROUNDUP(($I12-1500)/500,0)))*$D12)</f>
        <v/>
      </c>
      <c r="AY12">
        <f>IF($A12="","",ROUND((2*2*($M12+$K12)*3*$D12+$S12*$T12)/1000,1))</f>
        <v/>
      </c>
      <c r="BA12" t="inlineStr">
        <is>
          <t>Alignดัมมี่ดำ</t>
        </is>
      </c>
      <c r="BB12" t="inlineStr">
        <is>
          <t>JR00376</t>
        </is>
      </c>
    </row>
    <row r="13" ht="40.15" customHeight="1">
      <c r="A13" s="99" t="n"/>
      <c r="B13" s="88" t="n"/>
      <c r="C13" s="89" t="n"/>
      <c r="D13" s="90" t="n"/>
      <c r="E13" s="91">
        <f>IF($A13="","",$B13)</f>
        <v/>
      </c>
      <c r="F13" s="89">
        <f>IF($A13="","",$L$54*$D13)</f>
        <v/>
      </c>
      <c r="G13" s="91">
        <f>IF($A13="","",$C13-$E$55-$F$55)</f>
        <v/>
      </c>
      <c r="H13" s="89">
        <f>IF($A13="","",$L$55*$D13)</f>
        <v/>
      </c>
      <c r="I13" s="91">
        <f>IF($A13="","",$G13)</f>
        <v/>
      </c>
      <c r="J13" s="89">
        <f>IF($A13="","",$L$56*$D13)</f>
        <v/>
      </c>
      <c r="K13" s="91">
        <f>IF($A13="","",$B13-$E$57-$F$57-$G$57)</f>
        <v/>
      </c>
      <c r="L13" s="89">
        <f>IF($A13="","",$L$57*$D13)</f>
        <v/>
      </c>
      <c r="M13" s="91">
        <f>IF($A13="","",(($C13-$E$58-$F$58-$G$58-$H$58-$I$58)/3)+(78*2)/3)</f>
        <v/>
      </c>
      <c r="N13" s="89">
        <f>IF($A13="","",$L$58*$D13)</f>
        <v/>
      </c>
      <c r="O13" s="91">
        <f>IF($A13="","",$K13-$E$59-$F$59)</f>
        <v/>
      </c>
      <c r="P13" s="89">
        <f>IF($A13="","",$L$59*$D13)</f>
        <v/>
      </c>
      <c r="Q13" s="91">
        <f>IF($A13="","",$M13-$E$60-$F$60)</f>
        <v/>
      </c>
      <c r="R13" s="89">
        <f>IF($A13="","",$L$60*$D13)</f>
        <v/>
      </c>
      <c r="S13" s="91">
        <f>IF($A13="","",$K13)</f>
        <v/>
      </c>
      <c r="T13" s="89">
        <f>IF($A13="","",$L$61*$D13)</f>
        <v/>
      </c>
      <c r="U13" s="91">
        <f>IF($A13="","",$B13-$E$62-$F$62)</f>
        <v/>
      </c>
      <c r="V13" s="89">
        <f>IF($A13="","",$L$62*$D13)</f>
        <v/>
      </c>
      <c r="W13" s="91">
        <f>IF($A13="","",$C13-$E$63-$F$63)</f>
        <v/>
      </c>
      <c r="X13" s="89">
        <f>IF($A13="","",$L$63*$D13)</f>
        <v/>
      </c>
      <c r="Y13" s="91">
        <f>IF($A13="","",$B13-$E$64-$F$64)</f>
        <v/>
      </c>
      <c r="Z13" s="89">
        <f>IF($A13="","",$L$64*$D13)</f>
        <v/>
      </c>
      <c r="AA13" s="91">
        <f>IF($A13="","",$S13)</f>
        <v/>
      </c>
      <c r="AB13" s="89">
        <f>IF($A13="","",$L$65*$D13)</f>
        <v/>
      </c>
      <c r="AC13" s="91">
        <f>IF($A13="","",$C13-$E$66-$F$66)</f>
        <v/>
      </c>
      <c r="AD13" s="89">
        <f>IF($A13="","",$L$66*$D13)</f>
        <v/>
      </c>
      <c r="AE13" s="91" t="n"/>
      <c r="AF13" s="89" t="n"/>
      <c r="AG13" s="93">
        <f>IF($A13="","",$K13-68-68)</f>
        <v/>
      </c>
      <c r="AH13" s="94">
        <f>IF($A13="","",$M13-68-68)</f>
        <v/>
      </c>
      <c r="AI13" s="95">
        <f>IF($A13="","",3*$D13)</f>
        <v/>
      </c>
      <c r="AK13">
        <f>IF($A13="","",2*3*$D13)</f>
        <v/>
      </c>
      <c r="AL13">
        <f>IF($A13="","",$BC$7*$D13)</f>
        <v/>
      </c>
      <c r="AM13">
        <f>IF($A13="","",$BC$6*$D13)</f>
        <v/>
      </c>
      <c r="AN13">
        <f>IF($A13="","",$BC$9*$D13)</f>
        <v/>
      </c>
      <c r="AO13">
        <f>IF($A13="","",$BC$10*$D13)</f>
        <v/>
      </c>
      <c r="AP13">
        <f>IF($A13="","",2*$BC$6*$D13)</f>
        <v/>
      </c>
      <c r="AQ13">
        <f>IF($A13="","",IF($B13&gt;2800,2,IF($B13&gt;1400,1,0))*$BC$6*$D13)</f>
        <v/>
      </c>
      <c r="AR13">
        <f>IF($A13="","",2*$BC$6*$D13)</f>
        <v/>
      </c>
      <c r="AS13">
        <f>IF($A13="","",$BC$6*$D13)</f>
        <v/>
      </c>
      <c r="AT13">
        <f>IF($A13="","",2*$BC$6*$D13)</f>
        <v/>
      </c>
      <c r="AU13">
        <f>IF($A13="","",4*3*$D13)</f>
        <v/>
      </c>
      <c r="AV13">
        <f>IF($A13="","",16*3*$D13)</f>
        <v/>
      </c>
      <c r="AW13">
        <f>IF($A13="","",(2+MAX(0,ROUNDUP(($I13-1500)/500,0)))*$D13)</f>
        <v/>
      </c>
      <c r="AX13">
        <f>IF($A13="","",(2+MAX(0,ROUNDUP(($I13-1500)/500,0)))*$D13)</f>
        <v/>
      </c>
      <c r="AY13">
        <f>IF($A13="","",ROUND((2*2*($M13+$K13)*3*$D13+$S13*$T13)/1000,1))</f>
        <v/>
      </c>
    </row>
    <row r="14" ht="40.15" customHeight="1">
      <c r="A14" s="99" t="n"/>
      <c r="B14" s="88" t="n"/>
      <c r="C14" s="89" t="n"/>
      <c r="D14" s="90" t="n"/>
      <c r="E14" s="96">
        <f>IF($A14="","",$B14)</f>
        <v/>
      </c>
      <c r="F14" s="97">
        <f>IF($A14="","",$L$54*$D14)</f>
        <v/>
      </c>
      <c r="G14" s="96">
        <f>IF($A14="","",$C14-$E$55-$F$55)</f>
        <v/>
      </c>
      <c r="H14" s="97">
        <f>IF($A14="","",$L$55*$D14)</f>
        <v/>
      </c>
      <c r="I14" s="96">
        <f>IF($A14="","",$G14)</f>
        <v/>
      </c>
      <c r="J14" s="97">
        <f>IF($A14="","",$L$56*$D14)</f>
        <v/>
      </c>
      <c r="K14" s="96">
        <f>IF($A14="","",$B14-$E$57-$F$57-$G$57)</f>
        <v/>
      </c>
      <c r="L14" s="97">
        <f>IF($A14="","",$L$57*$D14)</f>
        <v/>
      </c>
      <c r="M14" s="96">
        <f>IF($A14="","",(($C14-$E$58-$F$58-$G$58-$H$58-$I$58)/3)+(78*2)/3)</f>
        <v/>
      </c>
      <c r="N14" s="97">
        <f>IF($A14="","",$L$58*$D14)</f>
        <v/>
      </c>
      <c r="O14" s="96">
        <f>IF($A14="","",$K14-$E$59-$F$59)</f>
        <v/>
      </c>
      <c r="P14" s="97">
        <f>IF($A14="","",$L$59*$D14)</f>
        <v/>
      </c>
      <c r="Q14" s="96">
        <f>IF($A14="","",$M14-$E$60-$F$60)</f>
        <v/>
      </c>
      <c r="R14" s="97">
        <f>IF($A14="","",$L$60*$D14)</f>
        <v/>
      </c>
      <c r="S14" s="96">
        <f>IF($A14="","",$K14)</f>
        <v/>
      </c>
      <c r="T14" s="97">
        <f>IF($A14="","",$L$61*$D14)</f>
        <v/>
      </c>
      <c r="U14" s="96">
        <f>IF($A14="","",$B14-$E$62-$F$62)</f>
        <v/>
      </c>
      <c r="V14" s="97">
        <f>IF($A14="","",$L$62*$D14)</f>
        <v/>
      </c>
      <c r="W14" s="96">
        <f>IF($A14="","",$C14-$E$63-$F$63)</f>
        <v/>
      </c>
      <c r="X14" s="97">
        <f>IF($A14="","",$L$63*$D14)</f>
        <v/>
      </c>
      <c r="Y14" s="96">
        <f>IF($A14="","",$B14-$E$64-$F$64)</f>
        <v/>
      </c>
      <c r="Z14" s="97">
        <f>IF($A14="","",$L$64*$D14)</f>
        <v/>
      </c>
      <c r="AA14" s="96">
        <f>IF($A14="","",$S14)</f>
        <v/>
      </c>
      <c r="AB14" s="97">
        <f>IF($A14="","",$L$65*$D14)</f>
        <v/>
      </c>
      <c r="AC14" s="96">
        <f>IF($A14="","",$C14-$E$66-$F$66)</f>
        <v/>
      </c>
      <c r="AD14" s="97">
        <f>IF($A14="","",$L$66*$D14)</f>
        <v/>
      </c>
      <c r="AE14" s="96" t="n"/>
      <c r="AF14" s="97" t="n"/>
      <c r="AG14" s="93">
        <f>IF($A14="","",$K14-68-68)</f>
        <v/>
      </c>
      <c r="AH14" s="94">
        <f>IF($A14="","",$M14-68-68)</f>
        <v/>
      </c>
      <c r="AI14" s="95">
        <f>IF($A14="","",3*$D14)</f>
        <v/>
      </c>
      <c r="AK14">
        <f>IF($A14="","",2*3*$D14)</f>
        <v/>
      </c>
      <c r="AL14">
        <f>IF($A14="","",$BC$7*$D14)</f>
        <v/>
      </c>
      <c r="AM14">
        <f>IF($A14="","",$BC$6*$D14)</f>
        <v/>
      </c>
      <c r="AN14">
        <f>IF($A14="","",$BC$9*$D14)</f>
        <v/>
      </c>
      <c r="AO14">
        <f>IF($A14="","",$BC$10*$D14)</f>
        <v/>
      </c>
      <c r="AP14">
        <f>IF($A14="","",2*$BC$6*$D14)</f>
        <v/>
      </c>
      <c r="AQ14">
        <f>IF($A14="","",IF($B14&gt;2800,2,IF($B14&gt;1400,1,0))*$BC$6*$D14)</f>
        <v/>
      </c>
      <c r="AR14">
        <f>IF($A14="","",2*$BC$6*$D14)</f>
        <v/>
      </c>
      <c r="AS14">
        <f>IF($A14="","",$BC$6*$D14)</f>
        <v/>
      </c>
      <c r="AT14">
        <f>IF($A14="","",2*$BC$6*$D14)</f>
        <v/>
      </c>
      <c r="AU14">
        <f>IF($A14="","",4*3*$D14)</f>
        <v/>
      </c>
      <c r="AV14">
        <f>IF($A14="","",16*3*$D14)</f>
        <v/>
      </c>
      <c r="AW14">
        <f>IF($A14="","",(2+MAX(0,ROUNDUP(($I14-1500)/500,0)))*$D14)</f>
        <v/>
      </c>
      <c r="AX14">
        <f>IF($A14="","",(2+MAX(0,ROUNDUP(($I14-1500)/500,0)))*$D14)</f>
        <v/>
      </c>
      <c r="AY14">
        <f>IF($A14="","",ROUND((2*2*($M14+$K14)*3*$D14+$S14*$T14)/1000,1))</f>
        <v/>
      </c>
    </row>
    <row r="15" ht="40.15" customHeight="1">
      <c r="A15" s="99" t="n"/>
      <c r="B15" s="88" t="n"/>
      <c r="C15" s="89" t="n"/>
      <c r="D15" s="90" t="n"/>
      <c r="E15" s="91">
        <f>IF($A15="","",$B15)</f>
        <v/>
      </c>
      <c r="F15" s="89">
        <f>IF($A15="","",$L$54*$D15)</f>
        <v/>
      </c>
      <c r="G15" s="91">
        <f>IF($A15="","",$C15-$E$55-$F$55)</f>
        <v/>
      </c>
      <c r="H15" s="89">
        <f>IF($A15="","",$L$55*$D15)</f>
        <v/>
      </c>
      <c r="I15" s="91">
        <f>IF($A15="","",$G15)</f>
        <v/>
      </c>
      <c r="J15" s="89">
        <f>IF($A15="","",$L$56*$D15)</f>
        <v/>
      </c>
      <c r="K15" s="91">
        <f>IF($A15="","",$B15-$E$57-$F$57-$G$57)</f>
        <v/>
      </c>
      <c r="L15" s="89">
        <f>IF($A15="","",$L$57*$D15)</f>
        <v/>
      </c>
      <c r="M15" s="91">
        <f>IF($A15="","",(($C15-$E$58-$F$58-$G$58-$H$58-$I$58)/3)+(78*2)/3)</f>
        <v/>
      </c>
      <c r="N15" s="89">
        <f>IF($A15="","",$L$58*$D15)</f>
        <v/>
      </c>
      <c r="O15" s="91">
        <f>IF($A15="","",$K15-$E$59-$F$59)</f>
        <v/>
      </c>
      <c r="P15" s="89">
        <f>IF($A15="","",$L$59*$D15)</f>
        <v/>
      </c>
      <c r="Q15" s="91">
        <f>IF($A15="","",$M15-$E$60-$F$60)</f>
        <v/>
      </c>
      <c r="R15" s="89">
        <f>IF($A15="","",$L$60*$D15)</f>
        <v/>
      </c>
      <c r="S15" s="91">
        <f>IF($A15="","",$K15)</f>
        <v/>
      </c>
      <c r="T15" s="89">
        <f>IF($A15="","",$L$61*$D15)</f>
        <v/>
      </c>
      <c r="U15" s="91">
        <f>IF($A15="","",$B15-$E$62-$F$62)</f>
        <v/>
      </c>
      <c r="V15" s="89">
        <f>IF($A15="","",$L$62*$D15)</f>
        <v/>
      </c>
      <c r="W15" s="91">
        <f>IF($A15="","",$C15-$E$63-$F$63)</f>
        <v/>
      </c>
      <c r="X15" s="89">
        <f>IF($A15="","",$L$63*$D15)</f>
        <v/>
      </c>
      <c r="Y15" s="91">
        <f>IF($A15="","",$B15-$E$64-$F$64)</f>
        <v/>
      </c>
      <c r="Z15" s="89">
        <f>IF($A15="","",$L$64*$D15)</f>
        <v/>
      </c>
      <c r="AA15" s="91">
        <f>IF($A15="","",$S15)</f>
        <v/>
      </c>
      <c r="AB15" s="89">
        <f>IF($A15="","",$L$65*$D15)</f>
        <v/>
      </c>
      <c r="AC15" s="91">
        <f>IF($A15="","",$C15-$E$66-$F$66)</f>
        <v/>
      </c>
      <c r="AD15" s="89">
        <f>IF($A15="","",$L$66*$D15)</f>
        <v/>
      </c>
      <c r="AE15" s="91" t="n"/>
      <c r="AF15" s="89" t="n"/>
      <c r="AG15" s="93">
        <f>IF($A15="","",$K15-68-68)</f>
        <v/>
      </c>
      <c r="AH15" s="94">
        <f>IF($A15="","",$M15-68-68)</f>
        <v/>
      </c>
      <c r="AI15" s="95">
        <f>IF($A15="","",3*$D15)</f>
        <v/>
      </c>
      <c r="AK15">
        <f>IF($A15="","",2*3*$D15)</f>
        <v/>
      </c>
      <c r="AL15">
        <f>IF($A15="","",$BC$7*$D15)</f>
        <v/>
      </c>
      <c r="AM15">
        <f>IF($A15="","",$BC$6*$D15)</f>
        <v/>
      </c>
      <c r="AN15">
        <f>IF($A15="","",$BC$9*$D15)</f>
        <v/>
      </c>
      <c r="AO15">
        <f>IF($A15="","",$BC$10*$D15)</f>
        <v/>
      </c>
      <c r="AP15">
        <f>IF($A15="","",2*$BC$6*$D15)</f>
        <v/>
      </c>
      <c r="AQ15">
        <f>IF($A15="","",IF($B15&gt;2800,2,IF($B15&gt;1400,1,0))*$BC$6*$D15)</f>
        <v/>
      </c>
      <c r="AR15">
        <f>IF($A15="","",2*$BC$6*$D15)</f>
        <v/>
      </c>
      <c r="AS15">
        <f>IF($A15="","",$BC$6*$D15)</f>
        <v/>
      </c>
      <c r="AT15">
        <f>IF($A15="","",2*$BC$6*$D15)</f>
        <v/>
      </c>
      <c r="AU15">
        <f>IF($A15="","",4*3*$D15)</f>
        <v/>
      </c>
      <c r="AV15">
        <f>IF($A15="","",16*3*$D15)</f>
        <v/>
      </c>
      <c r="AW15">
        <f>IF($A15="","",(2+MAX(0,ROUNDUP(($I15-1500)/500,0)))*$D15)</f>
        <v/>
      </c>
      <c r="AX15">
        <f>IF($A15="","",(2+MAX(0,ROUNDUP(($I15-1500)/500,0)))*$D15)</f>
        <v/>
      </c>
      <c r="AY15">
        <f>IF($A15="","",ROUND((2*2*($M15+$K15)*3*$D15+$S15*$T15)/1000,1))</f>
        <v/>
      </c>
    </row>
    <row r="16" ht="40.15" customHeight="1">
      <c r="A16" s="99" t="n"/>
      <c r="B16" s="88" t="n"/>
      <c r="C16" s="89" t="n"/>
      <c r="D16" s="90" t="n"/>
      <c r="E16" s="96">
        <f>IF($A16="","",$B16)</f>
        <v/>
      </c>
      <c r="F16" s="97">
        <f>IF($A16="","",$L$54*$D16)</f>
        <v/>
      </c>
      <c r="G16" s="96">
        <f>IF($A16="","",$C16-$E$55-$F$55)</f>
        <v/>
      </c>
      <c r="H16" s="97">
        <f>IF($A16="","",$L$55*$D16)</f>
        <v/>
      </c>
      <c r="I16" s="96">
        <f>IF($A16="","",$G16)</f>
        <v/>
      </c>
      <c r="J16" s="97">
        <f>IF($A16="","",$L$56*$D16)</f>
        <v/>
      </c>
      <c r="K16" s="96">
        <f>IF($A16="","",$B16-$E$57-$F$57-$G$57)</f>
        <v/>
      </c>
      <c r="L16" s="97">
        <f>IF($A16="","",$L$57*$D16)</f>
        <v/>
      </c>
      <c r="M16" s="96">
        <f>IF($A16="","",(($C16-$E$58-$F$58-$G$58-$H$58-$I$58)/3)+(78*2)/3)</f>
        <v/>
      </c>
      <c r="N16" s="97">
        <f>IF($A16="","",$L$58*$D16)</f>
        <v/>
      </c>
      <c r="O16" s="96">
        <f>IF($A16="","",$K16-$E$59-$F$59)</f>
        <v/>
      </c>
      <c r="P16" s="97">
        <f>IF($A16="","",$L$59*$D16)</f>
        <v/>
      </c>
      <c r="Q16" s="96">
        <f>IF($A16="","",$M16-$E$60-$F$60)</f>
        <v/>
      </c>
      <c r="R16" s="97">
        <f>IF($A16="","",$L$60*$D16)</f>
        <v/>
      </c>
      <c r="S16" s="96">
        <f>IF($A16="","",$K16)</f>
        <v/>
      </c>
      <c r="T16" s="97">
        <f>IF($A16="","",$L$61*$D16)</f>
        <v/>
      </c>
      <c r="U16" s="96">
        <f>IF($A16="","",$B16-$E$62-$F$62)</f>
        <v/>
      </c>
      <c r="V16" s="97">
        <f>IF($A16="","",$L$62*$D16)</f>
        <v/>
      </c>
      <c r="W16" s="96">
        <f>IF($A16="","",$C16-$E$63-$F$63)</f>
        <v/>
      </c>
      <c r="X16" s="97">
        <f>IF($A16="","",$L$63*$D16)</f>
        <v/>
      </c>
      <c r="Y16" s="96">
        <f>IF($A16="","",$B16-$E$64-$F$64)</f>
        <v/>
      </c>
      <c r="Z16" s="97">
        <f>IF($A16="","",$L$64*$D16)</f>
        <v/>
      </c>
      <c r="AA16" s="96">
        <f>IF($A16="","",$S16)</f>
        <v/>
      </c>
      <c r="AB16" s="97">
        <f>IF($A16="","",$L$65*$D16)</f>
        <v/>
      </c>
      <c r="AC16" s="96">
        <f>IF($A16="","",$C16-$E$66-$F$66)</f>
        <v/>
      </c>
      <c r="AD16" s="97">
        <f>IF($A16="","",$L$66*$D16)</f>
        <v/>
      </c>
      <c r="AE16" s="96" t="n"/>
      <c r="AF16" s="97" t="n"/>
      <c r="AG16" s="93">
        <f>IF($A16="","",$K16-68-68)</f>
        <v/>
      </c>
      <c r="AH16" s="94">
        <f>IF($A16="","",$M16-68-68)</f>
        <v/>
      </c>
      <c r="AI16" s="95">
        <f>IF($A16="","",3*$D16)</f>
        <v/>
      </c>
      <c r="AK16">
        <f>IF($A16="","",2*3*$D16)</f>
        <v/>
      </c>
      <c r="AL16">
        <f>IF($A16="","",$BC$7*$D16)</f>
        <v/>
      </c>
      <c r="AM16">
        <f>IF($A16="","",$BC$6*$D16)</f>
        <v/>
      </c>
      <c r="AN16">
        <f>IF($A16="","",$BC$9*$D16)</f>
        <v/>
      </c>
      <c r="AO16">
        <f>IF($A16="","",$BC$10*$D16)</f>
        <v/>
      </c>
      <c r="AP16">
        <f>IF($A16="","",2*$BC$6*$D16)</f>
        <v/>
      </c>
      <c r="AQ16">
        <f>IF($A16="","",IF($B16&gt;2800,2,IF($B16&gt;1400,1,0))*$BC$6*$D16)</f>
        <v/>
      </c>
      <c r="AR16">
        <f>IF($A16="","",2*$BC$6*$D16)</f>
        <v/>
      </c>
      <c r="AS16">
        <f>IF($A16="","",$BC$6*$D16)</f>
        <v/>
      </c>
      <c r="AT16">
        <f>IF($A16="","",2*$BC$6*$D16)</f>
        <v/>
      </c>
      <c r="AU16">
        <f>IF($A16="","",4*3*$D16)</f>
        <v/>
      </c>
      <c r="AV16">
        <f>IF($A16="","",16*3*$D16)</f>
        <v/>
      </c>
      <c r="AW16">
        <f>IF($A16="","",(2+MAX(0,ROUNDUP(($I16-1500)/500,0)))*$D16)</f>
        <v/>
      </c>
      <c r="AX16">
        <f>IF($A16="","",(2+MAX(0,ROUNDUP(($I16-1500)/500,0)))*$D16)</f>
        <v/>
      </c>
      <c r="AY16">
        <f>IF($A16="","",ROUND((2*2*($M16+$K16)*3*$D16+$S16*$T16)/1000,1))</f>
        <v/>
      </c>
    </row>
    <row r="17" ht="40.15" customHeight="1">
      <c r="A17" s="99" t="n"/>
      <c r="B17" s="88" t="n"/>
      <c r="C17" s="89" t="n"/>
      <c r="D17" s="90" t="n"/>
      <c r="E17" s="91">
        <f>IF($A17="","",$B17)</f>
        <v/>
      </c>
      <c r="F17" s="89">
        <f>IF($A17="","",$L$54*$D17)</f>
        <v/>
      </c>
      <c r="G17" s="91">
        <f>IF($A17="","",$C17-$E$55-$F$55)</f>
        <v/>
      </c>
      <c r="H17" s="89">
        <f>IF($A17="","",$L$55*$D17)</f>
        <v/>
      </c>
      <c r="I17" s="91">
        <f>IF($A17="","",$G17)</f>
        <v/>
      </c>
      <c r="J17" s="89">
        <f>IF($A17="","",$L$56*$D17)</f>
        <v/>
      </c>
      <c r="K17" s="91">
        <f>IF($A17="","",$B17-$E$57-$F$57-$G$57)</f>
        <v/>
      </c>
      <c r="L17" s="89">
        <f>IF($A17="","",$L$57*$D17)</f>
        <v/>
      </c>
      <c r="M17" s="91">
        <f>IF($A17="","",(($C17-$E$58-$F$58-$G$58-$H$58-$I$58)/3)+(78*2)/3)</f>
        <v/>
      </c>
      <c r="N17" s="89">
        <f>IF($A17="","",$L$58*$D17)</f>
        <v/>
      </c>
      <c r="O17" s="91">
        <f>IF($A17="","",$K17-$E$59-$F$59)</f>
        <v/>
      </c>
      <c r="P17" s="89">
        <f>IF($A17="","",$L$59*$D17)</f>
        <v/>
      </c>
      <c r="Q17" s="91">
        <f>IF($A17="","",$M17-$E$60-$F$60)</f>
        <v/>
      </c>
      <c r="R17" s="89">
        <f>IF($A17="","",$L$60*$D17)</f>
        <v/>
      </c>
      <c r="S17" s="91">
        <f>IF($A17="","",$K17)</f>
        <v/>
      </c>
      <c r="T17" s="89">
        <f>IF($A17="","",$L$61*$D17)</f>
        <v/>
      </c>
      <c r="U17" s="91">
        <f>IF($A17="","",$B17-$E$62-$F$62)</f>
        <v/>
      </c>
      <c r="V17" s="89">
        <f>IF($A17="","",$L$62*$D17)</f>
        <v/>
      </c>
      <c r="W17" s="91">
        <f>IF($A17="","",$C17-$E$63-$F$63)</f>
        <v/>
      </c>
      <c r="X17" s="89">
        <f>IF($A17="","",$L$63*$D17)</f>
        <v/>
      </c>
      <c r="Y17" s="91">
        <f>IF($A17="","",$B17-$E$64-$F$64)</f>
        <v/>
      </c>
      <c r="Z17" s="89">
        <f>IF($A17="","",$L$64*$D17)</f>
        <v/>
      </c>
      <c r="AA17" s="91">
        <f>IF($A17="","",$S17)</f>
        <v/>
      </c>
      <c r="AB17" s="89">
        <f>IF($A17="","",$L$65*$D17)</f>
        <v/>
      </c>
      <c r="AC17" s="91">
        <f>IF($A17="","",$C17-$E$66-$F$66)</f>
        <v/>
      </c>
      <c r="AD17" s="89">
        <f>IF($A17="","",$L$66*$D17)</f>
        <v/>
      </c>
      <c r="AE17" s="91" t="n"/>
      <c r="AF17" s="89" t="n"/>
      <c r="AG17" s="93">
        <f>IF($A17="","",$K17-68-68)</f>
        <v/>
      </c>
      <c r="AH17" s="94">
        <f>IF($A17="","",$M17-68-68)</f>
        <v/>
      </c>
      <c r="AI17" s="95">
        <f>IF($A17="","",3*$D17)</f>
        <v/>
      </c>
      <c r="AK17">
        <f>IF($A17="","",2*3*$D17)</f>
        <v/>
      </c>
      <c r="AL17">
        <f>IF($A17="","",$BC$7*$D17)</f>
        <v/>
      </c>
      <c r="AM17">
        <f>IF($A17="","",$BC$6*$D17)</f>
        <v/>
      </c>
      <c r="AN17">
        <f>IF($A17="","",$BC$9*$D17)</f>
        <v/>
      </c>
      <c r="AO17">
        <f>IF($A17="","",$BC$10*$D17)</f>
        <v/>
      </c>
      <c r="AP17">
        <f>IF($A17="","",2*$BC$6*$D17)</f>
        <v/>
      </c>
      <c r="AQ17">
        <f>IF($A17="","",IF($B17&gt;2800,2,IF($B17&gt;1400,1,0))*$BC$6*$D17)</f>
        <v/>
      </c>
      <c r="AR17">
        <f>IF($A17="","",2*$BC$6*$D17)</f>
        <v/>
      </c>
      <c r="AS17">
        <f>IF($A17="","",$BC$6*$D17)</f>
        <v/>
      </c>
      <c r="AT17">
        <f>IF($A17="","",2*$BC$6*$D17)</f>
        <v/>
      </c>
      <c r="AU17">
        <f>IF($A17="","",4*3*$D17)</f>
        <v/>
      </c>
      <c r="AV17">
        <f>IF($A17="","",16*3*$D17)</f>
        <v/>
      </c>
      <c r="AW17">
        <f>IF($A17="","",(2+MAX(0,ROUNDUP(($I17-1500)/500,0)))*$D17)</f>
        <v/>
      </c>
      <c r="AX17">
        <f>IF($A17="","",(2+MAX(0,ROUNDUP(($I17-1500)/500,0)))*$D17)</f>
        <v/>
      </c>
      <c r="AY17">
        <f>IF($A17="","",ROUND((2*2*($M17+$K17)*3*$D17+$S17*$T17)/1000,1))</f>
        <v/>
      </c>
    </row>
    <row r="18" ht="40.15" customHeight="1">
      <c r="A18" s="99" t="n"/>
      <c r="B18" s="88" t="n"/>
      <c r="C18" s="89" t="n"/>
      <c r="D18" s="90" t="n"/>
      <c r="E18" s="96">
        <f>IF($A18="","",$B18)</f>
        <v/>
      </c>
      <c r="F18" s="97">
        <f>IF($A18="","",$L$54*$D18)</f>
        <v/>
      </c>
      <c r="G18" s="96">
        <f>IF($A18="","",$C18-$E$55-$F$55)</f>
        <v/>
      </c>
      <c r="H18" s="97">
        <f>IF($A18="","",$L$55*$D18)</f>
        <v/>
      </c>
      <c r="I18" s="96">
        <f>IF($A18="","",$G18)</f>
        <v/>
      </c>
      <c r="J18" s="97">
        <f>IF($A18="","",$L$56*$D18)</f>
        <v/>
      </c>
      <c r="K18" s="96">
        <f>IF($A18="","",$B18-$E$57-$F$57-$G$57)</f>
        <v/>
      </c>
      <c r="L18" s="97">
        <f>IF($A18="","",$L$57*$D18)</f>
        <v/>
      </c>
      <c r="M18" s="96">
        <f>IF($A18="","",(($C18-$E$58-$F$58-$G$58-$H$58-$I$58)/3)+(78*2)/3)</f>
        <v/>
      </c>
      <c r="N18" s="97">
        <f>IF($A18="","",$L$58*$D18)</f>
        <v/>
      </c>
      <c r="O18" s="96">
        <f>IF($A18="","",$K18-$E$59-$F$59)</f>
        <v/>
      </c>
      <c r="P18" s="97">
        <f>IF($A18="","",$L$59*$D18)</f>
        <v/>
      </c>
      <c r="Q18" s="96">
        <f>IF($A18="","",$M18-$E$60-$F$60)</f>
        <v/>
      </c>
      <c r="R18" s="97">
        <f>IF($A18="","",$L$60*$D18)</f>
        <v/>
      </c>
      <c r="S18" s="96">
        <f>IF($A18="","",$K18)</f>
        <v/>
      </c>
      <c r="T18" s="97">
        <f>IF($A18="","",$L$61*$D18)</f>
        <v/>
      </c>
      <c r="U18" s="96">
        <f>IF($A18="","",$B18-$E$62-$F$62)</f>
        <v/>
      </c>
      <c r="V18" s="97">
        <f>IF($A18="","",$L$62*$D18)</f>
        <v/>
      </c>
      <c r="W18" s="96">
        <f>IF($A18="","",$C18-$E$63-$F$63)</f>
        <v/>
      </c>
      <c r="X18" s="97">
        <f>IF($A18="","",$L$63*$D18)</f>
        <v/>
      </c>
      <c r="Y18" s="96">
        <f>IF($A18="","",$B18-$E$64-$F$64)</f>
        <v/>
      </c>
      <c r="Z18" s="97">
        <f>IF($A18="","",$L$64*$D18)</f>
        <v/>
      </c>
      <c r="AA18" s="96">
        <f>IF($A18="","",$S18)</f>
        <v/>
      </c>
      <c r="AB18" s="97">
        <f>IF($A18="","",$L$65*$D18)</f>
        <v/>
      </c>
      <c r="AC18" s="96">
        <f>IF($A18="","",$C18-$E$66-$F$66)</f>
        <v/>
      </c>
      <c r="AD18" s="97">
        <f>IF($A18="","",$L$66*$D18)</f>
        <v/>
      </c>
      <c r="AE18" s="96" t="n"/>
      <c r="AF18" s="97" t="n"/>
      <c r="AG18" s="93">
        <f>IF($A18="","",$K18-68-68)</f>
        <v/>
      </c>
      <c r="AH18" s="94">
        <f>IF($A18="","",$M18-68-68)</f>
        <v/>
      </c>
      <c r="AI18" s="95">
        <f>IF($A18="","",3*$D18)</f>
        <v/>
      </c>
      <c r="AK18">
        <f>IF($A18="","",2*3*$D18)</f>
        <v/>
      </c>
      <c r="AL18">
        <f>IF($A18="","",$BC$7*$D18)</f>
        <v/>
      </c>
      <c r="AM18">
        <f>IF($A18="","",$BC$6*$D18)</f>
        <v/>
      </c>
      <c r="AN18">
        <f>IF($A18="","",$BC$9*$D18)</f>
        <v/>
      </c>
      <c r="AO18">
        <f>IF($A18="","",$BC$10*$D18)</f>
        <v/>
      </c>
      <c r="AP18">
        <f>IF($A18="","",2*$BC$6*$D18)</f>
        <v/>
      </c>
      <c r="AQ18">
        <f>IF($A18="","",IF($B18&gt;2800,2,IF($B18&gt;1400,1,0))*$BC$6*$D18)</f>
        <v/>
      </c>
      <c r="AR18">
        <f>IF($A18="","",2*$BC$6*$D18)</f>
        <v/>
      </c>
      <c r="AS18">
        <f>IF($A18="","",$BC$6*$D18)</f>
        <v/>
      </c>
      <c r="AT18">
        <f>IF($A18="","",2*$BC$6*$D18)</f>
        <v/>
      </c>
      <c r="AU18">
        <f>IF($A18="","",4*3*$D18)</f>
        <v/>
      </c>
      <c r="AV18">
        <f>IF($A18="","",16*3*$D18)</f>
        <v/>
      </c>
      <c r="AW18">
        <f>IF($A18="","",(2+MAX(0,ROUNDUP(($I18-1500)/500,0)))*$D18)</f>
        <v/>
      </c>
      <c r="AX18">
        <f>IF($A18="","",(2+MAX(0,ROUNDUP(($I18-1500)/500,0)))*$D18)</f>
        <v/>
      </c>
      <c r="AY18">
        <f>IF($A18="","",ROUND((2*2*($M18+$K18)*3*$D18+$S18*$T18)/1000,1))</f>
        <v/>
      </c>
    </row>
    <row r="19" ht="40.15" customHeight="1">
      <c r="A19" s="99" t="n"/>
      <c r="B19" s="88" t="n"/>
      <c r="C19" s="89" t="n"/>
      <c r="D19" s="90" t="n"/>
      <c r="E19" s="91">
        <f>IF($A19="","",$B19)</f>
        <v/>
      </c>
      <c r="F19" s="89">
        <f>IF($A19="","",$L$54*$D19)</f>
        <v/>
      </c>
      <c r="G19" s="91">
        <f>IF($A19="","",$C19-$E$55-$F$55)</f>
        <v/>
      </c>
      <c r="H19" s="89">
        <f>IF($A19="","",$L$55*$D19)</f>
        <v/>
      </c>
      <c r="I19" s="91">
        <f>IF($A19="","",$G19)</f>
        <v/>
      </c>
      <c r="J19" s="89">
        <f>IF($A19="","",$L$56*$D19)</f>
        <v/>
      </c>
      <c r="K19" s="91">
        <f>IF($A19="","",$B19-$E$57-$F$57-$G$57)</f>
        <v/>
      </c>
      <c r="L19" s="89">
        <f>IF($A19="","",$L$57*$D19)</f>
        <v/>
      </c>
      <c r="M19" s="91">
        <f>IF($A19="","",(($C19-$E$58-$F$58-$G$58-$H$58-$I$58)/3)+(78*2)/3)</f>
        <v/>
      </c>
      <c r="N19" s="89">
        <f>IF($A19="","",$L$58*$D19)</f>
        <v/>
      </c>
      <c r="O19" s="91">
        <f>IF($A19="","",$K19-$E$59-$F$59)</f>
        <v/>
      </c>
      <c r="P19" s="89">
        <f>IF($A19="","",$L$59*$D19)</f>
        <v/>
      </c>
      <c r="Q19" s="91">
        <f>IF($A19="","",$M19-$E$60-$F$60)</f>
        <v/>
      </c>
      <c r="R19" s="89">
        <f>IF($A19="","",$L$60*$D19)</f>
        <v/>
      </c>
      <c r="S19" s="91">
        <f>IF($A19="","",$K19)</f>
        <v/>
      </c>
      <c r="T19" s="89">
        <f>IF($A19="","",$L$61*$D19)</f>
        <v/>
      </c>
      <c r="U19" s="91">
        <f>IF($A19="","",$B19-$E$62-$F$62)</f>
        <v/>
      </c>
      <c r="V19" s="89">
        <f>IF($A19="","",$L$62*$D19)</f>
        <v/>
      </c>
      <c r="W19" s="91">
        <f>IF($A19="","",$C19-$E$63-$F$63)</f>
        <v/>
      </c>
      <c r="X19" s="89">
        <f>IF($A19="","",$L$63*$D19)</f>
        <v/>
      </c>
      <c r="Y19" s="91">
        <f>IF($A19="","",$B19-$E$64-$F$64)</f>
        <v/>
      </c>
      <c r="Z19" s="89">
        <f>IF($A19="","",$L$64*$D19)</f>
        <v/>
      </c>
      <c r="AA19" s="91">
        <f>IF($A19="","",$S19)</f>
        <v/>
      </c>
      <c r="AB19" s="89">
        <f>IF($A19="","",$L$65*$D19)</f>
        <v/>
      </c>
      <c r="AC19" s="91">
        <f>IF($A19="","",$C19-$E$66-$F$66)</f>
        <v/>
      </c>
      <c r="AD19" s="89">
        <f>IF($A19="","",$L$66*$D19)</f>
        <v/>
      </c>
      <c r="AE19" s="91" t="n"/>
      <c r="AF19" s="89" t="n"/>
      <c r="AG19" s="93">
        <f>IF($A19="","",$K19-68-68)</f>
        <v/>
      </c>
      <c r="AH19" s="94">
        <f>IF($A19="","",$M19-68-68)</f>
        <v/>
      </c>
      <c r="AI19" s="95">
        <f>IF($A19="","",3*$D19)</f>
        <v/>
      </c>
      <c r="AK19">
        <f>IF($A19="","",2*3*$D19)</f>
        <v/>
      </c>
      <c r="AL19">
        <f>IF($A19="","",$BC$7*$D19)</f>
        <v/>
      </c>
      <c r="AM19">
        <f>IF($A19="","",$BC$6*$D19)</f>
        <v/>
      </c>
      <c r="AN19">
        <f>IF($A19="","",$BC$9*$D19)</f>
        <v/>
      </c>
      <c r="AO19">
        <f>IF($A19="","",$BC$10*$D19)</f>
        <v/>
      </c>
      <c r="AP19">
        <f>IF($A19="","",2*$BC$6*$D19)</f>
        <v/>
      </c>
      <c r="AQ19">
        <f>IF($A19="","",IF($B19&gt;2800,2,IF($B19&gt;1400,1,0))*$BC$6*$D19)</f>
        <v/>
      </c>
      <c r="AR19">
        <f>IF($A19="","",2*$BC$6*$D19)</f>
        <v/>
      </c>
      <c r="AS19">
        <f>IF($A19="","",$BC$6*$D19)</f>
        <v/>
      </c>
      <c r="AT19">
        <f>IF($A19="","",2*$BC$6*$D19)</f>
        <v/>
      </c>
      <c r="AU19">
        <f>IF($A19="","",4*3*$D19)</f>
        <v/>
      </c>
      <c r="AV19">
        <f>IF($A19="","",16*3*$D19)</f>
        <v/>
      </c>
      <c r="AW19">
        <f>IF($A19="","",(2+MAX(0,ROUNDUP(($I19-1500)/500,0)))*$D19)</f>
        <v/>
      </c>
      <c r="AX19">
        <f>IF($A19="","",(2+MAX(0,ROUNDUP(($I19-1500)/500,0)))*$D19)</f>
        <v/>
      </c>
      <c r="AY19">
        <f>IF($A19="","",ROUND((2*2*($M19+$K19)*3*$D19+$S19*$T19)/1000,1))</f>
        <v/>
      </c>
    </row>
    <row r="20" ht="40.15" customHeight="1">
      <c r="A20" s="99" t="n"/>
      <c r="B20" s="88" t="n"/>
      <c r="C20" s="89" t="n"/>
      <c r="D20" s="90" t="n"/>
      <c r="E20" s="96">
        <f>IF($A20="","",$B20)</f>
        <v/>
      </c>
      <c r="F20" s="97">
        <f>IF($A20="","",$L$54*$D20)</f>
        <v/>
      </c>
      <c r="G20" s="96">
        <f>IF($A20="","",$C20-$E$55-$F$55)</f>
        <v/>
      </c>
      <c r="H20" s="97">
        <f>IF($A20="","",$L$55*$D20)</f>
        <v/>
      </c>
      <c r="I20" s="96">
        <f>IF($A20="","",$G20)</f>
        <v/>
      </c>
      <c r="J20" s="97">
        <f>IF($A20="","",$L$56*$D20)</f>
        <v/>
      </c>
      <c r="K20" s="96">
        <f>IF($A20="","",$B20-$E$57-$F$57-$G$57)</f>
        <v/>
      </c>
      <c r="L20" s="97">
        <f>IF($A20="","",$L$57*$D20)</f>
        <v/>
      </c>
      <c r="M20" s="96">
        <f>IF($A20="","",(($C20-$E$58-$F$58-$G$58-$H$58-$I$58)/3)+(78*2)/3)</f>
        <v/>
      </c>
      <c r="N20" s="97">
        <f>IF($A20="","",$L$58*$D20)</f>
        <v/>
      </c>
      <c r="O20" s="96">
        <f>IF($A20="","",$K20-$E$59-$F$59)</f>
        <v/>
      </c>
      <c r="P20" s="97">
        <f>IF($A20="","",$L$59*$D20)</f>
        <v/>
      </c>
      <c r="Q20" s="96">
        <f>IF($A20="","",$M20-$E$60-$F$60)</f>
        <v/>
      </c>
      <c r="R20" s="97">
        <f>IF($A20="","",$L$60*$D20)</f>
        <v/>
      </c>
      <c r="S20" s="96">
        <f>IF($A20="","",$K20)</f>
        <v/>
      </c>
      <c r="T20" s="97">
        <f>IF($A20="","",$L$61*$D20)</f>
        <v/>
      </c>
      <c r="U20" s="96">
        <f>IF($A20="","",$B20-$E$62-$F$62)</f>
        <v/>
      </c>
      <c r="V20" s="97">
        <f>IF($A20="","",$L$62*$D20)</f>
        <v/>
      </c>
      <c r="W20" s="96">
        <f>IF($A20="","",$C20-$E$63-$F$63)</f>
        <v/>
      </c>
      <c r="X20" s="97">
        <f>IF($A20="","",$L$63*$D20)</f>
        <v/>
      </c>
      <c r="Y20" s="96">
        <f>IF($A20="","",$B20-$E$64-$F$64)</f>
        <v/>
      </c>
      <c r="Z20" s="97">
        <f>IF($A20="","",$L$64*$D20)</f>
        <v/>
      </c>
      <c r="AA20" s="96">
        <f>IF($A20="","",$S20)</f>
        <v/>
      </c>
      <c r="AB20" s="97">
        <f>IF($A20="","",$L$65*$D20)</f>
        <v/>
      </c>
      <c r="AC20" s="96">
        <f>IF($A20="","",$C20-$E$66-$F$66)</f>
        <v/>
      </c>
      <c r="AD20" s="97">
        <f>IF($A20="","",$L$66*$D20)</f>
        <v/>
      </c>
      <c r="AE20" s="96" t="n"/>
      <c r="AF20" s="97" t="n"/>
      <c r="AG20" s="93">
        <f>IF($A20="","",$K20-68-68)</f>
        <v/>
      </c>
      <c r="AH20" s="94">
        <f>IF($A20="","",$M20-68-68)</f>
        <v/>
      </c>
      <c r="AI20" s="95">
        <f>IF($A20="","",3*$D20)</f>
        <v/>
      </c>
      <c r="AK20">
        <f>IF($A20="","",2*3*$D20)</f>
        <v/>
      </c>
      <c r="AL20">
        <f>IF($A20="","",$BC$7*$D20)</f>
        <v/>
      </c>
      <c r="AM20">
        <f>IF($A20="","",$BC$6*$D20)</f>
        <v/>
      </c>
      <c r="AN20">
        <f>IF($A20="","",$BC$9*$D20)</f>
        <v/>
      </c>
      <c r="AO20">
        <f>IF($A20="","",$BC$10*$D20)</f>
        <v/>
      </c>
      <c r="AP20">
        <f>IF($A20="","",2*$BC$6*$D20)</f>
        <v/>
      </c>
      <c r="AQ20">
        <f>IF($A20="","",IF($B20&gt;2800,2,IF($B20&gt;1400,1,0))*$BC$6*$D20)</f>
        <v/>
      </c>
      <c r="AR20">
        <f>IF($A20="","",2*$BC$6*$D20)</f>
        <v/>
      </c>
      <c r="AS20">
        <f>IF($A20="","",$BC$6*$D20)</f>
        <v/>
      </c>
      <c r="AT20">
        <f>IF($A20="","",2*$BC$6*$D20)</f>
        <v/>
      </c>
      <c r="AU20">
        <f>IF($A20="","",4*3*$D20)</f>
        <v/>
      </c>
      <c r="AV20">
        <f>IF($A20="","",16*3*$D20)</f>
        <v/>
      </c>
      <c r="AW20">
        <f>IF($A20="","",(2+MAX(0,ROUNDUP(($I20-1500)/500,0)))*$D20)</f>
        <v/>
      </c>
      <c r="AX20">
        <f>IF($A20="","",(2+MAX(0,ROUNDUP(($I20-1500)/500,0)))*$D20)</f>
        <v/>
      </c>
      <c r="AY20">
        <f>IF($A20="","",ROUND((2*2*($M20+$K20)*3*$D20+$S20*$T20)/1000,1))</f>
        <v/>
      </c>
    </row>
    <row r="21" ht="40.15" customHeight="1">
      <c r="A21" s="99" t="n"/>
      <c r="B21" s="88" t="n"/>
      <c r="C21" s="89" t="n"/>
      <c r="D21" s="90" t="n"/>
      <c r="E21" s="91">
        <f>IF($A21="","",$B21)</f>
        <v/>
      </c>
      <c r="F21" s="89">
        <f>IF($A21="","",$L$54*$D21)</f>
        <v/>
      </c>
      <c r="G21" s="91">
        <f>IF($A21="","",$C21-$E$55-$F$55)</f>
        <v/>
      </c>
      <c r="H21" s="89">
        <f>IF($A21="","",$L$55*$D21)</f>
        <v/>
      </c>
      <c r="I21" s="91">
        <f>IF($A21="","",$G21)</f>
        <v/>
      </c>
      <c r="J21" s="89">
        <f>IF($A21="","",$L$56*$D21)</f>
        <v/>
      </c>
      <c r="K21" s="91">
        <f>IF($A21="","",$B21-$E$57-$F$57-$G$57)</f>
        <v/>
      </c>
      <c r="L21" s="89">
        <f>IF($A21="","",$L$57*$D21)</f>
        <v/>
      </c>
      <c r="M21" s="91">
        <f>IF($A21="","",(($C21-$E$58-$F$58-$G$58-$H$58-$I$58)/3)+(78*2)/3)</f>
        <v/>
      </c>
      <c r="N21" s="89">
        <f>IF($A21="","",$L$58*$D21)</f>
        <v/>
      </c>
      <c r="O21" s="91">
        <f>IF($A21="","",$K21-$E$59-$F$59)</f>
        <v/>
      </c>
      <c r="P21" s="89">
        <f>IF($A21="","",$L$59*$D21)</f>
        <v/>
      </c>
      <c r="Q21" s="91">
        <f>IF($A21="","",$M21-$E$60-$F$60)</f>
        <v/>
      </c>
      <c r="R21" s="89">
        <f>IF($A21="","",$L$60*$D21)</f>
        <v/>
      </c>
      <c r="S21" s="91">
        <f>IF($A21="","",$K21)</f>
        <v/>
      </c>
      <c r="T21" s="89">
        <f>IF($A21="","",$L$61*$D21)</f>
        <v/>
      </c>
      <c r="U21" s="91">
        <f>IF($A21="","",$B21-$E$62-$F$62)</f>
        <v/>
      </c>
      <c r="V21" s="89">
        <f>IF($A21="","",$L$62*$D21)</f>
        <v/>
      </c>
      <c r="W21" s="91">
        <f>IF($A21="","",$C21-$E$63-$F$63)</f>
        <v/>
      </c>
      <c r="X21" s="89">
        <f>IF($A21="","",$L$63*$D21)</f>
        <v/>
      </c>
      <c r="Y21" s="91">
        <f>IF($A21="","",$B21-$E$64-$F$64)</f>
        <v/>
      </c>
      <c r="Z21" s="89">
        <f>IF($A21="","",$L$64*$D21)</f>
        <v/>
      </c>
      <c r="AA21" s="91">
        <f>IF($A21="","",$S21)</f>
        <v/>
      </c>
      <c r="AB21" s="89">
        <f>IF($A21="","",$L$65*$D21)</f>
        <v/>
      </c>
      <c r="AC21" s="91">
        <f>IF($A21="","",$C21-$E$66-$F$66)</f>
        <v/>
      </c>
      <c r="AD21" s="89">
        <f>IF($A21="","",$L$66*$D21)</f>
        <v/>
      </c>
      <c r="AE21" s="91" t="n"/>
      <c r="AF21" s="89" t="n"/>
      <c r="AG21" s="93">
        <f>IF($A21="","",$K21-68-68)</f>
        <v/>
      </c>
      <c r="AH21" s="94">
        <f>IF($A21="","",$M21-68-68)</f>
        <v/>
      </c>
      <c r="AI21" s="95">
        <f>IF($A21="","",3*$D21)</f>
        <v/>
      </c>
      <c r="AK21">
        <f>IF($A21="","",2*3*$D21)</f>
        <v/>
      </c>
      <c r="AL21">
        <f>IF($A21="","",$BC$7*$D21)</f>
        <v/>
      </c>
      <c r="AM21">
        <f>IF($A21="","",$BC$6*$D21)</f>
        <v/>
      </c>
      <c r="AN21">
        <f>IF($A21="","",$BC$9*$D21)</f>
        <v/>
      </c>
      <c r="AO21">
        <f>IF($A21="","",$BC$10*$D21)</f>
        <v/>
      </c>
      <c r="AP21">
        <f>IF($A21="","",2*$BC$6*$D21)</f>
        <v/>
      </c>
      <c r="AQ21">
        <f>IF($A21="","",IF($B21&gt;2800,2,IF($B21&gt;1400,1,0))*$BC$6*$D21)</f>
        <v/>
      </c>
      <c r="AR21">
        <f>IF($A21="","",2*$BC$6*$D21)</f>
        <v/>
      </c>
      <c r="AS21">
        <f>IF($A21="","",$BC$6*$D21)</f>
        <v/>
      </c>
      <c r="AT21">
        <f>IF($A21="","",2*$BC$6*$D21)</f>
        <v/>
      </c>
      <c r="AU21">
        <f>IF($A21="","",4*3*$D21)</f>
        <v/>
      </c>
      <c r="AV21">
        <f>IF($A21="","",16*3*$D21)</f>
        <v/>
      </c>
      <c r="AW21">
        <f>IF($A21="","",(2+MAX(0,ROUNDUP(($I21-1500)/500,0)))*$D21)</f>
        <v/>
      </c>
      <c r="AX21">
        <f>IF($A21="","",(2+MAX(0,ROUNDUP(($I21-1500)/500,0)))*$D21)</f>
        <v/>
      </c>
      <c r="AY21">
        <f>IF($A21="","",ROUND((2*2*($M21+$K21)*3*$D21+$S21*$T21)/1000,1))</f>
        <v/>
      </c>
    </row>
    <row r="22" ht="40.15" customHeight="1">
      <c r="A22" s="99" t="n"/>
      <c r="B22" s="88" t="n"/>
      <c r="C22" s="89" t="n"/>
      <c r="D22" s="90" t="n"/>
      <c r="E22" s="96">
        <f>IF($A22="","",$B22)</f>
        <v/>
      </c>
      <c r="F22" s="97">
        <f>IF($A22="","",$L$54*$D22)</f>
        <v/>
      </c>
      <c r="G22" s="96">
        <f>IF($A22="","",$C22-$E$55-$F$55)</f>
        <v/>
      </c>
      <c r="H22" s="97">
        <f>IF($A22="","",$L$55*$D22)</f>
        <v/>
      </c>
      <c r="I22" s="96">
        <f>IF($A22="","",$G22)</f>
        <v/>
      </c>
      <c r="J22" s="97">
        <f>IF($A22="","",$L$56*$D22)</f>
        <v/>
      </c>
      <c r="K22" s="96">
        <f>IF($A22="","",$B22-$E$57-$F$57-$G$57)</f>
        <v/>
      </c>
      <c r="L22" s="97">
        <f>IF($A22="","",$L$57*$D22)</f>
        <v/>
      </c>
      <c r="M22" s="96">
        <f>IF($A22="","",(($C22-$E$58-$F$58-$G$58-$H$58-$I$58)/3)+(78*2)/3)</f>
        <v/>
      </c>
      <c r="N22" s="97">
        <f>IF($A22="","",$L$58*$D22)</f>
        <v/>
      </c>
      <c r="O22" s="96">
        <f>IF($A22="","",$K22-$E$59-$F$59)</f>
        <v/>
      </c>
      <c r="P22" s="97">
        <f>IF($A22="","",$L$59*$D22)</f>
        <v/>
      </c>
      <c r="Q22" s="96">
        <f>IF($A22="","",$M22-$E$60-$F$60)</f>
        <v/>
      </c>
      <c r="R22" s="97">
        <f>IF($A22="","",$L$60*$D22)</f>
        <v/>
      </c>
      <c r="S22" s="96">
        <f>IF($A22="","",$K22)</f>
        <v/>
      </c>
      <c r="T22" s="97">
        <f>IF($A22="","",$L$61*$D22)</f>
        <v/>
      </c>
      <c r="U22" s="96">
        <f>IF($A22="","",$B22-$E$62-$F$62)</f>
        <v/>
      </c>
      <c r="V22" s="97">
        <f>IF($A22="","",$L$62*$D22)</f>
        <v/>
      </c>
      <c r="W22" s="96">
        <f>IF($A22="","",$C22-$E$63-$F$63)</f>
        <v/>
      </c>
      <c r="X22" s="97">
        <f>IF($A22="","",$L$63*$D22)</f>
        <v/>
      </c>
      <c r="Y22" s="96">
        <f>IF($A22="","",$B22-$E$64-$F$64)</f>
        <v/>
      </c>
      <c r="Z22" s="97">
        <f>IF($A22="","",$L$64*$D22)</f>
        <v/>
      </c>
      <c r="AA22" s="96">
        <f>IF($A22="","",$S22)</f>
        <v/>
      </c>
      <c r="AB22" s="97">
        <f>IF($A22="","",$L$65*$D22)</f>
        <v/>
      </c>
      <c r="AC22" s="96">
        <f>IF($A22="","",$C22-$E$66-$F$66)</f>
        <v/>
      </c>
      <c r="AD22" s="97">
        <f>IF($A22="","",$L$66*$D22)</f>
        <v/>
      </c>
      <c r="AE22" s="96" t="n"/>
      <c r="AF22" s="97" t="n"/>
      <c r="AG22" s="93">
        <f>IF($A22="","",$K22-68-68)</f>
        <v/>
      </c>
      <c r="AH22" s="94">
        <f>IF($A22="","",$M22-68-68)</f>
        <v/>
      </c>
      <c r="AI22" s="95">
        <f>IF($A22="","",3*$D22)</f>
        <v/>
      </c>
      <c r="AK22">
        <f>IF($A22="","",2*3*$D22)</f>
        <v/>
      </c>
      <c r="AL22">
        <f>IF($A22="","",$BC$7*$D22)</f>
        <v/>
      </c>
      <c r="AM22">
        <f>IF($A22="","",$BC$6*$D22)</f>
        <v/>
      </c>
      <c r="AN22">
        <f>IF($A22="","",$BC$9*$D22)</f>
        <v/>
      </c>
      <c r="AO22">
        <f>IF($A22="","",$BC$10*$D22)</f>
        <v/>
      </c>
      <c r="AP22">
        <f>IF($A22="","",2*$BC$6*$D22)</f>
        <v/>
      </c>
      <c r="AQ22">
        <f>IF($A22="","",IF($B22&gt;2800,2,IF($B22&gt;1400,1,0))*$BC$6*$D22)</f>
        <v/>
      </c>
      <c r="AR22">
        <f>IF($A22="","",2*$BC$6*$D22)</f>
        <v/>
      </c>
      <c r="AS22">
        <f>IF($A22="","",$BC$6*$D22)</f>
        <v/>
      </c>
      <c r="AT22">
        <f>IF($A22="","",2*$BC$6*$D22)</f>
        <v/>
      </c>
      <c r="AU22">
        <f>IF($A22="","",4*3*$D22)</f>
        <v/>
      </c>
      <c r="AV22">
        <f>IF($A22="","",16*3*$D22)</f>
        <v/>
      </c>
      <c r="AW22">
        <f>IF($A22="","",(2+MAX(0,ROUNDUP(($I22-1500)/500,0)))*$D22)</f>
        <v/>
      </c>
      <c r="AX22">
        <f>IF($A22="","",(2+MAX(0,ROUNDUP(($I22-1500)/500,0)))*$D22)</f>
        <v/>
      </c>
      <c r="AY22">
        <f>IF($A22="","",ROUND((2*2*($M22+$K22)*3*$D22+$S22*$T22)/1000,1))</f>
        <v/>
      </c>
    </row>
    <row r="23" ht="40.15" customHeight="1">
      <c r="A23" s="99" t="n"/>
      <c r="B23" s="88" t="n"/>
      <c r="C23" s="89" t="n"/>
      <c r="D23" s="90" t="n"/>
      <c r="E23" s="91">
        <f>IF($A23="","",$B23)</f>
        <v/>
      </c>
      <c r="F23" s="89">
        <f>IF($A23="","",$L$54*$D23)</f>
        <v/>
      </c>
      <c r="G23" s="91">
        <f>IF($A23="","",$C23-$E$55-$F$55)</f>
        <v/>
      </c>
      <c r="H23" s="89">
        <f>IF($A23="","",$L$55*$D23)</f>
        <v/>
      </c>
      <c r="I23" s="91">
        <f>IF($A23="","",$G23)</f>
        <v/>
      </c>
      <c r="J23" s="89">
        <f>IF($A23="","",$L$56*$D23)</f>
        <v/>
      </c>
      <c r="K23" s="91">
        <f>IF($A23="","",$B23-$E$57-$F$57-$G$57)</f>
        <v/>
      </c>
      <c r="L23" s="89">
        <f>IF($A23="","",$L$57*$D23)</f>
        <v/>
      </c>
      <c r="M23" s="91">
        <f>IF($A23="","",(($C23-$E$58-$F$58-$G$58-$H$58-$I$58)/3)+(78*2)/3)</f>
        <v/>
      </c>
      <c r="N23" s="89">
        <f>IF($A23="","",$L$58*$D23)</f>
        <v/>
      </c>
      <c r="O23" s="91">
        <f>IF($A23="","",$K23-$E$59-$F$59)</f>
        <v/>
      </c>
      <c r="P23" s="89">
        <f>IF($A23="","",$L$59*$D23)</f>
        <v/>
      </c>
      <c r="Q23" s="91">
        <f>IF($A23="","",$M23-$E$60-$F$60)</f>
        <v/>
      </c>
      <c r="R23" s="89">
        <f>IF($A23="","",$L$60*$D23)</f>
        <v/>
      </c>
      <c r="S23" s="91">
        <f>IF($A23="","",$K23)</f>
        <v/>
      </c>
      <c r="T23" s="89">
        <f>IF($A23="","",$L$61*$D23)</f>
        <v/>
      </c>
      <c r="U23" s="91">
        <f>IF($A23="","",$B23-$E$62-$F$62)</f>
        <v/>
      </c>
      <c r="V23" s="89">
        <f>IF($A23="","",$L$62*$D23)</f>
        <v/>
      </c>
      <c r="W23" s="91">
        <f>IF($A23="","",$C23-$E$63-$F$63)</f>
        <v/>
      </c>
      <c r="X23" s="89">
        <f>IF($A23="","",$L$63*$D23)</f>
        <v/>
      </c>
      <c r="Y23" s="91">
        <f>IF($A23="","",$B23-$E$64-$F$64)</f>
        <v/>
      </c>
      <c r="Z23" s="89">
        <f>IF($A23="","",$L$64*$D23)</f>
        <v/>
      </c>
      <c r="AA23" s="91">
        <f>IF($A23="","",$S23)</f>
        <v/>
      </c>
      <c r="AB23" s="89">
        <f>IF($A23="","",$L$65*$D23)</f>
        <v/>
      </c>
      <c r="AC23" s="91">
        <f>IF($A23="","",$C23-$E$66-$F$66)</f>
        <v/>
      </c>
      <c r="AD23" s="89">
        <f>IF($A23="","",$L$66*$D23)</f>
        <v/>
      </c>
      <c r="AE23" s="91" t="n"/>
      <c r="AF23" s="89" t="n"/>
      <c r="AG23" s="93">
        <f>IF($A23="","",$K23-68-68)</f>
        <v/>
      </c>
      <c r="AH23" s="94">
        <f>IF($A23="","",$M23-68-68)</f>
        <v/>
      </c>
      <c r="AI23" s="95">
        <f>IF($A23="","",3*$D23)</f>
        <v/>
      </c>
      <c r="AK23">
        <f>IF($A23="","",2*3*$D23)</f>
        <v/>
      </c>
      <c r="AL23">
        <f>IF($A23="","",$BC$7*$D23)</f>
        <v/>
      </c>
      <c r="AM23">
        <f>IF($A23="","",$BC$6*$D23)</f>
        <v/>
      </c>
      <c r="AN23">
        <f>IF($A23="","",$BC$9*$D23)</f>
        <v/>
      </c>
      <c r="AO23">
        <f>IF($A23="","",$BC$10*$D23)</f>
        <v/>
      </c>
      <c r="AP23">
        <f>IF($A23="","",2*$BC$6*$D23)</f>
        <v/>
      </c>
      <c r="AQ23">
        <f>IF($A23="","",IF($B23&gt;2800,2,IF($B23&gt;1400,1,0))*$BC$6*$D23)</f>
        <v/>
      </c>
      <c r="AR23">
        <f>IF($A23="","",2*$BC$6*$D23)</f>
        <v/>
      </c>
      <c r="AS23">
        <f>IF($A23="","",$BC$6*$D23)</f>
        <v/>
      </c>
      <c r="AT23">
        <f>IF($A23="","",2*$BC$6*$D23)</f>
        <v/>
      </c>
      <c r="AU23">
        <f>IF($A23="","",4*3*$D23)</f>
        <v/>
      </c>
      <c r="AV23">
        <f>IF($A23="","",16*3*$D23)</f>
        <v/>
      </c>
      <c r="AW23">
        <f>IF($A23="","",(2+MAX(0,ROUNDUP(($I23-1500)/500,0)))*$D23)</f>
        <v/>
      </c>
      <c r="AX23">
        <f>IF($A23="","",(2+MAX(0,ROUNDUP(($I23-1500)/500,0)))*$D23)</f>
        <v/>
      </c>
      <c r="AY23">
        <f>IF($A23="","",ROUND((2*2*($M23+$K23)*3*$D23+$S23*$T23)/1000,1))</f>
        <v/>
      </c>
    </row>
    <row r="24" ht="40.15" customHeight="1">
      <c r="A24" s="99" t="n"/>
      <c r="B24" s="88" t="n"/>
      <c r="C24" s="89" t="n"/>
      <c r="D24" s="90" t="n"/>
      <c r="E24" s="96">
        <f>IF($A24="","",$B24)</f>
        <v/>
      </c>
      <c r="F24" s="97">
        <f>IF($A24="","",$L$54*$D24)</f>
        <v/>
      </c>
      <c r="G24" s="96">
        <f>IF($A24="","",$C24-$E$55-$F$55)</f>
        <v/>
      </c>
      <c r="H24" s="97">
        <f>IF($A24="","",$L$55*$D24)</f>
        <v/>
      </c>
      <c r="I24" s="96">
        <f>IF($A24="","",$G24)</f>
        <v/>
      </c>
      <c r="J24" s="97">
        <f>IF($A24="","",$L$56*$D24)</f>
        <v/>
      </c>
      <c r="K24" s="96">
        <f>IF($A24="","",$B24-$E$57-$F$57-$G$57)</f>
        <v/>
      </c>
      <c r="L24" s="97">
        <f>IF($A24="","",$L$57*$D24)</f>
        <v/>
      </c>
      <c r="M24" s="96">
        <f>IF($A24="","",(($C24-$E$58-$F$58-$G$58-$H$58-$I$58)/3)+(78*2)/3)</f>
        <v/>
      </c>
      <c r="N24" s="97">
        <f>IF($A24="","",$L$58*$D24)</f>
        <v/>
      </c>
      <c r="O24" s="96">
        <f>IF($A24="","",$K24-$E$59-$F$59)</f>
        <v/>
      </c>
      <c r="P24" s="97">
        <f>IF($A24="","",$L$59*$D24)</f>
        <v/>
      </c>
      <c r="Q24" s="96">
        <f>IF($A24="","",$M24-$E$60-$F$60)</f>
        <v/>
      </c>
      <c r="R24" s="97">
        <f>IF($A24="","",$L$60*$D24)</f>
        <v/>
      </c>
      <c r="S24" s="96">
        <f>IF($A24="","",$K24)</f>
        <v/>
      </c>
      <c r="T24" s="97">
        <f>IF($A24="","",$L$61*$D24)</f>
        <v/>
      </c>
      <c r="U24" s="96">
        <f>IF($A24="","",$B24-$E$62-$F$62)</f>
        <v/>
      </c>
      <c r="V24" s="97">
        <f>IF($A24="","",$L$62*$D24)</f>
        <v/>
      </c>
      <c r="W24" s="96">
        <f>IF($A24="","",$C24-$E$63-$F$63)</f>
        <v/>
      </c>
      <c r="X24" s="97">
        <f>IF($A24="","",$L$63*$D24)</f>
        <v/>
      </c>
      <c r="Y24" s="96">
        <f>IF($A24="","",$B24-$E$64-$F$64)</f>
        <v/>
      </c>
      <c r="Z24" s="97">
        <f>IF($A24="","",$L$64*$D24)</f>
        <v/>
      </c>
      <c r="AA24" s="96">
        <f>IF($A24="","",$S24)</f>
        <v/>
      </c>
      <c r="AB24" s="97">
        <f>IF($A24="","",$L$65*$D24)</f>
        <v/>
      </c>
      <c r="AC24" s="96">
        <f>IF($A24="","",$C24-$E$66-$F$66)</f>
        <v/>
      </c>
      <c r="AD24" s="97">
        <f>IF($A24="","",$L$66*$D24)</f>
        <v/>
      </c>
      <c r="AE24" s="96" t="n"/>
      <c r="AF24" s="97" t="n"/>
      <c r="AG24" s="93">
        <f>IF($A24="","",$K24-68-68)</f>
        <v/>
      </c>
      <c r="AH24" s="94">
        <f>IF($A24="","",$M24-68-68)</f>
        <v/>
      </c>
      <c r="AI24" s="95">
        <f>IF($A24="","",3*$D24)</f>
        <v/>
      </c>
      <c r="AK24">
        <f>IF($A24="","",2*3*$D24)</f>
        <v/>
      </c>
      <c r="AL24">
        <f>IF($A24="","",$BC$7*$D24)</f>
        <v/>
      </c>
      <c r="AM24">
        <f>IF($A24="","",$BC$6*$D24)</f>
        <v/>
      </c>
      <c r="AN24">
        <f>IF($A24="","",$BC$9*$D24)</f>
        <v/>
      </c>
      <c r="AO24">
        <f>IF($A24="","",$BC$10*$D24)</f>
        <v/>
      </c>
      <c r="AP24">
        <f>IF($A24="","",2*$BC$6*$D24)</f>
        <v/>
      </c>
      <c r="AQ24">
        <f>IF($A24="","",IF($B24&gt;2800,2,IF($B24&gt;1400,1,0))*$BC$6*$D24)</f>
        <v/>
      </c>
      <c r="AR24">
        <f>IF($A24="","",2*$BC$6*$D24)</f>
        <v/>
      </c>
      <c r="AS24">
        <f>IF($A24="","",$BC$6*$D24)</f>
        <v/>
      </c>
      <c r="AT24">
        <f>IF($A24="","",2*$BC$6*$D24)</f>
        <v/>
      </c>
      <c r="AU24">
        <f>IF($A24="","",4*3*$D24)</f>
        <v/>
      </c>
      <c r="AV24">
        <f>IF($A24="","",16*3*$D24)</f>
        <v/>
      </c>
      <c r="AW24">
        <f>IF($A24="","",(2+MAX(0,ROUNDUP(($I24-1500)/500,0)))*$D24)</f>
        <v/>
      </c>
      <c r="AX24">
        <f>IF($A24="","",(2+MAX(0,ROUNDUP(($I24-1500)/500,0)))*$D24)</f>
        <v/>
      </c>
      <c r="AY24">
        <f>IF($A24="","",ROUND((2*2*($M24+$K24)*3*$D24+$S24*$T24)/1000,1))</f>
        <v/>
      </c>
    </row>
    <row r="25" ht="40.15" customHeight="1">
      <c r="A25" s="99" t="n"/>
      <c r="B25" s="88" t="n"/>
      <c r="C25" s="89" t="n"/>
      <c r="D25" s="90" t="n"/>
      <c r="E25" s="91">
        <f>IF($A25="","",$B25)</f>
        <v/>
      </c>
      <c r="F25" s="89">
        <f>IF($A25="","",$L$54*$D25)</f>
        <v/>
      </c>
      <c r="G25" s="91">
        <f>IF($A25="","",$C25-$E$55-$F$55)</f>
        <v/>
      </c>
      <c r="H25" s="89">
        <f>IF($A25="","",$L$55*$D25)</f>
        <v/>
      </c>
      <c r="I25" s="91">
        <f>IF($A25="","",$G25)</f>
        <v/>
      </c>
      <c r="J25" s="89">
        <f>IF($A25="","",$L$56*$D25)</f>
        <v/>
      </c>
      <c r="K25" s="91">
        <f>IF($A25="","",$B25-$E$57-$F$57-$G$57)</f>
        <v/>
      </c>
      <c r="L25" s="89">
        <f>IF($A25="","",$L$57*$D25)</f>
        <v/>
      </c>
      <c r="M25" s="91">
        <f>IF($A25="","",(($C25-$E$58-$F$58-$G$58-$H$58-$I$58)/3)+(78*2)/3)</f>
        <v/>
      </c>
      <c r="N25" s="89">
        <f>IF($A25="","",$L$58*$D25)</f>
        <v/>
      </c>
      <c r="O25" s="91">
        <f>IF($A25="","",$K25-$E$59-$F$59)</f>
        <v/>
      </c>
      <c r="P25" s="89">
        <f>IF($A25="","",$L$59*$D25)</f>
        <v/>
      </c>
      <c r="Q25" s="91">
        <f>IF($A25="","",$M25-$E$60-$F$60)</f>
        <v/>
      </c>
      <c r="R25" s="89">
        <f>IF($A25="","",$L$60*$D25)</f>
        <v/>
      </c>
      <c r="S25" s="91">
        <f>IF($A25="","",$K25)</f>
        <v/>
      </c>
      <c r="T25" s="89">
        <f>IF($A25="","",$L$61*$D25)</f>
        <v/>
      </c>
      <c r="U25" s="91">
        <f>IF($A25="","",$B25-$E$62-$F$62)</f>
        <v/>
      </c>
      <c r="V25" s="89">
        <f>IF($A25="","",$L$62*$D25)</f>
        <v/>
      </c>
      <c r="W25" s="91">
        <f>IF($A25="","",$C25-$E$63-$F$63)</f>
        <v/>
      </c>
      <c r="X25" s="89">
        <f>IF($A25="","",$L$63*$D25)</f>
        <v/>
      </c>
      <c r="Y25" s="91">
        <f>IF($A25="","",$B25-$E$64-$F$64)</f>
        <v/>
      </c>
      <c r="Z25" s="89">
        <f>IF($A25="","",$L$64*$D25)</f>
        <v/>
      </c>
      <c r="AA25" s="91">
        <f>IF($A25="","",$S25)</f>
        <v/>
      </c>
      <c r="AB25" s="89">
        <f>IF($A25="","",$L$65*$D25)</f>
        <v/>
      </c>
      <c r="AC25" s="91">
        <f>IF($A25="","",$C25-$E$66-$F$66)</f>
        <v/>
      </c>
      <c r="AD25" s="89">
        <f>IF($A25="","",$L$66*$D25)</f>
        <v/>
      </c>
      <c r="AE25" s="91" t="n"/>
      <c r="AF25" s="89" t="n"/>
      <c r="AG25" s="93">
        <f>IF($A25="","",$K25-68-68)</f>
        <v/>
      </c>
      <c r="AH25" s="94">
        <f>IF($A25="","",$M25-68-68)</f>
        <v/>
      </c>
      <c r="AI25" s="95">
        <f>IF($A25="","",3*$D25)</f>
        <v/>
      </c>
      <c r="AK25">
        <f>IF($A25="","",2*3*$D25)</f>
        <v/>
      </c>
      <c r="AL25">
        <f>IF($A25="","",$BC$7*$D25)</f>
        <v/>
      </c>
      <c r="AM25">
        <f>IF($A25="","",$BC$6*$D25)</f>
        <v/>
      </c>
      <c r="AN25">
        <f>IF($A25="","",$BC$9*$D25)</f>
        <v/>
      </c>
      <c r="AO25">
        <f>IF($A25="","",$BC$10*$D25)</f>
        <v/>
      </c>
      <c r="AP25">
        <f>IF($A25="","",2*$BC$6*$D25)</f>
        <v/>
      </c>
      <c r="AQ25">
        <f>IF($A25="","",IF($B25&gt;2800,2,IF($B25&gt;1400,1,0))*$BC$6*$D25)</f>
        <v/>
      </c>
      <c r="AR25">
        <f>IF($A25="","",2*$BC$6*$D25)</f>
        <v/>
      </c>
      <c r="AS25">
        <f>IF($A25="","",$BC$6*$D25)</f>
        <v/>
      </c>
      <c r="AT25">
        <f>IF($A25="","",2*$BC$6*$D25)</f>
        <v/>
      </c>
      <c r="AU25">
        <f>IF($A25="","",4*3*$D25)</f>
        <v/>
      </c>
      <c r="AV25">
        <f>IF($A25="","",16*3*$D25)</f>
        <v/>
      </c>
      <c r="AW25">
        <f>IF($A25="","",(2+MAX(0,ROUNDUP(($I25-1500)/500,0)))*$D25)</f>
        <v/>
      </c>
      <c r="AX25">
        <f>IF($A25="","",(2+MAX(0,ROUNDUP(($I25-1500)/500,0)))*$D25)</f>
        <v/>
      </c>
      <c r="AY25">
        <f>IF($A25="","",ROUND((2*2*($M25+$K25)*3*$D25+$S25*$T25)/1000,1))</f>
        <v/>
      </c>
    </row>
    <row r="26" ht="40.15" customHeight="1">
      <c r="A26" s="99" t="n"/>
      <c r="B26" s="88" t="n"/>
      <c r="C26" s="89" t="n"/>
      <c r="D26" s="90" t="n"/>
      <c r="E26" s="96">
        <f>IF($A26="","",$B26)</f>
        <v/>
      </c>
      <c r="F26" s="97">
        <f>IF($A26="","",$L$54*$D26)</f>
        <v/>
      </c>
      <c r="G26" s="96">
        <f>IF($A26="","",$C26-$E$55-$F$55)</f>
        <v/>
      </c>
      <c r="H26" s="97">
        <f>IF($A26="","",$L$55*$D26)</f>
        <v/>
      </c>
      <c r="I26" s="96">
        <f>IF($A26="","",$G26)</f>
        <v/>
      </c>
      <c r="J26" s="97">
        <f>IF($A26="","",$L$56*$D26)</f>
        <v/>
      </c>
      <c r="K26" s="96">
        <f>IF($A26="","",$B26-$E$57-$F$57-$G$57)</f>
        <v/>
      </c>
      <c r="L26" s="97">
        <f>IF($A26="","",$L$57*$D26)</f>
        <v/>
      </c>
      <c r="M26" s="96">
        <f>IF($A26="","",(($C26-$E$58-$F$58-$G$58-$H$58-$I$58)/3)+(78*2)/3)</f>
        <v/>
      </c>
      <c r="N26" s="97">
        <f>IF($A26="","",$L$58*$D26)</f>
        <v/>
      </c>
      <c r="O26" s="96">
        <f>IF($A26="","",$K26-$E$59-$F$59)</f>
        <v/>
      </c>
      <c r="P26" s="97">
        <f>IF($A26="","",$L$59*$D26)</f>
        <v/>
      </c>
      <c r="Q26" s="96">
        <f>IF($A26="","",$M26-$E$60-$F$60)</f>
        <v/>
      </c>
      <c r="R26" s="97">
        <f>IF($A26="","",$L$60*$D26)</f>
        <v/>
      </c>
      <c r="S26" s="96">
        <f>IF($A26="","",$K26)</f>
        <v/>
      </c>
      <c r="T26" s="97">
        <f>IF($A26="","",$L$61*$D26)</f>
        <v/>
      </c>
      <c r="U26" s="96">
        <f>IF($A26="","",$B26-$E$62-$F$62)</f>
        <v/>
      </c>
      <c r="V26" s="97">
        <f>IF($A26="","",$L$62*$D26)</f>
        <v/>
      </c>
      <c r="W26" s="96">
        <f>IF($A26="","",$C26-$E$63-$F$63)</f>
        <v/>
      </c>
      <c r="X26" s="97">
        <f>IF($A26="","",$L$63*$D26)</f>
        <v/>
      </c>
      <c r="Y26" s="96">
        <f>IF($A26="","",$B26-$E$64-$F$64)</f>
        <v/>
      </c>
      <c r="Z26" s="97">
        <f>IF($A26="","",$L$64*$D26)</f>
        <v/>
      </c>
      <c r="AA26" s="96">
        <f>IF($A26="","",$S26)</f>
        <v/>
      </c>
      <c r="AB26" s="97">
        <f>IF($A26="","",$L$65*$D26)</f>
        <v/>
      </c>
      <c r="AC26" s="96">
        <f>IF($A26="","",$C26-$E$66-$F$66)</f>
        <v/>
      </c>
      <c r="AD26" s="97">
        <f>IF($A26="","",$L$66*$D26)</f>
        <v/>
      </c>
      <c r="AE26" s="96" t="n"/>
      <c r="AF26" s="97" t="n"/>
      <c r="AG26" s="93">
        <f>IF($A26="","",$K26-68-68)</f>
        <v/>
      </c>
      <c r="AH26" s="94">
        <f>IF($A26="","",$M26-68-68)</f>
        <v/>
      </c>
      <c r="AI26" s="95">
        <f>IF($A26="","",3*$D26)</f>
        <v/>
      </c>
      <c r="AK26">
        <f>IF($A26="","",2*3*$D26)</f>
        <v/>
      </c>
      <c r="AL26">
        <f>IF($A26="","",$BC$7*$D26)</f>
        <v/>
      </c>
      <c r="AM26">
        <f>IF($A26="","",$BC$6*$D26)</f>
        <v/>
      </c>
      <c r="AN26">
        <f>IF($A26="","",$BC$9*$D26)</f>
        <v/>
      </c>
      <c r="AO26">
        <f>IF($A26="","",$BC$10*$D26)</f>
        <v/>
      </c>
      <c r="AP26">
        <f>IF($A26="","",2*$BC$6*$D26)</f>
        <v/>
      </c>
      <c r="AQ26">
        <f>IF($A26="","",IF($B26&gt;2800,2,IF($B26&gt;1400,1,0))*$BC$6*$D26)</f>
        <v/>
      </c>
      <c r="AR26">
        <f>IF($A26="","",2*$BC$6*$D26)</f>
        <v/>
      </c>
      <c r="AS26">
        <f>IF($A26="","",$BC$6*$D26)</f>
        <v/>
      </c>
      <c r="AT26">
        <f>IF($A26="","",2*$BC$6*$D26)</f>
        <v/>
      </c>
      <c r="AU26">
        <f>IF($A26="","",4*3*$D26)</f>
        <v/>
      </c>
      <c r="AV26">
        <f>IF($A26="","",16*3*$D26)</f>
        <v/>
      </c>
      <c r="AW26">
        <f>IF($A26="","",(2+MAX(0,ROUNDUP(($I26-1500)/500,0)))*$D26)</f>
        <v/>
      </c>
      <c r="AX26">
        <f>IF($A26="","",(2+MAX(0,ROUNDUP(($I26-1500)/500,0)))*$D26)</f>
        <v/>
      </c>
      <c r="AY26">
        <f>IF($A26="","",ROUND((2*2*($M26+$K26)*3*$D26+$S26*$T26)/1000,1))</f>
        <v/>
      </c>
    </row>
    <row r="27" ht="40.15" customHeight="1">
      <c r="A27" s="99" t="n"/>
      <c r="B27" s="88" t="n"/>
      <c r="C27" s="89" t="n"/>
      <c r="D27" s="90" t="n"/>
      <c r="E27" s="91">
        <f>IF($A27="","",$B27)</f>
        <v/>
      </c>
      <c r="F27" s="89">
        <f>IF($A27="","",$L$54*$D27)</f>
        <v/>
      </c>
      <c r="G27" s="91">
        <f>IF($A27="","",$C27-$E$55-$F$55)</f>
        <v/>
      </c>
      <c r="H27" s="89">
        <f>IF($A27="","",$L$55*$D27)</f>
        <v/>
      </c>
      <c r="I27" s="91">
        <f>IF($A27="","",$G27)</f>
        <v/>
      </c>
      <c r="J27" s="89">
        <f>IF($A27="","",$L$56*$D27)</f>
        <v/>
      </c>
      <c r="K27" s="91">
        <f>IF($A27="","",$B27-$E$57-$F$57-$G$57)</f>
        <v/>
      </c>
      <c r="L27" s="89">
        <f>IF($A27="","",$L$57*$D27)</f>
        <v/>
      </c>
      <c r="M27" s="91">
        <f>IF($A27="","",(($C27-$E$58-$F$58-$G$58-$H$58-$I$58)/3)+(78*2)/3)</f>
        <v/>
      </c>
      <c r="N27" s="89">
        <f>IF($A27="","",$L$58*$D27)</f>
        <v/>
      </c>
      <c r="O27" s="91">
        <f>IF($A27="","",$K27-$E$59-$F$59)</f>
        <v/>
      </c>
      <c r="P27" s="89">
        <f>IF($A27="","",$L$59*$D27)</f>
        <v/>
      </c>
      <c r="Q27" s="91">
        <f>IF($A27="","",$M27-$E$60-$F$60)</f>
        <v/>
      </c>
      <c r="R27" s="89">
        <f>IF($A27="","",$L$60*$D27)</f>
        <v/>
      </c>
      <c r="S27" s="91">
        <f>IF($A27="","",$K27)</f>
        <v/>
      </c>
      <c r="T27" s="89">
        <f>IF($A27="","",$L$61*$D27)</f>
        <v/>
      </c>
      <c r="U27" s="91">
        <f>IF($A27="","",$B27-$E$62-$F$62)</f>
        <v/>
      </c>
      <c r="V27" s="89">
        <f>IF($A27="","",$L$62*$D27)</f>
        <v/>
      </c>
      <c r="W27" s="91">
        <f>IF($A27="","",$C27-$E$63-$F$63)</f>
        <v/>
      </c>
      <c r="X27" s="89">
        <f>IF($A27="","",$L$63*$D27)</f>
        <v/>
      </c>
      <c r="Y27" s="91">
        <f>IF($A27="","",$B27-$E$64-$F$64)</f>
        <v/>
      </c>
      <c r="Z27" s="89">
        <f>IF($A27="","",$L$64*$D27)</f>
        <v/>
      </c>
      <c r="AA27" s="91">
        <f>IF($A27="","",$S27)</f>
        <v/>
      </c>
      <c r="AB27" s="89">
        <f>IF($A27="","",$L$65*$D27)</f>
        <v/>
      </c>
      <c r="AC27" s="91">
        <f>IF($A27="","",$C27-$E$66-$F$66)</f>
        <v/>
      </c>
      <c r="AD27" s="89">
        <f>IF($A27="","",$L$66*$D27)</f>
        <v/>
      </c>
      <c r="AE27" s="91" t="n"/>
      <c r="AF27" s="89" t="n"/>
      <c r="AG27" s="93">
        <f>IF($A27="","",$K27-68-68)</f>
        <v/>
      </c>
      <c r="AH27" s="94">
        <f>IF($A27="","",$M27-68-68)</f>
        <v/>
      </c>
      <c r="AI27" s="95">
        <f>IF($A27="","",3*$D27)</f>
        <v/>
      </c>
      <c r="AK27">
        <f>IF($A27="","",2*3*$D27)</f>
        <v/>
      </c>
      <c r="AL27">
        <f>IF($A27="","",$BC$7*$D27)</f>
        <v/>
      </c>
      <c r="AM27">
        <f>IF($A27="","",$BC$6*$D27)</f>
        <v/>
      </c>
      <c r="AN27">
        <f>IF($A27="","",$BC$9*$D27)</f>
        <v/>
      </c>
      <c r="AO27">
        <f>IF($A27="","",$BC$10*$D27)</f>
        <v/>
      </c>
      <c r="AP27">
        <f>IF($A27="","",2*$BC$6*$D27)</f>
        <v/>
      </c>
      <c r="AQ27">
        <f>IF($A27="","",IF($B27&gt;2800,2,IF($B27&gt;1400,1,0))*$BC$6*$D27)</f>
        <v/>
      </c>
      <c r="AR27">
        <f>IF($A27="","",2*$BC$6*$D27)</f>
        <v/>
      </c>
      <c r="AS27">
        <f>IF($A27="","",$BC$6*$D27)</f>
        <v/>
      </c>
      <c r="AT27">
        <f>IF($A27="","",2*$BC$6*$D27)</f>
        <v/>
      </c>
      <c r="AU27">
        <f>IF($A27="","",4*3*$D27)</f>
        <v/>
      </c>
      <c r="AV27">
        <f>IF($A27="","",16*3*$D27)</f>
        <v/>
      </c>
      <c r="AW27">
        <f>IF($A27="","",(2+MAX(0,ROUNDUP(($I27-1500)/500,0)))*$D27)</f>
        <v/>
      </c>
      <c r="AX27">
        <f>IF($A27="","",(2+MAX(0,ROUNDUP(($I27-1500)/500,0)))*$D27)</f>
        <v/>
      </c>
      <c r="AY27">
        <f>IF($A27="","",ROUND((2*2*($M27+$K27)*3*$D27+$S27*$T27)/1000,1))</f>
        <v/>
      </c>
    </row>
    <row r="28" ht="40.15" customHeight="1">
      <c r="A28" s="99" t="n"/>
      <c r="B28" s="88" t="n"/>
      <c r="C28" s="89" t="n"/>
      <c r="D28" s="90" t="n"/>
      <c r="E28" s="96">
        <f>IF($A28="","",$B28)</f>
        <v/>
      </c>
      <c r="F28" s="97">
        <f>IF($A28="","",$L$54*$D28)</f>
        <v/>
      </c>
      <c r="G28" s="96">
        <f>IF($A28="","",$C28-$E$55-$F$55)</f>
        <v/>
      </c>
      <c r="H28" s="97">
        <f>IF($A28="","",$L$55*$D28)</f>
        <v/>
      </c>
      <c r="I28" s="96">
        <f>IF($A28="","",$G28)</f>
        <v/>
      </c>
      <c r="J28" s="97">
        <f>IF($A28="","",$L$56*$D28)</f>
        <v/>
      </c>
      <c r="K28" s="96">
        <f>IF($A28="","",$B28-$E$57-$F$57-$G$57)</f>
        <v/>
      </c>
      <c r="L28" s="97">
        <f>IF($A28="","",$L$57*$D28)</f>
        <v/>
      </c>
      <c r="M28" s="96">
        <f>IF($A28="","",(($C28-$E$58-$F$58-$G$58-$H$58-$I$58)/3)+(78*2)/3)</f>
        <v/>
      </c>
      <c r="N28" s="97">
        <f>IF($A28="","",$L$58*$D28)</f>
        <v/>
      </c>
      <c r="O28" s="96">
        <f>IF($A28="","",$K28-$E$59-$F$59)</f>
        <v/>
      </c>
      <c r="P28" s="97">
        <f>IF($A28="","",$L$59*$D28)</f>
        <v/>
      </c>
      <c r="Q28" s="96">
        <f>IF($A28="","",$M28-$E$60-$F$60)</f>
        <v/>
      </c>
      <c r="R28" s="97">
        <f>IF($A28="","",$L$60*$D28)</f>
        <v/>
      </c>
      <c r="S28" s="96">
        <f>IF($A28="","",$K28)</f>
        <v/>
      </c>
      <c r="T28" s="97">
        <f>IF($A28="","",$L$61*$D28)</f>
        <v/>
      </c>
      <c r="U28" s="96">
        <f>IF($A28="","",$B28-$E$62-$F$62)</f>
        <v/>
      </c>
      <c r="V28" s="97">
        <f>IF($A28="","",$L$62*$D28)</f>
        <v/>
      </c>
      <c r="W28" s="96">
        <f>IF($A28="","",$C28-$E$63-$F$63)</f>
        <v/>
      </c>
      <c r="X28" s="97">
        <f>IF($A28="","",$L$63*$D28)</f>
        <v/>
      </c>
      <c r="Y28" s="96">
        <f>IF($A28="","",$B28-$E$64-$F$64)</f>
        <v/>
      </c>
      <c r="Z28" s="97">
        <f>IF($A28="","",$L$64*$D28)</f>
        <v/>
      </c>
      <c r="AA28" s="96">
        <f>IF($A28="","",$S28)</f>
        <v/>
      </c>
      <c r="AB28" s="97">
        <f>IF($A28="","",$L$65*$D28)</f>
        <v/>
      </c>
      <c r="AC28" s="96">
        <f>IF($A28="","",$C28-$E$66-$F$66)</f>
        <v/>
      </c>
      <c r="AD28" s="97">
        <f>IF($A28="","",$L$66*$D28)</f>
        <v/>
      </c>
      <c r="AE28" s="96" t="n"/>
      <c r="AF28" s="97" t="n"/>
      <c r="AG28" s="93">
        <f>IF($A28="","",$K28-68-68)</f>
        <v/>
      </c>
      <c r="AH28" s="94">
        <f>IF($A28="","",$M28-68-68)</f>
        <v/>
      </c>
      <c r="AI28" s="95">
        <f>IF($A28="","",3*$D28)</f>
        <v/>
      </c>
      <c r="AK28">
        <f>IF($A28="","",2*3*$D28)</f>
        <v/>
      </c>
      <c r="AL28">
        <f>IF($A28="","",$BC$7*$D28)</f>
        <v/>
      </c>
      <c r="AM28">
        <f>IF($A28="","",$BC$6*$D28)</f>
        <v/>
      </c>
      <c r="AN28">
        <f>IF($A28="","",$BC$9*$D28)</f>
        <v/>
      </c>
      <c r="AO28">
        <f>IF($A28="","",$BC$10*$D28)</f>
        <v/>
      </c>
      <c r="AP28">
        <f>IF($A28="","",2*$BC$6*$D28)</f>
        <v/>
      </c>
      <c r="AQ28">
        <f>IF($A28="","",IF($B28&gt;2800,2,IF($B28&gt;1400,1,0))*$BC$6*$D28)</f>
        <v/>
      </c>
      <c r="AR28">
        <f>IF($A28="","",2*$BC$6*$D28)</f>
        <v/>
      </c>
      <c r="AS28">
        <f>IF($A28="","",$BC$6*$D28)</f>
        <v/>
      </c>
      <c r="AT28">
        <f>IF($A28="","",2*$BC$6*$D28)</f>
        <v/>
      </c>
      <c r="AU28">
        <f>IF($A28="","",4*3*$D28)</f>
        <v/>
      </c>
      <c r="AV28">
        <f>IF($A28="","",16*3*$D28)</f>
        <v/>
      </c>
      <c r="AW28">
        <f>IF($A28="","",(2+MAX(0,ROUNDUP(($I28-1500)/500,0)))*$D28)</f>
        <v/>
      </c>
      <c r="AX28">
        <f>IF($A28="","",(2+MAX(0,ROUNDUP(($I28-1500)/500,0)))*$D28)</f>
        <v/>
      </c>
      <c r="AY28">
        <f>IF($A28="","",ROUND((2*2*($M28+$K28)*3*$D28+$S28*$T28)/1000,1))</f>
        <v/>
      </c>
    </row>
    <row r="29" ht="40.15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9" t="n"/>
    </row>
    <row r="30" ht="40.15" customHeight="1">
      <c r="A30" s="70" t="inlineStr">
        <is>
          <t>จำนวนเส้น 6.4 ม. ที่ต้องสั่ง →</t>
        </is>
      </c>
      <c r="B30" s="20" t="n"/>
      <c r="C30" s="20" t="n"/>
      <c r="D30" s="21" t="n"/>
      <c r="E30" s="110">
        <f>E$7</f>
        <v/>
      </c>
      <c r="F30" s="111">
        <f>(ROUNDUP(F49/6400,0))</f>
        <v/>
      </c>
      <c r="G30" s="111">
        <f>G$7</f>
        <v/>
      </c>
      <c r="H30" s="111">
        <f>(ROUNDUP(H49/6400,0))</f>
        <v/>
      </c>
      <c r="I30" s="111">
        <f>I$7</f>
        <v/>
      </c>
      <c r="J30" s="111">
        <f>(ROUNDUP(J49/6400,0))</f>
        <v/>
      </c>
      <c r="K30" s="111">
        <f>K$7</f>
        <v/>
      </c>
      <c r="L30" s="20" t="n"/>
      <c r="M30" s="21" t="n"/>
      <c r="N30" s="111">
        <f>(ROUNDUP(SUM(L49:N49)/6400,0))</f>
        <v/>
      </c>
      <c r="O30" s="111">
        <f>O$7</f>
        <v/>
      </c>
      <c r="P30" s="20" t="n"/>
      <c r="Q30" s="21" t="n"/>
      <c r="R30" s="111">
        <f>(ROUNDUP(SUM(P49:R49)/6400,0))</f>
        <v/>
      </c>
      <c r="S30" s="111">
        <f>S$7</f>
        <v/>
      </c>
      <c r="T30" s="111">
        <f>(ROUNDUP(T49/6400,0))</f>
        <v/>
      </c>
      <c r="U30" s="111">
        <f>U$7</f>
        <v/>
      </c>
      <c r="V30" s="111">
        <f>(ROUNDUP(V49/6400,0))</f>
        <v/>
      </c>
      <c r="W30" s="111">
        <f>W$7</f>
        <v/>
      </c>
      <c r="X30" s="111">
        <f>(ROUNDUP(X49/5000,0))</f>
        <v/>
      </c>
      <c r="Y30" s="111">
        <f>Y$7</f>
        <v/>
      </c>
      <c r="Z30" s="20" t="n"/>
      <c r="AA30" s="21" t="n"/>
      <c r="AB30" s="111">
        <f>(ROUNDUP(SUM(Z49:AB49)/6400,0))</f>
        <v/>
      </c>
      <c r="AC30" s="111">
        <f>AC$7</f>
        <v/>
      </c>
      <c r="AD30" s="111">
        <f>(ROUNDUP(AD49/5000,0))</f>
        <v/>
      </c>
      <c r="AE30" s="120" t="n"/>
      <c r="AF30" s="111">
        <f>(ROUNDUP(SUM(Z49:AF49)/6400,0))</f>
        <v/>
      </c>
      <c r="AJ30" t="inlineStr">
        <is>
          <t>รวม</t>
        </is>
      </c>
      <c r="AK30">
        <f>SUM(AK11:AK28)</f>
        <v/>
      </c>
      <c r="AL30">
        <f>SUM(AL11:AL28)</f>
        <v/>
      </c>
      <c r="AM30">
        <f>SUM(AM11:AM28)</f>
        <v/>
      </c>
      <c r="AN30">
        <f>SUM(AN11:AN28)</f>
        <v/>
      </c>
      <c r="AO30">
        <f>SUM(AO11:AO28)</f>
        <v/>
      </c>
      <c r="AP30">
        <f>SUM(AP11:AP28)</f>
        <v/>
      </c>
      <c r="AQ30">
        <f>SUM(AQ11:AQ28)</f>
        <v/>
      </c>
      <c r="AR30">
        <f>SUM(AR11:AR28)</f>
        <v/>
      </c>
      <c r="AS30">
        <f>SUM(AS11:AS28)</f>
        <v/>
      </c>
      <c r="AT30">
        <f>SUM(AT11:AT28)</f>
        <v/>
      </c>
      <c r="AU30">
        <f>SUM(AU11:AU28)</f>
        <v/>
      </c>
      <c r="AV30">
        <f>SUM(AV11:AV28)</f>
        <v/>
      </c>
      <c r="AW30">
        <f>SUM(AW11:AW28)</f>
        <v/>
      </c>
      <c r="AX30">
        <f>SUM(AX11:AX28)</f>
        <v/>
      </c>
      <c r="AY30">
        <f>SUM(AY11:AY28)</f>
        <v/>
      </c>
    </row>
    <row r="31" hidden="1" ht="40.15" customHeight="1">
      <c r="F31" s="73">
        <f>IF($A11="","",F11*E11)</f>
        <v/>
      </c>
      <c r="G31" s="73" t="n"/>
      <c r="H31" s="73">
        <f>IF($A11="","",H11*G11)</f>
        <v/>
      </c>
      <c r="I31" s="73" t="n"/>
      <c r="J31" s="73">
        <f>IF($A11="","",J11*I11)</f>
        <v/>
      </c>
      <c r="K31" s="73" t="n"/>
      <c r="L31" s="73">
        <f>IF($A11="","",L11*K11)</f>
        <v/>
      </c>
      <c r="M31" s="73" t="n"/>
      <c r="N31" s="73">
        <f>IF($A11="","",N11*M11)</f>
        <v/>
      </c>
      <c r="O31" s="73" t="n"/>
      <c r="P31" s="73">
        <f>IF($A11="","",P11*O11)</f>
        <v/>
      </c>
      <c r="Q31" s="73" t="n"/>
      <c r="R31" s="73">
        <f>IF($A11="","",R11*Q11)</f>
        <v/>
      </c>
      <c r="S31" s="73" t="n"/>
      <c r="T31" s="73">
        <f>IF($A11="","",T11*S11)</f>
        <v/>
      </c>
      <c r="U31" s="73" t="n"/>
      <c r="V31" s="73">
        <f>IF($A11="","",V11*U11)</f>
        <v/>
      </c>
      <c r="W31" s="73" t="n"/>
      <c r="X31" s="73">
        <f>IF($A11="","",X11*W11)</f>
        <v/>
      </c>
      <c r="Y31" s="73" t="n"/>
      <c r="Z31" s="73">
        <f>IF($A11="","",Z11*Y11)</f>
        <v/>
      </c>
      <c r="AA31" s="73" t="n"/>
      <c r="AB31" s="73">
        <f>IF($A11="","",AB11*AA11)</f>
        <v/>
      </c>
      <c r="AC31" s="73" t="n"/>
      <c r="AD31" s="73">
        <f>IF($A11="","",AD11*AC11)</f>
        <v/>
      </c>
      <c r="AE31" s="73" t="n"/>
      <c r="AF31" s="73">
        <f>IF($A11="","",AF11*AE11)</f>
        <v/>
      </c>
    </row>
    <row r="32" hidden="1" ht="40.15" customHeight="1">
      <c r="F32" s="73">
        <f>IF($A12="","",F12*E12)</f>
        <v/>
      </c>
      <c r="G32" s="73" t="n"/>
      <c r="H32" s="73">
        <f>IF($A12="","",H12*G12)</f>
        <v/>
      </c>
      <c r="I32" s="73" t="n"/>
      <c r="J32" s="73">
        <f>IF($A12="","",J12*I12)</f>
        <v/>
      </c>
      <c r="K32" s="73" t="n"/>
      <c r="L32" s="73">
        <f>IF($A12="","",L12*K12)</f>
        <v/>
      </c>
      <c r="M32" s="73" t="n"/>
      <c r="N32" s="73">
        <f>IF($A12="","",N12*M12)</f>
        <v/>
      </c>
      <c r="O32" s="73" t="n"/>
      <c r="P32" s="73">
        <f>IF($A12="","",P12*O12)</f>
        <v/>
      </c>
      <c r="Q32" s="73" t="n"/>
      <c r="R32" s="73">
        <f>IF($A12="","",R12*Q12)</f>
        <v/>
      </c>
      <c r="S32" s="73" t="n"/>
      <c r="T32" s="73">
        <f>IF($A12="","",T12*S12)</f>
        <v/>
      </c>
      <c r="U32" s="73" t="n"/>
      <c r="V32" s="73">
        <f>IF($A12="","",V12*U12)</f>
        <v/>
      </c>
      <c r="W32" s="73" t="n"/>
      <c r="X32" s="73">
        <f>IF($A12="","",X12*W12)</f>
        <v/>
      </c>
      <c r="Y32" s="73" t="n"/>
      <c r="Z32" s="73">
        <f>IF($A12="","",Z12*Y12)</f>
        <v/>
      </c>
      <c r="AA32" s="73" t="n"/>
      <c r="AB32" s="73">
        <f>IF($A12="","",AB12*AA12)</f>
        <v/>
      </c>
      <c r="AC32" s="73" t="n"/>
      <c r="AD32" s="73">
        <f>IF($A12="","",AD12*AC12)</f>
        <v/>
      </c>
      <c r="AE32" s="73" t="n"/>
      <c r="AF32" s="73">
        <f>IF($A12="","",AF12*AE12)</f>
        <v/>
      </c>
    </row>
    <row r="33" hidden="1" ht="40.15" customHeight="1">
      <c r="F33" s="73">
        <f>IF($A13="","",F13*E13)</f>
        <v/>
      </c>
      <c r="G33" s="73" t="n"/>
      <c r="H33" s="73">
        <f>IF($A13="","",H13*G13)</f>
        <v/>
      </c>
      <c r="I33" s="73" t="n"/>
      <c r="J33" s="73">
        <f>IF($A13="","",J13*I13)</f>
        <v/>
      </c>
      <c r="K33" s="73" t="n"/>
      <c r="L33" s="73">
        <f>IF($A13="","",L13*K13)</f>
        <v/>
      </c>
      <c r="M33" s="73" t="n"/>
      <c r="N33" s="73">
        <f>IF($A13="","",N13*M13)</f>
        <v/>
      </c>
      <c r="O33" s="73" t="n"/>
      <c r="P33" s="73">
        <f>IF($A13="","",P13*O13)</f>
        <v/>
      </c>
      <c r="Q33" s="73" t="n"/>
      <c r="R33" s="73">
        <f>IF($A13="","",R13*Q13)</f>
        <v/>
      </c>
      <c r="S33" s="73" t="n"/>
      <c r="T33" s="73">
        <f>IF($A13="","",T13*S13)</f>
        <v/>
      </c>
      <c r="U33" s="73" t="n"/>
      <c r="V33" s="73">
        <f>IF($A13="","",V13*U13)</f>
        <v/>
      </c>
      <c r="W33" s="73" t="n"/>
      <c r="X33" s="73">
        <f>IF($A13="","",X13*W13)</f>
        <v/>
      </c>
      <c r="Y33" s="73" t="n"/>
      <c r="Z33" s="73">
        <f>IF($A13="","",Z13*Y13)</f>
        <v/>
      </c>
      <c r="AA33" s="73" t="n"/>
      <c r="AB33" s="73">
        <f>IF($A13="","",AB13*AA13)</f>
        <v/>
      </c>
      <c r="AC33" s="73" t="n"/>
      <c r="AD33" s="73">
        <f>IF($A13="","",AD13*AC13)</f>
        <v/>
      </c>
      <c r="AE33" s="73" t="n"/>
      <c r="AF33" s="73">
        <f>IF($A13="","",AF13*AE13)</f>
        <v/>
      </c>
    </row>
    <row r="34" hidden="1" ht="40.15" customHeight="1">
      <c r="F34" s="73">
        <f>IF($A14="","",F14*E14)</f>
        <v/>
      </c>
      <c r="G34" s="73" t="n"/>
      <c r="H34" s="73">
        <f>IF($A14="","",H14*G14)</f>
        <v/>
      </c>
      <c r="I34" s="73" t="n"/>
      <c r="J34" s="73">
        <f>IF($A14="","",J14*I14)</f>
        <v/>
      </c>
      <c r="K34" s="73" t="n"/>
      <c r="L34" s="73">
        <f>IF($A14="","",L14*K14)</f>
        <v/>
      </c>
      <c r="M34" s="73" t="n"/>
      <c r="N34" s="73">
        <f>IF($A14="","",N14*M14)</f>
        <v/>
      </c>
      <c r="O34" s="73" t="n"/>
      <c r="P34" s="73">
        <f>IF($A14="","",P14*O14)</f>
        <v/>
      </c>
      <c r="Q34" s="73" t="n"/>
      <c r="R34" s="73">
        <f>IF($A14="","",R14*Q14)</f>
        <v/>
      </c>
      <c r="S34" s="73" t="n"/>
      <c r="T34" s="73">
        <f>IF($A14="","",T14*S14)</f>
        <v/>
      </c>
      <c r="U34" s="73" t="n"/>
      <c r="V34" s="73">
        <f>IF($A14="","",V14*U14)</f>
        <v/>
      </c>
      <c r="W34" s="73" t="n"/>
      <c r="X34" s="73">
        <f>IF($A14="","",X14*W14)</f>
        <v/>
      </c>
      <c r="Y34" s="73" t="n"/>
      <c r="Z34" s="73">
        <f>IF($A14="","",Z14*Y14)</f>
        <v/>
      </c>
      <c r="AA34" s="73" t="n"/>
      <c r="AB34" s="73">
        <f>IF($A14="","",AB14*AA14)</f>
        <v/>
      </c>
      <c r="AC34" s="73" t="n"/>
      <c r="AD34" s="73">
        <f>IF($A14="","",AD14*AC14)</f>
        <v/>
      </c>
      <c r="AE34" s="73" t="n"/>
      <c r="AF34" s="73">
        <f>IF($A14="","",AF14*AE14)</f>
        <v/>
      </c>
    </row>
    <row r="35" hidden="1" ht="40.15" customHeight="1">
      <c r="F35" s="73">
        <f>IF($A15="","",F15*E15)</f>
        <v/>
      </c>
      <c r="G35" s="73" t="n"/>
      <c r="H35" s="73">
        <f>IF($A15="","",H15*G15)</f>
        <v/>
      </c>
      <c r="I35" s="73" t="n"/>
      <c r="J35" s="73">
        <f>IF($A15="","",J15*I15)</f>
        <v/>
      </c>
      <c r="K35" s="73" t="n"/>
      <c r="L35" s="73">
        <f>IF($A15="","",L15*K15)</f>
        <v/>
      </c>
      <c r="M35" s="73" t="n"/>
      <c r="N35" s="73">
        <f>IF($A15="","",N15*M15)</f>
        <v/>
      </c>
      <c r="O35" s="73" t="n"/>
      <c r="P35" s="73">
        <f>IF($A15="","",P15*O15)</f>
        <v/>
      </c>
      <c r="Q35" s="73" t="n"/>
      <c r="R35" s="73">
        <f>IF($A15="","",R15*Q15)</f>
        <v/>
      </c>
      <c r="S35" s="73" t="n"/>
      <c r="T35" s="73">
        <f>IF($A15="","",T15*S15)</f>
        <v/>
      </c>
      <c r="U35" s="73" t="n"/>
      <c r="V35" s="73">
        <f>IF($A15="","",V15*U15)</f>
        <v/>
      </c>
      <c r="W35" s="73" t="n"/>
      <c r="X35" s="73">
        <f>IF($A15="","",X15*W15)</f>
        <v/>
      </c>
      <c r="Y35" s="73" t="n"/>
      <c r="Z35" s="73">
        <f>IF($A15="","",Z15*Y15)</f>
        <v/>
      </c>
      <c r="AA35" s="73" t="n"/>
      <c r="AB35" s="73">
        <f>IF($A15="","",AB15*AA15)</f>
        <v/>
      </c>
      <c r="AC35" s="73" t="n"/>
      <c r="AD35" s="73">
        <f>IF($A15="","",AD15*AC15)</f>
        <v/>
      </c>
      <c r="AE35" s="73" t="n"/>
      <c r="AF35" s="73">
        <f>IF($A15="","",AF15*AE15)</f>
        <v/>
      </c>
    </row>
    <row r="36" hidden="1">
      <c r="F36" s="73">
        <f>IF($A16="","",F16*E16)</f>
        <v/>
      </c>
      <c r="G36" s="73" t="n"/>
      <c r="H36" s="73">
        <f>IF($A16="","",H16*G16)</f>
        <v/>
      </c>
      <c r="I36" s="73" t="n"/>
      <c r="J36" s="73">
        <f>IF($A16="","",J16*I16)</f>
        <v/>
      </c>
      <c r="K36" s="73" t="n"/>
      <c r="L36" s="73">
        <f>IF($A16="","",L16*K16)</f>
        <v/>
      </c>
      <c r="M36" s="73" t="n"/>
      <c r="N36" s="73">
        <f>IF($A16="","",N16*M16)</f>
        <v/>
      </c>
      <c r="O36" s="73" t="n"/>
      <c r="P36" s="73">
        <f>IF($A16="","",P16*O16)</f>
        <v/>
      </c>
      <c r="Q36" s="73" t="n"/>
      <c r="R36" s="73">
        <f>IF($A16="","",R16*Q16)</f>
        <v/>
      </c>
      <c r="S36" s="73" t="n"/>
      <c r="T36" s="73">
        <f>IF($A16="","",T16*S16)</f>
        <v/>
      </c>
      <c r="U36" s="73" t="n"/>
      <c r="V36" s="73">
        <f>IF($A16="","",V16*U16)</f>
        <v/>
      </c>
      <c r="W36" s="73" t="n"/>
      <c r="X36" s="73">
        <f>IF($A16="","",X16*W16)</f>
        <v/>
      </c>
      <c r="Y36" s="73" t="n"/>
      <c r="Z36" s="73">
        <f>IF($A16="","",Z16*Y16)</f>
        <v/>
      </c>
      <c r="AA36" s="73" t="n"/>
      <c r="AB36" s="73">
        <f>IF($A16="","",AB16*AA16)</f>
        <v/>
      </c>
      <c r="AC36" s="73" t="n"/>
      <c r="AD36" s="73">
        <f>IF($A16="","",AD16*AC16)</f>
        <v/>
      </c>
      <c r="AE36" s="73" t="n"/>
      <c r="AF36" s="73">
        <f>IF($A16="","",AF16*AE16)</f>
        <v/>
      </c>
    </row>
    <row r="37" hidden="1">
      <c r="F37" s="73">
        <f>IF($A17="","",F17*E17)</f>
        <v/>
      </c>
      <c r="G37" s="73" t="n"/>
      <c r="H37" s="73">
        <f>IF($A17="","",H17*G17)</f>
        <v/>
      </c>
      <c r="I37" s="73" t="n"/>
      <c r="J37" s="73">
        <f>IF($A17="","",J17*I17)</f>
        <v/>
      </c>
      <c r="K37" s="73" t="n"/>
      <c r="L37" s="73">
        <f>IF($A17="","",L17*K17)</f>
        <v/>
      </c>
      <c r="M37" s="73" t="n"/>
      <c r="N37" s="73">
        <f>IF($A17="","",N17*M17)</f>
        <v/>
      </c>
      <c r="O37" s="73" t="n"/>
      <c r="P37" s="73">
        <f>IF($A17="","",P17*O17)</f>
        <v/>
      </c>
      <c r="Q37" s="73" t="n"/>
      <c r="R37" s="73">
        <f>IF($A17="","",R17*Q17)</f>
        <v/>
      </c>
      <c r="S37" s="73" t="n"/>
      <c r="T37" s="73">
        <f>IF($A17="","",T17*S17)</f>
        <v/>
      </c>
      <c r="U37" s="73" t="n"/>
      <c r="V37" s="73">
        <f>IF($A17="","",V17*U17)</f>
        <v/>
      </c>
      <c r="W37" s="73" t="n"/>
      <c r="X37" s="73">
        <f>IF($A17="","",X17*W17)</f>
        <v/>
      </c>
      <c r="Y37" s="73" t="n"/>
      <c r="Z37" s="73">
        <f>IF($A17="","",Z17*Y17)</f>
        <v/>
      </c>
      <c r="AA37" s="73" t="n"/>
      <c r="AB37" s="73">
        <f>IF($A17="","",AB17*AA17)</f>
        <v/>
      </c>
      <c r="AC37" s="73" t="n"/>
      <c r="AD37" s="73">
        <f>IF($A17="","",AD17*AC17)</f>
        <v/>
      </c>
      <c r="AE37" s="73" t="n"/>
      <c r="AF37" s="73">
        <f>IF($A17="","",AF17*AE17)</f>
        <v/>
      </c>
    </row>
    <row r="38" hidden="1">
      <c r="F38" s="73">
        <f>IF($A18="","",F18*E18)</f>
        <v/>
      </c>
      <c r="G38" s="73" t="n"/>
      <c r="H38" s="73">
        <f>IF($A18="","",H18*G18)</f>
        <v/>
      </c>
      <c r="I38" s="73" t="n"/>
      <c r="J38" s="73">
        <f>IF($A18="","",J18*I18)</f>
        <v/>
      </c>
      <c r="K38" s="73" t="n"/>
      <c r="L38" s="73">
        <f>IF($A18="","",L18*K18)</f>
        <v/>
      </c>
      <c r="M38" s="73" t="n"/>
      <c r="N38" s="73">
        <f>IF($A18="","",N18*M18)</f>
        <v/>
      </c>
      <c r="O38" s="73" t="n"/>
      <c r="P38" s="73">
        <f>IF($A18="","",P18*O18)</f>
        <v/>
      </c>
      <c r="Q38" s="73" t="n"/>
      <c r="R38" s="73">
        <f>IF($A18="","",R18*Q18)</f>
        <v/>
      </c>
      <c r="S38" s="73" t="n"/>
      <c r="T38" s="73">
        <f>IF($A18="","",T18*S18)</f>
        <v/>
      </c>
      <c r="U38" s="73" t="n"/>
      <c r="V38" s="73">
        <f>IF($A18="","",V18*U18)</f>
        <v/>
      </c>
      <c r="W38" s="73" t="n"/>
      <c r="X38" s="73">
        <f>IF($A18="","",X18*W18)</f>
        <v/>
      </c>
      <c r="Y38" s="73" t="n"/>
      <c r="Z38" s="73">
        <f>IF($A18="","",Z18*Y18)</f>
        <v/>
      </c>
      <c r="AA38" s="73" t="n"/>
      <c r="AB38" s="73">
        <f>IF($A18="","",AB18*AA18)</f>
        <v/>
      </c>
      <c r="AC38" s="73" t="n"/>
      <c r="AD38" s="73">
        <f>IF($A18="","",AD18*AC18)</f>
        <v/>
      </c>
      <c r="AE38" s="73" t="n"/>
      <c r="AF38" s="73">
        <f>IF($A18="","",AF18*AE18)</f>
        <v/>
      </c>
    </row>
    <row r="39" hidden="1">
      <c r="F39" s="73">
        <f>IF($A19="","",F19*E19)</f>
        <v/>
      </c>
      <c r="G39" s="73" t="n"/>
      <c r="H39" s="73">
        <f>IF($A19="","",H19*G19)</f>
        <v/>
      </c>
      <c r="I39" s="73" t="n"/>
      <c r="J39" s="73">
        <f>IF($A19="","",J19*I19)</f>
        <v/>
      </c>
      <c r="K39" s="73" t="n"/>
      <c r="L39" s="73">
        <f>IF($A19="","",L19*K19)</f>
        <v/>
      </c>
      <c r="M39" s="73" t="n"/>
      <c r="N39" s="73">
        <f>IF($A19="","",N19*M19)</f>
        <v/>
      </c>
      <c r="O39" s="73" t="n"/>
      <c r="P39" s="73">
        <f>IF($A19="","",P19*O19)</f>
        <v/>
      </c>
      <c r="Q39" s="73" t="n"/>
      <c r="R39" s="73">
        <f>IF($A19="","",R19*Q19)</f>
        <v/>
      </c>
      <c r="S39" s="73" t="n"/>
      <c r="T39" s="73">
        <f>IF($A19="","",T19*S19)</f>
        <v/>
      </c>
      <c r="U39" s="73" t="n"/>
      <c r="V39" s="73">
        <f>IF($A19="","",V19*U19)</f>
        <v/>
      </c>
      <c r="W39" s="73" t="n"/>
      <c r="X39" s="73">
        <f>IF($A19="","",X19*W19)</f>
        <v/>
      </c>
      <c r="Y39" s="73" t="n"/>
      <c r="Z39" s="73">
        <f>IF($A19="","",Z19*Y19)</f>
        <v/>
      </c>
      <c r="AA39" s="73" t="n"/>
      <c r="AB39" s="73">
        <f>IF($A19="","",AB19*AA19)</f>
        <v/>
      </c>
      <c r="AC39" s="73" t="n"/>
      <c r="AD39" s="73">
        <f>IF($A19="","",AD19*AC19)</f>
        <v/>
      </c>
      <c r="AE39" s="73" t="n"/>
      <c r="AF39" s="73">
        <f>IF($A19="","",AF19*AE19)</f>
        <v/>
      </c>
    </row>
    <row r="40" hidden="1">
      <c r="F40" s="73">
        <f>IF($A20="","",F20*E20)</f>
        <v/>
      </c>
      <c r="G40" s="73" t="n"/>
      <c r="H40" s="73">
        <f>IF($A20="","",H20*G20)</f>
        <v/>
      </c>
      <c r="I40" s="73" t="n"/>
      <c r="J40" s="73">
        <f>IF($A20="","",J20*I20)</f>
        <v/>
      </c>
      <c r="K40" s="73" t="n"/>
      <c r="L40" s="73">
        <f>IF($A20="","",L20*K20)</f>
        <v/>
      </c>
      <c r="M40" s="73" t="n"/>
      <c r="N40" s="73">
        <f>IF($A20="","",N20*M20)</f>
        <v/>
      </c>
      <c r="O40" s="73" t="n"/>
      <c r="P40" s="73">
        <f>IF($A20="","",P20*O20)</f>
        <v/>
      </c>
      <c r="Q40" s="73" t="n"/>
      <c r="R40" s="73">
        <f>IF($A20="","",R20*Q20)</f>
        <v/>
      </c>
      <c r="S40" s="73" t="n"/>
      <c r="T40" s="73">
        <f>IF($A20="","",T20*S20)</f>
        <v/>
      </c>
      <c r="U40" s="73" t="n"/>
      <c r="V40" s="73">
        <f>IF($A20="","",V20*U20)</f>
        <v/>
      </c>
      <c r="W40" s="73" t="n"/>
      <c r="X40" s="73">
        <f>IF($A20="","",X20*W20)</f>
        <v/>
      </c>
      <c r="Y40" s="73" t="n"/>
      <c r="Z40" s="73">
        <f>IF($A20="","",Z20*Y20)</f>
        <v/>
      </c>
      <c r="AA40" s="73" t="n"/>
      <c r="AB40" s="73">
        <f>IF($A20="","",AB20*AA20)</f>
        <v/>
      </c>
      <c r="AC40" s="73" t="n"/>
      <c r="AD40" s="73">
        <f>IF($A20="","",AD20*AC20)</f>
        <v/>
      </c>
      <c r="AE40" s="73" t="n"/>
      <c r="AF40" s="73">
        <f>IF($A20="","",AF20*AE20)</f>
        <v/>
      </c>
    </row>
    <row r="41" hidden="1">
      <c r="F41" s="73">
        <f>IF($A21="","",F21*E21)</f>
        <v/>
      </c>
      <c r="G41" s="73" t="n"/>
      <c r="H41" s="73">
        <f>IF($A21="","",H21*G21)</f>
        <v/>
      </c>
      <c r="I41" s="73" t="n"/>
      <c r="J41" s="73">
        <f>IF($A21="","",J21*I21)</f>
        <v/>
      </c>
      <c r="K41" s="73" t="n"/>
      <c r="L41" s="73">
        <f>IF($A21="","",L21*K21)</f>
        <v/>
      </c>
      <c r="M41" s="73" t="n"/>
      <c r="N41" s="73">
        <f>IF($A21="","",N21*M21)</f>
        <v/>
      </c>
      <c r="O41" s="73" t="n"/>
      <c r="P41" s="73">
        <f>IF($A21="","",P21*O21)</f>
        <v/>
      </c>
      <c r="Q41" s="73" t="n"/>
      <c r="R41" s="73">
        <f>IF($A21="","",R21*Q21)</f>
        <v/>
      </c>
      <c r="S41" s="73" t="n"/>
      <c r="T41" s="73">
        <f>IF($A21="","",T21*S21)</f>
        <v/>
      </c>
      <c r="U41" s="73" t="n"/>
      <c r="V41" s="73">
        <f>IF($A21="","",V21*U21)</f>
        <v/>
      </c>
      <c r="W41" s="73" t="n"/>
      <c r="X41" s="73">
        <f>IF($A21="","",X21*W21)</f>
        <v/>
      </c>
      <c r="Y41" s="73" t="n"/>
      <c r="Z41" s="73">
        <f>IF($A21="","",Z21*Y21)</f>
        <v/>
      </c>
      <c r="AA41" s="73" t="n"/>
      <c r="AB41" s="73">
        <f>IF($A21="","",AB21*AA21)</f>
        <v/>
      </c>
      <c r="AC41" s="73" t="n"/>
      <c r="AD41" s="73">
        <f>IF($A21="","",AD21*AC21)</f>
        <v/>
      </c>
      <c r="AE41" s="73" t="n"/>
      <c r="AF41" s="73">
        <f>IF($A21="","",AF21*AE21)</f>
        <v/>
      </c>
    </row>
    <row r="42" hidden="1">
      <c r="F42" s="73">
        <f>IF($A22="","",F22*E22)</f>
        <v/>
      </c>
      <c r="G42" s="73" t="n"/>
      <c r="H42" s="73">
        <f>IF($A22="","",H22*G22)</f>
        <v/>
      </c>
      <c r="I42" s="73" t="n"/>
      <c r="J42" s="73">
        <f>IF($A22="","",J22*I22)</f>
        <v/>
      </c>
      <c r="K42" s="73" t="n"/>
      <c r="L42" s="73">
        <f>IF($A22="","",L22*K22)</f>
        <v/>
      </c>
      <c r="M42" s="73" t="n"/>
      <c r="N42" s="73">
        <f>IF($A22="","",N22*M22)</f>
        <v/>
      </c>
      <c r="O42" s="73" t="n"/>
      <c r="P42" s="73">
        <f>IF($A22="","",P22*O22)</f>
        <v/>
      </c>
      <c r="Q42" s="73" t="n"/>
      <c r="R42" s="73">
        <f>IF($A22="","",R22*Q22)</f>
        <v/>
      </c>
      <c r="S42" s="73" t="n"/>
      <c r="T42" s="73">
        <f>IF($A22="","",T22*S22)</f>
        <v/>
      </c>
      <c r="U42" s="73" t="n"/>
      <c r="V42" s="73">
        <f>IF($A22="","",V22*U22)</f>
        <v/>
      </c>
      <c r="W42" s="73" t="n"/>
      <c r="X42" s="73">
        <f>IF($A22="","",X22*W22)</f>
        <v/>
      </c>
      <c r="Y42" s="73" t="n"/>
      <c r="Z42" s="73">
        <f>IF($A22="","",Z22*Y22)</f>
        <v/>
      </c>
      <c r="AA42" s="73" t="n"/>
      <c r="AB42" s="73">
        <f>IF($A22="","",AB22*AA22)</f>
        <v/>
      </c>
      <c r="AC42" s="73" t="n"/>
      <c r="AD42" s="73">
        <f>IF($A22="","",AD22*AC22)</f>
        <v/>
      </c>
      <c r="AE42" s="73" t="n"/>
      <c r="AF42" s="73">
        <f>IF($A22="","",AF22*AE22)</f>
        <v/>
      </c>
    </row>
    <row r="43" hidden="1">
      <c r="F43" s="73">
        <f>IF($A23="","",F23*E23)</f>
        <v/>
      </c>
      <c r="G43" s="73" t="n"/>
      <c r="H43" s="73">
        <f>IF($A23="","",H23*G23)</f>
        <v/>
      </c>
      <c r="I43" s="73" t="n"/>
      <c r="J43" s="73">
        <f>IF($A23="","",J23*I23)</f>
        <v/>
      </c>
      <c r="K43" s="73" t="n"/>
      <c r="L43" s="73">
        <f>IF($A23="","",L23*K23)</f>
        <v/>
      </c>
      <c r="M43" s="73" t="n"/>
      <c r="N43" s="73">
        <f>IF($A23="","",N23*M23)</f>
        <v/>
      </c>
      <c r="O43" s="73" t="n"/>
      <c r="P43" s="73">
        <f>IF($A23="","",P23*O23)</f>
        <v/>
      </c>
      <c r="Q43" s="73" t="n"/>
      <c r="R43" s="73">
        <f>IF($A23="","",R23*Q23)</f>
        <v/>
      </c>
      <c r="S43" s="73" t="n"/>
      <c r="T43" s="73">
        <f>IF($A23="","",T23*S23)</f>
        <v/>
      </c>
      <c r="U43" s="73" t="n"/>
      <c r="V43" s="73">
        <f>IF($A23="","",V23*U23)</f>
        <v/>
      </c>
      <c r="W43" s="73" t="n"/>
      <c r="X43" s="73">
        <f>IF($A23="","",X23*W23)</f>
        <v/>
      </c>
      <c r="Y43" s="73" t="n"/>
      <c r="Z43" s="73">
        <f>IF($A23="","",Z23*Y23)</f>
        <v/>
      </c>
      <c r="AA43" s="73" t="n"/>
      <c r="AB43" s="73">
        <f>IF($A23="","",AB23*AA23)</f>
        <v/>
      </c>
      <c r="AC43" s="73" t="n"/>
      <c r="AD43" s="73">
        <f>IF($A23="","",AD23*AC23)</f>
        <v/>
      </c>
      <c r="AE43" s="73" t="n"/>
      <c r="AF43" s="73">
        <f>IF($A23="","",AF23*AE23)</f>
        <v/>
      </c>
    </row>
    <row r="44" hidden="1">
      <c r="F44" s="73">
        <f>IF($A24="","",F24*E24)</f>
        <v/>
      </c>
      <c r="G44" s="73" t="n"/>
      <c r="H44" s="73">
        <f>IF($A24="","",H24*G24)</f>
        <v/>
      </c>
      <c r="I44" s="73" t="n"/>
      <c r="J44" s="73">
        <f>IF($A24="","",J24*I24)</f>
        <v/>
      </c>
      <c r="K44" s="73" t="n"/>
      <c r="L44" s="73">
        <f>IF($A24="","",L24*K24)</f>
        <v/>
      </c>
      <c r="M44" s="73" t="n"/>
      <c r="N44" s="73">
        <f>IF($A24="","",N24*M24)</f>
        <v/>
      </c>
      <c r="O44" s="73" t="n"/>
      <c r="P44" s="73">
        <f>IF($A24="","",P24*O24)</f>
        <v/>
      </c>
      <c r="Q44" s="73" t="n"/>
      <c r="R44" s="73">
        <f>IF($A24="","",R24*Q24)</f>
        <v/>
      </c>
      <c r="S44" s="73" t="n"/>
      <c r="T44" s="73">
        <f>IF($A24="","",T24*S24)</f>
        <v/>
      </c>
      <c r="U44" s="73" t="n"/>
      <c r="V44" s="73">
        <f>IF($A24="","",V24*U24)</f>
        <v/>
      </c>
      <c r="W44" s="73" t="n"/>
      <c r="X44" s="73">
        <f>IF($A24="","",X24*W24)</f>
        <v/>
      </c>
      <c r="Y44" s="73" t="n"/>
      <c r="Z44" s="73">
        <f>IF($A24="","",Z24*Y24)</f>
        <v/>
      </c>
      <c r="AA44" s="73" t="n"/>
      <c r="AB44" s="73">
        <f>IF($A24="","",AB24*AA24)</f>
        <v/>
      </c>
      <c r="AC44" s="73" t="n"/>
      <c r="AD44" s="73">
        <f>IF($A24="","",AD24*AC24)</f>
        <v/>
      </c>
      <c r="AE44" s="73" t="n"/>
      <c r="AF44" s="73">
        <f>IF($A24="","",AF24*AE24)</f>
        <v/>
      </c>
    </row>
    <row r="45" hidden="1">
      <c r="F45" s="73">
        <f>IF($A25="","",F25*E25)</f>
        <v/>
      </c>
      <c r="G45" s="73" t="n"/>
      <c r="H45" s="73">
        <f>IF($A25="","",H25*G25)</f>
        <v/>
      </c>
      <c r="I45" s="73" t="n"/>
      <c r="J45" s="73">
        <f>IF($A25="","",J25*I25)</f>
        <v/>
      </c>
      <c r="K45" s="73" t="n"/>
      <c r="L45" s="73">
        <f>IF($A25="","",L25*K25)</f>
        <v/>
      </c>
      <c r="M45" s="73" t="n"/>
      <c r="N45" s="73">
        <f>IF($A25="","",N25*M25)</f>
        <v/>
      </c>
      <c r="O45" s="73" t="n"/>
      <c r="P45" s="73">
        <f>IF($A25="","",P25*O25)</f>
        <v/>
      </c>
      <c r="Q45" s="73" t="n"/>
      <c r="R45" s="73">
        <f>IF($A25="","",R25*Q25)</f>
        <v/>
      </c>
      <c r="S45" s="73" t="n"/>
      <c r="T45" s="73">
        <f>IF($A25="","",T25*S25)</f>
        <v/>
      </c>
      <c r="U45" s="73" t="n"/>
      <c r="V45" s="73">
        <f>IF($A25="","",V25*U25)</f>
        <v/>
      </c>
      <c r="W45" s="73" t="n"/>
      <c r="X45" s="73">
        <f>IF($A25="","",X25*W25)</f>
        <v/>
      </c>
      <c r="Y45" s="73" t="n"/>
      <c r="Z45" s="73">
        <f>IF($A25="","",Z25*Y25)</f>
        <v/>
      </c>
      <c r="AA45" s="73" t="n"/>
      <c r="AB45" s="73">
        <f>IF($A25="","",AB25*AA25)</f>
        <v/>
      </c>
      <c r="AC45" s="73" t="n"/>
      <c r="AD45" s="73">
        <f>IF($A25="","",AD25*AC25)</f>
        <v/>
      </c>
      <c r="AE45" s="73" t="n"/>
      <c r="AF45" s="73">
        <f>IF($A25="","",AF25*AE25)</f>
        <v/>
      </c>
    </row>
    <row r="46" hidden="1">
      <c r="F46" s="73">
        <f>IF($A26="","",F26*E26)</f>
        <v/>
      </c>
      <c r="G46" s="73" t="n"/>
      <c r="H46" s="73">
        <f>IF($A26="","",H26*G26)</f>
        <v/>
      </c>
      <c r="I46" s="73" t="n"/>
      <c r="J46" s="73">
        <f>IF($A26="","",J26*I26)</f>
        <v/>
      </c>
      <c r="K46" s="73" t="n"/>
      <c r="L46" s="73">
        <f>IF($A26="","",L26*K26)</f>
        <v/>
      </c>
      <c r="M46" s="73" t="n"/>
      <c r="N46" s="73">
        <f>IF($A26="","",N26*M26)</f>
        <v/>
      </c>
      <c r="O46" s="73" t="n"/>
      <c r="P46" s="73">
        <f>IF($A26="","",P26*O26)</f>
        <v/>
      </c>
      <c r="Q46" s="73" t="n"/>
      <c r="R46" s="73">
        <f>IF($A26="","",R26*Q26)</f>
        <v/>
      </c>
      <c r="S46" s="73" t="n"/>
      <c r="T46" s="73">
        <f>IF($A26="","",T26*S26)</f>
        <v/>
      </c>
      <c r="U46" s="73" t="n"/>
      <c r="V46" s="73">
        <f>IF($A26="","",V26*U26)</f>
        <v/>
      </c>
      <c r="W46" s="73" t="n"/>
      <c r="X46" s="73">
        <f>IF($A26="","",X26*W26)</f>
        <v/>
      </c>
      <c r="Y46" s="73" t="n"/>
      <c r="Z46" s="73">
        <f>IF($A26="","",Z26*Y26)</f>
        <v/>
      </c>
      <c r="AA46" s="73" t="n"/>
      <c r="AB46" s="73">
        <f>IF($A26="","",AB26*AA26)</f>
        <v/>
      </c>
      <c r="AC46" s="73" t="n"/>
      <c r="AD46" s="73">
        <f>IF($A26="","",AD26*AC26)</f>
        <v/>
      </c>
      <c r="AE46" s="73" t="n"/>
      <c r="AF46" s="73">
        <f>IF($A26="","",AF26*AE26)</f>
        <v/>
      </c>
    </row>
    <row r="47" hidden="1">
      <c r="F47" s="73">
        <f>IF($A27="","",F27*E27)</f>
        <v/>
      </c>
      <c r="G47" s="73" t="n"/>
      <c r="H47" s="73">
        <f>IF($A27="","",H27*G27)</f>
        <v/>
      </c>
      <c r="I47" s="73" t="n"/>
      <c r="J47" s="73">
        <f>IF($A27="","",J27*I27)</f>
        <v/>
      </c>
      <c r="K47" s="73" t="n"/>
      <c r="L47" s="73">
        <f>IF($A27="","",L27*K27)</f>
        <v/>
      </c>
      <c r="M47" s="73" t="n"/>
      <c r="N47" s="73">
        <f>IF($A27="","",N27*M27)</f>
        <v/>
      </c>
      <c r="O47" s="73" t="n"/>
      <c r="P47" s="73">
        <f>IF($A27="","",P27*O27)</f>
        <v/>
      </c>
      <c r="Q47" s="73" t="n"/>
      <c r="R47" s="73">
        <f>IF($A27="","",R27*Q27)</f>
        <v/>
      </c>
      <c r="S47" s="73" t="n"/>
      <c r="T47" s="73">
        <f>IF($A27="","",T27*S27)</f>
        <v/>
      </c>
      <c r="U47" s="73" t="n"/>
      <c r="V47" s="73">
        <f>IF($A27="","",V27*U27)</f>
        <v/>
      </c>
      <c r="W47" s="73" t="n"/>
      <c r="X47" s="73">
        <f>IF($A27="","",X27*W27)</f>
        <v/>
      </c>
      <c r="Y47" s="73" t="n"/>
      <c r="Z47" s="73">
        <f>IF($A27="","",Z27*Y27)</f>
        <v/>
      </c>
      <c r="AA47" s="73" t="n"/>
      <c r="AB47" s="73">
        <f>IF($A27="","",AB27*AA27)</f>
        <v/>
      </c>
      <c r="AC47" s="73" t="n"/>
      <c r="AD47" s="73">
        <f>IF($A27="","",AD27*AC27)</f>
        <v/>
      </c>
      <c r="AE47" s="73" t="n"/>
      <c r="AF47" s="73">
        <f>IF($A27="","",AF27*AE27)</f>
        <v/>
      </c>
    </row>
    <row r="48" hidden="1">
      <c r="F48" s="73">
        <f>IF($A28="","",F28*E28)</f>
        <v/>
      </c>
      <c r="G48" s="73" t="n"/>
      <c r="H48" s="73">
        <f>IF($A28="","",H28*G28)</f>
        <v/>
      </c>
      <c r="I48" s="73" t="n"/>
      <c r="J48" s="73">
        <f>IF($A28="","",J28*I28)</f>
        <v/>
      </c>
      <c r="K48" s="73" t="n"/>
      <c r="L48" s="73">
        <f>IF($A28="","",L28*K28)</f>
        <v/>
      </c>
      <c r="M48" s="73" t="n"/>
      <c r="N48" s="73">
        <f>IF($A28="","",N28*M28)</f>
        <v/>
      </c>
      <c r="O48" s="73" t="n"/>
      <c r="P48" s="73">
        <f>IF($A28="","",P28*O28)</f>
        <v/>
      </c>
      <c r="Q48" s="73" t="n"/>
      <c r="R48" s="73">
        <f>IF($A28="","",R28*Q28)</f>
        <v/>
      </c>
      <c r="S48" s="73" t="n"/>
      <c r="T48" s="73">
        <f>IF($A28="","",T28*S28)</f>
        <v/>
      </c>
      <c r="U48" s="73" t="n"/>
      <c r="V48" s="73">
        <f>IF($A28="","",V28*U28)</f>
        <v/>
      </c>
      <c r="W48" s="73" t="n"/>
      <c r="X48" s="73">
        <f>IF($A28="","",X28*W28)</f>
        <v/>
      </c>
      <c r="Y48" s="73" t="n"/>
      <c r="Z48" s="73">
        <f>IF($A28="","",Z28*Y28)</f>
        <v/>
      </c>
      <c r="AA48" s="73" t="n"/>
      <c r="AB48" s="73">
        <f>IF($A28="","",AB28*AA28)</f>
        <v/>
      </c>
      <c r="AC48" s="73" t="n"/>
      <c r="AD48" s="73">
        <f>IF($A28="","",AD28*AC28)</f>
        <v/>
      </c>
      <c r="AE48" s="73" t="n"/>
      <c r="AF48" s="73">
        <f>IF($A28="","",AF28*AE28)</f>
        <v/>
      </c>
    </row>
    <row r="49" hidden="1">
      <c r="F49" s="74">
        <f>SUMIF(F31:F48,"&gt;0")</f>
        <v/>
      </c>
      <c r="H49" s="74">
        <f>SUMIF(H31:H48,"&gt;0")</f>
        <v/>
      </c>
      <c r="I49" s="74" t="n"/>
      <c r="J49" s="74">
        <f>SUMIF(J31:J48,"&gt;0")</f>
        <v/>
      </c>
      <c r="K49" s="74" t="n"/>
      <c r="L49" s="74">
        <f>SUMIF(L31:L48,"&gt;0")</f>
        <v/>
      </c>
      <c r="M49" s="74" t="n"/>
      <c r="N49" s="74">
        <f>SUMIF(N31:N48,"&gt;0")</f>
        <v/>
      </c>
      <c r="P49" s="74">
        <f>SUMIF(P31:P48,"&gt;0")</f>
        <v/>
      </c>
      <c r="Q49" s="74" t="n"/>
      <c r="R49" s="74">
        <f>SUMIF(R31:R48,"&gt;0")</f>
        <v/>
      </c>
      <c r="S49" s="74" t="n"/>
      <c r="T49" s="74">
        <f>SUMIF(T31:T48,"&gt;0")</f>
        <v/>
      </c>
      <c r="U49" s="74" t="n"/>
      <c r="V49" s="74">
        <f>SUMIF(V31:V48,"&gt;0")</f>
        <v/>
      </c>
      <c r="X49" s="74">
        <f>SUMIF(X31:X48,"&gt;0")</f>
        <v/>
      </c>
      <c r="Y49" s="74" t="n"/>
      <c r="Z49" s="74">
        <f>SUMIF(Z31:Z48,"&gt;0")</f>
        <v/>
      </c>
      <c r="AA49" s="74" t="n"/>
      <c r="AB49" s="74">
        <f>SUMIF(AB31:AB48,"&gt;0")</f>
        <v/>
      </c>
      <c r="AC49" s="74" t="n"/>
      <c r="AD49" s="74">
        <f>SUMIF(AD31:AD48,"&gt;0")</f>
        <v/>
      </c>
      <c r="AE49" s="74" t="n"/>
      <c r="AF49" s="74">
        <f>SUMIF(AF31:AF48,"&gt;0")</f>
        <v/>
      </c>
    </row>
    <row r="52">
      <c r="A52" s="75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</row>
    <row r="53">
      <c r="A53" s="77" t="inlineStr">
        <is>
          <t>#</t>
        </is>
      </c>
      <c r="B53" s="77" t="inlineStr">
        <is>
          <t>โปรไฟล์</t>
        </is>
      </c>
      <c r="C53" s="77" t="inlineStr">
        <is>
          <t>รหัส</t>
        </is>
      </c>
      <c r="D53" s="77" t="inlineStr">
        <is>
          <t>สูตรตัด (เดิม)</t>
        </is>
      </c>
      <c r="E53" s="77" t="inlineStr">
        <is>
          <t>หัก1</t>
        </is>
      </c>
      <c r="F53" s="77" t="inlineStr">
        <is>
          <t>หัก2</t>
        </is>
      </c>
      <c r="G53" s="77" t="inlineStr">
        <is>
          <t>หัก3</t>
        </is>
      </c>
      <c r="H53" s="77" t="inlineStr">
        <is>
          <t>หัก4</t>
        </is>
      </c>
      <c r="I53" s="77" t="inlineStr">
        <is>
          <t>หัก5</t>
        </is>
      </c>
      <c r="J53" s="77" t="inlineStr">
        <is>
          <t>หัก6</t>
        </is>
      </c>
      <c r="K53" s="77" t="inlineStr">
        <is>
          <t>หัก7</t>
        </is>
      </c>
      <c r="L53" s="77" t="inlineStr">
        <is>
          <t>จำนวน/ชุด</t>
        </is>
      </c>
      <c r="M53" s="122" t="n"/>
    </row>
    <row r="54" ht="44" customHeight="1">
      <c r="A54" s="78" t="n">
        <v>1</v>
      </c>
      <c r="B54" s="79" t="inlineStr">
        <is>
          <t>เฟรมข้าง</t>
        </is>
      </c>
      <c r="C54" s="80" t="inlineStr">
        <is>
          <t>F7978</t>
        </is>
      </c>
      <c r="D54" s="81" t="inlineStr">
        <is>
          <t>สูง</t>
        </is>
      </c>
      <c r="E54" s="82" t="n"/>
      <c r="F54" s="82" t="n"/>
      <c r="G54" s="82" t="n"/>
      <c r="H54" s="82" t="n"/>
      <c r="I54" s="82" t="n"/>
      <c r="J54" s="82" t="n"/>
      <c r="K54" s="82" t="n"/>
      <c r="L54" s="83" t="n">
        <v>2</v>
      </c>
      <c r="M54" s="82" t="n"/>
    </row>
    <row r="55" ht="44" customHeight="1">
      <c r="A55" s="78" t="n">
        <v>2</v>
      </c>
      <c r="B55" s="79" t="inlineStr">
        <is>
          <t>เฟรม บน</t>
        </is>
      </c>
      <c r="C55" s="80" t="inlineStr">
        <is>
          <t>F7976</t>
        </is>
      </c>
      <c r="D55" s="81" t="inlineStr">
        <is>
          <t>กว้าง-21-21</t>
        </is>
      </c>
      <c r="E55" s="83" t="n">
        <v>21</v>
      </c>
      <c r="F55" s="83" t="n">
        <v>21</v>
      </c>
      <c r="G55" s="82" t="n"/>
      <c r="H55" s="82" t="n"/>
      <c r="I55" s="82" t="n"/>
      <c r="J55" s="82" t="n"/>
      <c r="K55" s="82" t="n"/>
      <c r="L55" s="83" t="n">
        <v>1</v>
      </c>
      <c r="M55" s="82" t="n"/>
    </row>
    <row r="56" ht="44" customHeight="1">
      <c r="A56" s="78" t="n">
        <v>3</v>
      </c>
      <c r="B56" s="79" t="inlineStr">
        <is>
          <t>เฟรม-ล่าง</t>
        </is>
      </c>
      <c r="C56" s="80" t="inlineStr">
        <is>
          <t>F7902</t>
        </is>
      </c>
      <c r="D56" s="81" t="inlineStr">
        <is>
          <t>กว้าง-21-21</t>
        </is>
      </c>
      <c r="E56" s="82" t="n"/>
      <c r="F56" s="82" t="n"/>
      <c r="G56" s="82" t="n"/>
      <c r="H56" s="82" t="n"/>
      <c r="I56" s="82" t="n"/>
      <c r="J56" s="82" t="n"/>
      <c r="K56" s="82" t="n"/>
      <c r="L56" s="83" t="n">
        <v>1</v>
      </c>
      <c r="M56" s="82" t="n"/>
    </row>
    <row r="57" ht="44" customHeight="1">
      <c r="A57" s="78" t="n">
        <v>4</v>
      </c>
      <c r="B57" s="79" t="inlineStr">
        <is>
          <t>เสา</t>
        </is>
      </c>
      <c r="C57" s="80" t="inlineStr">
        <is>
          <t>F7980</t>
        </is>
      </c>
      <c r="D57" s="81" t="inlineStr">
        <is>
          <t>สูง-14-13-21</t>
        </is>
      </c>
      <c r="E57" s="83" t="n">
        <v>14</v>
      </c>
      <c r="F57" s="83" t="n">
        <v>13</v>
      </c>
      <c r="G57" s="83" t="n">
        <v>21</v>
      </c>
      <c r="H57" s="82" t="n"/>
      <c r="I57" s="82" t="n"/>
      <c r="J57" s="82" t="n"/>
      <c r="K57" s="82" t="n"/>
      <c r="L57" s="83" t="n">
        <v>6</v>
      </c>
      <c r="M57" s="82" t="n"/>
    </row>
    <row r="58" ht="15" customHeight="1">
      <c r="A58" s="78" t="n">
        <v>5</v>
      </c>
      <c r="B58" s="79" t="inlineStr">
        <is>
          <t>ขวาง</t>
        </is>
      </c>
      <c r="C58" s="80" t="inlineStr">
        <is>
          <t>-</t>
        </is>
      </c>
      <c r="D58" s="81" t="inlineStr">
        <is>
          <t>((กว้าง-21-3-2.4-3-21)/3)+(78x2/3)</t>
        </is>
      </c>
      <c r="E58" s="83" t="n">
        <v>21</v>
      </c>
      <c r="F58" s="83" t="n">
        <v>3</v>
      </c>
      <c r="G58" s="83" t="n">
        <v>2.4</v>
      </c>
      <c r="H58" s="83" t="n">
        <v>3</v>
      </c>
      <c r="I58" s="83" t="n">
        <v>21</v>
      </c>
      <c r="J58" s="82" t="n"/>
      <c r="K58" s="82" t="n"/>
      <c r="L58" s="83" t="n">
        <v>6</v>
      </c>
      <c r="M58" s="82" t="n"/>
    </row>
    <row r="59" ht="44" customHeight="1">
      <c r="A59" s="78" t="n">
        <v>6</v>
      </c>
      <c r="B59" s="79" t="inlineStr">
        <is>
          <t>คิ้ว ตั้ง</t>
        </is>
      </c>
      <c r="C59" s="80" t="inlineStr">
        <is>
          <t>F7919</t>
        </is>
      </c>
      <c r="D59" s="81" t="inlineStr">
        <is>
          <t>เสา-78-78</t>
        </is>
      </c>
      <c r="E59" s="83" t="n">
        <v>78</v>
      </c>
      <c r="F59" s="83" t="n">
        <v>78</v>
      </c>
      <c r="G59" s="82" t="n"/>
      <c r="H59" s="82" t="n"/>
      <c r="I59" s="82" t="n"/>
      <c r="J59" s="82" t="n"/>
      <c r="K59" s="82" t="n"/>
      <c r="L59" s="83" t="n">
        <v>6</v>
      </c>
      <c r="M59" s="82" t="n"/>
    </row>
    <row r="60" ht="15" customHeight="1">
      <c r="A60" s="78" t="n">
        <v>7</v>
      </c>
      <c r="B60" s="79" t="inlineStr">
        <is>
          <t>คิ้ว ขวาง</t>
        </is>
      </c>
      <c r="C60" s="80" t="inlineStr">
        <is>
          <t>-</t>
        </is>
      </c>
      <c r="D60" s="81" t="inlineStr">
        <is>
          <t>ขวาง-63-63</t>
        </is>
      </c>
      <c r="E60" s="83" t="n">
        <v>63</v>
      </c>
      <c r="F60" s="83" t="n">
        <v>63</v>
      </c>
      <c r="G60" s="82" t="n"/>
      <c r="H60" s="82" t="n"/>
      <c r="I60" s="82" t="n"/>
      <c r="J60" s="82" t="n"/>
      <c r="K60" s="82" t="n"/>
      <c r="L60" s="83" t="n">
        <v>6</v>
      </c>
      <c r="M60" s="82" t="n"/>
    </row>
    <row r="61" ht="44" customHeight="1">
      <c r="A61" s="78" t="n">
        <v>8</v>
      </c>
      <c r="B61" s="79" t="inlineStr">
        <is>
          <t>ตบเกี่ยว</t>
        </is>
      </c>
      <c r="C61" s="80" t="inlineStr">
        <is>
          <t>F7983</t>
        </is>
      </c>
      <c r="D61" s="81" t="inlineStr">
        <is>
          <t>สูงกรอบบาน</t>
        </is>
      </c>
      <c r="E61" s="82" t="n"/>
      <c r="F61" s="82" t="n"/>
      <c r="G61" s="82" t="n"/>
      <c r="H61" s="82" t="n"/>
      <c r="I61" s="82" t="n"/>
      <c r="J61" s="82" t="n"/>
      <c r="K61" s="82" t="n"/>
      <c r="L61" s="83" t="n">
        <v>4</v>
      </c>
      <c r="M61" s="82" t="n"/>
    </row>
    <row r="62" ht="44" customHeight="1">
      <c r="A62" s="78" t="n">
        <v>9</v>
      </c>
      <c r="B62" s="79" t="inlineStr">
        <is>
          <t>ยูข้าง</t>
        </is>
      </c>
      <c r="C62" s="80" t="inlineStr">
        <is>
          <t>F7986</t>
        </is>
      </c>
      <c r="D62" s="81" t="inlineStr">
        <is>
          <t>สูง-8-45</t>
        </is>
      </c>
      <c r="E62" s="83" t="n">
        <v>8</v>
      </c>
      <c r="F62" s="83" t="n">
        <v>45</v>
      </c>
      <c r="G62" s="82" t="n"/>
      <c r="H62" s="82" t="n"/>
      <c r="I62" s="82" t="n"/>
      <c r="J62" s="82" t="n"/>
      <c r="K62" s="82" t="n"/>
      <c r="L62" s="83" t="n">
        <v>2</v>
      </c>
      <c r="M62" s="82" t="n"/>
    </row>
    <row r="63" ht="44" customHeight="1">
      <c r="A63" s="78" t="n">
        <v>10</v>
      </c>
      <c r="B63" s="79" t="inlineStr">
        <is>
          <t>ตบเฟรมบน</t>
        </is>
      </c>
      <c r="C63" s="80" t="inlineStr">
        <is>
          <t>F7993</t>
        </is>
      </c>
      <c r="D63" s="81" t="inlineStr">
        <is>
          <t>เท่าเฟรมบน</t>
        </is>
      </c>
      <c r="E63" s="83" t="n">
        <v>21</v>
      </c>
      <c r="F63" s="83" t="n">
        <v>21</v>
      </c>
      <c r="G63" s="82" t="n"/>
      <c r="H63" s="82" t="n"/>
      <c r="I63" s="82" t="n"/>
      <c r="J63" s="82" t="n"/>
      <c r="K63" s="82" t="n"/>
      <c r="L63" s="83" t="n">
        <v>3</v>
      </c>
      <c r="M63" s="82" t="n"/>
    </row>
    <row r="64" ht="44" customHeight="1">
      <c r="A64" s="78" t="n">
        <v>11</v>
      </c>
      <c r="B64" s="79" t="inlineStr">
        <is>
          <t>ตบยูข้าง</t>
        </is>
      </c>
      <c r="C64" s="80" t="inlineStr">
        <is>
          <t>F7988</t>
        </is>
      </c>
      <c r="D64" s="81" t="inlineStr">
        <is>
          <t>สูง-8-45</t>
        </is>
      </c>
      <c r="E64" s="83" t="n">
        <v>8</v>
      </c>
      <c r="F64" s="83" t="n">
        <v>45</v>
      </c>
      <c r="G64" s="82" t="n"/>
      <c r="H64" s="82" t="n"/>
      <c r="I64" s="82" t="n"/>
      <c r="J64" s="82" t="n"/>
      <c r="K64" s="82" t="n"/>
      <c r="L64" s="83" t="n">
        <v>2</v>
      </c>
      <c r="M64" s="82" t="n"/>
    </row>
    <row r="65" ht="15" customHeight="1">
      <c r="A65" s="78" t="n">
        <v>12</v>
      </c>
      <c r="B65" s="79" t="inlineStr">
        <is>
          <t>ปิดตบเกี่ยว</t>
        </is>
      </c>
      <c r="C65" s="80" t="inlineStr">
        <is>
          <t>-</t>
        </is>
      </c>
      <c r="D65" s="81" t="inlineStr">
        <is>
          <t>สูงกรอบบาน</t>
        </is>
      </c>
      <c r="E65" s="82" t="n"/>
      <c r="F65" s="82" t="n"/>
      <c r="G65" s="82" t="n"/>
      <c r="H65" s="82" t="n"/>
      <c r="I65" s="82" t="n"/>
      <c r="J65" s="82" t="n"/>
      <c r="K65" s="82" t="n"/>
      <c r="L65" s="83" t="n">
        <v>4</v>
      </c>
      <c r="M65" s="82" t="n"/>
    </row>
    <row r="66" ht="44" customHeight="1">
      <c r="A66" s="78" t="n">
        <v>13</v>
      </c>
      <c r="B66" s="79" t="inlineStr">
        <is>
          <t>ราง</t>
        </is>
      </c>
      <c r="C66" s="80" t="inlineStr">
        <is>
          <t>F7994</t>
        </is>
      </c>
      <c r="D66" s="81" t="inlineStr">
        <is>
          <t>เท่าเฟรมล่าง</t>
        </is>
      </c>
      <c r="E66" s="83" t="n">
        <v>21</v>
      </c>
      <c r="F66" s="83" t="n">
        <v>21</v>
      </c>
      <c r="G66" s="82" t="n"/>
      <c r="H66" s="82" t="n"/>
      <c r="I66" s="82" t="n"/>
      <c r="J66" s="82" t="n"/>
      <c r="K66" s="82" t="n"/>
      <c r="L66" s="83" t="n">
        <v>3</v>
      </c>
      <c r="M66" s="82" t="n"/>
    </row>
    <row r="68">
      <c r="A68" s="123" t="inlineStr">
        <is>
          <t>⑥ อุปกรณ์ ต่อ 1 บาน — คูณจำนวนบานที่ผลิต</t>
        </is>
      </c>
      <c r="B68" s="131" t="n"/>
      <c r="C68" s="131" t="n"/>
      <c r="D68" s="131" t="n"/>
      <c r="E68" s="132" t="n"/>
      <c r="F68" s="124" t="inlineStr">
        <is>
          <t>ต่อบาน</t>
        </is>
      </c>
    </row>
    <row r="69">
      <c r="A69" s="125" t="n"/>
      <c r="F69" s="126" t="n"/>
    </row>
    <row r="70">
      <c r="A70" s="153" t="inlineStr">
        <is>
          <t>⑤ อุปกรณ์ + ตั้งค่ามือจับ (2 ชุด · บานเลื่อน 3)</t>
        </is>
      </c>
      <c r="F70" s="126" t="n"/>
    </row>
    <row r="71">
      <c r="A71" s="152" t="inlineStr">
        <is>
          <t>ประเภทบาน →</t>
        </is>
      </c>
      <c r="B71" s="150" t="inlineStr">
        <is>
          <t>ประตู</t>
        </is>
      </c>
      <c r="F71" s="126" t="n"/>
    </row>
    <row r="72">
      <c r="A72" s="152" t="inlineStr">
        <is>
          <t>ยี่ห้อมือจับ →</t>
        </is>
      </c>
      <c r="B72" s="150" t="inlineStr">
        <is>
          <t>เมโทร</t>
        </is>
      </c>
      <c r="F72" s="126" t="n"/>
    </row>
    <row r="73">
      <c r="A73" s="156" t="inlineStr">
        <is>
          <t>สีมือจับ →</t>
        </is>
      </c>
      <c r="B73" s="150" t="inlineStr">
        <is>
          <t>อบขาว</t>
        </is>
      </c>
    </row>
    <row r="74">
      <c r="A74" s="149" t="inlineStr">
        <is>
          <t>มือจับ ชุด1 →</t>
        </is>
      </c>
      <c r="B74" s="150" t="inlineStr">
        <is>
          <t>กุญแจ+ล็อค</t>
        </is>
      </c>
    </row>
    <row r="75">
      <c r="A75" s="149" t="inlineStr">
        <is>
          <t>มือจับ ชุด2 →</t>
        </is>
      </c>
      <c r="B75" s="150" t="inlineStr">
        <is>
          <t>ล็อค+ดัมมี่</t>
        </is>
      </c>
    </row>
    <row r="76">
      <c r="A76" s="154" t="inlineStr">
        <is>
          <t>⑤.1 สรุปอุปกรณ์ (จำนวนลิงก์อัตโนมัติ)</t>
        </is>
      </c>
    </row>
    <row r="77">
      <c r="A77" s="154" t="inlineStr">
        <is>
          <t>#</t>
        </is>
      </c>
      <c r="B77" s="154" t="inlineStr">
        <is>
          <t>อุปกรณ์</t>
        </is>
      </c>
      <c r="C77" s="154" t="inlineStr">
        <is>
          <t>รหัส SKU</t>
        </is>
      </c>
      <c r="D77" s="154" t="inlineStr">
        <is>
          <t>จำนวน</t>
        </is>
      </c>
      <c r="E77" s="154" t="inlineStr">
        <is>
          <t>หน่วย</t>
        </is>
      </c>
      <c r="F77" s="154" t="inlineStr">
        <is>
          <t>หมายเหตุ</t>
        </is>
      </c>
    </row>
    <row r="78">
      <c r="A78" s="149" t="n">
        <v>1</v>
      </c>
      <c r="B78" s="149" t="inlineStr">
        <is>
          <t>ล้อ 20</t>
        </is>
      </c>
      <c r="C78" s="150">
        <f>AK8</f>
        <v/>
      </c>
      <c r="D78" s="155">
        <f>AK30</f>
        <v/>
      </c>
      <c r="E78" s="149" t="inlineStr">
        <is>
          <t>ตัว</t>
        </is>
      </c>
      <c r="F78" s="149" t="inlineStr"/>
    </row>
    <row r="79">
      <c r="A79" s="149" t="n">
        <v>2</v>
      </c>
      <c r="B79" s="149" t="inlineStr">
        <is>
          <t>มือจับ กุญแจ</t>
        </is>
      </c>
      <c r="C79" s="150">
        <f>AL8</f>
        <v/>
      </c>
      <c r="D79" s="155">
        <f>AL30</f>
        <v/>
      </c>
      <c r="E79" s="149" t="inlineStr">
        <is>
          <t>ตัว</t>
        </is>
      </c>
      <c r="F79" s="149" t="inlineStr"/>
    </row>
    <row r="80">
      <c r="A80" s="149" t="n">
        <v>3</v>
      </c>
      <c r="B80" s="149" t="inlineStr">
        <is>
          <t>มือจับ ล็อค</t>
        </is>
      </c>
      <c r="C80" s="150">
        <f>AM8</f>
        <v/>
      </c>
      <c r="D80" s="155">
        <f>AM30</f>
        <v/>
      </c>
      <c r="E80" s="149" t="inlineStr">
        <is>
          <t>ตัว</t>
        </is>
      </c>
      <c r="F80" s="149" t="inlineStr"/>
    </row>
    <row r="81">
      <c r="A81" s="149" t="n">
        <v>4</v>
      </c>
      <c r="B81" s="149" t="inlineStr">
        <is>
          <t>มือจับ ดัมมี่</t>
        </is>
      </c>
      <c r="C81" s="150">
        <f>AN8</f>
        <v/>
      </c>
      <c r="D81" s="155">
        <f>AN30</f>
        <v/>
      </c>
      <c r="E81" s="149" t="inlineStr">
        <is>
          <t>ตัว</t>
        </is>
      </c>
      <c r="F81" s="149" t="inlineStr"/>
    </row>
    <row r="82">
      <c r="A82" s="149" t="n">
        <v>5</v>
      </c>
      <c r="B82" s="149" t="inlineStr">
        <is>
          <t>Digital lock</t>
        </is>
      </c>
      <c r="C82" s="150" t="inlineStr">
        <is>
          <t>-</t>
        </is>
      </c>
      <c r="D82" s="155">
        <f>AO30</f>
        <v/>
      </c>
      <c r="E82" s="149" t="inlineStr">
        <is>
          <t>ชุด</t>
        </is>
      </c>
      <c r="F82" s="149" t="inlineStr">
        <is>
          <t>ไม่ตัดสต็อก</t>
        </is>
      </c>
    </row>
    <row r="83">
      <c r="A83" s="149" t="n">
        <v>6</v>
      </c>
      <c r="B83" s="149" t="inlineStr">
        <is>
          <t>แกน A</t>
        </is>
      </c>
      <c r="C83" s="150">
        <f>AP8</f>
        <v/>
      </c>
      <c r="D83" s="155">
        <f>AP30</f>
        <v/>
      </c>
      <c r="E83" s="149" t="inlineStr">
        <is>
          <t>เส้น</t>
        </is>
      </c>
      <c r="F83" s="149" t="inlineStr"/>
    </row>
    <row r="84">
      <c r="A84" s="149" t="n">
        <v>7</v>
      </c>
      <c r="B84" s="149" t="inlineStr">
        <is>
          <t>แกน B</t>
        </is>
      </c>
      <c r="C84" s="150">
        <f>AQ8</f>
        <v/>
      </c>
      <c r="D84" s="155">
        <f>AQ30</f>
        <v/>
      </c>
      <c r="E84" s="149" t="inlineStr">
        <is>
          <t>เส้น</t>
        </is>
      </c>
      <c r="F84" s="149" t="inlineStr"/>
    </row>
    <row r="85">
      <c r="A85" s="149" t="n">
        <v>8</v>
      </c>
      <c r="B85" s="149" t="inlineStr">
        <is>
          <t>ปลายดำ</t>
        </is>
      </c>
      <c r="C85" s="150">
        <f>AR8</f>
        <v/>
      </c>
      <c r="D85" s="155">
        <f>AR30</f>
        <v/>
      </c>
      <c r="E85" s="149" t="inlineStr">
        <is>
          <t>ตัว</t>
        </is>
      </c>
      <c r="F85" s="149" t="inlineStr"/>
    </row>
    <row r="86">
      <c r="A86" s="149" t="n">
        <v>9</v>
      </c>
      <c r="B86" s="149" t="inlineStr">
        <is>
          <t>ตัวที เงิน</t>
        </is>
      </c>
      <c r="C86" s="150">
        <f>AS8</f>
        <v/>
      </c>
      <c r="D86" s="155">
        <f>AS30</f>
        <v/>
      </c>
      <c r="E86" s="149" t="inlineStr">
        <is>
          <t>ตัว</t>
        </is>
      </c>
      <c r="F86" s="149" t="inlineStr"/>
    </row>
    <row r="87">
      <c r="A87" s="149" t="n">
        <v>10</v>
      </c>
      <c r="B87" s="149" t="inlineStr">
        <is>
          <t>ก้ามปู</t>
        </is>
      </c>
      <c r="C87" s="150">
        <f>AT8</f>
        <v/>
      </c>
      <c r="D87" s="155">
        <f>AT30</f>
        <v/>
      </c>
      <c r="E87" s="149" t="inlineStr">
        <is>
          <t>ตัว</t>
        </is>
      </c>
      <c r="F87" s="149" t="inlineStr"/>
    </row>
    <row r="88">
      <c r="A88" s="149" t="n">
        <v>11</v>
      </c>
      <c r="B88" s="149" t="inlineStr">
        <is>
          <t>สปิงก็อท</t>
        </is>
      </c>
      <c r="C88" s="150">
        <f>AU8</f>
        <v/>
      </c>
      <c r="D88" s="155">
        <f>AU30</f>
        <v/>
      </c>
      <c r="E88" s="149" t="inlineStr">
        <is>
          <t>ตัว</t>
        </is>
      </c>
      <c r="F88" s="149" t="inlineStr"/>
    </row>
    <row r="89">
      <c r="A89" s="149" t="n">
        <v>12</v>
      </c>
      <c r="B89" s="149" t="inlineStr">
        <is>
          <t>ฉากประกอบมุม</t>
        </is>
      </c>
      <c r="C89" s="150">
        <f>AV8</f>
        <v/>
      </c>
      <c r="D89" s="155">
        <f>AV30</f>
        <v/>
      </c>
      <c r="E89" s="149" t="inlineStr">
        <is>
          <t>ตัว</t>
        </is>
      </c>
      <c r="F89" s="149" t="inlineStr"/>
    </row>
    <row r="90">
      <c r="A90" s="149" t="n">
        <v>13</v>
      </c>
      <c r="B90" s="149" t="inlineStr">
        <is>
          <t>ยางรูน้ำ</t>
        </is>
      </c>
      <c r="C90" s="150">
        <f>AW8</f>
        <v/>
      </c>
      <c r="D90" s="155">
        <f>AW30</f>
        <v/>
      </c>
      <c r="E90" s="149" t="inlineStr">
        <is>
          <t>ตัว</t>
        </is>
      </c>
      <c r="F90" s="149" t="inlineStr"/>
    </row>
    <row r="91">
      <c r="A91" s="149" t="n">
        <v>14</v>
      </c>
      <c r="B91" s="149" t="inlineStr">
        <is>
          <t>วาวรูน้ำ</t>
        </is>
      </c>
      <c r="C91" s="150">
        <f>AX8</f>
        <v/>
      </c>
      <c r="D91" s="155">
        <f>AX30</f>
        <v/>
      </c>
      <c r="E91" s="149" t="inlineStr">
        <is>
          <t>ตัว</t>
        </is>
      </c>
      <c r="F91" s="149" t="inlineStr"/>
    </row>
    <row r="92">
      <c r="A92" s="149" t="n">
        <v>15</v>
      </c>
      <c r="B92" s="149" t="inlineStr">
        <is>
          <t>สักหลาด 5×3</t>
        </is>
      </c>
      <c r="C92" s="150">
        <f>AY8</f>
        <v/>
      </c>
      <c r="D92" s="155">
        <f>AY30</f>
        <v/>
      </c>
      <c r="E92" s="149" t="inlineStr">
        <is>
          <t>เมตร</t>
        </is>
      </c>
      <c r="F92" s="149" t="inlineStr">
        <is>
          <t>เก็บเป็นเมตร</t>
        </is>
      </c>
    </row>
  </sheetData>
  <mergeCells count="62">
    <mergeCell ref="U9:V9"/>
    <mergeCell ref="I6:J6"/>
    <mergeCell ref="AC7:AD7"/>
    <mergeCell ref="O6:P6"/>
    <mergeCell ref="U6:V6"/>
    <mergeCell ref="K9:L9"/>
    <mergeCell ref="W6:X6"/>
    <mergeCell ref="M9:N9"/>
    <mergeCell ref="K7:N7"/>
    <mergeCell ref="O9:P9"/>
    <mergeCell ref="G8:H8"/>
    <mergeCell ref="E8:F8"/>
    <mergeCell ref="Y9:Z9"/>
    <mergeCell ref="Q8:R8"/>
    <mergeCell ref="AA9:AB9"/>
    <mergeCell ref="S8:T8"/>
    <mergeCell ref="G7:H7"/>
    <mergeCell ref="AA6:AB6"/>
    <mergeCell ref="S7:T7"/>
    <mergeCell ref="I7:J7"/>
    <mergeCell ref="O7:R7"/>
    <mergeCell ref="A30:D30"/>
    <mergeCell ref="G6:H6"/>
    <mergeCell ref="AC8:AD8"/>
    <mergeCell ref="E9:F9"/>
    <mergeCell ref="AE8:AF8"/>
    <mergeCell ref="U7:V7"/>
    <mergeCell ref="W7:X7"/>
    <mergeCell ref="A8:A9"/>
    <mergeCell ref="E6:F6"/>
    <mergeCell ref="A6:D6"/>
    <mergeCell ref="M6:N6"/>
    <mergeCell ref="K8:L8"/>
    <mergeCell ref="AA8:AB8"/>
    <mergeCell ref="Q6:R6"/>
    <mergeCell ref="S6:T6"/>
    <mergeCell ref="D8:D9"/>
    <mergeCell ref="A7:D7"/>
    <mergeCell ref="Y6:Z6"/>
    <mergeCell ref="Q9:R9"/>
    <mergeCell ref="I8:J8"/>
    <mergeCell ref="S9:T9"/>
    <mergeCell ref="K30:M30"/>
    <mergeCell ref="W9:X9"/>
    <mergeCell ref="AC9:AD9"/>
    <mergeCell ref="M8:N8"/>
    <mergeCell ref="U8:V8"/>
    <mergeCell ref="AE9:AF9"/>
    <mergeCell ref="O8:P8"/>
    <mergeCell ref="W8:X8"/>
    <mergeCell ref="B8:C9"/>
    <mergeCell ref="AC6:AD6"/>
    <mergeCell ref="E7:F7"/>
    <mergeCell ref="AE6:AF6"/>
    <mergeCell ref="A68:E68"/>
    <mergeCell ref="O30:Q30"/>
    <mergeCell ref="Y7:AB7"/>
    <mergeCell ref="Y8:Z8"/>
    <mergeCell ref="K6:L6"/>
    <mergeCell ref="G9:H9"/>
    <mergeCell ref="Y30:AA30"/>
    <mergeCell ref="I9:J9"/>
  </mergeCells>
  <dataValidations count="5">
    <dataValidation sqref="B71" showDropDown="0" showInputMessage="0" showErrorMessage="0" allowBlank="1" type="list">
      <formula1>"ประตู,หน้าต่าง"</formula1>
    </dataValidation>
    <dataValidation sqref="B72" showDropDown="0" showInputMessage="0" showErrorMessage="0" allowBlank="1" type="list">
      <formula1>"เมโทร,Align"</formula1>
    </dataValidation>
    <dataValidation sqref="B73" showDropDown="0" showInputMessage="0" showErrorMessage="0" allowBlank="1" type="list">
      <formula1>"อบขาว,ดำ"</formula1>
    </dataValidation>
    <dataValidation sqref="B74" showDropDown="0" showInputMessage="0" showErrorMessage="0" allowBlank="1" type="list">
      <formula1>=$BD$1:$BD$4</formula1>
    </dataValidation>
    <dataValidation sqref="B75" showDropDown="0" showInputMessage="0" showErrorMessage="0" allowBlank="1" type="list">
      <formula1>=$BD$1:$BD$4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D92"/>
  <sheetViews>
    <sheetView showGridLines="0"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26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6.75" customWidth="1" min="32" max="32"/>
    <col width="12.75" customWidth="1" min="33" max="33"/>
    <col width="6.75" customWidth="1" min="34" max="34"/>
    <col width="12.75" customWidth="1" min="35" max="35"/>
    <col width="6.75" customWidth="1" min="36" max="36"/>
    <col width="12.75" customWidth="1" min="37" max="37"/>
    <col width="12.75" customWidth="1" min="38" max="38"/>
    <col width="8.75" customWidth="1" min="39" max="39"/>
    <col width="8.875" customWidth="1" min="40" max="40"/>
    <col hidden="1" width="13" customWidth="1" min="53" max="53"/>
    <col hidden="1" width="13" customWidth="1" min="54" max="54"/>
    <col hidden="1" width="13" customWidth="1" min="55" max="55"/>
    <col hidden="1" width="13" customWidth="1" min="56" max="56"/>
  </cols>
  <sheetData>
    <row r="1" ht="40.15" customHeight="1">
      <c r="A1" s="1" t="inlineStr">
        <is>
          <t>JR ALUMINIUM &amp; GLASS  —  ใบรายการตัด · FUJI เลื่อน4ราง ภายใน   (หน่วย: มม.)</t>
        </is>
      </c>
      <c r="B1" s="2" t="n"/>
      <c r="D1" s="3" t="n"/>
      <c r="E1" s="4" t="n"/>
      <c r="F1" s="3" t="n"/>
      <c r="G1" s="5" t="n"/>
      <c r="H1" s="5" t="n"/>
      <c r="I1" s="3" t="n"/>
      <c r="J1" s="3" t="n"/>
      <c r="K1" s="5" t="n"/>
      <c r="L1" s="5" t="n"/>
      <c r="M1" s="6" t="n"/>
      <c r="N1" s="6" t="n"/>
      <c r="O1" s="6" t="n"/>
      <c r="P1" s="5" t="n"/>
      <c r="Q1" s="3" t="n"/>
      <c r="R1" s="3" t="n"/>
      <c r="S1" s="6" t="n"/>
      <c r="T1" s="6" t="n"/>
      <c r="U1" s="5" t="n"/>
      <c r="V1" s="5" t="n"/>
      <c r="W1" s="3" t="n"/>
      <c r="X1" s="7" t="n"/>
      <c r="Y1" s="6" t="n"/>
      <c r="Z1" s="6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BA1" t="inlineStr">
        <is>
          <t>เมโทรกุญแจอบขาว</t>
        </is>
      </c>
      <c r="BB1" t="inlineStr">
        <is>
          <t>JR00368</t>
        </is>
      </c>
      <c r="BD1">
        <f>IF($B$71="ประตู","กุญแจ+ล็อค","ล็อค")</f>
        <v/>
      </c>
    </row>
    <row r="2" ht="40.15" customHeight="1">
      <c r="A2" s="6" t="n"/>
      <c r="B2" s="6" t="n"/>
      <c r="C2" s="6" t="n"/>
      <c r="D2" s="6" t="n"/>
      <c r="E2" s="8" t="n"/>
      <c r="F2" s="6" t="n"/>
      <c r="G2" s="9" t="n"/>
      <c r="H2" s="9" t="n"/>
      <c r="I2" s="6" t="n"/>
      <c r="J2" s="6" t="n"/>
      <c r="K2" s="9" t="n"/>
      <c r="L2" s="9" t="n"/>
      <c r="M2" s="9" t="n"/>
      <c r="N2" s="9" t="n"/>
      <c r="O2" s="9" t="n"/>
      <c r="P2" s="9" t="n"/>
      <c r="Q2" s="6" t="n"/>
      <c r="R2" s="6" t="n"/>
      <c r="S2" s="6" t="n"/>
      <c r="T2" s="6" t="n"/>
      <c r="U2" s="9" t="n"/>
      <c r="V2" s="9" t="n"/>
      <c r="W2" s="6" t="n"/>
      <c r="X2" s="6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  <c r="BA2" t="inlineStr">
        <is>
          <t>เมโทรกุญแจดำ</t>
        </is>
      </c>
      <c r="BB2" t="inlineStr">
        <is>
          <t>JR00371</t>
        </is>
      </c>
      <c r="BD2">
        <f>IF($B$71="ประตู","ล็อค+ดัมมี่","ดัมมี่")</f>
        <v/>
      </c>
    </row>
    <row r="3" ht="40.15" customHeight="1">
      <c r="A3" s="130">
        <f>HYPERLINK("#สารบัญ!A1","← สารบัญ")</f>
        <v/>
      </c>
      <c r="B3" s="6" t="n"/>
      <c r="C3" s="121" t="n"/>
      <c r="D3" s="6" t="n"/>
      <c r="E3" s="8" t="n"/>
      <c r="F3" s="6" t="n"/>
      <c r="G3" s="11" t="n"/>
      <c r="H3" s="11" t="n"/>
      <c r="I3" s="6" t="n"/>
      <c r="J3" s="6" t="n"/>
      <c r="K3" s="11" t="n"/>
      <c r="L3" s="11" t="n"/>
      <c r="O3" s="9" t="n"/>
      <c r="P3" s="9" t="n"/>
      <c r="Q3" s="6" t="n"/>
      <c r="R3" s="6" t="n"/>
      <c r="S3" s="6" t="n"/>
      <c r="T3" s="6" t="n"/>
      <c r="U3" s="11" t="n"/>
      <c r="V3" s="11" t="n"/>
      <c r="W3" s="6" t="n"/>
      <c r="X3" s="6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BA3" t="inlineStr">
        <is>
          <t>เมโทรล็อคอบขาว</t>
        </is>
      </c>
      <c r="BB3" t="inlineStr">
        <is>
          <t>JR00369</t>
        </is>
      </c>
      <c r="BD3">
        <f>IF($B$71="ประตู","ดัมมี่+ดัมมี่","")</f>
        <v/>
      </c>
    </row>
    <row r="4" ht="40.15" customHeight="1">
      <c r="A4" s="6" t="n"/>
      <c r="B4" s="6" t="n"/>
      <c r="C4" s="6" t="n"/>
      <c r="F4" s="6" t="n"/>
      <c r="I4" s="6" t="n"/>
      <c r="J4" s="6" t="n"/>
      <c r="O4" s="9" t="n"/>
      <c r="P4" s="9" t="n"/>
      <c r="Q4" s="6" t="n"/>
      <c r="R4" s="6" t="n"/>
      <c r="S4" s="6" t="n"/>
      <c r="T4" s="6" t="n"/>
      <c r="W4" s="6" t="n"/>
      <c r="X4" s="6" t="n"/>
      <c r="BA4" t="inlineStr">
        <is>
          <t>เมโทรล็อคดำ</t>
        </is>
      </c>
      <c r="BB4" t="inlineStr">
        <is>
          <t>JR00372</t>
        </is>
      </c>
      <c r="BD4">
        <f>IF($B$71="ประตู","Digital lock","")</f>
        <v/>
      </c>
    </row>
    <row r="5" ht="40.15" customHeight="1">
      <c r="A5" s="6" t="n"/>
      <c r="B5" s="6" t="n"/>
      <c r="C5" s="6" t="n"/>
      <c r="D5" s="6" t="n"/>
      <c r="E5" s="8" t="n"/>
      <c r="F5" s="6" t="n"/>
      <c r="I5" s="6" t="n"/>
      <c r="J5" s="6" t="n"/>
      <c r="Q5" s="6" t="n"/>
      <c r="R5" s="6" t="n"/>
      <c r="T5" s="6" t="n"/>
      <c r="W5" s="6" t="n"/>
      <c r="X5" s="6" t="n"/>
      <c r="BA5" t="inlineStr">
        <is>
          <t>เมโทรดัมมี่อบขาว</t>
        </is>
      </c>
      <c r="BB5" t="inlineStr">
        <is>
          <t>JR00370</t>
        </is>
      </c>
    </row>
    <row r="6" ht="60" customHeight="1">
      <c r="A6" s="13" t="inlineStr">
        <is>
          <t>สูตรตัด</t>
        </is>
      </c>
      <c r="B6" s="14" t="n"/>
      <c r="C6" s="14" t="n"/>
      <c r="D6" s="15" t="n"/>
      <c r="E6" s="16" t="inlineStr">
        <is>
          <t>สูง</t>
        </is>
      </c>
      <c r="F6" s="17" t="n"/>
      <c r="G6" s="16" t="inlineStr">
        <is>
          <t>สูง</t>
        </is>
      </c>
      <c r="H6" s="17" t="n"/>
      <c r="I6" s="16" t="inlineStr">
        <is>
          <t>กว้าง-21-21</t>
        </is>
      </c>
      <c r="J6" s="17" t="n"/>
      <c r="K6" s="16" t="inlineStr">
        <is>
          <t>กว้าง-21-21</t>
        </is>
      </c>
      <c r="L6" s="17" t="n"/>
      <c r="M6" s="16" t="inlineStr">
        <is>
          <t>กว้าง-21-21</t>
        </is>
      </c>
      <c r="N6" s="17" t="n"/>
      <c r="O6" s="16" t="inlineStr">
        <is>
          <t>กว้าง</t>
        </is>
      </c>
      <c r="P6" s="17" t="n"/>
      <c r="Q6" s="16" t="inlineStr">
        <is>
          <t>สูง-5-13-21</t>
        </is>
      </c>
      <c r="R6" s="17" t="n"/>
      <c r="S6" s="16" t="inlineStr">
        <is>
          <t>((กว้าง-21-3-3-3.6-21)/4)+(78x3/4)</t>
        </is>
      </c>
      <c r="T6" s="17" t="n"/>
      <c r="U6" s="16" t="inlineStr">
        <is>
          <t>เสา-78-78</t>
        </is>
      </c>
      <c r="V6" s="17" t="n"/>
      <c r="W6" s="16" t="inlineStr">
        <is>
          <t>ขวาง-63-63</t>
        </is>
      </c>
      <c r="X6" s="17" t="n"/>
      <c r="Y6" s="16" t="inlineStr">
        <is>
          <t>สูงกรอบบาน</t>
        </is>
      </c>
      <c r="Z6" s="17" t="n"/>
      <c r="AA6" s="16" t="inlineStr">
        <is>
          <t>สูง-45</t>
        </is>
      </c>
      <c r="AB6" s="17" t="n"/>
      <c r="AC6" s="16" t="inlineStr">
        <is>
          <t>เท่าเฟรมบน</t>
        </is>
      </c>
      <c r="AD6" s="17" t="n"/>
      <c r="AE6" s="16" t="inlineStr">
        <is>
          <t>สูง-45</t>
        </is>
      </c>
      <c r="AF6" s="17" t="n"/>
      <c r="AG6" s="16" t="inlineStr">
        <is>
          <t>สูงกรอบบาน</t>
        </is>
      </c>
      <c r="AI6" s="16" t="inlineStr">
        <is>
          <t>เท่าเฟรมล่าง</t>
        </is>
      </c>
      <c r="AK6" s="18" t="n"/>
      <c r="AL6" s="18" t="n"/>
      <c r="AM6" s="18" t="n"/>
      <c r="BA6" t="inlineStr">
        <is>
          <t>เมโทรดัมมี่ดำ</t>
        </is>
      </c>
      <c r="BB6" t="inlineStr">
        <is>
          <t>JR00373</t>
        </is>
      </c>
      <c r="BC6">
        <f>(COUNTIF($B$74:$B$75,"กุญแจ+ล็อค")+COUNTIF($B$74:$B$75,"ล็อค+ดัมมี่")+COUNTIF($B$74:$B$75,"ล็อค"))</f>
        <v/>
      </c>
    </row>
    <row r="7" ht="40.15" customHeight="1">
      <c r="A7" s="19" t="inlineStr">
        <is>
          <t>ใส่ข้อมูล</t>
        </is>
      </c>
      <c r="B7" s="20" t="n"/>
      <c r="C7" s="20" t="n"/>
      <c r="D7" s="21" t="n"/>
      <c r="E7" s="22" t="inlineStr">
        <is>
          <t>F7979</t>
        </is>
      </c>
      <c r="F7" s="15" t="n"/>
      <c r="G7" s="22" t="inlineStr">
        <is>
          <t>F7989</t>
        </is>
      </c>
      <c r="H7" s="15" t="n"/>
      <c r="I7" s="22" t="inlineStr">
        <is>
          <t>F7976</t>
        </is>
      </c>
      <c r="J7" s="15" t="n"/>
      <c r="K7" s="23" t="inlineStr">
        <is>
          <t>F7990</t>
        </is>
      </c>
      <c r="L7" s="15" t="n"/>
      <c r="M7" s="22" t="inlineStr">
        <is>
          <t>B27018</t>
        </is>
      </c>
      <c r="N7" s="15" t="n"/>
      <c r="O7" s="22" t="inlineStr">
        <is>
          <t>F7992</t>
        </is>
      </c>
      <c r="P7" s="15" t="n"/>
      <c r="Q7" s="22" t="inlineStr">
        <is>
          <t>F7980</t>
        </is>
      </c>
      <c r="R7" s="14" t="n"/>
      <c r="S7" s="14" t="n"/>
      <c r="T7" s="15" t="n"/>
      <c r="U7" s="22" t="inlineStr">
        <is>
          <t>F7919</t>
        </is>
      </c>
      <c r="V7" s="14" t="n"/>
      <c r="W7" s="14" t="n"/>
      <c r="X7" s="15" t="n"/>
      <c r="Y7" s="22" t="inlineStr">
        <is>
          <t>F7983</t>
        </is>
      </c>
      <c r="Z7" s="15" t="n"/>
      <c r="AA7" s="22" t="inlineStr">
        <is>
          <t>F7986</t>
        </is>
      </c>
      <c r="AB7" s="15" t="n"/>
      <c r="AC7" s="22" t="inlineStr">
        <is>
          <t>F7993</t>
        </is>
      </c>
      <c r="AD7" s="15" t="n"/>
      <c r="AE7" s="22" t="inlineStr">
        <is>
          <t>F7988</t>
        </is>
      </c>
      <c r="AI7" s="22" t="inlineStr">
        <is>
          <t>F7994</t>
        </is>
      </c>
      <c r="AK7" s="24" t="n"/>
      <c r="AL7" s="25" t="inlineStr">
        <is>
          <t>ขนาดกระจก</t>
        </is>
      </c>
      <c r="AM7" s="26" t="n"/>
      <c r="BA7" t="inlineStr">
        <is>
          <t>Alignกุญแจอบขาว</t>
        </is>
      </c>
      <c r="BB7" t="inlineStr">
        <is>
          <t>JR00377</t>
        </is>
      </c>
      <c r="BC7">
        <f>COUNTIF($B$74:$B$75,"กุญแจ+ล็อค")</f>
        <v/>
      </c>
    </row>
    <row r="8" ht="40.15" customHeight="1">
      <c r="A8" s="27" t="inlineStr">
        <is>
          <t>แผน</t>
        </is>
      </c>
      <c r="B8" s="28" t="inlineStr">
        <is>
          <t>ขนาดชิ้นงาน
(mm)</t>
        </is>
      </c>
      <c r="C8" s="29" t="n"/>
      <c r="D8" s="27" t="inlineStr">
        <is>
          <t>ชุด</t>
        </is>
      </c>
      <c r="E8" s="30" t="n"/>
      <c r="F8" s="31" t="n"/>
      <c r="G8" s="30" t="n"/>
      <c r="H8" s="31" t="n"/>
      <c r="I8" s="34" t="n"/>
      <c r="J8" s="31" t="n"/>
      <c r="K8" s="34" t="n"/>
      <c r="L8" s="31" t="n"/>
      <c r="M8" s="34" t="n"/>
      <c r="N8" s="31" t="n"/>
      <c r="O8" s="30" t="n"/>
      <c r="P8" s="31" t="n"/>
      <c r="Q8" s="32" t="n"/>
      <c r="R8" s="33" t="n"/>
      <c r="S8" s="34" t="n"/>
      <c r="T8" s="31" t="n"/>
      <c r="U8" s="32" t="n"/>
      <c r="V8" s="33" t="n"/>
      <c r="W8" s="34" t="n"/>
      <c r="X8" s="31" t="n"/>
      <c r="Y8" s="32" t="n"/>
      <c r="Z8" s="33" t="n"/>
      <c r="AA8" s="32" t="n"/>
      <c r="AB8" s="33" t="n"/>
      <c r="AC8" s="32" t="n"/>
      <c r="AD8" s="33" t="n"/>
      <c r="AE8" s="32" t="n"/>
      <c r="AF8" s="33" t="n"/>
      <c r="AG8" s="34" t="n"/>
      <c r="AI8" s="30" t="n"/>
      <c r="AK8" s="36" t="inlineStr">
        <is>
          <t>JR00577</t>
        </is>
      </c>
      <c r="AL8" s="37">
        <f>VLOOKUP($B$72&amp;"กุญแจ"&amp;$B$73,$BA$1:$BB$12,2,0)</f>
        <v/>
      </c>
      <c r="AM8" s="38">
        <f>VLOOKUP($B$72&amp;"ล็อค"&amp;$B$73,$BA$1:$BB$12,2,0)</f>
        <v/>
      </c>
      <c r="AN8">
        <f>VLOOKUP($B$72&amp;"ดัมมี่"&amp;$B$73,$BA$1:$BB$12,2,0)</f>
        <v/>
      </c>
      <c r="AO8" t="inlineStr"/>
      <c r="AP8" t="inlineStr">
        <is>
          <t>JR00478</t>
        </is>
      </c>
      <c r="AQ8" t="inlineStr">
        <is>
          <t>JR00479</t>
        </is>
      </c>
      <c r="AR8" t="inlineStr">
        <is>
          <t>JR00476</t>
        </is>
      </c>
      <c r="AS8" t="inlineStr">
        <is>
          <t>JR00475</t>
        </is>
      </c>
      <c r="AT8" t="inlineStr">
        <is>
          <t>JR00477</t>
        </is>
      </c>
      <c r="AU8" t="inlineStr">
        <is>
          <t>JR00592</t>
        </is>
      </c>
      <c r="AV8" t="inlineStr">
        <is>
          <t>JR00480</t>
        </is>
      </c>
      <c r="AW8" t="inlineStr">
        <is>
          <t>JR00589</t>
        </is>
      </c>
      <c r="AX8" t="inlineStr">
        <is>
          <t>JR00485</t>
        </is>
      </c>
      <c r="AY8" t="inlineStr">
        <is>
          <t>JR00794</t>
        </is>
      </c>
      <c r="BA8" t="inlineStr">
        <is>
          <t>Alignล็อคอบขาว</t>
        </is>
      </c>
      <c r="BB8" t="inlineStr">
        <is>
          <t>JR00378</t>
        </is>
      </c>
    </row>
    <row r="9" ht="40.15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ต่อเฟรมข้าง</t>
        </is>
      </c>
      <c r="H9" s="43" t="n"/>
      <c r="I9" s="42" t="inlineStr">
        <is>
          <t>เฟรม บน-ล่าง</t>
        </is>
      </c>
      <c r="J9" s="43" t="n"/>
      <c r="K9" s="42" t="inlineStr">
        <is>
          <t>ต่อราง</t>
        </is>
      </c>
      <c r="L9" s="43" t="n"/>
      <c r="M9" s="42" t="inlineStr">
        <is>
          <t>เฟรม ล่าง</t>
        </is>
      </c>
      <c r="N9" s="43" t="n"/>
      <c r="O9" s="42" t="inlineStr">
        <is>
          <t>ตบกันสาด</t>
        </is>
      </c>
      <c r="P9" s="43" t="n"/>
      <c r="Q9" s="42" t="inlineStr">
        <is>
          <t>เสา</t>
        </is>
      </c>
      <c r="R9" s="43" t="n"/>
      <c r="S9" s="42" t="inlineStr">
        <is>
          <t>ขวาง</t>
        </is>
      </c>
      <c r="T9" s="43" t="n"/>
      <c r="U9" s="42" t="inlineStr">
        <is>
          <t>คิ้ว ตั้ง</t>
        </is>
      </c>
      <c r="V9" s="43" t="n"/>
      <c r="W9" s="42" t="inlineStr">
        <is>
          <t>คิ้ว ขวาง</t>
        </is>
      </c>
      <c r="X9" s="43" t="n"/>
      <c r="Y9" s="42" t="inlineStr">
        <is>
          <t>ตบเกี่ยว</t>
        </is>
      </c>
      <c r="Z9" s="43" t="n"/>
      <c r="AA9" s="44" t="inlineStr">
        <is>
          <t>ยูข้าง</t>
        </is>
      </c>
      <c r="AB9" s="43" t="n"/>
      <c r="AC9" s="44" t="inlineStr">
        <is>
          <t>ตบเฟรมบน</t>
        </is>
      </c>
      <c r="AD9" s="43" t="n"/>
      <c r="AE9" s="44" t="inlineStr">
        <is>
          <t>ตบยูข้าง</t>
        </is>
      </c>
      <c r="AF9" s="43" t="n"/>
      <c r="AG9" s="42" t="inlineStr">
        <is>
          <t>ปิดตบเกี่ยว</t>
        </is>
      </c>
      <c r="AI9" s="44" t="inlineStr">
        <is>
          <t>ราง</t>
        </is>
      </c>
      <c r="AK9" s="45" t="inlineStr">
        <is>
          <t>ล้อ 20</t>
        </is>
      </c>
      <c r="AL9" s="46" t="inlineStr">
        <is>
          <t>มือจับ กุญแจ</t>
        </is>
      </c>
      <c r="AM9" s="47" t="inlineStr">
        <is>
          <t>มือจับ ล็อค</t>
        </is>
      </c>
      <c r="AN9" t="inlineStr">
        <is>
          <t>มือจับ ดัมมี่</t>
        </is>
      </c>
      <c r="AO9" t="inlineStr">
        <is>
          <t>Digital lock</t>
        </is>
      </c>
      <c r="AP9" t="inlineStr">
        <is>
          <t>แกน A</t>
        </is>
      </c>
      <c r="AQ9" t="inlineStr">
        <is>
          <t>แกน B</t>
        </is>
      </c>
      <c r="AR9" t="inlineStr">
        <is>
          <t>ปลายดำ</t>
        </is>
      </c>
      <c r="AS9" t="inlineStr">
        <is>
          <t>ตัวที เงิน</t>
        </is>
      </c>
      <c r="AT9" t="inlineStr">
        <is>
          <t>ก้ามปู</t>
        </is>
      </c>
      <c r="AU9" t="inlineStr">
        <is>
          <t>สปิงก็อท</t>
        </is>
      </c>
      <c r="AV9" t="inlineStr">
        <is>
          <t>ฉากประกอบมุม</t>
        </is>
      </c>
      <c r="AW9" t="inlineStr">
        <is>
          <t>ยางรูน้ำ</t>
        </is>
      </c>
      <c r="AX9" t="inlineStr">
        <is>
          <t>วาวรูน้ำ</t>
        </is>
      </c>
      <c r="AY9" t="inlineStr">
        <is>
          <t>สักหลาด(ม.)</t>
        </is>
      </c>
      <c r="BA9" t="inlineStr">
        <is>
          <t>Alignดัมมี่อบขาว</t>
        </is>
      </c>
      <c r="BB9" t="inlineStr">
        <is>
          <t>JR00379</t>
        </is>
      </c>
      <c r="BC9">
        <f>(COUNTIF($B$74:$B$75,"ล็อค+ดัมมี่")+2*COUNTIF($B$74:$B$75,"ดัมมี่+ดัมมี่")+COUNTIF($B$74:$B$75,"ดัมมี่"))</f>
        <v/>
      </c>
    </row>
    <row r="10" ht="40.15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3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3" t="inlineStr">
        <is>
          <t>จำนวน</t>
        </is>
      </c>
      <c r="O10" s="52" t="inlineStr">
        <is>
          <t>ยาว</t>
        </is>
      </c>
      <c r="P10" s="53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4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3" t="inlineStr">
        <is>
          <t>จำนวน</t>
        </is>
      </c>
      <c r="AA10" s="52" t="inlineStr">
        <is>
          <t>ยาว</t>
        </is>
      </c>
      <c r="AB10" s="54" t="inlineStr">
        <is>
          <t>จำนวน</t>
        </is>
      </c>
      <c r="AC10" s="52" t="inlineStr">
        <is>
          <t>ยาว</t>
        </is>
      </c>
      <c r="AD10" s="54" t="inlineStr">
        <is>
          <t>จำนวน</t>
        </is>
      </c>
      <c r="AE10" s="52" t="inlineStr">
        <is>
          <t>ยาว</t>
        </is>
      </c>
      <c r="AF10" s="54" t="inlineStr">
        <is>
          <t>จำนวน</t>
        </is>
      </c>
      <c r="AG10" s="52" t="inlineStr">
        <is>
          <t>ยาว</t>
        </is>
      </c>
      <c r="AH10" s="54" t="inlineStr">
        <is>
          <t>จำนวน</t>
        </is>
      </c>
      <c r="AI10" s="52" t="inlineStr">
        <is>
          <t>ยาว</t>
        </is>
      </c>
      <c r="AJ10" s="54" t="inlineStr">
        <is>
          <t>จำนวน</t>
        </is>
      </c>
      <c r="AK10" s="55" t="inlineStr">
        <is>
          <t>จำนวน</t>
        </is>
      </c>
      <c r="AL10" s="56" t="inlineStr">
        <is>
          <t>จำนวน</t>
        </is>
      </c>
      <c r="AM10" s="57" t="inlineStr">
        <is>
          <t>จำนวน</t>
        </is>
      </c>
      <c r="AN10" t="inlineStr">
        <is>
          <t>จำนวน</t>
        </is>
      </c>
      <c r="AO10" t="inlineStr">
        <is>
          <t>จำนวน</t>
        </is>
      </c>
      <c r="AP10" t="inlineStr">
        <is>
          <t>จำนวน</t>
        </is>
      </c>
      <c r="AQ10" t="inlineStr">
        <is>
          <t>จำนวน</t>
        </is>
      </c>
      <c r="AR10" t="inlineStr">
        <is>
          <t>จำนวน</t>
        </is>
      </c>
      <c r="AS10" t="inlineStr">
        <is>
          <t>จำนวน</t>
        </is>
      </c>
      <c r="AT10" t="inlineStr">
        <is>
          <t>จำนวน</t>
        </is>
      </c>
      <c r="AU10" t="inlineStr">
        <is>
          <t>จำนวน</t>
        </is>
      </c>
      <c r="AV10" t="inlineStr">
        <is>
          <t>จำนวน</t>
        </is>
      </c>
      <c r="AW10" t="inlineStr">
        <is>
          <t>จำนวน</t>
        </is>
      </c>
      <c r="AX10" t="inlineStr">
        <is>
          <t>จำนวน</t>
        </is>
      </c>
      <c r="AY10" t="inlineStr">
        <is>
          <t>จำนวน</t>
        </is>
      </c>
      <c r="BA10" t="inlineStr">
        <is>
          <t>Alignกุญแจดำ</t>
        </is>
      </c>
      <c r="BB10" t="inlineStr">
        <is>
          <t>JR00374</t>
        </is>
      </c>
      <c r="BC10">
        <f>COUNTIF($B$74:$B$75,"Digital lock")</f>
        <v/>
      </c>
    </row>
    <row r="11" ht="40.15" customHeight="1">
      <c r="A11" s="101" t="inlineStr">
        <is>
          <t>D1</t>
        </is>
      </c>
      <c r="B11" s="102" t="n">
        <v>700</v>
      </c>
      <c r="C11" s="92" t="n">
        <v>950</v>
      </c>
      <c r="D11" s="103" t="n">
        <v>1</v>
      </c>
      <c r="E11" s="104">
        <f>IF($A11="","",$B11)</f>
        <v/>
      </c>
      <c r="F11" s="92">
        <f>IF($A11="","",$L$54*$D11)</f>
        <v/>
      </c>
      <c r="G11" s="104">
        <f>IF($A11="","",$B11)</f>
        <v/>
      </c>
      <c r="H11" s="92">
        <f>IF($A11="","",$L$55*$D11)</f>
        <v/>
      </c>
      <c r="I11" s="104">
        <f>IF($A11="","",$C11-$E$56-$F$56)</f>
        <v/>
      </c>
      <c r="J11" s="92">
        <f>IF($A11="","",$L$56*$D11)</f>
        <v/>
      </c>
      <c r="K11" s="104">
        <f>IF($A11="","",$C11-$E$57-$F$57)</f>
        <v/>
      </c>
      <c r="L11" s="92">
        <f>IF($A11="","",$L$57*$D11)</f>
        <v/>
      </c>
      <c r="M11" s="104">
        <f>IF($A11="","",$C11-$E$58-$F$58)</f>
        <v/>
      </c>
      <c r="N11" s="92">
        <f>IF($A11="","",$L$58*$D11)</f>
        <v/>
      </c>
      <c r="O11" s="104">
        <f>IF($A11="","",$C11)</f>
        <v/>
      </c>
      <c r="P11" s="92">
        <f>IF($A11="","",$L$59*$D11)</f>
        <v/>
      </c>
      <c r="Q11" s="104">
        <f>IF($A11="","",$B11-$E$60-$F$60-$G$60)</f>
        <v/>
      </c>
      <c r="R11" s="92">
        <f>IF($A11="","",$L$60*$D11)</f>
        <v/>
      </c>
      <c r="S11" s="104">
        <f>IF($A11="","",(($C11-$E$61-$F$61-$G$61-$H$61-$I$61)/4)+(78*3)/4)</f>
        <v/>
      </c>
      <c r="T11" s="92">
        <f>IF($A11="","",$L$61*$D11)</f>
        <v/>
      </c>
      <c r="U11" s="104">
        <f>IF($A11="","",$Q11-$E$62-$F$62)</f>
        <v/>
      </c>
      <c r="V11" s="92">
        <f>IF($A11="","",$L$62*$D11)</f>
        <v/>
      </c>
      <c r="W11" s="104">
        <f>IF($A11="","",$S11-$E$63-$F$63)</f>
        <v/>
      </c>
      <c r="X11" s="92">
        <f>IF($A11="","",$L$63*$D11)</f>
        <v/>
      </c>
      <c r="Y11" s="104">
        <f>IF($A11="","",$Q11)</f>
        <v/>
      </c>
      <c r="Z11" s="92">
        <f>IF($A11="","",$L$64*$D11)</f>
        <v/>
      </c>
      <c r="AA11" s="104">
        <f>IF($A11="","",$B11-$E$65)</f>
        <v/>
      </c>
      <c r="AB11" s="92">
        <f>IF($A11="","",$L$65*$D11)</f>
        <v/>
      </c>
      <c r="AC11" s="104">
        <f>IF($A11="","",$C11-$E$66-$F$66)</f>
        <v/>
      </c>
      <c r="AD11" s="92">
        <f>IF($A11="","",$L$66*$D11)</f>
        <v/>
      </c>
      <c r="AE11" s="104">
        <f>IF($A11="","",$AA11)</f>
        <v/>
      </c>
      <c r="AF11" s="92">
        <f>IF($A11="","",$L$67*$D11)</f>
        <v/>
      </c>
      <c r="AG11" s="104">
        <f>IF($A11="","",$Q11)</f>
        <v/>
      </c>
      <c r="AH11" s="92">
        <f>IF($A11="","",$L$68*$D11)</f>
        <v/>
      </c>
      <c r="AI11" s="104">
        <f>IF($A11="","",$C11-$E$69-$F$69)</f>
        <v/>
      </c>
      <c r="AJ11" s="92">
        <f>IF($A11="","",$L$69*$D11)</f>
        <v/>
      </c>
      <c r="AK11" s="105">
        <f>IF($A11="","",2*4*$D11)</f>
        <v/>
      </c>
      <c r="AL11" s="135">
        <f>IF($A11="","",$BC$7*$D11)</f>
        <v/>
      </c>
      <c r="AM11" s="107">
        <f>IF($A11="","",$BC$6*$D11)</f>
        <v/>
      </c>
      <c r="AN11">
        <f>IF($A11="","",$BC$9*$D11)</f>
        <v/>
      </c>
      <c r="AO11">
        <f>IF($A11="","",$BC$10*$D11)</f>
        <v/>
      </c>
      <c r="AP11">
        <f>IF($A11="","",2*$BC$6*$D11)</f>
        <v/>
      </c>
      <c r="AQ11">
        <f>IF($A11="","",IF($B11&gt;2800,2,IF($B11&gt;1400,1,0))*$BC$6*$D11)</f>
        <v/>
      </c>
      <c r="AR11">
        <f>IF($A11="","",2*$BC$6*$D11)</f>
        <v/>
      </c>
      <c r="AS11">
        <f>IF($A11="","",$BC$6*$D11)</f>
        <v/>
      </c>
      <c r="AT11">
        <f>IF($A11="","",2*$BC$6*$D11)</f>
        <v/>
      </c>
      <c r="AU11">
        <f>IF($A11="","",4*4*$D11)</f>
        <v/>
      </c>
      <c r="AV11">
        <f>IF($A11="","",16*4*$D11)</f>
        <v/>
      </c>
      <c r="AW11">
        <f>IF($A11="","",(2+MAX(0,ROUNDUP(($I11-1500)/500,0)))*$D11)</f>
        <v/>
      </c>
      <c r="AX11">
        <f>IF($A11="","",(2+MAX(0,ROUNDUP(($I11-1500)/500,0)))*$D11)</f>
        <v/>
      </c>
      <c r="AY11">
        <f>IF($A11="","",ROUND((2*2*($S11+$Q11)*4*$D11+$Y11*$Z11)/1000,1))</f>
        <v/>
      </c>
      <c r="BA11" t="inlineStr">
        <is>
          <t>Alignล็อคดำ</t>
        </is>
      </c>
      <c r="BB11" t="inlineStr">
        <is>
          <t>JR00375</t>
        </is>
      </c>
    </row>
    <row r="12" ht="40.15" customHeight="1">
      <c r="A12" s="101" t="n"/>
      <c r="B12" s="102" t="n"/>
      <c r="C12" s="92" t="n"/>
      <c r="D12" s="103" t="n"/>
      <c r="E12" s="108">
        <f>IF($A12="","",$B12)</f>
        <v/>
      </c>
      <c r="F12" s="98">
        <f>IF($A12="","",$L$54*$D12)</f>
        <v/>
      </c>
      <c r="G12" s="108">
        <f>IF($A12="","",$B12)</f>
        <v/>
      </c>
      <c r="H12" s="98">
        <f>IF($A12="","",$L$55*$D12)</f>
        <v/>
      </c>
      <c r="I12" s="108">
        <f>IF($A12="","",$C12-$E$56-$F$56)</f>
        <v/>
      </c>
      <c r="J12" s="98">
        <f>IF($A12="","",$L$56*$D12)</f>
        <v/>
      </c>
      <c r="K12" s="108">
        <f>IF($A12="","",$C12-$E$57-$F$57)</f>
        <v/>
      </c>
      <c r="L12" s="98">
        <f>IF($A12="","",$L$57*$D12)</f>
        <v/>
      </c>
      <c r="M12" s="108">
        <f>IF($A12="","",$C12-$E$58-$F$58)</f>
        <v/>
      </c>
      <c r="N12" s="98">
        <f>IF($A12="","",$L$58*$D12)</f>
        <v/>
      </c>
      <c r="O12" s="108">
        <f>IF($A12="","",$C12)</f>
        <v/>
      </c>
      <c r="P12" s="98">
        <f>IF($A12="","",$L$59*$D12)</f>
        <v/>
      </c>
      <c r="Q12" s="108">
        <f>IF($A12="","",$B12-$E$60-$F$60-$G$60)</f>
        <v/>
      </c>
      <c r="R12" s="98">
        <f>IF($A12="","",$L$60*$D12)</f>
        <v/>
      </c>
      <c r="S12" s="108">
        <f>IF($A12="","",(($C12-$E$61-$F$61-$G$61-$H$61-$I$61)/4)+(78*3)/4)</f>
        <v/>
      </c>
      <c r="T12" s="98">
        <f>IF($A12="","",$L$61*$D12)</f>
        <v/>
      </c>
      <c r="U12" s="108">
        <f>IF($A12="","",$Q12-$E$62-$F$62)</f>
        <v/>
      </c>
      <c r="V12" s="98">
        <f>IF($A12="","",$L$62*$D12)</f>
        <v/>
      </c>
      <c r="W12" s="108">
        <f>IF($A12="","",$S12-$E$63-$F$63)</f>
        <v/>
      </c>
      <c r="X12" s="98">
        <f>IF($A12="","",$L$63*$D12)</f>
        <v/>
      </c>
      <c r="Y12" s="108">
        <f>IF($A12="","",$Q12)</f>
        <v/>
      </c>
      <c r="Z12" s="98">
        <f>IF($A12="","",$L$64*$D12)</f>
        <v/>
      </c>
      <c r="AA12" s="108">
        <f>IF($A12="","",$B12-$E$65)</f>
        <v/>
      </c>
      <c r="AB12" s="98">
        <f>IF($A12="","",$L$65*$D12)</f>
        <v/>
      </c>
      <c r="AC12" s="108">
        <f>IF($A12="","",$C12-$E$66-$F$66)</f>
        <v/>
      </c>
      <c r="AD12" s="98">
        <f>IF($A12="","",$L$66*$D12)</f>
        <v/>
      </c>
      <c r="AE12" s="108">
        <f>IF($A12="","",$AA12)</f>
        <v/>
      </c>
      <c r="AF12" s="98">
        <f>IF($A12="","",$L$67*$D12)</f>
        <v/>
      </c>
      <c r="AG12" s="108">
        <f>IF($A12="","",$Q12)</f>
        <v/>
      </c>
      <c r="AH12" s="98">
        <f>IF($A12="","",$L$68*$D12)</f>
        <v/>
      </c>
      <c r="AI12" s="108">
        <f>IF($A12="","",$C12-$E$69-$F$69)</f>
        <v/>
      </c>
      <c r="AJ12" s="98">
        <f>IF($A12="","",$L$69*$D12)</f>
        <v/>
      </c>
      <c r="AK12" s="105">
        <f>IF($A12="","",2*4*$D12)</f>
        <v/>
      </c>
      <c r="AL12" s="106">
        <f>IF($A12="","",$BC$7*$D12)</f>
        <v/>
      </c>
      <c r="AM12" s="107">
        <f>IF($A12="","",$BC$6*$D12)</f>
        <v/>
      </c>
      <c r="AN12">
        <f>IF($A12="","",$BC$9*$D12)</f>
        <v/>
      </c>
      <c r="AO12">
        <f>IF($A12="","",$BC$10*$D12)</f>
        <v/>
      </c>
      <c r="AP12">
        <f>IF($A12="","",2*$BC$6*$D12)</f>
        <v/>
      </c>
      <c r="AQ12">
        <f>IF($A12="","",IF($B12&gt;2800,2,IF($B12&gt;1400,1,0))*$BC$6*$D12)</f>
        <v/>
      </c>
      <c r="AR12">
        <f>IF($A12="","",2*$BC$6*$D12)</f>
        <v/>
      </c>
      <c r="AS12">
        <f>IF($A12="","",$BC$6*$D12)</f>
        <v/>
      </c>
      <c r="AT12">
        <f>IF($A12="","",2*$BC$6*$D12)</f>
        <v/>
      </c>
      <c r="AU12">
        <f>IF($A12="","",4*4*$D12)</f>
        <v/>
      </c>
      <c r="AV12">
        <f>IF($A12="","",16*4*$D12)</f>
        <v/>
      </c>
      <c r="AW12">
        <f>IF($A12="","",(2+MAX(0,ROUNDUP(($I12-1500)/500,0)))*$D12)</f>
        <v/>
      </c>
      <c r="AX12">
        <f>IF($A12="","",(2+MAX(0,ROUNDUP(($I12-1500)/500,0)))*$D12)</f>
        <v/>
      </c>
      <c r="AY12">
        <f>IF($A12="","",ROUND((2*2*($S12+$Q12)*4*$D12+$Y12*$Z12)/1000,1))</f>
        <v/>
      </c>
      <c r="BA12" t="inlineStr">
        <is>
          <t>Alignดัมมี่ดำ</t>
        </is>
      </c>
      <c r="BB12" t="inlineStr">
        <is>
          <t>JR00376</t>
        </is>
      </c>
    </row>
    <row r="13" ht="40.15" customHeight="1">
      <c r="A13" s="101" t="n"/>
      <c r="B13" s="102" t="n"/>
      <c r="C13" s="92" t="n"/>
      <c r="D13" s="103" t="n"/>
      <c r="E13" s="104">
        <f>IF($A13="","",$B13)</f>
        <v/>
      </c>
      <c r="F13" s="92">
        <f>IF($A13="","",$L$54*$D13)</f>
        <v/>
      </c>
      <c r="G13" s="104">
        <f>IF($A13="","",$B13)</f>
        <v/>
      </c>
      <c r="H13" s="92">
        <f>IF($A13="","",$L$55*$D13)</f>
        <v/>
      </c>
      <c r="I13" s="104">
        <f>IF($A13="","",$C13-$E$56-$F$56)</f>
        <v/>
      </c>
      <c r="J13" s="92">
        <f>IF($A13="","",$L$56*$D13)</f>
        <v/>
      </c>
      <c r="K13" s="104">
        <f>IF($A13="","",$C13-$E$57-$F$57)</f>
        <v/>
      </c>
      <c r="L13" s="92">
        <f>IF($A13="","",$L$57*$D13)</f>
        <v/>
      </c>
      <c r="M13" s="104">
        <f>IF($A13="","",$C13-$E$58-$F$58)</f>
        <v/>
      </c>
      <c r="N13" s="92">
        <f>IF($A13="","",$L$58*$D13)</f>
        <v/>
      </c>
      <c r="O13" s="104">
        <f>IF($A13="","",$C13)</f>
        <v/>
      </c>
      <c r="P13" s="92">
        <f>IF($A13="","",$L$59*$D13)</f>
        <v/>
      </c>
      <c r="Q13" s="104">
        <f>IF($A13="","",$B13-$E$60-$F$60-$G$60)</f>
        <v/>
      </c>
      <c r="R13" s="92">
        <f>IF($A13="","",$L$60*$D13)</f>
        <v/>
      </c>
      <c r="S13" s="104">
        <f>IF($A13="","",(($C13-$E$61-$F$61-$G$61-$H$61-$I$61)/4)+(78*3)/4)</f>
        <v/>
      </c>
      <c r="T13" s="92">
        <f>IF($A13="","",$L$61*$D13)</f>
        <v/>
      </c>
      <c r="U13" s="104">
        <f>IF($A13="","",$Q13-$E$62-$F$62)</f>
        <v/>
      </c>
      <c r="V13" s="92">
        <f>IF($A13="","",$L$62*$D13)</f>
        <v/>
      </c>
      <c r="W13" s="104">
        <f>IF($A13="","",$S13-$E$63-$F$63)</f>
        <v/>
      </c>
      <c r="X13" s="92">
        <f>IF($A13="","",$L$63*$D13)</f>
        <v/>
      </c>
      <c r="Y13" s="104">
        <f>IF($A13="","",$Q13)</f>
        <v/>
      </c>
      <c r="Z13" s="92">
        <f>IF($A13="","",$L$64*$D13)</f>
        <v/>
      </c>
      <c r="AA13" s="104">
        <f>IF($A13="","",$B13-$E$65)</f>
        <v/>
      </c>
      <c r="AB13" s="92">
        <f>IF($A13="","",$L$65*$D13)</f>
        <v/>
      </c>
      <c r="AC13" s="104">
        <f>IF($A13="","",$C13-$E$66-$F$66)</f>
        <v/>
      </c>
      <c r="AD13" s="92">
        <f>IF($A13="","",$L$66*$D13)</f>
        <v/>
      </c>
      <c r="AE13" s="104">
        <f>IF($A13="","",$AA13)</f>
        <v/>
      </c>
      <c r="AF13" s="92">
        <f>IF($A13="","",$L$67*$D13)</f>
        <v/>
      </c>
      <c r="AG13" s="104">
        <f>IF($A13="","",$Q13)</f>
        <v/>
      </c>
      <c r="AH13" s="92">
        <f>IF($A13="","",$L$68*$D13)</f>
        <v/>
      </c>
      <c r="AI13" s="104">
        <f>IF($A13="","",$C13-$E$69-$F$69)</f>
        <v/>
      </c>
      <c r="AJ13" s="92">
        <f>IF($A13="","",$L$69*$D13)</f>
        <v/>
      </c>
      <c r="AK13" s="105">
        <f>IF($A13="","",2*4*$D13)</f>
        <v/>
      </c>
      <c r="AL13" s="106">
        <f>IF($A13="","",$BC$7*$D13)</f>
        <v/>
      </c>
      <c r="AM13" s="107">
        <f>IF($A13="","",$BC$6*$D13)</f>
        <v/>
      </c>
      <c r="AN13">
        <f>IF($A13="","",$BC$9*$D13)</f>
        <v/>
      </c>
      <c r="AO13">
        <f>IF($A13="","",$BC$10*$D13)</f>
        <v/>
      </c>
      <c r="AP13">
        <f>IF($A13="","",2*$BC$6*$D13)</f>
        <v/>
      </c>
      <c r="AQ13">
        <f>IF($A13="","",IF($B13&gt;2800,2,IF($B13&gt;1400,1,0))*$BC$6*$D13)</f>
        <v/>
      </c>
      <c r="AR13">
        <f>IF($A13="","",2*$BC$6*$D13)</f>
        <v/>
      </c>
      <c r="AS13">
        <f>IF($A13="","",$BC$6*$D13)</f>
        <v/>
      </c>
      <c r="AT13">
        <f>IF($A13="","",2*$BC$6*$D13)</f>
        <v/>
      </c>
      <c r="AU13">
        <f>IF($A13="","",4*4*$D13)</f>
        <v/>
      </c>
      <c r="AV13">
        <f>IF($A13="","",16*4*$D13)</f>
        <v/>
      </c>
      <c r="AW13">
        <f>IF($A13="","",(2+MAX(0,ROUNDUP(($I13-1500)/500,0)))*$D13)</f>
        <v/>
      </c>
      <c r="AX13">
        <f>IF($A13="","",(2+MAX(0,ROUNDUP(($I13-1500)/500,0)))*$D13)</f>
        <v/>
      </c>
      <c r="AY13">
        <f>IF($A13="","",ROUND((2*2*($S13+$Q13)*4*$D13+$Y13*$Z13)/1000,1))</f>
        <v/>
      </c>
    </row>
    <row r="14" ht="40.15" customHeight="1">
      <c r="A14" s="101" t="n"/>
      <c r="B14" s="102" t="n"/>
      <c r="C14" s="92" t="n"/>
      <c r="D14" s="103" t="n"/>
      <c r="E14" s="108">
        <f>IF($A14="","",$B14)</f>
        <v/>
      </c>
      <c r="F14" s="98">
        <f>IF($A14="","",$L$54*$D14)</f>
        <v/>
      </c>
      <c r="G14" s="108">
        <f>IF($A14="","",$B14)</f>
        <v/>
      </c>
      <c r="H14" s="98">
        <f>IF($A14="","",$L$55*$D14)</f>
        <v/>
      </c>
      <c r="I14" s="108">
        <f>IF($A14="","",$C14-$E$56-$F$56)</f>
        <v/>
      </c>
      <c r="J14" s="98">
        <f>IF($A14="","",$L$56*$D14)</f>
        <v/>
      </c>
      <c r="K14" s="108">
        <f>IF($A14="","",$C14-$E$57-$F$57)</f>
        <v/>
      </c>
      <c r="L14" s="98">
        <f>IF($A14="","",$L$57*$D14)</f>
        <v/>
      </c>
      <c r="M14" s="108">
        <f>IF($A14="","",$C14-$E$58-$F$58)</f>
        <v/>
      </c>
      <c r="N14" s="98">
        <f>IF($A14="","",$L$58*$D14)</f>
        <v/>
      </c>
      <c r="O14" s="108">
        <f>IF($A14="","",$C14)</f>
        <v/>
      </c>
      <c r="P14" s="98">
        <f>IF($A14="","",$L$59*$D14)</f>
        <v/>
      </c>
      <c r="Q14" s="108">
        <f>IF($A14="","",$B14-$E$60-$F$60-$G$60)</f>
        <v/>
      </c>
      <c r="R14" s="98">
        <f>IF($A14="","",$L$60*$D14)</f>
        <v/>
      </c>
      <c r="S14" s="108">
        <f>IF($A14="","",(($C14-$E$61-$F$61-$G$61-$H$61-$I$61)/4)+(78*3)/4)</f>
        <v/>
      </c>
      <c r="T14" s="98">
        <f>IF($A14="","",$L$61*$D14)</f>
        <v/>
      </c>
      <c r="U14" s="108">
        <f>IF($A14="","",$Q14-$E$62-$F$62)</f>
        <v/>
      </c>
      <c r="V14" s="98">
        <f>IF($A14="","",$L$62*$D14)</f>
        <v/>
      </c>
      <c r="W14" s="108">
        <f>IF($A14="","",$S14-$E$63-$F$63)</f>
        <v/>
      </c>
      <c r="X14" s="98">
        <f>IF($A14="","",$L$63*$D14)</f>
        <v/>
      </c>
      <c r="Y14" s="108">
        <f>IF($A14="","",$Q14)</f>
        <v/>
      </c>
      <c r="Z14" s="98">
        <f>IF($A14="","",$L$64*$D14)</f>
        <v/>
      </c>
      <c r="AA14" s="108">
        <f>IF($A14="","",$B14-$E$65)</f>
        <v/>
      </c>
      <c r="AB14" s="98">
        <f>IF($A14="","",$L$65*$D14)</f>
        <v/>
      </c>
      <c r="AC14" s="108">
        <f>IF($A14="","",$C14-$E$66-$F$66)</f>
        <v/>
      </c>
      <c r="AD14" s="98">
        <f>IF($A14="","",$L$66*$D14)</f>
        <v/>
      </c>
      <c r="AE14" s="108">
        <f>IF($A14="","",$AA14)</f>
        <v/>
      </c>
      <c r="AF14" s="98">
        <f>IF($A14="","",$L$67*$D14)</f>
        <v/>
      </c>
      <c r="AG14" s="108">
        <f>IF($A14="","",$Q14)</f>
        <v/>
      </c>
      <c r="AH14" s="98">
        <f>IF($A14="","",$L$68*$D14)</f>
        <v/>
      </c>
      <c r="AI14" s="108">
        <f>IF($A14="","",$C14-$E$69-$F$69)</f>
        <v/>
      </c>
      <c r="AJ14" s="98">
        <f>IF($A14="","",$L$69*$D14)</f>
        <v/>
      </c>
      <c r="AK14" s="105">
        <f>IF($A14="","",2*4*$D14)</f>
        <v/>
      </c>
      <c r="AL14" s="106">
        <f>IF($A14="","",$BC$7*$D14)</f>
        <v/>
      </c>
      <c r="AM14" s="107">
        <f>IF($A14="","",$BC$6*$D14)</f>
        <v/>
      </c>
      <c r="AN14">
        <f>IF($A14="","",$BC$9*$D14)</f>
        <v/>
      </c>
      <c r="AO14">
        <f>IF($A14="","",$BC$10*$D14)</f>
        <v/>
      </c>
      <c r="AP14">
        <f>IF($A14="","",2*$BC$6*$D14)</f>
        <v/>
      </c>
      <c r="AQ14">
        <f>IF($A14="","",IF($B14&gt;2800,2,IF($B14&gt;1400,1,0))*$BC$6*$D14)</f>
        <v/>
      </c>
      <c r="AR14">
        <f>IF($A14="","",2*$BC$6*$D14)</f>
        <v/>
      </c>
      <c r="AS14">
        <f>IF($A14="","",$BC$6*$D14)</f>
        <v/>
      </c>
      <c r="AT14">
        <f>IF($A14="","",2*$BC$6*$D14)</f>
        <v/>
      </c>
      <c r="AU14">
        <f>IF($A14="","",4*4*$D14)</f>
        <v/>
      </c>
      <c r="AV14">
        <f>IF($A14="","",16*4*$D14)</f>
        <v/>
      </c>
      <c r="AW14">
        <f>IF($A14="","",(2+MAX(0,ROUNDUP(($I14-1500)/500,0)))*$D14)</f>
        <v/>
      </c>
      <c r="AX14">
        <f>IF($A14="","",(2+MAX(0,ROUNDUP(($I14-1500)/500,0)))*$D14)</f>
        <v/>
      </c>
      <c r="AY14">
        <f>IF($A14="","",ROUND((2*2*($S14+$Q14)*4*$D14+$Y14*$Z14)/1000,1))</f>
        <v/>
      </c>
    </row>
    <row r="15" ht="40.15" customHeight="1">
      <c r="A15" s="101" t="n"/>
      <c r="B15" s="102" t="n"/>
      <c r="C15" s="92" t="n"/>
      <c r="D15" s="103" t="n"/>
      <c r="E15" s="104">
        <f>IF($A15="","",$B15)</f>
        <v/>
      </c>
      <c r="F15" s="92">
        <f>IF($A15="","",$L$54*$D15)</f>
        <v/>
      </c>
      <c r="G15" s="104">
        <f>IF($A15="","",$B15)</f>
        <v/>
      </c>
      <c r="H15" s="92">
        <f>IF($A15="","",$L$55*$D15)</f>
        <v/>
      </c>
      <c r="I15" s="104">
        <f>IF($A15="","",$C15-$E$56-$F$56)</f>
        <v/>
      </c>
      <c r="J15" s="92">
        <f>IF($A15="","",$L$56*$D15)</f>
        <v/>
      </c>
      <c r="K15" s="104">
        <f>IF($A15="","",$C15-$E$57-$F$57)</f>
        <v/>
      </c>
      <c r="L15" s="92">
        <f>IF($A15="","",$L$57*$D15)</f>
        <v/>
      </c>
      <c r="M15" s="104">
        <f>IF($A15="","",$C15-$E$58-$F$58)</f>
        <v/>
      </c>
      <c r="N15" s="92">
        <f>IF($A15="","",$L$58*$D15)</f>
        <v/>
      </c>
      <c r="O15" s="104">
        <f>IF($A15="","",$C15)</f>
        <v/>
      </c>
      <c r="P15" s="92">
        <f>IF($A15="","",$L$59*$D15)</f>
        <v/>
      </c>
      <c r="Q15" s="104">
        <f>IF($A15="","",$B15-$E$60-$F$60-$G$60)</f>
        <v/>
      </c>
      <c r="R15" s="92">
        <f>IF($A15="","",$L$60*$D15)</f>
        <v/>
      </c>
      <c r="S15" s="104">
        <f>IF($A15="","",(($C15-$E$61-$F$61-$G$61-$H$61-$I$61)/4)+(78*3)/4)</f>
        <v/>
      </c>
      <c r="T15" s="92">
        <f>IF($A15="","",$L$61*$D15)</f>
        <v/>
      </c>
      <c r="U15" s="104">
        <f>IF($A15="","",$Q15-$E$62-$F$62)</f>
        <v/>
      </c>
      <c r="V15" s="92">
        <f>IF($A15="","",$L$62*$D15)</f>
        <v/>
      </c>
      <c r="W15" s="104">
        <f>IF($A15="","",$S15-$E$63-$F$63)</f>
        <v/>
      </c>
      <c r="X15" s="92">
        <f>IF($A15="","",$L$63*$D15)</f>
        <v/>
      </c>
      <c r="Y15" s="104">
        <f>IF($A15="","",$Q15)</f>
        <v/>
      </c>
      <c r="Z15" s="92">
        <f>IF($A15="","",$L$64*$D15)</f>
        <v/>
      </c>
      <c r="AA15" s="104">
        <f>IF($A15="","",$B15-$E$65)</f>
        <v/>
      </c>
      <c r="AB15" s="92">
        <f>IF($A15="","",$L$65*$D15)</f>
        <v/>
      </c>
      <c r="AC15" s="104">
        <f>IF($A15="","",$C15-$E$66-$F$66)</f>
        <v/>
      </c>
      <c r="AD15" s="92">
        <f>IF($A15="","",$L$66*$D15)</f>
        <v/>
      </c>
      <c r="AE15" s="104">
        <f>IF($A15="","",$AA15)</f>
        <v/>
      </c>
      <c r="AF15" s="92">
        <f>IF($A15="","",$L$67*$D15)</f>
        <v/>
      </c>
      <c r="AG15" s="104">
        <f>IF($A15="","",$Q15)</f>
        <v/>
      </c>
      <c r="AH15" s="92">
        <f>IF($A15="","",$L$68*$D15)</f>
        <v/>
      </c>
      <c r="AI15" s="104">
        <f>IF($A15="","",$C15-$E$69-$F$69)</f>
        <v/>
      </c>
      <c r="AJ15" s="92">
        <f>IF($A15="","",$L$69*$D15)</f>
        <v/>
      </c>
      <c r="AK15" s="105">
        <f>IF($A15="","",2*4*$D15)</f>
        <v/>
      </c>
      <c r="AL15" s="106">
        <f>IF($A15="","",$BC$7*$D15)</f>
        <v/>
      </c>
      <c r="AM15" s="107">
        <f>IF($A15="","",$BC$6*$D15)</f>
        <v/>
      </c>
      <c r="AN15">
        <f>IF($A15="","",$BC$9*$D15)</f>
        <v/>
      </c>
      <c r="AO15">
        <f>IF($A15="","",$BC$10*$D15)</f>
        <v/>
      </c>
      <c r="AP15">
        <f>IF($A15="","",2*$BC$6*$D15)</f>
        <v/>
      </c>
      <c r="AQ15">
        <f>IF($A15="","",IF($B15&gt;2800,2,IF($B15&gt;1400,1,0))*$BC$6*$D15)</f>
        <v/>
      </c>
      <c r="AR15">
        <f>IF($A15="","",2*$BC$6*$D15)</f>
        <v/>
      </c>
      <c r="AS15">
        <f>IF($A15="","",$BC$6*$D15)</f>
        <v/>
      </c>
      <c r="AT15">
        <f>IF($A15="","",2*$BC$6*$D15)</f>
        <v/>
      </c>
      <c r="AU15">
        <f>IF($A15="","",4*4*$D15)</f>
        <v/>
      </c>
      <c r="AV15">
        <f>IF($A15="","",16*4*$D15)</f>
        <v/>
      </c>
      <c r="AW15">
        <f>IF($A15="","",(2+MAX(0,ROUNDUP(($I15-1500)/500,0)))*$D15)</f>
        <v/>
      </c>
      <c r="AX15">
        <f>IF($A15="","",(2+MAX(0,ROUNDUP(($I15-1500)/500,0)))*$D15)</f>
        <v/>
      </c>
      <c r="AY15">
        <f>IF($A15="","",ROUND((2*2*($S15+$Q15)*4*$D15+$Y15*$Z15)/1000,1))</f>
        <v/>
      </c>
    </row>
    <row r="16" ht="40.15" customHeight="1">
      <c r="A16" s="101" t="n"/>
      <c r="B16" s="102" t="n"/>
      <c r="C16" s="92" t="n"/>
      <c r="D16" s="103" t="n"/>
      <c r="E16" s="108">
        <f>IF($A16="","",$B16)</f>
        <v/>
      </c>
      <c r="F16" s="98">
        <f>IF($A16="","",$L$54*$D16)</f>
        <v/>
      </c>
      <c r="G16" s="108">
        <f>IF($A16="","",$B16)</f>
        <v/>
      </c>
      <c r="H16" s="98">
        <f>IF($A16="","",$L$55*$D16)</f>
        <v/>
      </c>
      <c r="I16" s="108">
        <f>IF($A16="","",$C16-$E$56-$F$56)</f>
        <v/>
      </c>
      <c r="J16" s="98">
        <f>IF($A16="","",$L$56*$D16)</f>
        <v/>
      </c>
      <c r="K16" s="108">
        <f>IF($A16="","",$C16-$E$57-$F$57)</f>
        <v/>
      </c>
      <c r="L16" s="98">
        <f>IF($A16="","",$L$57*$D16)</f>
        <v/>
      </c>
      <c r="M16" s="108">
        <f>IF($A16="","",$C16-$E$58-$F$58)</f>
        <v/>
      </c>
      <c r="N16" s="98">
        <f>IF($A16="","",$L$58*$D16)</f>
        <v/>
      </c>
      <c r="O16" s="108">
        <f>IF($A16="","",$C16)</f>
        <v/>
      </c>
      <c r="P16" s="98">
        <f>IF($A16="","",$L$59*$D16)</f>
        <v/>
      </c>
      <c r="Q16" s="108">
        <f>IF($A16="","",$B16-$E$60-$F$60-$G$60)</f>
        <v/>
      </c>
      <c r="R16" s="98">
        <f>IF($A16="","",$L$60*$D16)</f>
        <v/>
      </c>
      <c r="S16" s="108">
        <f>IF($A16="","",(($C16-$E$61-$F$61-$G$61-$H$61-$I$61)/4)+(78*3)/4)</f>
        <v/>
      </c>
      <c r="T16" s="98">
        <f>IF($A16="","",$L$61*$D16)</f>
        <v/>
      </c>
      <c r="U16" s="108">
        <f>IF($A16="","",$Q16-$E$62-$F$62)</f>
        <v/>
      </c>
      <c r="V16" s="98">
        <f>IF($A16="","",$L$62*$D16)</f>
        <v/>
      </c>
      <c r="W16" s="108">
        <f>IF($A16="","",$S16-$E$63-$F$63)</f>
        <v/>
      </c>
      <c r="X16" s="98">
        <f>IF($A16="","",$L$63*$D16)</f>
        <v/>
      </c>
      <c r="Y16" s="108">
        <f>IF($A16="","",$Q16)</f>
        <v/>
      </c>
      <c r="Z16" s="98">
        <f>IF($A16="","",$L$64*$D16)</f>
        <v/>
      </c>
      <c r="AA16" s="108">
        <f>IF($A16="","",$B16-$E$65)</f>
        <v/>
      </c>
      <c r="AB16" s="98">
        <f>IF($A16="","",$L$65*$D16)</f>
        <v/>
      </c>
      <c r="AC16" s="108">
        <f>IF($A16="","",$C16-$E$66-$F$66)</f>
        <v/>
      </c>
      <c r="AD16" s="98">
        <f>IF($A16="","",$L$66*$D16)</f>
        <v/>
      </c>
      <c r="AE16" s="108">
        <f>IF($A16="","",$AA16)</f>
        <v/>
      </c>
      <c r="AF16" s="98">
        <f>IF($A16="","",$L$67*$D16)</f>
        <v/>
      </c>
      <c r="AG16" s="108">
        <f>IF($A16="","",$Q16)</f>
        <v/>
      </c>
      <c r="AH16" s="98">
        <f>IF($A16="","",$L$68*$D16)</f>
        <v/>
      </c>
      <c r="AI16" s="108">
        <f>IF($A16="","",$C16-$E$69-$F$69)</f>
        <v/>
      </c>
      <c r="AJ16" s="98">
        <f>IF($A16="","",$L$69*$D16)</f>
        <v/>
      </c>
      <c r="AK16" s="105">
        <f>IF($A16="","",2*4*$D16)</f>
        <v/>
      </c>
      <c r="AL16" s="106">
        <f>IF($A16="","",$BC$7*$D16)</f>
        <v/>
      </c>
      <c r="AM16" s="107">
        <f>IF($A16="","",$BC$6*$D16)</f>
        <v/>
      </c>
      <c r="AN16">
        <f>IF($A16="","",$BC$9*$D16)</f>
        <v/>
      </c>
      <c r="AO16">
        <f>IF($A16="","",$BC$10*$D16)</f>
        <v/>
      </c>
      <c r="AP16">
        <f>IF($A16="","",2*$BC$6*$D16)</f>
        <v/>
      </c>
      <c r="AQ16">
        <f>IF($A16="","",IF($B16&gt;2800,2,IF($B16&gt;1400,1,0))*$BC$6*$D16)</f>
        <v/>
      </c>
      <c r="AR16">
        <f>IF($A16="","",2*$BC$6*$D16)</f>
        <v/>
      </c>
      <c r="AS16">
        <f>IF($A16="","",$BC$6*$D16)</f>
        <v/>
      </c>
      <c r="AT16">
        <f>IF($A16="","",2*$BC$6*$D16)</f>
        <v/>
      </c>
      <c r="AU16">
        <f>IF($A16="","",4*4*$D16)</f>
        <v/>
      </c>
      <c r="AV16">
        <f>IF($A16="","",16*4*$D16)</f>
        <v/>
      </c>
      <c r="AW16">
        <f>IF($A16="","",(2+MAX(0,ROUNDUP(($I16-1500)/500,0)))*$D16)</f>
        <v/>
      </c>
      <c r="AX16">
        <f>IF($A16="","",(2+MAX(0,ROUNDUP(($I16-1500)/500,0)))*$D16)</f>
        <v/>
      </c>
      <c r="AY16">
        <f>IF($A16="","",ROUND((2*2*($S16+$Q16)*4*$D16+$Y16*$Z16)/1000,1))</f>
        <v/>
      </c>
    </row>
    <row r="17" ht="40.15" customHeight="1">
      <c r="A17" s="101" t="n"/>
      <c r="B17" s="102" t="n"/>
      <c r="C17" s="92" t="n"/>
      <c r="D17" s="103" t="n"/>
      <c r="E17" s="104">
        <f>IF($A17="","",$B17)</f>
        <v/>
      </c>
      <c r="F17" s="92">
        <f>IF($A17="","",$L$54*$D17)</f>
        <v/>
      </c>
      <c r="G17" s="104">
        <f>IF($A17="","",$B17)</f>
        <v/>
      </c>
      <c r="H17" s="92">
        <f>IF($A17="","",$L$55*$D17)</f>
        <v/>
      </c>
      <c r="I17" s="104">
        <f>IF($A17="","",$C17-$E$56-$F$56)</f>
        <v/>
      </c>
      <c r="J17" s="92">
        <f>IF($A17="","",$L$56*$D17)</f>
        <v/>
      </c>
      <c r="K17" s="104">
        <f>IF($A17="","",$C17-$E$57-$F$57)</f>
        <v/>
      </c>
      <c r="L17" s="92">
        <f>IF($A17="","",$L$57*$D17)</f>
        <v/>
      </c>
      <c r="M17" s="104">
        <f>IF($A17="","",$C17-$E$58-$F$58)</f>
        <v/>
      </c>
      <c r="N17" s="92">
        <f>IF($A17="","",$L$58*$D17)</f>
        <v/>
      </c>
      <c r="O17" s="104">
        <f>IF($A17="","",$C17)</f>
        <v/>
      </c>
      <c r="P17" s="92">
        <f>IF($A17="","",$L$59*$D17)</f>
        <v/>
      </c>
      <c r="Q17" s="104">
        <f>IF($A17="","",$B17-$E$60-$F$60-$G$60)</f>
        <v/>
      </c>
      <c r="R17" s="92">
        <f>IF($A17="","",$L$60*$D17)</f>
        <v/>
      </c>
      <c r="S17" s="104">
        <f>IF($A17="","",(($C17-$E$61-$F$61-$G$61-$H$61-$I$61)/4)+(78*3)/4)</f>
        <v/>
      </c>
      <c r="T17" s="92">
        <f>IF($A17="","",$L$61*$D17)</f>
        <v/>
      </c>
      <c r="U17" s="104">
        <f>IF($A17="","",$Q17-$E$62-$F$62)</f>
        <v/>
      </c>
      <c r="V17" s="92">
        <f>IF($A17="","",$L$62*$D17)</f>
        <v/>
      </c>
      <c r="W17" s="104">
        <f>IF($A17="","",$S17-$E$63-$F$63)</f>
        <v/>
      </c>
      <c r="X17" s="92">
        <f>IF($A17="","",$L$63*$D17)</f>
        <v/>
      </c>
      <c r="Y17" s="104">
        <f>IF($A17="","",$Q17)</f>
        <v/>
      </c>
      <c r="Z17" s="92">
        <f>IF($A17="","",$L$64*$D17)</f>
        <v/>
      </c>
      <c r="AA17" s="104">
        <f>IF($A17="","",$B17-$E$65)</f>
        <v/>
      </c>
      <c r="AB17" s="92">
        <f>IF($A17="","",$L$65*$D17)</f>
        <v/>
      </c>
      <c r="AC17" s="104">
        <f>IF($A17="","",$C17-$E$66-$F$66)</f>
        <v/>
      </c>
      <c r="AD17" s="92">
        <f>IF($A17="","",$L$66*$D17)</f>
        <v/>
      </c>
      <c r="AE17" s="104">
        <f>IF($A17="","",$AA17)</f>
        <v/>
      </c>
      <c r="AF17" s="92">
        <f>IF($A17="","",$L$67*$D17)</f>
        <v/>
      </c>
      <c r="AG17" s="104">
        <f>IF($A17="","",$Q17)</f>
        <v/>
      </c>
      <c r="AH17" s="92">
        <f>IF($A17="","",$L$68*$D17)</f>
        <v/>
      </c>
      <c r="AI17" s="104">
        <f>IF($A17="","",$C17-$E$69-$F$69)</f>
        <v/>
      </c>
      <c r="AJ17" s="92">
        <f>IF($A17="","",$L$69*$D17)</f>
        <v/>
      </c>
      <c r="AK17" s="105">
        <f>IF($A17="","",2*4*$D17)</f>
        <v/>
      </c>
      <c r="AL17" s="106">
        <f>IF($A17="","",$BC$7*$D17)</f>
        <v/>
      </c>
      <c r="AM17" s="107">
        <f>IF($A17="","",$BC$6*$D17)</f>
        <v/>
      </c>
      <c r="AN17">
        <f>IF($A17="","",$BC$9*$D17)</f>
        <v/>
      </c>
      <c r="AO17">
        <f>IF($A17="","",$BC$10*$D17)</f>
        <v/>
      </c>
      <c r="AP17">
        <f>IF($A17="","",2*$BC$6*$D17)</f>
        <v/>
      </c>
      <c r="AQ17">
        <f>IF($A17="","",IF($B17&gt;2800,2,IF($B17&gt;1400,1,0))*$BC$6*$D17)</f>
        <v/>
      </c>
      <c r="AR17">
        <f>IF($A17="","",2*$BC$6*$D17)</f>
        <v/>
      </c>
      <c r="AS17">
        <f>IF($A17="","",$BC$6*$D17)</f>
        <v/>
      </c>
      <c r="AT17">
        <f>IF($A17="","",2*$BC$6*$D17)</f>
        <v/>
      </c>
      <c r="AU17">
        <f>IF($A17="","",4*4*$D17)</f>
        <v/>
      </c>
      <c r="AV17">
        <f>IF($A17="","",16*4*$D17)</f>
        <v/>
      </c>
      <c r="AW17">
        <f>IF($A17="","",(2+MAX(0,ROUNDUP(($I17-1500)/500,0)))*$D17)</f>
        <v/>
      </c>
      <c r="AX17">
        <f>IF($A17="","",(2+MAX(0,ROUNDUP(($I17-1500)/500,0)))*$D17)</f>
        <v/>
      </c>
      <c r="AY17">
        <f>IF($A17="","",ROUND((2*2*($S17+$Q17)*4*$D17+$Y17*$Z17)/1000,1))</f>
        <v/>
      </c>
    </row>
    <row r="18" ht="40.15" customHeight="1">
      <c r="A18" s="101" t="n"/>
      <c r="B18" s="102" t="n"/>
      <c r="C18" s="92" t="n"/>
      <c r="D18" s="103" t="n"/>
      <c r="E18" s="108">
        <f>IF($A18="","",$B18)</f>
        <v/>
      </c>
      <c r="F18" s="98">
        <f>IF($A18="","",$L$54*$D18)</f>
        <v/>
      </c>
      <c r="G18" s="108">
        <f>IF($A18="","",$B18)</f>
        <v/>
      </c>
      <c r="H18" s="98">
        <f>IF($A18="","",$L$55*$D18)</f>
        <v/>
      </c>
      <c r="I18" s="108">
        <f>IF($A18="","",$C18-$E$56-$F$56)</f>
        <v/>
      </c>
      <c r="J18" s="98">
        <f>IF($A18="","",$L$56*$D18)</f>
        <v/>
      </c>
      <c r="K18" s="108">
        <f>IF($A18="","",$C18-$E$57-$F$57)</f>
        <v/>
      </c>
      <c r="L18" s="98">
        <f>IF($A18="","",$L$57*$D18)</f>
        <v/>
      </c>
      <c r="M18" s="108">
        <f>IF($A18="","",$C18-$E$58-$F$58)</f>
        <v/>
      </c>
      <c r="N18" s="98">
        <f>IF($A18="","",$L$58*$D18)</f>
        <v/>
      </c>
      <c r="O18" s="108">
        <f>IF($A18="","",$C18)</f>
        <v/>
      </c>
      <c r="P18" s="98">
        <f>IF($A18="","",$L$59*$D18)</f>
        <v/>
      </c>
      <c r="Q18" s="108">
        <f>IF($A18="","",$B18-$E$60-$F$60-$G$60)</f>
        <v/>
      </c>
      <c r="R18" s="98">
        <f>IF($A18="","",$L$60*$D18)</f>
        <v/>
      </c>
      <c r="S18" s="108">
        <f>IF($A18="","",(($C18-$E$61-$F$61-$G$61-$H$61-$I$61)/4)+(78*3)/4)</f>
        <v/>
      </c>
      <c r="T18" s="98">
        <f>IF($A18="","",$L$61*$D18)</f>
        <v/>
      </c>
      <c r="U18" s="108">
        <f>IF($A18="","",$Q18-$E$62-$F$62)</f>
        <v/>
      </c>
      <c r="V18" s="98">
        <f>IF($A18="","",$L$62*$D18)</f>
        <v/>
      </c>
      <c r="W18" s="108">
        <f>IF($A18="","",$S18-$E$63-$F$63)</f>
        <v/>
      </c>
      <c r="X18" s="98">
        <f>IF($A18="","",$L$63*$D18)</f>
        <v/>
      </c>
      <c r="Y18" s="108">
        <f>IF($A18="","",$Q18)</f>
        <v/>
      </c>
      <c r="Z18" s="98">
        <f>IF($A18="","",$L$64*$D18)</f>
        <v/>
      </c>
      <c r="AA18" s="108">
        <f>IF($A18="","",$B18-$E$65)</f>
        <v/>
      </c>
      <c r="AB18" s="98">
        <f>IF($A18="","",$L$65*$D18)</f>
        <v/>
      </c>
      <c r="AC18" s="108">
        <f>IF($A18="","",$C18-$E$66-$F$66)</f>
        <v/>
      </c>
      <c r="AD18" s="98">
        <f>IF($A18="","",$L$66*$D18)</f>
        <v/>
      </c>
      <c r="AE18" s="108">
        <f>IF($A18="","",$AA18)</f>
        <v/>
      </c>
      <c r="AF18" s="98">
        <f>IF($A18="","",$L$67*$D18)</f>
        <v/>
      </c>
      <c r="AG18" s="108">
        <f>IF($A18="","",$Q18)</f>
        <v/>
      </c>
      <c r="AH18" s="98">
        <f>IF($A18="","",$L$68*$D18)</f>
        <v/>
      </c>
      <c r="AI18" s="108">
        <f>IF($A18="","",$C18-$E$69-$F$69)</f>
        <v/>
      </c>
      <c r="AJ18" s="98">
        <f>IF($A18="","",$L$69*$D18)</f>
        <v/>
      </c>
      <c r="AK18" s="105">
        <f>IF($A18="","",2*4*$D18)</f>
        <v/>
      </c>
      <c r="AL18" s="106">
        <f>IF($A18="","",$BC$7*$D18)</f>
        <v/>
      </c>
      <c r="AM18" s="107">
        <f>IF($A18="","",$BC$6*$D18)</f>
        <v/>
      </c>
      <c r="AN18">
        <f>IF($A18="","",$BC$9*$D18)</f>
        <v/>
      </c>
      <c r="AO18">
        <f>IF($A18="","",$BC$10*$D18)</f>
        <v/>
      </c>
      <c r="AP18">
        <f>IF($A18="","",2*$BC$6*$D18)</f>
        <v/>
      </c>
      <c r="AQ18">
        <f>IF($A18="","",IF($B18&gt;2800,2,IF($B18&gt;1400,1,0))*$BC$6*$D18)</f>
        <v/>
      </c>
      <c r="AR18">
        <f>IF($A18="","",2*$BC$6*$D18)</f>
        <v/>
      </c>
      <c r="AS18">
        <f>IF($A18="","",$BC$6*$D18)</f>
        <v/>
      </c>
      <c r="AT18">
        <f>IF($A18="","",2*$BC$6*$D18)</f>
        <v/>
      </c>
      <c r="AU18">
        <f>IF($A18="","",4*4*$D18)</f>
        <v/>
      </c>
      <c r="AV18">
        <f>IF($A18="","",16*4*$D18)</f>
        <v/>
      </c>
      <c r="AW18">
        <f>IF($A18="","",(2+MAX(0,ROUNDUP(($I18-1500)/500,0)))*$D18)</f>
        <v/>
      </c>
      <c r="AX18">
        <f>IF($A18="","",(2+MAX(0,ROUNDUP(($I18-1500)/500,0)))*$D18)</f>
        <v/>
      </c>
      <c r="AY18">
        <f>IF($A18="","",ROUND((2*2*($S18+$Q18)*4*$D18+$Y18*$Z18)/1000,1))</f>
        <v/>
      </c>
    </row>
    <row r="19" ht="40.15" customHeight="1">
      <c r="A19" s="101" t="n"/>
      <c r="B19" s="102" t="n"/>
      <c r="C19" s="92" t="n"/>
      <c r="D19" s="103" t="n"/>
      <c r="E19" s="104">
        <f>IF($A19="","",$B19)</f>
        <v/>
      </c>
      <c r="F19" s="92">
        <f>IF($A19="","",$L$54*$D19)</f>
        <v/>
      </c>
      <c r="G19" s="104">
        <f>IF($A19="","",$B19)</f>
        <v/>
      </c>
      <c r="H19" s="92">
        <f>IF($A19="","",$L$55*$D19)</f>
        <v/>
      </c>
      <c r="I19" s="104">
        <f>IF($A19="","",$C19-$E$56-$F$56)</f>
        <v/>
      </c>
      <c r="J19" s="92">
        <f>IF($A19="","",$L$56*$D19)</f>
        <v/>
      </c>
      <c r="K19" s="104">
        <f>IF($A19="","",$C19-$E$57-$F$57)</f>
        <v/>
      </c>
      <c r="L19" s="92">
        <f>IF($A19="","",$L$57*$D19)</f>
        <v/>
      </c>
      <c r="M19" s="104">
        <f>IF($A19="","",$C19-$E$58-$F$58)</f>
        <v/>
      </c>
      <c r="N19" s="92">
        <f>IF($A19="","",$L$58*$D19)</f>
        <v/>
      </c>
      <c r="O19" s="104">
        <f>IF($A19="","",$C19)</f>
        <v/>
      </c>
      <c r="P19" s="92">
        <f>IF($A19="","",$L$59*$D19)</f>
        <v/>
      </c>
      <c r="Q19" s="104">
        <f>IF($A19="","",$B19-$E$60-$F$60-$G$60)</f>
        <v/>
      </c>
      <c r="R19" s="92">
        <f>IF($A19="","",$L$60*$D19)</f>
        <v/>
      </c>
      <c r="S19" s="104">
        <f>IF($A19="","",(($C19-$E$61-$F$61-$G$61-$H$61-$I$61)/4)+(78*3)/4)</f>
        <v/>
      </c>
      <c r="T19" s="92">
        <f>IF($A19="","",$L$61*$D19)</f>
        <v/>
      </c>
      <c r="U19" s="104">
        <f>IF($A19="","",$Q19-$E$62-$F$62)</f>
        <v/>
      </c>
      <c r="V19" s="92">
        <f>IF($A19="","",$L$62*$D19)</f>
        <v/>
      </c>
      <c r="W19" s="104">
        <f>IF($A19="","",$S19-$E$63-$F$63)</f>
        <v/>
      </c>
      <c r="X19" s="92">
        <f>IF($A19="","",$L$63*$D19)</f>
        <v/>
      </c>
      <c r="Y19" s="104">
        <f>IF($A19="","",$Q19)</f>
        <v/>
      </c>
      <c r="Z19" s="92">
        <f>IF($A19="","",$L$64*$D19)</f>
        <v/>
      </c>
      <c r="AA19" s="104">
        <f>IF($A19="","",$B19-$E$65)</f>
        <v/>
      </c>
      <c r="AB19" s="92">
        <f>IF($A19="","",$L$65*$D19)</f>
        <v/>
      </c>
      <c r="AC19" s="104">
        <f>IF($A19="","",$C19-$E$66-$F$66)</f>
        <v/>
      </c>
      <c r="AD19" s="92">
        <f>IF($A19="","",$L$66*$D19)</f>
        <v/>
      </c>
      <c r="AE19" s="104">
        <f>IF($A19="","",$AA19)</f>
        <v/>
      </c>
      <c r="AF19" s="92">
        <f>IF($A19="","",$L$67*$D19)</f>
        <v/>
      </c>
      <c r="AG19" s="104">
        <f>IF($A19="","",$Q19)</f>
        <v/>
      </c>
      <c r="AH19" s="92">
        <f>IF($A19="","",$L$68*$D19)</f>
        <v/>
      </c>
      <c r="AI19" s="104">
        <f>IF($A19="","",$C19-$E$69-$F$69)</f>
        <v/>
      </c>
      <c r="AJ19" s="92">
        <f>IF($A19="","",$L$69*$D19)</f>
        <v/>
      </c>
      <c r="AK19" s="105">
        <f>IF($A19="","",2*4*$D19)</f>
        <v/>
      </c>
      <c r="AL19" s="106">
        <f>IF($A19="","",$BC$7*$D19)</f>
        <v/>
      </c>
      <c r="AM19" s="107">
        <f>IF($A19="","",$BC$6*$D19)</f>
        <v/>
      </c>
      <c r="AN19">
        <f>IF($A19="","",$BC$9*$D19)</f>
        <v/>
      </c>
      <c r="AO19">
        <f>IF($A19="","",$BC$10*$D19)</f>
        <v/>
      </c>
      <c r="AP19">
        <f>IF($A19="","",2*$BC$6*$D19)</f>
        <v/>
      </c>
      <c r="AQ19">
        <f>IF($A19="","",IF($B19&gt;2800,2,IF($B19&gt;1400,1,0))*$BC$6*$D19)</f>
        <v/>
      </c>
      <c r="AR19">
        <f>IF($A19="","",2*$BC$6*$D19)</f>
        <v/>
      </c>
      <c r="AS19">
        <f>IF($A19="","",$BC$6*$D19)</f>
        <v/>
      </c>
      <c r="AT19">
        <f>IF($A19="","",2*$BC$6*$D19)</f>
        <v/>
      </c>
      <c r="AU19">
        <f>IF($A19="","",4*4*$D19)</f>
        <v/>
      </c>
      <c r="AV19">
        <f>IF($A19="","",16*4*$D19)</f>
        <v/>
      </c>
      <c r="AW19">
        <f>IF($A19="","",(2+MAX(0,ROUNDUP(($I19-1500)/500,0)))*$D19)</f>
        <v/>
      </c>
      <c r="AX19">
        <f>IF($A19="","",(2+MAX(0,ROUNDUP(($I19-1500)/500,0)))*$D19)</f>
        <v/>
      </c>
      <c r="AY19">
        <f>IF($A19="","",ROUND((2*2*($S19+$Q19)*4*$D19+$Y19*$Z19)/1000,1))</f>
        <v/>
      </c>
    </row>
    <row r="20" ht="40.15" customHeight="1">
      <c r="A20" s="101" t="n"/>
      <c r="B20" s="102" t="n"/>
      <c r="C20" s="92" t="n"/>
      <c r="D20" s="103" t="n"/>
      <c r="E20" s="108">
        <f>IF($A20="","",$B20)</f>
        <v/>
      </c>
      <c r="F20" s="98">
        <f>IF($A20="","",$L$54*$D20)</f>
        <v/>
      </c>
      <c r="G20" s="108">
        <f>IF($A20="","",$B20)</f>
        <v/>
      </c>
      <c r="H20" s="98">
        <f>IF($A20="","",$L$55*$D20)</f>
        <v/>
      </c>
      <c r="I20" s="108">
        <f>IF($A20="","",$C20-$E$56-$F$56)</f>
        <v/>
      </c>
      <c r="J20" s="98">
        <f>IF($A20="","",$L$56*$D20)</f>
        <v/>
      </c>
      <c r="K20" s="108">
        <f>IF($A20="","",$C20-$E$57-$F$57)</f>
        <v/>
      </c>
      <c r="L20" s="98">
        <f>IF($A20="","",$L$57*$D20)</f>
        <v/>
      </c>
      <c r="M20" s="108">
        <f>IF($A20="","",$C20-$E$58-$F$58)</f>
        <v/>
      </c>
      <c r="N20" s="98">
        <f>IF($A20="","",$L$58*$D20)</f>
        <v/>
      </c>
      <c r="O20" s="108">
        <f>IF($A20="","",$C20)</f>
        <v/>
      </c>
      <c r="P20" s="98">
        <f>IF($A20="","",$L$59*$D20)</f>
        <v/>
      </c>
      <c r="Q20" s="108">
        <f>IF($A20="","",$B20-$E$60-$F$60-$G$60)</f>
        <v/>
      </c>
      <c r="R20" s="98">
        <f>IF($A20="","",$L$60*$D20)</f>
        <v/>
      </c>
      <c r="S20" s="108">
        <f>IF($A20="","",(($C20-$E$61-$F$61-$G$61-$H$61-$I$61)/4)+(78*3)/4)</f>
        <v/>
      </c>
      <c r="T20" s="98">
        <f>IF($A20="","",$L$61*$D20)</f>
        <v/>
      </c>
      <c r="U20" s="108">
        <f>IF($A20="","",$Q20-$E$62-$F$62)</f>
        <v/>
      </c>
      <c r="V20" s="98">
        <f>IF($A20="","",$L$62*$D20)</f>
        <v/>
      </c>
      <c r="W20" s="108">
        <f>IF($A20="","",$S20-$E$63-$F$63)</f>
        <v/>
      </c>
      <c r="X20" s="98">
        <f>IF($A20="","",$L$63*$D20)</f>
        <v/>
      </c>
      <c r="Y20" s="108">
        <f>IF($A20="","",$Q20)</f>
        <v/>
      </c>
      <c r="Z20" s="98">
        <f>IF($A20="","",$L$64*$D20)</f>
        <v/>
      </c>
      <c r="AA20" s="108">
        <f>IF($A20="","",$B20-$E$65)</f>
        <v/>
      </c>
      <c r="AB20" s="98">
        <f>IF($A20="","",$L$65*$D20)</f>
        <v/>
      </c>
      <c r="AC20" s="108">
        <f>IF($A20="","",$C20-$E$66-$F$66)</f>
        <v/>
      </c>
      <c r="AD20" s="98">
        <f>IF($A20="","",$L$66*$D20)</f>
        <v/>
      </c>
      <c r="AE20" s="108">
        <f>IF($A20="","",$AA20)</f>
        <v/>
      </c>
      <c r="AF20" s="98">
        <f>IF($A20="","",$L$67*$D20)</f>
        <v/>
      </c>
      <c r="AG20" s="108">
        <f>IF($A20="","",$Q20)</f>
        <v/>
      </c>
      <c r="AH20" s="98">
        <f>IF($A20="","",$L$68*$D20)</f>
        <v/>
      </c>
      <c r="AI20" s="108">
        <f>IF($A20="","",$C20-$E$69-$F$69)</f>
        <v/>
      </c>
      <c r="AJ20" s="98">
        <f>IF($A20="","",$L$69*$D20)</f>
        <v/>
      </c>
      <c r="AK20" s="105">
        <f>IF($A20="","",2*4*$D20)</f>
        <v/>
      </c>
      <c r="AL20" s="106">
        <f>IF($A20="","",$BC$7*$D20)</f>
        <v/>
      </c>
      <c r="AM20" s="107">
        <f>IF($A20="","",$BC$6*$D20)</f>
        <v/>
      </c>
      <c r="AN20">
        <f>IF($A20="","",$BC$9*$D20)</f>
        <v/>
      </c>
      <c r="AO20">
        <f>IF($A20="","",$BC$10*$D20)</f>
        <v/>
      </c>
      <c r="AP20">
        <f>IF($A20="","",2*$BC$6*$D20)</f>
        <v/>
      </c>
      <c r="AQ20">
        <f>IF($A20="","",IF($B20&gt;2800,2,IF($B20&gt;1400,1,0))*$BC$6*$D20)</f>
        <v/>
      </c>
      <c r="AR20">
        <f>IF($A20="","",2*$BC$6*$D20)</f>
        <v/>
      </c>
      <c r="AS20">
        <f>IF($A20="","",$BC$6*$D20)</f>
        <v/>
      </c>
      <c r="AT20">
        <f>IF($A20="","",2*$BC$6*$D20)</f>
        <v/>
      </c>
      <c r="AU20">
        <f>IF($A20="","",4*4*$D20)</f>
        <v/>
      </c>
      <c r="AV20">
        <f>IF($A20="","",16*4*$D20)</f>
        <v/>
      </c>
      <c r="AW20">
        <f>IF($A20="","",(2+MAX(0,ROUNDUP(($I20-1500)/500,0)))*$D20)</f>
        <v/>
      </c>
      <c r="AX20">
        <f>IF($A20="","",(2+MAX(0,ROUNDUP(($I20-1500)/500,0)))*$D20)</f>
        <v/>
      </c>
      <c r="AY20">
        <f>IF($A20="","",ROUND((2*2*($S20+$Q20)*4*$D20+$Y20*$Z20)/1000,1))</f>
        <v/>
      </c>
    </row>
    <row r="21" ht="40.15" customHeight="1">
      <c r="A21" s="101" t="n"/>
      <c r="B21" s="102" t="n"/>
      <c r="C21" s="92" t="n"/>
      <c r="D21" s="103" t="n"/>
      <c r="E21" s="104">
        <f>IF($A21="","",$B21)</f>
        <v/>
      </c>
      <c r="F21" s="92">
        <f>IF($A21="","",$L$54*$D21)</f>
        <v/>
      </c>
      <c r="G21" s="104">
        <f>IF($A21="","",$B21)</f>
        <v/>
      </c>
      <c r="H21" s="92">
        <f>IF($A21="","",$L$55*$D21)</f>
        <v/>
      </c>
      <c r="I21" s="104">
        <f>IF($A21="","",$C21-$E$56-$F$56)</f>
        <v/>
      </c>
      <c r="J21" s="92">
        <f>IF($A21="","",$L$56*$D21)</f>
        <v/>
      </c>
      <c r="K21" s="104">
        <f>IF($A21="","",$C21-$E$57-$F$57)</f>
        <v/>
      </c>
      <c r="L21" s="92">
        <f>IF($A21="","",$L$57*$D21)</f>
        <v/>
      </c>
      <c r="M21" s="104">
        <f>IF($A21="","",$C21-$E$58-$F$58)</f>
        <v/>
      </c>
      <c r="N21" s="92">
        <f>IF($A21="","",$L$58*$D21)</f>
        <v/>
      </c>
      <c r="O21" s="104">
        <f>IF($A21="","",$C21)</f>
        <v/>
      </c>
      <c r="P21" s="92">
        <f>IF($A21="","",$L$59*$D21)</f>
        <v/>
      </c>
      <c r="Q21" s="104">
        <f>IF($A21="","",$B21-$E$60-$F$60-$G$60)</f>
        <v/>
      </c>
      <c r="R21" s="92">
        <f>IF($A21="","",$L$60*$D21)</f>
        <v/>
      </c>
      <c r="S21" s="104">
        <f>IF($A21="","",(($C21-$E$61-$F$61-$G$61-$H$61-$I$61)/4)+(78*3)/4)</f>
        <v/>
      </c>
      <c r="T21" s="92">
        <f>IF($A21="","",$L$61*$D21)</f>
        <v/>
      </c>
      <c r="U21" s="104">
        <f>IF($A21="","",$Q21-$E$62-$F$62)</f>
        <v/>
      </c>
      <c r="V21" s="92">
        <f>IF($A21="","",$L$62*$D21)</f>
        <v/>
      </c>
      <c r="W21" s="104">
        <f>IF($A21="","",$S21-$E$63-$F$63)</f>
        <v/>
      </c>
      <c r="X21" s="92">
        <f>IF($A21="","",$L$63*$D21)</f>
        <v/>
      </c>
      <c r="Y21" s="104">
        <f>IF($A21="","",$Q21)</f>
        <v/>
      </c>
      <c r="Z21" s="92">
        <f>IF($A21="","",$L$64*$D21)</f>
        <v/>
      </c>
      <c r="AA21" s="104">
        <f>IF($A21="","",$B21-$E$65)</f>
        <v/>
      </c>
      <c r="AB21" s="92">
        <f>IF($A21="","",$L$65*$D21)</f>
        <v/>
      </c>
      <c r="AC21" s="104">
        <f>IF($A21="","",$C21-$E$66-$F$66)</f>
        <v/>
      </c>
      <c r="AD21" s="92">
        <f>IF($A21="","",$L$66*$D21)</f>
        <v/>
      </c>
      <c r="AE21" s="104">
        <f>IF($A21="","",$AA21)</f>
        <v/>
      </c>
      <c r="AF21" s="92">
        <f>IF($A21="","",$L$67*$D21)</f>
        <v/>
      </c>
      <c r="AG21" s="104">
        <f>IF($A21="","",$Q21)</f>
        <v/>
      </c>
      <c r="AH21" s="92">
        <f>IF($A21="","",$L$68*$D21)</f>
        <v/>
      </c>
      <c r="AI21" s="104">
        <f>IF($A21="","",$C21-$E$69-$F$69)</f>
        <v/>
      </c>
      <c r="AJ21" s="92">
        <f>IF($A21="","",$L$69*$D21)</f>
        <v/>
      </c>
      <c r="AK21" s="105">
        <f>IF($A21="","",2*4*$D21)</f>
        <v/>
      </c>
      <c r="AL21" s="106">
        <f>IF($A21="","",$BC$7*$D21)</f>
        <v/>
      </c>
      <c r="AM21" s="107">
        <f>IF($A21="","",$BC$6*$D21)</f>
        <v/>
      </c>
      <c r="AN21">
        <f>IF($A21="","",$BC$9*$D21)</f>
        <v/>
      </c>
      <c r="AO21">
        <f>IF($A21="","",$BC$10*$D21)</f>
        <v/>
      </c>
      <c r="AP21">
        <f>IF($A21="","",2*$BC$6*$D21)</f>
        <v/>
      </c>
      <c r="AQ21">
        <f>IF($A21="","",IF($B21&gt;2800,2,IF($B21&gt;1400,1,0))*$BC$6*$D21)</f>
        <v/>
      </c>
      <c r="AR21">
        <f>IF($A21="","",2*$BC$6*$D21)</f>
        <v/>
      </c>
      <c r="AS21">
        <f>IF($A21="","",$BC$6*$D21)</f>
        <v/>
      </c>
      <c r="AT21">
        <f>IF($A21="","",2*$BC$6*$D21)</f>
        <v/>
      </c>
      <c r="AU21">
        <f>IF($A21="","",4*4*$D21)</f>
        <v/>
      </c>
      <c r="AV21">
        <f>IF($A21="","",16*4*$D21)</f>
        <v/>
      </c>
      <c r="AW21">
        <f>IF($A21="","",(2+MAX(0,ROUNDUP(($I21-1500)/500,0)))*$D21)</f>
        <v/>
      </c>
      <c r="AX21">
        <f>IF($A21="","",(2+MAX(0,ROUNDUP(($I21-1500)/500,0)))*$D21)</f>
        <v/>
      </c>
      <c r="AY21">
        <f>IF($A21="","",ROUND((2*2*($S21+$Q21)*4*$D21+$Y21*$Z21)/1000,1))</f>
        <v/>
      </c>
    </row>
    <row r="22" ht="40.15" customHeight="1">
      <c r="A22" s="101" t="n"/>
      <c r="B22" s="102" t="n"/>
      <c r="C22" s="92" t="n"/>
      <c r="D22" s="103" t="n"/>
      <c r="E22" s="108">
        <f>IF($A22="","",$B22)</f>
        <v/>
      </c>
      <c r="F22" s="98">
        <f>IF($A22="","",$L$54*$D22)</f>
        <v/>
      </c>
      <c r="G22" s="108">
        <f>IF($A22="","",$B22)</f>
        <v/>
      </c>
      <c r="H22" s="98">
        <f>IF($A22="","",$L$55*$D22)</f>
        <v/>
      </c>
      <c r="I22" s="108">
        <f>IF($A22="","",$C22-$E$56-$F$56)</f>
        <v/>
      </c>
      <c r="J22" s="98">
        <f>IF($A22="","",$L$56*$D22)</f>
        <v/>
      </c>
      <c r="K22" s="108">
        <f>IF($A22="","",$C22-$E$57-$F$57)</f>
        <v/>
      </c>
      <c r="L22" s="98">
        <f>IF($A22="","",$L$57*$D22)</f>
        <v/>
      </c>
      <c r="M22" s="108">
        <f>IF($A22="","",$C22-$E$58-$F$58)</f>
        <v/>
      </c>
      <c r="N22" s="98">
        <f>IF($A22="","",$L$58*$D22)</f>
        <v/>
      </c>
      <c r="O22" s="108">
        <f>IF($A22="","",$C22)</f>
        <v/>
      </c>
      <c r="P22" s="98">
        <f>IF($A22="","",$L$59*$D22)</f>
        <v/>
      </c>
      <c r="Q22" s="108">
        <f>IF($A22="","",$B22-$E$60-$F$60-$G$60)</f>
        <v/>
      </c>
      <c r="R22" s="98">
        <f>IF($A22="","",$L$60*$D22)</f>
        <v/>
      </c>
      <c r="S22" s="108">
        <f>IF($A22="","",(($C22-$E$61-$F$61-$G$61-$H$61-$I$61)/4)+(78*3)/4)</f>
        <v/>
      </c>
      <c r="T22" s="98">
        <f>IF($A22="","",$L$61*$D22)</f>
        <v/>
      </c>
      <c r="U22" s="108">
        <f>IF($A22="","",$Q22-$E$62-$F$62)</f>
        <v/>
      </c>
      <c r="V22" s="98">
        <f>IF($A22="","",$L$62*$D22)</f>
        <v/>
      </c>
      <c r="W22" s="108">
        <f>IF($A22="","",$S22-$E$63-$F$63)</f>
        <v/>
      </c>
      <c r="X22" s="98">
        <f>IF($A22="","",$L$63*$D22)</f>
        <v/>
      </c>
      <c r="Y22" s="108">
        <f>IF($A22="","",$Q22)</f>
        <v/>
      </c>
      <c r="Z22" s="98">
        <f>IF($A22="","",$L$64*$D22)</f>
        <v/>
      </c>
      <c r="AA22" s="108">
        <f>IF($A22="","",$B22-$E$65)</f>
        <v/>
      </c>
      <c r="AB22" s="98">
        <f>IF($A22="","",$L$65*$D22)</f>
        <v/>
      </c>
      <c r="AC22" s="108">
        <f>IF($A22="","",$C22-$E$66-$F$66)</f>
        <v/>
      </c>
      <c r="AD22" s="98">
        <f>IF($A22="","",$L$66*$D22)</f>
        <v/>
      </c>
      <c r="AE22" s="108">
        <f>IF($A22="","",$AA22)</f>
        <v/>
      </c>
      <c r="AF22" s="98">
        <f>IF($A22="","",$L$67*$D22)</f>
        <v/>
      </c>
      <c r="AG22" s="108">
        <f>IF($A22="","",$Q22)</f>
        <v/>
      </c>
      <c r="AH22" s="98">
        <f>IF($A22="","",$L$68*$D22)</f>
        <v/>
      </c>
      <c r="AI22" s="108">
        <f>IF($A22="","",$C22-$E$69-$F$69)</f>
        <v/>
      </c>
      <c r="AJ22" s="98">
        <f>IF($A22="","",$L$69*$D22)</f>
        <v/>
      </c>
      <c r="AK22" s="105">
        <f>IF($A22="","",2*4*$D22)</f>
        <v/>
      </c>
      <c r="AL22" s="106">
        <f>IF($A22="","",$BC$7*$D22)</f>
        <v/>
      </c>
      <c r="AM22" s="107">
        <f>IF($A22="","",$BC$6*$D22)</f>
        <v/>
      </c>
      <c r="AN22">
        <f>IF($A22="","",$BC$9*$D22)</f>
        <v/>
      </c>
      <c r="AO22">
        <f>IF($A22="","",$BC$10*$D22)</f>
        <v/>
      </c>
      <c r="AP22">
        <f>IF($A22="","",2*$BC$6*$D22)</f>
        <v/>
      </c>
      <c r="AQ22">
        <f>IF($A22="","",IF($B22&gt;2800,2,IF($B22&gt;1400,1,0))*$BC$6*$D22)</f>
        <v/>
      </c>
      <c r="AR22">
        <f>IF($A22="","",2*$BC$6*$D22)</f>
        <v/>
      </c>
      <c r="AS22">
        <f>IF($A22="","",$BC$6*$D22)</f>
        <v/>
      </c>
      <c r="AT22">
        <f>IF($A22="","",2*$BC$6*$D22)</f>
        <v/>
      </c>
      <c r="AU22">
        <f>IF($A22="","",4*4*$D22)</f>
        <v/>
      </c>
      <c r="AV22">
        <f>IF($A22="","",16*4*$D22)</f>
        <v/>
      </c>
      <c r="AW22">
        <f>IF($A22="","",(2+MAX(0,ROUNDUP(($I22-1500)/500,0)))*$D22)</f>
        <v/>
      </c>
      <c r="AX22">
        <f>IF($A22="","",(2+MAX(0,ROUNDUP(($I22-1500)/500,0)))*$D22)</f>
        <v/>
      </c>
      <c r="AY22">
        <f>IF($A22="","",ROUND((2*2*($S22+$Q22)*4*$D22+$Y22*$Z22)/1000,1))</f>
        <v/>
      </c>
    </row>
    <row r="23" ht="40.15" customHeight="1">
      <c r="A23" s="101" t="n"/>
      <c r="B23" s="102" t="n"/>
      <c r="C23" s="92" t="n"/>
      <c r="D23" s="103" t="n"/>
      <c r="E23" s="104">
        <f>IF($A23="","",$B23)</f>
        <v/>
      </c>
      <c r="F23" s="92">
        <f>IF($A23="","",$L$54*$D23)</f>
        <v/>
      </c>
      <c r="G23" s="104">
        <f>IF($A23="","",$B23)</f>
        <v/>
      </c>
      <c r="H23" s="92">
        <f>IF($A23="","",$L$55*$D23)</f>
        <v/>
      </c>
      <c r="I23" s="104">
        <f>IF($A23="","",$C23-$E$56-$F$56)</f>
        <v/>
      </c>
      <c r="J23" s="92">
        <f>IF($A23="","",$L$56*$D23)</f>
        <v/>
      </c>
      <c r="K23" s="104">
        <f>IF($A23="","",$C23-$E$57-$F$57)</f>
        <v/>
      </c>
      <c r="L23" s="92">
        <f>IF($A23="","",$L$57*$D23)</f>
        <v/>
      </c>
      <c r="M23" s="104">
        <f>IF($A23="","",$C23-$E$58-$F$58)</f>
        <v/>
      </c>
      <c r="N23" s="92">
        <f>IF($A23="","",$L$58*$D23)</f>
        <v/>
      </c>
      <c r="O23" s="104">
        <f>IF($A23="","",$C23)</f>
        <v/>
      </c>
      <c r="P23" s="92">
        <f>IF($A23="","",$L$59*$D23)</f>
        <v/>
      </c>
      <c r="Q23" s="104">
        <f>IF($A23="","",$B23-$E$60-$F$60-$G$60)</f>
        <v/>
      </c>
      <c r="R23" s="92">
        <f>IF($A23="","",$L$60*$D23)</f>
        <v/>
      </c>
      <c r="S23" s="104">
        <f>IF($A23="","",(($C23-$E$61-$F$61-$G$61-$H$61-$I$61)/4)+(78*3)/4)</f>
        <v/>
      </c>
      <c r="T23" s="92">
        <f>IF($A23="","",$L$61*$D23)</f>
        <v/>
      </c>
      <c r="U23" s="104">
        <f>IF($A23="","",$Q23-$E$62-$F$62)</f>
        <v/>
      </c>
      <c r="V23" s="92">
        <f>IF($A23="","",$L$62*$D23)</f>
        <v/>
      </c>
      <c r="W23" s="104">
        <f>IF($A23="","",$S23-$E$63-$F$63)</f>
        <v/>
      </c>
      <c r="X23" s="92">
        <f>IF($A23="","",$L$63*$D23)</f>
        <v/>
      </c>
      <c r="Y23" s="104">
        <f>IF($A23="","",$Q23)</f>
        <v/>
      </c>
      <c r="Z23" s="92">
        <f>IF($A23="","",$L$64*$D23)</f>
        <v/>
      </c>
      <c r="AA23" s="104">
        <f>IF($A23="","",$B23-$E$65)</f>
        <v/>
      </c>
      <c r="AB23" s="92">
        <f>IF($A23="","",$L$65*$D23)</f>
        <v/>
      </c>
      <c r="AC23" s="104">
        <f>IF($A23="","",$C23-$E$66-$F$66)</f>
        <v/>
      </c>
      <c r="AD23" s="92">
        <f>IF($A23="","",$L$66*$D23)</f>
        <v/>
      </c>
      <c r="AE23" s="104">
        <f>IF($A23="","",$AA23)</f>
        <v/>
      </c>
      <c r="AF23" s="92">
        <f>IF($A23="","",$L$67*$D23)</f>
        <v/>
      </c>
      <c r="AG23" s="104">
        <f>IF($A23="","",$Q23)</f>
        <v/>
      </c>
      <c r="AH23" s="92">
        <f>IF($A23="","",$L$68*$D23)</f>
        <v/>
      </c>
      <c r="AI23" s="104">
        <f>IF($A23="","",$C23-$E$69-$F$69)</f>
        <v/>
      </c>
      <c r="AJ23" s="92">
        <f>IF($A23="","",$L$69*$D23)</f>
        <v/>
      </c>
      <c r="AK23" s="105">
        <f>IF($A23="","",2*4*$D23)</f>
        <v/>
      </c>
      <c r="AL23" s="106">
        <f>IF($A23="","",$BC$7*$D23)</f>
        <v/>
      </c>
      <c r="AM23" s="107">
        <f>IF($A23="","",$BC$6*$D23)</f>
        <v/>
      </c>
      <c r="AN23">
        <f>IF($A23="","",$BC$9*$D23)</f>
        <v/>
      </c>
      <c r="AO23">
        <f>IF($A23="","",$BC$10*$D23)</f>
        <v/>
      </c>
      <c r="AP23">
        <f>IF($A23="","",2*$BC$6*$D23)</f>
        <v/>
      </c>
      <c r="AQ23">
        <f>IF($A23="","",IF($B23&gt;2800,2,IF($B23&gt;1400,1,0))*$BC$6*$D23)</f>
        <v/>
      </c>
      <c r="AR23">
        <f>IF($A23="","",2*$BC$6*$D23)</f>
        <v/>
      </c>
      <c r="AS23">
        <f>IF($A23="","",$BC$6*$D23)</f>
        <v/>
      </c>
      <c r="AT23">
        <f>IF($A23="","",2*$BC$6*$D23)</f>
        <v/>
      </c>
      <c r="AU23">
        <f>IF($A23="","",4*4*$D23)</f>
        <v/>
      </c>
      <c r="AV23">
        <f>IF($A23="","",16*4*$D23)</f>
        <v/>
      </c>
      <c r="AW23">
        <f>IF($A23="","",(2+MAX(0,ROUNDUP(($I23-1500)/500,0)))*$D23)</f>
        <v/>
      </c>
      <c r="AX23">
        <f>IF($A23="","",(2+MAX(0,ROUNDUP(($I23-1500)/500,0)))*$D23)</f>
        <v/>
      </c>
      <c r="AY23">
        <f>IF($A23="","",ROUND((2*2*($S23+$Q23)*4*$D23+$Y23*$Z23)/1000,1))</f>
        <v/>
      </c>
    </row>
    <row r="24" ht="40.15" customHeight="1">
      <c r="A24" s="101" t="n"/>
      <c r="B24" s="102" t="n"/>
      <c r="C24" s="92" t="n"/>
      <c r="D24" s="103" t="n"/>
      <c r="E24" s="108">
        <f>IF($A24="","",$B24)</f>
        <v/>
      </c>
      <c r="F24" s="98">
        <f>IF($A24="","",$L$54*$D24)</f>
        <v/>
      </c>
      <c r="G24" s="108">
        <f>IF($A24="","",$B24)</f>
        <v/>
      </c>
      <c r="H24" s="98">
        <f>IF($A24="","",$L$55*$D24)</f>
        <v/>
      </c>
      <c r="I24" s="108">
        <f>IF($A24="","",$C24-$E$56-$F$56)</f>
        <v/>
      </c>
      <c r="J24" s="98">
        <f>IF($A24="","",$L$56*$D24)</f>
        <v/>
      </c>
      <c r="K24" s="108">
        <f>IF($A24="","",$C24-$E$57-$F$57)</f>
        <v/>
      </c>
      <c r="L24" s="98">
        <f>IF($A24="","",$L$57*$D24)</f>
        <v/>
      </c>
      <c r="M24" s="108">
        <f>IF($A24="","",$C24-$E$58-$F$58)</f>
        <v/>
      </c>
      <c r="N24" s="98">
        <f>IF($A24="","",$L$58*$D24)</f>
        <v/>
      </c>
      <c r="O24" s="108">
        <f>IF($A24="","",$C24)</f>
        <v/>
      </c>
      <c r="P24" s="98">
        <f>IF($A24="","",$L$59*$D24)</f>
        <v/>
      </c>
      <c r="Q24" s="108">
        <f>IF($A24="","",$B24-$E$60-$F$60-$G$60)</f>
        <v/>
      </c>
      <c r="R24" s="98">
        <f>IF($A24="","",$L$60*$D24)</f>
        <v/>
      </c>
      <c r="S24" s="108">
        <f>IF($A24="","",(($C24-$E$61-$F$61-$G$61-$H$61-$I$61)/4)+(78*3)/4)</f>
        <v/>
      </c>
      <c r="T24" s="98">
        <f>IF($A24="","",$L$61*$D24)</f>
        <v/>
      </c>
      <c r="U24" s="108">
        <f>IF($A24="","",$Q24-$E$62-$F$62)</f>
        <v/>
      </c>
      <c r="V24" s="98">
        <f>IF($A24="","",$L$62*$D24)</f>
        <v/>
      </c>
      <c r="W24" s="108">
        <f>IF($A24="","",$S24-$E$63-$F$63)</f>
        <v/>
      </c>
      <c r="X24" s="98">
        <f>IF($A24="","",$L$63*$D24)</f>
        <v/>
      </c>
      <c r="Y24" s="108">
        <f>IF($A24="","",$Q24)</f>
        <v/>
      </c>
      <c r="Z24" s="98">
        <f>IF($A24="","",$L$64*$D24)</f>
        <v/>
      </c>
      <c r="AA24" s="108">
        <f>IF($A24="","",$B24-$E$65)</f>
        <v/>
      </c>
      <c r="AB24" s="98">
        <f>IF($A24="","",$L$65*$D24)</f>
        <v/>
      </c>
      <c r="AC24" s="108">
        <f>IF($A24="","",$C24-$E$66-$F$66)</f>
        <v/>
      </c>
      <c r="AD24" s="98">
        <f>IF($A24="","",$L$66*$D24)</f>
        <v/>
      </c>
      <c r="AE24" s="108">
        <f>IF($A24="","",$AA24)</f>
        <v/>
      </c>
      <c r="AF24" s="98">
        <f>IF($A24="","",$L$67*$D24)</f>
        <v/>
      </c>
      <c r="AG24" s="108">
        <f>IF($A24="","",$Q24)</f>
        <v/>
      </c>
      <c r="AH24" s="98">
        <f>IF($A24="","",$L$68*$D24)</f>
        <v/>
      </c>
      <c r="AI24" s="108">
        <f>IF($A24="","",$C24-$E$69-$F$69)</f>
        <v/>
      </c>
      <c r="AJ24" s="98">
        <f>IF($A24="","",$L$69*$D24)</f>
        <v/>
      </c>
      <c r="AK24" s="105">
        <f>IF($A24="","",2*4*$D24)</f>
        <v/>
      </c>
      <c r="AL24" s="106">
        <f>IF($A24="","",$BC$7*$D24)</f>
        <v/>
      </c>
      <c r="AM24" s="107">
        <f>IF($A24="","",$BC$6*$D24)</f>
        <v/>
      </c>
      <c r="AN24">
        <f>IF($A24="","",$BC$9*$D24)</f>
        <v/>
      </c>
      <c r="AO24">
        <f>IF($A24="","",$BC$10*$D24)</f>
        <v/>
      </c>
      <c r="AP24">
        <f>IF($A24="","",2*$BC$6*$D24)</f>
        <v/>
      </c>
      <c r="AQ24">
        <f>IF($A24="","",IF($B24&gt;2800,2,IF($B24&gt;1400,1,0))*$BC$6*$D24)</f>
        <v/>
      </c>
      <c r="AR24">
        <f>IF($A24="","",2*$BC$6*$D24)</f>
        <v/>
      </c>
      <c r="AS24">
        <f>IF($A24="","",$BC$6*$D24)</f>
        <v/>
      </c>
      <c r="AT24">
        <f>IF($A24="","",2*$BC$6*$D24)</f>
        <v/>
      </c>
      <c r="AU24">
        <f>IF($A24="","",4*4*$D24)</f>
        <v/>
      </c>
      <c r="AV24">
        <f>IF($A24="","",16*4*$D24)</f>
        <v/>
      </c>
      <c r="AW24">
        <f>IF($A24="","",(2+MAX(0,ROUNDUP(($I24-1500)/500,0)))*$D24)</f>
        <v/>
      </c>
      <c r="AX24">
        <f>IF($A24="","",(2+MAX(0,ROUNDUP(($I24-1500)/500,0)))*$D24)</f>
        <v/>
      </c>
      <c r="AY24">
        <f>IF($A24="","",ROUND((2*2*($S24+$Q24)*4*$D24+$Y24*$Z24)/1000,1))</f>
        <v/>
      </c>
    </row>
    <row r="25" ht="40.15" customHeight="1">
      <c r="A25" s="101" t="n"/>
      <c r="B25" s="102" t="n"/>
      <c r="C25" s="92" t="n"/>
      <c r="D25" s="103" t="n"/>
      <c r="E25" s="104">
        <f>IF($A25="","",$B25)</f>
        <v/>
      </c>
      <c r="F25" s="92">
        <f>IF($A25="","",$L$54*$D25)</f>
        <v/>
      </c>
      <c r="G25" s="104">
        <f>IF($A25="","",$B25)</f>
        <v/>
      </c>
      <c r="H25" s="92">
        <f>IF($A25="","",$L$55*$D25)</f>
        <v/>
      </c>
      <c r="I25" s="104">
        <f>IF($A25="","",$C25-$E$56-$F$56)</f>
        <v/>
      </c>
      <c r="J25" s="92">
        <f>IF($A25="","",$L$56*$D25)</f>
        <v/>
      </c>
      <c r="K25" s="104">
        <f>IF($A25="","",$C25-$E$57-$F$57)</f>
        <v/>
      </c>
      <c r="L25" s="92">
        <f>IF($A25="","",$L$57*$D25)</f>
        <v/>
      </c>
      <c r="M25" s="104">
        <f>IF($A25="","",$C25-$E$58-$F$58)</f>
        <v/>
      </c>
      <c r="N25" s="92">
        <f>IF($A25="","",$L$58*$D25)</f>
        <v/>
      </c>
      <c r="O25" s="104">
        <f>IF($A25="","",$C25)</f>
        <v/>
      </c>
      <c r="P25" s="92">
        <f>IF($A25="","",$L$59*$D25)</f>
        <v/>
      </c>
      <c r="Q25" s="104">
        <f>IF($A25="","",$B25-$E$60-$F$60-$G$60)</f>
        <v/>
      </c>
      <c r="R25" s="92">
        <f>IF($A25="","",$L$60*$D25)</f>
        <v/>
      </c>
      <c r="S25" s="104">
        <f>IF($A25="","",(($C25-$E$61-$F$61-$G$61-$H$61-$I$61)/4)+(78*3)/4)</f>
        <v/>
      </c>
      <c r="T25" s="92">
        <f>IF($A25="","",$L$61*$D25)</f>
        <v/>
      </c>
      <c r="U25" s="104">
        <f>IF($A25="","",$Q25-$E$62-$F$62)</f>
        <v/>
      </c>
      <c r="V25" s="92">
        <f>IF($A25="","",$L$62*$D25)</f>
        <v/>
      </c>
      <c r="W25" s="104">
        <f>IF($A25="","",$S25-$E$63-$F$63)</f>
        <v/>
      </c>
      <c r="X25" s="92">
        <f>IF($A25="","",$L$63*$D25)</f>
        <v/>
      </c>
      <c r="Y25" s="104">
        <f>IF($A25="","",$Q25)</f>
        <v/>
      </c>
      <c r="Z25" s="92">
        <f>IF($A25="","",$L$64*$D25)</f>
        <v/>
      </c>
      <c r="AA25" s="104">
        <f>IF($A25="","",$B25-$E$65)</f>
        <v/>
      </c>
      <c r="AB25" s="92">
        <f>IF($A25="","",$L$65*$D25)</f>
        <v/>
      </c>
      <c r="AC25" s="104">
        <f>IF($A25="","",$C25-$E$66-$F$66)</f>
        <v/>
      </c>
      <c r="AD25" s="92">
        <f>IF($A25="","",$L$66*$D25)</f>
        <v/>
      </c>
      <c r="AE25" s="104">
        <f>IF($A25="","",$AA25)</f>
        <v/>
      </c>
      <c r="AF25" s="92">
        <f>IF($A25="","",$L$67*$D25)</f>
        <v/>
      </c>
      <c r="AG25" s="104">
        <f>IF($A25="","",$Q25)</f>
        <v/>
      </c>
      <c r="AH25" s="92">
        <f>IF($A25="","",$L$68*$D25)</f>
        <v/>
      </c>
      <c r="AI25" s="104">
        <f>IF($A25="","",$C25-$E$69-$F$69)</f>
        <v/>
      </c>
      <c r="AJ25" s="92">
        <f>IF($A25="","",$L$69*$D25)</f>
        <v/>
      </c>
      <c r="AK25" s="105">
        <f>IF($A25="","",2*4*$D25)</f>
        <v/>
      </c>
      <c r="AL25" s="106">
        <f>IF($A25="","",$BC$7*$D25)</f>
        <v/>
      </c>
      <c r="AM25" s="107">
        <f>IF($A25="","",$BC$6*$D25)</f>
        <v/>
      </c>
      <c r="AN25">
        <f>IF($A25="","",$BC$9*$D25)</f>
        <v/>
      </c>
      <c r="AO25">
        <f>IF($A25="","",$BC$10*$D25)</f>
        <v/>
      </c>
      <c r="AP25">
        <f>IF($A25="","",2*$BC$6*$D25)</f>
        <v/>
      </c>
      <c r="AQ25">
        <f>IF($A25="","",IF($B25&gt;2800,2,IF($B25&gt;1400,1,0))*$BC$6*$D25)</f>
        <v/>
      </c>
      <c r="AR25">
        <f>IF($A25="","",2*$BC$6*$D25)</f>
        <v/>
      </c>
      <c r="AS25">
        <f>IF($A25="","",$BC$6*$D25)</f>
        <v/>
      </c>
      <c r="AT25">
        <f>IF($A25="","",2*$BC$6*$D25)</f>
        <v/>
      </c>
      <c r="AU25">
        <f>IF($A25="","",4*4*$D25)</f>
        <v/>
      </c>
      <c r="AV25">
        <f>IF($A25="","",16*4*$D25)</f>
        <v/>
      </c>
      <c r="AW25">
        <f>IF($A25="","",(2+MAX(0,ROUNDUP(($I25-1500)/500,0)))*$D25)</f>
        <v/>
      </c>
      <c r="AX25">
        <f>IF($A25="","",(2+MAX(0,ROUNDUP(($I25-1500)/500,0)))*$D25)</f>
        <v/>
      </c>
      <c r="AY25">
        <f>IF($A25="","",ROUND((2*2*($S25+$Q25)*4*$D25+$Y25*$Z25)/1000,1))</f>
        <v/>
      </c>
    </row>
    <row r="26" ht="40.15" customHeight="1">
      <c r="A26" s="101" t="n"/>
      <c r="B26" s="102" t="n"/>
      <c r="C26" s="92" t="n"/>
      <c r="D26" s="103" t="n"/>
      <c r="E26" s="108">
        <f>IF($A26="","",$B26)</f>
        <v/>
      </c>
      <c r="F26" s="98">
        <f>IF($A26="","",$L$54*$D26)</f>
        <v/>
      </c>
      <c r="G26" s="108">
        <f>IF($A26="","",$B26)</f>
        <v/>
      </c>
      <c r="H26" s="98">
        <f>IF($A26="","",$L$55*$D26)</f>
        <v/>
      </c>
      <c r="I26" s="108">
        <f>IF($A26="","",$C26-$E$56-$F$56)</f>
        <v/>
      </c>
      <c r="J26" s="98">
        <f>IF($A26="","",$L$56*$D26)</f>
        <v/>
      </c>
      <c r="K26" s="108">
        <f>IF($A26="","",$C26-$E$57-$F$57)</f>
        <v/>
      </c>
      <c r="L26" s="98">
        <f>IF($A26="","",$L$57*$D26)</f>
        <v/>
      </c>
      <c r="M26" s="108">
        <f>IF($A26="","",$C26-$E$58-$F$58)</f>
        <v/>
      </c>
      <c r="N26" s="98">
        <f>IF($A26="","",$L$58*$D26)</f>
        <v/>
      </c>
      <c r="O26" s="108">
        <f>IF($A26="","",$C26)</f>
        <v/>
      </c>
      <c r="P26" s="98">
        <f>IF($A26="","",$L$59*$D26)</f>
        <v/>
      </c>
      <c r="Q26" s="108">
        <f>IF($A26="","",$B26-$E$60-$F$60-$G$60)</f>
        <v/>
      </c>
      <c r="R26" s="98">
        <f>IF($A26="","",$L$60*$D26)</f>
        <v/>
      </c>
      <c r="S26" s="108">
        <f>IF($A26="","",(($C26-$E$61-$F$61-$G$61-$H$61-$I$61)/4)+(78*3)/4)</f>
        <v/>
      </c>
      <c r="T26" s="98">
        <f>IF($A26="","",$L$61*$D26)</f>
        <v/>
      </c>
      <c r="U26" s="108">
        <f>IF($A26="","",$Q26-$E$62-$F$62)</f>
        <v/>
      </c>
      <c r="V26" s="98">
        <f>IF($A26="","",$L$62*$D26)</f>
        <v/>
      </c>
      <c r="W26" s="108">
        <f>IF($A26="","",$S26-$E$63-$F$63)</f>
        <v/>
      </c>
      <c r="X26" s="98">
        <f>IF($A26="","",$L$63*$D26)</f>
        <v/>
      </c>
      <c r="Y26" s="108">
        <f>IF($A26="","",$Q26)</f>
        <v/>
      </c>
      <c r="Z26" s="98">
        <f>IF($A26="","",$L$64*$D26)</f>
        <v/>
      </c>
      <c r="AA26" s="108">
        <f>IF($A26="","",$B26-$E$65)</f>
        <v/>
      </c>
      <c r="AB26" s="98">
        <f>IF($A26="","",$L$65*$D26)</f>
        <v/>
      </c>
      <c r="AC26" s="108">
        <f>IF($A26="","",$C26-$E$66-$F$66)</f>
        <v/>
      </c>
      <c r="AD26" s="98">
        <f>IF($A26="","",$L$66*$D26)</f>
        <v/>
      </c>
      <c r="AE26" s="108">
        <f>IF($A26="","",$AA26)</f>
        <v/>
      </c>
      <c r="AF26" s="98">
        <f>IF($A26="","",$L$67*$D26)</f>
        <v/>
      </c>
      <c r="AG26" s="108">
        <f>IF($A26="","",$Q26)</f>
        <v/>
      </c>
      <c r="AH26" s="98">
        <f>IF($A26="","",$L$68*$D26)</f>
        <v/>
      </c>
      <c r="AI26" s="108">
        <f>IF($A26="","",$C26-$E$69-$F$69)</f>
        <v/>
      </c>
      <c r="AJ26" s="98">
        <f>IF($A26="","",$L$69*$D26)</f>
        <v/>
      </c>
      <c r="AK26" s="105">
        <f>IF($A26="","",2*4*$D26)</f>
        <v/>
      </c>
      <c r="AL26" s="106">
        <f>IF($A26="","",$BC$7*$D26)</f>
        <v/>
      </c>
      <c r="AM26" s="107">
        <f>IF($A26="","",$BC$6*$D26)</f>
        <v/>
      </c>
      <c r="AN26">
        <f>IF($A26="","",$BC$9*$D26)</f>
        <v/>
      </c>
      <c r="AO26">
        <f>IF($A26="","",$BC$10*$D26)</f>
        <v/>
      </c>
      <c r="AP26">
        <f>IF($A26="","",2*$BC$6*$D26)</f>
        <v/>
      </c>
      <c r="AQ26">
        <f>IF($A26="","",IF($B26&gt;2800,2,IF($B26&gt;1400,1,0))*$BC$6*$D26)</f>
        <v/>
      </c>
      <c r="AR26">
        <f>IF($A26="","",2*$BC$6*$D26)</f>
        <v/>
      </c>
      <c r="AS26">
        <f>IF($A26="","",$BC$6*$D26)</f>
        <v/>
      </c>
      <c r="AT26">
        <f>IF($A26="","",2*$BC$6*$D26)</f>
        <v/>
      </c>
      <c r="AU26">
        <f>IF($A26="","",4*4*$D26)</f>
        <v/>
      </c>
      <c r="AV26">
        <f>IF($A26="","",16*4*$D26)</f>
        <v/>
      </c>
      <c r="AW26">
        <f>IF($A26="","",(2+MAX(0,ROUNDUP(($I26-1500)/500,0)))*$D26)</f>
        <v/>
      </c>
      <c r="AX26">
        <f>IF($A26="","",(2+MAX(0,ROUNDUP(($I26-1500)/500,0)))*$D26)</f>
        <v/>
      </c>
      <c r="AY26">
        <f>IF($A26="","",ROUND((2*2*($S26+$Q26)*4*$D26+$Y26*$Z26)/1000,1))</f>
        <v/>
      </c>
    </row>
    <row r="27" ht="40.15" customHeight="1">
      <c r="A27" s="101" t="n"/>
      <c r="B27" s="102" t="n"/>
      <c r="C27" s="92" t="n"/>
      <c r="D27" s="103" t="n"/>
      <c r="E27" s="104">
        <f>IF($A27="","",$B27)</f>
        <v/>
      </c>
      <c r="F27" s="92">
        <f>IF($A27="","",$L$54*$D27)</f>
        <v/>
      </c>
      <c r="G27" s="104">
        <f>IF($A27="","",$B27)</f>
        <v/>
      </c>
      <c r="H27" s="92">
        <f>IF($A27="","",$L$55*$D27)</f>
        <v/>
      </c>
      <c r="I27" s="104">
        <f>IF($A27="","",$C27-$E$56-$F$56)</f>
        <v/>
      </c>
      <c r="J27" s="92">
        <f>IF($A27="","",$L$56*$D27)</f>
        <v/>
      </c>
      <c r="K27" s="104">
        <f>IF($A27="","",$C27-$E$57-$F$57)</f>
        <v/>
      </c>
      <c r="L27" s="92">
        <f>IF($A27="","",$L$57*$D27)</f>
        <v/>
      </c>
      <c r="M27" s="104">
        <f>IF($A27="","",$C27-$E$58-$F$58)</f>
        <v/>
      </c>
      <c r="N27" s="92">
        <f>IF($A27="","",$L$58*$D27)</f>
        <v/>
      </c>
      <c r="O27" s="104">
        <f>IF($A27="","",$C27)</f>
        <v/>
      </c>
      <c r="P27" s="92">
        <f>IF($A27="","",$L$59*$D27)</f>
        <v/>
      </c>
      <c r="Q27" s="104">
        <f>IF($A27="","",$B27-$E$60-$F$60-$G$60)</f>
        <v/>
      </c>
      <c r="R27" s="92">
        <f>IF($A27="","",$L$60*$D27)</f>
        <v/>
      </c>
      <c r="S27" s="104">
        <f>IF($A27="","",(($C27-$E$61-$F$61-$G$61-$H$61-$I$61)/4)+(78*3)/4)</f>
        <v/>
      </c>
      <c r="T27" s="92">
        <f>IF($A27="","",$L$61*$D27)</f>
        <v/>
      </c>
      <c r="U27" s="104">
        <f>IF($A27="","",$Q27-$E$62-$F$62)</f>
        <v/>
      </c>
      <c r="V27" s="92">
        <f>IF($A27="","",$L$62*$D27)</f>
        <v/>
      </c>
      <c r="W27" s="104">
        <f>IF($A27="","",$S27-$E$63-$F$63)</f>
        <v/>
      </c>
      <c r="X27" s="92">
        <f>IF($A27="","",$L$63*$D27)</f>
        <v/>
      </c>
      <c r="Y27" s="104">
        <f>IF($A27="","",$Q27)</f>
        <v/>
      </c>
      <c r="Z27" s="92">
        <f>IF($A27="","",$L$64*$D27)</f>
        <v/>
      </c>
      <c r="AA27" s="104">
        <f>IF($A27="","",$B27-$E$65)</f>
        <v/>
      </c>
      <c r="AB27" s="92">
        <f>IF($A27="","",$L$65*$D27)</f>
        <v/>
      </c>
      <c r="AC27" s="104">
        <f>IF($A27="","",$C27-$E$66-$F$66)</f>
        <v/>
      </c>
      <c r="AD27" s="92">
        <f>IF($A27="","",$L$66*$D27)</f>
        <v/>
      </c>
      <c r="AE27" s="104">
        <f>IF($A27="","",$AA27)</f>
        <v/>
      </c>
      <c r="AF27" s="92">
        <f>IF($A27="","",$L$67*$D27)</f>
        <v/>
      </c>
      <c r="AG27" s="104">
        <f>IF($A27="","",$Q27)</f>
        <v/>
      </c>
      <c r="AH27" s="92">
        <f>IF($A27="","",$L$68*$D27)</f>
        <v/>
      </c>
      <c r="AI27" s="104">
        <f>IF($A27="","",$C27-$E$69-$F$69)</f>
        <v/>
      </c>
      <c r="AJ27" s="92">
        <f>IF($A27="","",$L$69*$D27)</f>
        <v/>
      </c>
      <c r="AK27" s="105">
        <f>IF($A27="","",2*4*$D27)</f>
        <v/>
      </c>
      <c r="AL27" s="106">
        <f>IF($A27="","",$BC$7*$D27)</f>
        <v/>
      </c>
      <c r="AM27" s="107">
        <f>IF($A27="","",$BC$6*$D27)</f>
        <v/>
      </c>
      <c r="AN27">
        <f>IF($A27="","",$BC$9*$D27)</f>
        <v/>
      </c>
      <c r="AO27">
        <f>IF($A27="","",$BC$10*$D27)</f>
        <v/>
      </c>
      <c r="AP27">
        <f>IF($A27="","",2*$BC$6*$D27)</f>
        <v/>
      </c>
      <c r="AQ27">
        <f>IF($A27="","",IF($B27&gt;2800,2,IF($B27&gt;1400,1,0))*$BC$6*$D27)</f>
        <v/>
      </c>
      <c r="AR27">
        <f>IF($A27="","",2*$BC$6*$D27)</f>
        <v/>
      </c>
      <c r="AS27">
        <f>IF($A27="","",$BC$6*$D27)</f>
        <v/>
      </c>
      <c r="AT27">
        <f>IF($A27="","",2*$BC$6*$D27)</f>
        <v/>
      </c>
      <c r="AU27">
        <f>IF($A27="","",4*4*$D27)</f>
        <v/>
      </c>
      <c r="AV27">
        <f>IF($A27="","",16*4*$D27)</f>
        <v/>
      </c>
      <c r="AW27">
        <f>IF($A27="","",(2+MAX(0,ROUNDUP(($I27-1500)/500,0)))*$D27)</f>
        <v/>
      </c>
      <c r="AX27">
        <f>IF($A27="","",(2+MAX(0,ROUNDUP(($I27-1500)/500,0)))*$D27)</f>
        <v/>
      </c>
      <c r="AY27">
        <f>IF($A27="","",ROUND((2*2*($S27+$Q27)*4*$D27+$Y27*$Z27)/1000,1))</f>
        <v/>
      </c>
    </row>
    <row r="28" ht="40.15" customHeight="1">
      <c r="A28" s="101" t="n"/>
      <c r="B28" s="102" t="n"/>
      <c r="C28" s="92" t="n"/>
      <c r="D28" s="103" t="n"/>
      <c r="E28" s="108">
        <f>IF($A28="","",$B28)</f>
        <v/>
      </c>
      <c r="F28" s="98">
        <f>IF($A28="","",$L$54*$D28)</f>
        <v/>
      </c>
      <c r="G28" s="108">
        <f>IF($A28="","",$B28)</f>
        <v/>
      </c>
      <c r="H28" s="98">
        <f>IF($A28="","",$L$55*$D28)</f>
        <v/>
      </c>
      <c r="I28" s="108">
        <f>IF($A28="","",$C28-$E$56-$F$56)</f>
        <v/>
      </c>
      <c r="J28" s="98">
        <f>IF($A28="","",$L$56*$D28)</f>
        <v/>
      </c>
      <c r="K28" s="108">
        <f>IF($A28="","",$C28-$E$57-$F$57)</f>
        <v/>
      </c>
      <c r="L28" s="98">
        <f>IF($A28="","",$L$57*$D28)</f>
        <v/>
      </c>
      <c r="M28" s="108">
        <f>IF($A28="","",$C28-$E$58-$F$58)</f>
        <v/>
      </c>
      <c r="N28" s="98">
        <f>IF($A28="","",$L$58*$D28)</f>
        <v/>
      </c>
      <c r="O28" s="108">
        <f>IF($A28="","",$C28)</f>
        <v/>
      </c>
      <c r="P28" s="98">
        <f>IF($A28="","",$L$59*$D28)</f>
        <v/>
      </c>
      <c r="Q28" s="108">
        <f>IF($A28="","",$B28-$E$60-$F$60-$G$60)</f>
        <v/>
      </c>
      <c r="R28" s="98">
        <f>IF($A28="","",$L$60*$D28)</f>
        <v/>
      </c>
      <c r="S28" s="108">
        <f>IF($A28="","",(($C28-$E$61-$F$61-$G$61-$H$61-$I$61)/4)+(78*3)/4)</f>
        <v/>
      </c>
      <c r="T28" s="98">
        <f>IF($A28="","",$L$61*$D28)</f>
        <v/>
      </c>
      <c r="U28" s="108">
        <f>IF($A28="","",$Q28-$E$62-$F$62)</f>
        <v/>
      </c>
      <c r="V28" s="98">
        <f>IF($A28="","",$L$62*$D28)</f>
        <v/>
      </c>
      <c r="W28" s="108">
        <f>IF($A28="","",$S28-$E$63-$F$63)</f>
        <v/>
      </c>
      <c r="X28" s="98">
        <f>IF($A28="","",$L$63*$D28)</f>
        <v/>
      </c>
      <c r="Y28" s="108">
        <f>IF($A28="","",$Q28)</f>
        <v/>
      </c>
      <c r="Z28" s="98">
        <f>IF($A28="","",$L$64*$D28)</f>
        <v/>
      </c>
      <c r="AA28" s="108">
        <f>IF($A28="","",$B28-$E$65)</f>
        <v/>
      </c>
      <c r="AB28" s="98">
        <f>IF($A28="","",$L$65*$D28)</f>
        <v/>
      </c>
      <c r="AC28" s="108">
        <f>IF($A28="","",$C28-$E$66-$F$66)</f>
        <v/>
      </c>
      <c r="AD28" s="98">
        <f>IF($A28="","",$L$66*$D28)</f>
        <v/>
      </c>
      <c r="AE28" s="108">
        <f>IF($A28="","",$AA28)</f>
        <v/>
      </c>
      <c r="AF28" s="98">
        <f>IF($A28="","",$L$67*$D28)</f>
        <v/>
      </c>
      <c r="AG28" s="108">
        <f>IF($A28="","",$Q28)</f>
        <v/>
      </c>
      <c r="AH28" s="98">
        <f>IF($A28="","",$L$68*$D28)</f>
        <v/>
      </c>
      <c r="AI28" s="108">
        <f>IF($A28="","",$C28-$E$69-$F$69)</f>
        <v/>
      </c>
      <c r="AJ28" s="98">
        <f>IF($A28="","",$L$69*$D28)</f>
        <v/>
      </c>
      <c r="AK28" s="105">
        <f>IF($A28="","",2*4*$D28)</f>
        <v/>
      </c>
      <c r="AL28" s="106">
        <f>IF($A28="","",$BC$7*$D28)</f>
        <v/>
      </c>
      <c r="AM28" s="107">
        <f>IF($A28="","",$BC$6*$D28)</f>
        <v/>
      </c>
      <c r="AN28">
        <f>IF($A28="","",$BC$9*$D28)</f>
        <v/>
      </c>
      <c r="AO28">
        <f>IF($A28="","",$BC$10*$D28)</f>
        <v/>
      </c>
      <c r="AP28">
        <f>IF($A28="","",2*$BC$6*$D28)</f>
        <v/>
      </c>
      <c r="AQ28">
        <f>IF($A28="","",IF($B28&gt;2800,2,IF($B28&gt;1400,1,0))*$BC$6*$D28)</f>
        <v/>
      </c>
      <c r="AR28">
        <f>IF($A28="","",2*$BC$6*$D28)</f>
        <v/>
      </c>
      <c r="AS28">
        <f>IF($A28="","",$BC$6*$D28)</f>
        <v/>
      </c>
      <c r="AT28">
        <f>IF($A28="","",2*$BC$6*$D28)</f>
        <v/>
      </c>
      <c r="AU28">
        <f>IF($A28="","",4*4*$D28)</f>
        <v/>
      </c>
      <c r="AV28">
        <f>IF($A28="","",16*4*$D28)</f>
        <v/>
      </c>
      <c r="AW28">
        <f>IF($A28="","",(2+MAX(0,ROUNDUP(($I28-1500)/500,0)))*$D28)</f>
        <v/>
      </c>
      <c r="AX28">
        <f>IF($A28="","",(2+MAX(0,ROUNDUP(($I28-1500)/500,0)))*$D28)</f>
        <v/>
      </c>
      <c r="AY28">
        <f>IF($A28="","",ROUND((2*2*($S28+$Q28)*4*$D28+$Y28*$Z28)/1000,1))</f>
        <v/>
      </c>
    </row>
    <row r="29" ht="40.15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8" t="n"/>
      <c r="AK29" s="69" t="n"/>
    </row>
    <row r="30" ht="40.15" customHeight="1">
      <c r="A30" s="70" t="inlineStr">
        <is>
          <t>จำนวนเส้น 6.4 ม. ที่ต้องสั่ง →</t>
        </is>
      </c>
      <c r="B30" s="20" t="n"/>
      <c r="C30" s="20" t="n"/>
      <c r="D30" s="21" t="n"/>
      <c r="E30" s="71">
        <f>E$7</f>
        <v/>
      </c>
      <c r="F30" s="72">
        <f>(ROUNDUP(F49/6400,0))</f>
        <v/>
      </c>
      <c r="G30" s="72">
        <f>G$7</f>
        <v/>
      </c>
      <c r="H30" s="72">
        <f>(ROUNDUP(H49/6400,0))</f>
        <v/>
      </c>
      <c r="I30" s="72">
        <f>I$7</f>
        <v/>
      </c>
      <c r="J30" s="72">
        <f>(ROUNDUP(J49/6400,0))</f>
        <v/>
      </c>
      <c r="K30" s="72">
        <f>K$7</f>
        <v/>
      </c>
      <c r="L30" s="72">
        <f>(ROUNDUP(L49/6400,0))</f>
        <v/>
      </c>
      <c r="M30" s="72">
        <f>M$7</f>
        <v/>
      </c>
      <c r="N30" s="72">
        <f>(ROUNDUP(N49/6400,0))</f>
        <v/>
      </c>
      <c r="O30" s="72">
        <f>O$7</f>
        <v/>
      </c>
      <c r="P30" s="72">
        <f>(ROUNDUP(P49/6400,0))</f>
        <v/>
      </c>
      <c r="Q30" s="72">
        <f>Q$7</f>
        <v/>
      </c>
      <c r="R30" s="20" t="n"/>
      <c r="S30" s="21" t="n"/>
      <c r="T30" s="72">
        <f>(ROUNDUP(SUM(R49:T49)/6400,0))</f>
        <v/>
      </c>
      <c r="U30" s="72">
        <f>U$7</f>
        <v/>
      </c>
      <c r="V30" s="20" t="n"/>
      <c r="W30" s="21" t="n"/>
      <c r="X30" s="72">
        <f>(ROUNDUP(SUM(V49:X49)/6400,0))</f>
        <v/>
      </c>
      <c r="Y30" s="72">
        <f>Y$7</f>
        <v/>
      </c>
      <c r="Z30" s="72">
        <f>(ROUNDUP(Z49/6400,0))</f>
        <v/>
      </c>
      <c r="AA30" s="72">
        <f>AA$7</f>
        <v/>
      </c>
      <c r="AB30" s="72">
        <f>(ROUNDUP(AB49/6400,0))</f>
        <v/>
      </c>
      <c r="AC30" s="72">
        <f>AC$7</f>
        <v/>
      </c>
      <c r="AD30" s="72">
        <f>(ROUNDUP(AD49/6400,0))</f>
        <v/>
      </c>
      <c r="AE30" s="72">
        <f>AE$7</f>
        <v/>
      </c>
      <c r="AH30" s="72">
        <f>(ROUNDUP(SUM(AF49:AH49)/6400,0))</f>
        <v/>
      </c>
      <c r="AI30" s="72">
        <f>AI$7</f>
        <v/>
      </c>
      <c r="AJ30" s="72" t="inlineStr">
        <is>
          <t>รวม</t>
        </is>
      </c>
      <c r="AK30">
        <f>SUM(AK11:AK28)</f>
        <v/>
      </c>
      <c r="AL30">
        <f>SUM(AL11:AL28)</f>
        <v/>
      </c>
      <c r="AM30">
        <f>SUM(AM11:AM28)</f>
        <v/>
      </c>
      <c r="AN30">
        <f>SUM(AN11:AN28)</f>
        <v/>
      </c>
      <c r="AO30">
        <f>SUM(AO11:AO28)</f>
        <v/>
      </c>
      <c r="AP30">
        <f>SUM(AP11:AP28)</f>
        <v/>
      </c>
      <c r="AQ30">
        <f>SUM(AQ11:AQ28)</f>
        <v/>
      </c>
      <c r="AR30">
        <f>SUM(AR11:AR28)</f>
        <v/>
      </c>
      <c r="AS30">
        <f>SUM(AS11:AS28)</f>
        <v/>
      </c>
      <c r="AT30">
        <f>SUM(AT11:AT28)</f>
        <v/>
      </c>
      <c r="AU30">
        <f>SUM(AU11:AU28)</f>
        <v/>
      </c>
      <c r="AV30">
        <f>SUM(AV11:AV28)</f>
        <v/>
      </c>
      <c r="AW30">
        <f>SUM(AW11:AW28)</f>
        <v/>
      </c>
      <c r="AX30">
        <f>SUM(AX11:AX28)</f>
        <v/>
      </c>
      <c r="AY30">
        <f>SUM(AY11:AY28)</f>
        <v/>
      </c>
    </row>
    <row r="31" hidden="1" ht="40.15" customHeight="1">
      <c r="F31" s="73">
        <f>IF($A11="","",F11*E11)</f>
        <v/>
      </c>
      <c r="G31" s="73" t="n"/>
      <c r="H31" s="73">
        <f>IF($A11="","",H11*G11)</f>
        <v/>
      </c>
      <c r="I31" s="73" t="n"/>
      <c r="J31" s="73">
        <f>IF($A11="","",J11*I11)</f>
        <v/>
      </c>
      <c r="K31" s="73" t="n"/>
      <c r="L31" s="73">
        <f>IF($A11="","",L11*K11)</f>
        <v/>
      </c>
      <c r="M31" s="73" t="n"/>
      <c r="N31" s="73">
        <f>IF($A11="","",N11*M11)</f>
        <v/>
      </c>
      <c r="O31" s="73" t="n"/>
      <c r="P31" s="73">
        <f>IF($A11="","",P11*O11)</f>
        <v/>
      </c>
      <c r="Q31" s="73" t="n"/>
      <c r="R31" s="73">
        <f>IF($A11="","",R11*Q11)</f>
        <v/>
      </c>
      <c r="S31" s="73" t="n"/>
      <c r="T31" s="73">
        <f>IF($A11="","",T11*S11)</f>
        <v/>
      </c>
      <c r="U31" s="73" t="n"/>
      <c r="V31" s="73">
        <f>IF($A11="","",V11*U11)</f>
        <v/>
      </c>
      <c r="W31" s="73" t="n"/>
      <c r="X31" s="73">
        <f>IF($A11="","",X11*W11)</f>
        <v/>
      </c>
      <c r="Y31" s="73" t="n"/>
      <c r="Z31" s="73">
        <f>IF($A11="","",Z11*Y11)</f>
        <v/>
      </c>
      <c r="AA31" s="73" t="n"/>
      <c r="AB31" s="73">
        <f>IF($A11="","",AB11*AA11)</f>
        <v/>
      </c>
      <c r="AC31" s="73" t="n"/>
      <c r="AD31" s="73">
        <f>IF($A11="","",AD11*AC11)</f>
        <v/>
      </c>
      <c r="AE31" s="73" t="n"/>
      <c r="AF31" s="73">
        <f>IF($A11="","",AF11*AE11)</f>
        <v/>
      </c>
      <c r="AG31" s="73" t="n"/>
      <c r="AH31" s="73">
        <f>IF($A11="","",AH11*AG11)</f>
        <v/>
      </c>
      <c r="AI31" s="73" t="n"/>
      <c r="AJ31" s="73">
        <f>IF($A11="","",AJ11*AI11)</f>
        <v/>
      </c>
    </row>
    <row r="32" hidden="1" ht="40.15" customHeight="1">
      <c r="F32" s="73">
        <f>IF($A12="","",F12*E12)</f>
        <v/>
      </c>
      <c r="G32" s="73" t="n"/>
      <c r="H32" s="73">
        <f>IF($A12="","",H12*G12)</f>
        <v/>
      </c>
      <c r="I32" s="73" t="n"/>
      <c r="J32" s="73">
        <f>IF($A12="","",J12*I12)</f>
        <v/>
      </c>
      <c r="K32" s="73" t="n"/>
      <c r="L32" s="73">
        <f>IF($A12="","",L12*K12)</f>
        <v/>
      </c>
      <c r="M32" s="73" t="n"/>
      <c r="N32" s="73">
        <f>IF($A12="","",N12*M12)</f>
        <v/>
      </c>
      <c r="O32" s="73" t="n"/>
      <c r="P32" s="73">
        <f>IF($A12="","",P12*O12)</f>
        <v/>
      </c>
      <c r="Q32" s="73" t="n"/>
      <c r="R32" s="73">
        <f>IF($A12="","",R12*Q12)</f>
        <v/>
      </c>
      <c r="S32" s="73" t="n"/>
      <c r="T32" s="73">
        <f>IF($A12="","",T12*S12)</f>
        <v/>
      </c>
      <c r="U32" s="73" t="n"/>
      <c r="V32" s="73">
        <f>IF($A12="","",V12*U12)</f>
        <v/>
      </c>
      <c r="W32" s="73" t="n"/>
      <c r="X32" s="73">
        <f>IF($A12="","",X12*W12)</f>
        <v/>
      </c>
      <c r="Y32" s="73" t="n"/>
      <c r="Z32" s="73">
        <f>IF($A12="","",Z12*Y12)</f>
        <v/>
      </c>
      <c r="AA32" s="73" t="n"/>
      <c r="AB32" s="73">
        <f>IF($A12="","",AB12*AA12)</f>
        <v/>
      </c>
      <c r="AC32" s="73" t="n"/>
      <c r="AD32" s="73">
        <f>IF($A12="","",AD12*AC12)</f>
        <v/>
      </c>
      <c r="AE32" s="73" t="n"/>
      <c r="AF32" s="73">
        <f>IF($A12="","",AF12*AE12)</f>
        <v/>
      </c>
      <c r="AG32" s="73" t="n"/>
      <c r="AH32" s="73">
        <f>IF($A12="","",AH12*AG12)</f>
        <v/>
      </c>
      <c r="AI32" s="73" t="n"/>
      <c r="AJ32" s="73">
        <f>IF($A12="","",AJ12*AI12)</f>
        <v/>
      </c>
    </row>
    <row r="33" hidden="1" ht="40.15" customHeight="1">
      <c r="F33" s="73">
        <f>IF($A13="","",F13*E13)</f>
        <v/>
      </c>
      <c r="G33" s="73" t="n"/>
      <c r="H33" s="73">
        <f>IF($A13="","",H13*G13)</f>
        <v/>
      </c>
      <c r="I33" s="73" t="n"/>
      <c r="J33" s="73">
        <f>IF($A13="","",J13*I13)</f>
        <v/>
      </c>
      <c r="K33" s="73" t="n"/>
      <c r="L33" s="73">
        <f>IF($A13="","",L13*K13)</f>
        <v/>
      </c>
      <c r="M33" s="73" t="n"/>
      <c r="N33" s="73">
        <f>IF($A13="","",N13*M13)</f>
        <v/>
      </c>
      <c r="O33" s="73" t="n"/>
      <c r="P33" s="73">
        <f>IF($A13="","",P13*O13)</f>
        <v/>
      </c>
      <c r="Q33" s="73" t="n"/>
      <c r="R33" s="73">
        <f>IF($A13="","",R13*Q13)</f>
        <v/>
      </c>
      <c r="S33" s="73" t="n"/>
      <c r="T33" s="73">
        <f>IF($A13="","",T13*S13)</f>
        <v/>
      </c>
      <c r="U33" s="73" t="n"/>
      <c r="V33" s="73">
        <f>IF($A13="","",V13*U13)</f>
        <v/>
      </c>
      <c r="W33" s="73" t="n"/>
      <c r="X33" s="73">
        <f>IF($A13="","",X13*W13)</f>
        <v/>
      </c>
      <c r="Y33" s="73" t="n"/>
      <c r="Z33" s="73">
        <f>IF($A13="","",Z13*Y13)</f>
        <v/>
      </c>
      <c r="AA33" s="73" t="n"/>
      <c r="AB33" s="73">
        <f>IF($A13="","",AB13*AA13)</f>
        <v/>
      </c>
      <c r="AC33" s="73" t="n"/>
      <c r="AD33" s="73">
        <f>IF($A13="","",AD13*AC13)</f>
        <v/>
      </c>
      <c r="AE33" s="73" t="n"/>
      <c r="AF33" s="73">
        <f>IF($A13="","",AF13*AE13)</f>
        <v/>
      </c>
      <c r="AG33" s="73" t="n"/>
      <c r="AH33" s="73">
        <f>IF($A13="","",AH13*AG13)</f>
        <v/>
      </c>
      <c r="AI33" s="73" t="n"/>
      <c r="AJ33" s="73">
        <f>IF($A13="","",AJ13*AI13)</f>
        <v/>
      </c>
    </row>
    <row r="34" hidden="1" ht="40.15" customHeight="1">
      <c r="F34" s="73">
        <f>IF($A14="","",F14*E14)</f>
        <v/>
      </c>
      <c r="G34" s="73" t="n"/>
      <c r="H34" s="73">
        <f>IF($A14="","",H14*G14)</f>
        <v/>
      </c>
      <c r="I34" s="73" t="n"/>
      <c r="J34" s="73">
        <f>IF($A14="","",J14*I14)</f>
        <v/>
      </c>
      <c r="K34" s="73" t="n"/>
      <c r="L34" s="73">
        <f>IF($A14="","",L14*K14)</f>
        <v/>
      </c>
      <c r="M34" s="73" t="n"/>
      <c r="N34" s="73">
        <f>IF($A14="","",N14*M14)</f>
        <v/>
      </c>
      <c r="O34" s="73" t="n"/>
      <c r="P34" s="73">
        <f>IF($A14="","",P14*O14)</f>
        <v/>
      </c>
      <c r="Q34" s="73" t="n"/>
      <c r="R34" s="73">
        <f>IF($A14="","",R14*Q14)</f>
        <v/>
      </c>
      <c r="S34" s="73" t="n"/>
      <c r="T34" s="73">
        <f>IF($A14="","",T14*S14)</f>
        <v/>
      </c>
      <c r="U34" s="73" t="n"/>
      <c r="V34" s="73">
        <f>IF($A14="","",V14*U14)</f>
        <v/>
      </c>
      <c r="W34" s="73" t="n"/>
      <c r="X34" s="73">
        <f>IF($A14="","",X14*W14)</f>
        <v/>
      </c>
      <c r="Y34" s="73" t="n"/>
      <c r="Z34" s="73">
        <f>IF($A14="","",Z14*Y14)</f>
        <v/>
      </c>
      <c r="AA34" s="73" t="n"/>
      <c r="AB34" s="73">
        <f>IF($A14="","",AB14*AA14)</f>
        <v/>
      </c>
      <c r="AC34" s="73" t="n"/>
      <c r="AD34" s="73">
        <f>IF($A14="","",AD14*AC14)</f>
        <v/>
      </c>
      <c r="AE34" s="73" t="n"/>
      <c r="AF34" s="73">
        <f>IF($A14="","",AF14*AE14)</f>
        <v/>
      </c>
      <c r="AG34" s="73" t="n"/>
      <c r="AH34" s="73">
        <f>IF($A14="","",AH14*AG14)</f>
        <v/>
      </c>
      <c r="AI34" s="73" t="n"/>
      <c r="AJ34" s="73">
        <f>IF($A14="","",AJ14*AI14)</f>
        <v/>
      </c>
    </row>
    <row r="35" hidden="1" ht="40.15" customHeight="1">
      <c r="F35" s="73">
        <f>IF($A15="","",F15*E15)</f>
        <v/>
      </c>
      <c r="G35" s="73" t="n"/>
      <c r="H35" s="73">
        <f>IF($A15="","",H15*G15)</f>
        <v/>
      </c>
      <c r="I35" s="73" t="n"/>
      <c r="J35" s="73">
        <f>IF($A15="","",J15*I15)</f>
        <v/>
      </c>
      <c r="K35" s="73" t="n"/>
      <c r="L35" s="73">
        <f>IF($A15="","",L15*K15)</f>
        <v/>
      </c>
      <c r="M35" s="73" t="n"/>
      <c r="N35" s="73">
        <f>IF($A15="","",N15*M15)</f>
        <v/>
      </c>
      <c r="O35" s="73" t="n"/>
      <c r="P35" s="73">
        <f>IF($A15="","",P15*O15)</f>
        <v/>
      </c>
      <c r="Q35" s="73" t="n"/>
      <c r="R35" s="73">
        <f>IF($A15="","",R15*Q15)</f>
        <v/>
      </c>
      <c r="S35" s="73" t="n"/>
      <c r="T35" s="73">
        <f>IF($A15="","",T15*S15)</f>
        <v/>
      </c>
      <c r="U35" s="73" t="n"/>
      <c r="V35" s="73">
        <f>IF($A15="","",V15*U15)</f>
        <v/>
      </c>
      <c r="W35" s="73" t="n"/>
      <c r="X35" s="73">
        <f>IF($A15="","",X15*W15)</f>
        <v/>
      </c>
      <c r="Y35" s="73" t="n"/>
      <c r="Z35" s="73">
        <f>IF($A15="","",Z15*Y15)</f>
        <v/>
      </c>
      <c r="AA35" s="73" t="n"/>
      <c r="AB35" s="73">
        <f>IF($A15="","",AB15*AA15)</f>
        <v/>
      </c>
      <c r="AC35" s="73" t="n"/>
      <c r="AD35" s="73">
        <f>IF($A15="","",AD15*AC15)</f>
        <v/>
      </c>
      <c r="AE35" s="73" t="n"/>
      <c r="AF35" s="73">
        <f>IF($A15="","",AF15*AE15)</f>
        <v/>
      </c>
      <c r="AG35" s="73" t="n"/>
      <c r="AH35" s="73">
        <f>IF($A15="","",AH15*AG15)</f>
        <v/>
      </c>
      <c r="AI35" s="73" t="n"/>
      <c r="AJ35" s="73">
        <f>IF($A15="","",AJ15*AI15)</f>
        <v/>
      </c>
    </row>
    <row r="36" hidden="1">
      <c r="F36" s="73">
        <f>IF($A16="","",F16*E16)</f>
        <v/>
      </c>
      <c r="G36" s="73" t="n"/>
      <c r="H36" s="73">
        <f>IF($A16="","",H16*G16)</f>
        <v/>
      </c>
      <c r="I36" s="73" t="n"/>
      <c r="J36" s="73">
        <f>IF($A16="","",J16*I16)</f>
        <v/>
      </c>
      <c r="K36" s="73" t="n"/>
      <c r="L36" s="73">
        <f>IF($A16="","",L16*K16)</f>
        <v/>
      </c>
      <c r="M36" s="73" t="n"/>
      <c r="N36" s="73">
        <f>IF($A16="","",N16*M16)</f>
        <v/>
      </c>
      <c r="O36" s="73" t="n"/>
      <c r="P36" s="73">
        <f>IF($A16="","",P16*O16)</f>
        <v/>
      </c>
      <c r="Q36" s="73" t="n"/>
      <c r="R36" s="73">
        <f>IF($A16="","",R16*Q16)</f>
        <v/>
      </c>
      <c r="S36" s="73" t="n"/>
      <c r="T36" s="73">
        <f>IF($A16="","",T16*S16)</f>
        <v/>
      </c>
      <c r="U36" s="73" t="n"/>
      <c r="V36" s="73">
        <f>IF($A16="","",V16*U16)</f>
        <v/>
      </c>
      <c r="W36" s="73" t="n"/>
      <c r="X36" s="73">
        <f>IF($A16="","",X16*W16)</f>
        <v/>
      </c>
      <c r="Y36" s="73" t="n"/>
      <c r="Z36" s="73">
        <f>IF($A16="","",Z16*Y16)</f>
        <v/>
      </c>
      <c r="AA36" s="73" t="n"/>
      <c r="AB36" s="73">
        <f>IF($A16="","",AB16*AA16)</f>
        <v/>
      </c>
      <c r="AC36" s="73" t="n"/>
      <c r="AD36" s="73">
        <f>IF($A16="","",AD16*AC16)</f>
        <v/>
      </c>
      <c r="AE36" s="73" t="n"/>
      <c r="AF36" s="73">
        <f>IF($A16="","",AF16*AE16)</f>
        <v/>
      </c>
      <c r="AG36" s="73" t="n"/>
      <c r="AH36" s="73">
        <f>IF($A16="","",AH16*AG16)</f>
        <v/>
      </c>
      <c r="AI36" s="73" t="n"/>
      <c r="AJ36" s="73">
        <f>IF($A16="","",AJ16*AI16)</f>
        <v/>
      </c>
    </row>
    <row r="37" hidden="1">
      <c r="F37" s="73">
        <f>IF($A17="","",F17*E17)</f>
        <v/>
      </c>
      <c r="G37" s="73" t="n"/>
      <c r="H37" s="73">
        <f>IF($A17="","",H17*G17)</f>
        <v/>
      </c>
      <c r="I37" s="73" t="n"/>
      <c r="J37" s="73">
        <f>IF($A17="","",J17*I17)</f>
        <v/>
      </c>
      <c r="K37" s="73" t="n"/>
      <c r="L37" s="73">
        <f>IF($A17="","",L17*K17)</f>
        <v/>
      </c>
      <c r="M37" s="73" t="n"/>
      <c r="N37" s="73">
        <f>IF($A17="","",N17*M17)</f>
        <v/>
      </c>
      <c r="O37" s="73" t="n"/>
      <c r="P37" s="73">
        <f>IF($A17="","",P17*O17)</f>
        <v/>
      </c>
      <c r="Q37" s="73" t="n"/>
      <c r="R37" s="73">
        <f>IF($A17="","",R17*Q17)</f>
        <v/>
      </c>
      <c r="S37" s="73" t="n"/>
      <c r="T37" s="73">
        <f>IF($A17="","",T17*S17)</f>
        <v/>
      </c>
      <c r="U37" s="73" t="n"/>
      <c r="V37" s="73">
        <f>IF($A17="","",V17*U17)</f>
        <v/>
      </c>
      <c r="W37" s="73" t="n"/>
      <c r="X37" s="73">
        <f>IF($A17="","",X17*W17)</f>
        <v/>
      </c>
      <c r="Y37" s="73" t="n"/>
      <c r="Z37" s="73">
        <f>IF($A17="","",Z17*Y17)</f>
        <v/>
      </c>
      <c r="AA37" s="73" t="n"/>
      <c r="AB37" s="73">
        <f>IF($A17="","",AB17*AA17)</f>
        <v/>
      </c>
      <c r="AC37" s="73" t="n"/>
      <c r="AD37" s="73">
        <f>IF($A17="","",AD17*AC17)</f>
        <v/>
      </c>
      <c r="AE37" s="73" t="n"/>
      <c r="AF37" s="73">
        <f>IF($A17="","",AF17*AE17)</f>
        <v/>
      </c>
      <c r="AG37" s="73" t="n"/>
      <c r="AH37" s="73">
        <f>IF($A17="","",AH17*AG17)</f>
        <v/>
      </c>
      <c r="AI37" s="73" t="n"/>
      <c r="AJ37" s="73">
        <f>IF($A17="","",AJ17*AI17)</f>
        <v/>
      </c>
    </row>
    <row r="38" hidden="1">
      <c r="F38" s="73">
        <f>IF($A18="","",F18*E18)</f>
        <v/>
      </c>
      <c r="G38" s="73" t="n"/>
      <c r="H38" s="73">
        <f>IF($A18="","",H18*G18)</f>
        <v/>
      </c>
      <c r="I38" s="73" t="n"/>
      <c r="J38" s="73">
        <f>IF($A18="","",J18*I18)</f>
        <v/>
      </c>
      <c r="K38" s="73" t="n"/>
      <c r="L38" s="73">
        <f>IF($A18="","",L18*K18)</f>
        <v/>
      </c>
      <c r="M38" s="73" t="n"/>
      <c r="N38" s="73">
        <f>IF($A18="","",N18*M18)</f>
        <v/>
      </c>
      <c r="O38" s="73" t="n"/>
      <c r="P38" s="73">
        <f>IF($A18="","",P18*O18)</f>
        <v/>
      </c>
      <c r="Q38" s="73" t="n"/>
      <c r="R38" s="73">
        <f>IF($A18="","",R18*Q18)</f>
        <v/>
      </c>
      <c r="S38" s="73" t="n"/>
      <c r="T38" s="73">
        <f>IF($A18="","",T18*S18)</f>
        <v/>
      </c>
      <c r="U38" s="73" t="n"/>
      <c r="V38" s="73">
        <f>IF($A18="","",V18*U18)</f>
        <v/>
      </c>
      <c r="W38" s="73" t="n"/>
      <c r="X38" s="73">
        <f>IF($A18="","",X18*W18)</f>
        <v/>
      </c>
      <c r="Y38" s="73" t="n"/>
      <c r="Z38" s="73">
        <f>IF($A18="","",Z18*Y18)</f>
        <v/>
      </c>
      <c r="AA38" s="73" t="n"/>
      <c r="AB38" s="73">
        <f>IF($A18="","",AB18*AA18)</f>
        <v/>
      </c>
      <c r="AC38" s="73" t="n"/>
      <c r="AD38" s="73">
        <f>IF($A18="","",AD18*AC18)</f>
        <v/>
      </c>
      <c r="AE38" s="73" t="n"/>
      <c r="AF38" s="73">
        <f>IF($A18="","",AF18*AE18)</f>
        <v/>
      </c>
      <c r="AG38" s="73" t="n"/>
      <c r="AH38" s="73">
        <f>IF($A18="","",AH18*AG18)</f>
        <v/>
      </c>
      <c r="AI38" s="73" t="n"/>
      <c r="AJ38" s="73">
        <f>IF($A18="","",AJ18*AI18)</f>
        <v/>
      </c>
    </row>
    <row r="39" hidden="1">
      <c r="F39" s="73">
        <f>IF($A19="","",F19*E19)</f>
        <v/>
      </c>
      <c r="G39" s="73" t="n"/>
      <c r="H39" s="73">
        <f>IF($A19="","",H19*G19)</f>
        <v/>
      </c>
      <c r="I39" s="73" t="n"/>
      <c r="J39" s="73">
        <f>IF($A19="","",J19*I19)</f>
        <v/>
      </c>
      <c r="K39" s="73" t="n"/>
      <c r="L39" s="73">
        <f>IF($A19="","",L19*K19)</f>
        <v/>
      </c>
      <c r="M39" s="73" t="n"/>
      <c r="N39" s="73">
        <f>IF($A19="","",N19*M19)</f>
        <v/>
      </c>
      <c r="O39" s="73" t="n"/>
      <c r="P39" s="73">
        <f>IF($A19="","",P19*O19)</f>
        <v/>
      </c>
      <c r="Q39" s="73" t="n"/>
      <c r="R39" s="73">
        <f>IF($A19="","",R19*Q19)</f>
        <v/>
      </c>
      <c r="S39" s="73" t="n"/>
      <c r="T39" s="73">
        <f>IF($A19="","",T19*S19)</f>
        <v/>
      </c>
      <c r="U39" s="73" t="n"/>
      <c r="V39" s="73">
        <f>IF($A19="","",V19*U19)</f>
        <v/>
      </c>
      <c r="W39" s="73" t="n"/>
      <c r="X39" s="73">
        <f>IF($A19="","",X19*W19)</f>
        <v/>
      </c>
      <c r="Y39" s="73" t="n"/>
      <c r="Z39" s="73">
        <f>IF($A19="","",Z19*Y19)</f>
        <v/>
      </c>
      <c r="AA39" s="73" t="n"/>
      <c r="AB39" s="73">
        <f>IF($A19="","",AB19*AA19)</f>
        <v/>
      </c>
      <c r="AC39" s="73" t="n"/>
      <c r="AD39" s="73">
        <f>IF($A19="","",AD19*AC19)</f>
        <v/>
      </c>
      <c r="AE39" s="73" t="n"/>
      <c r="AF39" s="73">
        <f>IF($A19="","",AF19*AE19)</f>
        <v/>
      </c>
      <c r="AG39" s="73" t="n"/>
      <c r="AH39" s="73">
        <f>IF($A19="","",AH19*AG19)</f>
        <v/>
      </c>
      <c r="AI39" s="73" t="n"/>
      <c r="AJ39" s="73">
        <f>IF($A19="","",AJ19*AI19)</f>
        <v/>
      </c>
    </row>
    <row r="40" hidden="1">
      <c r="F40" s="73">
        <f>IF($A20="","",F20*E20)</f>
        <v/>
      </c>
      <c r="G40" s="73" t="n"/>
      <c r="H40" s="73">
        <f>IF($A20="","",H20*G20)</f>
        <v/>
      </c>
      <c r="I40" s="73" t="n"/>
      <c r="J40" s="73">
        <f>IF($A20="","",J20*I20)</f>
        <v/>
      </c>
      <c r="K40" s="73" t="n"/>
      <c r="L40" s="73">
        <f>IF($A20="","",L20*K20)</f>
        <v/>
      </c>
      <c r="M40" s="73" t="n"/>
      <c r="N40" s="73">
        <f>IF($A20="","",N20*M20)</f>
        <v/>
      </c>
      <c r="O40" s="73" t="n"/>
      <c r="P40" s="73">
        <f>IF($A20="","",P20*O20)</f>
        <v/>
      </c>
      <c r="Q40" s="73" t="n"/>
      <c r="R40" s="73">
        <f>IF($A20="","",R20*Q20)</f>
        <v/>
      </c>
      <c r="S40" s="73" t="n"/>
      <c r="T40" s="73">
        <f>IF($A20="","",T20*S20)</f>
        <v/>
      </c>
      <c r="U40" s="73" t="n"/>
      <c r="V40" s="73">
        <f>IF($A20="","",V20*U20)</f>
        <v/>
      </c>
      <c r="W40" s="73" t="n"/>
      <c r="X40" s="73">
        <f>IF($A20="","",X20*W20)</f>
        <v/>
      </c>
      <c r="Y40" s="73" t="n"/>
      <c r="Z40" s="73">
        <f>IF($A20="","",Z20*Y20)</f>
        <v/>
      </c>
      <c r="AA40" s="73" t="n"/>
      <c r="AB40" s="73">
        <f>IF($A20="","",AB20*AA20)</f>
        <v/>
      </c>
      <c r="AC40" s="73" t="n"/>
      <c r="AD40" s="73">
        <f>IF($A20="","",AD20*AC20)</f>
        <v/>
      </c>
      <c r="AE40" s="73" t="n"/>
      <c r="AF40" s="73">
        <f>IF($A20="","",AF20*AE20)</f>
        <v/>
      </c>
      <c r="AG40" s="73" t="n"/>
      <c r="AH40" s="73">
        <f>IF($A20="","",AH20*AG20)</f>
        <v/>
      </c>
      <c r="AI40" s="73" t="n"/>
      <c r="AJ40" s="73">
        <f>IF($A20="","",AJ20*AI20)</f>
        <v/>
      </c>
    </row>
    <row r="41" hidden="1">
      <c r="F41" s="73">
        <f>IF($A21="","",F21*E21)</f>
        <v/>
      </c>
      <c r="G41" s="73" t="n"/>
      <c r="H41" s="73">
        <f>IF($A21="","",H21*G21)</f>
        <v/>
      </c>
      <c r="I41" s="73" t="n"/>
      <c r="J41" s="73">
        <f>IF($A21="","",J21*I21)</f>
        <v/>
      </c>
      <c r="K41" s="73" t="n"/>
      <c r="L41" s="73">
        <f>IF($A21="","",L21*K21)</f>
        <v/>
      </c>
      <c r="M41" s="73" t="n"/>
      <c r="N41" s="73">
        <f>IF($A21="","",N21*M21)</f>
        <v/>
      </c>
      <c r="O41" s="73" t="n"/>
      <c r="P41" s="73">
        <f>IF($A21="","",P21*O21)</f>
        <v/>
      </c>
      <c r="Q41" s="73" t="n"/>
      <c r="R41" s="73">
        <f>IF($A21="","",R21*Q21)</f>
        <v/>
      </c>
      <c r="S41" s="73" t="n"/>
      <c r="T41" s="73">
        <f>IF($A21="","",T21*S21)</f>
        <v/>
      </c>
      <c r="U41" s="73" t="n"/>
      <c r="V41" s="73">
        <f>IF($A21="","",V21*U21)</f>
        <v/>
      </c>
      <c r="W41" s="73" t="n"/>
      <c r="X41" s="73">
        <f>IF($A21="","",X21*W21)</f>
        <v/>
      </c>
      <c r="Y41" s="73" t="n"/>
      <c r="Z41" s="73">
        <f>IF($A21="","",Z21*Y21)</f>
        <v/>
      </c>
      <c r="AA41" s="73" t="n"/>
      <c r="AB41" s="73">
        <f>IF($A21="","",AB21*AA21)</f>
        <v/>
      </c>
      <c r="AC41" s="73" t="n"/>
      <c r="AD41" s="73">
        <f>IF($A21="","",AD21*AC21)</f>
        <v/>
      </c>
      <c r="AE41" s="73" t="n"/>
      <c r="AF41" s="73">
        <f>IF($A21="","",AF21*AE21)</f>
        <v/>
      </c>
      <c r="AG41" s="73" t="n"/>
      <c r="AH41" s="73">
        <f>IF($A21="","",AH21*AG21)</f>
        <v/>
      </c>
      <c r="AI41" s="73" t="n"/>
      <c r="AJ41" s="73">
        <f>IF($A21="","",AJ21*AI21)</f>
        <v/>
      </c>
    </row>
    <row r="42" hidden="1">
      <c r="F42" s="73">
        <f>IF($A22="","",F22*E22)</f>
        <v/>
      </c>
      <c r="G42" s="73" t="n"/>
      <c r="H42" s="73">
        <f>IF($A22="","",H22*G22)</f>
        <v/>
      </c>
      <c r="I42" s="73" t="n"/>
      <c r="J42" s="73">
        <f>IF($A22="","",J22*I22)</f>
        <v/>
      </c>
      <c r="K42" s="73" t="n"/>
      <c r="L42" s="73">
        <f>IF($A22="","",L22*K22)</f>
        <v/>
      </c>
      <c r="M42" s="73" t="n"/>
      <c r="N42" s="73">
        <f>IF($A22="","",N22*M22)</f>
        <v/>
      </c>
      <c r="O42" s="73" t="n"/>
      <c r="P42" s="73">
        <f>IF($A22="","",P22*O22)</f>
        <v/>
      </c>
      <c r="Q42" s="73" t="n"/>
      <c r="R42" s="73">
        <f>IF($A22="","",R22*Q22)</f>
        <v/>
      </c>
      <c r="S42" s="73" t="n"/>
      <c r="T42" s="73">
        <f>IF($A22="","",T22*S22)</f>
        <v/>
      </c>
      <c r="U42" s="73" t="n"/>
      <c r="V42" s="73">
        <f>IF($A22="","",V22*U22)</f>
        <v/>
      </c>
      <c r="W42" s="73" t="n"/>
      <c r="X42" s="73">
        <f>IF($A22="","",X22*W22)</f>
        <v/>
      </c>
      <c r="Y42" s="73" t="n"/>
      <c r="Z42" s="73">
        <f>IF($A22="","",Z22*Y22)</f>
        <v/>
      </c>
      <c r="AA42" s="73" t="n"/>
      <c r="AB42" s="73">
        <f>IF($A22="","",AB22*AA22)</f>
        <v/>
      </c>
      <c r="AC42" s="73" t="n"/>
      <c r="AD42" s="73">
        <f>IF($A22="","",AD22*AC22)</f>
        <v/>
      </c>
      <c r="AE42" s="73" t="n"/>
      <c r="AF42" s="73">
        <f>IF($A22="","",AF22*AE22)</f>
        <v/>
      </c>
      <c r="AG42" s="73" t="n"/>
      <c r="AH42" s="73">
        <f>IF($A22="","",AH22*AG22)</f>
        <v/>
      </c>
      <c r="AI42" s="73" t="n"/>
      <c r="AJ42" s="73">
        <f>IF($A22="","",AJ22*AI22)</f>
        <v/>
      </c>
    </row>
    <row r="43" hidden="1">
      <c r="F43" s="73">
        <f>IF($A23="","",F23*E23)</f>
        <v/>
      </c>
      <c r="G43" s="73" t="n"/>
      <c r="H43" s="73">
        <f>IF($A23="","",H23*G23)</f>
        <v/>
      </c>
      <c r="I43" s="73" t="n"/>
      <c r="J43" s="73">
        <f>IF($A23="","",J23*I23)</f>
        <v/>
      </c>
      <c r="K43" s="73" t="n"/>
      <c r="L43" s="73">
        <f>IF($A23="","",L23*K23)</f>
        <v/>
      </c>
      <c r="M43" s="73" t="n"/>
      <c r="N43" s="73">
        <f>IF($A23="","",N23*M23)</f>
        <v/>
      </c>
      <c r="O43" s="73" t="n"/>
      <c r="P43" s="73">
        <f>IF($A23="","",P23*O23)</f>
        <v/>
      </c>
      <c r="Q43" s="73" t="n"/>
      <c r="R43" s="73">
        <f>IF($A23="","",R23*Q23)</f>
        <v/>
      </c>
      <c r="S43" s="73" t="n"/>
      <c r="T43" s="73">
        <f>IF($A23="","",T23*S23)</f>
        <v/>
      </c>
      <c r="U43" s="73" t="n"/>
      <c r="V43" s="73">
        <f>IF($A23="","",V23*U23)</f>
        <v/>
      </c>
      <c r="W43" s="73" t="n"/>
      <c r="X43" s="73">
        <f>IF($A23="","",X23*W23)</f>
        <v/>
      </c>
      <c r="Y43" s="73" t="n"/>
      <c r="Z43" s="73">
        <f>IF($A23="","",Z23*Y23)</f>
        <v/>
      </c>
      <c r="AA43" s="73" t="n"/>
      <c r="AB43" s="73">
        <f>IF($A23="","",AB23*AA23)</f>
        <v/>
      </c>
      <c r="AC43" s="73" t="n"/>
      <c r="AD43" s="73">
        <f>IF($A23="","",AD23*AC23)</f>
        <v/>
      </c>
      <c r="AE43" s="73" t="n"/>
      <c r="AF43" s="73">
        <f>IF($A23="","",AF23*AE23)</f>
        <v/>
      </c>
      <c r="AG43" s="73" t="n"/>
      <c r="AH43" s="73">
        <f>IF($A23="","",AH23*AG23)</f>
        <v/>
      </c>
      <c r="AI43" s="73" t="n"/>
      <c r="AJ43" s="73">
        <f>IF($A23="","",AJ23*AI23)</f>
        <v/>
      </c>
    </row>
    <row r="44" hidden="1">
      <c r="F44" s="73">
        <f>IF($A24="","",F24*E24)</f>
        <v/>
      </c>
      <c r="G44" s="73" t="n"/>
      <c r="H44" s="73">
        <f>IF($A24="","",H24*G24)</f>
        <v/>
      </c>
      <c r="I44" s="73" t="n"/>
      <c r="J44" s="73">
        <f>IF($A24="","",J24*I24)</f>
        <v/>
      </c>
      <c r="K44" s="73" t="n"/>
      <c r="L44" s="73">
        <f>IF($A24="","",L24*K24)</f>
        <v/>
      </c>
      <c r="M44" s="73" t="n"/>
      <c r="N44" s="73">
        <f>IF($A24="","",N24*M24)</f>
        <v/>
      </c>
      <c r="O44" s="73" t="n"/>
      <c r="P44" s="73">
        <f>IF($A24="","",P24*O24)</f>
        <v/>
      </c>
      <c r="Q44" s="73" t="n"/>
      <c r="R44" s="73">
        <f>IF($A24="","",R24*Q24)</f>
        <v/>
      </c>
      <c r="S44" s="73" t="n"/>
      <c r="T44" s="73">
        <f>IF($A24="","",T24*S24)</f>
        <v/>
      </c>
      <c r="U44" s="73" t="n"/>
      <c r="V44" s="73">
        <f>IF($A24="","",V24*U24)</f>
        <v/>
      </c>
      <c r="W44" s="73" t="n"/>
      <c r="X44" s="73">
        <f>IF($A24="","",X24*W24)</f>
        <v/>
      </c>
      <c r="Y44" s="73" t="n"/>
      <c r="Z44" s="73">
        <f>IF($A24="","",Z24*Y24)</f>
        <v/>
      </c>
      <c r="AA44" s="73" t="n"/>
      <c r="AB44" s="73">
        <f>IF($A24="","",AB24*AA24)</f>
        <v/>
      </c>
      <c r="AC44" s="73" t="n"/>
      <c r="AD44" s="73">
        <f>IF($A24="","",AD24*AC24)</f>
        <v/>
      </c>
      <c r="AE44" s="73" t="n"/>
      <c r="AF44" s="73">
        <f>IF($A24="","",AF24*AE24)</f>
        <v/>
      </c>
      <c r="AG44" s="73" t="n"/>
      <c r="AH44" s="73">
        <f>IF($A24="","",AH24*AG24)</f>
        <v/>
      </c>
      <c r="AI44" s="73" t="n"/>
      <c r="AJ44" s="73">
        <f>IF($A24="","",AJ24*AI24)</f>
        <v/>
      </c>
    </row>
    <row r="45" hidden="1">
      <c r="F45" s="73">
        <f>IF($A25="","",F25*E25)</f>
        <v/>
      </c>
      <c r="G45" s="73" t="n"/>
      <c r="H45" s="73">
        <f>IF($A25="","",H25*G25)</f>
        <v/>
      </c>
      <c r="I45" s="73" t="n"/>
      <c r="J45" s="73">
        <f>IF($A25="","",J25*I25)</f>
        <v/>
      </c>
      <c r="K45" s="73" t="n"/>
      <c r="L45" s="73">
        <f>IF($A25="","",L25*K25)</f>
        <v/>
      </c>
      <c r="M45" s="73" t="n"/>
      <c r="N45" s="73">
        <f>IF($A25="","",N25*M25)</f>
        <v/>
      </c>
      <c r="O45" s="73" t="n"/>
      <c r="P45" s="73">
        <f>IF($A25="","",P25*O25)</f>
        <v/>
      </c>
      <c r="Q45" s="73" t="n"/>
      <c r="R45" s="73">
        <f>IF($A25="","",R25*Q25)</f>
        <v/>
      </c>
      <c r="S45" s="73" t="n"/>
      <c r="T45" s="73">
        <f>IF($A25="","",T25*S25)</f>
        <v/>
      </c>
      <c r="U45" s="73" t="n"/>
      <c r="V45" s="73">
        <f>IF($A25="","",V25*U25)</f>
        <v/>
      </c>
      <c r="W45" s="73" t="n"/>
      <c r="X45" s="73">
        <f>IF($A25="","",X25*W25)</f>
        <v/>
      </c>
      <c r="Y45" s="73" t="n"/>
      <c r="Z45" s="73">
        <f>IF($A25="","",Z25*Y25)</f>
        <v/>
      </c>
      <c r="AA45" s="73" t="n"/>
      <c r="AB45" s="73">
        <f>IF($A25="","",AB25*AA25)</f>
        <v/>
      </c>
      <c r="AC45" s="73" t="n"/>
      <c r="AD45" s="73">
        <f>IF($A25="","",AD25*AC25)</f>
        <v/>
      </c>
      <c r="AE45" s="73" t="n"/>
      <c r="AF45" s="73">
        <f>IF($A25="","",AF25*AE25)</f>
        <v/>
      </c>
      <c r="AG45" s="73" t="n"/>
      <c r="AH45" s="73">
        <f>IF($A25="","",AH25*AG25)</f>
        <v/>
      </c>
      <c r="AI45" s="73" t="n"/>
      <c r="AJ45" s="73">
        <f>IF($A25="","",AJ25*AI25)</f>
        <v/>
      </c>
    </row>
    <row r="46" hidden="1">
      <c r="F46" s="73">
        <f>IF($A26="","",F26*E26)</f>
        <v/>
      </c>
      <c r="G46" s="73" t="n"/>
      <c r="H46" s="73">
        <f>IF($A26="","",H26*G26)</f>
        <v/>
      </c>
      <c r="I46" s="73" t="n"/>
      <c r="J46" s="73">
        <f>IF($A26="","",J26*I26)</f>
        <v/>
      </c>
      <c r="K46" s="73" t="n"/>
      <c r="L46" s="73">
        <f>IF($A26="","",L26*K26)</f>
        <v/>
      </c>
      <c r="M46" s="73" t="n"/>
      <c r="N46" s="73">
        <f>IF($A26="","",N26*M26)</f>
        <v/>
      </c>
      <c r="O46" s="73" t="n"/>
      <c r="P46" s="73">
        <f>IF($A26="","",P26*O26)</f>
        <v/>
      </c>
      <c r="Q46" s="73" t="n"/>
      <c r="R46" s="73">
        <f>IF($A26="","",R26*Q26)</f>
        <v/>
      </c>
      <c r="S46" s="73" t="n"/>
      <c r="T46" s="73">
        <f>IF($A26="","",T26*S26)</f>
        <v/>
      </c>
      <c r="U46" s="73" t="n"/>
      <c r="V46" s="73">
        <f>IF($A26="","",V26*U26)</f>
        <v/>
      </c>
      <c r="W46" s="73" t="n"/>
      <c r="X46" s="73">
        <f>IF($A26="","",X26*W26)</f>
        <v/>
      </c>
      <c r="Y46" s="73" t="n"/>
      <c r="Z46" s="73">
        <f>IF($A26="","",Z26*Y26)</f>
        <v/>
      </c>
      <c r="AA46" s="73" t="n"/>
      <c r="AB46" s="73">
        <f>IF($A26="","",AB26*AA26)</f>
        <v/>
      </c>
      <c r="AC46" s="73" t="n"/>
      <c r="AD46" s="73">
        <f>IF($A26="","",AD26*AC26)</f>
        <v/>
      </c>
      <c r="AE46" s="73" t="n"/>
      <c r="AF46" s="73">
        <f>IF($A26="","",AF26*AE26)</f>
        <v/>
      </c>
      <c r="AG46" s="73" t="n"/>
      <c r="AH46" s="73">
        <f>IF($A26="","",AH26*AG26)</f>
        <v/>
      </c>
      <c r="AI46" s="73" t="n"/>
      <c r="AJ46" s="73">
        <f>IF($A26="","",AJ26*AI26)</f>
        <v/>
      </c>
    </row>
    <row r="47" hidden="1">
      <c r="F47" s="73">
        <f>IF($A27="","",F27*E27)</f>
        <v/>
      </c>
      <c r="G47" s="73" t="n"/>
      <c r="H47" s="73">
        <f>IF($A27="","",H27*G27)</f>
        <v/>
      </c>
      <c r="I47" s="73" t="n"/>
      <c r="J47" s="73">
        <f>IF($A27="","",J27*I27)</f>
        <v/>
      </c>
      <c r="K47" s="73" t="n"/>
      <c r="L47" s="73">
        <f>IF($A27="","",L27*K27)</f>
        <v/>
      </c>
      <c r="M47" s="73" t="n"/>
      <c r="N47" s="73">
        <f>IF($A27="","",N27*M27)</f>
        <v/>
      </c>
      <c r="O47" s="73" t="n"/>
      <c r="P47" s="73">
        <f>IF($A27="","",P27*O27)</f>
        <v/>
      </c>
      <c r="Q47" s="73" t="n"/>
      <c r="R47" s="73">
        <f>IF($A27="","",R27*Q27)</f>
        <v/>
      </c>
      <c r="S47" s="73" t="n"/>
      <c r="T47" s="73">
        <f>IF($A27="","",T27*S27)</f>
        <v/>
      </c>
      <c r="U47" s="73" t="n"/>
      <c r="V47" s="73">
        <f>IF($A27="","",V27*U27)</f>
        <v/>
      </c>
      <c r="W47" s="73" t="n"/>
      <c r="X47" s="73">
        <f>IF($A27="","",X27*W27)</f>
        <v/>
      </c>
      <c r="Y47" s="73" t="n"/>
      <c r="Z47" s="73">
        <f>IF($A27="","",Z27*Y27)</f>
        <v/>
      </c>
      <c r="AA47" s="73" t="n"/>
      <c r="AB47" s="73">
        <f>IF($A27="","",AB27*AA27)</f>
        <v/>
      </c>
      <c r="AC47" s="73" t="n"/>
      <c r="AD47" s="73">
        <f>IF($A27="","",AD27*AC27)</f>
        <v/>
      </c>
      <c r="AE47" s="73" t="n"/>
      <c r="AF47" s="73">
        <f>IF($A27="","",AF27*AE27)</f>
        <v/>
      </c>
      <c r="AG47" s="73" t="n"/>
      <c r="AH47" s="73">
        <f>IF($A27="","",AH27*AG27)</f>
        <v/>
      </c>
      <c r="AI47" s="73" t="n"/>
      <c r="AJ47" s="73">
        <f>IF($A27="","",AJ27*AI27)</f>
        <v/>
      </c>
    </row>
    <row r="48" hidden="1">
      <c r="F48" s="73">
        <f>IF($A28="","",F28*E28)</f>
        <v/>
      </c>
      <c r="G48" s="73" t="n"/>
      <c r="H48" s="73">
        <f>IF($A28="","",H28*G28)</f>
        <v/>
      </c>
      <c r="I48" s="73" t="n"/>
      <c r="J48" s="73">
        <f>IF($A28="","",J28*I28)</f>
        <v/>
      </c>
      <c r="K48" s="73" t="n"/>
      <c r="L48" s="73">
        <f>IF($A28="","",L28*K28)</f>
        <v/>
      </c>
      <c r="M48" s="73" t="n"/>
      <c r="N48" s="73">
        <f>IF($A28="","",N28*M28)</f>
        <v/>
      </c>
      <c r="O48" s="73" t="n"/>
      <c r="P48" s="73">
        <f>IF($A28="","",P28*O28)</f>
        <v/>
      </c>
      <c r="Q48" s="73" t="n"/>
      <c r="R48" s="73">
        <f>IF($A28="","",R28*Q28)</f>
        <v/>
      </c>
      <c r="S48" s="73" t="n"/>
      <c r="T48" s="73">
        <f>IF($A28="","",T28*S28)</f>
        <v/>
      </c>
      <c r="U48" s="73" t="n"/>
      <c r="V48" s="73">
        <f>IF($A28="","",V28*U28)</f>
        <v/>
      </c>
      <c r="W48" s="73" t="n"/>
      <c r="X48" s="73">
        <f>IF($A28="","",X28*W28)</f>
        <v/>
      </c>
      <c r="Y48" s="73" t="n"/>
      <c r="Z48" s="73">
        <f>IF($A28="","",Z28*Y28)</f>
        <v/>
      </c>
      <c r="AA48" s="73" t="n"/>
      <c r="AB48" s="73">
        <f>IF($A28="","",AB28*AA28)</f>
        <v/>
      </c>
      <c r="AC48" s="73" t="n"/>
      <c r="AD48" s="73">
        <f>IF($A28="","",AD28*AC28)</f>
        <v/>
      </c>
      <c r="AE48" s="73" t="n"/>
      <c r="AF48" s="73">
        <f>IF($A28="","",AF28*AE28)</f>
        <v/>
      </c>
      <c r="AG48" s="73" t="n"/>
      <c r="AH48" s="73">
        <f>IF($A28="","",AH28*AG28)</f>
        <v/>
      </c>
      <c r="AI48" s="73" t="n"/>
      <c r="AJ48" s="73">
        <f>IF($A28="","",AJ28*AI28)</f>
        <v/>
      </c>
    </row>
    <row r="49" hidden="1">
      <c r="F49" s="74">
        <f>SUMIF(F31:F48,"&gt;0")</f>
        <v/>
      </c>
      <c r="H49" s="74">
        <f>SUMIF(H31:H48,"&gt;0")</f>
        <v/>
      </c>
      <c r="I49" s="74" t="n"/>
      <c r="J49" s="74">
        <f>SUMIF(J31:J48,"&gt;0")</f>
        <v/>
      </c>
      <c r="L49" s="74">
        <f>SUMIF(L31:L48,"&gt;0")</f>
        <v/>
      </c>
      <c r="M49" s="74" t="n"/>
      <c r="N49" s="74">
        <f>SUMIF(N31:N48,"&gt;0")</f>
        <v/>
      </c>
      <c r="O49" s="74" t="n"/>
      <c r="P49" s="74">
        <f>SUMIF(P31:P48,"&gt;0")</f>
        <v/>
      </c>
      <c r="Q49" s="74" t="n"/>
      <c r="R49" s="74">
        <f>SUMIF(R31:R48,"&gt;0")</f>
        <v/>
      </c>
      <c r="S49" s="74" t="n"/>
      <c r="T49" s="74">
        <f>SUMIF(T31:T48,"&gt;0")</f>
        <v/>
      </c>
      <c r="V49" s="74">
        <f>SUMIF(V31:V48,"&gt;0")</f>
        <v/>
      </c>
      <c r="W49" s="74" t="n"/>
      <c r="X49" s="74">
        <f>SUMIF(X31:X48,"&gt;0")</f>
        <v/>
      </c>
      <c r="Y49" s="74" t="n"/>
      <c r="Z49" s="74">
        <f>SUMIF(Z31:Z48,"&gt;0")</f>
        <v/>
      </c>
      <c r="AA49" s="74" t="n"/>
      <c r="AB49" s="74">
        <f>SUMIF(AB31:AB48,"&gt;0")</f>
        <v/>
      </c>
      <c r="AD49" s="74">
        <f>SUMIF(AD31:AD48,"&gt;0")</f>
        <v/>
      </c>
      <c r="AE49" s="74" t="n"/>
      <c r="AF49" s="74">
        <f>SUMIF(AF31:AF48,"&gt;0")</f>
        <v/>
      </c>
      <c r="AG49" s="74" t="n"/>
      <c r="AH49" s="74">
        <f>SUMIF(AH31:AH48,"&gt;0")</f>
        <v/>
      </c>
      <c r="AI49" s="74" t="n"/>
      <c r="AJ49" s="74">
        <f>SUMIF(AJ31:AJ48,"&gt;0")</f>
        <v/>
      </c>
    </row>
    <row r="52">
      <c r="A52" s="75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</row>
    <row r="53">
      <c r="A53" s="77" t="inlineStr">
        <is>
          <t>#</t>
        </is>
      </c>
      <c r="B53" s="77" t="inlineStr">
        <is>
          <t>โปรไฟล์</t>
        </is>
      </c>
      <c r="C53" s="77" t="inlineStr">
        <is>
          <t>รหัส</t>
        </is>
      </c>
      <c r="D53" s="77" t="inlineStr">
        <is>
          <t>สูตรตัด (เดิม)</t>
        </is>
      </c>
      <c r="E53" s="77" t="inlineStr">
        <is>
          <t>หัก1</t>
        </is>
      </c>
      <c r="F53" s="77" t="inlineStr">
        <is>
          <t>หัก2</t>
        </is>
      </c>
      <c r="G53" s="77" t="inlineStr">
        <is>
          <t>หัก3</t>
        </is>
      </c>
      <c r="H53" s="77" t="inlineStr">
        <is>
          <t>หัก4</t>
        </is>
      </c>
      <c r="I53" s="77" t="inlineStr">
        <is>
          <t>หัก5</t>
        </is>
      </c>
      <c r="J53" s="77" t="inlineStr">
        <is>
          <t>หัก6</t>
        </is>
      </c>
      <c r="K53" s="77" t="inlineStr">
        <is>
          <t>หัก7</t>
        </is>
      </c>
      <c r="L53" s="77" t="inlineStr">
        <is>
          <t>จำนวน/ชุด</t>
        </is>
      </c>
      <c r="M53" s="122" t="n"/>
    </row>
    <row r="54" ht="44" customHeight="1">
      <c r="A54" s="78" t="n">
        <v>1</v>
      </c>
      <c r="B54" s="79" t="inlineStr">
        <is>
          <t>เฟรมข้าง</t>
        </is>
      </c>
      <c r="C54" s="80" t="inlineStr">
        <is>
          <t>F7979</t>
        </is>
      </c>
      <c r="D54" s="81" t="inlineStr">
        <is>
          <t>สูง</t>
        </is>
      </c>
      <c r="E54" s="82" t="n"/>
      <c r="F54" s="82" t="n"/>
      <c r="G54" s="82" t="n"/>
      <c r="H54" s="82" t="n"/>
      <c r="I54" s="82" t="n"/>
      <c r="J54" s="82" t="n"/>
      <c r="K54" s="82" t="n"/>
      <c r="L54" s="83" t="n">
        <v>4</v>
      </c>
      <c r="M54" s="82" t="n"/>
    </row>
    <row r="55" ht="44" customHeight="1">
      <c r="A55" s="78" t="n">
        <v>2</v>
      </c>
      <c r="B55" s="79" t="inlineStr">
        <is>
          <t>ต่อเฟรมข้าง</t>
        </is>
      </c>
      <c r="C55" s="80" t="inlineStr">
        <is>
          <t>F7989</t>
        </is>
      </c>
      <c r="D55" s="81" t="inlineStr">
        <is>
          <t>สูง</t>
        </is>
      </c>
      <c r="E55" s="82" t="n"/>
      <c r="F55" s="82" t="n"/>
      <c r="G55" s="82" t="n"/>
      <c r="H55" s="82" t="n"/>
      <c r="I55" s="82" t="n"/>
      <c r="J55" s="82" t="n"/>
      <c r="K55" s="82" t="n"/>
      <c r="L55" s="83" t="n">
        <v>2</v>
      </c>
      <c r="M55" s="82" t="n"/>
    </row>
    <row r="56" ht="44" customHeight="1">
      <c r="A56" s="78" t="n">
        <v>3</v>
      </c>
      <c r="B56" s="79" t="inlineStr">
        <is>
          <t>เฟรม บน-ล่าง</t>
        </is>
      </c>
      <c r="C56" s="80" t="inlineStr">
        <is>
          <t>F7976</t>
        </is>
      </c>
      <c r="D56" s="81" t="inlineStr">
        <is>
          <t>กว้าง-21-21</t>
        </is>
      </c>
      <c r="E56" s="83" t="n">
        <v>21</v>
      </c>
      <c r="F56" s="83" t="n">
        <v>21</v>
      </c>
      <c r="G56" s="82" t="n"/>
      <c r="H56" s="82" t="n"/>
      <c r="I56" s="82" t="n"/>
      <c r="J56" s="82" t="n"/>
      <c r="K56" s="82" t="n"/>
      <c r="L56" s="83" t="n">
        <v>1</v>
      </c>
      <c r="M56" s="82" t="n"/>
    </row>
    <row r="57" ht="44" customHeight="1">
      <c r="A57" s="78" t="n">
        <v>4</v>
      </c>
      <c r="B57" s="79" t="inlineStr">
        <is>
          <t>ต่อราง</t>
        </is>
      </c>
      <c r="C57" s="80" t="inlineStr">
        <is>
          <t>F7990</t>
        </is>
      </c>
      <c r="D57" s="81" t="inlineStr">
        <is>
          <t>กว้าง-21-21</t>
        </is>
      </c>
      <c r="E57" s="83" t="n">
        <v>21</v>
      </c>
      <c r="F57" s="83" t="n">
        <v>21</v>
      </c>
      <c r="G57" s="82" t="n"/>
      <c r="H57" s="82" t="n"/>
      <c r="I57" s="82" t="n"/>
      <c r="J57" s="82" t="n"/>
      <c r="K57" s="82" t="n"/>
      <c r="L57" s="83" t="n">
        <v>1</v>
      </c>
      <c r="M57" s="82" t="n"/>
    </row>
    <row r="58" ht="15" customHeight="1">
      <c r="A58" s="78" t="n">
        <v>5</v>
      </c>
      <c r="B58" s="79" t="inlineStr">
        <is>
          <t>เฟรม ล่าง</t>
        </is>
      </c>
      <c r="C58" s="80" t="inlineStr">
        <is>
          <t>B27018</t>
        </is>
      </c>
      <c r="D58" s="81" t="inlineStr">
        <is>
          <t>กว้าง-21-21</t>
        </is>
      </c>
      <c r="E58" s="83" t="n">
        <v>21</v>
      </c>
      <c r="F58" s="83" t="n">
        <v>21</v>
      </c>
      <c r="G58" s="82" t="n"/>
      <c r="H58" s="82" t="n"/>
      <c r="I58" s="82" t="n"/>
      <c r="J58" s="82" t="n"/>
      <c r="K58" s="82" t="n"/>
      <c r="L58" s="83" t="n">
        <v>4</v>
      </c>
      <c r="M58" s="82" t="n"/>
    </row>
    <row r="59" ht="44" customHeight="1">
      <c r="A59" s="78" t="n">
        <v>6</v>
      </c>
      <c r="B59" s="79" t="inlineStr">
        <is>
          <t>ตบกันสาด</t>
        </is>
      </c>
      <c r="C59" s="80" t="inlineStr">
        <is>
          <t>F7992</t>
        </is>
      </c>
      <c r="D59" s="81" t="inlineStr">
        <is>
          <t>กว้าง</t>
        </is>
      </c>
      <c r="E59" s="82" t="n"/>
      <c r="F59" s="82" t="n"/>
      <c r="G59" s="82" t="n"/>
      <c r="H59" s="82" t="n"/>
      <c r="I59" s="82" t="n"/>
      <c r="J59" s="82" t="n"/>
      <c r="K59" s="82" t="n"/>
      <c r="L59" s="83" t="n">
        <v>1</v>
      </c>
      <c r="M59" s="82" t="n"/>
    </row>
    <row r="60" ht="44" customHeight="1">
      <c r="A60" s="78" t="n">
        <v>7</v>
      </c>
      <c r="B60" s="79" t="inlineStr">
        <is>
          <t>เสา</t>
        </is>
      </c>
      <c r="C60" s="80" t="inlineStr">
        <is>
          <t>F7980</t>
        </is>
      </c>
      <c r="D60" s="81" t="inlineStr">
        <is>
          <t>สูง-5-13-21</t>
        </is>
      </c>
      <c r="E60" s="83" t="n">
        <v>5</v>
      </c>
      <c r="F60" s="83" t="n">
        <v>13</v>
      </c>
      <c r="G60" s="83" t="n">
        <v>21</v>
      </c>
      <c r="H60" s="82" t="n"/>
      <c r="I60" s="82" t="n"/>
      <c r="J60" s="82" t="n"/>
      <c r="K60" s="82" t="n"/>
      <c r="L60" s="83" t="n">
        <v>8</v>
      </c>
      <c r="M60" s="82" t="n"/>
    </row>
    <row r="61" ht="15" customHeight="1">
      <c r="A61" s="78" t="n">
        <v>8</v>
      </c>
      <c r="B61" s="79" t="inlineStr">
        <is>
          <t>ขวาง</t>
        </is>
      </c>
      <c r="C61" s="80" t="inlineStr">
        <is>
          <t>-</t>
        </is>
      </c>
      <c r="D61" s="81" t="inlineStr">
        <is>
          <t>((กว้าง-21-3-3-3.6-21)/4)+(78x3/4)</t>
        </is>
      </c>
      <c r="E61" s="83" t="n">
        <v>21</v>
      </c>
      <c r="F61" s="83" t="n">
        <v>3</v>
      </c>
      <c r="G61" s="83" t="n">
        <v>3</v>
      </c>
      <c r="H61" s="83" t="n">
        <v>3.6</v>
      </c>
      <c r="I61" s="83" t="n">
        <v>21</v>
      </c>
      <c r="J61" s="82" t="n"/>
      <c r="K61" s="82" t="n"/>
      <c r="L61" s="83" t="n">
        <v>8</v>
      </c>
      <c r="M61" s="82" t="n"/>
    </row>
    <row r="62" ht="44" customHeight="1">
      <c r="A62" s="78" t="n">
        <v>9</v>
      </c>
      <c r="B62" s="79" t="inlineStr">
        <is>
          <t>คิ้ว ตั้ง</t>
        </is>
      </c>
      <c r="C62" s="80" t="inlineStr">
        <is>
          <t>F7919</t>
        </is>
      </c>
      <c r="D62" s="81" t="inlineStr">
        <is>
          <t>เสา-78-78</t>
        </is>
      </c>
      <c r="E62" s="83" t="n">
        <v>78</v>
      </c>
      <c r="F62" s="83" t="n">
        <v>78</v>
      </c>
      <c r="G62" s="82" t="n"/>
      <c r="H62" s="82" t="n"/>
      <c r="I62" s="82" t="n"/>
      <c r="J62" s="82" t="n"/>
      <c r="K62" s="82" t="n"/>
      <c r="L62" s="83" t="n">
        <v>8</v>
      </c>
      <c r="M62" s="82" t="n"/>
    </row>
    <row r="63" ht="15" customHeight="1">
      <c r="A63" s="78" t="n">
        <v>10</v>
      </c>
      <c r="B63" s="79" t="inlineStr">
        <is>
          <t>คิ้ว ขวาง</t>
        </is>
      </c>
      <c r="C63" s="80" t="inlineStr">
        <is>
          <t>-</t>
        </is>
      </c>
      <c r="D63" s="81" t="inlineStr">
        <is>
          <t>ขวาง-63-63</t>
        </is>
      </c>
      <c r="E63" s="83" t="n">
        <v>63</v>
      </c>
      <c r="F63" s="83" t="n">
        <v>63</v>
      </c>
      <c r="G63" s="82" t="n"/>
      <c r="H63" s="82" t="n"/>
      <c r="I63" s="82" t="n"/>
      <c r="J63" s="82" t="n"/>
      <c r="K63" s="82" t="n"/>
      <c r="L63" s="83" t="n">
        <v>8</v>
      </c>
      <c r="M63" s="82" t="n"/>
    </row>
    <row r="64" ht="44" customHeight="1">
      <c r="A64" s="78" t="n">
        <v>11</v>
      </c>
      <c r="B64" s="79" t="inlineStr">
        <is>
          <t>ตบเกี่ยว</t>
        </is>
      </c>
      <c r="C64" s="80" t="inlineStr">
        <is>
          <t>F7983</t>
        </is>
      </c>
      <c r="D64" s="81" t="inlineStr">
        <is>
          <t>สูงกรอบบาน</t>
        </is>
      </c>
      <c r="E64" s="82" t="n"/>
      <c r="F64" s="82" t="n"/>
      <c r="G64" s="82" t="n"/>
      <c r="H64" s="82" t="n"/>
      <c r="I64" s="82" t="n"/>
      <c r="J64" s="82" t="n"/>
      <c r="K64" s="82" t="n"/>
      <c r="L64" s="83" t="n">
        <v>6</v>
      </c>
      <c r="M64" s="82" t="n"/>
    </row>
    <row r="65" ht="44" customHeight="1">
      <c r="A65" s="78" t="n">
        <v>12</v>
      </c>
      <c r="B65" s="79" t="inlineStr">
        <is>
          <t>ยูข้าง</t>
        </is>
      </c>
      <c r="C65" s="80" t="inlineStr">
        <is>
          <t>F7986</t>
        </is>
      </c>
      <c r="D65" s="81" t="inlineStr">
        <is>
          <t>สูง-45</t>
        </is>
      </c>
      <c r="E65" s="83" t="n">
        <v>45</v>
      </c>
      <c r="F65" s="82" t="n"/>
      <c r="G65" s="82" t="n"/>
      <c r="H65" s="82" t="n"/>
      <c r="I65" s="82" t="n"/>
      <c r="J65" s="82" t="n"/>
      <c r="K65" s="82" t="n"/>
      <c r="L65" s="83" t="n">
        <v>2</v>
      </c>
      <c r="M65" s="82" t="n"/>
    </row>
    <row r="66" ht="44" customHeight="1">
      <c r="A66" s="78" t="n">
        <v>13</v>
      </c>
      <c r="B66" s="79" t="inlineStr">
        <is>
          <t>ตบเฟรมบน</t>
        </is>
      </c>
      <c r="C66" s="80" t="inlineStr">
        <is>
          <t>F7993</t>
        </is>
      </c>
      <c r="D66" s="81" t="inlineStr">
        <is>
          <t>เท่าเฟรมบน</t>
        </is>
      </c>
      <c r="E66" s="83" t="n">
        <v>21</v>
      </c>
      <c r="F66" s="83" t="n">
        <v>21</v>
      </c>
      <c r="G66" s="82" t="n"/>
      <c r="H66" s="82" t="n"/>
      <c r="I66" s="82" t="n"/>
      <c r="J66" s="82" t="n"/>
      <c r="K66" s="82" t="n"/>
      <c r="L66" s="83" t="n">
        <v>4</v>
      </c>
      <c r="M66" s="82" t="n"/>
    </row>
    <row r="67" ht="44" customHeight="1">
      <c r="A67" s="78" t="n">
        <v>14</v>
      </c>
      <c r="B67" s="79" t="inlineStr">
        <is>
          <t>ตบยูข้าง</t>
        </is>
      </c>
      <c r="C67" s="80" t="inlineStr">
        <is>
          <t>F7988</t>
        </is>
      </c>
      <c r="D67" s="81" t="inlineStr">
        <is>
          <t>สูง-45</t>
        </is>
      </c>
      <c r="E67" s="82" t="n"/>
      <c r="F67" s="82" t="n"/>
      <c r="G67" s="82" t="n"/>
      <c r="H67" s="82" t="n"/>
      <c r="I67" s="82" t="n"/>
      <c r="J67" s="82" t="n"/>
      <c r="K67" s="82" t="n"/>
      <c r="L67" s="83" t="n">
        <v>2</v>
      </c>
      <c r="M67" s="82" t="n"/>
    </row>
    <row r="68" ht="15" customHeight="1">
      <c r="A68" s="78" t="n">
        <v>15</v>
      </c>
      <c r="B68" s="79" t="inlineStr">
        <is>
          <t>ปิดตบเกี่ยว</t>
        </is>
      </c>
      <c r="C68" s="80" t="inlineStr">
        <is>
          <t>-</t>
        </is>
      </c>
      <c r="D68" s="81" t="inlineStr">
        <is>
          <t>สูงกรอบบาน</t>
        </is>
      </c>
      <c r="E68" s="82" t="n"/>
      <c r="F68" s="82" t="n"/>
      <c r="G68" s="82" t="n"/>
      <c r="H68" s="82" t="n"/>
      <c r="I68" s="82" t="n"/>
      <c r="J68" s="82" t="n"/>
      <c r="K68" s="82" t="n"/>
      <c r="L68" s="83" t="n">
        <v>2</v>
      </c>
      <c r="M68" s="82" t="n"/>
    </row>
    <row r="69" ht="44" customHeight="1">
      <c r="A69" s="78" t="n"/>
      <c r="B69" s="79" t="n"/>
      <c r="C69" s="80" t="n"/>
      <c r="D69" s="81" t="n"/>
      <c r="E69" s="83" t="n"/>
      <c r="F69" s="83" t="n"/>
      <c r="G69" s="82" t="n"/>
      <c r="H69" s="82" t="n"/>
      <c r="I69" s="82" t="n"/>
      <c r="J69" s="82" t="n"/>
      <c r="K69" s="82" t="n"/>
      <c r="L69" s="83" t="n">
        <v>4</v>
      </c>
      <c r="M69" s="82" t="n"/>
    </row>
    <row r="70">
      <c r="A70" s="154" t="inlineStr">
        <is>
          <t>⑤ อุปกรณ์ + ตั้งค่ามือจับ (2 ชุด · บานเลื่อน 4)</t>
        </is>
      </c>
    </row>
    <row r="71">
      <c r="A71" s="151" t="inlineStr">
        <is>
          <t>ประเภทบาน →</t>
        </is>
      </c>
      <c r="B71" s="150" t="inlineStr">
        <is>
          <t>ประตู</t>
        </is>
      </c>
      <c r="F71" s="124" t="n"/>
    </row>
    <row r="72">
      <c r="A72" s="152" t="inlineStr">
        <is>
          <t>ยี่ห้อมือจับ →</t>
        </is>
      </c>
      <c r="B72" s="150" t="inlineStr">
        <is>
          <t>เมโทร</t>
        </is>
      </c>
      <c r="F72" s="126" t="n"/>
    </row>
    <row r="73">
      <c r="A73" s="152" t="inlineStr">
        <is>
          <t>สีมือจับ →</t>
        </is>
      </c>
      <c r="B73" s="150" t="inlineStr">
        <is>
          <t>อบขาว</t>
        </is>
      </c>
      <c r="F73" s="126" t="n"/>
    </row>
    <row r="74">
      <c r="A74" s="152" t="inlineStr">
        <is>
          <t>มือจับ ชุด1 →</t>
        </is>
      </c>
      <c r="B74" s="150" t="inlineStr">
        <is>
          <t>กุญแจ+ล็อค</t>
        </is>
      </c>
      <c r="F74" s="126" t="n"/>
    </row>
    <row r="75">
      <c r="A75" s="152" t="inlineStr">
        <is>
          <t>มือจับ ชุด2 →</t>
        </is>
      </c>
      <c r="B75" s="150" t="inlineStr">
        <is>
          <t>ล็อค+ดัมมี่</t>
        </is>
      </c>
      <c r="F75" s="126" t="n"/>
    </row>
    <row r="76">
      <c r="A76" s="153" t="inlineStr">
        <is>
          <t>⑤.1 สรุปอุปกรณ์ (จำนวนลิงก์อัตโนมัติ)</t>
        </is>
      </c>
    </row>
    <row r="77">
      <c r="A77" s="154" t="inlineStr">
        <is>
          <t>#</t>
        </is>
      </c>
      <c r="B77" s="154" t="inlineStr">
        <is>
          <t>อุปกรณ์</t>
        </is>
      </c>
      <c r="C77" s="154" t="inlineStr">
        <is>
          <t>รหัส SKU</t>
        </is>
      </c>
      <c r="D77" s="154" t="inlineStr">
        <is>
          <t>จำนวน</t>
        </is>
      </c>
      <c r="E77" s="154" t="inlineStr">
        <is>
          <t>หน่วย</t>
        </is>
      </c>
      <c r="F77" s="154" t="inlineStr">
        <is>
          <t>หมายเหตุ</t>
        </is>
      </c>
    </row>
    <row r="78">
      <c r="A78" s="149" t="n">
        <v>1</v>
      </c>
      <c r="B78" s="149" t="inlineStr">
        <is>
          <t>ล้อ 20</t>
        </is>
      </c>
      <c r="C78" s="150">
        <f>AK8</f>
        <v/>
      </c>
      <c r="D78" s="155">
        <f>AK30</f>
        <v/>
      </c>
      <c r="E78" s="149" t="inlineStr">
        <is>
          <t>ตัว</t>
        </is>
      </c>
      <c r="F78" s="149" t="inlineStr"/>
    </row>
    <row r="79">
      <c r="A79" s="149" t="n">
        <v>2</v>
      </c>
      <c r="B79" s="149" t="inlineStr">
        <is>
          <t>มือจับ กุญแจ</t>
        </is>
      </c>
      <c r="C79" s="150">
        <f>AL8</f>
        <v/>
      </c>
      <c r="D79" s="155">
        <f>AL30</f>
        <v/>
      </c>
      <c r="E79" s="149" t="inlineStr">
        <is>
          <t>ตัว</t>
        </is>
      </c>
      <c r="F79" s="149" t="inlineStr"/>
    </row>
    <row r="80">
      <c r="A80" s="149" t="n">
        <v>3</v>
      </c>
      <c r="B80" s="149" t="inlineStr">
        <is>
          <t>มือจับ ล็อค</t>
        </is>
      </c>
      <c r="C80" s="150">
        <f>AM8</f>
        <v/>
      </c>
      <c r="D80" s="155">
        <f>AM30</f>
        <v/>
      </c>
      <c r="E80" s="149" t="inlineStr">
        <is>
          <t>ตัว</t>
        </is>
      </c>
      <c r="F80" s="149" t="inlineStr"/>
    </row>
    <row r="81">
      <c r="A81" s="149" t="n">
        <v>4</v>
      </c>
      <c r="B81" s="149" t="inlineStr">
        <is>
          <t>มือจับ ดัมมี่</t>
        </is>
      </c>
      <c r="C81" s="150">
        <f>AN8</f>
        <v/>
      </c>
      <c r="D81" s="155">
        <f>AN30</f>
        <v/>
      </c>
      <c r="E81" s="149" t="inlineStr">
        <is>
          <t>ตัว</t>
        </is>
      </c>
      <c r="F81" s="149" t="inlineStr"/>
    </row>
    <row r="82">
      <c r="A82" s="149" t="n">
        <v>5</v>
      </c>
      <c r="B82" s="149" t="inlineStr">
        <is>
          <t>Digital lock</t>
        </is>
      </c>
      <c r="C82" s="150" t="inlineStr">
        <is>
          <t>-</t>
        </is>
      </c>
      <c r="D82" s="155">
        <f>AO30</f>
        <v/>
      </c>
      <c r="E82" s="149" t="inlineStr">
        <is>
          <t>ชุด</t>
        </is>
      </c>
      <c r="F82" s="149" t="inlineStr">
        <is>
          <t>ไม่ตัดสต็อก</t>
        </is>
      </c>
    </row>
    <row r="83">
      <c r="A83" s="149" t="n">
        <v>6</v>
      </c>
      <c r="B83" s="149" t="inlineStr">
        <is>
          <t>แกน A</t>
        </is>
      </c>
      <c r="C83" s="150">
        <f>AP8</f>
        <v/>
      </c>
      <c r="D83" s="155">
        <f>AP30</f>
        <v/>
      </c>
      <c r="E83" s="149" t="inlineStr">
        <is>
          <t>เส้น</t>
        </is>
      </c>
      <c r="F83" s="149" t="inlineStr"/>
    </row>
    <row r="84">
      <c r="A84" s="149" t="n">
        <v>7</v>
      </c>
      <c r="B84" s="149" t="inlineStr">
        <is>
          <t>แกน B</t>
        </is>
      </c>
      <c r="C84" s="150">
        <f>AQ8</f>
        <v/>
      </c>
      <c r="D84" s="155">
        <f>AQ30</f>
        <v/>
      </c>
      <c r="E84" s="149" t="inlineStr">
        <is>
          <t>เส้น</t>
        </is>
      </c>
      <c r="F84" s="149" t="inlineStr"/>
    </row>
    <row r="85">
      <c r="A85" s="149" t="n">
        <v>8</v>
      </c>
      <c r="B85" s="149" t="inlineStr">
        <is>
          <t>ปลายดำ</t>
        </is>
      </c>
      <c r="C85" s="150">
        <f>AR8</f>
        <v/>
      </c>
      <c r="D85" s="155">
        <f>AR30</f>
        <v/>
      </c>
      <c r="E85" s="149" t="inlineStr">
        <is>
          <t>ตัว</t>
        </is>
      </c>
      <c r="F85" s="149" t="inlineStr"/>
    </row>
    <row r="86">
      <c r="A86" s="149" t="n">
        <v>9</v>
      </c>
      <c r="B86" s="149" t="inlineStr">
        <is>
          <t>ตัวที เงิน</t>
        </is>
      </c>
      <c r="C86" s="150">
        <f>AS8</f>
        <v/>
      </c>
      <c r="D86" s="155">
        <f>AS30</f>
        <v/>
      </c>
      <c r="E86" s="149" t="inlineStr">
        <is>
          <t>ตัว</t>
        </is>
      </c>
      <c r="F86" s="149" t="inlineStr"/>
    </row>
    <row r="87">
      <c r="A87" s="149" t="n">
        <v>10</v>
      </c>
      <c r="B87" s="149" t="inlineStr">
        <is>
          <t>ก้ามปู</t>
        </is>
      </c>
      <c r="C87" s="150">
        <f>AT8</f>
        <v/>
      </c>
      <c r="D87" s="155">
        <f>AT30</f>
        <v/>
      </c>
      <c r="E87" s="149" t="inlineStr">
        <is>
          <t>ตัว</t>
        </is>
      </c>
      <c r="F87" s="149" t="inlineStr"/>
    </row>
    <row r="88">
      <c r="A88" s="149" t="n">
        <v>11</v>
      </c>
      <c r="B88" s="149" t="inlineStr">
        <is>
          <t>สปิงก็อท</t>
        </is>
      </c>
      <c r="C88" s="150">
        <f>AU8</f>
        <v/>
      </c>
      <c r="D88" s="155">
        <f>AU30</f>
        <v/>
      </c>
      <c r="E88" s="149" t="inlineStr">
        <is>
          <t>ตัว</t>
        </is>
      </c>
      <c r="F88" s="149" t="inlineStr"/>
    </row>
    <row r="89">
      <c r="A89" s="149" t="n">
        <v>12</v>
      </c>
      <c r="B89" s="149" t="inlineStr">
        <is>
          <t>ฉากประกอบมุม</t>
        </is>
      </c>
      <c r="C89" s="150">
        <f>AV8</f>
        <v/>
      </c>
      <c r="D89" s="155">
        <f>AV30</f>
        <v/>
      </c>
      <c r="E89" s="149" t="inlineStr">
        <is>
          <t>ตัว</t>
        </is>
      </c>
      <c r="F89" s="149" t="inlineStr"/>
    </row>
    <row r="90">
      <c r="A90" s="149" t="n">
        <v>13</v>
      </c>
      <c r="B90" s="149" t="inlineStr">
        <is>
          <t>ยางรูน้ำ</t>
        </is>
      </c>
      <c r="C90" s="150">
        <f>AW8</f>
        <v/>
      </c>
      <c r="D90" s="155">
        <f>AW30</f>
        <v/>
      </c>
      <c r="E90" s="149" t="inlineStr">
        <is>
          <t>ตัว</t>
        </is>
      </c>
      <c r="F90" s="149" t="inlineStr"/>
    </row>
    <row r="91">
      <c r="A91" s="149" t="n">
        <v>14</v>
      </c>
      <c r="B91" s="149" t="inlineStr">
        <is>
          <t>วาวรูน้ำ</t>
        </is>
      </c>
      <c r="C91" s="150">
        <f>AX8</f>
        <v/>
      </c>
      <c r="D91" s="155">
        <f>AX30</f>
        <v/>
      </c>
      <c r="E91" s="149" t="inlineStr">
        <is>
          <t>ตัว</t>
        </is>
      </c>
      <c r="F91" s="149" t="inlineStr"/>
    </row>
    <row r="92">
      <c r="A92" s="149" t="n">
        <v>15</v>
      </c>
      <c r="B92" s="149" t="inlineStr">
        <is>
          <t>สักหลาด 5×3</t>
        </is>
      </c>
      <c r="C92" s="150">
        <f>AY8</f>
        <v/>
      </c>
      <c r="D92" s="155">
        <f>AY30</f>
        <v/>
      </c>
      <c r="E92" s="149" t="inlineStr">
        <is>
          <t>เมตร</t>
        </is>
      </c>
      <c r="F92" s="149" t="inlineStr">
        <is>
          <t>เก็บเป็นเมตร</t>
        </is>
      </c>
    </row>
  </sheetData>
  <mergeCells count="61">
    <mergeCell ref="O7:P7"/>
    <mergeCell ref="U9:V9"/>
    <mergeCell ref="I6:J6"/>
    <mergeCell ref="AC7:AD7"/>
    <mergeCell ref="O6:P6"/>
    <mergeCell ref="U6:V6"/>
    <mergeCell ref="K9:L9"/>
    <mergeCell ref="W6:X6"/>
    <mergeCell ref="M9:N9"/>
    <mergeCell ref="O9:P9"/>
    <mergeCell ref="G8:H8"/>
    <mergeCell ref="E8:F8"/>
    <mergeCell ref="Y9:Z9"/>
    <mergeCell ref="Q8:R8"/>
    <mergeCell ref="AA9:AB9"/>
    <mergeCell ref="S8:T8"/>
    <mergeCell ref="G7:H7"/>
    <mergeCell ref="AA6:AB6"/>
    <mergeCell ref="I7:J7"/>
    <mergeCell ref="A30:D30"/>
    <mergeCell ref="Q7:T7"/>
    <mergeCell ref="Q30:S30"/>
    <mergeCell ref="G6:H6"/>
    <mergeCell ref="AC8:AD8"/>
    <mergeCell ref="E9:F9"/>
    <mergeCell ref="AE8:AF8"/>
    <mergeCell ref="M7:N7"/>
    <mergeCell ref="Y7:Z7"/>
    <mergeCell ref="A8:A9"/>
    <mergeCell ref="E6:F6"/>
    <mergeCell ref="AA7:AB7"/>
    <mergeCell ref="M6:N6"/>
    <mergeCell ref="K8:L8"/>
    <mergeCell ref="A6:D6"/>
    <mergeCell ref="Q6:R6"/>
    <mergeCell ref="S6:T6"/>
    <mergeCell ref="D8:D9"/>
    <mergeCell ref="Y6:Z6"/>
    <mergeCell ref="A7:D7"/>
    <mergeCell ref="Q9:R9"/>
    <mergeCell ref="I8:J8"/>
    <mergeCell ref="S9:T9"/>
    <mergeCell ref="M8:N8"/>
    <mergeCell ref="W9:X9"/>
    <mergeCell ref="AC9:AD9"/>
    <mergeCell ref="O8:P8"/>
    <mergeCell ref="U8:V8"/>
    <mergeCell ref="AE9:AF9"/>
    <mergeCell ref="W8:X8"/>
    <mergeCell ref="B8:C9"/>
    <mergeCell ref="K7:L7"/>
    <mergeCell ref="AC6:AD6"/>
    <mergeCell ref="E7:F7"/>
    <mergeCell ref="AE6:AF6"/>
    <mergeCell ref="U7:X7"/>
    <mergeCell ref="U30:W30"/>
    <mergeCell ref="Y8:Z8"/>
    <mergeCell ref="K6:L6"/>
    <mergeCell ref="G9:H9"/>
    <mergeCell ref="AA8:AB8"/>
    <mergeCell ref="I9:J9"/>
  </mergeCells>
  <dataValidations count="5">
    <dataValidation sqref="B71" showDropDown="0" showInputMessage="0" showErrorMessage="0" allowBlank="1" type="list">
      <formula1>"ประตู,หน้าต่าง"</formula1>
    </dataValidation>
    <dataValidation sqref="B72" showDropDown="0" showInputMessage="0" showErrorMessage="0" allowBlank="1" type="list">
      <formula1>"เมโทร,Align"</formula1>
    </dataValidation>
    <dataValidation sqref="B73" showDropDown="0" showInputMessage="0" showErrorMessage="0" allowBlank="1" type="list">
      <formula1>"อบขาว,ดำ"</formula1>
    </dataValidation>
    <dataValidation sqref="B74" showDropDown="0" showInputMessage="0" showErrorMessage="0" allowBlank="1" type="list">
      <formula1>=$BD$1:$BD$4</formula1>
    </dataValidation>
    <dataValidation sqref="B75" showDropDown="0" showInputMessage="0" showErrorMessage="0" allowBlank="1" type="list">
      <formula1>=$BD$1:$BD$4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92"/>
  <sheetViews>
    <sheetView showGridLines="0"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26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6.75" customWidth="1" min="32" max="32"/>
    <col width="12.75" customWidth="1" min="33" max="33"/>
    <col width="6.75" customWidth="1" min="34" max="34"/>
    <col width="12.75" customWidth="1" min="35" max="35"/>
    <col width="6.75" customWidth="1" min="36" max="36"/>
    <col width="12.75" customWidth="1" min="37" max="37"/>
    <col width="6.75" customWidth="1" min="38" max="38"/>
    <col width="12.75" customWidth="1" min="39" max="39"/>
    <col width="12.75" customWidth="1" min="40" max="40"/>
    <col width="8.75" customWidth="1" min="41" max="41"/>
    <col width="8.875" customWidth="1" min="42" max="42"/>
    <col hidden="1" width="13" customWidth="1" min="53" max="53"/>
    <col hidden="1" width="13" customWidth="1" min="54" max="54"/>
    <col hidden="1" width="13" customWidth="1" min="55" max="55"/>
    <col hidden="1" width="13" customWidth="1" min="56" max="56"/>
  </cols>
  <sheetData>
    <row r="1" ht="40.15" customHeight="1">
      <c r="A1" s="1" t="inlineStr">
        <is>
          <t>JR ALUMINIUM &amp; GLASS  —  ใบรายการตัด · FUJI เลื่อน5ราง ภายใน   (หน่วย: มม.)</t>
        </is>
      </c>
      <c r="B1" s="2" t="n"/>
      <c r="D1" s="3" t="n"/>
      <c r="E1" s="4" t="n"/>
      <c r="F1" s="3" t="n"/>
      <c r="G1" s="4" t="n"/>
      <c r="H1" s="3" t="n"/>
      <c r="I1" s="5" t="n"/>
      <c r="J1" s="5" t="n"/>
      <c r="K1" s="3" t="n"/>
      <c r="L1" s="3" t="n"/>
      <c r="M1" s="5" t="n"/>
      <c r="N1" s="5" t="n"/>
      <c r="O1" s="5" t="n"/>
      <c r="P1" s="5" t="n"/>
      <c r="Q1" s="6" t="n"/>
      <c r="R1" s="5" t="n"/>
      <c r="S1" s="3" t="n"/>
      <c r="T1" s="3" t="n"/>
      <c r="U1" s="6" t="n"/>
      <c r="V1" s="6" t="n"/>
      <c r="W1" s="5" t="n"/>
      <c r="X1" s="5" t="n"/>
      <c r="Y1" s="3" t="n"/>
      <c r="Z1" s="7" t="n"/>
      <c r="AA1" s="6" t="n"/>
      <c r="AB1" s="6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BA1" t="inlineStr">
        <is>
          <t>เมโทรกุญแจอบขาว</t>
        </is>
      </c>
      <c r="BB1" t="inlineStr">
        <is>
          <t>JR00368</t>
        </is>
      </c>
      <c r="BD1">
        <f>IF($B$71="ประตู","กุญแจ+ล็อค","ล็อค")</f>
        <v/>
      </c>
    </row>
    <row r="2" ht="40.15" customHeight="1">
      <c r="A2" s="6" t="n"/>
      <c r="B2" s="6" t="n"/>
      <c r="C2" s="6" t="n"/>
      <c r="D2" s="6" t="n"/>
      <c r="E2" s="8" t="n"/>
      <c r="F2" s="6" t="n"/>
      <c r="G2" s="8" t="n"/>
      <c r="H2" s="6" t="n"/>
      <c r="I2" s="9" t="n"/>
      <c r="J2" s="9" t="n"/>
      <c r="K2" s="6" t="n"/>
      <c r="L2" s="6" t="n"/>
      <c r="M2" s="9" t="n"/>
      <c r="N2" s="9" t="n"/>
      <c r="O2" s="9" t="n"/>
      <c r="P2" s="9" t="n"/>
      <c r="Q2" s="9" t="n"/>
      <c r="R2" s="9" t="n"/>
      <c r="S2" s="6" t="n"/>
      <c r="T2" s="6" t="n"/>
      <c r="U2" s="6" t="n"/>
      <c r="V2" s="6" t="n"/>
      <c r="W2" s="9" t="n"/>
      <c r="X2" s="9" t="n"/>
      <c r="Y2" s="6" t="n"/>
      <c r="Z2" s="6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  <c r="AP2" s="9" t="n"/>
      <c r="AQ2" s="9" t="n"/>
      <c r="BA2" t="inlineStr">
        <is>
          <t>เมโทรกุญแจดำ</t>
        </is>
      </c>
      <c r="BB2" t="inlineStr">
        <is>
          <t>JR00371</t>
        </is>
      </c>
      <c r="BD2">
        <f>IF($B$71="ประตู","ล็อค+ดัมมี่","ดัมมี่")</f>
        <v/>
      </c>
    </row>
    <row r="3" ht="40.15" customHeight="1">
      <c r="A3" s="130">
        <f>HYPERLINK("#สารบัญ!A1","← สารบัญ")</f>
        <v/>
      </c>
      <c r="B3" s="6" t="n"/>
      <c r="C3" s="121" t="n"/>
      <c r="D3" s="6" t="n"/>
      <c r="E3" s="8" t="n"/>
      <c r="F3" s="6" t="n"/>
      <c r="G3" s="8" t="n"/>
      <c r="H3" s="6" t="n"/>
      <c r="I3" s="11" t="n"/>
      <c r="J3" s="11" t="n"/>
      <c r="K3" s="6" t="n"/>
      <c r="L3" s="6" t="n"/>
      <c r="M3" s="11" t="n"/>
      <c r="N3" s="11" t="n"/>
      <c r="O3" s="11" t="n"/>
      <c r="P3" s="11" t="n"/>
      <c r="Q3" s="9" t="n"/>
      <c r="R3" s="9" t="n"/>
      <c r="S3" s="6" t="n"/>
      <c r="T3" s="6" t="n"/>
      <c r="U3" s="6" t="n"/>
      <c r="V3" s="6" t="n"/>
      <c r="W3" s="11" t="n"/>
      <c r="X3" s="11" t="n"/>
      <c r="Y3" s="6" t="n"/>
      <c r="Z3" s="6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  <c r="BA3" t="inlineStr">
        <is>
          <t>เมโทรล็อคอบขาว</t>
        </is>
      </c>
      <c r="BB3" t="inlineStr">
        <is>
          <t>JR00369</t>
        </is>
      </c>
      <c r="BD3">
        <f>IF($B$71="ประตู","ดัมมี่+ดัมมี่","")</f>
        <v/>
      </c>
    </row>
    <row r="4" ht="40.15" customHeight="1">
      <c r="A4" s="6" t="n"/>
      <c r="B4" s="6" t="n"/>
      <c r="C4" s="6" t="n"/>
      <c r="F4" s="6" t="n"/>
      <c r="H4" s="6" t="n"/>
      <c r="K4" s="6" t="n"/>
      <c r="L4" s="6" t="n"/>
      <c r="Q4" s="9" t="n"/>
      <c r="R4" s="9" t="n"/>
      <c r="S4" s="6" t="n"/>
      <c r="T4" s="6" t="n"/>
      <c r="U4" s="6" t="n"/>
      <c r="V4" s="6" t="n"/>
      <c r="Y4" s="6" t="n"/>
      <c r="Z4" s="6" t="n"/>
      <c r="BA4" t="inlineStr">
        <is>
          <t>เมโทรล็อคดำ</t>
        </is>
      </c>
      <c r="BB4" t="inlineStr">
        <is>
          <t>JR00372</t>
        </is>
      </c>
      <c r="BD4">
        <f>IF($B$71="ประตู","Digital lock","")</f>
        <v/>
      </c>
    </row>
    <row r="5" ht="40.15" customHeight="1">
      <c r="A5" s="6" t="n"/>
      <c r="B5" s="6" t="n"/>
      <c r="C5" s="6" t="n"/>
      <c r="D5" s="6" t="n"/>
      <c r="E5" s="8" t="n"/>
      <c r="F5" s="6" t="n"/>
      <c r="G5" s="8" t="n"/>
      <c r="H5" s="6" t="n"/>
      <c r="K5" s="6" t="n"/>
      <c r="L5" s="6" t="n"/>
      <c r="S5" s="6" t="n"/>
      <c r="T5" s="6" t="n"/>
      <c r="V5" s="6" t="n"/>
      <c r="Y5" s="6" t="n"/>
      <c r="Z5" s="6" t="n"/>
      <c r="BA5" t="inlineStr">
        <is>
          <t>เมโทรดัมมี่อบขาว</t>
        </is>
      </c>
      <c r="BB5" t="inlineStr">
        <is>
          <t>JR00370</t>
        </is>
      </c>
    </row>
    <row r="6" ht="60" customHeight="1">
      <c r="A6" s="13" t="inlineStr">
        <is>
          <t>สูตรตัด</t>
        </is>
      </c>
      <c r="B6" s="14" t="n"/>
      <c r="C6" s="14" t="n"/>
      <c r="D6" s="15" t="n"/>
      <c r="E6" s="16" t="inlineStr">
        <is>
          <t>สูง</t>
        </is>
      </c>
      <c r="F6" s="17" t="n"/>
      <c r="G6" s="16" t="inlineStr">
        <is>
          <t>สูง</t>
        </is>
      </c>
      <c r="H6" s="17" t="n"/>
      <c r="I6" s="16" t="inlineStr">
        <is>
          <t>สูง</t>
        </is>
      </c>
      <c r="J6" s="17" t="n"/>
      <c r="K6" s="16" t="inlineStr">
        <is>
          <t>กว้าง-21-21</t>
        </is>
      </c>
      <c r="L6" s="17" t="n"/>
      <c r="M6" s="16" t="inlineStr">
        <is>
          <t>กว้าง-21-21</t>
        </is>
      </c>
      <c r="N6" s="17" t="n"/>
      <c r="O6" s="16" t="inlineStr">
        <is>
          <t>กว้าง-21-21</t>
        </is>
      </c>
      <c r="P6" s="17" t="n"/>
      <c r="Q6" s="16" t="inlineStr">
        <is>
          <t>กว้าง</t>
        </is>
      </c>
      <c r="R6" s="17" t="n"/>
      <c r="S6" s="16" t="inlineStr">
        <is>
          <t>สูง-5-13-21</t>
        </is>
      </c>
      <c r="T6" s="17" t="n"/>
      <c r="U6" s="16" t="inlineStr">
        <is>
          <t>((กว้าง-21-3-3-4.8-21)/5)+(78x4/5)</t>
        </is>
      </c>
      <c r="V6" s="17" t="n"/>
      <c r="W6" s="16" t="inlineStr">
        <is>
          <t>เสา-78-78</t>
        </is>
      </c>
      <c r="X6" s="17" t="n"/>
      <c r="Y6" s="16" t="inlineStr">
        <is>
          <t>ขวาง-63-63</t>
        </is>
      </c>
      <c r="Z6" s="17" t="n"/>
      <c r="AA6" s="16" t="inlineStr">
        <is>
          <t>สูงกรอบบาน</t>
        </is>
      </c>
      <c r="AB6" s="17" t="n"/>
      <c r="AC6" s="16" t="inlineStr">
        <is>
          <t>สูง-45</t>
        </is>
      </c>
      <c r="AD6" s="17" t="n"/>
      <c r="AE6" s="16" t="inlineStr">
        <is>
          <t>เท่าเฟรมบน</t>
        </is>
      </c>
      <c r="AF6" s="17" t="n"/>
      <c r="AG6" s="16" t="inlineStr">
        <is>
          <t>สูง-45</t>
        </is>
      </c>
      <c r="AI6" s="16" t="inlineStr">
        <is>
          <t>สูงกรอบบาน</t>
        </is>
      </c>
      <c r="AK6" s="16" t="inlineStr">
        <is>
          <t>เท่าเฟรมล่าง</t>
        </is>
      </c>
      <c r="AM6" s="18" t="n"/>
      <c r="AN6" s="18" t="n"/>
      <c r="AO6" s="18" t="n"/>
      <c r="BA6" t="inlineStr">
        <is>
          <t>เมโทรดัมมี่ดำ</t>
        </is>
      </c>
      <c r="BB6" t="inlineStr">
        <is>
          <t>JR00373</t>
        </is>
      </c>
      <c r="BC6">
        <f>(COUNTIF($B$74:$B$75,"กุญแจ+ล็อค")+COUNTIF($B$74:$B$75,"ล็อค+ดัมมี่")+COUNTIF($B$74:$B$75,"ล็อค"))</f>
        <v/>
      </c>
    </row>
    <row r="7" ht="40.15" customHeight="1">
      <c r="A7" s="19" t="inlineStr">
        <is>
          <t>ใส่ข้อมูล</t>
        </is>
      </c>
      <c r="B7" s="20" t="n"/>
      <c r="C7" s="20" t="n"/>
      <c r="D7" s="21" t="n"/>
      <c r="E7" s="22" t="inlineStr">
        <is>
          <t>F7979</t>
        </is>
      </c>
      <c r="F7" s="15" t="n"/>
      <c r="G7" s="22" t="inlineStr">
        <is>
          <t>F7978</t>
        </is>
      </c>
      <c r="H7" s="15" t="n"/>
      <c r="I7" s="22" t="inlineStr">
        <is>
          <t>F7989</t>
        </is>
      </c>
      <c r="J7" s="15" t="n"/>
      <c r="K7" s="22" t="inlineStr">
        <is>
          <t>F7976</t>
        </is>
      </c>
      <c r="L7" s="15" t="n"/>
      <c r="M7" s="23" t="inlineStr">
        <is>
          <t>F7990</t>
        </is>
      </c>
      <c r="N7" s="15" t="n"/>
      <c r="O7" s="23" t="inlineStr">
        <is>
          <t>B27018</t>
        </is>
      </c>
      <c r="P7" s="15" t="n"/>
      <c r="Q7" s="22" t="inlineStr">
        <is>
          <t>F7992</t>
        </is>
      </c>
      <c r="R7" s="15" t="n"/>
      <c r="S7" s="22" t="inlineStr">
        <is>
          <t>F7980</t>
        </is>
      </c>
      <c r="T7" s="14" t="n"/>
      <c r="U7" s="14" t="n"/>
      <c r="V7" s="15" t="n"/>
      <c r="W7" s="22" t="inlineStr">
        <is>
          <t>F7919</t>
        </is>
      </c>
      <c r="X7" s="14" t="n"/>
      <c r="Y7" s="14" t="n"/>
      <c r="Z7" s="15" t="n"/>
      <c r="AA7" s="22" t="inlineStr">
        <is>
          <t>F7983</t>
        </is>
      </c>
      <c r="AB7" s="15" t="n"/>
      <c r="AC7" s="22" t="inlineStr">
        <is>
          <t>F7986</t>
        </is>
      </c>
      <c r="AD7" s="15" t="n"/>
      <c r="AE7" s="22" t="inlineStr">
        <is>
          <t>F7993</t>
        </is>
      </c>
      <c r="AF7" s="15" t="n"/>
      <c r="AG7" s="22" t="inlineStr">
        <is>
          <t>F7988</t>
        </is>
      </c>
      <c r="AK7" s="22" t="inlineStr">
        <is>
          <t>F7994</t>
        </is>
      </c>
      <c r="AM7" s="24" t="n"/>
      <c r="AN7" s="25" t="inlineStr">
        <is>
          <t>ขนาดกระจก</t>
        </is>
      </c>
      <c r="AO7" s="26" t="n"/>
      <c r="BA7" t="inlineStr">
        <is>
          <t>Alignกุญแจอบขาว</t>
        </is>
      </c>
      <c r="BB7" t="inlineStr">
        <is>
          <t>JR00377</t>
        </is>
      </c>
      <c r="BC7">
        <f>COUNTIF($B$74:$B$75,"กุญแจ+ล็อค")</f>
        <v/>
      </c>
    </row>
    <row r="8" ht="40.15" customHeight="1">
      <c r="A8" s="27" t="inlineStr">
        <is>
          <t>แผน</t>
        </is>
      </c>
      <c r="B8" s="28" t="inlineStr">
        <is>
          <t>ขนาดชิ้นงาน
(mm)</t>
        </is>
      </c>
      <c r="C8" s="29" t="n"/>
      <c r="D8" s="27" t="inlineStr">
        <is>
          <t>ชุด</t>
        </is>
      </c>
      <c r="E8" s="30" t="n"/>
      <c r="F8" s="31" t="n"/>
      <c r="G8" s="30" t="n"/>
      <c r="H8" s="31" t="n"/>
      <c r="I8" s="30" t="n"/>
      <c r="J8" s="31" t="n"/>
      <c r="K8" s="34" t="n"/>
      <c r="L8" s="31" t="n"/>
      <c r="M8" s="34" t="n"/>
      <c r="N8" s="31" t="n"/>
      <c r="O8" s="34" t="n"/>
      <c r="P8" s="31" t="n"/>
      <c r="Q8" s="30" t="n"/>
      <c r="R8" s="31" t="n"/>
      <c r="S8" s="32" t="n"/>
      <c r="T8" s="33" t="n"/>
      <c r="U8" s="34" t="n"/>
      <c r="V8" s="31" t="n"/>
      <c r="W8" s="32" t="n"/>
      <c r="X8" s="33" t="n"/>
      <c r="Y8" s="34" t="n"/>
      <c r="Z8" s="31" t="n"/>
      <c r="AA8" s="32" t="n"/>
      <c r="AB8" s="33" t="n"/>
      <c r="AC8" s="32" t="n"/>
      <c r="AD8" s="33" t="n"/>
      <c r="AE8" s="30" t="n"/>
      <c r="AF8" s="31" t="n"/>
      <c r="AG8" s="32" t="n"/>
      <c r="AI8" s="34" t="n"/>
      <c r="AK8" s="30" t="inlineStr">
        <is>
          <t>JR00577</t>
        </is>
      </c>
      <c r="AL8">
        <f>VLOOKUP($B$72&amp;"กุญแจ"&amp;$B$73,$BA$1:$BB$12,2,0)</f>
        <v/>
      </c>
      <c r="AM8" s="36">
        <f>VLOOKUP($B$72&amp;"ล็อค"&amp;$B$73,$BA$1:$BB$12,2,0)</f>
        <v/>
      </c>
      <c r="AN8" s="37">
        <f>VLOOKUP($B$72&amp;"ดัมมี่"&amp;$B$73,$BA$1:$BB$12,2,0)</f>
        <v/>
      </c>
      <c r="AO8" s="38" t="inlineStr"/>
      <c r="AP8" t="inlineStr">
        <is>
          <t>JR00478</t>
        </is>
      </c>
      <c r="AQ8" t="inlineStr">
        <is>
          <t>JR00479</t>
        </is>
      </c>
      <c r="AR8" t="inlineStr">
        <is>
          <t>JR00476</t>
        </is>
      </c>
      <c r="AS8" t="inlineStr">
        <is>
          <t>JR00475</t>
        </is>
      </c>
      <c r="AT8" t="inlineStr">
        <is>
          <t>JR00477</t>
        </is>
      </c>
      <c r="AU8" t="inlineStr">
        <is>
          <t>JR00592</t>
        </is>
      </c>
      <c r="AV8" t="inlineStr">
        <is>
          <t>JR00480</t>
        </is>
      </c>
      <c r="AW8" t="inlineStr">
        <is>
          <t>JR00589</t>
        </is>
      </c>
      <c r="AX8" t="inlineStr">
        <is>
          <t>JR00485</t>
        </is>
      </c>
      <c r="AY8" t="inlineStr">
        <is>
          <t>JR00794</t>
        </is>
      </c>
      <c r="BA8" t="inlineStr">
        <is>
          <t>Alignล็อคอบขาว</t>
        </is>
      </c>
      <c r="BB8" t="inlineStr">
        <is>
          <t>JR00378</t>
        </is>
      </c>
    </row>
    <row r="9" ht="40.15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เฟรมข้าง</t>
        </is>
      </c>
      <c r="H9" s="43" t="n"/>
      <c r="I9" s="42" t="inlineStr">
        <is>
          <t>ต่อเฟรมข้าง</t>
        </is>
      </c>
      <c r="J9" s="43" t="n"/>
      <c r="K9" s="42" t="inlineStr">
        <is>
          <t>เฟรม บน-ล่าง</t>
        </is>
      </c>
      <c r="L9" s="43" t="n"/>
      <c r="M9" s="42" t="inlineStr">
        <is>
          <t>ต่อราง</t>
        </is>
      </c>
      <c r="N9" s="43" t="n"/>
      <c r="O9" s="42" t="inlineStr">
        <is>
          <t>เฟรม ล่าง</t>
        </is>
      </c>
      <c r="P9" s="43" t="n"/>
      <c r="Q9" s="42" t="inlineStr">
        <is>
          <t>ตบกันสาด</t>
        </is>
      </c>
      <c r="R9" s="43" t="n"/>
      <c r="S9" s="42" t="inlineStr">
        <is>
          <t>เสา</t>
        </is>
      </c>
      <c r="T9" s="43" t="n"/>
      <c r="U9" s="42" t="inlineStr">
        <is>
          <t>ขวาง</t>
        </is>
      </c>
      <c r="V9" s="43" t="n"/>
      <c r="W9" s="42" t="inlineStr">
        <is>
          <t>คิ้ว ตั้ง</t>
        </is>
      </c>
      <c r="X9" s="43" t="n"/>
      <c r="Y9" s="42" t="inlineStr">
        <is>
          <t>คิ้ว ขวาง</t>
        </is>
      </c>
      <c r="Z9" s="43" t="n"/>
      <c r="AA9" s="42" t="inlineStr">
        <is>
          <t>ตบเกี่ยว</t>
        </is>
      </c>
      <c r="AB9" s="43" t="n"/>
      <c r="AC9" s="44" t="inlineStr">
        <is>
          <t>ยูข้าง</t>
        </is>
      </c>
      <c r="AD9" s="43" t="n"/>
      <c r="AE9" s="44" t="inlineStr">
        <is>
          <t>ตบเฟรมบน</t>
        </is>
      </c>
      <c r="AF9" s="43" t="n"/>
      <c r="AG9" s="44" t="inlineStr">
        <is>
          <t>ตบยูข้าง</t>
        </is>
      </c>
      <c r="AI9" s="44" t="n"/>
      <c r="AK9" s="44" t="inlineStr">
        <is>
          <t>ล้อ 20</t>
        </is>
      </c>
      <c r="AL9" t="inlineStr">
        <is>
          <t>มือจับ กุญแจ</t>
        </is>
      </c>
      <c r="AM9" s="45" t="inlineStr">
        <is>
          <t>มือจับ ล็อค</t>
        </is>
      </c>
      <c r="AN9" s="46" t="inlineStr">
        <is>
          <t>มือจับ ดัมมี่</t>
        </is>
      </c>
      <c r="AO9" s="47" t="inlineStr">
        <is>
          <t>Digital lock</t>
        </is>
      </c>
      <c r="AP9" t="inlineStr">
        <is>
          <t>แกน A</t>
        </is>
      </c>
      <c r="AQ9" t="inlineStr">
        <is>
          <t>แกน B</t>
        </is>
      </c>
      <c r="AR9" t="inlineStr">
        <is>
          <t>ปลายดำ</t>
        </is>
      </c>
      <c r="AS9" t="inlineStr">
        <is>
          <t>ตัวที เงิน</t>
        </is>
      </c>
      <c r="AT9" t="inlineStr">
        <is>
          <t>ก้ามปู</t>
        </is>
      </c>
      <c r="AU9" t="inlineStr">
        <is>
          <t>สปิงก็อท</t>
        </is>
      </c>
      <c r="AV9" t="inlineStr">
        <is>
          <t>ฉากประกอบมุม</t>
        </is>
      </c>
      <c r="AW9" t="inlineStr">
        <is>
          <t>ยางรูน้ำ</t>
        </is>
      </c>
      <c r="AX9" t="inlineStr">
        <is>
          <t>วาวรูน้ำ</t>
        </is>
      </c>
      <c r="AY9" t="inlineStr">
        <is>
          <t>สักหลาด(ม.)</t>
        </is>
      </c>
      <c r="BA9" t="inlineStr">
        <is>
          <t>Alignดัมมี่อบขาว</t>
        </is>
      </c>
      <c r="BB9" t="inlineStr">
        <is>
          <t>JR00379</t>
        </is>
      </c>
      <c r="BC9">
        <f>(COUNTIF($B$74:$B$75,"ล็อค+ดัมมี่")+2*COUNTIF($B$74:$B$75,"ดัมมี่+ดัมมี่")+COUNTIF($B$74:$B$75,"ดัมมี่"))</f>
        <v/>
      </c>
    </row>
    <row r="10" ht="40.15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3" t="inlineStr">
        <is>
          <t>จำนวน</t>
        </is>
      </c>
      <c r="K10" s="52" t="inlineStr">
        <is>
          <t>ยาว</t>
        </is>
      </c>
      <c r="L10" s="53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3" t="inlineStr">
        <is>
          <t>จำนวน</t>
        </is>
      </c>
      <c r="S10" s="52" t="inlineStr">
        <is>
          <t>ยาว</t>
        </is>
      </c>
      <c r="T10" s="54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4" t="inlineStr">
        <is>
          <t>จำนวน</t>
        </is>
      </c>
      <c r="AA10" s="52" t="inlineStr">
        <is>
          <t>ยาว</t>
        </is>
      </c>
      <c r="AB10" s="53" t="inlineStr">
        <is>
          <t>จำนวน</t>
        </is>
      </c>
      <c r="AC10" s="52" t="inlineStr">
        <is>
          <t>ยาว</t>
        </is>
      </c>
      <c r="AD10" s="54" t="inlineStr">
        <is>
          <t>จำนวน</t>
        </is>
      </c>
      <c r="AE10" s="52" t="inlineStr">
        <is>
          <t>ยาว</t>
        </is>
      </c>
      <c r="AF10" s="54" t="inlineStr">
        <is>
          <t>จำนวน</t>
        </is>
      </c>
      <c r="AG10" s="52" t="inlineStr">
        <is>
          <t>ยาว</t>
        </is>
      </c>
      <c r="AH10" s="54" t="inlineStr">
        <is>
          <t>จำนวน</t>
        </is>
      </c>
      <c r="AI10" s="52" t="inlineStr">
        <is>
          <t>ยาว</t>
        </is>
      </c>
      <c r="AJ10" s="54" t="inlineStr">
        <is>
          <t>จำนวน</t>
        </is>
      </c>
      <c r="AK10" s="52" t="inlineStr">
        <is>
          <t>จำนวน</t>
        </is>
      </c>
      <c r="AL10" s="54" t="inlineStr">
        <is>
          <t>จำนวน</t>
        </is>
      </c>
      <c r="AM10" s="55" t="inlineStr">
        <is>
          <t>จำนวน</t>
        </is>
      </c>
      <c r="AN10" s="56" t="inlineStr">
        <is>
          <t>จำนวน</t>
        </is>
      </c>
      <c r="AO10" s="57" t="inlineStr">
        <is>
          <t>จำนวน</t>
        </is>
      </c>
      <c r="AP10" t="inlineStr">
        <is>
          <t>จำนวน</t>
        </is>
      </c>
      <c r="AQ10" t="inlineStr">
        <is>
          <t>จำนวน</t>
        </is>
      </c>
      <c r="AR10" t="inlineStr">
        <is>
          <t>จำนวน</t>
        </is>
      </c>
      <c r="AS10" t="inlineStr">
        <is>
          <t>จำนวน</t>
        </is>
      </c>
      <c r="AT10" t="inlineStr">
        <is>
          <t>จำนวน</t>
        </is>
      </c>
      <c r="AU10" t="inlineStr">
        <is>
          <t>จำนวน</t>
        </is>
      </c>
      <c r="AV10" t="inlineStr">
        <is>
          <t>จำนวน</t>
        </is>
      </c>
      <c r="AW10" t="inlineStr">
        <is>
          <t>จำนวน</t>
        </is>
      </c>
      <c r="AX10" t="inlineStr">
        <is>
          <t>จำนวน</t>
        </is>
      </c>
      <c r="AY10" t="inlineStr">
        <is>
          <t>จำนวน</t>
        </is>
      </c>
      <c r="BA10" t="inlineStr">
        <is>
          <t>Alignกุญแจดำ</t>
        </is>
      </c>
      <c r="BB10" t="inlineStr">
        <is>
          <t>JR00374</t>
        </is>
      </c>
      <c r="BC10">
        <f>COUNTIF($B$74:$B$75,"Digital lock")</f>
        <v/>
      </c>
    </row>
    <row r="11" ht="40.15" customHeight="1">
      <c r="A11" s="58" t="inlineStr">
        <is>
          <t>D1</t>
        </is>
      </c>
      <c r="B11" s="59" t="n">
        <v>2695</v>
      </c>
      <c r="C11" s="60" t="n">
        <v>6245</v>
      </c>
      <c r="D11" s="61" t="n">
        <v>1</v>
      </c>
      <c r="E11" s="62">
        <f>IF($A11="","",$B11)</f>
        <v/>
      </c>
      <c r="F11" s="60">
        <f>IF($A11="","",$L$54*$D11)</f>
        <v/>
      </c>
      <c r="G11" s="62">
        <f>IF($A11="","",$B11)</f>
        <v/>
      </c>
      <c r="H11" s="60">
        <f>IF($A11="","",$L$55*$D11)</f>
        <v/>
      </c>
      <c r="I11" s="62">
        <f>IF($A11="","",$B11)</f>
        <v/>
      </c>
      <c r="J11" s="60">
        <f>IF($A11="","",$L$56*$D11)</f>
        <v/>
      </c>
      <c r="K11" s="62">
        <f>IF($A11="","",$C11-$E$57-$F$57)</f>
        <v/>
      </c>
      <c r="L11" s="60">
        <f>IF($A11="","",$L$57*$D11)</f>
        <v/>
      </c>
      <c r="M11" s="62">
        <f>IF($A11="","",$C11-$E$58-$F$58)</f>
        <v/>
      </c>
      <c r="N11" s="60">
        <f>IF($A11="","",$L$58*$D11)</f>
        <v/>
      </c>
      <c r="O11" s="62">
        <f>IF($A11="","",$C11-$E$59-$F$59)</f>
        <v/>
      </c>
      <c r="P11" s="60">
        <f>IF($A11="","",$L$59*$D11)</f>
        <v/>
      </c>
      <c r="Q11" s="62">
        <f>IF($A11="","",$C11)</f>
        <v/>
      </c>
      <c r="R11" s="60">
        <f>IF($A11="","",$L$60*$D11)</f>
        <v/>
      </c>
      <c r="S11" s="62">
        <f>IF($A11="","",$B11-$E$61-$F$61-$G$61)</f>
        <v/>
      </c>
      <c r="T11" s="60">
        <f>IF($A11="","",$L$61*$D11)</f>
        <v/>
      </c>
      <c r="U11" s="62">
        <f>IF($A11="","",(($C11-$E$62-$F$62-$G$62-$H$62-$I$62)/5)+(78*4)/5)</f>
        <v/>
      </c>
      <c r="V11" s="60">
        <f>IF($A11="","",$L$62*$D11)</f>
        <v/>
      </c>
      <c r="W11" s="62">
        <f>IF($A11="","",$S11-$E$63-$F$63)</f>
        <v/>
      </c>
      <c r="X11" s="60">
        <f>IF($A11="","",$L$63*$D11)</f>
        <v/>
      </c>
      <c r="Y11" s="62">
        <f>IF($A11="","",$U11-$E$64-$F$64)</f>
        <v/>
      </c>
      <c r="Z11" s="60">
        <f>IF($A11="","",$L$64*$D11)</f>
        <v/>
      </c>
      <c r="AA11" s="62">
        <f>IF($A11="","",$S11)</f>
        <v/>
      </c>
      <c r="AB11" s="60">
        <f>IF($A11="","",$L$65*$D11)</f>
        <v/>
      </c>
      <c r="AC11" s="62">
        <f>IF($A11="","",$B11-$E$66)</f>
        <v/>
      </c>
      <c r="AD11" s="60">
        <f>IF($A11="","",$L$66*$D11)</f>
        <v/>
      </c>
      <c r="AE11" s="62">
        <f>IF($A11="","",$C11-$E$67-$F$67)</f>
        <v/>
      </c>
      <c r="AF11" s="60">
        <f>IF($A11="","",$L$67*$D11)</f>
        <v/>
      </c>
      <c r="AG11" s="62">
        <f>IF($A11="","",$B11-$E$68)</f>
        <v/>
      </c>
      <c r="AH11" s="60">
        <f>IF($A11="","",$L$68*$D11)</f>
        <v/>
      </c>
      <c r="AI11" s="62">
        <f>IF($A11="","",$B11-$E$69-$F$69)</f>
        <v/>
      </c>
      <c r="AJ11" s="60">
        <f>IF($A11="","",$L$69*$D11)</f>
        <v/>
      </c>
      <c r="AK11" s="62">
        <f>IF($A11="","",2*5*$D11)</f>
        <v/>
      </c>
      <c r="AL11" s="60">
        <f>IF($A11="","",$BC$7*$D11)</f>
        <v/>
      </c>
      <c r="AM11" s="63">
        <f>IF($A11="","",$BC$6*$D11)</f>
        <v/>
      </c>
      <c r="AN11" s="133">
        <f>IF($A11="","",$BC$9*$D11)</f>
        <v/>
      </c>
      <c r="AO11" s="65">
        <f>IF($A11="","",$BC$10*$D11)</f>
        <v/>
      </c>
      <c r="AP11">
        <f>IF($A11="","",2*$BC$6*$D11)</f>
        <v/>
      </c>
      <c r="AQ11">
        <f>IF($A11="","",IF($B11&gt;2800,2,IF($B11&gt;1400,1,0))*$BC$6*$D11)</f>
        <v/>
      </c>
      <c r="AR11">
        <f>IF($A11="","",2*$BC$6*$D11)</f>
        <v/>
      </c>
      <c r="AS11">
        <f>IF($A11="","",$BC$6*$D11)</f>
        <v/>
      </c>
      <c r="AT11">
        <f>IF($A11="","",2*$BC$6*$D11)</f>
        <v/>
      </c>
      <c r="AU11">
        <f>IF($A11="","",4*5*$D11)</f>
        <v/>
      </c>
      <c r="AV11">
        <f>IF($A11="","",16*5*$D11)</f>
        <v/>
      </c>
      <c r="AW11">
        <f>IF($A11="","",(2+MAX(0,ROUNDUP(($K11-1500)/500,0)))*$D11)</f>
        <v/>
      </c>
      <c r="AX11">
        <f>IF($A11="","",(2+MAX(0,ROUNDUP(($K11-1500)/500,0)))*$D11)</f>
        <v/>
      </c>
      <c r="AY11">
        <f>IF($A11="","",ROUND((2*2*($U11+$S11)*5*$D11)/1000,1))</f>
        <v/>
      </c>
      <c r="BA11" t="inlineStr">
        <is>
          <t>Alignล็อคดำ</t>
        </is>
      </c>
      <c r="BB11" t="inlineStr">
        <is>
          <t>JR00375</t>
        </is>
      </c>
    </row>
    <row r="12" ht="40.15" customHeight="1">
      <c r="A12" s="58" t="n"/>
      <c r="B12" s="59" t="n"/>
      <c r="C12" s="60" t="n"/>
      <c r="D12" s="61" t="n"/>
      <c r="E12" s="66">
        <f>IF($A12="","",$B12)</f>
        <v/>
      </c>
      <c r="F12" s="67">
        <f>IF($A12="","",$L$54*$D12)</f>
        <v/>
      </c>
      <c r="G12" s="66">
        <f>IF($A12="","",$B12)</f>
        <v/>
      </c>
      <c r="H12" s="67">
        <f>IF($A12="","",$L$55*$D12)</f>
        <v/>
      </c>
      <c r="I12" s="66">
        <f>IF($A12="","",$B12)</f>
        <v/>
      </c>
      <c r="J12" s="67">
        <f>IF($A12="","",$L$56*$D12)</f>
        <v/>
      </c>
      <c r="K12" s="66">
        <f>IF($A12="","",$C12-$E$57-$F$57)</f>
        <v/>
      </c>
      <c r="L12" s="67">
        <f>IF($A12="","",$L$57*$D12)</f>
        <v/>
      </c>
      <c r="M12" s="66">
        <f>IF($A12="","",$C12-$E$58-$F$58)</f>
        <v/>
      </c>
      <c r="N12" s="67">
        <f>IF($A12="","",$L$58*$D12)</f>
        <v/>
      </c>
      <c r="O12" s="66">
        <f>IF($A12="","",$C12-$E$59-$F$59)</f>
        <v/>
      </c>
      <c r="P12" s="67">
        <f>IF($A12="","",$L$59*$D12)</f>
        <v/>
      </c>
      <c r="Q12" s="66">
        <f>IF($A12="","",$C12)</f>
        <v/>
      </c>
      <c r="R12" s="67">
        <f>IF($A12="","",$L$60*$D12)</f>
        <v/>
      </c>
      <c r="S12" s="66">
        <f>IF($A12="","",$B12-$E$61-$F$61-$G$61)</f>
        <v/>
      </c>
      <c r="T12" s="67">
        <f>IF($A12="","",$L$61*$D12)</f>
        <v/>
      </c>
      <c r="U12" s="66">
        <f>IF($A12="","",(($C12-$E$62-$F$62-$G$62-$H$62-$I$62)/5)+(78*4)/5)</f>
        <v/>
      </c>
      <c r="V12" s="67">
        <f>IF($A12="","",$L$62*$D12)</f>
        <v/>
      </c>
      <c r="W12" s="66">
        <f>IF($A12="","",$S12-$E$63-$F$63)</f>
        <v/>
      </c>
      <c r="X12" s="67">
        <f>IF($A12="","",$L$63*$D12)</f>
        <v/>
      </c>
      <c r="Y12" s="66">
        <f>IF($A12="","",$U12-$E$64-$F$64)</f>
        <v/>
      </c>
      <c r="Z12" s="67">
        <f>IF($A12="","",$L$64*$D12)</f>
        <v/>
      </c>
      <c r="AA12" s="66">
        <f>IF($A12="","",$S12)</f>
        <v/>
      </c>
      <c r="AB12" s="67">
        <f>IF($A12="","",$L$65*$D12)</f>
        <v/>
      </c>
      <c r="AC12" s="66">
        <f>IF($A12="","",$B12-$E$66)</f>
        <v/>
      </c>
      <c r="AD12" s="67">
        <f>IF($A12="","",$L$66*$D12)</f>
        <v/>
      </c>
      <c r="AE12" s="66">
        <f>IF($A12="","",$C12-$E$67-$F$67)</f>
        <v/>
      </c>
      <c r="AF12" s="67">
        <f>IF($A12="","",$L$67*$D12)</f>
        <v/>
      </c>
      <c r="AG12" s="66">
        <f>IF($A12="","",$B12-$E$68)</f>
        <v/>
      </c>
      <c r="AH12" s="67">
        <f>IF($A12="","",$L$68*$D12)</f>
        <v/>
      </c>
      <c r="AI12" s="66">
        <f>IF($A12="","",$B12-$E$69-$F$69)</f>
        <v/>
      </c>
      <c r="AJ12" s="67">
        <f>IF($A12="","",$L$69*$D12)</f>
        <v/>
      </c>
      <c r="AK12" s="66">
        <f>IF($A12="","",2*5*$D12)</f>
        <v/>
      </c>
      <c r="AL12" s="67">
        <f>IF($A12="","",$BC$7*$D12)</f>
        <v/>
      </c>
      <c r="AM12" s="63">
        <f>IF($A12="","",$BC$6*$D12)</f>
        <v/>
      </c>
      <c r="AN12" s="64">
        <f>IF($A12="","",$BC$9*$D12)</f>
        <v/>
      </c>
      <c r="AO12" s="65">
        <f>IF($A12="","",$BC$10*$D12)</f>
        <v/>
      </c>
      <c r="AP12">
        <f>IF($A12="","",2*$BC$6*$D12)</f>
        <v/>
      </c>
      <c r="AQ12">
        <f>IF($A12="","",IF($B12&gt;2800,2,IF($B12&gt;1400,1,0))*$BC$6*$D12)</f>
        <v/>
      </c>
      <c r="AR12">
        <f>IF($A12="","",2*$BC$6*$D12)</f>
        <v/>
      </c>
      <c r="AS12">
        <f>IF($A12="","",$BC$6*$D12)</f>
        <v/>
      </c>
      <c r="AT12">
        <f>IF($A12="","",2*$BC$6*$D12)</f>
        <v/>
      </c>
      <c r="AU12">
        <f>IF($A12="","",4*5*$D12)</f>
        <v/>
      </c>
      <c r="AV12">
        <f>IF($A12="","",16*5*$D12)</f>
        <v/>
      </c>
      <c r="AW12">
        <f>IF($A12="","",(2+MAX(0,ROUNDUP(($K12-1500)/500,0)))*$D12)</f>
        <v/>
      </c>
      <c r="AX12">
        <f>IF($A12="","",(2+MAX(0,ROUNDUP(($K12-1500)/500,0)))*$D12)</f>
        <v/>
      </c>
      <c r="AY12">
        <f>IF($A12="","",ROUND((2*2*($U12+$S12)*5*$D12)/1000,1))</f>
        <v/>
      </c>
      <c r="BA12" t="inlineStr">
        <is>
          <t>Alignดัมมี่ดำ</t>
        </is>
      </c>
      <c r="BB12" t="inlineStr">
        <is>
          <t>JR00376</t>
        </is>
      </c>
    </row>
    <row r="13" ht="40.15" customHeight="1">
      <c r="A13" s="58" t="n"/>
      <c r="B13" s="59" t="n"/>
      <c r="C13" s="60" t="n"/>
      <c r="D13" s="61" t="n"/>
      <c r="E13" s="62">
        <f>IF($A13="","",$B13)</f>
        <v/>
      </c>
      <c r="F13" s="60">
        <f>IF($A13="","",$L$54*$D13)</f>
        <v/>
      </c>
      <c r="G13" s="62">
        <f>IF($A13="","",$B13)</f>
        <v/>
      </c>
      <c r="H13" s="60">
        <f>IF($A13="","",$L$55*$D13)</f>
        <v/>
      </c>
      <c r="I13" s="62">
        <f>IF($A13="","",$B13)</f>
        <v/>
      </c>
      <c r="J13" s="60">
        <f>IF($A13="","",$L$56*$D13)</f>
        <v/>
      </c>
      <c r="K13" s="62">
        <f>IF($A13="","",$C13-$E$57-$F$57)</f>
        <v/>
      </c>
      <c r="L13" s="60">
        <f>IF($A13="","",$L$57*$D13)</f>
        <v/>
      </c>
      <c r="M13" s="62">
        <f>IF($A13="","",$C13-$E$58-$F$58)</f>
        <v/>
      </c>
      <c r="N13" s="60">
        <f>IF($A13="","",$L$58*$D13)</f>
        <v/>
      </c>
      <c r="O13" s="62">
        <f>IF($A13="","",$C13-$E$59-$F$59)</f>
        <v/>
      </c>
      <c r="P13" s="60">
        <f>IF($A13="","",$L$59*$D13)</f>
        <v/>
      </c>
      <c r="Q13" s="62">
        <f>IF($A13="","",$C13)</f>
        <v/>
      </c>
      <c r="R13" s="60">
        <f>IF($A13="","",$L$60*$D13)</f>
        <v/>
      </c>
      <c r="S13" s="62">
        <f>IF($A13="","",$B13-$E$61-$F$61-$G$61)</f>
        <v/>
      </c>
      <c r="T13" s="60">
        <f>IF($A13="","",$L$61*$D13)</f>
        <v/>
      </c>
      <c r="U13" s="62">
        <f>IF($A13="","",(($C13-$E$62-$F$62-$G$62-$H$62-$I$62)/5)+(78*4)/5)</f>
        <v/>
      </c>
      <c r="V13" s="60">
        <f>IF($A13="","",$L$62*$D13)</f>
        <v/>
      </c>
      <c r="W13" s="62">
        <f>IF($A13="","",$S13-$E$63-$F$63)</f>
        <v/>
      </c>
      <c r="X13" s="60">
        <f>IF($A13="","",$L$63*$D13)</f>
        <v/>
      </c>
      <c r="Y13" s="62">
        <f>IF($A13="","",$U13-$E$64-$F$64)</f>
        <v/>
      </c>
      <c r="Z13" s="60">
        <f>IF($A13="","",$L$64*$D13)</f>
        <v/>
      </c>
      <c r="AA13" s="62">
        <f>IF($A13="","",$S13)</f>
        <v/>
      </c>
      <c r="AB13" s="60">
        <f>IF($A13="","",$L$65*$D13)</f>
        <v/>
      </c>
      <c r="AC13" s="62">
        <f>IF($A13="","",$B13-$E$66)</f>
        <v/>
      </c>
      <c r="AD13" s="60">
        <f>IF($A13="","",$L$66*$D13)</f>
        <v/>
      </c>
      <c r="AE13" s="62">
        <f>IF($A13="","",$C13-$E$67-$F$67)</f>
        <v/>
      </c>
      <c r="AF13" s="60">
        <f>IF($A13="","",$L$67*$D13)</f>
        <v/>
      </c>
      <c r="AG13" s="62">
        <f>IF($A13="","",$B13-$E$68)</f>
        <v/>
      </c>
      <c r="AH13" s="60">
        <f>IF($A13="","",$L$68*$D13)</f>
        <v/>
      </c>
      <c r="AI13" s="62">
        <f>IF($A13="","",$B13-$E$69-$F$69)</f>
        <v/>
      </c>
      <c r="AJ13" s="60">
        <f>IF($A13="","",$L$69*$D13)</f>
        <v/>
      </c>
      <c r="AK13" s="62">
        <f>IF($A13="","",2*5*$D13)</f>
        <v/>
      </c>
      <c r="AL13" s="60">
        <f>IF($A13="","",$BC$7*$D13)</f>
        <v/>
      </c>
      <c r="AM13" s="63">
        <f>IF($A13="","",$BC$6*$D13)</f>
        <v/>
      </c>
      <c r="AN13" s="64">
        <f>IF($A13="","",$BC$9*$D13)</f>
        <v/>
      </c>
      <c r="AO13" s="65">
        <f>IF($A13="","",$BC$10*$D13)</f>
        <v/>
      </c>
      <c r="AP13">
        <f>IF($A13="","",2*$BC$6*$D13)</f>
        <v/>
      </c>
      <c r="AQ13">
        <f>IF($A13="","",IF($B13&gt;2800,2,IF($B13&gt;1400,1,0))*$BC$6*$D13)</f>
        <v/>
      </c>
      <c r="AR13">
        <f>IF($A13="","",2*$BC$6*$D13)</f>
        <v/>
      </c>
      <c r="AS13">
        <f>IF($A13="","",$BC$6*$D13)</f>
        <v/>
      </c>
      <c r="AT13">
        <f>IF($A13="","",2*$BC$6*$D13)</f>
        <v/>
      </c>
      <c r="AU13">
        <f>IF($A13="","",4*5*$D13)</f>
        <v/>
      </c>
      <c r="AV13">
        <f>IF($A13="","",16*5*$D13)</f>
        <v/>
      </c>
      <c r="AW13">
        <f>IF($A13="","",(2+MAX(0,ROUNDUP(($K13-1500)/500,0)))*$D13)</f>
        <v/>
      </c>
      <c r="AX13">
        <f>IF($A13="","",(2+MAX(0,ROUNDUP(($K13-1500)/500,0)))*$D13)</f>
        <v/>
      </c>
      <c r="AY13">
        <f>IF($A13="","",ROUND((2*2*($U13+$S13)*5*$D13)/1000,1))</f>
        <v/>
      </c>
    </row>
    <row r="14" ht="40.15" customHeight="1">
      <c r="A14" s="58" t="n"/>
      <c r="B14" s="59" t="n"/>
      <c r="C14" s="60" t="n"/>
      <c r="D14" s="61" t="n"/>
      <c r="E14" s="66">
        <f>IF($A14="","",$B14)</f>
        <v/>
      </c>
      <c r="F14" s="67">
        <f>IF($A14="","",$L$54*$D14)</f>
        <v/>
      </c>
      <c r="G14" s="66">
        <f>IF($A14="","",$B14)</f>
        <v/>
      </c>
      <c r="H14" s="67">
        <f>IF($A14="","",$L$55*$D14)</f>
        <v/>
      </c>
      <c r="I14" s="66">
        <f>IF($A14="","",$B14)</f>
        <v/>
      </c>
      <c r="J14" s="67">
        <f>IF($A14="","",$L$56*$D14)</f>
        <v/>
      </c>
      <c r="K14" s="66">
        <f>IF($A14="","",$C14-$E$57-$F$57)</f>
        <v/>
      </c>
      <c r="L14" s="67">
        <f>IF($A14="","",$L$57*$D14)</f>
        <v/>
      </c>
      <c r="M14" s="66">
        <f>IF($A14="","",$C14-$E$58-$F$58)</f>
        <v/>
      </c>
      <c r="N14" s="67">
        <f>IF($A14="","",$L$58*$D14)</f>
        <v/>
      </c>
      <c r="O14" s="66">
        <f>IF($A14="","",$C14-$E$59-$F$59)</f>
        <v/>
      </c>
      <c r="P14" s="67">
        <f>IF($A14="","",$L$59*$D14)</f>
        <v/>
      </c>
      <c r="Q14" s="66">
        <f>IF($A14="","",$C14)</f>
        <v/>
      </c>
      <c r="R14" s="67">
        <f>IF($A14="","",$L$60*$D14)</f>
        <v/>
      </c>
      <c r="S14" s="66">
        <f>IF($A14="","",$B14-$E$61-$F$61-$G$61)</f>
        <v/>
      </c>
      <c r="T14" s="67">
        <f>IF($A14="","",$L$61*$D14)</f>
        <v/>
      </c>
      <c r="U14" s="66">
        <f>IF($A14="","",(($C14-$E$62-$F$62-$G$62-$H$62-$I$62)/5)+(78*4)/5)</f>
        <v/>
      </c>
      <c r="V14" s="67">
        <f>IF($A14="","",$L$62*$D14)</f>
        <v/>
      </c>
      <c r="W14" s="66">
        <f>IF($A14="","",$S14-$E$63-$F$63)</f>
        <v/>
      </c>
      <c r="X14" s="67">
        <f>IF($A14="","",$L$63*$D14)</f>
        <v/>
      </c>
      <c r="Y14" s="66">
        <f>IF($A14="","",$U14-$E$64-$F$64)</f>
        <v/>
      </c>
      <c r="Z14" s="67">
        <f>IF($A14="","",$L$64*$D14)</f>
        <v/>
      </c>
      <c r="AA14" s="66">
        <f>IF($A14="","",$S14)</f>
        <v/>
      </c>
      <c r="AB14" s="67">
        <f>IF($A14="","",$L$65*$D14)</f>
        <v/>
      </c>
      <c r="AC14" s="66">
        <f>IF($A14="","",$B14-$E$66)</f>
        <v/>
      </c>
      <c r="AD14" s="67">
        <f>IF($A14="","",$L$66*$D14)</f>
        <v/>
      </c>
      <c r="AE14" s="66">
        <f>IF($A14="","",$C14-$E$67-$F$67)</f>
        <v/>
      </c>
      <c r="AF14" s="67">
        <f>IF($A14="","",$L$67*$D14)</f>
        <v/>
      </c>
      <c r="AG14" s="66">
        <f>IF($A14="","",$B14-$E$68)</f>
        <v/>
      </c>
      <c r="AH14" s="67">
        <f>IF($A14="","",$L$68*$D14)</f>
        <v/>
      </c>
      <c r="AI14" s="66">
        <f>IF($A14="","",$B14-$E$69-$F$69)</f>
        <v/>
      </c>
      <c r="AJ14" s="67">
        <f>IF($A14="","",$L$69*$D14)</f>
        <v/>
      </c>
      <c r="AK14" s="66">
        <f>IF($A14="","",2*5*$D14)</f>
        <v/>
      </c>
      <c r="AL14" s="67">
        <f>IF($A14="","",$BC$7*$D14)</f>
        <v/>
      </c>
      <c r="AM14" s="63">
        <f>IF($A14="","",$BC$6*$D14)</f>
        <v/>
      </c>
      <c r="AN14" s="64">
        <f>IF($A14="","",$BC$9*$D14)</f>
        <v/>
      </c>
      <c r="AO14" s="65">
        <f>IF($A14="","",$BC$10*$D14)</f>
        <v/>
      </c>
      <c r="AP14">
        <f>IF($A14="","",2*$BC$6*$D14)</f>
        <v/>
      </c>
      <c r="AQ14">
        <f>IF($A14="","",IF($B14&gt;2800,2,IF($B14&gt;1400,1,0))*$BC$6*$D14)</f>
        <v/>
      </c>
      <c r="AR14">
        <f>IF($A14="","",2*$BC$6*$D14)</f>
        <v/>
      </c>
      <c r="AS14">
        <f>IF($A14="","",$BC$6*$D14)</f>
        <v/>
      </c>
      <c r="AT14">
        <f>IF($A14="","",2*$BC$6*$D14)</f>
        <v/>
      </c>
      <c r="AU14">
        <f>IF($A14="","",4*5*$D14)</f>
        <v/>
      </c>
      <c r="AV14">
        <f>IF($A14="","",16*5*$D14)</f>
        <v/>
      </c>
      <c r="AW14">
        <f>IF($A14="","",(2+MAX(0,ROUNDUP(($K14-1500)/500,0)))*$D14)</f>
        <v/>
      </c>
      <c r="AX14">
        <f>IF($A14="","",(2+MAX(0,ROUNDUP(($K14-1500)/500,0)))*$D14)</f>
        <v/>
      </c>
      <c r="AY14">
        <f>IF($A14="","",ROUND((2*2*($U14+$S14)*5*$D14)/1000,1))</f>
        <v/>
      </c>
    </row>
    <row r="15" ht="40.15" customHeight="1">
      <c r="A15" s="58" t="n"/>
      <c r="B15" s="59" t="n"/>
      <c r="C15" s="60" t="n"/>
      <c r="D15" s="61" t="n"/>
      <c r="E15" s="62">
        <f>IF($A15="","",$B15)</f>
        <v/>
      </c>
      <c r="F15" s="60">
        <f>IF($A15="","",$L$54*$D15)</f>
        <v/>
      </c>
      <c r="G15" s="62">
        <f>IF($A15="","",$B15)</f>
        <v/>
      </c>
      <c r="H15" s="60">
        <f>IF($A15="","",$L$55*$D15)</f>
        <v/>
      </c>
      <c r="I15" s="62">
        <f>IF($A15="","",$B15)</f>
        <v/>
      </c>
      <c r="J15" s="60">
        <f>IF($A15="","",$L$56*$D15)</f>
        <v/>
      </c>
      <c r="K15" s="62">
        <f>IF($A15="","",$C15-$E$57-$F$57)</f>
        <v/>
      </c>
      <c r="L15" s="60">
        <f>IF($A15="","",$L$57*$D15)</f>
        <v/>
      </c>
      <c r="M15" s="62">
        <f>IF($A15="","",$C15-$E$58-$F$58)</f>
        <v/>
      </c>
      <c r="N15" s="60">
        <f>IF($A15="","",$L$58*$D15)</f>
        <v/>
      </c>
      <c r="O15" s="62">
        <f>IF($A15="","",$C15-$E$59-$F$59)</f>
        <v/>
      </c>
      <c r="P15" s="60">
        <f>IF($A15="","",$L$59*$D15)</f>
        <v/>
      </c>
      <c r="Q15" s="62">
        <f>IF($A15="","",$C15)</f>
        <v/>
      </c>
      <c r="R15" s="60">
        <f>IF($A15="","",$L$60*$D15)</f>
        <v/>
      </c>
      <c r="S15" s="62">
        <f>IF($A15="","",$B15-$E$61-$F$61-$G$61)</f>
        <v/>
      </c>
      <c r="T15" s="60">
        <f>IF($A15="","",$L$61*$D15)</f>
        <v/>
      </c>
      <c r="U15" s="62">
        <f>IF($A15="","",(($C15-$E$62-$F$62-$G$62-$H$62-$I$62)/5)+(78*4)/5)</f>
        <v/>
      </c>
      <c r="V15" s="60">
        <f>IF($A15="","",$L$62*$D15)</f>
        <v/>
      </c>
      <c r="W15" s="62">
        <f>IF($A15="","",$S15-$E$63-$F$63)</f>
        <v/>
      </c>
      <c r="X15" s="60">
        <f>IF($A15="","",$L$63*$D15)</f>
        <v/>
      </c>
      <c r="Y15" s="62">
        <f>IF($A15="","",$U15-$E$64-$F$64)</f>
        <v/>
      </c>
      <c r="Z15" s="60">
        <f>IF($A15="","",$L$64*$D15)</f>
        <v/>
      </c>
      <c r="AA15" s="62">
        <f>IF($A15="","",$S15)</f>
        <v/>
      </c>
      <c r="AB15" s="60">
        <f>IF($A15="","",$L$65*$D15)</f>
        <v/>
      </c>
      <c r="AC15" s="62">
        <f>IF($A15="","",$B15-$E$66)</f>
        <v/>
      </c>
      <c r="AD15" s="60">
        <f>IF($A15="","",$L$66*$D15)</f>
        <v/>
      </c>
      <c r="AE15" s="62">
        <f>IF($A15="","",$C15-$E$67-$F$67)</f>
        <v/>
      </c>
      <c r="AF15" s="60">
        <f>IF($A15="","",$L$67*$D15)</f>
        <v/>
      </c>
      <c r="AG15" s="62">
        <f>IF($A15="","",$B15-$E$68)</f>
        <v/>
      </c>
      <c r="AH15" s="60">
        <f>IF($A15="","",$L$68*$D15)</f>
        <v/>
      </c>
      <c r="AI15" s="62">
        <f>IF($A15="","",$B15-$E$69-$F$69)</f>
        <v/>
      </c>
      <c r="AJ15" s="60">
        <f>IF($A15="","",$L$69*$D15)</f>
        <v/>
      </c>
      <c r="AK15" s="62">
        <f>IF($A15="","",2*5*$D15)</f>
        <v/>
      </c>
      <c r="AL15" s="60">
        <f>IF($A15="","",$BC$7*$D15)</f>
        <v/>
      </c>
      <c r="AM15" s="63">
        <f>IF($A15="","",$BC$6*$D15)</f>
        <v/>
      </c>
      <c r="AN15" s="64">
        <f>IF($A15="","",$BC$9*$D15)</f>
        <v/>
      </c>
      <c r="AO15" s="65">
        <f>IF($A15="","",$BC$10*$D15)</f>
        <v/>
      </c>
      <c r="AP15">
        <f>IF($A15="","",2*$BC$6*$D15)</f>
        <v/>
      </c>
      <c r="AQ15">
        <f>IF($A15="","",IF($B15&gt;2800,2,IF($B15&gt;1400,1,0))*$BC$6*$D15)</f>
        <v/>
      </c>
      <c r="AR15">
        <f>IF($A15="","",2*$BC$6*$D15)</f>
        <v/>
      </c>
      <c r="AS15">
        <f>IF($A15="","",$BC$6*$D15)</f>
        <v/>
      </c>
      <c r="AT15">
        <f>IF($A15="","",2*$BC$6*$D15)</f>
        <v/>
      </c>
      <c r="AU15">
        <f>IF($A15="","",4*5*$D15)</f>
        <v/>
      </c>
      <c r="AV15">
        <f>IF($A15="","",16*5*$D15)</f>
        <v/>
      </c>
      <c r="AW15">
        <f>IF($A15="","",(2+MAX(0,ROUNDUP(($K15-1500)/500,0)))*$D15)</f>
        <v/>
      </c>
      <c r="AX15">
        <f>IF($A15="","",(2+MAX(0,ROUNDUP(($K15-1500)/500,0)))*$D15)</f>
        <v/>
      </c>
      <c r="AY15">
        <f>IF($A15="","",ROUND((2*2*($U15+$S15)*5*$D15)/1000,1))</f>
        <v/>
      </c>
    </row>
    <row r="16" ht="40.15" customHeight="1">
      <c r="A16" s="58" t="n"/>
      <c r="B16" s="59" t="n"/>
      <c r="C16" s="60" t="n"/>
      <c r="D16" s="61" t="n"/>
      <c r="E16" s="66">
        <f>IF($A16="","",$B16)</f>
        <v/>
      </c>
      <c r="F16" s="67">
        <f>IF($A16="","",$L$54*$D16)</f>
        <v/>
      </c>
      <c r="G16" s="66">
        <f>IF($A16="","",$B16)</f>
        <v/>
      </c>
      <c r="H16" s="67">
        <f>IF($A16="","",$L$55*$D16)</f>
        <v/>
      </c>
      <c r="I16" s="66">
        <f>IF($A16="","",$B16)</f>
        <v/>
      </c>
      <c r="J16" s="67">
        <f>IF($A16="","",$L$56*$D16)</f>
        <v/>
      </c>
      <c r="K16" s="66">
        <f>IF($A16="","",$C16-$E$57-$F$57)</f>
        <v/>
      </c>
      <c r="L16" s="67">
        <f>IF($A16="","",$L$57*$D16)</f>
        <v/>
      </c>
      <c r="M16" s="66">
        <f>IF($A16="","",$C16-$E$58-$F$58)</f>
        <v/>
      </c>
      <c r="N16" s="67">
        <f>IF($A16="","",$L$58*$D16)</f>
        <v/>
      </c>
      <c r="O16" s="66">
        <f>IF($A16="","",$C16-$E$59-$F$59)</f>
        <v/>
      </c>
      <c r="P16" s="67">
        <f>IF($A16="","",$L$59*$D16)</f>
        <v/>
      </c>
      <c r="Q16" s="66">
        <f>IF($A16="","",$C16)</f>
        <v/>
      </c>
      <c r="R16" s="67">
        <f>IF($A16="","",$L$60*$D16)</f>
        <v/>
      </c>
      <c r="S16" s="66">
        <f>IF($A16="","",$B16-$E$61-$F$61-$G$61)</f>
        <v/>
      </c>
      <c r="T16" s="67">
        <f>IF($A16="","",$L$61*$D16)</f>
        <v/>
      </c>
      <c r="U16" s="66">
        <f>IF($A16="","",(($C16-$E$62-$F$62-$G$62-$H$62-$I$62)/5)+(78*4)/5)</f>
        <v/>
      </c>
      <c r="V16" s="67">
        <f>IF($A16="","",$L$62*$D16)</f>
        <v/>
      </c>
      <c r="W16" s="66">
        <f>IF($A16="","",$S16-$E$63-$F$63)</f>
        <v/>
      </c>
      <c r="X16" s="67">
        <f>IF($A16="","",$L$63*$D16)</f>
        <v/>
      </c>
      <c r="Y16" s="66">
        <f>IF($A16="","",$U16-$E$64-$F$64)</f>
        <v/>
      </c>
      <c r="Z16" s="67">
        <f>IF($A16="","",$L$64*$D16)</f>
        <v/>
      </c>
      <c r="AA16" s="66">
        <f>IF($A16="","",$S16)</f>
        <v/>
      </c>
      <c r="AB16" s="67">
        <f>IF($A16="","",$L$65*$D16)</f>
        <v/>
      </c>
      <c r="AC16" s="66">
        <f>IF($A16="","",$B16-$E$66)</f>
        <v/>
      </c>
      <c r="AD16" s="67">
        <f>IF($A16="","",$L$66*$D16)</f>
        <v/>
      </c>
      <c r="AE16" s="66">
        <f>IF($A16="","",$C16-$E$67-$F$67)</f>
        <v/>
      </c>
      <c r="AF16" s="67">
        <f>IF($A16="","",$L$67*$D16)</f>
        <v/>
      </c>
      <c r="AG16" s="66">
        <f>IF($A16="","",$B16-$E$68)</f>
        <v/>
      </c>
      <c r="AH16" s="67">
        <f>IF($A16="","",$L$68*$D16)</f>
        <v/>
      </c>
      <c r="AI16" s="66">
        <f>IF($A16="","",$B16-$E$69-$F$69)</f>
        <v/>
      </c>
      <c r="AJ16" s="67">
        <f>IF($A16="","",$L$69*$D16)</f>
        <v/>
      </c>
      <c r="AK16" s="66">
        <f>IF($A16="","",2*5*$D16)</f>
        <v/>
      </c>
      <c r="AL16" s="67">
        <f>IF($A16="","",$BC$7*$D16)</f>
        <v/>
      </c>
      <c r="AM16" s="63">
        <f>IF($A16="","",$BC$6*$D16)</f>
        <v/>
      </c>
      <c r="AN16" s="64">
        <f>IF($A16="","",$BC$9*$D16)</f>
        <v/>
      </c>
      <c r="AO16" s="65">
        <f>IF($A16="","",$BC$10*$D16)</f>
        <v/>
      </c>
      <c r="AP16">
        <f>IF($A16="","",2*$BC$6*$D16)</f>
        <v/>
      </c>
      <c r="AQ16">
        <f>IF($A16="","",IF($B16&gt;2800,2,IF($B16&gt;1400,1,0))*$BC$6*$D16)</f>
        <v/>
      </c>
      <c r="AR16">
        <f>IF($A16="","",2*$BC$6*$D16)</f>
        <v/>
      </c>
      <c r="AS16">
        <f>IF($A16="","",$BC$6*$D16)</f>
        <v/>
      </c>
      <c r="AT16">
        <f>IF($A16="","",2*$BC$6*$D16)</f>
        <v/>
      </c>
      <c r="AU16">
        <f>IF($A16="","",4*5*$D16)</f>
        <v/>
      </c>
      <c r="AV16">
        <f>IF($A16="","",16*5*$D16)</f>
        <v/>
      </c>
      <c r="AW16">
        <f>IF($A16="","",(2+MAX(0,ROUNDUP(($K16-1500)/500,0)))*$D16)</f>
        <v/>
      </c>
      <c r="AX16">
        <f>IF($A16="","",(2+MAX(0,ROUNDUP(($K16-1500)/500,0)))*$D16)</f>
        <v/>
      </c>
      <c r="AY16">
        <f>IF($A16="","",ROUND((2*2*($U16+$S16)*5*$D16)/1000,1))</f>
        <v/>
      </c>
    </row>
    <row r="17" ht="40.15" customHeight="1">
      <c r="A17" s="58" t="n"/>
      <c r="B17" s="59" t="n"/>
      <c r="C17" s="60" t="n"/>
      <c r="D17" s="61" t="n"/>
      <c r="E17" s="62">
        <f>IF($A17="","",$B17)</f>
        <v/>
      </c>
      <c r="F17" s="60">
        <f>IF($A17="","",$L$54*$D17)</f>
        <v/>
      </c>
      <c r="G17" s="62">
        <f>IF($A17="","",$B17)</f>
        <v/>
      </c>
      <c r="H17" s="60">
        <f>IF($A17="","",$L$55*$D17)</f>
        <v/>
      </c>
      <c r="I17" s="62">
        <f>IF($A17="","",$B17)</f>
        <v/>
      </c>
      <c r="J17" s="60">
        <f>IF($A17="","",$L$56*$D17)</f>
        <v/>
      </c>
      <c r="K17" s="62">
        <f>IF($A17="","",$C17-$E$57-$F$57)</f>
        <v/>
      </c>
      <c r="L17" s="60">
        <f>IF($A17="","",$L$57*$D17)</f>
        <v/>
      </c>
      <c r="M17" s="62">
        <f>IF($A17="","",$C17-$E$58-$F$58)</f>
        <v/>
      </c>
      <c r="N17" s="60">
        <f>IF($A17="","",$L$58*$D17)</f>
        <v/>
      </c>
      <c r="O17" s="62">
        <f>IF($A17="","",$C17-$E$59-$F$59)</f>
        <v/>
      </c>
      <c r="P17" s="60">
        <f>IF($A17="","",$L$59*$D17)</f>
        <v/>
      </c>
      <c r="Q17" s="62">
        <f>IF($A17="","",$C17)</f>
        <v/>
      </c>
      <c r="R17" s="60">
        <f>IF($A17="","",$L$60*$D17)</f>
        <v/>
      </c>
      <c r="S17" s="62">
        <f>IF($A17="","",$B17-$E$61-$F$61-$G$61)</f>
        <v/>
      </c>
      <c r="T17" s="60">
        <f>IF($A17="","",$L$61*$D17)</f>
        <v/>
      </c>
      <c r="U17" s="62">
        <f>IF($A17="","",(($C17-$E$62-$F$62-$G$62-$H$62-$I$62)/5)+(78*4)/5)</f>
        <v/>
      </c>
      <c r="V17" s="60">
        <f>IF($A17="","",$L$62*$D17)</f>
        <v/>
      </c>
      <c r="W17" s="62">
        <f>IF($A17="","",$S17-$E$63-$F$63)</f>
        <v/>
      </c>
      <c r="X17" s="60">
        <f>IF($A17="","",$L$63*$D17)</f>
        <v/>
      </c>
      <c r="Y17" s="62">
        <f>IF($A17="","",$U17-$E$64-$F$64)</f>
        <v/>
      </c>
      <c r="Z17" s="60">
        <f>IF($A17="","",$L$64*$D17)</f>
        <v/>
      </c>
      <c r="AA17" s="62">
        <f>IF($A17="","",$S17)</f>
        <v/>
      </c>
      <c r="AB17" s="60">
        <f>IF($A17="","",$L$65*$D17)</f>
        <v/>
      </c>
      <c r="AC17" s="62">
        <f>IF($A17="","",$B17-$E$66)</f>
        <v/>
      </c>
      <c r="AD17" s="60">
        <f>IF($A17="","",$L$66*$D17)</f>
        <v/>
      </c>
      <c r="AE17" s="62">
        <f>IF($A17="","",$C17-$E$67-$F$67)</f>
        <v/>
      </c>
      <c r="AF17" s="60">
        <f>IF($A17="","",$L$67*$D17)</f>
        <v/>
      </c>
      <c r="AG17" s="62">
        <f>IF($A17="","",$B17-$E$68)</f>
        <v/>
      </c>
      <c r="AH17" s="60">
        <f>IF($A17="","",$L$68*$D17)</f>
        <v/>
      </c>
      <c r="AI17" s="62">
        <f>IF($A17="","",$B17-$E$69-$F$69)</f>
        <v/>
      </c>
      <c r="AJ17" s="60">
        <f>IF($A17="","",$L$69*$D17)</f>
        <v/>
      </c>
      <c r="AK17" s="62">
        <f>IF($A17="","",2*5*$D17)</f>
        <v/>
      </c>
      <c r="AL17" s="60">
        <f>IF($A17="","",$BC$7*$D17)</f>
        <v/>
      </c>
      <c r="AM17" s="63">
        <f>IF($A17="","",$BC$6*$D17)</f>
        <v/>
      </c>
      <c r="AN17" s="64">
        <f>IF($A17="","",$BC$9*$D17)</f>
        <v/>
      </c>
      <c r="AO17" s="65">
        <f>IF($A17="","",$BC$10*$D17)</f>
        <v/>
      </c>
      <c r="AP17">
        <f>IF($A17="","",2*$BC$6*$D17)</f>
        <v/>
      </c>
      <c r="AQ17">
        <f>IF($A17="","",IF($B17&gt;2800,2,IF($B17&gt;1400,1,0))*$BC$6*$D17)</f>
        <v/>
      </c>
      <c r="AR17">
        <f>IF($A17="","",2*$BC$6*$D17)</f>
        <v/>
      </c>
      <c r="AS17">
        <f>IF($A17="","",$BC$6*$D17)</f>
        <v/>
      </c>
      <c r="AT17">
        <f>IF($A17="","",2*$BC$6*$D17)</f>
        <v/>
      </c>
      <c r="AU17">
        <f>IF($A17="","",4*5*$D17)</f>
        <v/>
      </c>
      <c r="AV17">
        <f>IF($A17="","",16*5*$D17)</f>
        <v/>
      </c>
      <c r="AW17">
        <f>IF($A17="","",(2+MAX(0,ROUNDUP(($K17-1500)/500,0)))*$D17)</f>
        <v/>
      </c>
      <c r="AX17">
        <f>IF($A17="","",(2+MAX(0,ROUNDUP(($K17-1500)/500,0)))*$D17)</f>
        <v/>
      </c>
      <c r="AY17">
        <f>IF($A17="","",ROUND((2*2*($U17+$S17)*5*$D17)/1000,1))</f>
        <v/>
      </c>
    </row>
    <row r="18" ht="40.15" customHeight="1">
      <c r="A18" s="58" t="n"/>
      <c r="B18" s="59" t="n"/>
      <c r="C18" s="60" t="n"/>
      <c r="D18" s="61" t="n"/>
      <c r="E18" s="66">
        <f>IF($A18="","",$B18)</f>
        <v/>
      </c>
      <c r="F18" s="67">
        <f>IF($A18="","",$L$54*$D18)</f>
        <v/>
      </c>
      <c r="G18" s="66">
        <f>IF($A18="","",$B18)</f>
        <v/>
      </c>
      <c r="H18" s="67">
        <f>IF($A18="","",$L$55*$D18)</f>
        <v/>
      </c>
      <c r="I18" s="66">
        <f>IF($A18="","",$B18)</f>
        <v/>
      </c>
      <c r="J18" s="67">
        <f>IF($A18="","",$L$56*$D18)</f>
        <v/>
      </c>
      <c r="K18" s="66">
        <f>IF($A18="","",$C18-$E$57-$F$57)</f>
        <v/>
      </c>
      <c r="L18" s="67">
        <f>IF($A18="","",$L$57*$D18)</f>
        <v/>
      </c>
      <c r="M18" s="66">
        <f>IF($A18="","",$C18-$E$58-$F$58)</f>
        <v/>
      </c>
      <c r="N18" s="67">
        <f>IF($A18="","",$L$58*$D18)</f>
        <v/>
      </c>
      <c r="O18" s="66">
        <f>IF($A18="","",$C18-$E$59-$F$59)</f>
        <v/>
      </c>
      <c r="P18" s="67">
        <f>IF($A18="","",$L$59*$D18)</f>
        <v/>
      </c>
      <c r="Q18" s="66">
        <f>IF($A18="","",$C18)</f>
        <v/>
      </c>
      <c r="R18" s="67">
        <f>IF($A18="","",$L$60*$D18)</f>
        <v/>
      </c>
      <c r="S18" s="66">
        <f>IF($A18="","",$B18-$E$61-$F$61-$G$61)</f>
        <v/>
      </c>
      <c r="T18" s="67">
        <f>IF($A18="","",$L$61*$D18)</f>
        <v/>
      </c>
      <c r="U18" s="66">
        <f>IF($A18="","",(($C18-$E$62-$F$62-$G$62-$H$62-$I$62)/5)+(78*4)/5)</f>
        <v/>
      </c>
      <c r="V18" s="67">
        <f>IF($A18="","",$L$62*$D18)</f>
        <v/>
      </c>
      <c r="W18" s="66">
        <f>IF($A18="","",$S18-$E$63-$F$63)</f>
        <v/>
      </c>
      <c r="X18" s="67">
        <f>IF($A18="","",$L$63*$D18)</f>
        <v/>
      </c>
      <c r="Y18" s="66">
        <f>IF($A18="","",$U18-$E$64-$F$64)</f>
        <v/>
      </c>
      <c r="Z18" s="67">
        <f>IF($A18="","",$L$64*$D18)</f>
        <v/>
      </c>
      <c r="AA18" s="66">
        <f>IF($A18="","",$S18)</f>
        <v/>
      </c>
      <c r="AB18" s="67">
        <f>IF($A18="","",$L$65*$D18)</f>
        <v/>
      </c>
      <c r="AC18" s="66">
        <f>IF($A18="","",$B18-$E$66)</f>
        <v/>
      </c>
      <c r="AD18" s="67">
        <f>IF($A18="","",$L$66*$D18)</f>
        <v/>
      </c>
      <c r="AE18" s="66">
        <f>IF($A18="","",$C18-$E$67-$F$67)</f>
        <v/>
      </c>
      <c r="AF18" s="67">
        <f>IF($A18="","",$L$67*$D18)</f>
        <v/>
      </c>
      <c r="AG18" s="66">
        <f>IF($A18="","",$B18-$E$68)</f>
        <v/>
      </c>
      <c r="AH18" s="67">
        <f>IF($A18="","",$L$68*$D18)</f>
        <v/>
      </c>
      <c r="AI18" s="66">
        <f>IF($A18="","",$B18-$E$69-$F$69)</f>
        <v/>
      </c>
      <c r="AJ18" s="67">
        <f>IF($A18="","",$L$69*$D18)</f>
        <v/>
      </c>
      <c r="AK18" s="66">
        <f>IF($A18="","",2*5*$D18)</f>
        <v/>
      </c>
      <c r="AL18" s="67">
        <f>IF($A18="","",$BC$7*$D18)</f>
        <v/>
      </c>
      <c r="AM18" s="63">
        <f>IF($A18="","",$BC$6*$D18)</f>
        <v/>
      </c>
      <c r="AN18" s="64">
        <f>IF($A18="","",$BC$9*$D18)</f>
        <v/>
      </c>
      <c r="AO18" s="65">
        <f>IF($A18="","",$BC$10*$D18)</f>
        <v/>
      </c>
      <c r="AP18">
        <f>IF($A18="","",2*$BC$6*$D18)</f>
        <v/>
      </c>
      <c r="AQ18">
        <f>IF($A18="","",IF($B18&gt;2800,2,IF($B18&gt;1400,1,0))*$BC$6*$D18)</f>
        <v/>
      </c>
      <c r="AR18">
        <f>IF($A18="","",2*$BC$6*$D18)</f>
        <v/>
      </c>
      <c r="AS18">
        <f>IF($A18="","",$BC$6*$D18)</f>
        <v/>
      </c>
      <c r="AT18">
        <f>IF($A18="","",2*$BC$6*$D18)</f>
        <v/>
      </c>
      <c r="AU18">
        <f>IF($A18="","",4*5*$D18)</f>
        <v/>
      </c>
      <c r="AV18">
        <f>IF($A18="","",16*5*$D18)</f>
        <v/>
      </c>
      <c r="AW18">
        <f>IF($A18="","",(2+MAX(0,ROUNDUP(($K18-1500)/500,0)))*$D18)</f>
        <v/>
      </c>
      <c r="AX18">
        <f>IF($A18="","",(2+MAX(0,ROUNDUP(($K18-1500)/500,0)))*$D18)</f>
        <v/>
      </c>
      <c r="AY18">
        <f>IF($A18="","",ROUND((2*2*($U18+$S18)*5*$D18)/1000,1))</f>
        <v/>
      </c>
    </row>
    <row r="19" ht="40.15" customHeight="1">
      <c r="A19" s="58" t="n"/>
      <c r="B19" s="59" t="n"/>
      <c r="C19" s="60" t="n"/>
      <c r="D19" s="61" t="n"/>
      <c r="E19" s="62">
        <f>IF($A19="","",$B19)</f>
        <v/>
      </c>
      <c r="F19" s="60">
        <f>IF($A19="","",$L$54*$D19)</f>
        <v/>
      </c>
      <c r="G19" s="62">
        <f>IF($A19="","",$B19)</f>
        <v/>
      </c>
      <c r="H19" s="60">
        <f>IF($A19="","",$L$55*$D19)</f>
        <v/>
      </c>
      <c r="I19" s="62">
        <f>IF($A19="","",$B19)</f>
        <v/>
      </c>
      <c r="J19" s="60">
        <f>IF($A19="","",$L$56*$D19)</f>
        <v/>
      </c>
      <c r="K19" s="62">
        <f>IF($A19="","",$C19-$E$57-$F$57)</f>
        <v/>
      </c>
      <c r="L19" s="60">
        <f>IF($A19="","",$L$57*$D19)</f>
        <v/>
      </c>
      <c r="M19" s="62">
        <f>IF($A19="","",$C19-$E$58-$F$58)</f>
        <v/>
      </c>
      <c r="N19" s="60">
        <f>IF($A19="","",$L$58*$D19)</f>
        <v/>
      </c>
      <c r="O19" s="62">
        <f>IF($A19="","",$C19-$E$59-$F$59)</f>
        <v/>
      </c>
      <c r="P19" s="60">
        <f>IF($A19="","",$L$59*$D19)</f>
        <v/>
      </c>
      <c r="Q19" s="62">
        <f>IF($A19="","",$C19)</f>
        <v/>
      </c>
      <c r="R19" s="60">
        <f>IF($A19="","",$L$60*$D19)</f>
        <v/>
      </c>
      <c r="S19" s="62">
        <f>IF($A19="","",$B19-$E$61-$F$61-$G$61)</f>
        <v/>
      </c>
      <c r="T19" s="60">
        <f>IF($A19="","",$L$61*$D19)</f>
        <v/>
      </c>
      <c r="U19" s="62">
        <f>IF($A19="","",(($C19-$E$62-$F$62-$G$62-$H$62-$I$62)/5)+(78*4)/5)</f>
        <v/>
      </c>
      <c r="V19" s="60">
        <f>IF($A19="","",$L$62*$D19)</f>
        <v/>
      </c>
      <c r="W19" s="62">
        <f>IF($A19="","",$S19-$E$63-$F$63)</f>
        <v/>
      </c>
      <c r="X19" s="60">
        <f>IF($A19="","",$L$63*$D19)</f>
        <v/>
      </c>
      <c r="Y19" s="62">
        <f>IF($A19="","",$U19-$E$64-$F$64)</f>
        <v/>
      </c>
      <c r="Z19" s="60">
        <f>IF($A19="","",$L$64*$D19)</f>
        <v/>
      </c>
      <c r="AA19" s="62">
        <f>IF($A19="","",$S19)</f>
        <v/>
      </c>
      <c r="AB19" s="60">
        <f>IF($A19="","",$L$65*$D19)</f>
        <v/>
      </c>
      <c r="AC19" s="62">
        <f>IF($A19="","",$B19-$E$66)</f>
        <v/>
      </c>
      <c r="AD19" s="60">
        <f>IF($A19="","",$L$66*$D19)</f>
        <v/>
      </c>
      <c r="AE19" s="62">
        <f>IF($A19="","",$C19-$E$67-$F$67)</f>
        <v/>
      </c>
      <c r="AF19" s="60">
        <f>IF($A19="","",$L$67*$D19)</f>
        <v/>
      </c>
      <c r="AG19" s="62">
        <f>IF($A19="","",$B19-$E$68)</f>
        <v/>
      </c>
      <c r="AH19" s="60">
        <f>IF($A19="","",$L$68*$D19)</f>
        <v/>
      </c>
      <c r="AI19" s="62">
        <f>IF($A19="","",$B19-$E$69-$F$69)</f>
        <v/>
      </c>
      <c r="AJ19" s="60">
        <f>IF($A19="","",$L$69*$D19)</f>
        <v/>
      </c>
      <c r="AK19" s="62">
        <f>IF($A19="","",2*5*$D19)</f>
        <v/>
      </c>
      <c r="AL19" s="60">
        <f>IF($A19="","",$BC$7*$D19)</f>
        <v/>
      </c>
      <c r="AM19" s="63">
        <f>IF($A19="","",$BC$6*$D19)</f>
        <v/>
      </c>
      <c r="AN19" s="64">
        <f>IF($A19="","",$BC$9*$D19)</f>
        <v/>
      </c>
      <c r="AO19" s="65">
        <f>IF($A19="","",$BC$10*$D19)</f>
        <v/>
      </c>
      <c r="AP19">
        <f>IF($A19="","",2*$BC$6*$D19)</f>
        <v/>
      </c>
      <c r="AQ19">
        <f>IF($A19="","",IF($B19&gt;2800,2,IF($B19&gt;1400,1,0))*$BC$6*$D19)</f>
        <v/>
      </c>
      <c r="AR19">
        <f>IF($A19="","",2*$BC$6*$D19)</f>
        <v/>
      </c>
      <c r="AS19">
        <f>IF($A19="","",$BC$6*$D19)</f>
        <v/>
      </c>
      <c r="AT19">
        <f>IF($A19="","",2*$BC$6*$D19)</f>
        <v/>
      </c>
      <c r="AU19">
        <f>IF($A19="","",4*5*$D19)</f>
        <v/>
      </c>
      <c r="AV19">
        <f>IF($A19="","",16*5*$D19)</f>
        <v/>
      </c>
      <c r="AW19">
        <f>IF($A19="","",(2+MAX(0,ROUNDUP(($K19-1500)/500,0)))*$D19)</f>
        <v/>
      </c>
      <c r="AX19">
        <f>IF($A19="","",(2+MAX(0,ROUNDUP(($K19-1500)/500,0)))*$D19)</f>
        <v/>
      </c>
      <c r="AY19">
        <f>IF($A19="","",ROUND((2*2*($U19+$S19)*5*$D19)/1000,1))</f>
        <v/>
      </c>
    </row>
    <row r="20" ht="40.15" customHeight="1">
      <c r="A20" s="58" t="n"/>
      <c r="B20" s="59" t="n"/>
      <c r="C20" s="60" t="n"/>
      <c r="D20" s="61" t="n"/>
      <c r="E20" s="66">
        <f>IF($A20="","",$B20)</f>
        <v/>
      </c>
      <c r="F20" s="67">
        <f>IF($A20="","",$L$54*$D20)</f>
        <v/>
      </c>
      <c r="G20" s="66">
        <f>IF($A20="","",$B20)</f>
        <v/>
      </c>
      <c r="H20" s="67">
        <f>IF($A20="","",$L$55*$D20)</f>
        <v/>
      </c>
      <c r="I20" s="66">
        <f>IF($A20="","",$B20)</f>
        <v/>
      </c>
      <c r="J20" s="67">
        <f>IF($A20="","",$L$56*$D20)</f>
        <v/>
      </c>
      <c r="K20" s="66">
        <f>IF($A20="","",$C20-$E$57-$F$57)</f>
        <v/>
      </c>
      <c r="L20" s="67">
        <f>IF($A20="","",$L$57*$D20)</f>
        <v/>
      </c>
      <c r="M20" s="66">
        <f>IF($A20="","",$C20-$E$58-$F$58)</f>
        <v/>
      </c>
      <c r="N20" s="67">
        <f>IF($A20="","",$L$58*$D20)</f>
        <v/>
      </c>
      <c r="O20" s="66">
        <f>IF($A20="","",$C20-$E$59-$F$59)</f>
        <v/>
      </c>
      <c r="P20" s="67">
        <f>IF($A20="","",$L$59*$D20)</f>
        <v/>
      </c>
      <c r="Q20" s="66">
        <f>IF($A20="","",$C20)</f>
        <v/>
      </c>
      <c r="R20" s="67">
        <f>IF($A20="","",$L$60*$D20)</f>
        <v/>
      </c>
      <c r="S20" s="66">
        <f>IF($A20="","",$B20-$E$61-$F$61-$G$61)</f>
        <v/>
      </c>
      <c r="T20" s="67">
        <f>IF($A20="","",$L$61*$D20)</f>
        <v/>
      </c>
      <c r="U20" s="66">
        <f>IF($A20="","",(($C20-$E$62-$F$62-$G$62-$H$62-$I$62)/5)+(78*4)/5)</f>
        <v/>
      </c>
      <c r="V20" s="67">
        <f>IF($A20="","",$L$62*$D20)</f>
        <v/>
      </c>
      <c r="W20" s="66">
        <f>IF($A20="","",$S20-$E$63-$F$63)</f>
        <v/>
      </c>
      <c r="X20" s="67">
        <f>IF($A20="","",$L$63*$D20)</f>
        <v/>
      </c>
      <c r="Y20" s="66">
        <f>IF($A20="","",$U20-$E$64-$F$64)</f>
        <v/>
      </c>
      <c r="Z20" s="67">
        <f>IF($A20="","",$L$64*$D20)</f>
        <v/>
      </c>
      <c r="AA20" s="66">
        <f>IF($A20="","",$S20)</f>
        <v/>
      </c>
      <c r="AB20" s="67">
        <f>IF($A20="","",$L$65*$D20)</f>
        <v/>
      </c>
      <c r="AC20" s="66">
        <f>IF($A20="","",$B20-$E$66)</f>
        <v/>
      </c>
      <c r="AD20" s="67">
        <f>IF($A20="","",$L$66*$D20)</f>
        <v/>
      </c>
      <c r="AE20" s="66">
        <f>IF($A20="","",$C20-$E$67-$F$67)</f>
        <v/>
      </c>
      <c r="AF20" s="67">
        <f>IF($A20="","",$L$67*$D20)</f>
        <v/>
      </c>
      <c r="AG20" s="66">
        <f>IF($A20="","",$B20-$E$68)</f>
        <v/>
      </c>
      <c r="AH20" s="67">
        <f>IF($A20="","",$L$68*$D20)</f>
        <v/>
      </c>
      <c r="AI20" s="66">
        <f>IF($A20="","",$B20-$E$69-$F$69)</f>
        <v/>
      </c>
      <c r="AJ20" s="67">
        <f>IF($A20="","",$L$69*$D20)</f>
        <v/>
      </c>
      <c r="AK20" s="66">
        <f>IF($A20="","",2*5*$D20)</f>
        <v/>
      </c>
      <c r="AL20" s="67">
        <f>IF($A20="","",$BC$7*$D20)</f>
        <v/>
      </c>
      <c r="AM20" s="63">
        <f>IF($A20="","",$BC$6*$D20)</f>
        <v/>
      </c>
      <c r="AN20" s="64">
        <f>IF($A20="","",$BC$9*$D20)</f>
        <v/>
      </c>
      <c r="AO20" s="65">
        <f>IF($A20="","",$BC$10*$D20)</f>
        <v/>
      </c>
      <c r="AP20">
        <f>IF($A20="","",2*$BC$6*$D20)</f>
        <v/>
      </c>
      <c r="AQ20">
        <f>IF($A20="","",IF($B20&gt;2800,2,IF($B20&gt;1400,1,0))*$BC$6*$D20)</f>
        <v/>
      </c>
      <c r="AR20">
        <f>IF($A20="","",2*$BC$6*$D20)</f>
        <v/>
      </c>
      <c r="AS20">
        <f>IF($A20="","",$BC$6*$D20)</f>
        <v/>
      </c>
      <c r="AT20">
        <f>IF($A20="","",2*$BC$6*$D20)</f>
        <v/>
      </c>
      <c r="AU20">
        <f>IF($A20="","",4*5*$D20)</f>
        <v/>
      </c>
      <c r="AV20">
        <f>IF($A20="","",16*5*$D20)</f>
        <v/>
      </c>
      <c r="AW20">
        <f>IF($A20="","",(2+MAX(0,ROUNDUP(($K20-1500)/500,0)))*$D20)</f>
        <v/>
      </c>
      <c r="AX20">
        <f>IF($A20="","",(2+MAX(0,ROUNDUP(($K20-1500)/500,0)))*$D20)</f>
        <v/>
      </c>
      <c r="AY20">
        <f>IF($A20="","",ROUND((2*2*($U20+$S20)*5*$D20)/1000,1))</f>
        <v/>
      </c>
    </row>
    <row r="21" ht="40.15" customHeight="1">
      <c r="A21" s="58" t="n"/>
      <c r="B21" s="59" t="n"/>
      <c r="C21" s="60" t="n"/>
      <c r="D21" s="61" t="n"/>
      <c r="E21" s="62">
        <f>IF($A21="","",$B21)</f>
        <v/>
      </c>
      <c r="F21" s="60">
        <f>IF($A21="","",$L$54*$D21)</f>
        <v/>
      </c>
      <c r="G21" s="62">
        <f>IF($A21="","",$B21)</f>
        <v/>
      </c>
      <c r="H21" s="60">
        <f>IF($A21="","",$L$55*$D21)</f>
        <v/>
      </c>
      <c r="I21" s="62">
        <f>IF($A21="","",$B21)</f>
        <v/>
      </c>
      <c r="J21" s="60">
        <f>IF($A21="","",$L$56*$D21)</f>
        <v/>
      </c>
      <c r="K21" s="62">
        <f>IF($A21="","",$C21-$E$57-$F$57)</f>
        <v/>
      </c>
      <c r="L21" s="60">
        <f>IF($A21="","",$L$57*$D21)</f>
        <v/>
      </c>
      <c r="M21" s="62">
        <f>IF($A21="","",$C21-$E$58-$F$58)</f>
        <v/>
      </c>
      <c r="N21" s="60">
        <f>IF($A21="","",$L$58*$D21)</f>
        <v/>
      </c>
      <c r="O21" s="62">
        <f>IF($A21="","",$C21-$E$59-$F$59)</f>
        <v/>
      </c>
      <c r="P21" s="60">
        <f>IF($A21="","",$L$59*$D21)</f>
        <v/>
      </c>
      <c r="Q21" s="62">
        <f>IF($A21="","",$C21)</f>
        <v/>
      </c>
      <c r="R21" s="60">
        <f>IF($A21="","",$L$60*$D21)</f>
        <v/>
      </c>
      <c r="S21" s="62">
        <f>IF($A21="","",$B21-$E$61-$F$61-$G$61)</f>
        <v/>
      </c>
      <c r="T21" s="60">
        <f>IF($A21="","",$L$61*$D21)</f>
        <v/>
      </c>
      <c r="U21" s="62">
        <f>IF($A21="","",(($C21-$E$62-$F$62-$G$62-$H$62-$I$62)/5)+(78*4)/5)</f>
        <v/>
      </c>
      <c r="V21" s="60">
        <f>IF($A21="","",$L$62*$D21)</f>
        <v/>
      </c>
      <c r="W21" s="62">
        <f>IF($A21="","",$S21-$E$63-$F$63)</f>
        <v/>
      </c>
      <c r="X21" s="60">
        <f>IF($A21="","",$L$63*$D21)</f>
        <v/>
      </c>
      <c r="Y21" s="62">
        <f>IF($A21="","",$U21-$E$64-$F$64)</f>
        <v/>
      </c>
      <c r="Z21" s="60">
        <f>IF($A21="","",$L$64*$D21)</f>
        <v/>
      </c>
      <c r="AA21" s="62">
        <f>IF($A21="","",$S21)</f>
        <v/>
      </c>
      <c r="AB21" s="60">
        <f>IF($A21="","",$L$65*$D21)</f>
        <v/>
      </c>
      <c r="AC21" s="62">
        <f>IF($A21="","",$B21-$E$66)</f>
        <v/>
      </c>
      <c r="AD21" s="60">
        <f>IF($A21="","",$L$66*$D21)</f>
        <v/>
      </c>
      <c r="AE21" s="62">
        <f>IF($A21="","",$C21-$E$67-$F$67)</f>
        <v/>
      </c>
      <c r="AF21" s="60">
        <f>IF($A21="","",$L$67*$D21)</f>
        <v/>
      </c>
      <c r="AG21" s="62">
        <f>IF($A21="","",$B21-$E$68)</f>
        <v/>
      </c>
      <c r="AH21" s="60">
        <f>IF($A21="","",$L$68*$D21)</f>
        <v/>
      </c>
      <c r="AI21" s="62">
        <f>IF($A21="","",$B21-$E$69-$F$69)</f>
        <v/>
      </c>
      <c r="AJ21" s="60">
        <f>IF($A21="","",$L$69*$D21)</f>
        <v/>
      </c>
      <c r="AK21" s="62">
        <f>IF($A21="","",2*5*$D21)</f>
        <v/>
      </c>
      <c r="AL21" s="60">
        <f>IF($A21="","",$BC$7*$D21)</f>
        <v/>
      </c>
      <c r="AM21" s="63">
        <f>IF($A21="","",$BC$6*$D21)</f>
        <v/>
      </c>
      <c r="AN21" s="64">
        <f>IF($A21="","",$BC$9*$D21)</f>
        <v/>
      </c>
      <c r="AO21" s="65">
        <f>IF($A21="","",$BC$10*$D21)</f>
        <v/>
      </c>
      <c r="AP21">
        <f>IF($A21="","",2*$BC$6*$D21)</f>
        <v/>
      </c>
      <c r="AQ21">
        <f>IF($A21="","",IF($B21&gt;2800,2,IF($B21&gt;1400,1,0))*$BC$6*$D21)</f>
        <v/>
      </c>
      <c r="AR21">
        <f>IF($A21="","",2*$BC$6*$D21)</f>
        <v/>
      </c>
      <c r="AS21">
        <f>IF($A21="","",$BC$6*$D21)</f>
        <v/>
      </c>
      <c r="AT21">
        <f>IF($A21="","",2*$BC$6*$D21)</f>
        <v/>
      </c>
      <c r="AU21">
        <f>IF($A21="","",4*5*$D21)</f>
        <v/>
      </c>
      <c r="AV21">
        <f>IF($A21="","",16*5*$D21)</f>
        <v/>
      </c>
      <c r="AW21">
        <f>IF($A21="","",(2+MAX(0,ROUNDUP(($K21-1500)/500,0)))*$D21)</f>
        <v/>
      </c>
      <c r="AX21">
        <f>IF($A21="","",(2+MAX(0,ROUNDUP(($K21-1500)/500,0)))*$D21)</f>
        <v/>
      </c>
      <c r="AY21">
        <f>IF($A21="","",ROUND((2*2*($U21+$S21)*5*$D21)/1000,1))</f>
        <v/>
      </c>
    </row>
    <row r="22" ht="40.15" customHeight="1">
      <c r="A22" s="58" t="n"/>
      <c r="B22" s="59" t="n"/>
      <c r="C22" s="60" t="n"/>
      <c r="D22" s="61" t="n"/>
      <c r="E22" s="66">
        <f>IF($A22="","",$B22)</f>
        <v/>
      </c>
      <c r="F22" s="67">
        <f>IF($A22="","",$L$54*$D22)</f>
        <v/>
      </c>
      <c r="G22" s="66">
        <f>IF($A22="","",$B22)</f>
        <v/>
      </c>
      <c r="H22" s="67">
        <f>IF($A22="","",$L$55*$D22)</f>
        <v/>
      </c>
      <c r="I22" s="66">
        <f>IF($A22="","",$B22)</f>
        <v/>
      </c>
      <c r="J22" s="67">
        <f>IF($A22="","",$L$56*$D22)</f>
        <v/>
      </c>
      <c r="K22" s="66">
        <f>IF($A22="","",$C22-$E$57-$F$57)</f>
        <v/>
      </c>
      <c r="L22" s="67">
        <f>IF($A22="","",$L$57*$D22)</f>
        <v/>
      </c>
      <c r="M22" s="66">
        <f>IF($A22="","",$C22-$E$58-$F$58)</f>
        <v/>
      </c>
      <c r="N22" s="67">
        <f>IF($A22="","",$L$58*$D22)</f>
        <v/>
      </c>
      <c r="O22" s="66">
        <f>IF($A22="","",$C22-$E$59-$F$59)</f>
        <v/>
      </c>
      <c r="P22" s="67">
        <f>IF($A22="","",$L$59*$D22)</f>
        <v/>
      </c>
      <c r="Q22" s="66">
        <f>IF($A22="","",$C22)</f>
        <v/>
      </c>
      <c r="R22" s="67">
        <f>IF($A22="","",$L$60*$D22)</f>
        <v/>
      </c>
      <c r="S22" s="66">
        <f>IF($A22="","",$B22-$E$61-$F$61-$G$61)</f>
        <v/>
      </c>
      <c r="T22" s="67">
        <f>IF($A22="","",$L$61*$D22)</f>
        <v/>
      </c>
      <c r="U22" s="66">
        <f>IF($A22="","",(($C22-$E$62-$F$62-$G$62-$H$62-$I$62)/5)+(78*4)/5)</f>
        <v/>
      </c>
      <c r="V22" s="67">
        <f>IF($A22="","",$L$62*$D22)</f>
        <v/>
      </c>
      <c r="W22" s="66">
        <f>IF($A22="","",$S22-$E$63-$F$63)</f>
        <v/>
      </c>
      <c r="X22" s="67">
        <f>IF($A22="","",$L$63*$D22)</f>
        <v/>
      </c>
      <c r="Y22" s="66">
        <f>IF($A22="","",$U22-$E$64-$F$64)</f>
        <v/>
      </c>
      <c r="Z22" s="67">
        <f>IF($A22="","",$L$64*$D22)</f>
        <v/>
      </c>
      <c r="AA22" s="66">
        <f>IF($A22="","",$S22)</f>
        <v/>
      </c>
      <c r="AB22" s="67">
        <f>IF($A22="","",$L$65*$D22)</f>
        <v/>
      </c>
      <c r="AC22" s="66">
        <f>IF($A22="","",$B22-$E$66)</f>
        <v/>
      </c>
      <c r="AD22" s="67">
        <f>IF($A22="","",$L$66*$D22)</f>
        <v/>
      </c>
      <c r="AE22" s="66">
        <f>IF($A22="","",$C22-$E$67-$F$67)</f>
        <v/>
      </c>
      <c r="AF22" s="67">
        <f>IF($A22="","",$L$67*$D22)</f>
        <v/>
      </c>
      <c r="AG22" s="66">
        <f>IF($A22="","",$B22-$E$68)</f>
        <v/>
      </c>
      <c r="AH22" s="67">
        <f>IF($A22="","",$L$68*$D22)</f>
        <v/>
      </c>
      <c r="AI22" s="66">
        <f>IF($A22="","",$B22-$E$69-$F$69)</f>
        <v/>
      </c>
      <c r="AJ22" s="67">
        <f>IF($A22="","",$L$69*$D22)</f>
        <v/>
      </c>
      <c r="AK22" s="66">
        <f>IF($A22="","",2*5*$D22)</f>
        <v/>
      </c>
      <c r="AL22" s="67">
        <f>IF($A22="","",$BC$7*$D22)</f>
        <v/>
      </c>
      <c r="AM22" s="63">
        <f>IF($A22="","",$BC$6*$D22)</f>
        <v/>
      </c>
      <c r="AN22" s="64">
        <f>IF($A22="","",$BC$9*$D22)</f>
        <v/>
      </c>
      <c r="AO22" s="65">
        <f>IF($A22="","",$BC$10*$D22)</f>
        <v/>
      </c>
      <c r="AP22">
        <f>IF($A22="","",2*$BC$6*$D22)</f>
        <v/>
      </c>
      <c r="AQ22">
        <f>IF($A22="","",IF($B22&gt;2800,2,IF($B22&gt;1400,1,0))*$BC$6*$D22)</f>
        <v/>
      </c>
      <c r="AR22">
        <f>IF($A22="","",2*$BC$6*$D22)</f>
        <v/>
      </c>
      <c r="AS22">
        <f>IF($A22="","",$BC$6*$D22)</f>
        <v/>
      </c>
      <c r="AT22">
        <f>IF($A22="","",2*$BC$6*$D22)</f>
        <v/>
      </c>
      <c r="AU22">
        <f>IF($A22="","",4*5*$D22)</f>
        <v/>
      </c>
      <c r="AV22">
        <f>IF($A22="","",16*5*$D22)</f>
        <v/>
      </c>
      <c r="AW22">
        <f>IF($A22="","",(2+MAX(0,ROUNDUP(($K22-1500)/500,0)))*$D22)</f>
        <v/>
      </c>
      <c r="AX22">
        <f>IF($A22="","",(2+MAX(0,ROUNDUP(($K22-1500)/500,0)))*$D22)</f>
        <v/>
      </c>
      <c r="AY22">
        <f>IF($A22="","",ROUND((2*2*($U22+$S22)*5*$D22)/1000,1))</f>
        <v/>
      </c>
    </row>
    <row r="23" ht="40.15" customHeight="1">
      <c r="A23" s="58" t="n"/>
      <c r="B23" s="59" t="n"/>
      <c r="C23" s="60" t="n"/>
      <c r="D23" s="61" t="n"/>
      <c r="E23" s="62">
        <f>IF($A23="","",$B23)</f>
        <v/>
      </c>
      <c r="F23" s="60">
        <f>IF($A23="","",$L$54*$D23)</f>
        <v/>
      </c>
      <c r="G23" s="62">
        <f>IF($A23="","",$B23)</f>
        <v/>
      </c>
      <c r="H23" s="60">
        <f>IF($A23="","",$L$55*$D23)</f>
        <v/>
      </c>
      <c r="I23" s="62">
        <f>IF($A23="","",$B23)</f>
        <v/>
      </c>
      <c r="J23" s="60">
        <f>IF($A23="","",$L$56*$D23)</f>
        <v/>
      </c>
      <c r="K23" s="62">
        <f>IF($A23="","",$C23-$E$57-$F$57)</f>
        <v/>
      </c>
      <c r="L23" s="60">
        <f>IF($A23="","",$L$57*$D23)</f>
        <v/>
      </c>
      <c r="M23" s="62">
        <f>IF($A23="","",$C23-$E$58-$F$58)</f>
        <v/>
      </c>
      <c r="N23" s="60">
        <f>IF($A23="","",$L$58*$D23)</f>
        <v/>
      </c>
      <c r="O23" s="62">
        <f>IF($A23="","",$C23-$E$59-$F$59)</f>
        <v/>
      </c>
      <c r="P23" s="60">
        <f>IF($A23="","",$L$59*$D23)</f>
        <v/>
      </c>
      <c r="Q23" s="62">
        <f>IF($A23="","",$C23)</f>
        <v/>
      </c>
      <c r="R23" s="60">
        <f>IF($A23="","",$L$60*$D23)</f>
        <v/>
      </c>
      <c r="S23" s="62">
        <f>IF($A23="","",$B23-$E$61-$F$61-$G$61)</f>
        <v/>
      </c>
      <c r="T23" s="60">
        <f>IF($A23="","",$L$61*$D23)</f>
        <v/>
      </c>
      <c r="U23" s="62">
        <f>IF($A23="","",(($C23-$E$62-$F$62-$G$62-$H$62-$I$62)/5)+(78*4)/5)</f>
        <v/>
      </c>
      <c r="V23" s="60">
        <f>IF($A23="","",$L$62*$D23)</f>
        <v/>
      </c>
      <c r="W23" s="62">
        <f>IF($A23="","",$S23-$E$63-$F$63)</f>
        <v/>
      </c>
      <c r="X23" s="60">
        <f>IF($A23="","",$L$63*$D23)</f>
        <v/>
      </c>
      <c r="Y23" s="62">
        <f>IF($A23="","",$U23-$E$64-$F$64)</f>
        <v/>
      </c>
      <c r="Z23" s="60">
        <f>IF($A23="","",$L$64*$D23)</f>
        <v/>
      </c>
      <c r="AA23" s="62">
        <f>IF($A23="","",$S23)</f>
        <v/>
      </c>
      <c r="AB23" s="60">
        <f>IF($A23="","",$L$65*$D23)</f>
        <v/>
      </c>
      <c r="AC23" s="62">
        <f>IF($A23="","",$B23-$E$66)</f>
        <v/>
      </c>
      <c r="AD23" s="60">
        <f>IF($A23="","",$L$66*$D23)</f>
        <v/>
      </c>
      <c r="AE23" s="62">
        <f>IF($A23="","",$C23-$E$67-$F$67)</f>
        <v/>
      </c>
      <c r="AF23" s="60">
        <f>IF($A23="","",$L$67*$D23)</f>
        <v/>
      </c>
      <c r="AG23" s="62">
        <f>IF($A23="","",$B23-$E$68)</f>
        <v/>
      </c>
      <c r="AH23" s="60">
        <f>IF($A23="","",$L$68*$D23)</f>
        <v/>
      </c>
      <c r="AI23" s="62">
        <f>IF($A23="","",$B23-$E$69-$F$69)</f>
        <v/>
      </c>
      <c r="AJ23" s="60">
        <f>IF($A23="","",$L$69*$D23)</f>
        <v/>
      </c>
      <c r="AK23" s="62">
        <f>IF($A23="","",2*5*$D23)</f>
        <v/>
      </c>
      <c r="AL23" s="60">
        <f>IF($A23="","",$BC$7*$D23)</f>
        <v/>
      </c>
      <c r="AM23" s="63">
        <f>IF($A23="","",$BC$6*$D23)</f>
        <v/>
      </c>
      <c r="AN23" s="64">
        <f>IF($A23="","",$BC$9*$D23)</f>
        <v/>
      </c>
      <c r="AO23" s="65">
        <f>IF($A23="","",$BC$10*$D23)</f>
        <v/>
      </c>
      <c r="AP23">
        <f>IF($A23="","",2*$BC$6*$D23)</f>
        <v/>
      </c>
      <c r="AQ23">
        <f>IF($A23="","",IF($B23&gt;2800,2,IF($B23&gt;1400,1,0))*$BC$6*$D23)</f>
        <v/>
      </c>
      <c r="AR23">
        <f>IF($A23="","",2*$BC$6*$D23)</f>
        <v/>
      </c>
      <c r="AS23">
        <f>IF($A23="","",$BC$6*$D23)</f>
        <v/>
      </c>
      <c r="AT23">
        <f>IF($A23="","",2*$BC$6*$D23)</f>
        <v/>
      </c>
      <c r="AU23">
        <f>IF($A23="","",4*5*$D23)</f>
        <v/>
      </c>
      <c r="AV23">
        <f>IF($A23="","",16*5*$D23)</f>
        <v/>
      </c>
      <c r="AW23">
        <f>IF($A23="","",(2+MAX(0,ROUNDUP(($K23-1500)/500,0)))*$D23)</f>
        <v/>
      </c>
      <c r="AX23">
        <f>IF($A23="","",(2+MAX(0,ROUNDUP(($K23-1500)/500,0)))*$D23)</f>
        <v/>
      </c>
      <c r="AY23">
        <f>IF($A23="","",ROUND((2*2*($U23+$S23)*5*$D23)/1000,1))</f>
        <v/>
      </c>
    </row>
    <row r="24" ht="40.15" customHeight="1">
      <c r="A24" s="58" t="n"/>
      <c r="B24" s="59" t="n"/>
      <c r="C24" s="60" t="n"/>
      <c r="D24" s="61" t="n"/>
      <c r="E24" s="66">
        <f>IF($A24="","",$B24)</f>
        <v/>
      </c>
      <c r="F24" s="67">
        <f>IF($A24="","",$L$54*$D24)</f>
        <v/>
      </c>
      <c r="G24" s="66">
        <f>IF($A24="","",$B24)</f>
        <v/>
      </c>
      <c r="H24" s="67">
        <f>IF($A24="","",$L$55*$D24)</f>
        <v/>
      </c>
      <c r="I24" s="66">
        <f>IF($A24="","",$B24)</f>
        <v/>
      </c>
      <c r="J24" s="67">
        <f>IF($A24="","",$L$56*$D24)</f>
        <v/>
      </c>
      <c r="K24" s="66">
        <f>IF($A24="","",$C24-$E$57-$F$57)</f>
        <v/>
      </c>
      <c r="L24" s="67">
        <f>IF($A24="","",$L$57*$D24)</f>
        <v/>
      </c>
      <c r="M24" s="66">
        <f>IF($A24="","",$C24-$E$58-$F$58)</f>
        <v/>
      </c>
      <c r="N24" s="67">
        <f>IF($A24="","",$L$58*$D24)</f>
        <v/>
      </c>
      <c r="O24" s="66">
        <f>IF($A24="","",$C24-$E$59-$F$59)</f>
        <v/>
      </c>
      <c r="P24" s="67">
        <f>IF($A24="","",$L$59*$D24)</f>
        <v/>
      </c>
      <c r="Q24" s="66">
        <f>IF($A24="","",$C24)</f>
        <v/>
      </c>
      <c r="R24" s="67">
        <f>IF($A24="","",$L$60*$D24)</f>
        <v/>
      </c>
      <c r="S24" s="66">
        <f>IF($A24="","",$B24-$E$61-$F$61-$G$61)</f>
        <v/>
      </c>
      <c r="T24" s="67">
        <f>IF($A24="","",$L$61*$D24)</f>
        <v/>
      </c>
      <c r="U24" s="66">
        <f>IF($A24="","",(($C24-$E$62-$F$62-$G$62-$H$62-$I$62)/5)+(78*4)/5)</f>
        <v/>
      </c>
      <c r="V24" s="67">
        <f>IF($A24="","",$L$62*$D24)</f>
        <v/>
      </c>
      <c r="W24" s="66">
        <f>IF($A24="","",$S24-$E$63-$F$63)</f>
        <v/>
      </c>
      <c r="X24" s="67">
        <f>IF($A24="","",$L$63*$D24)</f>
        <v/>
      </c>
      <c r="Y24" s="66">
        <f>IF($A24="","",$U24-$E$64-$F$64)</f>
        <v/>
      </c>
      <c r="Z24" s="67">
        <f>IF($A24="","",$L$64*$D24)</f>
        <v/>
      </c>
      <c r="AA24" s="66">
        <f>IF($A24="","",$S24)</f>
        <v/>
      </c>
      <c r="AB24" s="67">
        <f>IF($A24="","",$L$65*$D24)</f>
        <v/>
      </c>
      <c r="AC24" s="66">
        <f>IF($A24="","",$B24-$E$66)</f>
        <v/>
      </c>
      <c r="AD24" s="67">
        <f>IF($A24="","",$L$66*$D24)</f>
        <v/>
      </c>
      <c r="AE24" s="66">
        <f>IF($A24="","",$C24-$E$67-$F$67)</f>
        <v/>
      </c>
      <c r="AF24" s="67">
        <f>IF($A24="","",$L$67*$D24)</f>
        <v/>
      </c>
      <c r="AG24" s="66">
        <f>IF($A24="","",$B24-$E$68)</f>
        <v/>
      </c>
      <c r="AH24" s="67">
        <f>IF($A24="","",$L$68*$D24)</f>
        <v/>
      </c>
      <c r="AI24" s="66">
        <f>IF($A24="","",$B24-$E$69-$F$69)</f>
        <v/>
      </c>
      <c r="AJ24" s="67">
        <f>IF($A24="","",$L$69*$D24)</f>
        <v/>
      </c>
      <c r="AK24" s="66">
        <f>IF($A24="","",2*5*$D24)</f>
        <v/>
      </c>
      <c r="AL24" s="67">
        <f>IF($A24="","",$BC$7*$D24)</f>
        <v/>
      </c>
      <c r="AM24" s="63">
        <f>IF($A24="","",$BC$6*$D24)</f>
        <v/>
      </c>
      <c r="AN24" s="64">
        <f>IF($A24="","",$BC$9*$D24)</f>
        <v/>
      </c>
      <c r="AO24" s="65">
        <f>IF($A24="","",$BC$10*$D24)</f>
        <v/>
      </c>
      <c r="AP24">
        <f>IF($A24="","",2*$BC$6*$D24)</f>
        <v/>
      </c>
      <c r="AQ24">
        <f>IF($A24="","",IF($B24&gt;2800,2,IF($B24&gt;1400,1,0))*$BC$6*$D24)</f>
        <v/>
      </c>
      <c r="AR24">
        <f>IF($A24="","",2*$BC$6*$D24)</f>
        <v/>
      </c>
      <c r="AS24">
        <f>IF($A24="","",$BC$6*$D24)</f>
        <v/>
      </c>
      <c r="AT24">
        <f>IF($A24="","",2*$BC$6*$D24)</f>
        <v/>
      </c>
      <c r="AU24">
        <f>IF($A24="","",4*5*$D24)</f>
        <v/>
      </c>
      <c r="AV24">
        <f>IF($A24="","",16*5*$D24)</f>
        <v/>
      </c>
      <c r="AW24">
        <f>IF($A24="","",(2+MAX(0,ROUNDUP(($K24-1500)/500,0)))*$D24)</f>
        <v/>
      </c>
      <c r="AX24">
        <f>IF($A24="","",(2+MAX(0,ROUNDUP(($K24-1500)/500,0)))*$D24)</f>
        <v/>
      </c>
      <c r="AY24">
        <f>IF($A24="","",ROUND((2*2*($U24+$S24)*5*$D24)/1000,1))</f>
        <v/>
      </c>
    </row>
    <row r="25" ht="40.15" customHeight="1">
      <c r="A25" s="58" t="n"/>
      <c r="B25" s="59" t="n"/>
      <c r="C25" s="60" t="n"/>
      <c r="D25" s="61" t="n"/>
      <c r="E25" s="62">
        <f>IF($A25="","",$B25)</f>
        <v/>
      </c>
      <c r="F25" s="60">
        <f>IF($A25="","",$L$54*$D25)</f>
        <v/>
      </c>
      <c r="G25" s="62">
        <f>IF($A25="","",$B25)</f>
        <v/>
      </c>
      <c r="H25" s="60">
        <f>IF($A25="","",$L$55*$D25)</f>
        <v/>
      </c>
      <c r="I25" s="62">
        <f>IF($A25="","",$B25)</f>
        <v/>
      </c>
      <c r="J25" s="60">
        <f>IF($A25="","",$L$56*$D25)</f>
        <v/>
      </c>
      <c r="K25" s="62">
        <f>IF($A25="","",$C25-$E$57-$F$57)</f>
        <v/>
      </c>
      <c r="L25" s="60">
        <f>IF($A25="","",$L$57*$D25)</f>
        <v/>
      </c>
      <c r="M25" s="62">
        <f>IF($A25="","",$C25-$E$58-$F$58)</f>
        <v/>
      </c>
      <c r="N25" s="60">
        <f>IF($A25="","",$L$58*$D25)</f>
        <v/>
      </c>
      <c r="O25" s="62">
        <f>IF($A25="","",$C25-$E$59-$F$59)</f>
        <v/>
      </c>
      <c r="P25" s="60">
        <f>IF($A25="","",$L$59*$D25)</f>
        <v/>
      </c>
      <c r="Q25" s="62">
        <f>IF($A25="","",$C25)</f>
        <v/>
      </c>
      <c r="R25" s="60">
        <f>IF($A25="","",$L$60*$D25)</f>
        <v/>
      </c>
      <c r="S25" s="62">
        <f>IF($A25="","",$B25-$E$61-$F$61-$G$61)</f>
        <v/>
      </c>
      <c r="T25" s="60">
        <f>IF($A25="","",$L$61*$D25)</f>
        <v/>
      </c>
      <c r="U25" s="62">
        <f>IF($A25="","",(($C25-$E$62-$F$62-$G$62-$H$62-$I$62)/5)+(78*4)/5)</f>
        <v/>
      </c>
      <c r="V25" s="60">
        <f>IF($A25="","",$L$62*$D25)</f>
        <v/>
      </c>
      <c r="W25" s="62">
        <f>IF($A25="","",$S25-$E$63-$F$63)</f>
        <v/>
      </c>
      <c r="X25" s="60">
        <f>IF($A25="","",$L$63*$D25)</f>
        <v/>
      </c>
      <c r="Y25" s="62">
        <f>IF($A25="","",$U25-$E$64-$F$64)</f>
        <v/>
      </c>
      <c r="Z25" s="60">
        <f>IF($A25="","",$L$64*$D25)</f>
        <v/>
      </c>
      <c r="AA25" s="62">
        <f>IF($A25="","",$S25)</f>
        <v/>
      </c>
      <c r="AB25" s="60">
        <f>IF($A25="","",$L$65*$D25)</f>
        <v/>
      </c>
      <c r="AC25" s="62">
        <f>IF($A25="","",$B25-$E$66)</f>
        <v/>
      </c>
      <c r="AD25" s="60">
        <f>IF($A25="","",$L$66*$D25)</f>
        <v/>
      </c>
      <c r="AE25" s="62">
        <f>IF($A25="","",$C25-$E$67-$F$67)</f>
        <v/>
      </c>
      <c r="AF25" s="60">
        <f>IF($A25="","",$L$67*$D25)</f>
        <v/>
      </c>
      <c r="AG25" s="62">
        <f>IF($A25="","",$B25-$E$68)</f>
        <v/>
      </c>
      <c r="AH25" s="60">
        <f>IF($A25="","",$L$68*$D25)</f>
        <v/>
      </c>
      <c r="AI25" s="62">
        <f>IF($A25="","",$B25-$E$69-$F$69)</f>
        <v/>
      </c>
      <c r="AJ25" s="60">
        <f>IF($A25="","",$L$69*$D25)</f>
        <v/>
      </c>
      <c r="AK25" s="62">
        <f>IF($A25="","",2*5*$D25)</f>
        <v/>
      </c>
      <c r="AL25" s="60">
        <f>IF($A25="","",$BC$7*$D25)</f>
        <v/>
      </c>
      <c r="AM25" s="63">
        <f>IF($A25="","",$BC$6*$D25)</f>
        <v/>
      </c>
      <c r="AN25" s="64">
        <f>IF($A25="","",$BC$9*$D25)</f>
        <v/>
      </c>
      <c r="AO25" s="65">
        <f>IF($A25="","",$BC$10*$D25)</f>
        <v/>
      </c>
      <c r="AP25">
        <f>IF($A25="","",2*$BC$6*$D25)</f>
        <v/>
      </c>
      <c r="AQ25">
        <f>IF($A25="","",IF($B25&gt;2800,2,IF($B25&gt;1400,1,0))*$BC$6*$D25)</f>
        <v/>
      </c>
      <c r="AR25">
        <f>IF($A25="","",2*$BC$6*$D25)</f>
        <v/>
      </c>
      <c r="AS25">
        <f>IF($A25="","",$BC$6*$D25)</f>
        <v/>
      </c>
      <c r="AT25">
        <f>IF($A25="","",2*$BC$6*$D25)</f>
        <v/>
      </c>
      <c r="AU25">
        <f>IF($A25="","",4*5*$D25)</f>
        <v/>
      </c>
      <c r="AV25">
        <f>IF($A25="","",16*5*$D25)</f>
        <v/>
      </c>
      <c r="AW25">
        <f>IF($A25="","",(2+MAX(0,ROUNDUP(($K25-1500)/500,0)))*$D25)</f>
        <v/>
      </c>
      <c r="AX25">
        <f>IF($A25="","",(2+MAX(0,ROUNDUP(($K25-1500)/500,0)))*$D25)</f>
        <v/>
      </c>
      <c r="AY25">
        <f>IF($A25="","",ROUND((2*2*($U25+$S25)*5*$D25)/1000,1))</f>
        <v/>
      </c>
    </row>
    <row r="26" ht="40.15" customHeight="1">
      <c r="A26" s="58" t="n"/>
      <c r="B26" s="59" t="n"/>
      <c r="C26" s="60" t="n"/>
      <c r="D26" s="61" t="n"/>
      <c r="E26" s="66">
        <f>IF($A26="","",$B26)</f>
        <v/>
      </c>
      <c r="F26" s="67">
        <f>IF($A26="","",$L$54*$D26)</f>
        <v/>
      </c>
      <c r="G26" s="66">
        <f>IF($A26="","",$B26)</f>
        <v/>
      </c>
      <c r="H26" s="67">
        <f>IF($A26="","",$L$55*$D26)</f>
        <v/>
      </c>
      <c r="I26" s="66">
        <f>IF($A26="","",$B26)</f>
        <v/>
      </c>
      <c r="J26" s="67">
        <f>IF($A26="","",$L$56*$D26)</f>
        <v/>
      </c>
      <c r="K26" s="66">
        <f>IF($A26="","",$C26-$E$57-$F$57)</f>
        <v/>
      </c>
      <c r="L26" s="67">
        <f>IF($A26="","",$L$57*$D26)</f>
        <v/>
      </c>
      <c r="M26" s="66">
        <f>IF($A26="","",$C26-$E$58-$F$58)</f>
        <v/>
      </c>
      <c r="N26" s="67">
        <f>IF($A26="","",$L$58*$D26)</f>
        <v/>
      </c>
      <c r="O26" s="66">
        <f>IF($A26="","",$C26-$E$59-$F$59)</f>
        <v/>
      </c>
      <c r="P26" s="67">
        <f>IF($A26="","",$L$59*$D26)</f>
        <v/>
      </c>
      <c r="Q26" s="66">
        <f>IF($A26="","",$C26)</f>
        <v/>
      </c>
      <c r="R26" s="67">
        <f>IF($A26="","",$L$60*$D26)</f>
        <v/>
      </c>
      <c r="S26" s="66">
        <f>IF($A26="","",$B26-$E$61-$F$61-$G$61)</f>
        <v/>
      </c>
      <c r="T26" s="67">
        <f>IF($A26="","",$L$61*$D26)</f>
        <v/>
      </c>
      <c r="U26" s="66">
        <f>IF($A26="","",(($C26-$E$62-$F$62-$G$62-$H$62-$I$62)/5)+(78*4)/5)</f>
        <v/>
      </c>
      <c r="V26" s="67">
        <f>IF($A26="","",$L$62*$D26)</f>
        <v/>
      </c>
      <c r="W26" s="66">
        <f>IF($A26="","",$S26-$E$63-$F$63)</f>
        <v/>
      </c>
      <c r="X26" s="67">
        <f>IF($A26="","",$L$63*$D26)</f>
        <v/>
      </c>
      <c r="Y26" s="66">
        <f>IF($A26="","",$U26-$E$64-$F$64)</f>
        <v/>
      </c>
      <c r="Z26" s="67">
        <f>IF($A26="","",$L$64*$D26)</f>
        <v/>
      </c>
      <c r="AA26" s="66">
        <f>IF($A26="","",$S26)</f>
        <v/>
      </c>
      <c r="AB26" s="67">
        <f>IF($A26="","",$L$65*$D26)</f>
        <v/>
      </c>
      <c r="AC26" s="66">
        <f>IF($A26="","",$B26-$E$66)</f>
        <v/>
      </c>
      <c r="AD26" s="67">
        <f>IF($A26="","",$L$66*$D26)</f>
        <v/>
      </c>
      <c r="AE26" s="66">
        <f>IF($A26="","",$C26-$E$67-$F$67)</f>
        <v/>
      </c>
      <c r="AF26" s="67">
        <f>IF($A26="","",$L$67*$D26)</f>
        <v/>
      </c>
      <c r="AG26" s="66">
        <f>IF($A26="","",$B26-$E$68)</f>
        <v/>
      </c>
      <c r="AH26" s="67">
        <f>IF($A26="","",$L$68*$D26)</f>
        <v/>
      </c>
      <c r="AI26" s="66">
        <f>IF($A26="","",$B26-$E$69-$F$69)</f>
        <v/>
      </c>
      <c r="AJ26" s="67">
        <f>IF($A26="","",$L$69*$D26)</f>
        <v/>
      </c>
      <c r="AK26" s="66">
        <f>IF($A26="","",2*5*$D26)</f>
        <v/>
      </c>
      <c r="AL26" s="67">
        <f>IF($A26="","",$BC$7*$D26)</f>
        <v/>
      </c>
      <c r="AM26" s="63">
        <f>IF($A26="","",$BC$6*$D26)</f>
        <v/>
      </c>
      <c r="AN26" s="64">
        <f>IF($A26="","",$BC$9*$D26)</f>
        <v/>
      </c>
      <c r="AO26" s="65">
        <f>IF($A26="","",$BC$10*$D26)</f>
        <v/>
      </c>
      <c r="AP26">
        <f>IF($A26="","",2*$BC$6*$D26)</f>
        <v/>
      </c>
      <c r="AQ26">
        <f>IF($A26="","",IF($B26&gt;2800,2,IF($B26&gt;1400,1,0))*$BC$6*$D26)</f>
        <v/>
      </c>
      <c r="AR26">
        <f>IF($A26="","",2*$BC$6*$D26)</f>
        <v/>
      </c>
      <c r="AS26">
        <f>IF($A26="","",$BC$6*$D26)</f>
        <v/>
      </c>
      <c r="AT26">
        <f>IF($A26="","",2*$BC$6*$D26)</f>
        <v/>
      </c>
      <c r="AU26">
        <f>IF($A26="","",4*5*$D26)</f>
        <v/>
      </c>
      <c r="AV26">
        <f>IF($A26="","",16*5*$D26)</f>
        <v/>
      </c>
      <c r="AW26">
        <f>IF($A26="","",(2+MAX(0,ROUNDUP(($K26-1500)/500,0)))*$D26)</f>
        <v/>
      </c>
      <c r="AX26">
        <f>IF($A26="","",(2+MAX(0,ROUNDUP(($K26-1500)/500,0)))*$D26)</f>
        <v/>
      </c>
      <c r="AY26">
        <f>IF($A26="","",ROUND((2*2*($U26+$S26)*5*$D26)/1000,1))</f>
        <v/>
      </c>
    </row>
    <row r="27" ht="40.15" customHeight="1">
      <c r="A27" s="101" t="n"/>
      <c r="B27" s="102" t="n"/>
      <c r="C27" s="92" t="n"/>
      <c r="D27" s="103" t="n"/>
      <c r="E27" s="62">
        <f>IF($A27="","",$B27)</f>
        <v/>
      </c>
      <c r="F27" s="60">
        <f>IF($A27="","",$L$54*$D27)</f>
        <v/>
      </c>
      <c r="G27" s="62">
        <f>IF($A27="","",$B27)</f>
        <v/>
      </c>
      <c r="H27" s="60">
        <f>IF($A27="","",$L$55*$D27)</f>
        <v/>
      </c>
      <c r="I27" s="62">
        <f>IF($A27="","",$B27)</f>
        <v/>
      </c>
      <c r="J27" s="60">
        <f>IF($A27="","",$L$56*$D27)</f>
        <v/>
      </c>
      <c r="K27" s="62">
        <f>IF($A27="","",$C27-$E$57-$F$57)</f>
        <v/>
      </c>
      <c r="L27" s="60">
        <f>IF($A27="","",$L$57*$D27)</f>
        <v/>
      </c>
      <c r="M27" s="62">
        <f>IF($A27="","",$C27-$E$58-$F$58)</f>
        <v/>
      </c>
      <c r="N27" s="60">
        <f>IF($A27="","",$L$58*$D27)</f>
        <v/>
      </c>
      <c r="O27" s="62">
        <f>IF($A27="","",$C27-$E$59-$F$59)</f>
        <v/>
      </c>
      <c r="P27" s="60">
        <f>IF($A27="","",$L$59*$D27)</f>
        <v/>
      </c>
      <c r="Q27" s="62">
        <f>IF($A27="","",$C27)</f>
        <v/>
      </c>
      <c r="R27" s="60">
        <f>IF($A27="","",$L$60*$D27)</f>
        <v/>
      </c>
      <c r="S27" s="62">
        <f>IF($A27="","",$B27-$E$61-$F$61-$G$61)</f>
        <v/>
      </c>
      <c r="T27" s="60">
        <f>IF($A27="","",$L$61*$D27)</f>
        <v/>
      </c>
      <c r="U27" s="62">
        <f>IF($A27="","",(($C27-$E$62-$F$62-$G$62-$H$62-$I$62)/5)+(78*4)/5)</f>
        <v/>
      </c>
      <c r="V27" s="60">
        <f>IF($A27="","",$L$62*$D27)</f>
        <v/>
      </c>
      <c r="W27" s="62">
        <f>IF($A27="","",$S27-$E$63-$F$63)</f>
        <v/>
      </c>
      <c r="X27" s="60">
        <f>IF($A27="","",$L$63*$D27)</f>
        <v/>
      </c>
      <c r="Y27" s="62">
        <f>IF($A27="","",$U27-$E$64-$F$64)</f>
        <v/>
      </c>
      <c r="Z27" s="60">
        <f>IF($A27="","",$L$64*$D27)</f>
        <v/>
      </c>
      <c r="AA27" s="62">
        <f>IF($A27="","",$S27)</f>
        <v/>
      </c>
      <c r="AB27" s="60">
        <f>IF($A27="","",$L$65*$D27)</f>
        <v/>
      </c>
      <c r="AC27" s="62">
        <f>IF($A27="","",$B27-$E$66)</f>
        <v/>
      </c>
      <c r="AD27" s="60">
        <f>IF($A27="","",$L$66*$D27)</f>
        <v/>
      </c>
      <c r="AE27" s="62">
        <f>IF($A27="","",$C27-$E$67-$F$67)</f>
        <v/>
      </c>
      <c r="AF27" s="60">
        <f>IF($A27="","",$L$67*$D27)</f>
        <v/>
      </c>
      <c r="AG27" s="62">
        <f>IF($A27="","",$B27-$E$68)</f>
        <v/>
      </c>
      <c r="AH27" s="60">
        <f>IF($A27="","",$L$68*$D27)</f>
        <v/>
      </c>
      <c r="AI27" s="62">
        <f>IF($A27="","",$B27-$E$69-$F$69)</f>
        <v/>
      </c>
      <c r="AJ27" s="60">
        <f>IF($A27="","",$L$69*$D27)</f>
        <v/>
      </c>
      <c r="AK27" s="62">
        <f>IF($A27="","",2*5*$D27)</f>
        <v/>
      </c>
      <c r="AL27" s="60">
        <f>IF($A27="","",$BC$7*$D27)</f>
        <v/>
      </c>
      <c r="AM27" s="63">
        <f>IF($A27="","",$BC$6*$D27)</f>
        <v/>
      </c>
      <c r="AN27" s="64">
        <f>IF($A27="","",$BC$9*$D27)</f>
        <v/>
      </c>
      <c r="AO27" s="65">
        <f>IF($A27="","",$BC$10*$D27)</f>
        <v/>
      </c>
      <c r="AP27">
        <f>IF($A27="","",2*$BC$6*$D27)</f>
        <v/>
      </c>
      <c r="AQ27">
        <f>IF($A27="","",IF($B27&gt;2800,2,IF($B27&gt;1400,1,0))*$BC$6*$D27)</f>
        <v/>
      </c>
      <c r="AR27">
        <f>IF($A27="","",2*$BC$6*$D27)</f>
        <v/>
      </c>
      <c r="AS27">
        <f>IF($A27="","",$BC$6*$D27)</f>
        <v/>
      </c>
      <c r="AT27">
        <f>IF($A27="","",2*$BC$6*$D27)</f>
        <v/>
      </c>
      <c r="AU27">
        <f>IF($A27="","",4*5*$D27)</f>
        <v/>
      </c>
      <c r="AV27">
        <f>IF($A27="","",16*5*$D27)</f>
        <v/>
      </c>
      <c r="AW27">
        <f>IF($A27="","",(2+MAX(0,ROUNDUP(($K27-1500)/500,0)))*$D27)</f>
        <v/>
      </c>
      <c r="AX27">
        <f>IF($A27="","",(2+MAX(0,ROUNDUP(($K27-1500)/500,0)))*$D27)</f>
        <v/>
      </c>
      <c r="AY27">
        <f>IF($A27="","",ROUND((2*2*($U27+$S27)*5*$D27)/1000,1))</f>
        <v/>
      </c>
    </row>
    <row r="28" ht="40.15" customHeight="1">
      <c r="A28" s="101" t="n"/>
      <c r="B28" s="102" t="n"/>
      <c r="C28" s="92" t="n"/>
      <c r="D28" s="103" t="n"/>
      <c r="E28" s="66">
        <f>IF($A28="","",$B28)</f>
        <v/>
      </c>
      <c r="F28" s="67">
        <f>IF($A28="","",$L$54*$D28)</f>
        <v/>
      </c>
      <c r="G28" s="66">
        <f>IF($A28="","",$B28)</f>
        <v/>
      </c>
      <c r="H28" s="67">
        <f>IF($A28="","",$L$55*$D28)</f>
        <v/>
      </c>
      <c r="I28" s="66">
        <f>IF($A28="","",$B28)</f>
        <v/>
      </c>
      <c r="J28" s="67">
        <f>IF($A28="","",$L$56*$D28)</f>
        <v/>
      </c>
      <c r="K28" s="66">
        <f>IF($A28="","",$C28-$E$57-$F$57)</f>
        <v/>
      </c>
      <c r="L28" s="67">
        <f>IF($A28="","",$L$57*$D28)</f>
        <v/>
      </c>
      <c r="M28" s="66">
        <f>IF($A28="","",$C28-$E$58-$F$58)</f>
        <v/>
      </c>
      <c r="N28" s="67">
        <f>IF($A28="","",$L$58*$D28)</f>
        <v/>
      </c>
      <c r="O28" s="66">
        <f>IF($A28="","",$C28-$E$59-$F$59)</f>
        <v/>
      </c>
      <c r="P28" s="67">
        <f>IF($A28="","",$L$59*$D28)</f>
        <v/>
      </c>
      <c r="Q28" s="66">
        <f>IF($A28="","",$C28)</f>
        <v/>
      </c>
      <c r="R28" s="67">
        <f>IF($A28="","",$L$60*$D28)</f>
        <v/>
      </c>
      <c r="S28" s="66">
        <f>IF($A28="","",$B28-$E$61-$F$61-$G$61)</f>
        <v/>
      </c>
      <c r="T28" s="67">
        <f>IF($A28="","",$L$61*$D28)</f>
        <v/>
      </c>
      <c r="U28" s="66">
        <f>IF($A28="","",(($C28-$E$62-$F$62-$G$62-$H$62-$I$62)/5)+(78*4)/5)</f>
        <v/>
      </c>
      <c r="V28" s="67">
        <f>IF($A28="","",$L$62*$D28)</f>
        <v/>
      </c>
      <c r="W28" s="66">
        <f>IF($A28="","",$S28-$E$63-$F$63)</f>
        <v/>
      </c>
      <c r="X28" s="67">
        <f>IF($A28="","",$L$63*$D28)</f>
        <v/>
      </c>
      <c r="Y28" s="66">
        <f>IF($A28="","",$U28-$E$64-$F$64)</f>
        <v/>
      </c>
      <c r="Z28" s="67">
        <f>IF($A28="","",$L$64*$D28)</f>
        <v/>
      </c>
      <c r="AA28" s="66">
        <f>IF($A28="","",$S28)</f>
        <v/>
      </c>
      <c r="AB28" s="67">
        <f>IF($A28="","",$L$65*$D28)</f>
        <v/>
      </c>
      <c r="AC28" s="66">
        <f>IF($A28="","",$B28-$E$66)</f>
        <v/>
      </c>
      <c r="AD28" s="67">
        <f>IF($A28="","",$L$66*$D28)</f>
        <v/>
      </c>
      <c r="AE28" s="66">
        <f>IF($A28="","",$C28-$E$67-$F$67)</f>
        <v/>
      </c>
      <c r="AF28" s="67">
        <f>IF($A28="","",$L$67*$D28)</f>
        <v/>
      </c>
      <c r="AG28" s="66">
        <f>IF($A28="","",$B28-$E$68)</f>
        <v/>
      </c>
      <c r="AH28" s="67">
        <f>IF($A28="","",$L$68*$D28)</f>
        <v/>
      </c>
      <c r="AI28" s="66">
        <f>IF($A28="","",$B28-$E$69-$F$69)</f>
        <v/>
      </c>
      <c r="AJ28" s="67">
        <f>IF($A28="","",$L$69*$D28)</f>
        <v/>
      </c>
      <c r="AK28" s="66">
        <f>IF($A28="","",2*5*$D28)</f>
        <v/>
      </c>
      <c r="AL28" s="67">
        <f>IF($A28="","",$BC$7*$D28)</f>
        <v/>
      </c>
      <c r="AM28" s="63">
        <f>IF($A28="","",$BC$6*$D28)</f>
        <v/>
      </c>
      <c r="AN28" s="64">
        <f>IF($A28="","",$BC$9*$D28)</f>
        <v/>
      </c>
      <c r="AO28" s="65">
        <f>IF($A28="","",$BC$10*$D28)</f>
        <v/>
      </c>
      <c r="AP28">
        <f>IF($A28="","",2*$BC$6*$D28)</f>
        <v/>
      </c>
      <c r="AQ28">
        <f>IF($A28="","",IF($B28&gt;2800,2,IF($B28&gt;1400,1,0))*$BC$6*$D28)</f>
        <v/>
      </c>
      <c r="AR28">
        <f>IF($A28="","",2*$BC$6*$D28)</f>
        <v/>
      </c>
      <c r="AS28">
        <f>IF($A28="","",$BC$6*$D28)</f>
        <v/>
      </c>
      <c r="AT28">
        <f>IF($A28="","",2*$BC$6*$D28)</f>
        <v/>
      </c>
      <c r="AU28">
        <f>IF($A28="","",4*5*$D28)</f>
        <v/>
      </c>
      <c r="AV28">
        <f>IF($A28="","",16*5*$D28)</f>
        <v/>
      </c>
      <c r="AW28">
        <f>IF($A28="","",(2+MAX(0,ROUNDUP(($K28-1500)/500,0)))*$D28)</f>
        <v/>
      </c>
      <c r="AX28">
        <f>IF($A28="","",(2+MAX(0,ROUNDUP(($K28-1500)/500,0)))*$D28)</f>
        <v/>
      </c>
      <c r="AY28">
        <f>IF($A28="","",ROUND((2*2*($U28+$S28)*5*$D28)/1000,1))</f>
        <v/>
      </c>
    </row>
    <row r="29" ht="40.15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8" t="n"/>
      <c r="AJ29" s="68" t="n"/>
      <c r="AK29" s="68" t="n"/>
      <c r="AL29" s="68" t="n"/>
      <c r="AM29" s="69" t="n"/>
    </row>
    <row r="30" ht="40.15" customHeight="1">
      <c r="A30" s="70" t="inlineStr">
        <is>
          <t>จำนวนเส้น 6.4 ม. ที่ต้องสั่ง →</t>
        </is>
      </c>
      <c r="B30" s="20" t="n"/>
      <c r="C30" s="20" t="n"/>
      <c r="D30" s="21" t="n"/>
      <c r="E30" s="71">
        <f>E$7</f>
        <v/>
      </c>
      <c r="F30" s="72">
        <f>(ROUNDUP(F49/6400,0))</f>
        <v/>
      </c>
      <c r="G30" s="71">
        <f>G$7</f>
        <v/>
      </c>
      <c r="H30" s="72">
        <f>(ROUNDUP(H49/6400,0))</f>
        <v/>
      </c>
      <c r="I30" s="72">
        <f>I$7</f>
        <v/>
      </c>
      <c r="J30" s="72">
        <f>(ROUNDUP(J49/6400,0))</f>
        <v/>
      </c>
      <c r="K30" s="72">
        <f>K$7</f>
        <v/>
      </c>
      <c r="L30" s="72">
        <f>(ROUNDUP(L49/6400,0))</f>
        <v/>
      </c>
      <c r="M30" s="72">
        <f>M$7</f>
        <v/>
      </c>
      <c r="N30" s="72">
        <f>(ROUNDUP(N49/6400,0))</f>
        <v/>
      </c>
      <c r="O30" s="72">
        <f>O$7</f>
        <v/>
      </c>
      <c r="P30" s="72">
        <f>(ROUNDUP(P49/6400,0))</f>
        <v/>
      </c>
      <c r="Q30" s="72">
        <f>Q$7</f>
        <v/>
      </c>
      <c r="R30" s="72">
        <f>(ROUNDUP(R49/6400,0))</f>
        <v/>
      </c>
      <c r="S30" s="72">
        <f>S$7</f>
        <v/>
      </c>
      <c r="T30" s="20" t="n"/>
      <c r="U30" s="21" t="n"/>
      <c r="V30" s="72">
        <f>(ROUNDUP(SUM(T49:V49)/6400,0))</f>
        <v/>
      </c>
      <c r="W30" s="72">
        <f>W$7</f>
        <v/>
      </c>
      <c r="X30" s="20" t="n"/>
      <c r="Y30" s="21" t="n"/>
      <c r="Z30" s="72">
        <f>(ROUNDUP(SUM(X49:Z49)/6400,0))</f>
        <v/>
      </c>
      <c r="AA30" s="72">
        <f>AA$7</f>
        <v/>
      </c>
      <c r="AB30" s="72">
        <f>(ROUNDUP(AB49/6400,0))</f>
        <v/>
      </c>
      <c r="AC30" s="72">
        <f>AC$7</f>
        <v/>
      </c>
      <c r="AD30" s="72">
        <f>(ROUNDUP(AD49/6400,0))</f>
        <v/>
      </c>
      <c r="AE30" s="72">
        <f>AE$7</f>
        <v/>
      </c>
      <c r="AF30" s="72">
        <f>(ROUNDUP(AF49/6400,0))</f>
        <v/>
      </c>
      <c r="AG30" s="72">
        <f>AG$7</f>
        <v/>
      </c>
      <c r="AH30" s="72">
        <f>(ROUNDUP(AH49/6400,0))</f>
        <v/>
      </c>
      <c r="AI30" s="72">
        <f>AI$7</f>
        <v/>
      </c>
      <c r="AJ30" s="72" t="inlineStr">
        <is>
          <t>รวม</t>
        </is>
      </c>
      <c r="AK30" s="72">
        <f>SUM(AK11:AK28)</f>
        <v/>
      </c>
      <c r="AL30" s="72">
        <f>SUM(AL11:AL28)</f>
        <v/>
      </c>
      <c r="AM30">
        <f>SUM(AM11:AM28)</f>
        <v/>
      </c>
      <c r="AN30">
        <f>SUM(AN11:AN28)</f>
        <v/>
      </c>
      <c r="AO30">
        <f>SUM(AO11:AO28)</f>
        <v/>
      </c>
      <c r="AP30">
        <f>SUM(AP11:AP28)</f>
        <v/>
      </c>
      <c r="AQ30">
        <f>SUM(AQ11:AQ28)</f>
        <v/>
      </c>
      <c r="AR30">
        <f>SUM(AR11:AR28)</f>
        <v/>
      </c>
      <c r="AS30">
        <f>SUM(AS11:AS28)</f>
        <v/>
      </c>
      <c r="AT30">
        <f>SUM(AT11:AT28)</f>
        <v/>
      </c>
      <c r="AU30">
        <f>SUM(AU11:AU28)</f>
        <v/>
      </c>
      <c r="AV30">
        <f>SUM(AV11:AV28)</f>
        <v/>
      </c>
      <c r="AW30">
        <f>SUM(AW11:AW28)</f>
        <v/>
      </c>
      <c r="AX30">
        <f>SUM(AX11:AX28)</f>
        <v/>
      </c>
      <c r="AY30">
        <f>SUM(AY11:AY28)</f>
        <v/>
      </c>
    </row>
    <row r="31" hidden="1" ht="40.15" customHeight="1">
      <c r="F31" s="73">
        <f>IF($A11="","",F11*E11)</f>
        <v/>
      </c>
      <c r="H31" s="73">
        <f>IF($A11="","",H11*G11)</f>
        <v/>
      </c>
      <c r="I31" s="73" t="n"/>
      <c r="J31" s="73">
        <f>IF($A11="","",J11*I11)</f>
        <v/>
      </c>
      <c r="K31" s="73" t="n"/>
      <c r="L31" s="73">
        <f>IF($A11="","",L11*K11)</f>
        <v/>
      </c>
      <c r="M31" s="73" t="n"/>
      <c r="N31" s="73">
        <f>IF($A11="","",N11*M11)</f>
        <v/>
      </c>
      <c r="O31" s="73" t="n"/>
      <c r="P31" s="73">
        <f>IF($A11="","",P11*O11)</f>
        <v/>
      </c>
      <c r="Q31" s="73" t="n"/>
      <c r="R31" s="73">
        <f>IF($A11="","",R11*Q11)</f>
        <v/>
      </c>
      <c r="S31" s="73" t="n"/>
      <c r="T31" s="73">
        <f>IF($A11="","",T11*S11)</f>
        <v/>
      </c>
      <c r="U31" s="73" t="n"/>
      <c r="V31" s="73">
        <f>IF($A11="","",V11*U11)</f>
        <v/>
      </c>
      <c r="W31" s="73" t="n"/>
      <c r="X31" s="73">
        <f>IF($A11="","",X11*W11)</f>
        <v/>
      </c>
      <c r="Y31" s="73" t="n"/>
      <c r="Z31" s="73">
        <f>IF($A11="","",Z11*Y11)</f>
        <v/>
      </c>
      <c r="AA31" s="73" t="n"/>
      <c r="AB31" s="73">
        <f>IF($A11="","",AB11*AA11)</f>
        <v/>
      </c>
      <c r="AC31" s="73" t="n"/>
      <c r="AD31" s="73">
        <f>IF($A11="","",AD11*AC11)</f>
        <v/>
      </c>
      <c r="AE31" s="73" t="n"/>
      <c r="AF31" s="73">
        <f>IF($A11="","",AF11*AE11)</f>
        <v/>
      </c>
      <c r="AG31" s="73" t="n"/>
      <c r="AH31" s="73">
        <f>IF($A11="","",AH11*AG11)</f>
        <v/>
      </c>
      <c r="AI31" s="73" t="n"/>
      <c r="AJ31" s="73">
        <f>IF($A11="","",AJ11*AI11)</f>
        <v/>
      </c>
      <c r="AK31" s="73" t="n"/>
      <c r="AL31" s="73">
        <f>IF($A11="","",AL11*AK11)</f>
        <v/>
      </c>
    </row>
    <row r="32" hidden="1" ht="40.15" customHeight="1">
      <c r="F32" s="73">
        <f>IF($A12="","",F12*E12)</f>
        <v/>
      </c>
      <c r="H32" s="73">
        <f>IF($A12="","",H12*G12)</f>
        <v/>
      </c>
      <c r="I32" s="73" t="n"/>
      <c r="J32" s="73">
        <f>IF($A12="","",J12*I12)</f>
        <v/>
      </c>
      <c r="K32" s="73" t="n"/>
      <c r="L32" s="73">
        <f>IF($A12="","",L12*K12)</f>
        <v/>
      </c>
      <c r="M32" s="73" t="n"/>
      <c r="N32" s="73">
        <f>IF($A12="","",N12*M12)</f>
        <v/>
      </c>
      <c r="O32" s="73" t="n"/>
      <c r="P32" s="73">
        <f>IF($A12="","",P12*O12)</f>
        <v/>
      </c>
      <c r="Q32" s="73" t="n"/>
      <c r="R32" s="73">
        <f>IF($A12="","",R12*Q12)</f>
        <v/>
      </c>
      <c r="S32" s="73" t="n"/>
      <c r="T32" s="73">
        <f>IF($A12="","",T12*S12)</f>
        <v/>
      </c>
      <c r="U32" s="73" t="n"/>
      <c r="V32" s="73">
        <f>IF($A12="","",V12*U12)</f>
        <v/>
      </c>
      <c r="W32" s="73" t="n"/>
      <c r="X32" s="73">
        <f>IF($A12="","",X12*W12)</f>
        <v/>
      </c>
      <c r="Y32" s="73" t="n"/>
      <c r="Z32" s="73">
        <f>IF($A12="","",Z12*Y12)</f>
        <v/>
      </c>
      <c r="AA32" s="73" t="n"/>
      <c r="AB32" s="73">
        <f>IF($A12="","",AB12*AA12)</f>
        <v/>
      </c>
      <c r="AC32" s="73" t="n"/>
      <c r="AD32" s="73">
        <f>IF($A12="","",AD12*AC12)</f>
        <v/>
      </c>
      <c r="AE32" s="73" t="n"/>
      <c r="AF32" s="73">
        <f>IF($A12="","",AF12*AE12)</f>
        <v/>
      </c>
      <c r="AG32" s="73" t="n"/>
      <c r="AH32" s="73">
        <f>IF($A12="","",AH12*AG12)</f>
        <v/>
      </c>
      <c r="AI32" s="73" t="n"/>
      <c r="AJ32" s="73">
        <f>IF($A12="","",AJ12*AI12)</f>
        <v/>
      </c>
      <c r="AK32" s="73" t="n"/>
      <c r="AL32" s="73">
        <f>IF($A12="","",AL12*AK12)</f>
        <v/>
      </c>
    </row>
    <row r="33" hidden="1" ht="40.15" customHeight="1">
      <c r="F33" s="73">
        <f>IF($A13="","",F13*E13)</f>
        <v/>
      </c>
      <c r="H33" s="73">
        <f>IF($A13="","",H13*G13)</f>
        <v/>
      </c>
      <c r="I33" s="73" t="n"/>
      <c r="J33" s="73">
        <f>IF($A13="","",J13*I13)</f>
        <v/>
      </c>
      <c r="K33" s="73" t="n"/>
      <c r="L33" s="73">
        <f>IF($A13="","",L13*K13)</f>
        <v/>
      </c>
      <c r="M33" s="73" t="n"/>
      <c r="N33" s="73">
        <f>IF($A13="","",N13*M13)</f>
        <v/>
      </c>
      <c r="O33" s="73" t="n"/>
      <c r="P33" s="73">
        <f>IF($A13="","",P13*O13)</f>
        <v/>
      </c>
      <c r="Q33" s="73" t="n"/>
      <c r="R33" s="73">
        <f>IF($A13="","",R13*Q13)</f>
        <v/>
      </c>
      <c r="S33" s="73" t="n"/>
      <c r="T33" s="73">
        <f>IF($A13="","",T13*S13)</f>
        <v/>
      </c>
      <c r="U33" s="73" t="n"/>
      <c r="V33" s="73">
        <f>IF($A13="","",V13*U13)</f>
        <v/>
      </c>
      <c r="W33" s="73" t="n"/>
      <c r="X33" s="73">
        <f>IF($A13="","",X13*W13)</f>
        <v/>
      </c>
      <c r="Y33" s="73" t="n"/>
      <c r="Z33" s="73">
        <f>IF($A13="","",Z13*Y13)</f>
        <v/>
      </c>
      <c r="AA33" s="73" t="n"/>
      <c r="AB33" s="73">
        <f>IF($A13="","",AB13*AA13)</f>
        <v/>
      </c>
      <c r="AC33" s="73" t="n"/>
      <c r="AD33" s="73">
        <f>IF($A13="","",AD13*AC13)</f>
        <v/>
      </c>
      <c r="AE33" s="73" t="n"/>
      <c r="AF33" s="73">
        <f>IF($A13="","",AF13*AE13)</f>
        <v/>
      </c>
      <c r="AG33" s="73" t="n"/>
      <c r="AH33" s="73">
        <f>IF($A13="","",AH13*AG13)</f>
        <v/>
      </c>
      <c r="AI33" s="73" t="n"/>
      <c r="AJ33" s="73">
        <f>IF($A13="","",AJ13*AI13)</f>
        <v/>
      </c>
      <c r="AK33" s="73" t="n"/>
      <c r="AL33" s="73">
        <f>IF($A13="","",AL13*AK13)</f>
        <v/>
      </c>
    </row>
    <row r="34" hidden="1" ht="40.15" customHeight="1">
      <c r="F34" s="73">
        <f>IF($A14="","",F14*E14)</f>
        <v/>
      </c>
      <c r="H34" s="73">
        <f>IF($A14="","",H14*G14)</f>
        <v/>
      </c>
      <c r="I34" s="73" t="n"/>
      <c r="J34" s="73">
        <f>IF($A14="","",J14*I14)</f>
        <v/>
      </c>
      <c r="K34" s="73" t="n"/>
      <c r="L34" s="73">
        <f>IF($A14="","",L14*K14)</f>
        <v/>
      </c>
      <c r="M34" s="73" t="n"/>
      <c r="N34" s="73">
        <f>IF($A14="","",N14*M14)</f>
        <v/>
      </c>
      <c r="O34" s="73" t="n"/>
      <c r="P34" s="73">
        <f>IF($A14="","",P14*O14)</f>
        <v/>
      </c>
      <c r="Q34" s="73" t="n"/>
      <c r="R34" s="73">
        <f>IF($A14="","",R14*Q14)</f>
        <v/>
      </c>
      <c r="S34" s="73" t="n"/>
      <c r="T34" s="73">
        <f>IF($A14="","",T14*S14)</f>
        <v/>
      </c>
      <c r="U34" s="73" t="n"/>
      <c r="V34" s="73">
        <f>IF($A14="","",V14*U14)</f>
        <v/>
      </c>
      <c r="W34" s="73" t="n"/>
      <c r="X34" s="73">
        <f>IF($A14="","",X14*W14)</f>
        <v/>
      </c>
      <c r="Y34" s="73" t="n"/>
      <c r="Z34" s="73">
        <f>IF($A14="","",Z14*Y14)</f>
        <v/>
      </c>
      <c r="AA34" s="73" t="n"/>
      <c r="AB34" s="73">
        <f>IF($A14="","",AB14*AA14)</f>
        <v/>
      </c>
      <c r="AC34" s="73" t="n"/>
      <c r="AD34" s="73">
        <f>IF($A14="","",AD14*AC14)</f>
        <v/>
      </c>
      <c r="AE34" s="73" t="n"/>
      <c r="AF34" s="73">
        <f>IF($A14="","",AF14*AE14)</f>
        <v/>
      </c>
      <c r="AG34" s="73" t="n"/>
      <c r="AH34" s="73">
        <f>IF($A14="","",AH14*AG14)</f>
        <v/>
      </c>
      <c r="AI34" s="73" t="n"/>
      <c r="AJ34" s="73">
        <f>IF($A14="","",AJ14*AI14)</f>
        <v/>
      </c>
      <c r="AK34" s="73" t="n"/>
      <c r="AL34" s="73">
        <f>IF($A14="","",AL14*AK14)</f>
        <v/>
      </c>
    </row>
    <row r="35" hidden="1" ht="40.15" customHeight="1">
      <c r="F35" s="73">
        <f>IF($A15="","",F15*E15)</f>
        <v/>
      </c>
      <c r="H35" s="73">
        <f>IF($A15="","",H15*G15)</f>
        <v/>
      </c>
      <c r="I35" s="73" t="n"/>
      <c r="J35" s="73">
        <f>IF($A15="","",J15*I15)</f>
        <v/>
      </c>
      <c r="K35" s="73" t="n"/>
      <c r="L35" s="73">
        <f>IF($A15="","",L15*K15)</f>
        <v/>
      </c>
      <c r="M35" s="73" t="n"/>
      <c r="N35" s="73">
        <f>IF($A15="","",N15*M15)</f>
        <v/>
      </c>
      <c r="O35" s="73" t="n"/>
      <c r="P35" s="73">
        <f>IF($A15="","",P15*O15)</f>
        <v/>
      </c>
      <c r="Q35" s="73" t="n"/>
      <c r="R35" s="73">
        <f>IF($A15="","",R15*Q15)</f>
        <v/>
      </c>
      <c r="S35" s="73" t="n"/>
      <c r="T35" s="73">
        <f>IF($A15="","",T15*S15)</f>
        <v/>
      </c>
      <c r="U35" s="73" t="n"/>
      <c r="V35" s="73">
        <f>IF($A15="","",V15*U15)</f>
        <v/>
      </c>
      <c r="W35" s="73" t="n"/>
      <c r="X35" s="73">
        <f>IF($A15="","",X15*W15)</f>
        <v/>
      </c>
      <c r="Y35" s="73" t="n"/>
      <c r="Z35" s="73">
        <f>IF($A15="","",Z15*Y15)</f>
        <v/>
      </c>
      <c r="AA35" s="73" t="n"/>
      <c r="AB35" s="73">
        <f>IF($A15="","",AB15*AA15)</f>
        <v/>
      </c>
      <c r="AC35" s="73" t="n"/>
      <c r="AD35" s="73">
        <f>IF($A15="","",AD15*AC15)</f>
        <v/>
      </c>
      <c r="AE35" s="73" t="n"/>
      <c r="AF35" s="73">
        <f>IF($A15="","",AF15*AE15)</f>
        <v/>
      </c>
      <c r="AG35" s="73" t="n"/>
      <c r="AH35" s="73">
        <f>IF($A15="","",AH15*AG15)</f>
        <v/>
      </c>
      <c r="AI35" s="73" t="n"/>
      <c r="AJ35" s="73">
        <f>IF($A15="","",AJ15*AI15)</f>
        <v/>
      </c>
      <c r="AK35" s="73" t="n"/>
      <c r="AL35" s="73">
        <f>IF($A15="","",AL15*AK15)</f>
        <v/>
      </c>
    </row>
    <row r="36" hidden="1">
      <c r="F36" s="73">
        <f>IF($A16="","",F16*E16)</f>
        <v/>
      </c>
      <c r="H36" s="73">
        <f>IF($A16="","",H16*G16)</f>
        <v/>
      </c>
      <c r="I36" s="73" t="n"/>
      <c r="J36" s="73">
        <f>IF($A16="","",J16*I16)</f>
        <v/>
      </c>
      <c r="K36" s="73" t="n"/>
      <c r="L36" s="73">
        <f>IF($A16="","",L16*K16)</f>
        <v/>
      </c>
      <c r="M36" s="73" t="n"/>
      <c r="N36" s="73">
        <f>IF($A16="","",N16*M16)</f>
        <v/>
      </c>
      <c r="O36" s="73" t="n"/>
      <c r="P36" s="73">
        <f>IF($A16="","",P16*O16)</f>
        <v/>
      </c>
      <c r="Q36" s="73" t="n"/>
      <c r="R36" s="73">
        <f>IF($A16="","",R16*Q16)</f>
        <v/>
      </c>
      <c r="S36" s="73" t="n"/>
      <c r="T36" s="73">
        <f>IF($A16="","",T16*S16)</f>
        <v/>
      </c>
      <c r="U36" s="73" t="n"/>
      <c r="V36" s="73">
        <f>IF($A16="","",V16*U16)</f>
        <v/>
      </c>
      <c r="W36" s="73" t="n"/>
      <c r="X36" s="73">
        <f>IF($A16="","",X16*W16)</f>
        <v/>
      </c>
      <c r="Y36" s="73" t="n"/>
      <c r="Z36" s="73">
        <f>IF($A16="","",Z16*Y16)</f>
        <v/>
      </c>
      <c r="AA36" s="73" t="n"/>
      <c r="AB36" s="73">
        <f>IF($A16="","",AB16*AA16)</f>
        <v/>
      </c>
      <c r="AC36" s="73" t="n"/>
      <c r="AD36" s="73">
        <f>IF($A16="","",AD16*AC16)</f>
        <v/>
      </c>
      <c r="AE36" s="73" t="n"/>
      <c r="AF36" s="73">
        <f>IF($A16="","",AF16*AE16)</f>
        <v/>
      </c>
      <c r="AG36" s="73" t="n"/>
      <c r="AH36" s="73">
        <f>IF($A16="","",AH16*AG16)</f>
        <v/>
      </c>
      <c r="AI36" s="73" t="n"/>
      <c r="AJ36" s="73">
        <f>IF($A16="","",AJ16*AI16)</f>
        <v/>
      </c>
      <c r="AK36" s="73" t="n"/>
      <c r="AL36" s="73">
        <f>IF($A16="","",AL16*AK16)</f>
        <v/>
      </c>
    </row>
    <row r="37" hidden="1">
      <c r="F37" s="73">
        <f>IF($A17="","",F17*E17)</f>
        <v/>
      </c>
      <c r="H37" s="73">
        <f>IF($A17="","",H17*G17)</f>
        <v/>
      </c>
      <c r="I37" s="73" t="n"/>
      <c r="J37" s="73">
        <f>IF($A17="","",J17*I17)</f>
        <v/>
      </c>
      <c r="K37" s="73" t="n"/>
      <c r="L37" s="73">
        <f>IF($A17="","",L17*K17)</f>
        <v/>
      </c>
      <c r="M37" s="73" t="n"/>
      <c r="N37" s="73">
        <f>IF($A17="","",N17*M17)</f>
        <v/>
      </c>
      <c r="O37" s="73" t="n"/>
      <c r="P37" s="73">
        <f>IF($A17="","",P17*O17)</f>
        <v/>
      </c>
      <c r="Q37" s="73" t="n"/>
      <c r="R37" s="73">
        <f>IF($A17="","",R17*Q17)</f>
        <v/>
      </c>
      <c r="S37" s="73" t="n"/>
      <c r="T37" s="73">
        <f>IF($A17="","",T17*S17)</f>
        <v/>
      </c>
      <c r="U37" s="73" t="n"/>
      <c r="V37" s="73">
        <f>IF($A17="","",V17*U17)</f>
        <v/>
      </c>
      <c r="W37" s="73" t="n"/>
      <c r="X37" s="73">
        <f>IF($A17="","",X17*W17)</f>
        <v/>
      </c>
      <c r="Y37" s="73" t="n"/>
      <c r="Z37" s="73">
        <f>IF($A17="","",Z17*Y17)</f>
        <v/>
      </c>
      <c r="AA37" s="73" t="n"/>
      <c r="AB37" s="73">
        <f>IF($A17="","",AB17*AA17)</f>
        <v/>
      </c>
      <c r="AC37" s="73" t="n"/>
      <c r="AD37" s="73">
        <f>IF($A17="","",AD17*AC17)</f>
        <v/>
      </c>
      <c r="AE37" s="73" t="n"/>
      <c r="AF37" s="73">
        <f>IF($A17="","",AF17*AE17)</f>
        <v/>
      </c>
      <c r="AG37" s="73" t="n"/>
      <c r="AH37" s="73">
        <f>IF($A17="","",AH17*AG17)</f>
        <v/>
      </c>
      <c r="AI37" s="73" t="n"/>
      <c r="AJ37" s="73">
        <f>IF($A17="","",AJ17*AI17)</f>
        <v/>
      </c>
      <c r="AK37" s="73" t="n"/>
      <c r="AL37" s="73">
        <f>IF($A17="","",AL17*AK17)</f>
        <v/>
      </c>
    </row>
    <row r="38" hidden="1">
      <c r="F38" s="73">
        <f>IF($A18="","",F18*E18)</f>
        <v/>
      </c>
      <c r="H38" s="73">
        <f>IF($A18="","",H18*G18)</f>
        <v/>
      </c>
      <c r="I38" s="73" t="n"/>
      <c r="J38" s="73">
        <f>IF($A18="","",J18*I18)</f>
        <v/>
      </c>
      <c r="K38" s="73" t="n"/>
      <c r="L38" s="73">
        <f>IF($A18="","",L18*K18)</f>
        <v/>
      </c>
      <c r="M38" s="73" t="n"/>
      <c r="N38" s="73">
        <f>IF($A18="","",N18*M18)</f>
        <v/>
      </c>
      <c r="O38" s="73" t="n"/>
      <c r="P38" s="73">
        <f>IF($A18="","",P18*O18)</f>
        <v/>
      </c>
      <c r="Q38" s="73" t="n"/>
      <c r="R38" s="73">
        <f>IF($A18="","",R18*Q18)</f>
        <v/>
      </c>
      <c r="S38" s="73" t="n"/>
      <c r="T38" s="73">
        <f>IF($A18="","",T18*S18)</f>
        <v/>
      </c>
      <c r="U38" s="73" t="n"/>
      <c r="V38" s="73">
        <f>IF($A18="","",V18*U18)</f>
        <v/>
      </c>
      <c r="W38" s="73" t="n"/>
      <c r="X38" s="73">
        <f>IF($A18="","",X18*W18)</f>
        <v/>
      </c>
      <c r="Y38" s="73" t="n"/>
      <c r="Z38" s="73">
        <f>IF($A18="","",Z18*Y18)</f>
        <v/>
      </c>
      <c r="AA38" s="73" t="n"/>
      <c r="AB38" s="73">
        <f>IF($A18="","",AB18*AA18)</f>
        <v/>
      </c>
      <c r="AC38" s="73" t="n"/>
      <c r="AD38" s="73">
        <f>IF($A18="","",AD18*AC18)</f>
        <v/>
      </c>
      <c r="AE38" s="73" t="n"/>
      <c r="AF38" s="73">
        <f>IF($A18="","",AF18*AE18)</f>
        <v/>
      </c>
      <c r="AG38" s="73" t="n"/>
      <c r="AH38" s="73">
        <f>IF($A18="","",AH18*AG18)</f>
        <v/>
      </c>
      <c r="AI38" s="73" t="n"/>
      <c r="AJ38" s="73">
        <f>IF($A18="","",AJ18*AI18)</f>
        <v/>
      </c>
      <c r="AK38" s="73" t="n"/>
      <c r="AL38" s="73">
        <f>IF($A18="","",AL18*AK18)</f>
        <v/>
      </c>
    </row>
    <row r="39" hidden="1">
      <c r="F39" s="73">
        <f>IF($A19="","",F19*E19)</f>
        <v/>
      </c>
      <c r="H39" s="73">
        <f>IF($A19="","",H19*G19)</f>
        <v/>
      </c>
      <c r="I39" s="73" t="n"/>
      <c r="J39" s="73">
        <f>IF($A19="","",J19*I19)</f>
        <v/>
      </c>
      <c r="K39" s="73" t="n"/>
      <c r="L39" s="73">
        <f>IF($A19="","",L19*K19)</f>
        <v/>
      </c>
      <c r="M39" s="73" t="n"/>
      <c r="N39" s="73">
        <f>IF($A19="","",N19*M19)</f>
        <v/>
      </c>
      <c r="O39" s="73" t="n"/>
      <c r="P39" s="73">
        <f>IF($A19="","",P19*O19)</f>
        <v/>
      </c>
      <c r="Q39" s="73" t="n"/>
      <c r="R39" s="73">
        <f>IF($A19="","",R19*Q19)</f>
        <v/>
      </c>
      <c r="S39" s="73" t="n"/>
      <c r="T39" s="73">
        <f>IF($A19="","",T19*S19)</f>
        <v/>
      </c>
      <c r="U39" s="73" t="n"/>
      <c r="V39" s="73">
        <f>IF($A19="","",V19*U19)</f>
        <v/>
      </c>
      <c r="W39" s="73" t="n"/>
      <c r="X39" s="73">
        <f>IF($A19="","",X19*W19)</f>
        <v/>
      </c>
      <c r="Y39" s="73" t="n"/>
      <c r="Z39" s="73">
        <f>IF($A19="","",Z19*Y19)</f>
        <v/>
      </c>
      <c r="AA39" s="73" t="n"/>
      <c r="AB39" s="73">
        <f>IF($A19="","",AB19*AA19)</f>
        <v/>
      </c>
      <c r="AC39" s="73" t="n"/>
      <c r="AD39" s="73">
        <f>IF($A19="","",AD19*AC19)</f>
        <v/>
      </c>
      <c r="AE39" s="73" t="n"/>
      <c r="AF39" s="73">
        <f>IF($A19="","",AF19*AE19)</f>
        <v/>
      </c>
      <c r="AG39" s="73" t="n"/>
      <c r="AH39" s="73">
        <f>IF($A19="","",AH19*AG19)</f>
        <v/>
      </c>
      <c r="AI39" s="73" t="n"/>
      <c r="AJ39" s="73">
        <f>IF($A19="","",AJ19*AI19)</f>
        <v/>
      </c>
      <c r="AK39" s="73" t="n"/>
      <c r="AL39" s="73">
        <f>IF($A19="","",AL19*AK19)</f>
        <v/>
      </c>
    </row>
    <row r="40" hidden="1">
      <c r="F40" s="73">
        <f>IF($A20="","",F20*E20)</f>
        <v/>
      </c>
      <c r="H40" s="73">
        <f>IF($A20="","",H20*G20)</f>
        <v/>
      </c>
      <c r="I40" s="73" t="n"/>
      <c r="J40" s="73">
        <f>IF($A20="","",J20*I20)</f>
        <v/>
      </c>
      <c r="K40" s="73" t="n"/>
      <c r="L40" s="73">
        <f>IF($A20="","",L20*K20)</f>
        <v/>
      </c>
      <c r="M40" s="73" t="n"/>
      <c r="N40" s="73">
        <f>IF($A20="","",N20*M20)</f>
        <v/>
      </c>
      <c r="O40" s="73" t="n"/>
      <c r="P40" s="73">
        <f>IF($A20="","",P20*O20)</f>
        <v/>
      </c>
      <c r="Q40" s="73" t="n"/>
      <c r="R40" s="73">
        <f>IF($A20="","",R20*Q20)</f>
        <v/>
      </c>
      <c r="S40" s="73" t="n"/>
      <c r="T40" s="73">
        <f>IF($A20="","",T20*S20)</f>
        <v/>
      </c>
      <c r="U40" s="73" t="n"/>
      <c r="V40" s="73">
        <f>IF($A20="","",V20*U20)</f>
        <v/>
      </c>
      <c r="W40" s="73" t="n"/>
      <c r="X40" s="73">
        <f>IF($A20="","",X20*W20)</f>
        <v/>
      </c>
      <c r="Y40" s="73" t="n"/>
      <c r="Z40" s="73">
        <f>IF($A20="","",Z20*Y20)</f>
        <v/>
      </c>
      <c r="AA40" s="73" t="n"/>
      <c r="AB40" s="73">
        <f>IF($A20="","",AB20*AA20)</f>
        <v/>
      </c>
      <c r="AC40" s="73" t="n"/>
      <c r="AD40" s="73">
        <f>IF($A20="","",AD20*AC20)</f>
        <v/>
      </c>
      <c r="AE40" s="73" t="n"/>
      <c r="AF40" s="73">
        <f>IF($A20="","",AF20*AE20)</f>
        <v/>
      </c>
      <c r="AG40" s="73" t="n"/>
      <c r="AH40" s="73">
        <f>IF($A20="","",AH20*AG20)</f>
        <v/>
      </c>
      <c r="AI40" s="73" t="n"/>
      <c r="AJ40" s="73">
        <f>IF($A20="","",AJ20*AI20)</f>
        <v/>
      </c>
      <c r="AK40" s="73" t="n"/>
      <c r="AL40" s="73">
        <f>IF($A20="","",AL20*AK20)</f>
        <v/>
      </c>
    </row>
    <row r="41" hidden="1">
      <c r="F41" s="73">
        <f>IF($A21="","",F21*E21)</f>
        <v/>
      </c>
      <c r="H41" s="73">
        <f>IF($A21="","",H21*G21)</f>
        <v/>
      </c>
      <c r="I41" s="73" t="n"/>
      <c r="J41" s="73">
        <f>IF($A21="","",J21*I21)</f>
        <v/>
      </c>
      <c r="K41" s="73" t="n"/>
      <c r="L41" s="73">
        <f>IF($A21="","",L21*K21)</f>
        <v/>
      </c>
      <c r="M41" s="73" t="n"/>
      <c r="N41" s="73">
        <f>IF($A21="","",N21*M21)</f>
        <v/>
      </c>
      <c r="O41" s="73" t="n"/>
      <c r="P41" s="73">
        <f>IF($A21="","",P21*O21)</f>
        <v/>
      </c>
      <c r="Q41" s="73" t="n"/>
      <c r="R41" s="73">
        <f>IF($A21="","",R21*Q21)</f>
        <v/>
      </c>
      <c r="S41" s="73" t="n"/>
      <c r="T41" s="73">
        <f>IF($A21="","",T21*S21)</f>
        <v/>
      </c>
      <c r="U41" s="73" t="n"/>
      <c r="V41" s="73">
        <f>IF($A21="","",V21*U21)</f>
        <v/>
      </c>
      <c r="W41" s="73" t="n"/>
      <c r="X41" s="73">
        <f>IF($A21="","",X21*W21)</f>
        <v/>
      </c>
      <c r="Y41" s="73" t="n"/>
      <c r="Z41" s="73">
        <f>IF($A21="","",Z21*Y21)</f>
        <v/>
      </c>
      <c r="AA41" s="73" t="n"/>
      <c r="AB41" s="73">
        <f>IF($A21="","",AB21*AA21)</f>
        <v/>
      </c>
      <c r="AC41" s="73" t="n"/>
      <c r="AD41" s="73">
        <f>IF($A21="","",AD21*AC21)</f>
        <v/>
      </c>
      <c r="AE41" s="73" t="n"/>
      <c r="AF41" s="73">
        <f>IF($A21="","",AF21*AE21)</f>
        <v/>
      </c>
      <c r="AG41" s="73" t="n"/>
      <c r="AH41" s="73">
        <f>IF($A21="","",AH21*AG21)</f>
        <v/>
      </c>
      <c r="AI41" s="73" t="n"/>
      <c r="AJ41" s="73">
        <f>IF($A21="","",AJ21*AI21)</f>
        <v/>
      </c>
      <c r="AK41" s="73" t="n"/>
      <c r="AL41" s="73">
        <f>IF($A21="","",AL21*AK21)</f>
        <v/>
      </c>
    </row>
    <row r="42" hidden="1">
      <c r="F42" s="73">
        <f>IF($A22="","",F22*E22)</f>
        <v/>
      </c>
      <c r="H42" s="73">
        <f>IF($A22="","",H22*G22)</f>
        <v/>
      </c>
      <c r="I42" s="73" t="n"/>
      <c r="J42" s="73">
        <f>IF($A22="","",J22*I22)</f>
        <v/>
      </c>
      <c r="K42" s="73" t="n"/>
      <c r="L42" s="73">
        <f>IF($A22="","",L22*K22)</f>
        <v/>
      </c>
      <c r="M42" s="73" t="n"/>
      <c r="N42" s="73">
        <f>IF($A22="","",N22*M22)</f>
        <v/>
      </c>
      <c r="O42" s="73" t="n"/>
      <c r="P42" s="73">
        <f>IF($A22="","",P22*O22)</f>
        <v/>
      </c>
      <c r="Q42" s="73" t="n"/>
      <c r="R42" s="73">
        <f>IF($A22="","",R22*Q22)</f>
        <v/>
      </c>
      <c r="S42" s="73" t="n"/>
      <c r="T42" s="73">
        <f>IF($A22="","",T22*S22)</f>
        <v/>
      </c>
      <c r="U42" s="73" t="n"/>
      <c r="V42" s="73">
        <f>IF($A22="","",V22*U22)</f>
        <v/>
      </c>
      <c r="W42" s="73" t="n"/>
      <c r="X42" s="73">
        <f>IF($A22="","",X22*W22)</f>
        <v/>
      </c>
      <c r="Y42" s="73" t="n"/>
      <c r="Z42" s="73">
        <f>IF($A22="","",Z22*Y22)</f>
        <v/>
      </c>
      <c r="AA42" s="73" t="n"/>
      <c r="AB42" s="73">
        <f>IF($A22="","",AB22*AA22)</f>
        <v/>
      </c>
      <c r="AC42" s="73" t="n"/>
      <c r="AD42" s="73">
        <f>IF($A22="","",AD22*AC22)</f>
        <v/>
      </c>
      <c r="AE42" s="73" t="n"/>
      <c r="AF42" s="73">
        <f>IF($A22="","",AF22*AE22)</f>
        <v/>
      </c>
      <c r="AG42" s="73" t="n"/>
      <c r="AH42" s="73">
        <f>IF($A22="","",AH22*AG22)</f>
        <v/>
      </c>
      <c r="AI42" s="73" t="n"/>
      <c r="AJ42" s="73">
        <f>IF($A22="","",AJ22*AI22)</f>
        <v/>
      </c>
      <c r="AK42" s="73" t="n"/>
      <c r="AL42" s="73">
        <f>IF($A22="","",AL22*AK22)</f>
        <v/>
      </c>
    </row>
    <row r="43" hidden="1">
      <c r="F43" s="73">
        <f>IF($A23="","",F23*E23)</f>
        <v/>
      </c>
      <c r="H43" s="73">
        <f>IF($A23="","",H23*G23)</f>
        <v/>
      </c>
      <c r="I43" s="73" t="n"/>
      <c r="J43" s="73">
        <f>IF($A23="","",J23*I23)</f>
        <v/>
      </c>
      <c r="K43" s="73" t="n"/>
      <c r="L43" s="73">
        <f>IF($A23="","",L23*K23)</f>
        <v/>
      </c>
      <c r="M43" s="73" t="n"/>
      <c r="N43" s="73">
        <f>IF($A23="","",N23*M23)</f>
        <v/>
      </c>
      <c r="O43" s="73" t="n"/>
      <c r="P43" s="73">
        <f>IF($A23="","",P23*O23)</f>
        <v/>
      </c>
      <c r="Q43" s="73" t="n"/>
      <c r="R43" s="73">
        <f>IF($A23="","",R23*Q23)</f>
        <v/>
      </c>
      <c r="S43" s="73" t="n"/>
      <c r="T43" s="73">
        <f>IF($A23="","",T23*S23)</f>
        <v/>
      </c>
      <c r="U43" s="73" t="n"/>
      <c r="V43" s="73">
        <f>IF($A23="","",V23*U23)</f>
        <v/>
      </c>
      <c r="W43" s="73" t="n"/>
      <c r="X43" s="73">
        <f>IF($A23="","",X23*W23)</f>
        <v/>
      </c>
      <c r="Y43" s="73" t="n"/>
      <c r="Z43" s="73">
        <f>IF($A23="","",Z23*Y23)</f>
        <v/>
      </c>
      <c r="AA43" s="73" t="n"/>
      <c r="AB43" s="73">
        <f>IF($A23="","",AB23*AA23)</f>
        <v/>
      </c>
      <c r="AC43" s="73" t="n"/>
      <c r="AD43" s="73">
        <f>IF($A23="","",AD23*AC23)</f>
        <v/>
      </c>
      <c r="AE43" s="73" t="n"/>
      <c r="AF43" s="73">
        <f>IF($A23="","",AF23*AE23)</f>
        <v/>
      </c>
      <c r="AG43" s="73" t="n"/>
      <c r="AH43" s="73">
        <f>IF($A23="","",AH23*AG23)</f>
        <v/>
      </c>
      <c r="AI43" s="73" t="n"/>
      <c r="AJ43" s="73">
        <f>IF($A23="","",AJ23*AI23)</f>
        <v/>
      </c>
      <c r="AK43" s="73" t="n"/>
      <c r="AL43" s="73">
        <f>IF($A23="","",AL23*AK23)</f>
        <v/>
      </c>
    </row>
    <row r="44" hidden="1">
      <c r="F44" s="73">
        <f>IF($A24="","",F24*E24)</f>
        <v/>
      </c>
      <c r="H44" s="73">
        <f>IF($A24="","",H24*G24)</f>
        <v/>
      </c>
      <c r="I44" s="73" t="n"/>
      <c r="J44" s="73">
        <f>IF($A24="","",J24*I24)</f>
        <v/>
      </c>
      <c r="K44" s="73" t="n"/>
      <c r="L44" s="73">
        <f>IF($A24="","",L24*K24)</f>
        <v/>
      </c>
      <c r="M44" s="73" t="n"/>
      <c r="N44" s="73">
        <f>IF($A24="","",N24*M24)</f>
        <v/>
      </c>
      <c r="O44" s="73" t="n"/>
      <c r="P44" s="73">
        <f>IF($A24="","",P24*O24)</f>
        <v/>
      </c>
      <c r="Q44" s="73" t="n"/>
      <c r="R44" s="73">
        <f>IF($A24="","",R24*Q24)</f>
        <v/>
      </c>
      <c r="S44" s="73" t="n"/>
      <c r="T44" s="73">
        <f>IF($A24="","",T24*S24)</f>
        <v/>
      </c>
      <c r="U44" s="73" t="n"/>
      <c r="V44" s="73">
        <f>IF($A24="","",V24*U24)</f>
        <v/>
      </c>
      <c r="W44" s="73" t="n"/>
      <c r="X44" s="73">
        <f>IF($A24="","",X24*W24)</f>
        <v/>
      </c>
      <c r="Y44" s="73" t="n"/>
      <c r="Z44" s="73">
        <f>IF($A24="","",Z24*Y24)</f>
        <v/>
      </c>
      <c r="AA44" s="73" t="n"/>
      <c r="AB44" s="73">
        <f>IF($A24="","",AB24*AA24)</f>
        <v/>
      </c>
      <c r="AC44" s="73" t="n"/>
      <c r="AD44" s="73">
        <f>IF($A24="","",AD24*AC24)</f>
        <v/>
      </c>
      <c r="AE44" s="73" t="n"/>
      <c r="AF44" s="73">
        <f>IF($A24="","",AF24*AE24)</f>
        <v/>
      </c>
      <c r="AG44" s="73" t="n"/>
      <c r="AH44" s="73">
        <f>IF($A24="","",AH24*AG24)</f>
        <v/>
      </c>
      <c r="AI44" s="73" t="n"/>
      <c r="AJ44" s="73">
        <f>IF($A24="","",AJ24*AI24)</f>
        <v/>
      </c>
      <c r="AK44" s="73" t="n"/>
      <c r="AL44" s="73">
        <f>IF($A24="","",AL24*AK24)</f>
        <v/>
      </c>
    </row>
    <row r="45" hidden="1">
      <c r="F45" s="73">
        <f>IF($A25="","",F25*E25)</f>
        <v/>
      </c>
      <c r="H45" s="73">
        <f>IF($A25="","",H25*G25)</f>
        <v/>
      </c>
      <c r="I45" s="73" t="n"/>
      <c r="J45" s="73">
        <f>IF($A25="","",J25*I25)</f>
        <v/>
      </c>
      <c r="K45" s="73" t="n"/>
      <c r="L45" s="73">
        <f>IF($A25="","",L25*K25)</f>
        <v/>
      </c>
      <c r="M45" s="73" t="n"/>
      <c r="N45" s="73">
        <f>IF($A25="","",N25*M25)</f>
        <v/>
      </c>
      <c r="O45" s="73" t="n"/>
      <c r="P45" s="73">
        <f>IF($A25="","",P25*O25)</f>
        <v/>
      </c>
      <c r="Q45" s="73" t="n"/>
      <c r="R45" s="73">
        <f>IF($A25="","",R25*Q25)</f>
        <v/>
      </c>
      <c r="S45" s="73" t="n"/>
      <c r="T45" s="73">
        <f>IF($A25="","",T25*S25)</f>
        <v/>
      </c>
      <c r="U45" s="73" t="n"/>
      <c r="V45" s="73">
        <f>IF($A25="","",V25*U25)</f>
        <v/>
      </c>
      <c r="W45" s="73" t="n"/>
      <c r="X45" s="73">
        <f>IF($A25="","",X25*W25)</f>
        <v/>
      </c>
      <c r="Y45" s="73" t="n"/>
      <c r="Z45" s="73">
        <f>IF($A25="","",Z25*Y25)</f>
        <v/>
      </c>
      <c r="AA45" s="73" t="n"/>
      <c r="AB45" s="73">
        <f>IF($A25="","",AB25*AA25)</f>
        <v/>
      </c>
      <c r="AC45" s="73" t="n"/>
      <c r="AD45" s="73">
        <f>IF($A25="","",AD25*AC25)</f>
        <v/>
      </c>
      <c r="AE45" s="73" t="n"/>
      <c r="AF45" s="73">
        <f>IF($A25="","",AF25*AE25)</f>
        <v/>
      </c>
      <c r="AG45" s="73" t="n"/>
      <c r="AH45" s="73">
        <f>IF($A25="","",AH25*AG25)</f>
        <v/>
      </c>
      <c r="AI45" s="73" t="n"/>
      <c r="AJ45" s="73">
        <f>IF($A25="","",AJ25*AI25)</f>
        <v/>
      </c>
      <c r="AK45" s="73" t="n"/>
      <c r="AL45" s="73">
        <f>IF($A25="","",AL25*AK25)</f>
        <v/>
      </c>
    </row>
    <row r="46" hidden="1">
      <c r="F46" s="73">
        <f>IF($A26="","",F26*E26)</f>
        <v/>
      </c>
      <c r="H46" s="73">
        <f>IF($A26="","",H26*G26)</f>
        <v/>
      </c>
      <c r="I46" s="73" t="n"/>
      <c r="J46" s="73">
        <f>IF($A26="","",J26*I26)</f>
        <v/>
      </c>
      <c r="K46" s="73" t="n"/>
      <c r="L46" s="73">
        <f>IF($A26="","",L26*K26)</f>
        <v/>
      </c>
      <c r="M46" s="73" t="n"/>
      <c r="N46" s="73">
        <f>IF($A26="","",N26*M26)</f>
        <v/>
      </c>
      <c r="O46" s="73" t="n"/>
      <c r="P46" s="73">
        <f>IF($A26="","",P26*O26)</f>
        <v/>
      </c>
      <c r="Q46" s="73" t="n"/>
      <c r="R46" s="73">
        <f>IF($A26="","",R26*Q26)</f>
        <v/>
      </c>
      <c r="S46" s="73" t="n"/>
      <c r="T46" s="73">
        <f>IF($A26="","",T26*S26)</f>
        <v/>
      </c>
      <c r="U46" s="73" t="n"/>
      <c r="V46" s="73">
        <f>IF($A26="","",V26*U26)</f>
        <v/>
      </c>
      <c r="W46" s="73" t="n"/>
      <c r="X46" s="73">
        <f>IF($A26="","",X26*W26)</f>
        <v/>
      </c>
      <c r="Y46" s="73" t="n"/>
      <c r="Z46" s="73">
        <f>IF($A26="","",Z26*Y26)</f>
        <v/>
      </c>
      <c r="AA46" s="73" t="n"/>
      <c r="AB46" s="73">
        <f>IF($A26="","",AB26*AA26)</f>
        <v/>
      </c>
      <c r="AC46" s="73" t="n"/>
      <c r="AD46" s="73">
        <f>IF($A26="","",AD26*AC26)</f>
        <v/>
      </c>
      <c r="AE46" s="73" t="n"/>
      <c r="AF46" s="73">
        <f>IF($A26="","",AF26*AE26)</f>
        <v/>
      </c>
      <c r="AG46" s="73" t="n"/>
      <c r="AH46" s="73">
        <f>IF($A26="","",AH26*AG26)</f>
        <v/>
      </c>
      <c r="AI46" s="73" t="n"/>
      <c r="AJ46" s="73">
        <f>IF($A26="","",AJ26*AI26)</f>
        <v/>
      </c>
      <c r="AK46" s="73" t="n"/>
      <c r="AL46" s="73">
        <f>IF($A26="","",AL26*AK26)</f>
        <v/>
      </c>
    </row>
    <row r="47" hidden="1">
      <c r="F47" s="73">
        <f>IF($A27="","",F27*E27)</f>
        <v/>
      </c>
      <c r="H47" s="73">
        <f>IF($A27="","",H27*G27)</f>
        <v/>
      </c>
      <c r="I47" s="73" t="n"/>
      <c r="J47" s="73">
        <f>IF($A27="","",J27*I27)</f>
        <v/>
      </c>
      <c r="K47" s="73" t="n"/>
      <c r="L47" s="73">
        <f>IF($A27="","",L27*K27)</f>
        <v/>
      </c>
      <c r="M47" s="73" t="n"/>
      <c r="N47" s="73">
        <f>IF($A27="","",N27*M27)</f>
        <v/>
      </c>
      <c r="O47" s="73" t="n"/>
      <c r="P47" s="73">
        <f>IF($A27="","",P27*O27)</f>
        <v/>
      </c>
      <c r="Q47" s="73" t="n"/>
      <c r="R47" s="73">
        <f>IF($A27="","",R27*Q27)</f>
        <v/>
      </c>
      <c r="S47" s="73" t="n"/>
      <c r="T47" s="73">
        <f>IF($A27="","",T27*S27)</f>
        <v/>
      </c>
      <c r="U47" s="73" t="n"/>
      <c r="V47" s="73">
        <f>IF($A27="","",V27*U27)</f>
        <v/>
      </c>
      <c r="W47" s="73" t="n"/>
      <c r="X47" s="73">
        <f>IF($A27="","",X27*W27)</f>
        <v/>
      </c>
      <c r="Y47" s="73" t="n"/>
      <c r="Z47" s="73">
        <f>IF($A27="","",Z27*Y27)</f>
        <v/>
      </c>
      <c r="AA47" s="73" t="n"/>
      <c r="AB47" s="73">
        <f>IF($A27="","",AB27*AA27)</f>
        <v/>
      </c>
      <c r="AC47" s="73" t="n"/>
      <c r="AD47" s="73">
        <f>IF($A27="","",AD27*AC27)</f>
        <v/>
      </c>
      <c r="AE47" s="73" t="n"/>
      <c r="AF47" s="73">
        <f>IF($A27="","",AF27*AE27)</f>
        <v/>
      </c>
      <c r="AG47" s="73" t="n"/>
      <c r="AH47" s="73">
        <f>IF($A27="","",AH27*AG27)</f>
        <v/>
      </c>
      <c r="AI47" s="73" t="n"/>
      <c r="AJ47" s="73">
        <f>IF($A27="","",AJ27*AI27)</f>
        <v/>
      </c>
      <c r="AK47" s="73" t="n"/>
      <c r="AL47" s="73">
        <f>IF($A27="","",AL27*AK27)</f>
        <v/>
      </c>
    </row>
    <row r="48" hidden="1">
      <c r="F48" s="73">
        <f>IF($A28="","",F28*E28)</f>
        <v/>
      </c>
      <c r="H48" s="73">
        <f>IF($A28="","",H28*G28)</f>
        <v/>
      </c>
      <c r="I48" s="73" t="n"/>
      <c r="J48" s="73">
        <f>IF($A28="","",J28*I28)</f>
        <v/>
      </c>
      <c r="K48" s="73" t="n"/>
      <c r="L48" s="73">
        <f>IF($A28="","",L28*K28)</f>
        <v/>
      </c>
      <c r="M48" s="73" t="n"/>
      <c r="N48" s="73">
        <f>IF($A28="","",N28*M28)</f>
        <v/>
      </c>
      <c r="O48" s="73" t="n"/>
      <c r="P48" s="73">
        <f>IF($A28="","",P28*O28)</f>
        <v/>
      </c>
      <c r="Q48" s="73" t="n"/>
      <c r="R48" s="73">
        <f>IF($A28="","",R28*Q28)</f>
        <v/>
      </c>
      <c r="S48" s="73" t="n"/>
      <c r="T48" s="73">
        <f>IF($A28="","",T28*S28)</f>
        <v/>
      </c>
      <c r="U48" s="73" t="n"/>
      <c r="V48" s="73">
        <f>IF($A28="","",V28*U28)</f>
        <v/>
      </c>
      <c r="W48" s="73" t="n"/>
      <c r="X48" s="73">
        <f>IF($A28="","",X28*W28)</f>
        <v/>
      </c>
      <c r="Y48" s="73" t="n"/>
      <c r="Z48" s="73">
        <f>IF($A28="","",Z28*Y28)</f>
        <v/>
      </c>
      <c r="AA48" s="73" t="n"/>
      <c r="AB48" s="73">
        <f>IF($A28="","",AB28*AA28)</f>
        <v/>
      </c>
      <c r="AC48" s="73" t="n"/>
      <c r="AD48" s="73">
        <f>IF($A28="","",AD28*AC28)</f>
        <v/>
      </c>
      <c r="AE48" s="73" t="n"/>
      <c r="AF48" s="73">
        <f>IF($A28="","",AF28*AE28)</f>
        <v/>
      </c>
      <c r="AG48" s="73" t="n"/>
      <c r="AH48" s="73">
        <f>IF($A28="","",AH28*AG28)</f>
        <v/>
      </c>
      <c r="AI48" s="73" t="n"/>
      <c r="AJ48" s="73">
        <f>IF($A28="","",AJ28*AI28)</f>
        <v/>
      </c>
      <c r="AK48" s="73" t="n"/>
      <c r="AL48" s="73">
        <f>IF($A28="","",AL28*AK28)</f>
        <v/>
      </c>
    </row>
    <row r="49" hidden="1">
      <c r="F49" s="74">
        <f>SUMIF(F31:F48,"&gt;0")</f>
        <v/>
      </c>
      <c r="H49" s="74">
        <f>SUMIF(H31:H48,"&gt;0")</f>
        <v/>
      </c>
      <c r="J49" s="74">
        <f>SUMIF(J31:J48,"&gt;0")</f>
        <v/>
      </c>
      <c r="K49" s="74" t="n"/>
      <c r="L49" s="74">
        <f>SUMIF(L31:L48,"&gt;0")</f>
        <v/>
      </c>
      <c r="N49" s="74">
        <f>SUMIF(N31:N48,"&gt;0")</f>
        <v/>
      </c>
      <c r="P49" s="74">
        <f>SUMIF(P31:P48,"&gt;0")</f>
        <v/>
      </c>
      <c r="Q49" s="74" t="n"/>
      <c r="R49" s="74">
        <f>SUMIF(R31:R48,"&gt;0")</f>
        <v/>
      </c>
      <c r="S49" s="74" t="n"/>
      <c r="T49" s="74">
        <f>SUMIF(T31:T48,"&gt;0")</f>
        <v/>
      </c>
      <c r="U49" s="74" t="n"/>
      <c r="V49" s="74">
        <f>SUMIF(V31:V48,"&gt;0")</f>
        <v/>
      </c>
      <c r="X49" s="74">
        <f>SUMIF(X31:X48,"&gt;0")</f>
        <v/>
      </c>
      <c r="Y49" s="74" t="n"/>
      <c r="Z49" s="74">
        <f>SUMIF(Z31:Z48,"&gt;0")</f>
        <v/>
      </c>
      <c r="AA49" s="74" t="n"/>
      <c r="AB49" s="74">
        <f>SUMIF(AB31:AB48,"&gt;0")</f>
        <v/>
      </c>
      <c r="AC49" s="74" t="n"/>
      <c r="AD49" s="74">
        <f>SUMIF(AD31:AD48,"&gt;0")</f>
        <v/>
      </c>
      <c r="AF49" s="74">
        <f>SUMIF(AF31:AF48,"&gt;0")</f>
        <v/>
      </c>
      <c r="AG49" s="74" t="n"/>
      <c r="AH49" s="74">
        <f>SUMIF(AH31:AH48,"&gt;0")</f>
        <v/>
      </c>
      <c r="AI49" s="74" t="n"/>
      <c r="AJ49" s="74">
        <f>SUMIF(AJ31:AJ48,"&gt;0")</f>
        <v/>
      </c>
      <c r="AK49" s="74" t="n"/>
      <c r="AL49" s="74">
        <f>SUMIF(AL31:AL48,"&gt;0")</f>
        <v/>
      </c>
    </row>
    <row r="52">
      <c r="A52" s="75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</row>
    <row r="53">
      <c r="A53" s="77" t="inlineStr">
        <is>
          <t>#</t>
        </is>
      </c>
      <c r="B53" s="77" t="inlineStr">
        <is>
          <t>โปรไฟล์</t>
        </is>
      </c>
      <c r="C53" s="77" t="inlineStr">
        <is>
          <t>รหัส</t>
        </is>
      </c>
      <c r="D53" s="77" t="inlineStr">
        <is>
          <t>สูตรตัด (เดิม)</t>
        </is>
      </c>
      <c r="E53" s="77" t="inlineStr">
        <is>
          <t>หัก1</t>
        </is>
      </c>
      <c r="F53" s="77" t="inlineStr">
        <is>
          <t>หัก2</t>
        </is>
      </c>
      <c r="G53" s="77" t="inlineStr">
        <is>
          <t>หัก3</t>
        </is>
      </c>
      <c r="H53" s="77" t="inlineStr">
        <is>
          <t>หัก4</t>
        </is>
      </c>
      <c r="I53" s="77" t="inlineStr">
        <is>
          <t>หัก5</t>
        </is>
      </c>
      <c r="J53" s="77" t="inlineStr">
        <is>
          <t>หัก6</t>
        </is>
      </c>
      <c r="K53" s="77" t="inlineStr">
        <is>
          <t>หัก7</t>
        </is>
      </c>
      <c r="L53" s="77" t="inlineStr">
        <is>
          <t>จำนวน/ชุด</t>
        </is>
      </c>
      <c r="M53" s="122" t="n"/>
    </row>
    <row r="54" ht="44" customHeight="1">
      <c r="A54" s="78" t="n">
        <v>1</v>
      </c>
      <c r="B54" s="79" t="inlineStr">
        <is>
          <t>เฟรมข้าง</t>
        </is>
      </c>
      <c r="C54" s="80" t="inlineStr">
        <is>
          <t>F7979</t>
        </is>
      </c>
      <c r="D54" s="81" t="inlineStr">
        <is>
          <t>สูง</t>
        </is>
      </c>
      <c r="E54" s="82" t="n"/>
      <c r="F54" s="82" t="n"/>
      <c r="G54" s="82" t="n"/>
      <c r="H54" s="82" t="n"/>
      <c r="I54" s="82" t="n"/>
      <c r="J54" s="82" t="n"/>
      <c r="K54" s="82" t="n"/>
      <c r="L54" s="83" t="n">
        <v>2</v>
      </c>
      <c r="M54" s="82" t="n"/>
    </row>
    <row r="55" ht="44" customHeight="1">
      <c r="A55" s="78" t="n">
        <v>2</v>
      </c>
      <c r="B55" s="79" t="inlineStr">
        <is>
          <t>เฟรมข้าง</t>
        </is>
      </c>
      <c r="C55" s="80" t="inlineStr">
        <is>
          <t>F7978</t>
        </is>
      </c>
      <c r="D55" s="81" t="inlineStr">
        <is>
          <t>สูง</t>
        </is>
      </c>
      <c r="E55" s="82" t="n"/>
      <c r="F55" s="82" t="n"/>
      <c r="G55" s="82" t="n"/>
      <c r="H55" s="82" t="n"/>
      <c r="I55" s="82" t="n"/>
      <c r="J55" s="82" t="n"/>
      <c r="K55" s="82" t="n"/>
      <c r="L55" s="83" t="n">
        <v>2</v>
      </c>
      <c r="M55" s="82" t="n"/>
    </row>
    <row r="56" ht="44" customHeight="1">
      <c r="A56" s="78" t="n">
        <v>3</v>
      </c>
      <c r="B56" s="79" t="inlineStr">
        <is>
          <t>ต่อเฟรมข้าง</t>
        </is>
      </c>
      <c r="C56" s="80" t="inlineStr">
        <is>
          <t>F7989</t>
        </is>
      </c>
      <c r="D56" s="81" t="inlineStr">
        <is>
          <t>สูง</t>
        </is>
      </c>
      <c r="E56" s="82" t="n"/>
      <c r="F56" s="82" t="n"/>
      <c r="G56" s="82" t="n"/>
      <c r="H56" s="82" t="n"/>
      <c r="I56" s="82" t="n"/>
      <c r="J56" s="82" t="n"/>
      <c r="K56" s="82" t="n"/>
      <c r="L56" s="83" t="n">
        <v>2</v>
      </c>
      <c r="M56" s="82" t="n"/>
    </row>
    <row r="57" ht="44" customHeight="1">
      <c r="A57" s="78" t="n">
        <v>4</v>
      </c>
      <c r="B57" s="79" t="inlineStr">
        <is>
          <t>เฟรม บน-ล่าง</t>
        </is>
      </c>
      <c r="C57" s="80" t="inlineStr">
        <is>
          <t>F7976</t>
        </is>
      </c>
      <c r="D57" s="81" t="inlineStr">
        <is>
          <t>กว้าง-21-21</t>
        </is>
      </c>
      <c r="E57" s="83" t="n">
        <v>21</v>
      </c>
      <c r="F57" s="83" t="n">
        <v>21</v>
      </c>
      <c r="G57" s="82" t="n"/>
      <c r="H57" s="82" t="n"/>
      <c r="I57" s="82" t="n"/>
      <c r="J57" s="82" t="n"/>
      <c r="K57" s="82" t="n"/>
      <c r="L57" s="83" t="n">
        <v>1</v>
      </c>
      <c r="M57" s="82" t="n"/>
    </row>
    <row r="58" ht="44" customHeight="1">
      <c r="A58" s="78" t="n">
        <v>5</v>
      </c>
      <c r="B58" s="79" t="inlineStr">
        <is>
          <t>ต่อราง</t>
        </is>
      </c>
      <c r="C58" s="80" t="inlineStr">
        <is>
          <t>F7990</t>
        </is>
      </c>
      <c r="D58" s="81" t="inlineStr">
        <is>
          <t>กว้าง-21-21</t>
        </is>
      </c>
      <c r="E58" s="83" t="n">
        <v>21</v>
      </c>
      <c r="F58" s="83" t="n">
        <v>21</v>
      </c>
      <c r="G58" s="82" t="n"/>
      <c r="H58" s="82" t="n"/>
      <c r="I58" s="82" t="n"/>
      <c r="J58" s="82" t="n"/>
      <c r="K58" s="82" t="n"/>
      <c r="L58" s="83" t="n">
        <v>2</v>
      </c>
      <c r="M58" s="82" t="n"/>
    </row>
    <row r="59" ht="15" customHeight="1">
      <c r="A59" s="78" t="n">
        <v>6</v>
      </c>
      <c r="B59" s="79" t="inlineStr">
        <is>
          <t>เฟรม ล่าง</t>
        </is>
      </c>
      <c r="C59" s="80" t="inlineStr">
        <is>
          <t>B27018</t>
        </is>
      </c>
      <c r="D59" s="81" t="inlineStr">
        <is>
          <t>กว้าง-21-21</t>
        </is>
      </c>
      <c r="E59" s="83" t="n">
        <v>21</v>
      </c>
      <c r="F59" s="83" t="n">
        <v>21</v>
      </c>
      <c r="G59" s="82" t="n"/>
      <c r="H59" s="82" t="n"/>
      <c r="I59" s="82" t="n"/>
      <c r="J59" s="82" t="n"/>
      <c r="K59" s="82" t="n"/>
      <c r="L59" s="83" t="n">
        <v>5</v>
      </c>
      <c r="M59" s="82" t="n"/>
    </row>
    <row r="60" ht="44" customHeight="1">
      <c r="A60" s="78" t="n">
        <v>7</v>
      </c>
      <c r="B60" s="79" t="inlineStr">
        <is>
          <t>ตบกันสาด</t>
        </is>
      </c>
      <c r="C60" s="80" t="inlineStr">
        <is>
          <t>F7992</t>
        </is>
      </c>
      <c r="D60" s="81" t="inlineStr">
        <is>
          <t>กว้าง</t>
        </is>
      </c>
      <c r="E60" s="82" t="n"/>
      <c r="F60" s="82" t="n"/>
      <c r="G60" s="82" t="n"/>
      <c r="H60" s="82" t="n"/>
      <c r="I60" s="82" t="n"/>
      <c r="J60" s="82" t="n"/>
      <c r="K60" s="82" t="n"/>
      <c r="L60" s="83" t="n">
        <v>1</v>
      </c>
      <c r="M60" s="82" t="n"/>
    </row>
    <row r="61" ht="44" customHeight="1">
      <c r="A61" s="78" t="n">
        <v>8</v>
      </c>
      <c r="B61" s="79" t="inlineStr">
        <is>
          <t>เสา</t>
        </is>
      </c>
      <c r="C61" s="80" t="inlineStr">
        <is>
          <t>F7980</t>
        </is>
      </c>
      <c r="D61" s="81" t="inlineStr">
        <is>
          <t>สูง-5-13-21</t>
        </is>
      </c>
      <c r="E61" s="83" t="n">
        <v>5</v>
      </c>
      <c r="F61" s="83" t="n">
        <v>13</v>
      </c>
      <c r="G61" s="83" t="n">
        <v>21</v>
      </c>
      <c r="H61" s="82" t="n"/>
      <c r="I61" s="82" t="n"/>
      <c r="J61" s="82" t="n"/>
      <c r="K61" s="82" t="n"/>
      <c r="L61" s="83" t="n">
        <v>10</v>
      </c>
      <c r="M61" s="82" t="n"/>
    </row>
    <row r="62" ht="15" customHeight="1">
      <c r="A62" s="78" t="n">
        <v>9</v>
      </c>
      <c r="B62" s="79" t="inlineStr">
        <is>
          <t>ขวาง</t>
        </is>
      </c>
      <c r="C62" s="80" t="inlineStr">
        <is>
          <t>-</t>
        </is>
      </c>
      <c r="D62" s="81" t="inlineStr">
        <is>
          <t>((กว้าง-21-3-3-4.8-21)/5)+(78x4/5)</t>
        </is>
      </c>
      <c r="E62" s="83" t="n">
        <v>21</v>
      </c>
      <c r="F62" s="83" t="n">
        <v>3</v>
      </c>
      <c r="G62" s="83" t="n">
        <v>3</v>
      </c>
      <c r="H62" s="83" t="n">
        <v>4.8</v>
      </c>
      <c r="I62" s="83" t="n">
        <v>21</v>
      </c>
      <c r="J62" s="82" t="n"/>
      <c r="K62" s="82" t="n"/>
      <c r="L62" s="83" t="n">
        <v>10</v>
      </c>
      <c r="M62" s="82" t="n"/>
    </row>
    <row r="63" ht="44" customHeight="1">
      <c r="A63" s="78" t="n">
        <v>10</v>
      </c>
      <c r="B63" s="79" t="inlineStr">
        <is>
          <t>คิ้ว ตั้ง</t>
        </is>
      </c>
      <c r="C63" s="80" t="inlineStr">
        <is>
          <t>F7919</t>
        </is>
      </c>
      <c r="D63" s="81" t="inlineStr">
        <is>
          <t>เสา-78-78</t>
        </is>
      </c>
      <c r="E63" s="83" t="n">
        <v>78</v>
      </c>
      <c r="F63" s="83" t="n">
        <v>78</v>
      </c>
      <c r="G63" s="82" t="n"/>
      <c r="H63" s="82" t="n"/>
      <c r="I63" s="82" t="n"/>
      <c r="J63" s="82" t="n"/>
      <c r="K63" s="82" t="n"/>
      <c r="L63" s="83" t="n">
        <v>10</v>
      </c>
      <c r="M63" s="82" t="n"/>
    </row>
    <row r="64" ht="15" customHeight="1">
      <c r="A64" s="78" t="n">
        <v>11</v>
      </c>
      <c r="B64" s="79" t="inlineStr">
        <is>
          <t>คิ้ว ขวาง</t>
        </is>
      </c>
      <c r="C64" s="80" t="inlineStr">
        <is>
          <t>-</t>
        </is>
      </c>
      <c r="D64" s="81" t="inlineStr">
        <is>
          <t>ขวาง-63-63</t>
        </is>
      </c>
      <c r="E64" s="83" t="n">
        <v>63</v>
      </c>
      <c r="F64" s="83" t="n">
        <v>63</v>
      </c>
      <c r="G64" s="82" t="n"/>
      <c r="H64" s="82" t="n"/>
      <c r="I64" s="82" t="n"/>
      <c r="J64" s="82" t="n"/>
      <c r="K64" s="82" t="n"/>
      <c r="L64" s="83" t="n">
        <v>10</v>
      </c>
      <c r="M64" s="82" t="n"/>
    </row>
    <row r="65" ht="44" customHeight="1">
      <c r="A65" s="78" t="n">
        <v>12</v>
      </c>
      <c r="B65" s="79" t="inlineStr">
        <is>
          <t>ตบเกี่ยว</t>
        </is>
      </c>
      <c r="C65" s="80" t="inlineStr">
        <is>
          <t>F7983</t>
        </is>
      </c>
      <c r="D65" s="81" t="inlineStr">
        <is>
          <t>สูงกรอบบาน</t>
        </is>
      </c>
      <c r="E65" s="82" t="n"/>
      <c r="F65" s="82" t="n"/>
      <c r="G65" s="82" t="n"/>
      <c r="H65" s="82" t="n"/>
      <c r="I65" s="82" t="n"/>
      <c r="J65" s="82" t="n"/>
      <c r="K65" s="82" t="n"/>
      <c r="L65" s="83" t="n">
        <v>8</v>
      </c>
      <c r="M65" s="82" t="n"/>
    </row>
    <row r="66" ht="44" customHeight="1">
      <c r="A66" s="78" t="n">
        <v>13</v>
      </c>
      <c r="B66" s="79" t="inlineStr">
        <is>
          <t>ยูข้าง</t>
        </is>
      </c>
      <c r="C66" s="80" t="inlineStr">
        <is>
          <t>F7986</t>
        </is>
      </c>
      <c r="D66" s="81" t="inlineStr">
        <is>
          <t>สูง-45</t>
        </is>
      </c>
      <c r="E66" s="83" t="n">
        <v>45</v>
      </c>
      <c r="F66" s="82" t="n"/>
      <c r="G66" s="82" t="n"/>
      <c r="H66" s="82" t="n"/>
      <c r="I66" s="82" t="n"/>
      <c r="J66" s="82" t="n"/>
      <c r="K66" s="82" t="n"/>
      <c r="L66" s="83" t="n">
        <v>2</v>
      </c>
      <c r="M66" s="82" t="n"/>
    </row>
    <row r="67" ht="44" customHeight="1">
      <c r="A67" s="78" t="n">
        <v>14</v>
      </c>
      <c r="B67" s="79" t="inlineStr">
        <is>
          <t>ตบเฟรมบน</t>
        </is>
      </c>
      <c r="C67" s="80" t="inlineStr">
        <is>
          <t>F7993</t>
        </is>
      </c>
      <c r="D67" s="81" t="inlineStr">
        <is>
          <t>เท่าเฟรมบน</t>
        </is>
      </c>
      <c r="E67" s="83" t="n">
        <v>21</v>
      </c>
      <c r="F67" s="83" t="n">
        <v>21</v>
      </c>
      <c r="G67" s="82" t="n"/>
      <c r="H67" s="82" t="n"/>
      <c r="I67" s="82" t="n"/>
      <c r="J67" s="82" t="n"/>
      <c r="K67" s="82" t="n"/>
      <c r="L67" s="83" t="n">
        <v>5</v>
      </c>
      <c r="M67" s="82" t="n"/>
    </row>
    <row r="68" ht="44" customHeight="1">
      <c r="A68" s="78" t="n">
        <v>15</v>
      </c>
      <c r="B68" s="79" t="inlineStr">
        <is>
          <t>ตบยูข้าง</t>
        </is>
      </c>
      <c r="C68" s="80" t="inlineStr">
        <is>
          <t>F7988</t>
        </is>
      </c>
      <c r="D68" s="81" t="inlineStr">
        <is>
          <t>สูง-45</t>
        </is>
      </c>
      <c r="E68" s="83" t="n">
        <v>45</v>
      </c>
      <c r="F68" s="82" t="n"/>
      <c r="G68" s="82" t="n"/>
      <c r="H68" s="82" t="n"/>
      <c r="I68" s="82" t="n"/>
      <c r="J68" s="82" t="n"/>
      <c r="K68" s="82" t="n"/>
      <c r="L68" s="83" t="n">
        <v>2</v>
      </c>
      <c r="M68" s="82" t="n"/>
    </row>
    <row r="69" ht="15" customHeight="1">
      <c r="A69" s="78" t="n"/>
      <c r="B69" s="79" t="n"/>
      <c r="C69" s="80" t="n"/>
      <c r="D69" s="81" t="n"/>
      <c r="E69" s="83" t="n"/>
      <c r="F69" s="83" t="n"/>
      <c r="G69" s="82" t="n"/>
      <c r="H69" s="82" t="n"/>
      <c r="I69" s="82" t="n"/>
      <c r="J69" s="82" t="n"/>
      <c r="K69" s="82" t="n"/>
      <c r="L69" s="83" t="n">
        <v>8</v>
      </c>
    </row>
    <row r="70" ht="44" customHeight="1">
      <c r="A70" s="148" t="inlineStr">
        <is>
          <t>⑤ อุปกรณ์ + ตั้งค่ามือจับ (2 ชุด · บานเลื่อน 5)</t>
        </is>
      </c>
      <c r="B70" s="79" t="n"/>
      <c r="C70" s="80" t="n"/>
      <c r="D70" s="81" t="n"/>
      <c r="E70" s="83" t="n"/>
      <c r="F70" s="83" t="n"/>
      <c r="G70" s="82" t="n"/>
      <c r="H70" s="82" t="n"/>
      <c r="I70" s="82" t="n"/>
      <c r="J70" s="82" t="n"/>
      <c r="K70" s="82" t="n"/>
      <c r="L70" s="83" t="n">
        <v>5</v>
      </c>
      <c r="M70" s="82" t="n"/>
    </row>
    <row r="71">
      <c r="A71" s="149" t="inlineStr">
        <is>
          <t>ประเภทบาน →</t>
        </is>
      </c>
      <c r="B71" s="150" t="inlineStr">
        <is>
          <t>ประตู</t>
        </is>
      </c>
    </row>
    <row r="72">
      <c r="A72" s="151" t="inlineStr">
        <is>
          <t>ยี่ห้อมือจับ →</t>
        </is>
      </c>
      <c r="B72" s="150" t="inlineStr">
        <is>
          <t>เมโทร</t>
        </is>
      </c>
      <c r="F72" s="124" t="n"/>
    </row>
    <row r="73">
      <c r="A73" s="152" t="inlineStr">
        <is>
          <t>สีมือจับ →</t>
        </is>
      </c>
      <c r="B73" s="150" t="inlineStr">
        <is>
          <t>อบขาว</t>
        </is>
      </c>
      <c r="F73" s="126" t="n"/>
    </row>
    <row r="74">
      <c r="A74" s="152" t="inlineStr">
        <is>
          <t>มือจับ ชุด1 →</t>
        </is>
      </c>
      <c r="B74" s="150" t="inlineStr">
        <is>
          <t>กุญแจ+ล็อค</t>
        </is>
      </c>
      <c r="F74" s="126" t="n"/>
    </row>
    <row r="75">
      <c r="A75" s="152" t="inlineStr">
        <is>
          <t>มือจับ ชุด2 →</t>
        </is>
      </c>
      <c r="B75" s="150" t="inlineStr">
        <is>
          <t>ล็อค+ดัมมี่</t>
        </is>
      </c>
      <c r="F75" s="126" t="n"/>
    </row>
    <row r="76">
      <c r="A76" s="153" t="inlineStr">
        <is>
          <t>⑤.1 สรุปอุปกรณ์ (จำนวนลิงก์อัตโนมัติ)</t>
        </is>
      </c>
      <c r="F76" s="126" t="n"/>
    </row>
    <row r="77">
      <c r="A77" s="153" t="inlineStr">
        <is>
          <t>#</t>
        </is>
      </c>
      <c r="B77" s="154" t="inlineStr">
        <is>
          <t>อุปกรณ์</t>
        </is>
      </c>
      <c r="C77" s="154" t="inlineStr">
        <is>
          <t>รหัส SKU</t>
        </is>
      </c>
      <c r="D77" s="154" t="inlineStr">
        <is>
          <t>จำนวน</t>
        </is>
      </c>
      <c r="E77" s="154" t="inlineStr">
        <is>
          <t>หน่วย</t>
        </is>
      </c>
      <c r="F77" s="154" t="inlineStr">
        <is>
          <t>หมายเหตุ</t>
        </is>
      </c>
    </row>
    <row r="78">
      <c r="A78" s="149" t="n">
        <v>1</v>
      </c>
      <c r="B78" s="149" t="inlineStr">
        <is>
          <t>ล้อ 20</t>
        </is>
      </c>
      <c r="C78" s="150">
        <f>AK8</f>
        <v/>
      </c>
      <c r="D78" s="155">
        <f>AK30</f>
        <v/>
      </c>
      <c r="E78" s="149" t="inlineStr">
        <is>
          <t>ตัว</t>
        </is>
      </c>
      <c r="F78" s="149" t="inlineStr"/>
    </row>
    <row r="79">
      <c r="A79" s="149" t="n">
        <v>2</v>
      </c>
      <c r="B79" s="149" t="inlineStr">
        <is>
          <t>มือจับ กุญแจ</t>
        </is>
      </c>
      <c r="C79" s="150">
        <f>AL8</f>
        <v/>
      </c>
      <c r="D79" s="155">
        <f>AL30</f>
        <v/>
      </c>
      <c r="E79" s="149" t="inlineStr">
        <is>
          <t>ตัว</t>
        </is>
      </c>
      <c r="F79" s="149" t="inlineStr"/>
    </row>
    <row r="80">
      <c r="A80" s="149" t="n">
        <v>3</v>
      </c>
      <c r="B80" s="149" t="inlineStr">
        <is>
          <t>มือจับ ล็อค</t>
        </is>
      </c>
      <c r="C80" s="150">
        <f>AM8</f>
        <v/>
      </c>
      <c r="D80" s="155">
        <f>AM30</f>
        <v/>
      </c>
      <c r="E80" s="149" t="inlineStr">
        <is>
          <t>ตัว</t>
        </is>
      </c>
      <c r="F80" s="149" t="inlineStr"/>
    </row>
    <row r="81">
      <c r="A81" s="149" t="n">
        <v>4</v>
      </c>
      <c r="B81" s="149" t="inlineStr">
        <is>
          <t>มือจับ ดัมมี่</t>
        </is>
      </c>
      <c r="C81" s="150">
        <f>AN8</f>
        <v/>
      </c>
      <c r="D81" s="155">
        <f>AN30</f>
        <v/>
      </c>
      <c r="E81" s="149" t="inlineStr">
        <is>
          <t>ตัว</t>
        </is>
      </c>
      <c r="F81" s="149" t="inlineStr"/>
    </row>
    <row r="82">
      <c r="A82" s="149" t="n">
        <v>5</v>
      </c>
      <c r="B82" s="149" t="inlineStr">
        <is>
          <t>Digital lock</t>
        </is>
      </c>
      <c r="C82" s="150" t="inlineStr">
        <is>
          <t>-</t>
        </is>
      </c>
      <c r="D82" s="155">
        <f>AO30</f>
        <v/>
      </c>
      <c r="E82" s="149" t="inlineStr">
        <is>
          <t>ชุด</t>
        </is>
      </c>
      <c r="F82" s="149" t="inlineStr">
        <is>
          <t>ไม่ตัดสต็อก</t>
        </is>
      </c>
    </row>
    <row r="83">
      <c r="A83" s="149" t="n">
        <v>6</v>
      </c>
      <c r="B83" s="149" t="inlineStr">
        <is>
          <t>แกน A</t>
        </is>
      </c>
      <c r="C83" s="150">
        <f>AP8</f>
        <v/>
      </c>
      <c r="D83" s="155">
        <f>AP30</f>
        <v/>
      </c>
      <c r="E83" s="149" t="inlineStr">
        <is>
          <t>เส้น</t>
        </is>
      </c>
      <c r="F83" s="149" t="inlineStr"/>
    </row>
    <row r="84">
      <c r="A84" s="149" t="n">
        <v>7</v>
      </c>
      <c r="B84" s="149" t="inlineStr">
        <is>
          <t>แกน B</t>
        </is>
      </c>
      <c r="C84" s="150">
        <f>AQ8</f>
        <v/>
      </c>
      <c r="D84" s="155">
        <f>AQ30</f>
        <v/>
      </c>
      <c r="E84" s="149" t="inlineStr">
        <is>
          <t>เส้น</t>
        </is>
      </c>
      <c r="F84" s="149" t="inlineStr"/>
    </row>
    <row r="85">
      <c r="A85" s="149" t="n">
        <v>8</v>
      </c>
      <c r="B85" s="149" t="inlineStr">
        <is>
          <t>ปลายดำ</t>
        </is>
      </c>
      <c r="C85" s="150">
        <f>AR8</f>
        <v/>
      </c>
      <c r="D85" s="155">
        <f>AR30</f>
        <v/>
      </c>
      <c r="E85" s="149" t="inlineStr">
        <is>
          <t>ตัว</t>
        </is>
      </c>
      <c r="F85" s="149" t="inlineStr"/>
    </row>
    <row r="86">
      <c r="A86" s="149" t="n">
        <v>9</v>
      </c>
      <c r="B86" s="149" t="inlineStr">
        <is>
          <t>ตัวที เงิน</t>
        </is>
      </c>
      <c r="C86" s="150">
        <f>AS8</f>
        <v/>
      </c>
      <c r="D86" s="155">
        <f>AS30</f>
        <v/>
      </c>
      <c r="E86" s="149" t="inlineStr">
        <is>
          <t>ตัว</t>
        </is>
      </c>
      <c r="F86" s="149" t="inlineStr"/>
    </row>
    <row r="87">
      <c r="A87" s="149" t="n">
        <v>10</v>
      </c>
      <c r="B87" s="149" t="inlineStr">
        <is>
          <t>ก้ามปู</t>
        </is>
      </c>
      <c r="C87" s="150">
        <f>AT8</f>
        <v/>
      </c>
      <c r="D87" s="155">
        <f>AT30</f>
        <v/>
      </c>
      <c r="E87" s="149" t="inlineStr">
        <is>
          <t>ตัว</t>
        </is>
      </c>
      <c r="F87" s="149" t="inlineStr"/>
    </row>
    <row r="88">
      <c r="A88" s="149" t="n">
        <v>11</v>
      </c>
      <c r="B88" s="149" t="inlineStr">
        <is>
          <t>สปิงก็อท</t>
        </is>
      </c>
      <c r="C88" s="150">
        <f>AU8</f>
        <v/>
      </c>
      <c r="D88" s="155">
        <f>AU30</f>
        <v/>
      </c>
      <c r="E88" s="149" t="inlineStr">
        <is>
          <t>ตัว</t>
        </is>
      </c>
      <c r="F88" s="149" t="inlineStr"/>
    </row>
    <row r="89">
      <c r="A89" s="149" t="n">
        <v>12</v>
      </c>
      <c r="B89" s="149" t="inlineStr">
        <is>
          <t>ฉากประกอบมุม</t>
        </is>
      </c>
      <c r="C89" s="150">
        <f>AV8</f>
        <v/>
      </c>
      <c r="D89" s="155">
        <f>AV30</f>
        <v/>
      </c>
      <c r="E89" s="149" t="inlineStr">
        <is>
          <t>ตัว</t>
        </is>
      </c>
      <c r="F89" s="149" t="inlineStr"/>
    </row>
    <row r="90">
      <c r="A90" s="149" t="n">
        <v>13</v>
      </c>
      <c r="B90" s="149" t="inlineStr">
        <is>
          <t>ยางรูน้ำ</t>
        </is>
      </c>
      <c r="C90" s="150">
        <f>AW8</f>
        <v/>
      </c>
      <c r="D90" s="155">
        <f>AW30</f>
        <v/>
      </c>
      <c r="E90" s="149" t="inlineStr">
        <is>
          <t>ตัว</t>
        </is>
      </c>
      <c r="F90" s="149" t="inlineStr"/>
    </row>
    <row r="91">
      <c r="A91" s="149" t="n">
        <v>14</v>
      </c>
      <c r="B91" s="149" t="inlineStr">
        <is>
          <t>วาวรูน้ำ</t>
        </is>
      </c>
      <c r="C91" s="150">
        <f>AX8</f>
        <v/>
      </c>
      <c r="D91" s="155">
        <f>AX30</f>
        <v/>
      </c>
      <c r="E91" s="149" t="inlineStr">
        <is>
          <t>ตัว</t>
        </is>
      </c>
      <c r="F91" s="149" t="inlineStr"/>
    </row>
    <row r="92">
      <c r="A92" s="149" t="n">
        <v>15</v>
      </c>
      <c r="B92" s="149" t="inlineStr">
        <is>
          <t>สักหลาด 5×3</t>
        </is>
      </c>
      <c r="C92" s="150">
        <f>AY8</f>
        <v/>
      </c>
      <c r="D92" s="155">
        <f>AY30</f>
        <v/>
      </c>
      <c r="E92" s="149" t="inlineStr">
        <is>
          <t>เมตร</t>
        </is>
      </c>
      <c r="F92" s="149" t="inlineStr">
        <is>
          <t>เก็บเป็นเมตร</t>
        </is>
      </c>
    </row>
  </sheetData>
  <mergeCells count="62">
    <mergeCell ref="O7:P7"/>
    <mergeCell ref="Q7:R7"/>
    <mergeCell ref="O6:P6"/>
    <mergeCell ref="E8:F8"/>
    <mergeCell ref="AC8:AD8"/>
    <mergeCell ref="AE8:AF8"/>
    <mergeCell ref="AA7:AB7"/>
    <mergeCell ref="D8:D9"/>
    <mergeCell ref="A7:D7"/>
    <mergeCell ref="Q9:R9"/>
    <mergeCell ref="S7:V7"/>
    <mergeCell ref="S9:T9"/>
    <mergeCell ref="M8:N8"/>
    <mergeCell ref="AC9:AD9"/>
    <mergeCell ref="O8:P8"/>
    <mergeCell ref="AE9:AF9"/>
    <mergeCell ref="W30:Y30"/>
    <mergeCell ref="I6:J6"/>
    <mergeCell ref="U6:V6"/>
    <mergeCell ref="W6:X6"/>
    <mergeCell ref="G7:H7"/>
    <mergeCell ref="AA6:AB6"/>
    <mergeCell ref="I7:J7"/>
    <mergeCell ref="A30:D30"/>
    <mergeCell ref="M7:N7"/>
    <mergeCell ref="A8:A9"/>
    <mergeCell ref="I8:J8"/>
    <mergeCell ref="U8:V8"/>
    <mergeCell ref="W8:X8"/>
    <mergeCell ref="Y8:Z8"/>
    <mergeCell ref="K6:L6"/>
    <mergeCell ref="G9:H9"/>
    <mergeCell ref="AA8:AB8"/>
    <mergeCell ref="I9:J9"/>
    <mergeCell ref="U9:V9"/>
    <mergeCell ref="K9:L9"/>
    <mergeCell ref="M9:N9"/>
    <mergeCell ref="O9:P9"/>
    <mergeCell ref="Y9:Z9"/>
    <mergeCell ref="AA9:AB9"/>
    <mergeCell ref="S30:U30"/>
    <mergeCell ref="E6:F6"/>
    <mergeCell ref="K8:L8"/>
    <mergeCell ref="Q6:R6"/>
    <mergeCell ref="S6:T6"/>
    <mergeCell ref="K7:L7"/>
    <mergeCell ref="E7:F7"/>
    <mergeCell ref="W7:Z7"/>
    <mergeCell ref="AC7:AD7"/>
    <mergeCell ref="AE7:AF7"/>
    <mergeCell ref="G8:H8"/>
    <mergeCell ref="Q8:R8"/>
    <mergeCell ref="S8:T8"/>
    <mergeCell ref="G6:H6"/>
    <mergeCell ref="E9:F9"/>
    <mergeCell ref="A6:D6"/>
    <mergeCell ref="M6:N6"/>
    <mergeCell ref="Y6:Z6"/>
    <mergeCell ref="W9:X9"/>
    <mergeCell ref="B8:C9"/>
    <mergeCell ref="AC6:AD6"/>
    <mergeCell ref="AE6:AF6"/>
  </mergeCells>
  <dataValidations count="5">
    <dataValidation sqref="B71" showDropDown="0" showInputMessage="0" showErrorMessage="0" allowBlank="1" type="list">
      <formula1>"ประตู,หน้าต่าง"</formula1>
    </dataValidation>
    <dataValidation sqref="B72" showDropDown="0" showInputMessage="0" showErrorMessage="0" allowBlank="1" type="list">
      <formula1>"เมโทร,Align"</formula1>
    </dataValidation>
    <dataValidation sqref="B73" showDropDown="0" showInputMessage="0" showErrorMessage="0" allowBlank="1" type="list">
      <formula1>"อบขาว,ดำ"</formula1>
    </dataValidation>
    <dataValidation sqref="B74" showDropDown="0" showInputMessage="0" showErrorMessage="0" allowBlank="1" type="list">
      <formula1>=$BD$1:$BD$4</formula1>
    </dataValidation>
    <dataValidation sqref="B75" showDropDown="0" showInputMessage="0" showErrorMessage="0" allowBlank="1" type="list">
      <formula1>=$BD$1:$BD$4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92"/>
  <sheetViews>
    <sheetView showGridLines="0"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26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6.75" customWidth="1" min="32" max="32"/>
    <col width="12.75" customWidth="1" min="33" max="33"/>
    <col width="12.75" customWidth="1" min="34" max="34"/>
    <col width="8.75" customWidth="1" min="35" max="35"/>
    <col width="8.875" customWidth="1" min="36" max="36"/>
    <col hidden="1" width="13" customWidth="1" min="53" max="53"/>
    <col hidden="1" width="13" customWidth="1" min="54" max="54"/>
    <col hidden="1" width="13" customWidth="1" min="55" max="55"/>
    <col hidden="1" width="13" customWidth="1" min="56" max="56"/>
  </cols>
  <sheetData>
    <row r="1" ht="40.15" customHeight="1">
      <c r="A1" s="1" t="inlineStr">
        <is>
          <t>JR ALUMINIUM &amp; GLASS  —  ใบรายการตัด · FUJI เลื่อนสลับเสา66   (หน่วย: มม.)</t>
        </is>
      </c>
      <c r="B1" s="2" t="n"/>
      <c r="D1" s="3" t="n"/>
      <c r="E1" s="4" t="n"/>
      <c r="F1" s="3" t="n"/>
      <c r="G1" s="5" t="n"/>
      <c r="H1" s="5" t="n"/>
      <c r="I1" s="6" t="n"/>
      <c r="J1" s="5" t="n"/>
      <c r="K1" s="3" t="n"/>
      <c r="L1" s="3" t="n"/>
      <c r="M1" s="6" t="n"/>
      <c r="N1" s="6" t="n"/>
      <c r="O1" s="5" t="n"/>
      <c r="P1" s="5" t="n"/>
      <c r="Q1" s="3" t="n"/>
      <c r="R1" s="7" t="n"/>
      <c r="S1" s="6" t="n"/>
      <c r="T1" s="6" t="n"/>
      <c r="U1" s="5" t="n"/>
      <c r="V1" s="5" t="n"/>
      <c r="W1" s="5" t="n"/>
      <c r="X1" s="5" t="n"/>
      <c r="Y1" s="5" t="n"/>
      <c r="Z1" s="5" t="n"/>
      <c r="AA1" s="3" t="n"/>
      <c r="AB1" s="3" t="n"/>
      <c r="AC1" s="3" t="n"/>
      <c r="AD1" s="3" t="n"/>
      <c r="AE1" s="5" t="n"/>
      <c r="AF1" s="5" t="n"/>
      <c r="AG1" s="5" t="n"/>
      <c r="AH1" s="5" t="n"/>
      <c r="AI1" s="5" t="n"/>
      <c r="AJ1" s="5" t="n"/>
      <c r="AK1" s="5" t="n"/>
      <c r="BA1" t="inlineStr">
        <is>
          <t>เมโทรกุญแจอบขาว</t>
        </is>
      </c>
      <c r="BB1" t="inlineStr">
        <is>
          <t>JR00368</t>
        </is>
      </c>
      <c r="BD1">
        <f>IF($B$71="ประตู","กุญแจ+ล็อค","ล็อค")</f>
        <v/>
      </c>
    </row>
    <row r="2" ht="40.15" customHeight="1">
      <c r="A2" s="6" t="n"/>
      <c r="B2" s="6" t="n"/>
      <c r="C2" s="6" t="n"/>
      <c r="D2" s="6" t="n"/>
      <c r="E2" s="8" t="n"/>
      <c r="F2" s="6" t="n"/>
      <c r="G2" s="9" t="n"/>
      <c r="H2" s="9" t="n"/>
      <c r="I2" s="9" t="n"/>
      <c r="J2" s="9" t="n"/>
      <c r="K2" s="6" t="n"/>
      <c r="L2" s="6" t="n"/>
      <c r="M2" s="6" t="n"/>
      <c r="N2" s="6" t="n"/>
      <c r="O2" s="9" t="n"/>
      <c r="P2" s="9" t="n"/>
      <c r="Q2" s="6" t="n"/>
      <c r="R2" s="6" t="n"/>
      <c r="S2" s="9" t="n"/>
      <c r="T2" s="9" t="n"/>
      <c r="U2" s="9" t="n"/>
      <c r="V2" s="9" t="n"/>
      <c r="W2" s="9" t="n"/>
      <c r="X2" s="9" t="n"/>
      <c r="Y2" s="9" t="n"/>
      <c r="Z2" s="9" t="n"/>
      <c r="AA2" s="6" t="n"/>
      <c r="AB2" s="6" t="n"/>
      <c r="AC2" s="6" t="n"/>
      <c r="AD2" s="6" t="n"/>
      <c r="AE2" s="9" t="n"/>
      <c r="AF2" s="9" t="n"/>
      <c r="AG2" s="9" t="n"/>
      <c r="AH2" s="9" t="n"/>
      <c r="AI2" s="9" t="n"/>
      <c r="AJ2" s="9" t="n"/>
      <c r="AK2" s="9" t="n"/>
      <c r="BA2" t="inlineStr">
        <is>
          <t>เมโทรกุญแจดำ</t>
        </is>
      </c>
      <c r="BB2" t="inlineStr">
        <is>
          <t>JR00371</t>
        </is>
      </c>
      <c r="BD2">
        <f>IF($B$71="ประตู","ล็อค+ดัมมี่","ดัมมี่")</f>
        <v/>
      </c>
    </row>
    <row r="3" ht="40.15" customHeight="1">
      <c r="A3" s="130">
        <f>HYPERLINK("#สารบัญ!A1","← สารบัญ")</f>
        <v/>
      </c>
      <c r="B3" s="84" t="inlineStr">
        <is>
          <t>แบบบาน (รูป)</t>
        </is>
      </c>
      <c r="C3" s="85" t="n"/>
      <c r="D3" s="85" t="n"/>
      <c r="E3" s="100" t="n"/>
      <c r="F3" s="6" t="n"/>
      <c r="G3" s="11" t="n"/>
      <c r="H3" s="11" t="n"/>
      <c r="I3" s="9" t="n"/>
      <c r="J3" s="9" t="n"/>
      <c r="K3" s="6" t="n"/>
      <c r="L3" s="6" t="n"/>
      <c r="M3" s="6" t="n"/>
      <c r="N3" s="6" t="n"/>
      <c r="O3" s="11" t="n"/>
      <c r="P3" s="11" t="n"/>
      <c r="Q3" s="6" t="n"/>
      <c r="R3" s="6" t="n"/>
      <c r="U3" s="11" t="n"/>
      <c r="V3" s="11" t="n"/>
      <c r="W3" s="11" t="n"/>
      <c r="X3" s="11" t="n"/>
      <c r="Y3" s="11" t="n"/>
      <c r="Z3" s="11" t="n"/>
      <c r="AA3" s="6" t="n"/>
      <c r="AB3" s="6" t="n"/>
      <c r="AC3" s="6" t="n"/>
      <c r="AD3" s="6" t="n"/>
      <c r="AE3" s="11" t="n"/>
      <c r="AF3" s="11" t="n"/>
      <c r="AG3" s="11" t="n"/>
      <c r="AH3" s="11" t="n"/>
      <c r="AI3" s="11" t="n"/>
      <c r="AJ3" s="11" t="n"/>
      <c r="AK3" s="11" t="n"/>
      <c r="BA3" t="inlineStr">
        <is>
          <t>เมโทรล็อคอบขาว</t>
        </is>
      </c>
      <c r="BB3" t="inlineStr">
        <is>
          <t>JR00369</t>
        </is>
      </c>
      <c r="BD3">
        <f>IF($B$71="ประตู","ดัมมี่+ดัมมี่","")</f>
        <v/>
      </c>
    </row>
    <row r="4" ht="40.15" customHeight="1">
      <c r="A4" s="6" t="n"/>
      <c r="B4" s="6" t="n"/>
      <c r="C4" s="6" t="n"/>
      <c r="F4" s="6" t="n"/>
      <c r="I4" s="9" t="n"/>
      <c r="J4" s="9" t="n"/>
      <c r="K4" s="6" t="n"/>
      <c r="L4" s="6" t="n"/>
      <c r="M4" s="6" t="n"/>
      <c r="N4" s="6" t="n"/>
      <c r="Q4" s="6" t="n"/>
      <c r="R4" s="6" t="n"/>
      <c r="AA4" s="6" t="n"/>
      <c r="AB4" s="6" t="n"/>
      <c r="AC4" s="6" t="n"/>
      <c r="AD4" s="6" t="n"/>
      <c r="BA4" t="inlineStr">
        <is>
          <t>เมโทรล็อคดำ</t>
        </is>
      </c>
      <c r="BB4" t="inlineStr">
        <is>
          <t>JR00372</t>
        </is>
      </c>
      <c r="BD4">
        <f>IF($B$71="ประตู","Digital lock","")</f>
        <v/>
      </c>
    </row>
    <row r="5" ht="40.15" customHeight="1">
      <c r="A5" s="6" t="n"/>
      <c r="B5" s="6" t="n"/>
      <c r="C5" s="6" t="n"/>
      <c r="D5" s="6" t="n"/>
      <c r="E5" s="8" t="n"/>
      <c r="F5" s="6" t="n"/>
      <c r="K5" s="6" t="n"/>
      <c r="L5" s="6" t="n"/>
      <c r="N5" s="6" t="n"/>
      <c r="Q5" s="6" t="n"/>
      <c r="R5" s="6" t="n"/>
      <c r="AA5" s="6" t="n"/>
      <c r="AB5" s="6" t="n"/>
      <c r="AC5" s="6" t="n"/>
      <c r="AD5" s="6" t="n"/>
      <c r="BA5" t="inlineStr">
        <is>
          <t>เมโทรดัมมี่อบขาว</t>
        </is>
      </c>
      <c r="BB5" t="inlineStr">
        <is>
          <t>JR00370</t>
        </is>
      </c>
    </row>
    <row r="6" ht="60" customHeight="1">
      <c r="A6" s="13" t="inlineStr">
        <is>
          <t>สูตรตัด</t>
        </is>
      </c>
      <c r="B6" s="14" t="n"/>
      <c r="C6" s="14" t="n"/>
      <c r="D6" s="15" t="n"/>
      <c r="E6" s="16" t="inlineStr">
        <is>
          <t>สูง</t>
        </is>
      </c>
      <c r="F6" s="17" t="n"/>
      <c r="G6" s="16" t="inlineStr">
        <is>
          <t>กว้าง-21-21</t>
        </is>
      </c>
      <c r="H6" s="17" t="n"/>
      <c r="I6" s="16" t="inlineStr">
        <is>
          <t>กว้าง</t>
        </is>
      </c>
      <c r="J6" s="17" t="n"/>
      <c r="K6" s="16" t="inlineStr">
        <is>
          <t>สูง-21-19-13-21</t>
        </is>
      </c>
      <c r="L6" s="17" t="n"/>
      <c r="M6" s="16" t="inlineStr">
        <is>
          <t>((กว้าง-21-1-1-21)/2)+(66x2/2)</t>
        </is>
      </c>
      <c r="N6" s="17" t="n"/>
      <c r="O6" s="16" t="inlineStr">
        <is>
          <t>เสา-66-66</t>
        </is>
      </c>
      <c r="P6" s="17" t="n"/>
      <c r="Q6" s="16" t="inlineStr">
        <is>
          <t>ขวาง-51-51</t>
        </is>
      </c>
      <c r="R6" s="17" t="n"/>
      <c r="S6" s="16" t="inlineStr">
        <is>
          <t>สูงกรอบบาน</t>
        </is>
      </c>
      <c r="T6" s="17" t="n"/>
      <c r="U6" s="16" t="inlineStr">
        <is>
          <t>สูง-45-45</t>
        </is>
      </c>
      <c r="V6" s="17" t="n"/>
      <c r="W6" s="16" t="inlineStr">
        <is>
          <t>เท่าเฟรมบน</t>
        </is>
      </c>
      <c r="X6" s="17" t="n"/>
      <c r="Y6" s="16" t="inlineStr">
        <is>
          <t>สูง-45-45</t>
        </is>
      </c>
      <c r="Z6" s="17" t="n"/>
      <c r="AA6" s="16" t="inlineStr">
        <is>
          <t>สูงกรอบบาน</t>
        </is>
      </c>
      <c r="AB6" s="17" t="n"/>
      <c r="AC6" s="16" t="inlineStr">
        <is>
          <t>กว้าง</t>
        </is>
      </c>
      <c r="AD6" s="17" t="n"/>
      <c r="AE6" s="16" t="inlineStr">
        <is>
          <t>เท่าเฟรมล่าง</t>
        </is>
      </c>
      <c r="AF6" s="17" t="n"/>
      <c r="AG6" s="18" t="n"/>
      <c r="AH6" s="18" t="n"/>
      <c r="AI6" s="18" t="n"/>
      <c r="BA6" t="inlineStr">
        <is>
          <t>เมโทรดัมมี่ดำ</t>
        </is>
      </c>
      <c r="BB6" t="inlineStr">
        <is>
          <t>JR00373</t>
        </is>
      </c>
      <c r="BC6">
        <f>(COUNTIF($B$74:$B$75,"กุญแจ+ล็อค")+COUNTIF($B$74:$B$75,"ล็อค+ดัมมี่")+COUNTIF($B$74:$B$75,"ล็อค"))</f>
        <v/>
      </c>
    </row>
    <row r="7" ht="40.15" customHeight="1">
      <c r="A7" s="19" t="inlineStr">
        <is>
          <t>ใส่ข้อมูล</t>
        </is>
      </c>
      <c r="B7" s="20" t="n"/>
      <c r="C7" s="20" t="n"/>
      <c r="D7" s="21" t="n"/>
      <c r="E7" s="22" t="inlineStr">
        <is>
          <t>F7978</t>
        </is>
      </c>
      <c r="F7" s="15" t="n"/>
      <c r="G7" s="22" t="inlineStr">
        <is>
          <t>F7976</t>
        </is>
      </c>
      <c r="H7" s="15" t="n"/>
      <c r="I7" s="22" t="inlineStr">
        <is>
          <t>F7992</t>
        </is>
      </c>
      <c r="J7" s="15" t="n"/>
      <c r="K7" s="22" t="inlineStr">
        <is>
          <t>F7980</t>
        </is>
      </c>
      <c r="L7" s="14" t="n"/>
      <c r="M7" s="14" t="n"/>
      <c r="N7" s="15" t="n"/>
      <c r="O7" s="22" t="inlineStr">
        <is>
          <t>F7919</t>
        </is>
      </c>
      <c r="P7" s="14" t="n"/>
      <c r="Q7" s="14" t="n"/>
      <c r="R7" s="15" t="n"/>
      <c r="S7" s="22" t="inlineStr">
        <is>
          <t>F7982</t>
        </is>
      </c>
      <c r="T7" s="15" t="n"/>
      <c r="U7" s="22" t="inlineStr">
        <is>
          <t>F7986</t>
        </is>
      </c>
      <c r="V7" s="15" t="n"/>
      <c r="W7" s="22" t="inlineStr">
        <is>
          <t>F7993</t>
        </is>
      </c>
      <c r="X7" s="15" t="n"/>
      <c r="Y7" s="22" t="inlineStr">
        <is>
          <t>F7988</t>
        </is>
      </c>
      <c r="Z7" s="14" t="n"/>
      <c r="AA7" s="14" t="n"/>
      <c r="AB7" s="14" t="n"/>
      <c r="AC7" s="14" t="n"/>
      <c r="AD7" s="15" t="n"/>
      <c r="AE7" s="22" t="inlineStr">
        <is>
          <t>F7994</t>
        </is>
      </c>
      <c r="AF7" s="15" t="n"/>
      <c r="AG7" s="24" t="n"/>
      <c r="AH7" s="25" t="inlineStr">
        <is>
          <t>ขนาดกระจก</t>
        </is>
      </c>
      <c r="AI7" s="26" t="n"/>
      <c r="BA7" t="inlineStr">
        <is>
          <t>Alignกุญแจอบขาว</t>
        </is>
      </c>
      <c r="BB7" t="inlineStr">
        <is>
          <t>JR00377</t>
        </is>
      </c>
      <c r="BC7">
        <f>COUNTIF($B$74:$B$75,"กุญแจ+ล็อค")</f>
        <v/>
      </c>
    </row>
    <row r="8" ht="40.15" customHeight="1">
      <c r="A8" s="27" t="inlineStr">
        <is>
          <t>แผน</t>
        </is>
      </c>
      <c r="B8" s="28" t="inlineStr">
        <is>
          <t>ขนาดชิ้นงาน
(mm)</t>
        </is>
      </c>
      <c r="C8" s="29" t="n"/>
      <c r="D8" s="27" t="inlineStr">
        <is>
          <t>ชุด</t>
        </is>
      </c>
      <c r="E8" s="30" t="n"/>
      <c r="F8" s="31" t="n"/>
      <c r="G8" s="30" t="n"/>
      <c r="H8" s="31" t="n"/>
      <c r="I8" s="30" t="n"/>
      <c r="J8" s="31" t="n"/>
      <c r="K8" s="32" t="n"/>
      <c r="L8" s="33" t="n"/>
      <c r="M8" s="34" t="n"/>
      <c r="N8" s="31" t="n"/>
      <c r="O8" s="32" t="n"/>
      <c r="P8" s="33" t="n"/>
      <c r="Q8" s="34" t="n"/>
      <c r="R8" s="31" t="n"/>
      <c r="S8" s="32" t="n"/>
      <c r="T8" s="33" t="n"/>
      <c r="U8" s="32" t="n"/>
      <c r="V8" s="33" t="n"/>
      <c r="W8" s="32" t="n"/>
      <c r="X8" s="33" t="n"/>
      <c r="Y8" s="32" t="n"/>
      <c r="Z8" s="33" t="n"/>
      <c r="AA8" s="35" t="n"/>
      <c r="AB8" s="33" t="n"/>
      <c r="AC8" s="34" t="n"/>
      <c r="AD8" s="31" t="n"/>
      <c r="AE8" s="30" t="n"/>
      <c r="AF8" s="31" t="n"/>
      <c r="AG8" s="36" t="n"/>
      <c r="AH8" s="37" t="inlineStr">
        <is>
          <t>กรอบบาน</t>
        </is>
      </c>
      <c r="AI8" s="38" t="n"/>
      <c r="AK8" t="inlineStr">
        <is>
          <t>JR00577</t>
        </is>
      </c>
      <c r="AL8">
        <f>VLOOKUP($B$72&amp;"กุญแจ"&amp;$B$73,$BA$1:$BB$12,2,0)</f>
        <v/>
      </c>
      <c r="AM8">
        <f>VLOOKUP($B$72&amp;"ล็อค"&amp;$B$73,$BA$1:$BB$12,2,0)</f>
        <v/>
      </c>
      <c r="AN8">
        <f>VLOOKUP($B$72&amp;"ดัมมี่"&amp;$B$73,$BA$1:$BB$12,2,0)</f>
        <v/>
      </c>
      <c r="AO8" t="inlineStr"/>
      <c r="AP8" t="inlineStr">
        <is>
          <t>JR00478</t>
        </is>
      </c>
      <c r="AQ8" t="inlineStr">
        <is>
          <t>JR00479</t>
        </is>
      </c>
      <c r="AR8" t="inlineStr">
        <is>
          <t>JR00476</t>
        </is>
      </c>
      <c r="AS8" t="inlineStr">
        <is>
          <t>JR00475</t>
        </is>
      </c>
      <c r="AT8" t="inlineStr">
        <is>
          <t>JR00477</t>
        </is>
      </c>
      <c r="AU8" t="inlineStr">
        <is>
          <t>JR00592</t>
        </is>
      </c>
      <c r="AV8" t="inlineStr">
        <is>
          <t>JR00480</t>
        </is>
      </c>
      <c r="AW8" t="inlineStr">
        <is>
          <t>JR00589</t>
        </is>
      </c>
      <c r="AX8" t="inlineStr">
        <is>
          <t>JR00485</t>
        </is>
      </c>
      <c r="AY8" t="inlineStr">
        <is>
          <t>JR00794</t>
        </is>
      </c>
      <c r="BA8" t="inlineStr">
        <is>
          <t>Alignล็อคอบขาว</t>
        </is>
      </c>
      <c r="BB8" t="inlineStr">
        <is>
          <t>JR00378</t>
        </is>
      </c>
    </row>
    <row r="9" ht="40.15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 บน-ล่าง</t>
        </is>
      </c>
      <c r="H9" s="43" t="n"/>
      <c r="I9" s="42" t="inlineStr">
        <is>
          <t>ตบกันสาด</t>
        </is>
      </c>
      <c r="J9" s="43" t="n"/>
      <c r="K9" s="42" t="inlineStr">
        <is>
          <t>เสา</t>
        </is>
      </c>
      <c r="L9" s="43" t="n"/>
      <c r="M9" s="42" t="inlineStr">
        <is>
          <t>ขวาง</t>
        </is>
      </c>
      <c r="N9" s="43" t="n"/>
      <c r="O9" s="42" t="inlineStr">
        <is>
          <t>คิ้ว ตั้ง</t>
        </is>
      </c>
      <c r="P9" s="43" t="n"/>
      <c r="Q9" s="42" t="inlineStr">
        <is>
          <t>คิ้ว ขวาง</t>
        </is>
      </c>
      <c r="R9" s="43" t="n"/>
      <c r="S9" s="42" t="inlineStr">
        <is>
          <t>ตบเกี่ยว</t>
        </is>
      </c>
      <c r="T9" s="43" t="n"/>
      <c r="U9" s="44" t="inlineStr">
        <is>
          <t>ยูข้าง</t>
        </is>
      </c>
      <c r="V9" s="43" t="n"/>
      <c r="W9" s="44" t="inlineStr">
        <is>
          <t>ตบเฟรมบน</t>
        </is>
      </c>
      <c r="X9" s="43" t="n"/>
      <c r="Y9" s="44" t="inlineStr">
        <is>
          <t>ตบยูข้าง</t>
        </is>
      </c>
      <c r="Z9" s="43" t="n"/>
      <c r="AA9" s="42" t="inlineStr">
        <is>
          <t>ปิดตบเกี่ยว</t>
        </is>
      </c>
      <c r="AB9" s="43" t="n"/>
      <c r="AC9" s="42" t="inlineStr">
        <is>
          <t>ตบกันสาด</t>
        </is>
      </c>
      <c r="AD9" s="43" t="n"/>
      <c r="AE9" s="44" t="inlineStr">
        <is>
          <t>ราง</t>
        </is>
      </c>
      <c r="AF9" s="43" t="n"/>
      <c r="AG9" s="45" t="inlineStr">
        <is>
          <t>SH-56-56</t>
        </is>
      </c>
      <c r="AH9" s="46" t="inlineStr">
        <is>
          <t>SW-56-56</t>
        </is>
      </c>
      <c r="AI9" s="47" t="n"/>
      <c r="AK9" t="inlineStr">
        <is>
          <t>ล้อ 20</t>
        </is>
      </c>
      <c r="AL9" t="inlineStr">
        <is>
          <t>มือจับ กุญแจ</t>
        </is>
      </c>
      <c r="AM9" t="inlineStr">
        <is>
          <t>มือจับ ล็อค</t>
        </is>
      </c>
      <c r="AN9" t="inlineStr">
        <is>
          <t>มือจับ ดัมมี่</t>
        </is>
      </c>
      <c r="AO9" t="inlineStr">
        <is>
          <t>Digital lock</t>
        </is>
      </c>
      <c r="AP9" t="inlineStr">
        <is>
          <t>แกน A</t>
        </is>
      </c>
      <c r="AQ9" t="inlineStr">
        <is>
          <t>แกน B</t>
        </is>
      </c>
      <c r="AR9" t="inlineStr">
        <is>
          <t>ปลายดำ</t>
        </is>
      </c>
      <c r="AS9" t="inlineStr">
        <is>
          <t>ตัวที เงิน</t>
        </is>
      </c>
      <c r="AT9" t="inlineStr">
        <is>
          <t>ก้ามปู</t>
        </is>
      </c>
      <c r="AU9" t="inlineStr">
        <is>
          <t>สปิงก็อท</t>
        </is>
      </c>
      <c r="AV9" t="inlineStr">
        <is>
          <t>ฉากประกอบมุม</t>
        </is>
      </c>
      <c r="AW9" t="inlineStr">
        <is>
          <t>ยางรูน้ำ</t>
        </is>
      </c>
      <c r="AX9" t="inlineStr">
        <is>
          <t>วาวรูน้ำ</t>
        </is>
      </c>
      <c r="AY9" t="inlineStr">
        <is>
          <t>สักหลาด(ม.)</t>
        </is>
      </c>
      <c r="BA9" t="inlineStr">
        <is>
          <t>Alignดัมมี่อบขาว</t>
        </is>
      </c>
      <c r="BB9" t="inlineStr">
        <is>
          <t>JR00379</t>
        </is>
      </c>
      <c r="BC9">
        <f>(COUNTIF($B$74:$B$75,"ล็อค+ดัมมี่")+2*COUNTIF($B$74:$B$75,"ดัมมี่+ดัมมี่")+COUNTIF($B$74:$B$75,"ดัมมี่"))</f>
        <v/>
      </c>
    </row>
    <row r="10" ht="40.15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3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3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4" t="inlineStr">
        <is>
          <t>จำนวน</t>
        </is>
      </c>
      <c r="AA10" s="52" t="inlineStr">
        <is>
          <t>ยาว</t>
        </is>
      </c>
      <c r="AB10" s="53" t="inlineStr">
        <is>
          <t>จำนวน</t>
        </is>
      </c>
      <c r="AC10" s="52" t="inlineStr">
        <is>
          <t>ยาว</t>
        </is>
      </c>
      <c r="AD10" s="53" t="inlineStr">
        <is>
          <t>จำนวน</t>
        </is>
      </c>
      <c r="AE10" s="52" t="inlineStr">
        <is>
          <t>ยาว</t>
        </is>
      </c>
      <c r="AF10" s="54" t="inlineStr">
        <is>
          <t>จำนวน</t>
        </is>
      </c>
      <c r="AG10" s="55" t="inlineStr">
        <is>
          <t>H</t>
        </is>
      </c>
      <c r="AH10" s="56" t="inlineStr">
        <is>
          <t>W</t>
        </is>
      </c>
      <c r="AI10" s="57" t="inlineStr">
        <is>
          <t>จำนวน</t>
        </is>
      </c>
      <c r="AK10" t="inlineStr">
        <is>
          <t>จำนวน</t>
        </is>
      </c>
      <c r="AL10" t="inlineStr">
        <is>
          <t>จำนวน</t>
        </is>
      </c>
      <c r="AM10" t="inlineStr">
        <is>
          <t>จำนวน</t>
        </is>
      </c>
      <c r="AN10" t="inlineStr">
        <is>
          <t>จำนวน</t>
        </is>
      </c>
      <c r="AO10" t="inlineStr">
        <is>
          <t>จำนวน</t>
        </is>
      </c>
      <c r="AP10" t="inlineStr">
        <is>
          <t>จำนวน</t>
        </is>
      </c>
      <c r="AQ10" t="inlineStr">
        <is>
          <t>จำนวน</t>
        </is>
      </c>
      <c r="AR10" t="inlineStr">
        <is>
          <t>จำนวน</t>
        </is>
      </c>
      <c r="AS10" t="inlineStr">
        <is>
          <t>จำนวน</t>
        </is>
      </c>
      <c r="AT10" t="inlineStr">
        <is>
          <t>จำนวน</t>
        </is>
      </c>
      <c r="AU10" t="inlineStr">
        <is>
          <t>จำนวน</t>
        </is>
      </c>
      <c r="AV10" t="inlineStr">
        <is>
          <t>จำนวน</t>
        </is>
      </c>
      <c r="AW10" t="inlineStr">
        <is>
          <t>จำนวน</t>
        </is>
      </c>
      <c r="AX10" t="inlineStr">
        <is>
          <t>จำนวน</t>
        </is>
      </c>
      <c r="AY10" t="inlineStr">
        <is>
          <t>จำนวน</t>
        </is>
      </c>
      <c r="BA10" t="inlineStr">
        <is>
          <t>Alignกุญแจดำ</t>
        </is>
      </c>
      <c r="BB10" t="inlineStr">
        <is>
          <t>JR00374</t>
        </is>
      </c>
      <c r="BC10">
        <f>COUNTIF($B$74:$B$75,"Digital lock")</f>
        <v/>
      </c>
    </row>
    <row r="11" ht="40.15" customHeight="1">
      <c r="A11" s="101" t="inlineStr">
        <is>
          <t>D1</t>
        </is>
      </c>
      <c r="B11" s="102" t="n">
        <v>500</v>
      </c>
      <c r="C11" s="92" t="n">
        <v>700</v>
      </c>
      <c r="D11" s="103" t="n">
        <v>1</v>
      </c>
      <c r="E11" s="104">
        <f>IF($A11="","",$B11)</f>
        <v/>
      </c>
      <c r="F11" s="92">
        <f>IF($A11="","",$L$54*$D11)</f>
        <v/>
      </c>
      <c r="G11" s="104">
        <f>IF($A11="","",$C11-$E$55-$F$55)</f>
        <v/>
      </c>
      <c r="H11" s="92">
        <f>IF($A11="","",$L$55*$D11)</f>
        <v/>
      </c>
      <c r="I11" s="104">
        <f>IF($A11="","",$C11)</f>
        <v/>
      </c>
      <c r="J11" s="92">
        <f>IF($A11="","",$L$56*$D11)</f>
        <v/>
      </c>
      <c r="K11" s="104">
        <f>IF($A11="","",$B11-$E$57-$F$57-$G$57-$H$57)</f>
        <v/>
      </c>
      <c r="L11" s="92">
        <f>IF($A11="","",$L$57*$D11)</f>
        <v/>
      </c>
      <c r="M11" s="104">
        <f>IF($A11="","",(($C11-$E$58-$F$58-$G$58-$H$58)/2)+(66*1)/2)</f>
        <v/>
      </c>
      <c r="N11" s="92">
        <f>IF($A11="","",$L$58*$D11)</f>
        <v/>
      </c>
      <c r="O11" s="104">
        <f>IF($A11="","",$K11-$E$59-$F$59)</f>
        <v/>
      </c>
      <c r="P11" s="92">
        <f>IF($A11="","",$L$59*$D11)</f>
        <v/>
      </c>
      <c r="Q11" s="104">
        <f>IF($A11="","",$M11-$E$60-$F$60)</f>
        <v/>
      </c>
      <c r="R11" s="92">
        <f>IF($A11="","",$L$60*$D11)</f>
        <v/>
      </c>
      <c r="S11" s="104">
        <f>IF($A11="","",$K11)</f>
        <v/>
      </c>
      <c r="T11" s="92">
        <f>IF($A11="","",$L$61*$D11)</f>
        <v/>
      </c>
      <c r="U11" s="104">
        <f>IF($A11="","",$B11-$E$62-$F$62)</f>
        <v/>
      </c>
      <c r="V11" s="92">
        <f>IF($A11="","",$L$62*$D11)</f>
        <v/>
      </c>
      <c r="W11" s="104">
        <f>IF($A11="","",$C11-$E$63-$F$63)</f>
        <v/>
      </c>
      <c r="X11" s="92">
        <f>IF($A11="","",$L$63*$D11)</f>
        <v/>
      </c>
      <c r="Y11" s="104">
        <f>IF($A11="","",$B11-$E$64-$F$64)</f>
        <v/>
      </c>
      <c r="Z11" s="92">
        <f>IF($A11="","",$L$64*$D11)</f>
        <v/>
      </c>
      <c r="AA11" s="104">
        <f>IF($A11="","",$S11)</f>
        <v/>
      </c>
      <c r="AB11" s="92">
        <f>IF($A11="","",$L$65*$D11)</f>
        <v/>
      </c>
      <c r="AC11" s="104">
        <f>IF($A11="","",$C11)</f>
        <v/>
      </c>
      <c r="AD11" s="92">
        <f>IF($A11="","",$L$66*$D11)</f>
        <v/>
      </c>
      <c r="AE11" s="104">
        <f>IF($A11="","",$C11-$E$67-$F$67)</f>
        <v/>
      </c>
      <c r="AF11" s="92">
        <f>IF($A11="","",$L$67*$D11)</f>
        <v/>
      </c>
      <c r="AG11" s="105">
        <f>IF($A11="","",$K11-56-56)</f>
        <v/>
      </c>
      <c r="AH11" s="106">
        <f>IF($A11="","",$M11-56-56)</f>
        <v/>
      </c>
      <c r="AI11" s="107">
        <f>IF($A11="","",2*$D11)</f>
        <v/>
      </c>
      <c r="AK11">
        <f>IF($A11="","",2*2*$D11)</f>
        <v/>
      </c>
      <c r="AL11">
        <f>IF($A11="","",$BC$7*$D11)</f>
        <v/>
      </c>
      <c r="AM11">
        <f>IF($A11="","",$BC$6*$D11)</f>
        <v/>
      </c>
      <c r="AN11">
        <f>IF($A11="","",$BC$9*$D11)</f>
        <v/>
      </c>
      <c r="AO11">
        <f>IF($A11="","",$BC$10*$D11)</f>
        <v/>
      </c>
      <c r="AP11">
        <f>IF($A11="","",2*$BC$6*$D11)</f>
        <v/>
      </c>
      <c r="AQ11">
        <f>IF($A11="","",IF($B11&gt;2800,2,IF($B11&gt;1400,1,0))*$BC$6*$D11)</f>
        <v/>
      </c>
      <c r="AR11">
        <f>IF($A11="","",2*$BC$6*$D11)</f>
        <v/>
      </c>
      <c r="AS11">
        <f>IF($A11="","",$BC$6*$D11)</f>
        <v/>
      </c>
      <c r="AT11">
        <f>IF($A11="","",2*$BC$6*$D11)</f>
        <v/>
      </c>
      <c r="AU11">
        <f>IF($A11="","",4*2*$D11)</f>
        <v/>
      </c>
      <c r="AV11">
        <f>IF($A11="","",16*2*$D11)</f>
        <v/>
      </c>
      <c r="AW11">
        <f>IF($A11="","",(2+MAX(0,ROUNDUP(($G11-1500)/500,0)))*$D11)</f>
        <v/>
      </c>
      <c r="AX11">
        <f>IF($A11="","",(2+MAX(0,ROUNDUP(($G11-1500)/500,0)))*$D11)</f>
        <v/>
      </c>
      <c r="AY11">
        <f>IF($A11="","",ROUND((2*2*($M11+$K11)*2*$D11+$S11*$T11)/1000,1))</f>
        <v/>
      </c>
      <c r="BA11" t="inlineStr">
        <is>
          <t>Alignล็อคดำ</t>
        </is>
      </c>
      <c r="BB11" t="inlineStr">
        <is>
          <t>JR00375</t>
        </is>
      </c>
    </row>
    <row r="12" ht="40.15" customHeight="1">
      <c r="A12" s="101" t="n"/>
      <c r="B12" s="102" t="n"/>
      <c r="C12" s="92" t="n"/>
      <c r="D12" s="103" t="n"/>
      <c r="E12" s="108">
        <f>IF($A12="","",$B12)</f>
        <v/>
      </c>
      <c r="F12" s="98">
        <f>IF($A12="","",$L$54*$D12)</f>
        <v/>
      </c>
      <c r="G12" s="108">
        <f>IF($A12="","",$C12-$E$55-$F$55)</f>
        <v/>
      </c>
      <c r="H12" s="98">
        <f>IF($A12="","",$L$55*$D12)</f>
        <v/>
      </c>
      <c r="I12" s="108">
        <f>IF($A12="","",$C12)</f>
        <v/>
      </c>
      <c r="J12" s="98">
        <f>IF($A12="","",$L$56*$D12)</f>
        <v/>
      </c>
      <c r="K12" s="108">
        <f>IF($A12="","",$B12-$E$57-$F$57-$G$57-$H$57)</f>
        <v/>
      </c>
      <c r="L12" s="98">
        <f>IF($A12="","",$L$57*$D12)</f>
        <v/>
      </c>
      <c r="M12" s="108">
        <f>IF($A12="","",(($C12-$E$58-$F$58-$G$58-$H$58)/2)+(66*1)/2)</f>
        <v/>
      </c>
      <c r="N12" s="98">
        <f>IF($A12="","",$L$58*$D12)</f>
        <v/>
      </c>
      <c r="O12" s="108">
        <f>IF($A12="","",$K12-$E$59-$F$59)</f>
        <v/>
      </c>
      <c r="P12" s="98">
        <f>IF($A12="","",$L$59*$D12)</f>
        <v/>
      </c>
      <c r="Q12" s="108">
        <f>IF($A12="","",$M12-$E$60-$F$60)</f>
        <v/>
      </c>
      <c r="R12" s="98">
        <f>IF($A12="","",$L$60*$D12)</f>
        <v/>
      </c>
      <c r="S12" s="108">
        <f>IF($A12="","",$K12)</f>
        <v/>
      </c>
      <c r="T12" s="98">
        <f>IF($A12="","",$L$61*$D12)</f>
        <v/>
      </c>
      <c r="U12" s="108">
        <f>IF($A12="","",$B12-$E$62-$F$62)</f>
        <v/>
      </c>
      <c r="V12" s="98">
        <f>IF($A12="","",$L$62*$D12)</f>
        <v/>
      </c>
      <c r="W12" s="108">
        <f>IF($A12="","",$C12-$E$63-$F$63)</f>
        <v/>
      </c>
      <c r="X12" s="98">
        <f>IF($A12="","",$L$63*$D12)</f>
        <v/>
      </c>
      <c r="Y12" s="108">
        <f>IF($A12="","",$B12-$E$64-$F$64)</f>
        <v/>
      </c>
      <c r="Z12" s="98">
        <f>IF($A12="","",$L$64*$D12)</f>
        <v/>
      </c>
      <c r="AA12" s="108">
        <f>IF($A12="","",$S12)</f>
        <v/>
      </c>
      <c r="AB12" s="98">
        <f>IF($A12="","",$L$65*$D12)</f>
        <v/>
      </c>
      <c r="AC12" s="108">
        <f>IF($A12="","",$C12)</f>
        <v/>
      </c>
      <c r="AD12" s="98">
        <f>IF($A12="","",$L$66*$D12)</f>
        <v/>
      </c>
      <c r="AE12" s="108">
        <f>IF($A12="","",$C12-$E$67-$F$67)</f>
        <v/>
      </c>
      <c r="AF12" s="98">
        <f>IF($A12="","",$L$67*$D12)</f>
        <v/>
      </c>
      <c r="AG12" s="105">
        <f>IF($A12="","",$K12-56-56)</f>
        <v/>
      </c>
      <c r="AH12" s="106">
        <f>IF($A12="","",$M12-56-56)</f>
        <v/>
      </c>
      <c r="AI12" s="107">
        <f>IF($A12="","",2*$D12)</f>
        <v/>
      </c>
      <c r="AK12">
        <f>IF($A12="","",2*2*$D12)</f>
        <v/>
      </c>
      <c r="AL12">
        <f>IF($A12="","",$BC$7*$D12)</f>
        <v/>
      </c>
      <c r="AM12">
        <f>IF($A12="","",$BC$6*$D12)</f>
        <v/>
      </c>
      <c r="AN12">
        <f>IF($A12="","",$BC$9*$D12)</f>
        <v/>
      </c>
      <c r="AO12">
        <f>IF($A12="","",$BC$10*$D12)</f>
        <v/>
      </c>
      <c r="AP12">
        <f>IF($A12="","",2*$BC$6*$D12)</f>
        <v/>
      </c>
      <c r="AQ12">
        <f>IF($A12="","",IF($B12&gt;2800,2,IF($B12&gt;1400,1,0))*$BC$6*$D12)</f>
        <v/>
      </c>
      <c r="AR12">
        <f>IF($A12="","",2*$BC$6*$D12)</f>
        <v/>
      </c>
      <c r="AS12">
        <f>IF($A12="","",$BC$6*$D12)</f>
        <v/>
      </c>
      <c r="AT12">
        <f>IF($A12="","",2*$BC$6*$D12)</f>
        <v/>
      </c>
      <c r="AU12">
        <f>IF($A12="","",4*2*$D12)</f>
        <v/>
      </c>
      <c r="AV12">
        <f>IF($A12="","",16*2*$D12)</f>
        <v/>
      </c>
      <c r="AW12">
        <f>IF($A12="","",(2+MAX(0,ROUNDUP(($G12-1500)/500,0)))*$D12)</f>
        <v/>
      </c>
      <c r="AX12">
        <f>IF($A12="","",(2+MAX(0,ROUNDUP(($G12-1500)/500,0)))*$D12)</f>
        <v/>
      </c>
      <c r="AY12">
        <f>IF($A12="","",ROUND((2*2*($M12+$K12)*2*$D12+$S12*$T12)/1000,1))</f>
        <v/>
      </c>
      <c r="BA12" t="inlineStr">
        <is>
          <t>Alignดัมมี่ดำ</t>
        </is>
      </c>
      <c r="BB12" t="inlineStr">
        <is>
          <t>JR00376</t>
        </is>
      </c>
    </row>
    <row r="13" ht="40.15" customHeight="1">
      <c r="A13" s="101" t="n"/>
      <c r="B13" s="102" t="n"/>
      <c r="C13" s="92" t="n"/>
      <c r="D13" s="103" t="n"/>
      <c r="E13" s="104">
        <f>IF($A13="","",$B13)</f>
        <v/>
      </c>
      <c r="F13" s="92">
        <f>IF($A13="","",$L$54*$D13)</f>
        <v/>
      </c>
      <c r="G13" s="104">
        <f>IF($A13="","",$C13-$E$55-$F$55)</f>
        <v/>
      </c>
      <c r="H13" s="92">
        <f>IF($A13="","",$L$55*$D13)</f>
        <v/>
      </c>
      <c r="I13" s="104">
        <f>IF($A13="","",$C13)</f>
        <v/>
      </c>
      <c r="J13" s="92">
        <f>IF($A13="","",$L$56*$D13)</f>
        <v/>
      </c>
      <c r="K13" s="104">
        <f>IF($A13="","",$B13-$E$57-$F$57-$G$57-$H$57)</f>
        <v/>
      </c>
      <c r="L13" s="92">
        <f>IF($A13="","",$L$57*$D13)</f>
        <v/>
      </c>
      <c r="M13" s="104">
        <f>IF($A13="","",(($C13-$E$58-$F$58-$G$58-$H$58)/2)+(66*1)/2)</f>
        <v/>
      </c>
      <c r="N13" s="92">
        <f>IF($A13="","",$L$58*$D13)</f>
        <v/>
      </c>
      <c r="O13" s="104">
        <f>IF($A13="","",$K13-$E$59-$F$59)</f>
        <v/>
      </c>
      <c r="P13" s="92">
        <f>IF($A13="","",$L$59*$D13)</f>
        <v/>
      </c>
      <c r="Q13" s="104">
        <f>IF($A13="","",$M13-$E$60-$F$60)</f>
        <v/>
      </c>
      <c r="R13" s="92">
        <f>IF($A13="","",$L$60*$D13)</f>
        <v/>
      </c>
      <c r="S13" s="104">
        <f>IF($A13="","",$K13)</f>
        <v/>
      </c>
      <c r="T13" s="92">
        <f>IF($A13="","",$L$61*$D13)</f>
        <v/>
      </c>
      <c r="U13" s="104">
        <f>IF($A13="","",$B13-$E$62-$F$62)</f>
        <v/>
      </c>
      <c r="V13" s="92">
        <f>IF($A13="","",$L$62*$D13)</f>
        <v/>
      </c>
      <c r="W13" s="104">
        <f>IF($A13="","",$C13-$E$63-$F$63)</f>
        <v/>
      </c>
      <c r="X13" s="92">
        <f>IF($A13="","",$L$63*$D13)</f>
        <v/>
      </c>
      <c r="Y13" s="104">
        <f>IF($A13="","",$B13-$E$64-$F$64)</f>
        <v/>
      </c>
      <c r="Z13" s="92">
        <f>IF($A13="","",$L$64*$D13)</f>
        <v/>
      </c>
      <c r="AA13" s="104">
        <f>IF($A13="","",$S13)</f>
        <v/>
      </c>
      <c r="AB13" s="92">
        <f>IF($A13="","",$L$65*$D13)</f>
        <v/>
      </c>
      <c r="AC13" s="104">
        <f>IF($A13="","",$C13)</f>
        <v/>
      </c>
      <c r="AD13" s="92">
        <f>IF($A13="","",$L$66*$D13)</f>
        <v/>
      </c>
      <c r="AE13" s="104">
        <f>IF($A13="","",$C13-$E$67-$F$67)</f>
        <v/>
      </c>
      <c r="AF13" s="92">
        <f>IF($A13="","",$L$67*$D13)</f>
        <v/>
      </c>
      <c r="AG13" s="105">
        <f>IF($A13="","",$K13-56-56)</f>
        <v/>
      </c>
      <c r="AH13" s="106">
        <f>IF($A13="","",$M13-56-56)</f>
        <v/>
      </c>
      <c r="AI13" s="107">
        <f>IF($A13="","",2*$D13)</f>
        <v/>
      </c>
      <c r="AK13">
        <f>IF($A13="","",2*2*$D13)</f>
        <v/>
      </c>
      <c r="AL13">
        <f>IF($A13="","",$BC$7*$D13)</f>
        <v/>
      </c>
      <c r="AM13">
        <f>IF($A13="","",$BC$6*$D13)</f>
        <v/>
      </c>
      <c r="AN13">
        <f>IF($A13="","",$BC$9*$D13)</f>
        <v/>
      </c>
      <c r="AO13">
        <f>IF($A13="","",$BC$10*$D13)</f>
        <v/>
      </c>
      <c r="AP13">
        <f>IF($A13="","",2*$BC$6*$D13)</f>
        <v/>
      </c>
      <c r="AQ13">
        <f>IF($A13="","",IF($B13&gt;2800,2,IF($B13&gt;1400,1,0))*$BC$6*$D13)</f>
        <v/>
      </c>
      <c r="AR13">
        <f>IF($A13="","",2*$BC$6*$D13)</f>
        <v/>
      </c>
      <c r="AS13">
        <f>IF($A13="","",$BC$6*$D13)</f>
        <v/>
      </c>
      <c r="AT13">
        <f>IF($A13="","",2*$BC$6*$D13)</f>
        <v/>
      </c>
      <c r="AU13">
        <f>IF($A13="","",4*2*$D13)</f>
        <v/>
      </c>
      <c r="AV13">
        <f>IF($A13="","",16*2*$D13)</f>
        <v/>
      </c>
      <c r="AW13">
        <f>IF($A13="","",(2+MAX(0,ROUNDUP(($G13-1500)/500,0)))*$D13)</f>
        <v/>
      </c>
      <c r="AX13">
        <f>IF($A13="","",(2+MAX(0,ROUNDUP(($G13-1500)/500,0)))*$D13)</f>
        <v/>
      </c>
      <c r="AY13">
        <f>IF($A13="","",ROUND((2*2*($M13+$K13)*2*$D13+$S13*$T13)/1000,1))</f>
        <v/>
      </c>
    </row>
    <row r="14" ht="40.15" customHeight="1">
      <c r="A14" s="101" t="n"/>
      <c r="B14" s="102" t="n"/>
      <c r="C14" s="92" t="n"/>
      <c r="D14" s="103" t="n"/>
      <c r="E14" s="108">
        <f>IF($A14="","",$B14)</f>
        <v/>
      </c>
      <c r="F14" s="98">
        <f>IF($A14="","",$L$54*$D14)</f>
        <v/>
      </c>
      <c r="G14" s="108">
        <f>IF($A14="","",$C14-$E$55-$F$55)</f>
        <v/>
      </c>
      <c r="H14" s="98">
        <f>IF($A14="","",$L$55*$D14)</f>
        <v/>
      </c>
      <c r="I14" s="108">
        <f>IF($A14="","",$C14)</f>
        <v/>
      </c>
      <c r="J14" s="98">
        <f>IF($A14="","",$L$56*$D14)</f>
        <v/>
      </c>
      <c r="K14" s="108">
        <f>IF($A14="","",$B14-$E$57-$F$57-$G$57-$H$57)</f>
        <v/>
      </c>
      <c r="L14" s="98">
        <f>IF($A14="","",$L$57*$D14)</f>
        <v/>
      </c>
      <c r="M14" s="108">
        <f>IF($A14="","",(($C14-$E$58-$F$58-$G$58-$H$58)/2)+(66*1)/2)</f>
        <v/>
      </c>
      <c r="N14" s="98">
        <f>IF($A14="","",$L$58*$D14)</f>
        <v/>
      </c>
      <c r="O14" s="108">
        <f>IF($A14="","",$K14-$E$59-$F$59)</f>
        <v/>
      </c>
      <c r="P14" s="98">
        <f>IF($A14="","",$L$59*$D14)</f>
        <v/>
      </c>
      <c r="Q14" s="108">
        <f>IF($A14="","",$M14-$E$60-$F$60)</f>
        <v/>
      </c>
      <c r="R14" s="98">
        <f>IF($A14="","",$L$60*$D14)</f>
        <v/>
      </c>
      <c r="S14" s="108">
        <f>IF($A14="","",$K14)</f>
        <v/>
      </c>
      <c r="T14" s="98">
        <f>IF($A14="","",$L$61*$D14)</f>
        <v/>
      </c>
      <c r="U14" s="108">
        <f>IF($A14="","",$B14-$E$62-$F$62)</f>
        <v/>
      </c>
      <c r="V14" s="98">
        <f>IF($A14="","",$L$62*$D14)</f>
        <v/>
      </c>
      <c r="W14" s="108">
        <f>IF($A14="","",$C14-$E$63-$F$63)</f>
        <v/>
      </c>
      <c r="X14" s="98">
        <f>IF($A14="","",$L$63*$D14)</f>
        <v/>
      </c>
      <c r="Y14" s="108">
        <f>IF($A14="","",$B14-$E$64-$F$64)</f>
        <v/>
      </c>
      <c r="Z14" s="98">
        <f>IF($A14="","",$L$64*$D14)</f>
        <v/>
      </c>
      <c r="AA14" s="108">
        <f>IF($A14="","",$S14)</f>
        <v/>
      </c>
      <c r="AB14" s="98">
        <f>IF($A14="","",$L$65*$D14)</f>
        <v/>
      </c>
      <c r="AC14" s="108">
        <f>IF($A14="","",$C14)</f>
        <v/>
      </c>
      <c r="AD14" s="98">
        <f>IF($A14="","",$L$66*$D14)</f>
        <v/>
      </c>
      <c r="AE14" s="108">
        <f>IF($A14="","",$C14-$E$67-$F$67)</f>
        <v/>
      </c>
      <c r="AF14" s="98">
        <f>IF($A14="","",$L$67*$D14)</f>
        <v/>
      </c>
      <c r="AG14" s="105">
        <f>IF($A14="","",$K14-56-56)</f>
        <v/>
      </c>
      <c r="AH14" s="106">
        <f>IF($A14="","",$M14-56-56)</f>
        <v/>
      </c>
      <c r="AI14" s="107">
        <f>IF($A14="","",2*$D14)</f>
        <v/>
      </c>
      <c r="AK14">
        <f>IF($A14="","",2*2*$D14)</f>
        <v/>
      </c>
      <c r="AL14">
        <f>IF($A14="","",$BC$7*$D14)</f>
        <v/>
      </c>
      <c r="AM14">
        <f>IF($A14="","",$BC$6*$D14)</f>
        <v/>
      </c>
      <c r="AN14">
        <f>IF($A14="","",$BC$9*$D14)</f>
        <v/>
      </c>
      <c r="AO14">
        <f>IF($A14="","",$BC$10*$D14)</f>
        <v/>
      </c>
      <c r="AP14">
        <f>IF($A14="","",2*$BC$6*$D14)</f>
        <v/>
      </c>
      <c r="AQ14">
        <f>IF($A14="","",IF($B14&gt;2800,2,IF($B14&gt;1400,1,0))*$BC$6*$D14)</f>
        <v/>
      </c>
      <c r="AR14">
        <f>IF($A14="","",2*$BC$6*$D14)</f>
        <v/>
      </c>
      <c r="AS14">
        <f>IF($A14="","",$BC$6*$D14)</f>
        <v/>
      </c>
      <c r="AT14">
        <f>IF($A14="","",2*$BC$6*$D14)</f>
        <v/>
      </c>
      <c r="AU14">
        <f>IF($A14="","",4*2*$D14)</f>
        <v/>
      </c>
      <c r="AV14">
        <f>IF($A14="","",16*2*$D14)</f>
        <v/>
      </c>
      <c r="AW14">
        <f>IF($A14="","",(2+MAX(0,ROUNDUP(($G14-1500)/500,0)))*$D14)</f>
        <v/>
      </c>
      <c r="AX14">
        <f>IF($A14="","",(2+MAX(0,ROUNDUP(($G14-1500)/500,0)))*$D14)</f>
        <v/>
      </c>
      <c r="AY14">
        <f>IF($A14="","",ROUND((2*2*($M14+$K14)*2*$D14+$S14*$T14)/1000,1))</f>
        <v/>
      </c>
    </row>
    <row r="15" ht="40.15" customHeight="1">
      <c r="A15" s="101" t="n"/>
      <c r="B15" s="102" t="n"/>
      <c r="C15" s="92" t="n"/>
      <c r="D15" s="103" t="n"/>
      <c r="E15" s="104">
        <f>IF($A15="","",$B15)</f>
        <v/>
      </c>
      <c r="F15" s="92">
        <f>IF($A15="","",$L$54*$D15)</f>
        <v/>
      </c>
      <c r="G15" s="104">
        <f>IF($A15="","",$C15-$E$55-$F$55)</f>
        <v/>
      </c>
      <c r="H15" s="92">
        <f>IF($A15="","",$L$55*$D15)</f>
        <v/>
      </c>
      <c r="I15" s="104">
        <f>IF($A15="","",$C15)</f>
        <v/>
      </c>
      <c r="J15" s="92">
        <f>IF($A15="","",$L$56*$D15)</f>
        <v/>
      </c>
      <c r="K15" s="104">
        <f>IF($A15="","",$B15-$E$57-$F$57-$G$57-$H$57)</f>
        <v/>
      </c>
      <c r="L15" s="92">
        <f>IF($A15="","",$L$57*$D15)</f>
        <v/>
      </c>
      <c r="M15" s="104">
        <f>IF($A15="","",(($C15-$E$58-$F$58-$G$58-$H$58)/2)+(66*1)/2)</f>
        <v/>
      </c>
      <c r="N15" s="92">
        <f>IF($A15="","",$L$58*$D15)</f>
        <v/>
      </c>
      <c r="O15" s="104">
        <f>IF($A15="","",$K15-$E$59-$F$59)</f>
        <v/>
      </c>
      <c r="P15" s="92">
        <f>IF($A15="","",$L$59*$D15)</f>
        <v/>
      </c>
      <c r="Q15" s="104">
        <f>IF($A15="","",$M15-$E$60-$F$60)</f>
        <v/>
      </c>
      <c r="R15" s="92">
        <f>IF($A15="","",$L$60*$D15)</f>
        <v/>
      </c>
      <c r="S15" s="104">
        <f>IF($A15="","",$K15)</f>
        <v/>
      </c>
      <c r="T15" s="92">
        <f>IF($A15="","",$L$61*$D15)</f>
        <v/>
      </c>
      <c r="U15" s="104">
        <f>IF($A15="","",$B15-$E$62-$F$62)</f>
        <v/>
      </c>
      <c r="V15" s="92">
        <f>IF($A15="","",$L$62*$D15)</f>
        <v/>
      </c>
      <c r="W15" s="104">
        <f>IF($A15="","",$C15-$E$63-$F$63)</f>
        <v/>
      </c>
      <c r="X15" s="92">
        <f>IF($A15="","",$L$63*$D15)</f>
        <v/>
      </c>
      <c r="Y15" s="104">
        <f>IF($A15="","",$B15-$E$64-$F$64)</f>
        <v/>
      </c>
      <c r="Z15" s="92">
        <f>IF($A15="","",$L$64*$D15)</f>
        <v/>
      </c>
      <c r="AA15" s="104">
        <f>IF($A15="","",$S15)</f>
        <v/>
      </c>
      <c r="AB15" s="92">
        <f>IF($A15="","",$L$65*$D15)</f>
        <v/>
      </c>
      <c r="AC15" s="104">
        <f>IF($A15="","",$C15)</f>
        <v/>
      </c>
      <c r="AD15" s="92">
        <f>IF($A15="","",$L$66*$D15)</f>
        <v/>
      </c>
      <c r="AE15" s="104">
        <f>IF($A15="","",$C15-$E$67-$F$67)</f>
        <v/>
      </c>
      <c r="AF15" s="92">
        <f>IF($A15="","",$L$67*$D15)</f>
        <v/>
      </c>
      <c r="AG15" s="105">
        <f>IF($A15="","",$K15-56-56)</f>
        <v/>
      </c>
      <c r="AH15" s="106">
        <f>IF($A15="","",$M15-56-56)</f>
        <v/>
      </c>
      <c r="AI15" s="107">
        <f>IF($A15="","",2*$D15)</f>
        <v/>
      </c>
      <c r="AK15">
        <f>IF($A15="","",2*2*$D15)</f>
        <v/>
      </c>
      <c r="AL15">
        <f>IF($A15="","",$BC$7*$D15)</f>
        <v/>
      </c>
      <c r="AM15">
        <f>IF($A15="","",$BC$6*$D15)</f>
        <v/>
      </c>
      <c r="AN15">
        <f>IF($A15="","",$BC$9*$D15)</f>
        <v/>
      </c>
      <c r="AO15">
        <f>IF($A15="","",$BC$10*$D15)</f>
        <v/>
      </c>
      <c r="AP15">
        <f>IF($A15="","",2*$BC$6*$D15)</f>
        <v/>
      </c>
      <c r="AQ15">
        <f>IF($A15="","",IF($B15&gt;2800,2,IF($B15&gt;1400,1,0))*$BC$6*$D15)</f>
        <v/>
      </c>
      <c r="AR15">
        <f>IF($A15="","",2*$BC$6*$D15)</f>
        <v/>
      </c>
      <c r="AS15">
        <f>IF($A15="","",$BC$6*$D15)</f>
        <v/>
      </c>
      <c r="AT15">
        <f>IF($A15="","",2*$BC$6*$D15)</f>
        <v/>
      </c>
      <c r="AU15">
        <f>IF($A15="","",4*2*$D15)</f>
        <v/>
      </c>
      <c r="AV15">
        <f>IF($A15="","",16*2*$D15)</f>
        <v/>
      </c>
      <c r="AW15">
        <f>IF($A15="","",(2+MAX(0,ROUNDUP(($G15-1500)/500,0)))*$D15)</f>
        <v/>
      </c>
      <c r="AX15">
        <f>IF($A15="","",(2+MAX(0,ROUNDUP(($G15-1500)/500,0)))*$D15)</f>
        <v/>
      </c>
      <c r="AY15">
        <f>IF($A15="","",ROUND((2*2*($M15+$K15)*2*$D15+$S15*$T15)/1000,1))</f>
        <v/>
      </c>
    </row>
    <row r="16" ht="40.15" customHeight="1">
      <c r="A16" s="101" t="n"/>
      <c r="B16" s="102" t="n"/>
      <c r="C16" s="92" t="n"/>
      <c r="D16" s="103" t="n"/>
      <c r="E16" s="108">
        <f>IF($A16="","",$B16)</f>
        <v/>
      </c>
      <c r="F16" s="98">
        <f>IF($A16="","",$L$54*$D16)</f>
        <v/>
      </c>
      <c r="G16" s="108">
        <f>IF($A16="","",$C16-$E$55-$F$55)</f>
        <v/>
      </c>
      <c r="H16" s="98">
        <f>IF($A16="","",$L$55*$D16)</f>
        <v/>
      </c>
      <c r="I16" s="108">
        <f>IF($A16="","",$C16)</f>
        <v/>
      </c>
      <c r="J16" s="98">
        <f>IF($A16="","",$L$56*$D16)</f>
        <v/>
      </c>
      <c r="K16" s="108">
        <f>IF($A16="","",$B16-$E$57-$F$57-$G$57-$H$57)</f>
        <v/>
      </c>
      <c r="L16" s="98">
        <f>IF($A16="","",$L$57*$D16)</f>
        <v/>
      </c>
      <c r="M16" s="108">
        <f>IF($A16="","",(($C16-$E$58-$F$58-$G$58-$H$58)/2)+(66*1)/2)</f>
        <v/>
      </c>
      <c r="N16" s="98">
        <f>IF($A16="","",$L$58*$D16)</f>
        <v/>
      </c>
      <c r="O16" s="108">
        <f>IF($A16="","",$K16-$E$59-$F$59)</f>
        <v/>
      </c>
      <c r="P16" s="98">
        <f>IF($A16="","",$L$59*$D16)</f>
        <v/>
      </c>
      <c r="Q16" s="108">
        <f>IF($A16="","",$M16-$E$60-$F$60)</f>
        <v/>
      </c>
      <c r="R16" s="98">
        <f>IF($A16="","",$L$60*$D16)</f>
        <v/>
      </c>
      <c r="S16" s="108">
        <f>IF($A16="","",$K16)</f>
        <v/>
      </c>
      <c r="T16" s="98">
        <f>IF($A16="","",$L$61*$D16)</f>
        <v/>
      </c>
      <c r="U16" s="108">
        <f>IF($A16="","",$B16-$E$62-$F$62)</f>
        <v/>
      </c>
      <c r="V16" s="98">
        <f>IF($A16="","",$L$62*$D16)</f>
        <v/>
      </c>
      <c r="W16" s="108">
        <f>IF($A16="","",$C16-$E$63-$F$63)</f>
        <v/>
      </c>
      <c r="X16" s="98">
        <f>IF($A16="","",$L$63*$D16)</f>
        <v/>
      </c>
      <c r="Y16" s="108">
        <f>IF($A16="","",$B16-$E$64-$F$64)</f>
        <v/>
      </c>
      <c r="Z16" s="98">
        <f>IF($A16="","",$L$64*$D16)</f>
        <v/>
      </c>
      <c r="AA16" s="108">
        <f>IF($A16="","",$S16)</f>
        <v/>
      </c>
      <c r="AB16" s="98">
        <f>IF($A16="","",$L$65*$D16)</f>
        <v/>
      </c>
      <c r="AC16" s="108">
        <f>IF($A16="","",$C16)</f>
        <v/>
      </c>
      <c r="AD16" s="98">
        <f>IF($A16="","",$L$66*$D16)</f>
        <v/>
      </c>
      <c r="AE16" s="108">
        <f>IF($A16="","",$C16-$E$67-$F$67)</f>
        <v/>
      </c>
      <c r="AF16" s="98">
        <f>IF($A16="","",$L$67*$D16)</f>
        <v/>
      </c>
      <c r="AG16" s="105">
        <f>IF($A16="","",$K16-56-56)</f>
        <v/>
      </c>
      <c r="AH16" s="106">
        <f>IF($A16="","",$M16-56-56)</f>
        <v/>
      </c>
      <c r="AI16" s="107">
        <f>IF($A16="","",2*$D16)</f>
        <v/>
      </c>
      <c r="AK16">
        <f>IF($A16="","",2*2*$D16)</f>
        <v/>
      </c>
      <c r="AL16">
        <f>IF($A16="","",$BC$7*$D16)</f>
        <v/>
      </c>
      <c r="AM16">
        <f>IF($A16="","",$BC$6*$D16)</f>
        <v/>
      </c>
      <c r="AN16">
        <f>IF($A16="","",$BC$9*$D16)</f>
        <v/>
      </c>
      <c r="AO16">
        <f>IF($A16="","",$BC$10*$D16)</f>
        <v/>
      </c>
      <c r="AP16">
        <f>IF($A16="","",2*$BC$6*$D16)</f>
        <v/>
      </c>
      <c r="AQ16">
        <f>IF($A16="","",IF($B16&gt;2800,2,IF($B16&gt;1400,1,0))*$BC$6*$D16)</f>
        <v/>
      </c>
      <c r="AR16">
        <f>IF($A16="","",2*$BC$6*$D16)</f>
        <v/>
      </c>
      <c r="AS16">
        <f>IF($A16="","",$BC$6*$D16)</f>
        <v/>
      </c>
      <c r="AT16">
        <f>IF($A16="","",2*$BC$6*$D16)</f>
        <v/>
      </c>
      <c r="AU16">
        <f>IF($A16="","",4*2*$D16)</f>
        <v/>
      </c>
      <c r="AV16">
        <f>IF($A16="","",16*2*$D16)</f>
        <v/>
      </c>
      <c r="AW16">
        <f>IF($A16="","",(2+MAX(0,ROUNDUP(($G16-1500)/500,0)))*$D16)</f>
        <v/>
      </c>
      <c r="AX16">
        <f>IF($A16="","",(2+MAX(0,ROUNDUP(($G16-1500)/500,0)))*$D16)</f>
        <v/>
      </c>
      <c r="AY16">
        <f>IF($A16="","",ROUND((2*2*($M16+$K16)*2*$D16+$S16*$T16)/1000,1))</f>
        <v/>
      </c>
    </row>
    <row r="17" ht="40.15" customHeight="1">
      <c r="A17" s="101" t="n"/>
      <c r="B17" s="102" t="n"/>
      <c r="C17" s="92" t="n"/>
      <c r="D17" s="103" t="n"/>
      <c r="E17" s="104">
        <f>IF($A17="","",$B17)</f>
        <v/>
      </c>
      <c r="F17" s="92">
        <f>IF($A17="","",$L$54*$D17)</f>
        <v/>
      </c>
      <c r="G17" s="104">
        <f>IF($A17="","",$C17-$E$55-$F$55)</f>
        <v/>
      </c>
      <c r="H17" s="92">
        <f>IF($A17="","",$L$55*$D17)</f>
        <v/>
      </c>
      <c r="I17" s="104">
        <f>IF($A17="","",$C17)</f>
        <v/>
      </c>
      <c r="J17" s="92">
        <f>IF($A17="","",$L$56*$D17)</f>
        <v/>
      </c>
      <c r="K17" s="104">
        <f>IF($A17="","",$B17-$E$57-$F$57-$G$57-$H$57)</f>
        <v/>
      </c>
      <c r="L17" s="92">
        <f>IF($A17="","",$L$57*$D17)</f>
        <v/>
      </c>
      <c r="M17" s="104">
        <f>IF($A17="","",(($C17-$E$58-$F$58-$G$58-$H$58)/2)+(66*1)/2)</f>
        <v/>
      </c>
      <c r="N17" s="92">
        <f>IF($A17="","",$L$58*$D17)</f>
        <v/>
      </c>
      <c r="O17" s="104">
        <f>IF($A17="","",$K17-$E$59-$F$59)</f>
        <v/>
      </c>
      <c r="P17" s="92">
        <f>IF($A17="","",$L$59*$D17)</f>
        <v/>
      </c>
      <c r="Q17" s="104">
        <f>IF($A17="","",$M17-$E$60-$F$60)</f>
        <v/>
      </c>
      <c r="R17" s="92">
        <f>IF($A17="","",$L$60*$D17)</f>
        <v/>
      </c>
      <c r="S17" s="104">
        <f>IF($A17="","",$K17)</f>
        <v/>
      </c>
      <c r="T17" s="92">
        <f>IF($A17="","",$L$61*$D17)</f>
        <v/>
      </c>
      <c r="U17" s="104">
        <f>IF($A17="","",$B17-$E$62-$F$62)</f>
        <v/>
      </c>
      <c r="V17" s="92">
        <f>IF($A17="","",$L$62*$D17)</f>
        <v/>
      </c>
      <c r="W17" s="104">
        <f>IF($A17="","",$C17-$E$63-$F$63)</f>
        <v/>
      </c>
      <c r="X17" s="92">
        <f>IF($A17="","",$L$63*$D17)</f>
        <v/>
      </c>
      <c r="Y17" s="104">
        <f>IF($A17="","",$B17-$E$64-$F$64)</f>
        <v/>
      </c>
      <c r="Z17" s="92">
        <f>IF($A17="","",$L$64*$D17)</f>
        <v/>
      </c>
      <c r="AA17" s="104">
        <f>IF($A17="","",$S17)</f>
        <v/>
      </c>
      <c r="AB17" s="92">
        <f>IF($A17="","",$L$65*$D17)</f>
        <v/>
      </c>
      <c r="AC17" s="104">
        <f>IF($A17="","",$C17)</f>
        <v/>
      </c>
      <c r="AD17" s="92">
        <f>IF($A17="","",$L$66*$D17)</f>
        <v/>
      </c>
      <c r="AE17" s="104">
        <f>IF($A17="","",$C17-$E$67-$F$67)</f>
        <v/>
      </c>
      <c r="AF17" s="92">
        <f>IF($A17="","",$L$67*$D17)</f>
        <v/>
      </c>
      <c r="AG17" s="105">
        <f>IF($A17="","",$K17-56-56)</f>
        <v/>
      </c>
      <c r="AH17" s="106">
        <f>IF($A17="","",$M17-56-56)</f>
        <v/>
      </c>
      <c r="AI17" s="107">
        <f>IF($A17="","",2*$D17)</f>
        <v/>
      </c>
      <c r="AK17">
        <f>IF($A17="","",2*2*$D17)</f>
        <v/>
      </c>
      <c r="AL17">
        <f>IF($A17="","",$BC$7*$D17)</f>
        <v/>
      </c>
      <c r="AM17">
        <f>IF($A17="","",$BC$6*$D17)</f>
        <v/>
      </c>
      <c r="AN17">
        <f>IF($A17="","",$BC$9*$D17)</f>
        <v/>
      </c>
      <c r="AO17">
        <f>IF($A17="","",$BC$10*$D17)</f>
        <v/>
      </c>
      <c r="AP17">
        <f>IF($A17="","",2*$BC$6*$D17)</f>
        <v/>
      </c>
      <c r="AQ17">
        <f>IF($A17="","",IF($B17&gt;2800,2,IF($B17&gt;1400,1,0))*$BC$6*$D17)</f>
        <v/>
      </c>
      <c r="AR17">
        <f>IF($A17="","",2*$BC$6*$D17)</f>
        <v/>
      </c>
      <c r="AS17">
        <f>IF($A17="","",$BC$6*$D17)</f>
        <v/>
      </c>
      <c r="AT17">
        <f>IF($A17="","",2*$BC$6*$D17)</f>
        <v/>
      </c>
      <c r="AU17">
        <f>IF($A17="","",4*2*$D17)</f>
        <v/>
      </c>
      <c r="AV17">
        <f>IF($A17="","",16*2*$D17)</f>
        <v/>
      </c>
      <c r="AW17">
        <f>IF($A17="","",(2+MAX(0,ROUNDUP(($G17-1500)/500,0)))*$D17)</f>
        <v/>
      </c>
      <c r="AX17">
        <f>IF($A17="","",(2+MAX(0,ROUNDUP(($G17-1500)/500,0)))*$D17)</f>
        <v/>
      </c>
      <c r="AY17">
        <f>IF($A17="","",ROUND((2*2*($M17+$K17)*2*$D17+$S17*$T17)/1000,1))</f>
        <v/>
      </c>
    </row>
    <row r="18" ht="40.15" customHeight="1">
      <c r="A18" s="101" t="n"/>
      <c r="B18" s="102" t="n"/>
      <c r="C18" s="92" t="n"/>
      <c r="D18" s="103" t="n"/>
      <c r="E18" s="108">
        <f>IF($A18="","",$B18)</f>
        <v/>
      </c>
      <c r="F18" s="98">
        <f>IF($A18="","",$L$54*$D18)</f>
        <v/>
      </c>
      <c r="G18" s="108">
        <f>IF($A18="","",$C18-$E$55-$F$55)</f>
        <v/>
      </c>
      <c r="H18" s="98">
        <f>IF($A18="","",$L$55*$D18)</f>
        <v/>
      </c>
      <c r="I18" s="108">
        <f>IF($A18="","",$C18)</f>
        <v/>
      </c>
      <c r="J18" s="98">
        <f>IF($A18="","",$L$56*$D18)</f>
        <v/>
      </c>
      <c r="K18" s="108">
        <f>IF($A18="","",$B18-$E$57-$F$57-$G$57-$H$57)</f>
        <v/>
      </c>
      <c r="L18" s="98">
        <f>IF($A18="","",$L$57*$D18)</f>
        <v/>
      </c>
      <c r="M18" s="108">
        <f>IF($A18="","",(($C18-$E$58-$F$58-$G$58-$H$58)/2)+(66*1)/2)</f>
        <v/>
      </c>
      <c r="N18" s="98">
        <f>IF($A18="","",$L$58*$D18)</f>
        <v/>
      </c>
      <c r="O18" s="108">
        <f>IF($A18="","",$K18-$E$59-$F$59)</f>
        <v/>
      </c>
      <c r="P18" s="98">
        <f>IF($A18="","",$L$59*$D18)</f>
        <v/>
      </c>
      <c r="Q18" s="108">
        <f>IF($A18="","",$M18-$E$60-$F$60)</f>
        <v/>
      </c>
      <c r="R18" s="98">
        <f>IF($A18="","",$L$60*$D18)</f>
        <v/>
      </c>
      <c r="S18" s="108">
        <f>IF($A18="","",$K18)</f>
        <v/>
      </c>
      <c r="T18" s="98">
        <f>IF($A18="","",$L$61*$D18)</f>
        <v/>
      </c>
      <c r="U18" s="108">
        <f>IF($A18="","",$B18-$E$62-$F$62)</f>
        <v/>
      </c>
      <c r="V18" s="98">
        <f>IF($A18="","",$L$62*$D18)</f>
        <v/>
      </c>
      <c r="W18" s="108">
        <f>IF($A18="","",$C18-$E$63-$F$63)</f>
        <v/>
      </c>
      <c r="X18" s="98">
        <f>IF($A18="","",$L$63*$D18)</f>
        <v/>
      </c>
      <c r="Y18" s="108">
        <f>IF($A18="","",$B18-$E$64-$F$64)</f>
        <v/>
      </c>
      <c r="Z18" s="98">
        <f>IF($A18="","",$L$64*$D18)</f>
        <v/>
      </c>
      <c r="AA18" s="108">
        <f>IF($A18="","",$S18)</f>
        <v/>
      </c>
      <c r="AB18" s="98">
        <f>IF($A18="","",$L$65*$D18)</f>
        <v/>
      </c>
      <c r="AC18" s="108">
        <f>IF($A18="","",$C18)</f>
        <v/>
      </c>
      <c r="AD18" s="98">
        <f>IF($A18="","",$L$66*$D18)</f>
        <v/>
      </c>
      <c r="AE18" s="108">
        <f>IF($A18="","",$C18-$E$67-$F$67)</f>
        <v/>
      </c>
      <c r="AF18" s="98">
        <f>IF($A18="","",$L$67*$D18)</f>
        <v/>
      </c>
      <c r="AG18" s="105">
        <f>IF($A18="","",$K18-56-56)</f>
        <v/>
      </c>
      <c r="AH18" s="106">
        <f>IF($A18="","",$M18-56-56)</f>
        <v/>
      </c>
      <c r="AI18" s="107">
        <f>IF($A18="","",2*$D18)</f>
        <v/>
      </c>
      <c r="AK18">
        <f>IF($A18="","",2*2*$D18)</f>
        <v/>
      </c>
      <c r="AL18">
        <f>IF($A18="","",$BC$7*$D18)</f>
        <v/>
      </c>
      <c r="AM18">
        <f>IF($A18="","",$BC$6*$D18)</f>
        <v/>
      </c>
      <c r="AN18">
        <f>IF($A18="","",$BC$9*$D18)</f>
        <v/>
      </c>
      <c r="AO18">
        <f>IF($A18="","",$BC$10*$D18)</f>
        <v/>
      </c>
      <c r="AP18">
        <f>IF($A18="","",2*$BC$6*$D18)</f>
        <v/>
      </c>
      <c r="AQ18">
        <f>IF($A18="","",IF($B18&gt;2800,2,IF($B18&gt;1400,1,0))*$BC$6*$D18)</f>
        <v/>
      </c>
      <c r="AR18">
        <f>IF($A18="","",2*$BC$6*$D18)</f>
        <v/>
      </c>
      <c r="AS18">
        <f>IF($A18="","",$BC$6*$D18)</f>
        <v/>
      </c>
      <c r="AT18">
        <f>IF($A18="","",2*$BC$6*$D18)</f>
        <v/>
      </c>
      <c r="AU18">
        <f>IF($A18="","",4*2*$D18)</f>
        <v/>
      </c>
      <c r="AV18">
        <f>IF($A18="","",16*2*$D18)</f>
        <v/>
      </c>
      <c r="AW18">
        <f>IF($A18="","",(2+MAX(0,ROUNDUP(($G18-1500)/500,0)))*$D18)</f>
        <v/>
      </c>
      <c r="AX18">
        <f>IF($A18="","",(2+MAX(0,ROUNDUP(($G18-1500)/500,0)))*$D18)</f>
        <v/>
      </c>
      <c r="AY18">
        <f>IF($A18="","",ROUND((2*2*($M18+$K18)*2*$D18+$S18*$T18)/1000,1))</f>
        <v/>
      </c>
    </row>
    <row r="19" ht="40.15" customHeight="1">
      <c r="A19" s="101" t="n"/>
      <c r="B19" s="102" t="n"/>
      <c r="C19" s="92" t="n"/>
      <c r="D19" s="103" t="n"/>
      <c r="E19" s="104">
        <f>IF($A19="","",$B19)</f>
        <v/>
      </c>
      <c r="F19" s="92">
        <f>IF($A19="","",$L$54*$D19)</f>
        <v/>
      </c>
      <c r="G19" s="104">
        <f>IF($A19="","",$C19-$E$55-$F$55)</f>
        <v/>
      </c>
      <c r="H19" s="92">
        <f>IF($A19="","",$L$55*$D19)</f>
        <v/>
      </c>
      <c r="I19" s="104">
        <f>IF($A19="","",$C19)</f>
        <v/>
      </c>
      <c r="J19" s="92">
        <f>IF($A19="","",$L$56*$D19)</f>
        <v/>
      </c>
      <c r="K19" s="104">
        <f>IF($A19="","",$B19-$E$57-$F$57-$G$57-$H$57)</f>
        <v/>
      </c>
      <c r="L19" s="92">
        <f>IF($A19="","",$L$57*$D19)</f>
        <v/>
      </c>
      <c r="M19" s="104">
        <f>IF($A19="","",(($C19-$E$58-$F$58-$G$58-$H$58)/2)+(66*1)/2)</f>
        <v/>
      </c>
      <c r="N19" s="92">
        <f>IF($A19="","",$L$58*$D19)</f>
        <v/>
      </c>
      <c r="O19" s="104">
        <f>IF($A19="","",$K19-$E$59-$F$59)</f>
        <v/>
      </c>
      <c r="P19" s="92">
        <f>IF($A19="","",$L$59*$D19)</f>
        <v/>
      </c>
      <c r="Q19" s="104">
        <f>IF($A19="","",$M19-$E$60-$F$60)</f>
        <v/>
      </c>
      <c r="R19" s="92">
        <f>IF($A19="","",$L$60*$D19)</f>
        <v/>
      </c>
      <c r="S19" s="104">
        <f>IF($A19="","",$K19)</f>
        <v/>
      </c>
      <c r="T19" s="92">
        <f>IF($A19="","",$L$61*$D19)</f>
        <v/>
      </c>
      <c r="U19" s="104">
        <f>IF($A19="","",$B19-$E$62-$F$62)</f>
        <v/>
      </c>
      <c r="V19" s="92">
        <f>IF($A19="","",$L$62*$D19)</f>
        <v/>
      </c>
      <c r="W19" s="104">
        <f>IF($A19="","",$C19-$E$63-$F$63)</f>
        <v/>
      </c>
      <c r="X19" s="92">
        <f>IF($A19="","",$L$63*$D19)</f>
        <v/>
      </c>
      <c r="Y19" s="104">
        <f>IF($A19="","",$B19-$E$64-$F$64)</f>
        <v/>
      </c>
      <c r="Z19" s="92">
        <f>IF($A19="","",$L$64*$D19)</f>
        <v/>
      </c>
      <c r="AA19" s="104">
        <f>IF($A19="","",$S19)</f>
        <v/>
      </c>
      <c r="AB19" s="92">
        <f>IF($A19="","",$L$65*$D19)</f>
        <v/>
      </c>
      <c r="AC19" s="104">
        <f>IF($A19="","",$C19)</f>
        <v/>
      </c>
      <c r="AD19" s="92">
        <f>IF($A19="","",$L$66*$D19)</f>
        <v/>
      </c>
      <c r="AE19" s="104">
        <f>IF($A19="","",$C19-$E$67-$F$67)</f>
        <v/>
      </c>
      <c r="AF19" s="92">
        <f>IF($A19="","",$L$67*$D19)</f>
        <v/>
      </c>
      <c r="AG19" s="105">
        <f>IF($A19="","",$K19-56-56)</f>
        <v/>
      </c>
      <c r="AH19" s="106">
        <f>IF($A19="","",$M19-56-56)</f>
        <v/>
      </c>
      <c r="AI19" s="107">
        <f>IF($A19="","",2*$D19)</f>
        <v/>
      </c>
      <c r="AK19">
        <f>IF($A19="","",2*2*$D19)</f>
        <v/>
      </c>
      <c r="AL19">
        <f>IF($A19="","",$BC$7*$D19)</f>
        <v/>
      </c>
      <c r="AM19">
        <f>IF($A19="","",$BC$6*$D19)</f>
        <v/>
      </c>
      <c r="AN19">
        <f>IF($A19="","",$BC$9*$D19)</f>
        <v/>
      </c>
      <c r="AO19">
        <f>IF($A19="","",$BC$10*$D19)</f>
        <v/>
      </c>
      <c r="AP19">
        <f>IF($A19="","",2*$BC$6*$D19)</f>
        <v/>
      </c>
      <c r="AQ19">
        <f>IF($A19="","",IF($B19&gt;2800,2,IF($B19&gt;1400,1,0))*$BC$6*$D19)</f>
        <v/>
      </c>
      <c r="AR19">
        <f>IF($A19="","",2*$BC$6*$D19)</f>
        <v/>
      </c>
      <c r="AS19">
        <f>IF($A19="","",$BC$6*$D19)</f>
        <v/>
      </c>
      <c r="AT19">
        <f>IF($A19="","",2*$BC$6*$D19)</f>
        <v/>
      </c>
      <c r="AU19">
        <f>IF($A19="","",4*2*$D19)</f>
        <v/>
      </c>
      <c r="AV19">
        <f>IF($A19="","",16*2*$D19)</f>
        <v/>
      </c>
      <c r="AW19">
        <f>IF($A19="","",(2+MAX(0,ROUNDUP(($G19-1500)/500,0)))*$D19)</f>
        <v/>
      </c>
      <c r="AX19">
        <f>IF($A19="","",(2+MAX(0,ROUNDUP(($G19-1500)/500,0)))*$D19)</f>
        <v/>
      </c>
      <c r="AY19">
        <f>IF($A19="","",ROUND((2*2*($M19+$K19)*2*$D19+$S19*$T19)/1000,1))</f>
        <v/>
      </c>
    </row>
    <row r="20" ht="40.15" customHeight="1">
      <c r="A20" s="101" t="n"/>
      <c r="B20" s="102" t="n"/>
      <c r="C20" s="92" t="n"/>
      <c r="D20" s="103" t="n"/>
      <c r="E20" s="108">
        <f>IF($A20="","",$B20)</f>
        <v/>
      </c>
      <c r="F20" s="98">
        <f>IF($A20="","",$L$54*$D20)</f>
        <v/>
      </c>
      <c r="G20" s="108">
        <f>IF($A20="","",$C20-$E$55-$F$55)</f>
        <v/>
      </c>
      <c r="H20" s="98">
        <f>IF($A20="","",$L$55*$D20)</f>
        <v/>
      </c>
      <c r="I20" s="108">
        <f>IF($A20="","",$C20)</f>
        <v/>
      </c>
      <c r="J20" s="98">
        <f>IF($A20="","",$L$56*$D20)</f>
        <v/>
      </c>
      <c r="K20" s="108">
        <f>IF($A20="","",$B20-$E$57-$F$57-$G$57-$H$57)</f>
        <v/>
      </c>
      <c r="L20" s="98">
        <f>IF($A20="","",$L$57*$D20)</f>
        <v/>
      </c>
      <c r="M20" s="108">
        <f>IF($A20="","",(($C20-$E$58-$F$58-$G$58-$H$58)/2)+(66*1)/2)</f>
        <v/>
      </c>
      <c r="N20" s="98">
        <f>IF($A20="","",$L$58*$D20)</f>
        <v/>
      </c>
      <c r="O20" s="108">
        <f>IF($A20="","",$K20-$E$59-$F$59)</f>
        <v/>
      </c>
      <c r="P20" s="98">
        <f>IF($A20="","",$L$59*$D20)</f>
        <v/>
      </c>
      <c r="Q20" s="108">
        <f>IF($A20="","",$M20-$E$60-$F$60)</f>
        <v/>
      </c>
      <c r="R20" s="98">
        <f>IF($A20="","",$L$60*$D20)</f>
        <v/>
      </c>
      <c r="S20" s="108">
        <f>IF($A20="","",$K20)</f>
        <v/>
      </c>
      <c r="T20" s="98">
        <f>IF($A20="","",$L$61*$D20)</f>
        <v/>
      </c>
      <c r="U20" s="108">
        <f>IF($A20="","",$B20-$E$62-$F$62)</f>
        <v/>
      </c>
      <c r="V20" s="98">
        <f>IF($A20="","",$L$62*$D20)</f>
        <v/>
      </c>
      <c r="W20" s="108">
        <f>IF($A20="","",$C20-$E$63-$F$63)</f>
        <v/>
      </c>
      <c r="X20" s="98">
        <f>IF($A20="","",$L$63*$D20)</f>
        <v/>
      </c>
      <c r="Y20" s="108">
        <f>IF($A20="","",$B20-$E$64-$F$64)</f>
        <v/>
      </c>
      <c r="Z20" s="98">
        <f>IF($A20="","",$L$64*$D20)</f>
        <v/>
      </c>
      <c r="AA20" s="108">
        <f>IF($A20="","",$S20)</f>
        <v/>
      </c>
      <c r="AB20" s="98">
        <f>IF($A20="","",$L$65*$D20)</f>
        <v/>
      </c>
      <c r="AC20" s="108">
        <f>IF($A20="","",$C20)</f>
        <v/>
      </c>
      <c r="AD20" s="98">
        <f>IF($A20="","",$L$66*$D20)</f>
        <v/>
      </c>
      <c r="AE20" s="108">
        <f>IF($A20="","",$C20-$E$67-$F$67)</f>
        <v/>
      </c>
      <c r="AF20" s="98">
        <f>IF($A20="","",$L$67*$D20)</f>
        <v/>
      </c>
      <c r="AG20" s="105">
        <f>IF($A20="","",$K20-56-56)</f>
        <v/>
      </c>
      <c r="AH20" s="106">
        <f>IF($A20="","",$M20-56-56)</f>
        <v/>
      </c>
      <c r="AI20" s="107">
        <f>IF($A20="","",2*$D20)</f>
        <v/>
      </c>
      <c r="AK20">
        <f>IF($A20="","",2*2*$D20)</f>
        <v/>
      </c>
      <c r="AL20">
        <f>IF($A20="","",$BC$7*$D20)</f>
        <v/>
      </c>
      <c r="AM20">
        <f>IF($A20="","",$BC$6*$D20)</f>
        <v/>
      </c>
      <c r="AN20">
        <f>IF($A20="","",$BC$9*$D20)</f>
        <v/>
      </c>
      <c r="AO20">
        <f>IF($A20="","",$BC$10*$D20)</f>
        <v/>
      </c>
      <c r="AP20">
        <f>IF($A20="","",2*$BC$6*$D20)</f>
        <v/>
      </c>
      <c r="AQ20">
        <f>IF($A20="","",IF($B20&gt;2800,2,IF($B20&gt;1400,1,0))*$BC$6*$D20)</f>
        <v/>
      </c>
      <c r="AR20">
        <f>IF($A20="","",2*$BC$6*$D20)</f>
        <v/>
      </c>
      <c r="AS20">
        <f>IF($A20="","",$BC$6*$D20)</f>
        <v/>
      </c>
      <c r="AT20">
        <f>IF($A20="","",2*$BC$6*$D20)</f>
        <v/>
      </c>
      <c r="AU20">
        <f>IF($A20="","",4*2*$D20)</f>
        <v/>
      </c>
      <c r="AV20">
        <f>IF($A20="","",16*2*$D20)</f>
        <v/>
      </c>
      <c r="AW20">
        <f>IF($A20="","",(2+MAX(0,ROUNDUP(($G20-1500)/500,0)))*$D20)</f>
        <v/>
      </c>
      <c r="AX20">
        <f>IF($A20="","",(2+MAX(0,ROUNDUP(($G20-1500)/500,0)))*$D20)</f>
        <v/>
      </c>
      <c r="AY20">
        <f>IF($A20="","",ROUND((2*2*($M20+$K20)*2*$D20+$S20*$T20)/1000,1))</f>
        <v/>
      </c>
    </row>
    <row r="21" ht="40.15" customHeight="1">
      <c r="A21" s="101" t="n"/>
      <c r="B21" s="102" t="n"/>
      <c r="C21" s="92" t="n"/>
      <c r="D21" s="103" t="n"/>
      <c r="E21" s="104">
        <f>IF($A21="","",$B21)</f>
        <v/>
      </c>
      <c r="F21" s="92">
        <f>IF($A21="","",$L$54*$D21)</f>
        <v/>
      </c>
      <c r="G21" s="104">
        <f>IF($A21="","",$C21-$E$55-$F$55)</f>
        <v/>
      </c>
      <c r="H21" s="92">
        <f>IF($A21="","",$L$55*$D21)</f>
        <v/>
      </c>
      <c r="I21" s="104">
        <f>IF($A21="","",$C21)</f>
        <v/>
      </c>
      <c r="J21" s="92">
        <f>IF($A21="","",$L$56*$D21)</f>
        <v/>
      </c>
      <c r="K21" s="104">
        <f>IF($A21="","",$B21-$E$57-$F$57-$G$57-$H$57)</f>
        <v/>
      </c>
      <c r="L21" s="92">
        <f>IF($A21="","",$L$57*$D21)</f>
        <v/>
      </c>
      <c r="M21" s="104">
        <f>IF($A21="","",(($C21-$E$58-$F$58-$G$58-$H$58)/2)+(66*1)/2)</f>
        <v/>
      </c>
      <c r="N21" s="92">
        <f>IF($A21="","",$L$58*$D21)</f>
        <v/>
      </c>
      <c r="O21" s="104">
        <f>IF($A21="","",$K21-$E$59-$F$59)</f>
        <v/>
      </c>
      <c r="P21" s="92">
        <f>IF($A21="","",$L$59*$D21)</f>
        <v/>
      </c>
      <c r="Q21" s="104">
        <f>IF($A21="","",$M21-$E$60-$F$60)</f>
        <v/>
      </c>
      <c r="R21" s="92">
        <f>IF($A21="","",$L$60*$D21)</f>
        <v/>
      </c>
      <c r="S21" s="104">
        <f>IF($A21="","",$K21)</f>
        <v/>
      </c>
      <c r="T21" s="92">
        <f>IF($A21="","",$L$61*$D21)</f>
        <v/>
      </c>
      <c r="U21" s="104">
        <f>IF($A21="","",$B21-$E$62-$F$62)</f>
        <v/>
      </c>
      <c r="V21" s="92">
        <f>IF($A21="","",$L$62*$D21)</f>
        <v/>
      </c>
      <c r="W21" s="104">
        <f>IF($A21="","",$C21-$E$63-$F$63)</f>
        <v/>
      </c>
      <c r="X21" s="92">
        <f>IF($A21="","",$L$63*$D21)</f>
        <v/>
      </c>
      <c r="Y21" s="104">
        <f>IF($A21="","",$B21-$E$64-$F$64)</f>
        <v/>
      </c>
      <c r="Z21" s="92">
        <f>IF($A21="","",$L$64*$D21)</f>
        <v/>
      </c>
      <c r="AA21" s="104">
        <f>IF($A21="","",$S21)</f>
        <v/>
      </c>
      <c r="AB21" s="92">
        <f>IF($A21="","",$L$65*$D21)</f>
        <v/>
      </c>
      <c r="AC21" s="104">
        <f>IF($A21="","",$C21)</f>
        <v/>
      </c>
      <c r="AD21" s="92">
        <f>IF($A21="","",$L$66*$D21)</f>
        <v/>
      </c>
      <c r="AE21" s="104">
        <f>IF($A21="","",$C21-$E$67-$F$67)</f>
        <v/>
      </c>
      <c r="AF21" s="92">
        <f>IF($A21="","",$L$67*$D21)</f>
        <v/>
      </c>
      <c r="AG21" s="105">
        <f>IF($A21="","",$K21-56-56)</f>
        <v/>
      </c>
      <c r="AH21" s="106">
        <f>IF($A21="","",$M21-56-56)</f>
        <v/>
      </c>
      <c r="AI21" s="107">
        <f>IF($A21="","",2*$D21)</f>
        <v/>
      </c>
      <c r="AK21">
        <f>IF($A21="","",2*2*$D21)</f>
        <v/>
      </c>
      <c r="AL21">
        <f>IF($A21="","",$BC$7*$D21)</f>
        <v/>
      </c>
      <c r="AM21">
        <f>IF($A21="","",$BC$6*$D21)</f>
        <v/>
      </c>
      <c r="AN21">
        <f>IF($A21="","",$BC$9*$D21)</f>
        <v/>
      </c>
      <c r="AO21">
        <f>IF($A21="","",$BC$10*$D21)</f>
        <v/>
      </c>
      <c r="AP21">
        <f>IF($A21="","",2*$BC$6*$D21)</f>
        <v/>
      </c>
      <c r="AQ21">
        <f>IF($A21="","",IF($B21&gt;2800,2,IF($B21&gt;1400,1,0))*$BC$6*$D21)</f>
        <v/>
      </c>
      <c r="AR21">
        <f>IF($A21="","",2*$BC$6*$D21)</f>
        <v/>
      </c>
      <c r="AS21">
        <f>IF($A21="","",$BC$6*$D21)</f>
        <v/>
      </c>
      <c r="AT21">
        <f>IF($A21="","",2*$BC$6*$D21)</f>
        <v/>
      </c>
      <c r="AU21">
        <f>IF($A21="","",4*2*$D21)</f>
        <v/>
      </c>
      <c r="AV21">
        <f>IF($A21="","",16*2*$D21)</f>
        <v/>
      </c>
      <c r="AW21">
        <f>IF($A21="","",(2+MAX(0,ROUNDUP(($G21-1500)/500,0)))*$D21)</f>
        <v/>
      </c>
      <c r="AX21">
        <f>IF($A21="","",(2+MAX(0,ROUNDUP(($G21-1500)/500,0)))*$D21)</f>
        <v/>
      </c>
      <c r="AY21">
        <f>IF($A21="","",ROUND((2*2*($M21+$K21)*2*$D21+$S21*$T21)/1000,1))</f>
        <v/>
      </c>
    </row>
    <row r="22" ht="40.15" customHeight="1">
      <c r="A22" s="101" t="n"/>
      <c r="B22" s="102" t="n"/>
      <c r="C22" s="92" t="n"/>
      <c r="D22" s="103" t="n"/>
      <c r="E22" s="108">
        <f>IF($A22="","",$B22)</f>
        <v/>
      </c>
      <c r="F22" s="98">
        <f>IF($A22="","",$L$54*$D22)</f>
        <v/>
      </c>
      <c r="G22" s="108">
        <f>IF($A22="","",$C22-$E$55-$F$55)</f>
        <v/>
      </c>
      <c r="H22" s="98">
        <f>IF($A22="","",$L$55*$D22)</f>
        <v/>
      </c>
      <c r="I22" s="108">
        <f>IF($A22="","",$C22)</f>
        <v/>
      </c>
      <c r="J22" s="98">
        <f>IF($A22="","",$L$56*$D22)</f>
        <v/>
      </c>
      <c r="K22" s="108">
        <f>IF($A22="","",$B22-$E$57-$F$57-$G$57-$H$57)</f>
        <v/>
      </c>
      <c r="L22" s="98">
        <f>IF($A22="","",$L$57*$D22)</f>
        <v/>
      </c>
      <c r="M22" s="108">
        <f>IF($A22="","",(($C22-$E$58-$F$58-$G$58-$H$58)/2)+(66*1)/2)</f>
        <v/>
      </c>
      <c r="N22" s="98">
        <f>IF($A22="","",$L$58*$D22)</f>
        <v/>
      </c>
      <c r="O22" s="108">
        <f>IF($A22="","",$K22-$E$59-$F$59)</f>
        <v/>
      </c>
      <c r="P22" s="98">
        <f>IF($A22="","",$L$59*$D22)</f>
        <v/>
      </c>
      <c r="Q22" s="108">
        <f>IF($A22="","",$M22-$E$60-$F$60)</f>
        <v/>
      </c>
      <c r="R22" s="98">
        <f>IF($A22="","",$L$60*$D22)</f>
        <v/>
      </c>
      <c r="S22" s="108">
        <f>IF($A22="","",$K22)</f>
        <v/>
      </c>
      <c r="T22" s="98">
        <f>IF($A22="","",$L$61*$D22)</f>
        <v/>
      </c>
      <c r="U22" s="108">
        <f>IF($A22="","",$B22-$E$62-$F$62)</f>
        <v/>
      </c>
      <c r="V22" s="98">
        <f>IF($A22="","",$L$62*$D22)</f>
        <v/>
      </c>
      <c r="W22" s="108">
        <f>IF($A22="","",$C22-$E$63-$F$63)</f>
        <v/>
      </c>
      <c r="X22" s="98">
        <f>IF($A22="","",$L$63*$D22)</f>
        <v/>
      </c>
      <c r="Y22" s="108">
        <f>IF($A22="","",$B22-$E$64-$F$64)</f>
        <v/>
      </c>
      <c r="Z22" s="98">
        <f>IF($A22="","",$L$64*$D22)</f>
        <v/>
      </c>
      <c r="AA22" s="108">
        <f>IF($A22="","",$S22)</f>
        <v/>
      </c>
      <c r="AB22" s="98">
        <f>IF($A22="","",$L$65*$D22)</f>
        <v/>
      </c>
      <c r="AC22" s="108">
        <f>IF($A22="","",$C22)</f>
        <v/>
      </c>
      <c r="AD22" s="98">
        <f>IF($A22="","",$L$66*$D22)</f>
        <v/>
      </c>
      <c r="AE22" s="108">
        <f>IF($A22="","",$C22-$E$67-$F$67)</f>
        <v/>
      </c>
      <c r="AF22" s="98">
        <f>IF($A22="","",$L$67*$D22)</f>
        <v/>
      </c>
      <c r="AG22" s="105">
        <f>IF($A22="","",$K22-56-56)</f>
        <v/>
      </c>
      <c r="AH22" s="106">
        <f>IF($A22="","",$M22-56-56)</f>
        <v/>
      </c>
      <c r="AI22" s="107">
        <f>IF($A22="","",2*$D22)</f>
        <v/>
      </c>
      <c r="AK22">
        <f>IF($A22="","",2*2*$D22)</f>
        <v/>
      </c>
      <c r="AL22">
        <f>IF($A22="","",$BC$7*$D22)</f>
        <v/>
      </c>
      <c r="AM22">
        <f>IF($A22="","",$BC$6*$D22)</f>
        <v/>
      </c>
      <c r="AN22">
        <f>IF($A22="","",$BC$9*$D22)</f>
        <v/>
      </c>
      <c r="AO22">
        <f>IF($A22="","",$BC$10*$D22)</f>
        <v/>
      </c>
      <c r="AP22">
        <f>IF($A22="","",2*$BC$6*$D22)</f>
        <v/>
      </c>
      <c r="AQ22">
        <f>IF($A22="","",IF($B22&gt;2800,2,IF($B22&gt;1400,1,0))*$BC$6*$D22)</f>
        <v/>
      </c>
      <c r="AR22">
        <f>IF($A22="","",2*$BC$6*$D22)</f>
        <v/>
      </c>
      <c r="AS22">
        <f>IF($A22="","",$BC$6*$D22)</f>
        <v/>
      </c>
      <c r="AT22">
        <f>IF($A22="","",2*$BC$6*$D22)</f>
        <v/>
      </c>
      <c r="AU22">
        <f>IF($A22="","",4*2*$D22)</f>
        <v/>
      </c>
      <c r="AV22">
        <f>IF($A22="","",16*2*$D22)</f>
        <v/>
      </c>
      <c r="AW22">
        <f>IF($A22="","",(2+MAX(0,ROUNDUP(($G22-1500)/500,0)))*$D22)</f>
        <v/>
      </c>
      <c r="AX22">
        <f>IF($A22="","",(2+MAX(0,ROUNDUP(($G22-1500)/500,0)))*$D22)</f>
        <v/>
      </c>
      <c r="AY22">
        <f>IF($A22="","",ROUND((2*2*($M22+$K22)*2*$D22+$S22*$T22)/1000,1))</f>
        <v/>
      </c>
    </row>
    <row r="23" ht="40.15" customHeight="1">
      <c r="A23" s="101" t="n"/>
      <c r="B23" s="102" t="n"/>
      <c r="C23" s="92" t="n"/>
      <c r="D23" s="103" t="n"/>
      <c r="E23" s="104">
        <f>IF($A23="","",$B23)</f>
        <v/>
      </c>
      <c r="F23" s="92">
        <f>IF($A23="","",$L$54*$D23)</f>
        <v/>
      </c>
      <c r="G23" s="104">
        <f>IF($A23="","",$C23-$E$55-$F$55)</f>
        <v/>
      </c>
      <c r="H23" s="92">
        <f>IF($A23="","",$L$55*$D23)</f>
        <v/>
      </c>
      <c r="I23" s="104">
        <f>IF($A23="","",$C23)</f>
        <v/>
      </c>
      <c r="J23" s="92">
        <f>IF($A23="","",$L$56*$D23)</f>
        <v/>
      </c>
      <c r="K23" s="104">
        <f>IF($A23="","",$B23-$E$57-$F$57-$G$57-$H$57)</f>
        <v/>
      </c>
      <c r="L23" s="92">
        <f>IF($A23="","",$L$57*$D23)</f>
        <v/>
      </c>
      <c r="M23" s="104">
        <f>IF($A23="","",(($C23-$E$58-$F$58-$G$58-$H$58)/2)+(66*1)/2)</f>
        <v/>
      </c>
      <c r="N23" s="92">
        <f>IF($A23="","",$L$58*$D23)</f>
        <v/>
      </c>
      <c r="O23" s="104">
        <f>IF($A23="","",$K23-$E$59-$F$59)</f>
        <v/>
      </c>
      <c r="P23" s="92">
        <f>IF($A23="","",$L$59*$D23)</f>
        <v/>
      </c>
      <c r="Q23" s="104">
        <f>IF($A23="","",$M23-$E$60-$F$60)</f>
        <v/>
      </c>
      <c r="R23" s="92">
        <f>IF($A23="","",$L$60*$D23)</f>
        <v/>
      </c>
      <c r="S23" s="104">
        <f>IF($A23="","",$K23)</f>
        <v/>
      </c>
      <c r="T23" s="92">
        <f>IF($A23="","",$L$61*$D23)</f>
        <v/>
      </c>
      <c r="U23" s="104">
        <f>IF($A23="","",$B23-$E$62-$F$62)</f>
        <v/>
      </c>
      <c r="V23" s="92">
        <f>IF($A23="","",$L$62*$D23)</f>
        <v/>
      </c>
      <c r="W23" s="104">
        <f>IF($A23="","",$C23-$E$63-$F$63)</f>
        <v/>
      </c>
      <c r="X23" s="92">
        <f>IF($A23="","",$L$63*$D23)</f>
        <v/>
      </c>
      <c r="Y23" s="104">
        <f>IF($A23="","",$B23-$E$64-$F$64)</f>
        <v/>
      </c>
      <c r="Z23" s="92">
        <f>IF($A23="","",$L$64*$D23)</f>
        <v/>
      </c>
      <c r="AA23" s="104">
        <f>IF($A23="","",$S23)</f>
        <v/>
      </c>
      <c r="AB23" s="92">
        <f>IF($A23="","",$L$65*$D23)</f>
        <v/>
      </c>
      <c r="AC23" s="104">
        <f>IF($A23="","",$C23)</f>
        <v/>
      </c>
      <c r="AD23" s="92">
        <f>IF($A23="","",$L$66*$D23)</f>
        <v/>
      </c>
      <c r="AE23" s="104">
        <f>IF($A23="","",$C23-$E$67-$F$67)</f>
        <v/>
      </c>
      <c r="AF23" s="92">
        <f>IF($A23="","",$L$67*$D23)</f>
        <v/>
      </c>
      <c r="AG23" s="105">
        <f>IF($A23="","",$K23-56-56)</f>
        <v/>
      </c>
      <c r="AH23" s="106">
        <f>IF($A23="","",$M23-56-56)</f>
        <v/>
      </c>
      <c r="AI23" s="107">
        <f>IF($A23="","",2*$D23)</f>
        <v/>
      </c>
      <c r="AK23">
        <f>IF($A23="","",2*2*$D23)</f>
        <v/>
      </c>
      <c r="AL23">
        <f>IF($A23="","",$BC$7*$D23)</f>
        <v/>
      </c>
      <c r="AM23">
        <f>IF($A23="","",$BC$6*$D23)</f>
        <v/>
      </c>
      <c r="AN23">
        <f>IF($A23="","",$BC$9*$D23)</f>
        <v/>
      </c>
      <c r="AO23">
        <f>IF($A23="","",$BC$10*$D23)</f>
        <v/>
      </c>
      <c r="AP23">
        <f>IF($A23="","",2*$BC$6*$D23)</f>
        <v/>
      </c>
      <c r="AQ23">
        <f>IF($A23="","",IF($B23&gt;2800,2,IF($B23&gt;1400,1,0))*$BC$6*$D23)</f>
        <v/>
      </c>
      <c r="AR23">
        <f>IF($A23="","",2*$BC$6*$D23)</f>
        <v/>
      </c>
      <c r="AS23">
        <f>IF($A23="","",$BC$6*$D23)</f>
        <v/>
      </c>
      <c r="AT23">
        <f>IF($A23="","",2*$BC$6*$D23)</f>
        <v/>
      </c>
      <c r="AU23">
        <f>IF($A23="","",4*2*$D23)</f>
        <v/>
      </c>
      <c r="AV23">
        <f>IF($A23="","",16*2*$D23)</f>
        <v/>
      </c>
      <c r="AW23">
        <f>IF($A23="","",(2+MAX(0,ROUNDUP(($G23-1500)/500,0)))*$D23)</f>
        <v/>
      </c>
      <c r="AX23">
        <f>IF($A23="","",(2+MAX(0,ROUNDUP(($G23-1500)/500,0)))*$D23)</f>
        <v/>
      </c>
      <c r="AY23">
        <f>IF($A23="","",ROUND((2*2*($M23+$K23)*2*$D23+$S23*$T23)/1000,1))</f>
        <v/>
      </c>
    </row>
    <row r="24" ht="40.15" customHeight="1">
      <c r="A24" s="101" t="n"/>
      <c r="B24" s="102" t="n"/>
      <c r="C24" s="92" t="n"/>
      <c r="D24" s="103" t="n"/>
      <c r="E24" s="108">
        <f>IF($A24="","",$B24)</f>
        <v/>
      </c>
      <c r="F24" s="98">
        <f>IF($A24="","",$L$54*$D24)</f>
        <v/>
      </c>
      <c r="G24" s="108">
        <f>IF($A24="","",$C24-$E$55-$F$55)</f>
        <v/>
      </c>
      <c r="H24" s="98">
        <f>IF($A24="","",$L$55*$D24)</f>
        <v/>
      </c>
      <c r="I24" s="108">
        <f>IF($A24="","",$C24)</f>
        <v/>
      </c>
      <c r="J24" s="98">
        <f>IF($A24="","",$L$56*$D24)</f>
        <v/>
      </c>
      <c r="K24" s="108">
        <f>IF($A24="","",$B24-$E$57-$F$57-$G$57-$H$57)</f>
        <v/>
      </c>
      <c r="L24" s="98">
        <f>IF($A24="","",$L$57*$D24)</f>
        <v/>
      </c>
      <c r="M24" s="108">
        <f>IF($A24="","",(($C24-$E$58-$F$58-$G$58-$H$58)/2)+(66*1)/2)</f>
        <v/>
      </c>
      <c r="N24" s="98">
        <f>IF($A24="","",$L$58*$D24)</f>
        <v/>
      </c>
      <c r="O24" s="108">
        <f>IF($A24="","",$K24-$E$59-$F$59)</f>
        <v/>
      </c>
      <c r="P24" s="98">
        <f>IF($A24="","",$L$59*$D24)</f>
        <v/>
      </c>
      <c r="Q24" s="108">
        <f>IF($A24="","",$M24-$E$60-$F$60)</f>
        <v/>
      </c>
      <c r="R24" s="98">
        <f>IF($A24="","",$L$60*$D24)</f>
        <v/>
      </c>
      <c r="S24" s="108">
        <f>IF($A24="","",$K24)</f>
        <v/>
      </c>
      <c r="T24" s="98">
        <f>IF($A24="","",$L$61*$D24)</f>
        <v/>
      </c>
      <c r="U24" s="108">
        <f>IF($A24="","",$B24-$E$62-$F$62)</f>
        <v/>
      </c>
      <c r="V24" s="98">
        <f>IF($A24="","",$L$62*$D24)</f>
        <v/>
      </c>
      <c r="W24" s="108">
        <f>IF($A24="","",$C24-$E$63-$F$63)</f>
        <v/>
      </c>
      <c r="X24" s="98">
        <f>IF($A24="","",$L$63*$D24)</f>
        <v/>
      </c>
      <c r="Y24" s="108">
        <f>IF($A24="","",$B24-$E$64-$F$64)</f>
        <v/>
      </c>
      <c r="Z24" s="98">
        <f>IF($A24="","",$L$64*$D24)</f>
        <v/>
      </c>
      <c r="AA24" s="108">
        <f>IF($A24="","",$S24)</f>
        <v/>
      </c>
      <c r="AB24" s="98">
        <f>IF($A24="","",$L$65*$D24)</f>
        <v/>
      </c>
      <c r="AC24" s="108">
        <f>IF($A24="","",$C24)</f>
        <v/>
      </c>
      <c r="AD24" s="98">
        <f>IF($A24="","",$L$66*$D24)</f>
        <v/>
      </c>
      <c r="AE24" s="108">
        <f>IF($A24="","",$C24-$E$67-$F$67)</f>
        <v/>
      </c>
      <c r="AF24" s="98">
        <f>IF($A24="","",$L$67*$D24)</f>
        <v/>
      </c>
      <c r="AG24" s="105">
        <f>IF($A24="","",$K24-56-56)</f>
        <v/>
      </c>
      <c r="AH24" s="106">
        <f>IF($A24="","",$M24-56-56)</f>
        <v/>
      </c>
      <c r="AI24" s="107">
        <f>IF($A24="","",2*$D24)</f>
        <v/>
      </c>
      <c r="AK24">
        <f>IF($A24="","",2*2*$D24)</f>
        <v/>
      </c>
      <c r="AL24">
        <f>IF($A24="","",$BC$7*$D24)</f>
        <v/>
      </c>
      <c r="AM24">
        <f>IF($A24="","",$BC$6*$D24)</f>
        <v/>
      </c>
      <c r="AN24">
        <f>IF($A24="","",$BC$9*$D24)</f>
        <v/>
      </c>
      <c r="AO24">
        <f>IF($A24="","",$BC$10*$D24)</f>
        <v/>
      </c>
      <c r="AP24">
        <f>IF($A24="","",2*$BC$6*$D24)</f>
        <v/>
      </c>
      <c r="AQ24">
        <f>IF($A24="","",IF($B24&gt;2800,2,IF($B24&gt;1400,1,0))*$BC$6*$D24)</f>
        <v/>
      </c>
      <c r="AR24">
        <f>IF($A24="","",2*$BC$6*$D24)</f>
        <v/>
      </c>
      <c r="AS24">
        <f>IF($A24="","",$BC$6*$D24)</f>
        <v/>
      </c>
      <c r="AT24">
        <f>IF($A24="","",2*$BC$6*$D24)</f>
        <v/>
      </c>
      <c r="AU24">
        <f>IF($A24="","",4*2*$D24)</f>
        <v/>
      </c>
      <c r="AV24">
        <f>IF($A24="","",16*2*$D24)</f>
        <v/>
      </c>
      <c r="AW24">
        <f>IF($A24="","",(2+MAX(0,ROUNDUP(($G24-1500)/500,0)))*$D24)</f>
        <v/>
      </c>
      <c r="AX24">
        <f>IF($A24="","",(2+MAX(0,ROUNDUP(($G24-1500)/500,0)))*$D24)</f>
        <v/>
      </c>
      <c r="AY24">
        <f>IF($A24="","",ROUND((2*2*($M24+$K24)*2*$D24+$S24*$T24)/1000,1))</f>
        <v/>
      </c>
    </row>
    <row r="25" ht="40.15" customHeight="1">
      <c r="A25" s="101" t="n"/>
      <c r="B25" s="102" t="n"/>
      <c r="C25" s="92" t="n"/>
      <c r="D25" s="103" t="n"/>
      <c r="E25" s="104">
        <f>IF($A25="","",$B25)</f>
        <v/>
      </c>
      <c r="F25" s="92">
        <f>IF($A25="","",$L$54*$D25)</f>
        <v/>
      </c>
      <c r="G25" s="104">
        <f>IF($A25="","",$C25-$E$55-$F$55)</f>
        <v/>
      </c>
      <c r="H25" s="92">
        <f>IF($A25="","",$L$55*$D25)</f>
        <v/>
      </c>
      <c r="I25" s="104">
        <f>IF($A25="","",$C25)</f>
        <v/>
      </c>
      <c r="J25" s="92">
        <f>IF($A25="","",$L$56*$D25)</f>
        <v/>
      </c>
      <c r="K25" s="104">
        <f>IF($A25="","",$B25-$E$57-$F$57-$G$57-$H$57)</f>
        <v/>
      </c>
      <c r="L25" s="92">
        <f>IF($A25="","",$L$57*$D25)</f>
        <v/>
      </c>
      <c r="M25" s="104">
        <f>IF($A25="","",(($C25-$E$58-$F$58-$G$58-$H$58)/2)+(66*1)/2)</f>
        <v/>
      </c>
      <c r="N25" s="92">
        <f>IF($A25="","",$L$58*$D25)</f>
        <v/>
      </c>
      <c r="O25" s="104">
        <f>IF($A25="","",$K25-$E$59-$F$59)</f>
        <v/>
      </c>
      <c r="P25" s="92">
        <f>IF($A25="","",$L$59*$D25)</f>
        <v/>
      </c>
      <c r="Q25" s="104">
        <f>IF($A25="","",$M25-$E$60-$F$60)</f>
        <v/>
      </c>
      <c r="R25" s="92">
        <f>IF($A25="","",$L$60*$D25)</f>
        <v/>
      </c>
      <c r="S25" s="104">
        <f>IF($A25="","",$K25)</f>
        <v/>
      </c>
      <c r="T25" s="92">
        <f>IF($A25="","",$L$61*$D25)</f>
        <v/>
      </c>
      <c r="U25" s="104">
        <f>IF($A25="","",$B25-$E$62-$F$62)</f>
        <v/>
      </c>
      <c r="V25" s="92">
        <f>IF($A25="","",$L$62*$D25)</f>
        <v/>
      </c>
      <c r="W25" s="104">
        <f>IF($A25="","",$C25-$E$63-$F$63)</f>
        <v/>
      </c>
      <c r="X25" s="92">
        <f>IF($A25="","",$L$63*$D25)</f>
        <v/>
      </c>
      <c r="Y25" s="104">
        <f>IF($A25="","",$B25-$E$64-$F$64)</f>
        <v/>
      </c>
      <c r="Z25" s="92">
        <f>IF($A25="","",$L$64*$D25)</f>
        <v/>
      </c>
      <c r="AA25" s="104">
        <f>IF($A25="","",$S25)</f>
        <v/>
      </c>
      <c r="AB25" s="92">
        <f>IF($A25="","",$L$65*$D25)</f>
        <v/>
      </c>
      <c r="AC25" s="104">
        <f>IF($A25="","",$C25)</f>
        <v/>
      </c>
      <c r="AD25" s="92">
        <f>IF($A25="","",$L$66*$D25)</f>
        <v/>
      </c>
      <c r="AE25" s="104">
        <f>IF($A25="","",$C25-$E$67-$F$67)</f>
        <v/>
      </c>
      <c r="AF25" s="92">
        <f>IF($A25="","",$L$67*$D25)</f>
        <v/>
      </c>
      <c r="AG25" s="105">
        <f>IF($A25="","",$K25-56-56)</f>
        <v/>
      </c>
      <c r="AH25" s="106">
        <f>IF($A25="","",$M25-56-56)</f>
        <v/>
      </c>
      <c r="AI25" s="107">
        <f>IF($A25="","",2*$D25)</f>
        <v/>
      </c>
      <c r="AK25">
        <f>IF($A25="","",2*2*$D25)</f>
        <v/>
      </c>
      <c r="AL25">
        <f>IF($A25="","",$BC$7*$D25)</f>
        <v/>
      </c>
      <c r="AM25">
        <f>IF($A25="","",$BC$6*$D25)</f>
        <v/>
      </c>
      <c r="AN25">
        <f>IF($A25="","",$BC$9*$D25)</f>
        <v/>
      </c>
      <c r="AO25">
        <f>IF($A25="","",$BC$10*$D25)</f>
        <v/>
      </c>
      <c r="AP25">
        <f>IF($A25="","",2*$BC$6*$D25)</f>
        <v/>
      </c>
      <c r="AQ25">
        <f>IF($A25="","",IF($B25&gt;2800,2,IF($B25&gt;1400,1,0))*$BC$6*$D25)</f>
        <v/>
      </c>
      <c r="AR25">
        <f>IF($A25="","",2*$BC$6*$D25)</f>
        <v/>
      </c>
      <c r="AS25">
        <f>IF($A25="","",$BC$6*$D25)</f>
        <v/>
      </c>
      <c r="AT25">
        <f>IF($A25="","",2*$BC$6*$D25)</f>
        <v/>
      </c>
      <c r="AU25">
        <f>IF($A25="","",4*2*$D25)</f>
        <v/>
      </c>
      <c r="AV25">
        <f>IF($A25="","",16*2*$D25)</f>
        <v/>
      </c>
      <c r="AW25">
        <f>IF($A25="","",(2+MAX(0,ROUNDUP(($G25-1500)/500,0)))*$D25)</f>
        <v/>
      </c>
      <c r="AX25">
        <f>IF($A25="","",(2+MAX(0,ROUNDUP(($G25-1500)/500,0)))*$D25)</f>
        <v/>
      </c>
      <c r="AY25">
        <f>IF($A25="","",ROUND((2*2*($M25+$K25)*2*$D25+$S25*$T25)/1000,1))</f>
        <v/>
      </c>
    </row>
    <row r="26" ht="40.15" customHeight="1">
      <c r="A26" s="101" t="n"/>
      <c r="B26" s="102" t="n"/>
      <c r="C26" s="92" t="n"/>
      <c r="D26" s="103" t="n"/>
      <c r="E26" s="108">
        <f>IF($A26="","",$B26)</f>
        <v/>
      </c>
      <c r="F26" s="98">
        <f>IF($A26="","",$L$54*$D26)</f>
        <v/>
      </c>
      <c r="G26" s="108">
        <f>IF($A26="","",$C26-$E$55-$F$55)</f>
        <v/>
      </c>
      <c r="H26" s="98">
        <f>IF($A26="","",$L$55*$D26)</f>
        <v/>
      </c>
      <c r="I26" s="108">
        <f>IF($A26="","",$C26)</f>
        <v/>
      </c>
      <c r="J26" s="98">
        <f>IF($A26="","",$L$56*$D26)</f>
        <v/>
      </c>
      <c r="K26" s="108">
        <f>IF($A26="","",$B26-$E$57-$F$57-$G$57-$H$57)</f>
        <v/>
      </c>
      <c r="L26" s="98">
        <f>IF($A26="","",$L$57*$D26)</f>
        <v/>
      </c>
      <c r="M26" s="108">
        <f>IF($A26="","",(($C26-$E$58-$F$58-$G$58-$H$58)/2)+(66*1)/2)</f>
        <v/>
      </c>
      <c r="N26" s="98">
        <f>IF($A26="","",$L$58*$D26)</f>
        <v/>
      </c>
      <c r="O26" s="108">
        <f>IF($A26="","",$K26-$E$59-$F$59)</f>
        <v/>
      </c>
      <c r="P26" s="98">
        <f>IF($A26="","",$L$59*$D26)</f>
        <v/>
      </c>
      <c r="Q26" s="108">
        <f>IF($A26="","",$M26-$E$60-$F$60)</f>
        <v/>
      </c>
      <c r="R26" s="98">
        <f>IF($A26="","",$L$60*$D26)</f>
        <v/>
      </c>
      <c r="S26" s="108">
        <f>IF($A26="","",$K26)</f>
        <v/>
      </c>
      <c r="T26" s="98">
        <f>IF($A26="","",$L$61*$D26)</f>
        <v/>
      </c>
      <c r="U26" s="108">
        <f>IF($A26="","",$B26-$E$62-$F$62)</f>
        <v/>
      </c>
      <c r="V26" s="98">
        <f>IF($A26="","",$L$62*$D26)</f>
        <v/>
      </c>
      <c r="W26" s="108">
        <f>IF($A26="","",$C26-$E$63-$F$63)</f>
        <v/>
      </c>
      <c r="X26" s="98">
        <f>IF($A26="","",$L$63*$D26)</f>
        <v/>
      </c>
      <c r="Y26" s="108">
        <f>IF($A26="","",$B26-$E$64-$F$64)</f>
        <v/>
      </c>
      <c r="Z26" s="98">
        <f>IF($A26="","",$L$64*$D26)</f>
        <v/>
      </c>
      <c r="AA26" s="108">
        <f>IF($A26="","",$S26)</f>
        <v/>
      </c>
      <c r="AB26" s="98">
        <f>IF($A26="","",$L$65*$D26)</f>
        <v/>
      </c>
      <c r="AC26" s="108">
        <f>IF($A26="","",$C26)</f>
        <v/>
      </c>
      <c r="AD26" s="98">
        <f>IF($A26="","",$L$66*$D26)</f>
        <v/>
      </c>
      <c r="AE26" s="108">
        <f>IF($A26="","",$C26-$E$67-$F$67)</f>
        <v/>
      </c>
      <c r="AF26" s="98">
        <f>IF($A26="","",$L$67*$D26)</f>
        <v/>
      </c>
      <c r="AG26" s="105">
        <f>IF($A26="","",$K26-56-56)</f>
        <v/>
      </c>
      <c r="AH26" s="106">
        <f>IF($A26="","",$M26-56-56)</f>
        <v/>
      </c>
      <c r="AI26" s="107">
        <f>IF($A26="","",2*$D26)</f>
        <v/>
      </c>
      <c r="AK26">
        <f>IF($A26="","",2*2*$D26)</f>
        <v/>
      </c>
      <c r="AL26">
        <f>IF($A26="","",$BC$7*$D26)</f>
        <v/>
      </c>
      <c r="AM26">
        <f>IF($A26="","",$BC$6*$D26)</f>
        <v/>
      </c>
      <c r="AN26">
        <f>IF($A26="","",$BC$9*$D26)</f>
        <v/>
      </c>
      <c r="AO26">
        <f>IF($A26="","",$BC$10*$D26)</f>
        <v/>
      </c>
      <c r="AP26">
        <f>IF($A26="","",2*$BC$6*$D26)</f>
        <v/>
      </c>
      <c r="AQ26">
        <f>IF($A26="","",IF($B26&gt;2800,2,IF($B26&gt;1400,1,0))*$BC$6*$D26)</f>
        <v/>
      </c>
      <c r="AR26">
        <f>IF($A26="","",2*$BC$6*$D26)</f>
        <v/>
      </c>
      <c r="AS26">
        <f>IF($A26="","",$BC$6*$D26)</f>
        <v/>
      </c>
      <c r="AT26">
        <f>IF($A26="","",2*$BC$6*$D26)</f>
        <v/>
      </c>
      <c r="AU26">
        <f>IF($A26="","",4*2*$D26)</f>
        <v/>
      </c>
      <c r="AV26">
        <f>IF($A26="","",16*2*$D26)</f>
        <v/>
      </c>
      <c r="AW26">
        <f>IF($A26="","",(2+MAX(0,ROUNDUP(($G26-1500)/500,0)))*$D26)</f>
        <v/>
      </c>
      <c r="AX26">
        <f>IF($A26="","",(2+MAX(0,ROUNDUP(($G26-1500)/500,0)))*$D26)</f>
        <v/>
      </c>
      <c r="AY26">
        <f>IF($A26="","",ROUND((2*2*($M26+$K26)*2*$D26+$S26*$T26)/1000,1))</f>
        <v/>
      </c>
    </row>
    <row r="27" ht="40.15" customHeight="1">
      <c r="A27" s="101" t="n"/>
      <c r="B27" s="102" t="n"/>
      <c r="C27" s="92" t="n"/>
      <c r="D27" s="103" t="n"/>
      <c r="E27" s="104">
        <f>IF($A27="","",$B27)</f>
        <v/>
      </c>
      <c r="F27" s="92">
        <f>IF($A27="","",$L$54*$D27)</f>
        <v/>
      </c>
      <c r="G27" s="104">
        <f>IF($A27="","",$C27-$E$55-$F$55)</f>
        <v/>
      </c>
      <c r="H27" s="92">
        <f>IF($A27="","",$L$55*$D27)</f>
        <v/>
      </c>
      <c r="I27" s="104">
        <f>IF($A27="","",$C27)</f>
        <v/>
      </c>
      <c r="J27" s="92">
        <f>IF($A27="","",$L$56*$D27)</f>
        <v/>
      </c>
      <c r="K27" s="104">
        <f>IF($A27="","",$B27-$E$57-$F$57-$G$57-$H$57)</f>
        <v/>
      </c>
      <c r="L27" s="92">
        <f>IF($A27="","",$L$57*$D27)</f>
        <v/>
      </c>
      <c r="M27" s="104">
        <f>IF($A27="","",(($C27-$E$58-$F$58-$G$58-$H$58)/2)+(66*1)/2)</f>
        <v/>
      </c>
      <c r="N27" s="92">
        <f>IF($A27="","",$L$58*$D27)</f>
        <v/>
      </c>
      <c r="O27" s="104">
        <f>IF($A27="","",$K27-$E$59-$F$59)</f>
        <v/>
      </c>
      <c r="P27" s="92">
        <f>IF($A27="","",$L$59*$D27)</f>
        <v/>
      </c>
      <c r="Q27" s="104">
        <f>IF($A27="","",$M27-$E$60-$F$60)</f>
        <v/>
      </c>
      <c r="R27" s="92">
        <f>IF($A27="","",$L$60*$D27)</f>
        <v/>
      </c>
      <c r="S27" s="104">
        <f>IF($A27="","",$K27)</f>
        <v/>
      </c>
      <c r="T27" s="92">
        <f>IF($A27="","",$L$61*$D27)</f>
        <v/>
      </c>
      <c r="U27" s="104">
        <f>IF($A27="","",$B27-$E$62-$F$62)</f>
        <v/>
      </c>
      <c r="V27" s="92">
        <f>IF($A27="","",$L$62*$D27)</f>
        <v/>
      </c>
      <c r="W27" s="104">
        <f>IF($A27="","",$C27-$E$63-$F$63)</f>
        <v/>
      </c>
      <c r="X27" s="92">
        <f>IF($A27="","",$L$63*$D27)</f>
        <v/>
      </c>
      <c r="Y27" s="104">
        <f>IF($A27="","",$B27-$E$64-$F$64)</f>
        <v/>
      </c>
      <c r="Z27" s="92">
        <f>IF($A27="","",$L$64*$D27)</f>
        <v/>
      </c>
      <c r="AA27" s="104">
        <f>IF($A27="","",$S27)</f>
        <v/>
      </c>
      <c r="AB27" s="92">
        <f>IF($A27="","",$L$65*$D27)</f>
        <v/>
      </c>
      <c r="AC27" s="104">
        <f>IF($A27="","",$C27)</f>
        <v/>
      </c>
      <c r="AD27" s="92">
        <f>IF($A27="","",$L$66*$D27)</f>
        <v/>
      </c>
      <c r="AE27" s="104">
        <f>IF($A27="","",$C27-$E$67-$F$67)</f>
        <v/>
      </c>
      <c r="AF27" s="92">
        <f>IF($A27="","",$L$67*$D27)</f>
        <v/>
      </c>
      <c r="AG27" s="105">
        <f>IF($A27="","",$K27-56-56)</f>
        <v/>
      </c>
      <c r="AH27" s="106">
        <f>IF($A27="","",$M27-56-56)</f>
        <v/>
      </c>
      <c r="AI27" s="107">
        <f>IF($A27="","",2*$D27)</f>
        <v/>
      </c>
      <c r="AK27">
        <f>IF($A27="","",2*2*$D27)</f>
        <v/>
      </c>
      <c r="AL27">
        <f>IF($A27="","",$BC$7*$D27)</f>
        <v/>
      </c>
      <c r="AM27">
        <f>IF($A27="","",$BC$6*$D27)</f>
        <v/>
      </c>
      <c r="AN27">
        <f>IF($A27="","",$BC$9*$D27)</f>
        <v/>
      </c>
      <c r="AO27">
        <f>IF($A27="","",$BC$10*$D27)</f>
        <v/>
      </c>
      <c r="AP27">
        <f>IF($A27="","",2*$BC$6*$D27)</f>
        <v/>
      </c>
      <c r="AQ27">
        <f>IF($A27="","",IF($B27&gt;2800,2,IF($B27&gt;1400,1,0))*$BC$6*$D27)</f>
        <v/>
      </c>
      <c r="AR27">
        <f>IF($A27="","",2*$BC$6*$D27)</f>
        <v/>
      </c>
      <c r="AS27">
        <f>IF($A27="","",$BC$6*$D27)</f>
        <v/>
      </c>
      <c r="AT27">
        <f>IF($A27="","",2*$BC$6*$D27)</f>
        <v/>
      </c>
      <c r="AU27">
        <f>IF($A27="","",4*2*$D27)</f>
        <v/>
      </c>
      <c r="AV27">
        <f>IF($A27="","",16*2*$D27)</f>
        <v/>
      </c>
      <c r="AW27">
        <f>IF($A27="","",(2+MAX(0,ROUNDUP(($G27-1500)/500,0)))*$D27)</f>
        <v/>
      </c>
      <c r="AX27">
        <f>IF($A27="","",(2+MAX(0,ROUNDUP(($G27-1500)/500,0)))*$D27)</f>
        <v/>
      </c>
      <c r="AY27">
        <f>IF($A27="","",ROUND((2*2*($M27+$K27)*2*$D27+$S27*$T27)/1000,1))</f>
        <v/>
      </c>
    </row>
    <row r="28" ht="40.15" customHeight="1">
      <c r="A28" s="101" t="n"/>
      <c r="B28" s="102" t="n"/>
      <c r="C28" s="92" t="n"/>
      <c r="D28" s="103" t="n"/>
      <c r="E28" s="108">
        <f>IF($A28="","",$B28)</f>
        <v/>
      </c>
      <c r="F28" s="98">
        <f>IF($A28="","",$L$54*$D28)</f>
        <v/>
      </c>
      <c r="G28" s="108">
        <f>IF($A28="","",$C28-$E$55-$F$55)</f>
        <v/>
      </c>
      <c r="H28" s="98">
        <f>IF($A28="","",$L$55*$D28)</f>
        <v/>
      </c>
      <c r="I28" s="108">
        <f>IF($A28="","",$C28)</f>
        <v/>
      </c>
      <c r="J28" s="98">
        <f>IF($A28="","",$L$56*$D28)</f>
        <v/>
      </c>
      <c r="K28" s="108">
        <f>IF($A28="","",$B28-$E$57-$F$57-$G$57-$H$57)</f>
        <v/>
      </c>
      <c r="L28" s="98">
        <f>IF($A28="","",$L$57*$D28)</f>
        <v/>
      </c>
      <c r="M28" s="108">
        <f>IF($A28="","",(($C28-$E$58-$F$58-$G$58-$H$58)/2)+(66*1)/2)</f>
        <v/>
      </c>
      <c r="N28" s="98">
        <f>IF($A28="","",$L$58*$D28)</f>
        <v/>
      </c>
      <c r="O28" s="108">
        <f>IF($A28="","",$K28-$E$59-$F$59)</f>
        <v/>
      </c>
      <c r="P28" s="98">
        <f>IF($A28="","",$L$59*$D28)</f>
        <v/>
      </c>
      <c r="Q28" s="108">
        <f>IF($A28="","",$M28-$E$60-$F$60)</f>
        <v/>
      </c>
      <c r="R28" s="98">
        <f>IF($A28="","",$L$60*$D28)</f>
        <v/>
      </c>
      <c r="S28" s="108">
        <f>IF($A28="","",$K28)</f>
        <v/>
      </c>
      <c r="T28" s="98">
        <f>IF($A28="","",$L$61*$D28)</f>
        <v/>
      </c>
      <c r="U28" s="108">
        <f>IF($A28="","",$B28-$E$62-$F$62)</f>
        <v/>
      </c>
      <c r="V28" s="98">
        <f>IF($A28="","",$L$62*$D28)</f>
        <v/>
      </c>
      <c r="W28" s="108">
        <f>IF($A28="","",$C28-$E$63-$F$63)</f>
        <v/>
      </c>
      <c r="X28" s="98">
        <f>IF($A28="","",$L$63*$D28)</f>
        <v/>
      </c>
      <c r="Y28" s="108">
        <f>IF($A28="","",$B28-$E$64-$F$64)</f>
        <v/>
      </c>
      <c r="Z28" s="98">
        <f>IF($A28="","",$L$64*$D28)</f>
        <v/>
      </c>
      <c r="AA28" s="108">
        <f>IF($A28="","",$S28)</f>
        <v/>
      </c>
      <c r="AB28" s="98">
        <f>IF($A28="","",$L$65*$D28)</f>
        <v/>
      </c>
      <c r="AC28" s="108">
        <f>IF($A28="","",$C28)</f>
        <v/>
      </c>
      <c r="AD28" s="98">
        <f>IF($A28="","",$L$66*$D28)</f>
        <v/>
      </c>
      <c r="AE28" s="108">
        <f>IF($A28="","",$C28-$E$67-$F$67)</f>
        <v/>
      </c>
      <c r="AF28" s="98">
        <f>IF($A28="","",$L$67*$D28)</f>
        <v/>
      </c>
      <c r="AG28" s="105">
        <f>IF($A28="","",$K28-56-56)</f>
        <v/>
      </c>
      <c r="AH28" s="106">
        <f>IF($A28="","",$M28-56-56)</f>
        <v/>
      </c>
      <c r="AI28" s="107">
        <f>IF($A28="","",2*$D28)</f>
        <v/>
      </c>
      <c r="AK28">
        <f>IF($A28="","",2*2*$D28)</f>
        <v/>
      </c>
      <c r="AL28">
        <f>IF($A28="","",$BC$7*$D28)</f>
        <v/>
      </c>
      <c r="AM28">
        <f>IF($A28="","",$BC$6*$D28)</f>
        <v/>
      </c>
      <c r="AN28">
        <f>IF($A28="","",$BC$9*$D28)</f>
        <v/>
      </c>
      <c r="AO28">
        <f>IF($A28="","",$BC$10*$D28)</f>
        <v/>
      </c>
      <c r="AP28">
        <f>IF($A28="","",2*$BC$6*$D28)</f>
        <v/>
      </c>
      <c r="AQ28">
        <f>IF($A28="","",IF($B28&gt;2800,2,IF($B28&gt;1400,1,0))*$BC$6*$D28)</f>
        <v/>
      </c>
      <c r="AR28">
        <f>IF($A28="","",2*$BC$6*$D28)</f>
        <v/>
      </c>
      <c r="AS28">
        <f>IF($A28="","",$BC$6*$D28)</f>
        <v/>
      </c>
      <c r="AT28">
        <f>IF($A28="","",2*$BC$6*$D28)</f>
        <v/>
      </c>
      <c r="AU28">
        <f>IF($A28="","",4*2*$D28)</f>
        <v/>
      </c>
      <c r="AV28">
        <f>IF($A28="","",16*2*$D28)</f>
        <v/>
      </c>
      <c r="AW28">
        <f>IF($A28="","",(2+MAX(0,ROUNDUP(($G28-1500)/500,0)))*$D28)</f>
        <v/>
      </c>
      <c r="AX28">
        <f>IF($A28="","",(2+MAX(0,ROUNDUP(($G28-1500)/500,0)))*$D28)</f>
        <v/>
      </c>
      <c r="AY28">
        <f>IF($A28="","",ROUND((2*2*($M28+$K28)*2*$D28+$S28*$T28)/1000,1))</f>
        <v/>
      </c>
    </row>
    <row r="29" ht="40.15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9" t="n"/>
    </row>
    <row r="30" ht="40.15" customHeight="1">
      <c r="A30" s="70" t="inlineStr">
        <is>
          <t>จำนวนเส้น 6.4 ม. ที่ต้องสั่ง →</t>
        </is>
      </c>
      <c r="B30" s="20" t="n"/>
      <c r="C30" s="20" t="n"/>
      <c r="D30" s="21" t="n"/>
      <c r="E30" s="71">
        <f>E$7</f>
        <v/>
      </c>
      <c r="F30" s="72">
        <f>(ROUNDUP(F49/6400,0))</f>
        <v/>
      </c>
      <c r="G30" s="72">
        <f>G$7</f>
        <v/>
      </c>
      <c r="H30" s="72">
        <f>(ROUNDUP(H49/6400,0))</f>
        <v/>
      </c>
      <c r="I30" s="72">
        <f>I$7</f>
        <v/>
      </c>
      <c r="J30" s="72">
        <f>(ROUNDUP(J49/6400,0))</f>
        <v/>
      </c>
      <c r="K30" s="72">
        <f>K$7</f>
        <v/>
      </c>
      <c r="L30" s="20" t="n"/>
      <c r="M30" s="21" t="n"/>
      <c r="N30" s="72">
        <f>(ROUNDUP(SUM(L49:N49)/6400,0))</f>
        <v/>
      </c>
      <c r="O30" s="72">
        <f>O$7</f>
        <v/>
      </c>
      <c r="P30" s="20" t="n"/>
      <c r="Q30" s="21" t="n"/>
      <c r="R30" s="72">
        <f>(ROUNDUP(SUM(P49:R49)/6400,0))</f>
        <v/>
      </c>
      <c r="S30" s="72">
        <f>S$7</f>
        <v/>
      </c>
      <c r="T30" s="72">
        <f>(ROUNDUP(T49/6400,0))</f>
        <v/>
      </c>
      <c r="U30" s="72">
        <f>U$7</f>
        <v/>
      </c>
      <c r="V30" s="72">
        <f>(ROUNDUP(V49/6400,0))</f>
        <v/>
      </c>
      <c r="W30" s="72">
        <f>W$7</f>
        <v/>
      </c>
      <c r="X30" s="72">
        <f>(ROUNDUP(X49/5000,0))</f>
        <v/>
      </c>
      <c r="Y30" s="72">
        <f>Y$7</f>
        <v/>
      </c>
      <c r="Z30" s="20" t="n"/>
      <c r="AA30" s="20" t="n"/>
      <c r="AB30" s="20" t="n"/>
      <c r="AC30" s="21" t="n"/>
      <c r="AD30" s="72">
        <f>(ROUNDUP(SUM(Z49:AD49)/6400,0))</f>
        <v/>
      </c>
      <c r="AE30" s="72">
        <f>AE$7</f>
        <v/>
      </c>
      <c r="AF30" s="72">
        <f>(ROUNDUP(AF49/5000,0))</f>
        <v/>
      </c>
      <c r="AJ30" t="inlineStr">
        <is>
          <t>รวม</t>
        </is>
      </c>
      <c r="AK30">
        <f>SUM(AK11:AK28)</f>
        <v/>
      </c>
      <c r="AL30">
        <f>SUM(AL11:AL28)</f>
        <v/>
      </c>
      <c r="AM30">
        <f>SUM(AM11:AM28)</f>
        <v/>
      </c>
      <c r="AN30">
        <f>SUM(AN11:AN28)</f>
        <v/>
      </c>
      <c r="AO30">
        <f>SUM(AO11:AO28)</f>
        <v/>
      </c>
      <c r="AP30">
        <f>SUM(AP11:AP28)</f>
        <v/>
      </c>
      <c r="AQ30">
        <f>SUM(AQ11:AQ28)</f>
        <v/>
      </c>
      <c r="AR30">
        <f>SUM(AR11:AR28)</f>
        <v/>
      </c>
      <c r="AS30">
        <f>SUM(AS11:AS28)</f>
        <v/>
      </c>
      <c r="AT30">
        <f>SUM(AT11:AT28)</f>
        <v/>
      </c>
      <c r="AU30">
        <f>SUM(AU11:AU28)</f>
        <v/>
      </c>
      <c r="AV30">
        <f>SUM(AV11:AV28)</f>
        <v/>
      </c>
      <c r="AW30">
        <f>SUM(AW11:AW28)</f>
        <v/>
      </c>
      <c r="AX30">
        <f>SUM(AX11:AX28)</f>
        <v/>
      </c>
      <c r="AY30">
        <f>SUM(AY11:AY28)</f>
        <v/>
      </c>
    </row>
    <row r="31" hidden="1" ht="40.15" customHeight="1">
      <c r="F31" s="73">
        <f>IF($A11="","",F11*E11)</f>
        <v/>
      </c>
      <c r="G31" s="73" t="n"/>
      <c r="H31" s="73">
        <f>IF($A11="","",H11*G11)</f>
        <v/>
      </c>
      <c r="I31" s="73" t="n"/>
      <c r="J31" s="73">
        <f>IF($A11="","",J11*I11)</f>
        <v/>
      </c>
      <c r="K31" s="73" t="n"/>
      <c r="L31" s="73">
        <f>IF($A11="","",L11*K11)</f>
        <v/>
      </c>
      <c r="M31" s="73" t="n"/>
      <c r="N31" s="73">
        <f>IF($A11="","",N11*M11)</f>
        <v/>
      </c>
      <c r="O31" s="73" t="n"/>
      <c r="P31" s="73">
        <f>IF($A11="","",P11*O11)</f>
        <v/>
      </c>
      <c r="Q31" s="73" t="n"/>
      <c r="R31" s="73">
        <f>IF($A11="","",R11*Q11)</f>
        <v/>
      </c>
      <c r="S31" s="73" t="n"/>
      <c r="T31" s="73">
        <f>IF($A11="","",T11*S11)</f>
        <v/>
      </c>
      <c r="U31" s="73" t="n"/>
      <c r="V31" s="73">
        <f>IF($A11="","",V11*U11)</f>
        <v/>
      </c>
      <c r="W31" s="73" t="n"/>
      <c r="X31" s="73">
        <f>IF($A11="","",X11*W11)</f>
        <v/>
      </c>
      <c r="Y31" s="73" t="n"/>
      <c r="Z31" s="73">
        <f>IF($A11="","",Z11*Y11)</f>
        <v/>
      </c>
      <c r="AA31" s="73" t="n"/>
      <c r="AB31" s="73">
        <f>IF($A11="","",AB11*AA11)</f>
        <v/>
      </c>
      <c r="AC31" s="73" t="n"/>
      <c r="AD31" s="73">
        <f>IF($A11="","",AD11*AC11)</f>
        <v/>
      </c>
      <c r="AE31" s="73" t="n"/>
      <c r="AF31" s="73">
        <f>IF($A11="","",AF11*AE11)</f>
        <v/>
      </c>
    </row>
    <row r="32" hidden="1" ht="40.15" customHeight="1">
      <c r="F32" s="73">
        <f>IF($A12="","",F12*E12)</f>
        <v/>
      </c>
      <c r="G32" s="73" t="n"/>
      <c r="H32" s="73">
        <f>IF($A12="","",H12*G12)</f>
        <v/>
      </c>
      <c r="I32" s="73" t="n"/>
      <c r="J32" s="73">
        <f>IF($A12="","",J12*I12)</f>
        <v/>
      </c>
      <c r="K32" s="73" t="n"/>
      <c r="L32" s="73">
        <f>IF($A12="","",L12*K12)</f>
        <v/>
      </c>
      <c r="M32" s="73" t="n"/>
      <c r="N32" s="73">
        <f>IF($A12="","",N12*M12)</f>
        <v/>
      </c>
      <c r="O32" s="73" t="n"/>
      <c r="P32" s="73">
        <f>IF($A12="","",P12*O12)</f>
        <v/>
      </c>
      <c r="Q32" s="73" t="n"/>
      <c r="R32" s="73">
        <f>IF($A12="","",R12*Q12)</f>
        <v/>
      </c>
      <c r="S32" s="73" t="n"/>
      <c r="T32" s="73">
        <f>IF($A12="","",T12*S12)</f>
        <v/>
      </c>
      <c r="U32" s="73" t="n"/>
      <c r="V32" s="73">
        <f>IF($A12="","",V12*U12)</f>
        <v/>
      </c>
      <c r="W32" s="73" t="n"/>
      <c r="X32" s="73">
        <f>IF($A12="","",X12*W12)</f>
        <v/>
      </c>
      <c r="Y32" s="73" t="n"/>
      <c r="Z32" s="73">
        <f>IF($A12="","",Z12*Y12)</f>
        <v/>
      </c>
      <c r="AA32" s="73" t="n"/>
      <c r="AB32" s="73">
        <f>IF($A12="","",AB12*AA12)</f>
        <v/>
      </c>
      <c r="AC32" s="73" t="n"/>
      <c r="AD32" s="73">
        <f>IF($A12="","",AD12*AC12)</f>
        <v/>
      </c>
      <c r="AE32" s="73" t="n"/>
      <c r="AF32" s="73">
        <f>IF($A12="","",AF12*AE12)</f>
        <v/>
      </c>
    </row>
    <row r="33" hidden="1" ht="40.15" customHeight="1">
      <c r="F33" s="73">
        <f>IF($A13="","",F13*E13)</f>
        <v/>
      </c>
      <c r="G33" s="73" t="n"/>
      <c r="H33" s="73">
        <f>IF($A13="","",H13*G13)</f>
        <v/>
      </c>
      <c r="I33" s="73" t="n"/>
      <c r="J33" s="73">
        <f>IF($A13="","",J13*I13)</f>
        <v/>
      </c>
      <c r="K33" s="73" t="n"/>
      <c r="L33" s="73">
        <f>IF($A13="","",L13*K13)</f>
        <v/>
      </c>
      <c r="M33" s="73" t="n"/>
      <c r="N33" s="73">
        <f>IF($A13="","",N13*M13)</f>
        <v/>
      </c>
      <c r="O33" s="73" t="n"/>
      <c r="P33" s="73">
        <f>IF($A13="","",P13*O13)</f>
        <v/>
      </c>
      <c r="Q33" s="73" t="n"/>
      <c r="R33" s="73">
        <f>IF($A13="","",R13*Q13)</f>
        <v/>
      </c>
      <c r="S33" s="73" t="n"/>
      <c r="T33" s="73">
        <f>IF($A13="","",T13*S13)</f>
        <v/>
      </c>
      <c r="U33" s="73" t="n"/>
      <c r="V33" s="73">
        <f>IF($A13="","",V13*U13)</f>
        <v/>
      </c>
      <c r="W33" s="73" t="n"/>
      <c r="X33" s="73">
        <f>IF($A13="","",X13*W13)</f>
        <v/>
      </c>
      <c r="Y33" s="73" t="n"/>
      <c r="Z33" s="73">
        <f>IF($A13="","",Z13*Y13)</f>
        <v/>
      </c>
      <c r="AA33" s="73" t="n"/>
      <c r="AB33" s="73">
        <f>IF($A13="","",AB13*AA13)</f>
        <v/>
      </c>
      <c r="AC33" s="73" t="n"/>
      <c r="AD33" s="73">
        <f>IF($A13="","",AD13*AC13)</f>
        <v/>
      </c>
      <c r="AE33" s="73" t="n"/>
      <c r="AF33" s="73">
        <f>IF($A13="","",AF13*AE13)</f>
        <v/>
      </c>
    </row>
    <row r="34" hidden="1" ht="40.15" customHeight="1">
      <c r="F34" s="73">
        <f>IF($A14="","",F14*E14)</f>
        <v/>
      </c>
      <c r="G34" s="73" t="n"/>
      <c r="H34" s="73">
        <f>IF($A14="","",H14*G14)</f>
        <v/>
      </c>
      <c r="I34" s="73" t="n"/>
      <c r="J34" s="73">
        <f>IF($A14="","",J14*I14)</f>
        <v/>
      </c>
      <c r="K34" s="73" t="n"/>
      <c r="L34" s="73">
        <f>IF($A14="","",L14*K14)</f>
        <v/>
      </c>
      <c r="M34" s="73" t="n"/>
      <c r="N34" s="73">
        <f>IF($A14="","",N14*M14)</f>
        <v/>
      </c>
      <c r="O34" s="73" t="n"/>
      <c r="P34" s="73">
        <f>IF($A14="","",P14*O14)</f>
        <v/>
      </c>
      <c r="Q34" s="73" t="n"/>
      <c r="R34" s="73">
        <f>IF($A14="","",R14*Q14)</f>
        <v/>
      </c>
      <c r="S34" s="73" t="n"/>
      <c r="T34" s="73">
        <f>IF($A14="","",T14*S14)</f>
        <v/>
      </c>
      <c r="U34" s="73" t="n"/>
      <c r="V34" s="73">
        <f>IF($A14="","",V14*U14)</f>
        <v/>
      </c>
      <c r="W34" s="73" t="n"/>
      <c r="X34" s="73">
        <f>IF($A14="","",X14*W14)</f>
        <v/>
      </c>
      <c r="Y34" s="73" t="n"/>
      <c r="Z34" s="73">
        <f>IF($A14="","",Z14*Y14)</f>
        <v/>
      </c>
      <c r="AA34" s="73" t="n"/>
      <c r="AB34" s="73">
        <f>IF($A14="","",AB14*AA14)</f>
        <v/>
      </c>
      <c r="AC34" s="73" t="n"/>
      <c r="AD34" s="73">
        <f>IF($A14="","",AD14*AC14)</f>
        <v/>
      </c>
      <c r="AE34" s="73" t="n"/>
      <c r="AF34" s="73">
        <f>IF($A14="","",AF14*AE14)</f>
        <v/>
      </c>
    </row>
    <row r="35" hidden="1" ht="40.15" customHeight="1">
      <c r="F35" s="73">
        <f>IF($A15="","",F15*E15)</f>
        <v/>
      </c>
      <c r="G35" s="73" t="n"/>
      <c r="H35" s="73">
        <f>IF($A15="","",H15*G15)</f>
        <v/>
      </c>
      <c r="I35" s="73" t="n"/>
      <c r="J35" s="73">
        <f>IF($A15="","",J15*I15)</f>
        <v/>
      </c>
      <c r="K35" s="73" t="n"/>
      <c r="L35" s="73">
        <f>IF($A15="","",L15*K15)</f>
        <v/>
      </c>
      <c r="M35" s="73" t="n"/>
      <c r="N35" s="73">
        <f>IF($A15="","",N15*M15)</f>
        <v/>
      </c>
      <c r="O35" s="73" t="n"/>
      <c r="P35" s="73">
        <f>IF($A15="","",P15*O15)</f>
        <v/>
      </c>
      <c r="Q35" s="73" t="n"/>
      <c r="R35" s="73">
        <f>IF($A15="","",R15*Q15)</f>
        <v/>
      </c>
      <c r="S35" s="73" t="n"/>
      <c r="T35" s="73">
        <f>IF($A15="","",T15*S15)</f>
        <v/>
      </c>
      <c r="U35" s="73" t="n"/>
      <c r="V35" s="73">
        <f>IF($A15="","",V15*U15)</f>
        <v/>
      </c>
      <c r="W35" s="73" t="n"/>
      <c r="X35" s="73">
        <f>IF($A15="","",X15*W15)</f>
        <v/>
      </c>
      <c r="Y35" s="73" t="n"/>
      <c r="Z35" s="73">
        <f>IF($A15="","",Z15*Y15)</f>
        <v/>
      </c>
      <c r="AA35" s="73" t="n"/>
      <c r="AB35" s="73">
        <f>IF($A15="","",AB15*AA15)</f>
        <v/>
      </c>
      <c r="AC35" s="73" t="n"/>
      <c r="AD35" s="73">
        <f>IF($A15="","",AD15*AC15)</f>
        <v/>
      </c>
      <c r="AE35" s="73" t="n"/>
      <c r="AF35" s="73">
        <f>IF($A15="","",AF15*AE15)</f>
        <v/>
      </c>
    </row>
    <row r="36" hidden="1">
      <c r="F36" s="73">
        <f>IF($A16="","",F16*E16)</f>
        <v/>
      </c>
      <c r="G36" s="73" t="n"/>
      <c r="H36" s="73">
        <f>IF($A16="","",H16*G16)</f>
        <v/>
      </c>
      <c r="I36" s="73" t="n"/>
      <c r="J36" s="73">
        <f>IF($A16="","",J16*I16)</f>
        <v/>
      </c>
      <c r="K36" s="73" t="n"/>
      <c r="L36" s="73">
        <f>IF($A16="","",L16*K16)</f>
        <v/>
      </c>
      <c r="M36" s="73" t="n"/>
      <c r="N36" s="73">
        <f>IF($A16="","",N16*M16)</f>
        <v/>
      </c>
      <c r="O36" s="73" t="n"/>
      <c r="P36" s="73">
        <f>IF($A16="","",P16*O16)</f>
        <v/>
      </c>
      <c r="Q36" s="73" t="n"/>
      <c r="R36" s="73">
        <f>IF($A16="","",R16*Q16)</f>
        <v/>
      </c>
      <c r="S36" s="73" t="n"/>
      <c r="T36" s="73">
        <f>IF($A16="","",T16*S16)</f>
        <v/>
      </c>
      <c r="U36" s="73" t="n"/>
      <c r="V36" s="73">
        <f>IF($A16="","",V16*U16)</f>
        <v/>
      </c>
      <c r="W36" s="73" t="n"/>
      <c r="X36" s="73">
        <f>IF($A16="","",X16*W16)</f>
        <v/>
      </c>
      <c r="Y36" s="73" t="n"/>
      <c r="Z36" s="73">
        <f>IF($A16="","",Z16*Y16)</f>
        <v/>
      </c>
      <c r="AA36" s="73" t="n"/>
      <c r="AB36" s="73">
        <f>IF($A16="","",AB16*AA16)</f>
        <v/>
      </c>
      <c r="AC36" s="73" t="n"/>
      <c r="AD36" s="73">
        <f>IF($A16="","",AD16*AC16)</f>
        <v/>
      </c>
      <c r="AE36" s="73" t="n"/>
      <c r="AF36" s="73">
        <f>IF($A16="","",AF16*AE16)</f>
        <v/>
      </c>
    </row>
    <row r="37" hidden="1">
      <c r="F37" s="73">
        <f>IF($A17="","",F17*E17)</f>
        <v/>
      </c>
      <c r="G37" s="73" t="n"/>
      <c r="H37" s="73">
        <f>IF($A17="","",H17*G17)</f>
        <v/>
      </c>
      <c r="I37" s="73" t="n"/>
      <c r="J37" s="73">
        <f>IF($A17="","",J17*I17)</f>
        <v/>
      </c>
      <c r="K37" s="73" t="n"/>
      <c r="L37" s="73">
        <f>IF($A17="","",L17*K17)</f>
        <v/>
      </c>
      <c r="M37" s="73" t="n"/>
      <c r="N37" s="73">
        <f>IF($A17="","",N17*M17)</f>
        <v/>
      </c>
      <c r="O37" s="73" t="n"/>
      <c r="P37" s="73">
        <f>IF($A17="","",P17*O17)</f>
        <v/>
      </c>
      <c r="Q37" s="73" t="n"/>
      <c r="R37" s="73">
        <f>IF($A17="","",R17*Q17)</f>
        <v/>
      </c>
      <c r="S37" s="73" t="n"/>
      <c r="T37" s="73">
        <f>IF($A17="","",T17*S17)</f>
        <v/>
      </c>
      <c r="U37" s="73" t="n"/>
      <c r="V37" s="73">
        <f>IF($A17="","",V17*U17)</f>
        <v/>
      </c>
      <c r="W37" s="73" t="n"/>
      <c r="X37" s="73">
        <f>IF($A17="","",X17*W17)</f>
        <v/>
      </c>
      <c r="Y37" s="73" t="n"/>
      <c r="Z37" s="73">
        <f>IF($A17="","",Z17*Y17)</f>
        <v/>
      </c>
      <c r="AA37" s="73" t="n"/>
      <c r="AB37" s="73">
        <f>IF($A17="","",AB17*AA17)</f>
        <v/>
      </c>
      <c r="AC37" s="73" t="n"/>
      <c r="AD37" s="73">
        <f>IF($A17="","",AD17*AC17)</f>
        <v/>
      </c>
      <c r="AE37" s="73" t="n"/>
      <c r="AF37" s="73">
        <f>IF($A17="","",AF17*AE17)</f>
        <v/>
      </c>
    </row>
    <row r="38" hidden="1">
      <c r="F38" s="73">
        <f>IF($A18="","",F18*E18)</f>
        <v/>
      </c>
      <c r="G38" s="73" t="n"/>
      <c r="H38" s="73">
        <f>IF($A18="","",H18*G18)</f>
        <v/>
      </c>
      <c r="I38" s="73" t="n"/>
      <c r="J38" s="73">
        <f>IF($A18="","",J18*I18)</f>
        <v/>
      </c>
      <c r="K38" s="73" t="n"/>
      <c r="L38" s="73">
        <f>IF($A18="","",L18*K18)</f>
        <v/>
      </c>
      <c r="M38" s="73" t="n"/>
      <c r="N38" s="73">
        <f>IF($A18="","",N18*M18)</f>
        <v/>
      </c>
      <c r="O38" s="73" t="n"/>
      <c r="P38" s="73">
        <f>IF($A18="","",P18*O18)</f>
        <v/>
      </c>
      <c r="Q38" s="73" t="n"/>
      <c r="R38" s="73">
        <f>IF($A18="","",R18*Q18)</f>
        <v/>
      </c>
      <c r="S38" s="73" t="n"/>
      <c r="T38" s="73">
        <f>IF($A18="","",T18*S18)</f>
        <v/>
      </c>
      <c r="U38" s="73" t="n"/>
      <c r="V38" s="73">
        <f>IF($A18="","",V18*U18)</f>
        <v/>
      </c>
      <c r="W38" s="73" t="n"/>
      <c r="X38" s="73">
        <f>IF($A18="","",X18*W18)</f>
        <v/>
      </c>
      <c r="Y38" s="73" t="n"/>
      <c r="Z38" s="73">
        <f>IF($A18="","",Z18*Y18)</f>
        <v/>
      </c>
      <c r="AA38" s="73" t="n"/>
      <c r="AB38" s="73">
        <f>IF($A18="","",AB18*AA18)</f>
        <v/>
      </c>
      <c r="AC38" s="73" t="n"/>
      <c r="AD38" s="73">
        <f>IF($A18="","",AD18*AC18)</f>
        <v/>
      </c>
      <c r="AE38" s="73" t="n"/>
      <c r="AF38" s="73">
        <f>IF($A18="","",AF18*AE18)</f>
        <v/>
      </c>
    </row>
    <row r="39" hidden="1">
      <c r="F39" s="73">
        <f>IF($A19="","",F19*E19)</f>
        <v/>
      </c>
      <c r="G39" s="73" t="n"/>
      <c r="H39" s="73">
        <f>IF($A19="","",H19*G19)</f>
        <v/>
      </c>
      <c r="I39" s="73" t="n"/>
      <c r="J39" s="73">
        <f>IF($A19="","",J19*I19)</f>
        <v/>
      </c>
      <c r="K39" s="73" t="n"/>
      <c r="L39" s="73">
        <f>IF($A19="","",L19*K19)</f>
        <v/>
      </c>
      <c r="M39" s="73" t="n"/>
      <c r="N39" s="73">
        <f>IF($A19="","",N19*M19)</f>
        <v/>
      </c>
      <c r="O39" s="73" t="n"/>
      <c r="P39" s="73">
        <f>IF($A19="","",P19*O19)</f>
        <v/>
      </c>
      <c r="Q39" s="73" t="n"/>
      <c r="R39" s="73">
        <f>IF($A19="","",R19*Q19)</f>
        <v/>
      </c>
      <c r="S39" s="73" t="n"/>
      <c r="T39" s="73">
        <f>IF($A19="","",T19*S19)</f>
        <v/>
      </c>
      <c r="U39" s="73" t="n"/>
      <c r="V39" s="73">
        <f>IF($A19="","",V19*U19)</f>
        <v/>
      </c>
      <c r="W39" s="73" t="n"/>
      <c r="X39" s="73">
        <f>IF($A19="","",X19*W19)</f>
        <v/>
      </c>
      <c r="Y39" s="73" t="n"/>
      <c r="Z39" s="73">
        <f>IF($A19="","",Z19*Y19)</f>
        <v/>
      </c>
      <c r="AA39" s="73" t="n"/>
      <c r="AB39" s="73">
        <f>IF($A19="","",AB19*AA19)</f>
        <v/>
      </c>
      <c r="AC39" s="73" t="n"/>
      <c r="AD39" s="73">
        <f>IF($A19="","",AD19*AC19)</f>
        <v/>
      </c>
      <c r="AE39" s="73" t="n"/>
      <c r="AF39" s="73">
        <f>IF($A19="","",AF19*AE19)</f>
        <v/>
      </c>
    </row>
    <row r="40" hidden="1">
      <c r="F40" s="73">
        <f>IF($A20="","",F20*E20)</f>
        <v/>
      </c>
      <c r="G40" s="73" t="n"/>
      <c r="H40" s="73">
        <f>IF($A20="","",H20*G20)</f>
        <v/>
      </c>
      <c r="I40" s="73" t="n"/>
      <c r="J40" s="73">
        <f>IF($A20="","",J20*I20)</f>
        <v/>
      </c>
      <c r="K40" s="73" t="n"/>
      <c r="L40" s="73">
        <f>IF($A20="","",L20*K20)</f>
        <v/>
      </c>
      <c r="M40" s="73" t="n"/>
      <c r="N40" s="73">
        <f>IF($A20="","",N20*M20)</f>
        <v/>
      </c>
      <c r="O40" s="73" t="n"/>
      <c r="P40" s="73">
        <f>IF($A20="","",P20*O20)</f>
        <v/>
      </c>
      <c r="Q40" s="73" t="n"/>
      <c r="R40" s="73">
        <f>IF($A20="","",R20*Q20)</f>
        <v/>
      </c>
      <c r="S40" s="73" t="n"/>
      <c r="T40" s="73">
        <f>IF($A20="","",T20*S20)</f>
        <v/>
      </c>
      <c r="U40" s="73" t="n"/>
      <c r="V40" s="73">
        <f>IF($A20="","",V20*U20)</f>
        <v/>
      </c>
      <c r="W40" s="73" t="n"/>
      <c r="X40" s="73">
        <f>IF($A20="","",X20*W20)</f>
        <v/>
      </c>
      <c r="Y40" s="73" t="n"/>
      <c r="Z40" s="73">
        <f>IF($A20="","",Z20*Y20)</f>
        <v/>
      </c>
      <c r="AA40" s="73" t="n"/>
      <c r="AB40" s="73">
        <f>IF($A20="","",AB20*AA20)</f>
        <v/>
      </c>
      <c r="AC40" s="73" t="n"/>
      <c r="AD40" s="73">
        <f>IF($A20="","",AD20*AC20)</f>
        <v/>
      </c>
      <c r="AE40" s="73" t="n"/>
      <c r="AF40" s="73">
        <f>IF($A20="","",AF20*AE20)</f>
        <v/>
      </c>
    </row>
    <row r="41" hidden="1">
      <c r="F41" s="73">
        <f>IF($A21="","",F21*E21)</f>
        <v/>
      </c>
      <c r="G41" s="73" t="n"/>
      <c r="H41" s="73">
        <f>IF($A21="","",H21*G21)</f>
        <v/>
      </c>
      <c r="I41" s="73" t="n"/>
      <c r="J41" s="73">
        <f>IF($A21="","",J21*I21)</f>
        <v/>
      </c>
      <c r="K41" s="73" t="n"/>
      <c r="L41" s="73">
        <f>IF($A21="","",L21*K21)</f>
        <v/>
      </c>
      <c r="M41" s="73" t="n"/>
      <c r="N41" s="73">
        <f>IF($A21="","",N21*M21)</f>
        <v/>
      </c>
      <c r="O41" s="73" t="n"/>
      <c r="P41" s="73">
        <f>IF($A21="","",P21*O21)</f>
        <v/>
      </c>
      <c r="Q41" s="73" t="n"/>
      <c r="R41" s="73">
        <f>IF($A21="","",R21*Q21)</f>
        <v/>
      </c>
      <c r="S41" s="73" t="n"/>
      <c r="T41" s="73">
        <f>IF($A21="","",T21*S21)</f>
        <v/>
      </c>
      <c r="U41" s="73" t="n"/>
      <c r="V41" s="73">
        <f>IF($A21="","",V21*U21)</f>
        <v/>
      </c>
      <c r="W41" s="73" t="n"/>
      <c r="X41" s="73">
        <f>IF($A21="","",X21*W21)</f>
        <v/>
      </c>
      <c r="Y41" s="73" t="n"/>
      <c r="Z41" s="73">
        <f>IF($A21="","",Z21*Y21)</f>
        <v/>
      </c>
      <c r="AA41" s="73" t="n"/>
      <c r="AB41" s="73">
        <f>IF($A21="","",AB21*AA21)</f>
        <v/>
      </c>
      <c r="AC41" s="73" t="n"/>
      <c r="AD41" s="73">
        <f>IF($A21="","",AD21*AC21)</f>
        <v/>
      </c>
      <c r="AE41" s="73" t="n"/>
      <c r="AF41" s="73">
        <f>IF($A21="","",AF21*AE21)</f>
        <v/>
      </c>
    </row>
    <row r="42" hidden="1">
      <c r="F42" s="73">
        <f>IF($A22="","",F22*E22)</f>
        <v/>
      </c>
      <c r="G42" s="73" t="n"/>
      <c r="H42" s="73">
        <f>IF($A22="","",H22*G22)</f>
        <v/>
      </c>
      <c r="I42" s="73" t="n"/>
      <c r="J42" s="73">
        <f>IF($A22="","",J22*I22)</f>
        <v/>
      </c>
      <c r="K42" s="73" t="n"/>
      <c r="L42" s="73">
        <f>IF($A22="","",L22*K22)</f>
        <v/>
      </c>
      <c r="M42" s="73" t="n"/>
      <c r="N42" s="73">
        <f>IF($A22="","",N22*M22)</f>
        <v/>
      </c>
      <c r="O42" s="73" t="n"/>
      <c r="P42" s="73">
        <f>IF($A22="","",P22*O22)</f>
        <v/>
      </c>
      <c r="Q42" s="73" t="n"/>
      <c r="R42" s="73">
        <f>IF($A22="","",R22*Q22)</f>
        <v/>
      </c>
      <c r="S42" s="73" t="n"/>
      <c r="T42" s="73">
        <f>IF($A22="","",T22*S22)</f>
        <v/>
      </c>
      <c r="U42" s="73" t="n"/>
      <c r="V42" s="73">
        <f>IF($A22="","",V22*U22)</f>
        <v/>
      </c>
      <c r="W42" s="73" t="n"/>
      <c r="X42" s="73">
        <f>IF($A22="","",X22*W22)</f>
        <v/>
      </c>
      <c r="Y42" s="73" t="n"/>
      <c r="Z42" s="73">
        <f>IF($A22="","",Z22*Y22)</f>
        <v/>
      </c>
      <c r="AA42" s="73" t="n"/>
      <c r="AB42" s="73">
        <f>IF($A22="","",AB22*AA22)</f>
        <v/>
      </c>
      <c r="AC42" s="73" t="n"/>
      <c r="AD42" s="73">
        <f>IF($A22="","",AD22*AC22)</f>
        <v/>
      </c>
      <c r="AE42" s="73" t="n"/>
      <c r="AF42" s="73">
        <f>IF($A22="","",AF22*AE22)</f>
        <v/>
      </c>
    </row>
    <row r="43" hidden="1">
      <c r="F43" s="73">
        <f>IF($A23="","",F23*E23)</f>
        <v/>
      </c>
      <c r="G43" s="73" t="n"/>
      <c r="H43" s="73">
        <f>IF($A23="","",H23*G23)</f>
        <v/>
      </c>
      <c r="I43" s="73" t="n"/>
      <c r="J43" s="73">
        <f>IF($A23="","",J23*I23)</f>
        <v/>
      </c>
      <c r="K43" s="73" t="n"/>
      <c r="L43" s="73">
        <f>IF($A23="","",L23*K23)</f>
        <v/>
      </c>
      <c r="M43" s="73" t="n"/>
      <c r="N43" s="73">
        <f>IF($A23="","",N23*M23)</f>
        <v/>
      </c>
      <c r="O43" s="73" t="n"/>
      <c r="P43" s="73">
        <f>IF($A23="","",P23*O23)</f>
        <v/>
      </c>
      <c r="Q43" s="73" t="n"/>
      <c r="R43" s="73">
        <f>IF($A23="","",R23*Q23)</f>
        <v/>
      </c>
      <c r="S43" s="73" t="n"/>
      <c r="T43" s="73">
        <f>IF($A23="","",T23*S23)</f>
        <v/>
      </c>
      <c r="U43" s="73" t="n"/>
      <c r="V43" s="73">
        <f>IF($A23="","",V23*U23)</f>
        <v/>
      </c>
      <c r="W43" s="73" t="n"/>
      <c r="X43" s="73">
        <f>IF($A23="","",X23*W23)</f>
        <v/>
      </c>
      <c r="Y43" s="73" t="n"/>
      <c r="Z43" s="73">
        <f>IF($A23="","",Z23*Y23)</f>
        <v/>
      </c>
      <c r="AA43" s="73" t="n"/>
      <c r="AB43" s="73">
        <f>IF($A23="","",AB23*AA23)</f>
        <v/>
      </c>
      <c r="AC43" s="73" t="n"/>
      <c r="AD43" s="73">
        <f>IF($A23="","",AD23*AC23)</f>
        <v/>
      </c>
      <c r="AE43" s="73" t="n"/>
      <c r="AF43" s="73">
        <f>IF($A23="","",AF23*AE23)</f>
        <v/>
      </c>
    </row>
    <row r="44" hidden="1">
      <c r="F44" s="73">
        <f>IF($A24="","",F24*E24)</f>
        <v/>
      </c>
      <c r="G44" s="73" t="n"/>
      <c r="H44" s="73">
        <f>IF($A24="","",H24*G24)</f>
        <v/>
      </c>
      <c r="I44" s="73" t="n"/>
      <c r="J44" s="73">
        <f>IF($A24="","",J24*I24)</f>
        <v/>
      </c>
      <c r="K44" s="73" t="n"/>
      <c r="L44" s="73">
        <f>IF($A24="","",L24*K24)</f>
        <v/>
      </c>
      <c r="M44" s="73" t="n"/>
      <c r="N44" s="73">
        <f>IF($A24="","",N24*M24)</f>
        <v/>
      </c>
      <c r="O44" s="73" t="n"/>
      <c r="P44" s="73">
        <f>IF($A24="","",P24*O24)</f>
        <v/>
      </c>
      <c r="Q44" s="73" t="n"/>
      <c r="R44" s="73">
        <f>IF($A24="","",R24*Q24)</f>
        <v/>
      </c>
      <c r="S44" s="73" t="n"/>
      <c r="T44" s="73">
        <f>IF($A24="","",T24*S24)</f>
        <v/>
      </c>
      <c r="U44" s="73" t="n"/>
      <c r="V44" s="73">
        <f>IF($A24="","",V24*U24)</f>
        <v/>
      </c>
      <c r="W44" s="73" t="n"/>
      <c r="X44" s="73">
        <f>IF($A24="","",X24*W24)</f>
        <v/>
      </c>
      <c r="Y44" s="73" t="n"/>
      <c r="Z44" s="73">
        <f>IF($A24="","",Z24*Y24)</f>
        <v/>
      </c>
      <c r="AA44" s="73" t="n"/>
      <c r="AB44" s="73">
        <f>IF($A24="","",AB24*AA24)</f>
        <v/>
      </c>
      <c r="AC44" s="73" t="n"/>
      <c r="AD44" s="73">
        <f>IF($A24="","",AD24*AC24)</f>
        <v/>
      </c>
      <c r="AE44" s="73" t="n"/>
      <c r="AF44" s="73">
        <f>IF($A24="","",AF24*AE24)</f>
        <v/>
      </c>
    </row>
    <row r="45" hidden="1">
      <c r="F45" s="73">
        <f>IF($A25="","",F25*E25)</f>
        <v/>
      </c>
      <c r="G45" s="73" t="n"/>
      <c r="H45" s="73">
        <f>IF($A25="","",H25*G25)</f>
        <v/>
      </c>
      <c r="I45" s="73" t="n"/>
      <c r="J45" s="73">
        <f>IF($A25="","",J25*I25)</f>
        <v/>
      </c>
      <c r="K45" s="73" t="n"/>
      <c r="L45" s="73">
        <f>IF($A25="","",L25*K25)</f>
        <v/>
      </c>
      <c r="M45" s="73" t="n"/>
      <c r="N45" s="73">
        <f>IF($A25="","",N25*M25)</f>
        <v/>
      </c>
      <c r="O45" s="73" t="n"/>
      <c r="P45" s="73">
        <f>IF($A25="","",P25*O25)</f>
        <v/>
      </c>
      <c r="Q45" s="73" t="n"/>
      <c r="R45" s="73">
        <f>IF($A25="","",R25*Q25)</f>
        <v/>
      </c>
      <c r="S45" s="73" t="n"/>
      <c r="T45" s="73">
        <f>IF($A25="","",T25*S25)</f>
        <v/>
      </c>
      <c r="U45" s="73" t="n"/>
      <c r="V45" s="73">
        <f>IF($A25="","",V25*U25)</f>
        <v/>
      </c>
      <c r="W45" s="73" t="n"/>
      <c r="X45" s="73">
        <f>IF($A25="","",X25*W25)</f>
        <v/>
      </c>
      <c r="Y45" s="73" t="n"/>
      <c r="Z45" s="73">
        <f>IF($A25="","",Z25*Y25)</f>
        <v/>
      </c>
      <c r="AA45" s="73" t="n"/>
      <c r="AB45" s="73">
        <f>IF($A25="","",AB25*AA25)</f>
        <v/>
      </c>
      <c r="AC45" s="73" t="n"/>
      <c r="AD45" s="73">
        <f>IF($A25="","",AD25*AC25)</f>
        <v/>
      </c>
      <c r="AE45" s="73" t="n"/>
      <c r="AF45" s="73">
        <f>IF($A25="","",AF25*AE25)</f>
        <v/>
      </c>
    </row>
    <row r="46" hidden="1">
      <c r="F46" s="73">
        <f>IF($A26="","",F26*E26)</f>
        <v/>
      </c>
      <c r="G46" s="73" t="n"/>
      <c r="H46" s="73">
        <f>IF($A26="","",H26*G26)</f>
        <v/>
      </c>
      <c r="I46" s="73" t="n"/>
      <c r="J46" s="73">
        <f>IF($A26="","",J26*I26)</f>
        <v/>
      </c>
      <c r="K46" s="73" t="n"/>
      <c r="L46" s="73">
        <f>IF($A26="","",L26*K26)</f>
        <v/>
      </c>
      <c r="M46" s="73" t="n"/>
      <c r="N46" s="73">
        <f>IF($A26="","",N26*M26)</f>
        <v/>
      </c>
      <c r="O46" s="73" t="n"/>
      <c r="P46" s="73">
        <f>IF($A26="","",P26*O26)</f>
        <v/>
      </c>
      <c r="Q46" s="73" t="n"/>
      <c r="R46" s="73">
        <f>IF($A26="","",R26*Q26)</f>
        <v/>
      </c>
      <c r="S46" s="73" t="n"/>
      <c r="T46" s="73">
        <f>IF($A26="","",T26*S26)</f>
        <v/>
      </c>
      <c r="U46" s="73" t="n"/>
      <c r="V46" s="73">
        <f>IF($A26="","",V26*U26)</f>
        <v/>
      </c>
      <c r="W46" s="73" t="n"/>
      <c r="X46" s="73">
        <f>IF($A26="","",X26*W26)</f>
        <v/>
      </c>
      <c r="Y46" s="73" t="n"/>
      <c r="Z46" s="73">
        <f>IF($A26="","",Z26*Y26)</f>
        <v/>
      </c>
      <c r="AA46" s="73" t="n"/>
      <c r="AB46" s="73">
        <f>IF($A26="","",AB26*AA26)</f>
        <v/>
      </c>
      <c r="AC46" s="73" t="n"/>
      <c r="AD46" s="73">
        <f>IF($A26="","",AD26*AC26)</f>
        <v/>
      </c>
      <c r="AE46" s="73" t="n"/>
      <c r="AF46" s="73">
        <f>IF($A26="","",AF26*AE26)</f>
        <v/>
      </c>
    </row>
    <row r="47" hidden="1">
      <c r="F47" s="73">
        <f>IF($A27="","",F27*E27)</f>
        <v/>
      </c>
      <c r="G47" s="73" t="n"/>
      <c r="H47" s="73">
        <f>IF($A27="","",H27*G27)</f>
        <v/>
      </c>
      <c r="I47" s="73" t="n"/>
      <c r="J47" s="73">
        <f>IF($A27="","",J27*I27)</f>
        <v/>
      </c>
      <c r="K47" s="73" t="n"/>
      <c r="L47" s="73">
        <f>IF($A27="","",L27*K27)</f>
        <v/>
      </c>
      <c r="M47" s="73" t="n"/>
      <c r="N47" s="73">
        <f>IF($A27="","",N27*M27)</f>
        <v/>
      </c>
      <c r="O47" s="73" t="n"/>
      <c r="P47" s="73">
        <f>IF($A27="","",P27*O27)</f>
        <v/>
      </c>
      <c r="Q47" s="73" t="n"/>
      <c r="R47" s="73">
        <f>IF($A27="","",R27*Q27)</f>
        <v/>
      </c>
      <c r="S47" s="73" t="n"/>
      <c r="T47" s="73">
        <f>IF($A27="","",T27*S27)</f>
        <v/>
      </c>
      <c r="U47" s="73" t="n"/>
      <c r="V47" s="73">
        <f>IF($A27="","",V27*U27)</f>
        <v/>
      </c>
      <c r="W47" s="73" t="n"/>
      <c r="X47" s="73">
        <f>IF($A27="","",X27*W27)</f>
        <v/>
      </c>
      <c r="Y47" s="73" t="n"/>
      <c r="Z47" s="73">
        <f>IF($A27="","",Z27*Y27)</f>
        <v/>
      </c>
      <c r="AA47" s="73" t="n"/>
      <c r="AB47" s="73">
        <f>IF($A27="","",AB27*AA27)</f>
        <v/>
      </c>
      <c r="AC47" s="73" t="n"/>
      <c r="AD47" s="73">
        <f>IF($A27="","",AD27*AC27)</f>
        <v/>
      </c>
      <c r="AE47" s="73" t="n"/>
      <c r="AF47" s="73">
        <f>IF($A27="","",AF27*AE27)</f>
        <v/>
      </c>
    </row>
    <row r="48" hidden="1">
      <c r="F48" s="73">
        <f>IF($A28="","",F28*E28)</f>
        <v/>
      </c>
      <c r="G48" s="73" t="n"/>
      <c r="H48" s="73">
        <f>IF($A28="","",H28*G28)</f>
        <v/>
      </c>
      <c r="I48" s="73" t="n"/>
      <c r="J48" s="73">
        <f>IF($A28="","",J28*I28)</f>
        <v/>
      </c>
      <c r="K48" s="73" t="n"/>
      <c r="L48" s="73">
        <f>IF($A28="","",L28*K28)</f>
        <v/>
      </c>
      <c r="M48" s="73" t="n"/>
      <c r="N48" s="73">
        <f>IF($A28="","",N28*M28)</f>
        <v/>
      </c>
      <c r="O48" s="73" t="n"/>
      <c r="P48" s="73">
        <f>IF($A28="","",P28*O28)</f>
        <v/>
      </c>
      <c r="Q48" s="73" t="n"/>
      <c r="R48" s="73">
        <f>IF($A28="","",R28*Q28)</f>
        <v/>
      </c>
      <c r="S48" s="73" t="n"/>
      <c r="T48" s="73">
        <f>IF($A28="","",T28*S28)</f>
        <v/>
      </c>
      <c r="U48" s="73" t="n"/>
      <c r="V48" s="73">
        <f>IF($A28="","",V28*U28)</f>
        <v/>
      </c>
      <c r="W48" s="73" t="n"/>
      <c r="X48" s="73">
        <f>IF($A28="","",X28*W28)</f>
        <v/>
      </c>
      <c r="Y48" s="73" t="n"/>
      <c r="Z48" s="73">
        <f>IF($A28="","",Z28*Y28)</f>
        <v/>
      </c>
      <c r="AA48" s="73" t="n"/>
      <c r="AB48" s="73">
        <f>IF($A28="","",AB28*AA28)</f>
        <v/>
      </c>
      <c r="AC48" s="73" t="n"/>
      <c r="AD48" s="73">
        <f>IF($A28="","",AD28*AC28)</f>
        <v/>
      </c>
      <c r="AE48" s="73" t="n"/>
      <c r="AF48" s="73">
        <f>IF($A28="","",AF28*AE28)</f>
        <v/>
      </c>
    </row>
    <row r="49" hidden="1">
      <c r="F49" s="74">
        <f>SUMIF(F31:F48,"&gt;0")</f>
        <v/>
      </c>
      <c r="H49" s="74">
        <f>SUMIF(H31:H48,"&gt;0")</f>
        <v/>
      </c>
      <c r="I49" s="74" t="n"/>
      <c r="J49" s="74">
        <f>SUMIF(J31:J48,"&gt;0")</f>
        <v/>
      </c>
      <c r="K49" s="74" t="n"/>
      <c r="L49" s="74">
        <f>SUMIF(L31:L48,"&gt;0")</f>
        <v/>
      </c>
      <c r="M49" s="74" t="n"/>
      <c r="N49" s="74">
        <f>SUMIF(N31:N48,"&gt;0")</f>
        <v/>
      </c>
      <c r="P49" s="74">
        <f>SUMIF(P31:P48,"&gt;0")</f>
        <v/>
      </c>
      <c r="Q49" s="74" t="n"/>
      <c r="R49" s="74">
        <f>SUMIF(R31:R48,"&gt;0")</f>
        <v/>
      </c>
      <c r="S49" s="74" t="n"/>
      <c r="T49" s="74">
        <f>SUMIF(T31:T48,"&gt;0")</f>
        <v/>
      </c>
      <c r="U49" s="74" t="n"/>
      <c r="V49" s="74">
        <f>SUMIF(V31:V48,"&gt;0")</f>
        <v/>
      </c>
      <c r="X49" s="74">
        <f>SUMIF(X31:X48,"&gt;0")</f>
        <v/>
      </c>
      <c r="Y49" s="74" t="n"/>
      <c r="Z49" s="74">
        <f>SUMIF(Z31:Z48,"&gt;0")</f>
        <v/>
      </c>
      <c r="AA49" s="74" t="n"/>
      <c r="AB49" s="74">
        <f>SUMIF(AB31:AB48,"&gt;0")</f>
        <v/>
      </c>
      <c r="AC49" s="74" t="n"/>
      <c r="AD49" s="74">
        <f>SUMIF(AD31:AD48,"&gt;0")</f>
        <v/>
      </c>
      <c r="AE49" s="74" t="n"/>
      <c r="AF49" s="74">
        <f>SUMIF(AF31:AF48,"&gt;0")</f>
        <v/>
      </c>
    </row>
    <row r="52">
      <c r="A52" s="75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</row>
    <row r="53">
      <c r="A53" s="77" t="inlineStr">
        <is>
          <t>#</t>
        </is>
      </c>
      <c r="B53" s="77" t="inlineStr">
        <is>
          <t>โปรไฟล์</t>
        </is>
      </c>
      <c r="C53" s="77" t="inlineStr">
        <is>
          <t>รหัส</t>
        </is>
      </c>
      <c r="D53" s="77" t="inlineStr">
        <is>
          <t>สูตรตัด (เดิม)</t>
        </is>
      </c>
      <c r="E53" s="77" t="inlineStr">
        <is>
          <t>หัก1</t>
        </is>
      </c>
      <c r="F53" s="77" t="inlineStr">
        <is>
          <t>หัก2</t>
        </is>
      </c>
      <c r="G53" s="77" t="inlineStr">
        <is>
          <t>หัก3</t>
        </is>
      </c>
      <c r="H53" s="77" t="inlineStr">
        <is>
          <t>หัก4</t>
        </is>
      </c>
      <c r="I53" s="77" t="inlineStr">
        <is>
          <t>หัก5</t>
        </is>
      </c>
      <c r="J53" s="77" t="inlineStr">
        <is>
          <t>หัก6</t>
        </is>
      </c>
      <c r="K53" s="77" t="inlineStr">
        <is>
          <t>หัก7</t>
        </is>
      </c>
      <c r="L53" s="77" t="inlineStr">
        <is>
          <t>จำนวน/ชุด</t>
        </is>
      </c>
      <c r="M53" s="122" t="n"/>
    </row>
    <row r="54" ht="44" customHeight="1">
      <c r="A54" s="78" t="n">
        <v>1</v>
      </c>
      <c r="B54" s="79" t="inlineStr">
        <is>
          <t>เฟรมข้าง</t>
        </is>
      </c>
      <c r="C54" s="80" t="inlineStr">
        <is>
          <t>F7978</t>
        </is>
      </c>
      <c r="D54" s="81" t="inlineStr">
        <is>
          <t>สูง</t>
        </is>
      </c>
      <c r="E54" s="82" t="n"/>
      <c r="F54" s="82" t="n"/>
      <c r="G54" s="82" t="n"/>
      <c r="H54" s="82" t="n"/>
      <c r="I54" s="82" t="n"/>
      <c r="J54" s="82" t="n"/>
      <c r="K54" s="82" t="n"/>
      <c r="L54" s="83" t="n">
        <v>2</v>
      </c>
      <c r="M54" s="82" t="n"/>
    </row>
    <row r="55" ht="44" customHeight="1">
      <c r="A55" s="78" t="n">
        <v>2</v>
      </c>
      <c r="B55" s="79" t="inlineStr">
        <is>
          <t>เฟรม บน-ล่าง</t>
        </is>
      </c>
      <c r="C55" s="80" t="inlineStr">
        <is>
          <t>F7976</t>
        </is>
      </c>
      <c r="D55" s="81" t="inlineStr">
        <is>
          <t>กว้าง-21-21</t>
        </is>
      </c>
      <c r="E55" s="83" t="n">
        <v>21</v>
      </c>
      <c r="F55" s="83" t="n">
        <v>21</v>
      </c>
      <c r="G55" s="82" t="n"/>
      <c r="H55" s="82" t="n"/>
      <c r="I55" s="82" t="n"/>
      <c r="J55" s="82" t="n"/>
      <c r="K55" s="82" t="n"/>
      <c r="L55" s="83" t="n">
        <v>2</v>
      </c>
      <c r="M55" s="82" t="n"/>
    </row>
    <row r="56" ht="44" customHeight="1">
      <c r="A56" s="78" t="n">
        <v>3</v>
      </c>
      <c r="B56" s="79" t="inlineStr">
        <is>
          <t>ตบกันสาด</t>
        </is>
      </c>
      <c r="C56" s="80" t="inlineStr">
        <is>
          <t>F7992</t>
        </is>
      </c>
      <c r="D56" s="81" t="inlineStr">
        <is>
          <t>กว้าง</t>
        </is>
      </c>
      <c r="E56" s="82" t="n"/>
      <c r="F56" s="82" t="n"/>
      <c r="G56" s="82" t="n"/>
      <c r="H56" s="82" t="n"/>
      <c r="I56" s="82" t="n"/>
      <c r="J56" s="82" t="n"/>
      <c r="K56" s="82" t="n"/>
      <c r="L56" s="83" t="n">
        <v>1</v>
      </c>
      <c r="M56" s="82" t="n"/>
    </row>
    <row r="57" ht="44" customHeight="1">
      <c r="A57" s="78" t="n">
        <v>4</v>
      </c>
      <c r="B57" s="79" t="inlineStr">
        <is>
          <t>เสา</t>
        </is>
      </c>
      <c r="C57" s="80" t="inlineStr">
        <is>
          <t>F7980</t>
        </is>
      </c>
      <c r="D57" s="81" t="inlineStr">
        <is>
          <t>สูง-21-19-13-21</t>
        </is>
      </c>
      <c r="E57" s="83" t="n">
        <v>21</v>
      </c>
      <c r="F57" s="83" t="n">
        <v>19</v>
      </c>
      <c r="G57" s="83" t="n">
        <v>13</v>
      </c>
      <c r="H57" s="83" t="n">
        <v>21</v>
      </c>
      <c r="I57" s="82" t="n"/>
      <c r="J57" s="82" t="n"/>
      <c r="K57" s="82" t="n"/>
      <c r="L57" s="83" t="n">
        <v>4</v>
      </c>
      <c r="M57" s="82" t="n"/>
    </row>
    <row r="58" ht="15" customHeight="1">
      <c r="A58" s="78" t="n">
        <v>5</v>
      </c>
      <c r="B58" s="79" t="inlineStr">
        <is>
          <t>ขวาง</t>
        </is>
      </c>
      <c r="C58" s="80" t="inlineStr">
        <is>
          <t>-</t>
        </is>
      </c>
      <c r="D58" s="81" t="inlineStr">
        <is>
          <t>((กว้าง-21-1-1-21)/2)+(66x2/2)</t>
        </is>
      </c>
      <c r="E58" s="83" t="n">
        <v>21</v>
      </c>
      <c r="F58" s="83" t="n">
        <v>1</v>
      </c>
      <c r="G58" s="83" t="n">
        <v>1</v>
      </c>
      <c r="H58" s="83" t="n">
        <v>21</v>
      </c>
      <c r="I58" s="82" t="n"/>
      <c r="J58" s="82" t="n"/>
      <c r="K58" s="82" t="n"/>
      <c r="L58" s="83" t="n">
        <v>4</v>
      </c>
      <c r="M58" s="82" t="n"/>
    </row>
    <row r="59" ht="44" customHeight="1">
      <c r="A59" s="78" t="n">
        <v>6</v>
      </c>
      <c r="B59" s="79" t="inlineStr">
        <is>
          <t>คิ้ว ตั้ง</t>
        </is>
      </c>
      <c r="C59" s="80" t="inlineStr">
        <is>
          <t>F7919</t>
        </is>
      </c>
      <c r="D59" s="81" t="inlineStr">
        <is>
          <t>เสา-66-66</t>
        </is>
      </c>
      <c r="E59" s="83" t="n">
        <v>66</v>
      </c>
      <c r="F59" s="83" t="n">
        <v>66</v>
      </c>
      <c r="G59" s="82" t="n"/>
      <c r="H59" s="82" t="n"/>
      <c r="I59" s="82" t="n"/>
      <c r="J59" s="82" t="n"/>
      <c r="K59" s="82" t="n"/>
      <c r="L59" s="83" t="n">
        <v>4</v>
      </c>
      <c r="M59" s="82" t="n"/>
    </row>
    <row r="60" ht="15" customHeight="1">
      <c r="A60" s="78" t="n">
        <v>7</v>
      </c>
      <c r="B60" s="79" t="inlineStr">
        <is>
          <t>คิ้ว ขวาง</t>
        </is>
      </c>
      <c r="C60" s="80" t="inlineStr">
        <is>
          <t>-</t>
        </is>
      </c>
      <c r="D60" s="81" t="inlineStr">
        <is>
          <t>ขวาง-51-51</t>
        </is>
      </c>
      <c r="E60" s="83" t="n">
        <v>51</v>
      </c>
      <c r="F60" s="83" t="n">
        <v>51</v>
      </c>
      <c r="G60" s="82" t="n"/>
      <c r="H60" s="82" t="n"/>
      <c r="I60" s="82" t="n"/>
      <c r="J60" s="82" t="n"/>
      <c r="K60" s="82" t="n"/>
      <c r="L60" s="83" t="n">
        <v>4</v>
      </c>
      <c r="M60" s="82" t="n"/>
    </row>
    <row r="61" ht="44" customHeight="1">
      <c r="A61" s="78" t="n">
        <v>8</v>
      </c>
      <c r="B61" s="79" t="inlineStr">
        <is>
          <t>ตบเกี่ยว</t>
        </is>
      </c>
      <c r="C61" s="80" t="inlineStr">
        <is>
          <t>F7982</t>
        </is>
      </c>
      <c r="D61" s="81" t="inlineStr">
        <is>
          <t>สูงกรอบบาน</t>
        </is>
      </c>
      <c r="E61" s="82" t="n"/>
      <c r="F61" s="82" t="n"/>
      <c r="G61" s="82" t="n"/>
      <c r="H61" s="82" t="n"/>
      <c r="I61" s="82" t="n"/>
      <c r="J61" s="82" t="n"/>
      <c r="K61" s="82" t="n"/>
      <c r="L61" s="83" t="n">
        <v>2</v>
      </c>
      <c r="M61" s="82" t="n"/>
    </row>
    <row r="62" ht="44" customHeight="1">
      <c r="A62" s="78" t="n">
        <v>9</v>
      </c>
      <c r="B62" s="79" t="inlineStr">
        <is>
          <t>ยูข้าง</t>
        </is>
      </c>
      <c r="C62" s="80" t="inlineStr">
        <is>
          <t>F7986</t>
        </is>
      </c>
      <c r="D62" s="81" t="inlineStr">
        <is>
          <t>สูง-45-45</t>
        </is>
      </c>
      <c r="E62" s="83" t="n">
        <v>45</v>
      </c>
      <c r="F62" s="83" t="n">
        <v>45</v>
      </c>
      <c r="G62" s="82" t="n"/>
      <c r="H62" s="82" t="n"/>
      <c r="I62" s="82" t="n"/>
      <c r="J62" s="82" t="n"/>
      <c r="K62" s="82" t="n"/>
      <c r="L62" s="83" t="n">
        <v>2</v>
      </c>
      <c r="M62" s="82" t="n"/>
    </row>
    <row r="63" ht="44" customHeight="1">
      <c r="A63" s="78" t="n">
        <v>10</v>
      </c>
      <c r="B63" s="79" t="inlineStr">
        <is>
          <t>ตบเฟรมบน</t>
        </is>
      </c>
      <c r="C63" s="80" t="inlineStr">
        <is>
          <t>F7993</t>
        </is>
      </c>
      <c r="D63" s="81" t="inlineStr">
        <is>
          <t>เท่าเฟรมบน</t>
        </is>
      </c>
      <c r="E63" s="83" t="n">
        <v>21</v>
      </c>
      <c r="F63" s="83" t="n">
        <v>21</v>
      </c>
      <c r="G63" s="82" t="n"/>
      <c r="H63" s="82" t="n"/>
      <c r="I63" s="82" t="n"/>
      <c r="J63" s="82" t="n"/>
      <c r="K63" s="82" t="n"/>
      <c r="L63" s="83" t="n">
        <v>3</v>
      </c>
      <c r="M63" s="82" t="n"/>
    </row>
    <row r="64" ht="44" customHeight="1">
      <c r="A64" s="78" t="n">
        <v>11</v>
      </c>
      <c r="B64" s="79" t="inlineStr">
        <is>
          <t>ตบยูข้าง</t>
        </is>
      </c>
      <c r="C64" s="80" t="inlineStr">
        <is>
          <t>F7988</t>
        </is>
      </c>
      <c r="D64" s="81" t="inlineStr">
        <is>
          <t>สูง-45-45</t>
        </is>
      </c>
      <c r="E64" s="83" t="n">
        <v>45</v>
      </c>
      <c r="F64" s="83" t="n">
        <v>45</v>
      </c>
      <c r="G64" s="82" t="n"/>
      <c r="H64" s="82" t="n"/>
      <c r="I64" s="82" t="n"/>
      <c r="J64" s="82" t="n"/>
      <c r="K64" s="82" t="n"/>
      <c r="L64" s="83" t="n">
        <v>2</v>
      </c>
      <c r="M64" s="82" t="n"/>
    </row>
    <row r="65" ht="15" customHeight="1">
      <c r="A65" s="78" t="n">
        <v>12</v>
      </c>
      <c r="B65" s="79" t="inlineStr">
        <is>
          <t>ปิดตบเกี่ยว</t>
        </is>
      </c>
      <c r="C65" s="80" t="inlineStr">
        <is>
          <t>-</t>
        </is>
      </c>
      <c r="D65" s="81" t="inlineStr">
        <is>
          <t>สูงกรอบบาน</t>
        </is>
      </c>
      <c r="E65" s="82" t="n"/>
      <c r="F65" s="82" t="n"/>
      <c r="G65" s="82" t="n"/>
      <c r="H65" s="82" t="n"/>
      <c r="I65" s="82" t="n"/>
      <c r="J65" s="82" t="n"/>
      <c r="K65" s="82" t="n"/>
      <c r="L65" s="83" t="n">
        <v>2</v>
      </c>
      <c r="M65" s="82" t="n"/>
    </row>
    <row r="66" ht="15" customHeight="1">
      <c r="A66" s="78" t="n">
        <v>13</v>
      </c>
      <c r="B66" s="79" t="inlineStr">
        <is>
          <t>ตบกันสาด</t>
        </is>
      </c>
      <c r="C66" s="80" t="inlineStr">
        <is>
          <t>-</t>
        </is>
      </c>
      <c r="D66" s="81" t="inlineStr">
        <is>
          <t>กว้าง</t>
        </is>
      </c>
      <c r="E66" s="82" t="n"/>
      <c r="F66" s="82" t="n"/>
      <c r="G66" s="82" t="n"/>
      <c r="H66" s="82" t="n"/>
      <c r="I66" s="82" t="n"/>
      <c r="J66" s="82" t="n"/>
      <c r="K66" s="82" t="n"/>
      <c r="L66" s="83" t="n">
        <v>1</v>
      </c>
      <c r="M66" s="82" t="n"/>
    </row>
    <row r="67" ht="44" customHeight="1">
      <c r="A67" s="78" t="n">
        <v>14</v>
      </c>
      <c r="B67" s="79" t="inlineStr">
        <is>
          <t>ราง</t>
        </is>
      </c>
      <c r="C67" s="80" t="inlineStr">
        <is>
          <t>F7994</t>
        </is>
      </c>
      <c r="D67" s="81" t="inlineStr">
        <is>
          <t>เท่าเฟรมล่าง</t>
        </is>
      </c>
      <c r="E67" s="83" t="n">
        <v>21</v>
      </c>
      <c r="F67" s="83" t="n">
        <v>21</v>
      </c>
      <c r="G67" s="82" t="n"/>
      <c r="H67" s="82" t="n"/>
      <c r="I67" s="82" t="n"/>
      <c r="J67" s="82" t="n"/>
      <c r="K67" s="82" t="n"/>
      <c r="L67" s="83" t="n">
        <v>3</v>
      </c>
      <c r="M67" s="82" t="n"/>
    </row>
    <row r="69">
      <c r="A69" s="123" t="n"/>
      <c r="F69" s="124" t="n"/>
    </row>
    <row r="70">
      <c r="A70" s="153" t="inlineStr">
        <is>
          <t>⑤ อุปกรณ์ + ตั้งค่ามือจับ (2 ชุด · บานเลื่อน 2)</t>
        </is>
      </c>
      <c r="F70" s="126" t="n"/>
    </row>
    <row r="71">
      <c r="A71" s="152" t="inlineStr">
        <is>
          <t>ประเภทบาน →</t>
        </is>
      </c>
      <c r="B71" s="150" t="inlineStr">
        <is>
          <t>ประตู</t>
        </is>
      </c>
      <c r="F71" s="126" t="n"/>
    </row>
    <row r="72">
      <c r="A72" s="152" t="inlineStr">
        <is>
          <t>ยี่ห้อมือจับ →</t>
        </is>
      </c>
      <c r="B72" s="150" t="inlineStr">
        <is>
          <t>เมโทร</t>
        </is>
      </c>
      <c r="F72" s="126" t="n"/>
    </row>
    <row r="73">
      <c r="A73" s="152" t="inlineStr">
        <is>
          <t>สีมือจับ →</t>
        </is>
      </c>
      <c r="B73" s="150" t="inlineStr">
        <is>
          <t>อบขาว</t>
        </is>
      </c>
      <c r="F73" s="126" t="n"/>
    </row>
    <row r="74">
      <c r="A74" s="156" t="inlineStr">
        <is>
          <t>มือจับ ชุด1 →</t>
        </is>
      </c>
      <c r="B74" s="150" t="inlineStr">
        <is>
          <t>กุญแจ+ล็อค</t>
        </is>
      </c>
    </row>
    <row r="75">
      <c r="A75" s="149" t="inlineStr">
        <is>
          <t>มือจับ ชุด2 →</t>
        </is>
      </c>
      <c r="B75" s="150" t="inlineStr">
        <is>
          <t>ล็อค+ดัมมี่</t>
        </is>
      </c>
    </row>
    <row r="76">
      <c r="A76" s="154" t="inlineStr">
        <is>
          <t>⑤.1 สรุปอุปกรณ์ (จำนวนลิงก์อัตโนมัติ)</t>
        </is>
      </c>
    </row>
    <row r="77">
      <c r="A77" s="154" t="inlineStr">
        <is>
          <t>#</t>
        </is>
      </c>
      <c r="B77" s="154" t="inlineStr">
        <is>
          <t>อุปกรณ์</t>
        </is>
      </c>
      <c r="C77" s="154" t="inlineStr">
        <is>
          <t>รหัส SKU</t>
        </is>
      </c>
      <c r="D77" s="154" t="inlineStr">
        <is>
          <t>จำนวน</t>
        </is>
      </c>
      <c r="E77" s="154" t="inlineStr">
        <is>
          <t>หน่วย</t>
        </is>
      </c>
      <c r="F77" s="154" t="inlineStr">
        <is>
          <t>หมายเหตุ</t>
        </is>
      </c>
    </row>
    <row r="78">
      <c r="A78" s="149" t="n">
        <v>1</v>
      </c>
      <c r="B78" s="149" t="inlineStr">
        <is>
          <t>ล้อ 20</t>
        </is>
      </c>
      <c r="C78" s="150">
        <f>AK8</f>
        <v/>
      </c>
      <c r="D78" s="155">
        <f>AK30</f>
        <v/>
      </c>
      <c r="E78" s="149" t="inlineStr">
        <is>
          <t>ตัว</t>
        </is>
      </c>
      <c r="F78" s="149" t="inlineStr"/>
    </row>
    <row r="79">
      <c r="A79" s="149" t="n">
        <v>2</v>
      </c>
      <c r="B79" s="149" t="inlineStr">
        <is>
          <t>มือจับ กุญแจ</t>
        </is>
      </c>
      <c r="C79" s="150">
        <f>AL8</f>
        <v/>
      </c>
      <c r="D79" s="155">
        <f>AL30</f>
        <v/>
      </c>
      <c r="E79" s="149" t="inlineStr">
        <is>
          <t>ตัว</t>
        </is>
      </c>
      <c r="F79" s="149" t="inlineStr"/>
    </row>
    <row r="80">
      <c r="A80" s="149" t="n">
        <v>3</v>
      </c>
      <c r="B80" s="149" t="inlineStr">
        <is>
          <t>มือจับ ล็อค</t>
        </is>
      </c>
      <c r="C80" s="150">
        <f>AM8</f>
        <v/>
      </c>
      <c r="D80" s="155">
        <f>AM30</f>
        <v/>
      </c>
      <c r="E80" s="149" t="inlineStr">
        <is>
          <t>ตัว</t>
        </is>
      </c>
      <c r="F80" s="149" t="inlineStr"/>
    </row>
    <row r="81">
      <c r="A81" s="149" t="n">
        <v>4</v>
      </c>
      <c r="B81" s="149" t="inlineStr">
        <is>
          <t>มือจับ ดัมมี่</t>
        </is>
      </c>
      <c r="C81" s="150">
        <f>AN8</f>
        <v/>
      </c>
      <c r="D81" s="155">
        <f>AN30</f>
        <v/>
      </c>
      <c r="E81" s="149" t="inlineStr">
        <is>
          <t>ตัว</t>
        </is>
      </c>
      <c r="F81" s="149" t="inlineStr"/>
    </row>
    <row r="82">
      <c r="A82" s="149" t="n">
        <v>5</v>
      </c>
      <c r="B82" s="149" t="inlineStr">
        <is>
          <t>Digital lock</t>
        </is>
      </c>
      <c r="C82" s="150" t="inlineStr">
        <is>
          <t>-</t>
        </is>
      </c>
      <c r="D82" s="155">
        <f>AO30</f>
        <v/>
      </c>
      <c r="E82" s="149" t="inlineStr">
        <is>
          <t>ชุด</t>
        </is>
      </c>
      <c r="F82" s="149" t="inlineStr">
        <is>
          <t>ไม่ตัดสต็อก</t>
        </is>
      </c>
    </row>
    <row r="83">
      <c r="A83" s="149" t="n">
        <v>6</v>
      </c>
      <c r="B83" s="149" t="inlineStr">
        <is>
          <t>แกน A</t>
        </is>
      </c>
      <c r="C83" s="150">
        <f>AP8</f>
        <v/>
      </c>
      <c r="D83" s="155">
        <f>AP30</f>
        <v/>
      </c>
      <c r="E83" s="149" t="inlineStr">
        <is>
          <t>เส้น</t>
        </is>
      </c>
      <c r="F83" s="149" t="inlineStr"/>
    </row>
    <row r="84">
      <c r="A84" s="149" t="n">
        <v>7</v>
      </c>
      <c r="B84" s="149" t="inlineStr">
        <is>
          <t>แกน B</t>
        </is>
      </c>
      <c r="C84" s="150">
        <f>AQ8</f>
        <v/>
      </c>
      <c r="D84" s="155">
        <f>AQ30</f>
        <v/>
      </c>
      <c r="E84" s="149" t="inlineStr">
        <is>
          <t>เส้น</t>
        </is>
      </c>
      <c r="F84" s="149" t="inlineStr"/>
    </row>
    <row r="85">
      <c r="A85" s="149" t="n">
        <v>8</v>
      </c>
      <c r="B85" s="149" t="inlineStr">
        <is>
          <t>ปลายดำ</t>
        </is>
      </c>
      <c r="C85" s="150">
        <f>AR8</f>
        <v/>
      </c>
      <c r="D85" s="155">
        <f>AR30</f>
        <v/>
      </c>
      <c r="E85" s="149" t="inlineStr">
        <is>
          <t>ตัว</t>
        </is>
      </c>
      <c r="F85" s="149" t="inlineStr"/>
    </row>
    <row r="86">
      <c r="A86" s="149" t="n">
        <v>9</v>
      </c>
      <c r="B86" s="149" t="inlineStr">
        <is>
          <t>ตัวที เงิน</t>
        </is>
      </c>
      <c r="C86" s="150">
        <f>AS8</f>
        <v/>
      </c>
      <c r="D86" s="155">
        <f>AS30</f>
        <v/>
      </c>
      <c r="E86" s="149" t="inlineStr">
        <is>
          <t>ตัว</t>
        </is>
      </c>
      <c r="F86" s="149" t="inlineStr"/>
    </row>
    <row r="87">
      <c r="A87" s="149" t="n">
        <v>10</v>
      </c>
      <c r="B87" s="149" t="inlineStr">
        <is>
          <t>ก้ามปู</t>
        </is>
      </c>
      <c r="C87" s="150">
        <f>AT8</f>
        <v/>
      </c>
      <c r="D87" s="155">
        <f>AT30</f>
        <v/>
      </c>
      <c r="E87" s="149" t="inlineStr">
        <is>
          <t>ตัว</t>
        </is>
      </c>
      <c r="F87" s="149" t="inlineStr"/>
    </row>
    <row r="88">
      <c r="A88" s="149" t="n">
        <v>11</v>
      </c>
      <c r="B88" s="149" t="inlineStr">
        <is>
          <t>สปิงก็อท</t>
        </is>
      </c>
      <c r="C88" s="150">
        <f>AU8</f>
        <v/>
      </c>
      <c r="D88" s="155">
        <f>AU30</f>
        <v/>
      </c>
      <c r="E88" s="149" t="inlineStr">
        <is>
          <t>ตัว</t>
        </is>
      </c>
      <c r="F88" s="149" t="inlineStr"/>
    </row>
    <row r="89">
      <c r="A89" s="149" t="n">
        <v>12</v>
      </c>
      <c r="B89" s="149" t="inlineStr">
        <is>
          <t>ฉากประกอบมุม</t>
        </is>
      </c>
      <c r="C89" s="150">
        <f>AV8</f>
        <v/>
      </c>
      <c r="D89" s="155">
        <f>AV30</f>
        <v/>
      </c>
      <c r="E89" s="149" t="inlineStr">
        <is>
          <t>ตัว</t>
        </is>
      </c>
      <c r="F89" s="149" t="inlineStr"/>
    </row>
    <row r="90">
      <c r="A90" s="149" t="n">
        <v>13</v>
      </c>
      <c r="B90" s="149" t="inlineStr">
        <is>
          <t>ยางรูน้ำ</t>
        </is>
      </c>
      <c r="C90" s="150">
        <f>AW8</f>
        <v/>
      </c>
      <c r="D90" s="155">
        <f>AW30</f>
        <v/>
      </c>
      <c r="E90" s="149" t="inlineStr">
        <is>
          <t>ตัว</t>
        </is>
      </c>
      <c r="F90" s="149" t="inlineStr"/>
    </row>
    <row r="91">
      <c r="A91" s="149" t="n">
        <v>14</v>
      </c>
      <c r="B91" s="149" t="inlineStr">
        <is>
          <t>วาวรูน้ำ</t>
        </is>
      </c>
      <c r="C91" s="150">
        <f>AX8</f>
        <v/>
      </c>
      <c r="D91" s="155">
        <f>AX30</f>
        <v/>
      </c>
      <c r="E91" s="149" t="inlineStr">
        <is>
          <t>ตัว</t>
        </is>
      </c>
      <c r="F91" s="149" t="inlineStr"/>
    </row>
    <row r="92">
      <c r="A92" s="149" t="n">
        <v>15</v>
      </c>
      <c r="B92" s="149" t="inlineStr">
        <is>
          <t>สักหลาด 5×3</t>
        </is>
      </c>
      <c r="C92" s="150">
        <f>AY8</f>
        <v/>
      </c>
      <c r="D92" s="155">
        <f>AY30</f>
        <v/>
      </c>
      <c r="E92" s="149" t="inlineStr">
        <is>
          <t>เมตร</t>
        </is>
      </c>
      <c r="F92" s="149" t="inlineStr">
        <is>
          <t>เก็บเป็นเมตร</t>
        </is>
      </c>
    </row>
  </sheetData>
  <mergeCells count="61">
    <mergeCell ref="U9:V9"/>
    <mergeCell ref="I6:J6"/>
    <mergeCell ref="AE7:AF7"/>
    <mergeCell ref="O6:P6"/>
    <mergeCell ref="U6:V6"/>
    <mergeCell ref="K9:L9"/>
    <mergeCell ref="W6:X6"/>
    <mergeCell ref="M9:N9"/>
    <mergeCell ref="K7:N7"/>
    <mergeCell ref="O9:P9"/>
    <mergeCell ref="G8:H8"/>
    <mergeCell ref="Y9:Z9"/>
    <mergeCell ref="E8:F8"/>
    <mergeCell ref="Q8:R8"/>
    <mergeCell ref="AA9:AB9"/>
    <mergeCell ref="Y7:AD7"/>
    <mergeCell ref="S8:T8"/>
    <mergeCell ref="Y30:AC30"/>
    <mergeCell ref="G7:H7"/>
    <mergeCell ref="AA6:AB6"/>
    <mergeCell ref="S7:T7"/>
    <mergeCell ref="I7:J7"/>
    <mergeCell ref="O7:R7"/>
    <mergeCell ref="A30:D30"/>
    <mergeCell ref="G6:H6"/>
    <mergeCell ref="AC8:AD8"/>
    <mergeCell ref="E9:F9"/>
    <mergeCell ref="AE8:AF8"/>
    <mergeCell ref="U7:V7"/>
    <mergeCell ref="W7:X7"/>
    <mergeCell ref="E6:F6"/>
    <mergeCell ref="A8:A9"/>
    <mergeCell ref="A6:D6"/>
    <mergeCell ref="M6:N6"/>
    <mergeCell ref="K8:L8"/>
    <mergeCell ref="Q6:R6"/>
    <mergeCell ref="S6:T6"/>
    <mergeCell ref="Y6:Z6"/>
    <mergeCell ref="A7:D7"/>
    <mergeCell ref="D8:D9"/>
    <mergeCell ref="Q9:R9"/>
    <mergeCell ref="I8:J8"/>
    <mergeCell ref="S9:T9"/>
    <mergeCell ref="M8:N8"/>
    <mergeCell ref="K30:M30"/>
    <mergeCell ref="AC9:AD9"/>
    <mergeCell ref="O8:P8"/>
    <mergeCell ref="U8:V8"/>
    <mergeCell ref="AE9:AF9"/>
    <mergeCell ref="W9:X9"/>
    <mergeCell ref="W8:X8"/>
    <mergeCell ref="B8:C9"/>
    <mergeCell ref="AC6:AD6"/>
    <mergeCell ref="E7:F7"/>
    <mergeCell ref="AE6:AF6"/>
    <mergeCell ref="O30:Q30"/>
    <mergeCell ref="Y8:Z8"/>
    <mergeCell ref="K6:L6"/>
    <mergeCell ref="G9:H9"/>
    <mergeCell ref="AA8:AB8"/>
    <mergeCell ref="I9:J9"/>
  </mergeCells>
  <dataValidations count="5">
    <dataValidation sqref="B71" showDropDown="0" showInputMessage="0" showErrorMessage="0" allowBlank="1" type="list">
      <formula1>"ประตู,หน้าต่าง"</formula1>
    </dataValidation>
    <dataValidation sqref="B72" showDropDown="0" showInputMessage="0" showErrorMessage="0" allowBlank="1" type="list">
      <formula1>"เมโทร,Align"</formula1>
    </dataValidation>
    <dataValidation sqref="B73" showDropDown="0" showInputMessage="0" showErrorMessage="0" allowBlank="1" type="list">
      <formula1>"อบขาว,ดำ"</formula1>
    </dataValidation>
    <dataValidation sqref="B74" showDropDown="0" showInputMessage="0" showErrorMessage="0" allowBlank="1" type="list">
      <formula1>=$BD$1:$BD$4</formula1>
    </dataValidation>
    <dataValidation sqref="B75" showDropDown="0" showInputMessage="0" showErrorMessage="0" allowBlank="1" type="list">
      <formula1>=$BD$1:$BD$4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D92"/>
  <sheetViews>
    <sheetView showGridLines="0"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26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6.75" customWidth="1" min="32" max="32"/>
    <col width="12.75" customWidth="1" min="33" max="33"/>
    <col width="12.75" customWidth="1" min="34" max="34"/>
    <col width="8.75" customWidth="1" min="35" max="35"/>
    <col width="8.875" customWidth="1" min="36" max="36"/>
    <col hidden="1" width="13" customWidth="1" min="53" max="53"/>
    <col hidden="1" width="13" customWidth="1" min="54" max="54"/>
    <col hidden="1" width="13" customWidth="1" min="55" max="55"/>
    <col hidden="1" width="13" customWidth="1" min="56" max="56"/>
  </cols>
  <sheetData>
    <row r="1" ht="40.15" customHeight="1">
      <c r="A1" s="1" t="inlineStr">
        <is>
          <t>JR ALUMINIUM &amp; GLASS  —  ใบรายการตัด · FUJI เลื่อน4 (2)   (หน่วย: มม.)</t>
        </is>
      </c>
      <c r="B1" s="2" t="n"/>
      <c r="D1" s="3" t="n"/>
      <c r="E1" s="4" t="n"/>
      <c r="F1" s="3" t="n"/>
      <c r="G1" s="5" t="n"/>
      <c r="H1" s="5" t="n"/>
      <c r="I1" s="3" t="n"/>
      <c r="J1" s="3" t="n"/>
      <c r="K1" s="5" t="n"/>
      <c r="L1" s="5" t="n"/>
      <c r="M1" s="6" t="n"/>
      <c r="N1" s="5" t="n"/>
      <c r="O1" s="3" t="n"/>
      <c r="P1" s="3" t="n"/>
      <c r="Q1" s="6" t="n"/>
      <c r="R1" s="6" t="n"/>
      <c r="S1" s="5" t="n"/>
      <c r="T1" s="5" t="n"/>
      <c r="U1" s="3" t="n"/>
      <c r="V1" s="7" t="n"/>
      <c r="W1" s="6" t="n"/>
      <c r="X1" s="6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BA1" t="inlineStr">
        <is>
          <t>เมโทรกุญแจอบขาว</t>
        </is>
      </c>
      <c r="BB1" t="inlineStr">
        <is>
          <t>JR00368</t>
        </is>
      </c>
      <c r="BD1">
        <f>IF($B$71="ประตู","กุญแจ+ล็อค","ล็อค")</f>
        <v/>
      </c>
    </row>
    <row r="2" ht="40.15" customHeight="1">
      <c r="A2" s="6" t="n"/>
      <c r="B2" s="6" t="n"/>
      <c r="C2" s="6" t="n"/>
      <c r="D2" s="6" t="n"/>
      <c r="E2" s="8" t="n"/>
      <c r="F2" s="6" t="n"/>
      <c r="G2" s="9" t="n"/>
      <c r="H2" s="9" t="n"/>
      <c r="I2" s="6" t="n"/>
      <c r="J2" s="6" t="n"/>
      <c r="K2" s="9" t="n"/>
      <c r="L2" s="9" t="n"/>
      <c r="M2" s="9" t="n"/>
      <c r="N2" s="9" t="n"/>
      <c r="O2" s="6" t="n"/>
      <c r="P2" s="6" t="n"/>
      <c r="Q2" s="6" t="n"/>
      <c r="R2" s="6" t="n"/>
      <c r="S2" s="9" t="n"/>
      <c r="T2" s="9" t="n"/>
      <c r="U2" s="6" t="n"/>
      <c r="V2" s="6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BA2" t="inlineStr">
        <is>
          <t>เมโทรกุญแจดำ</t>
        </is>
      </c>
      <c r="BB2" t="inlineStr">
        <is>
          <t>JR00371</t>
        </is>
      </c>
      <c r="BD2">
        <f>IF($B$71="ประตู","ล็อค+ดัมมี่","ดัมมี่")</f>
        <v/>
      </c>
    </row>
    <row r="3" ht="40.15" customHeight="1">
      <c r="A3" s="130">
        <f>HYPERLINK("#สารบัญ!A1","← สารบัญ")</f>
        <v/>
      </c>
      <c r="B3" s="10" t="n"/>
      <c r="C3" s="6" t="n"/>
      <c r="D3" s="6" t="n"/>
      <c r="E3" s="8" t="n"/>
      <c r="F3" s="6" t="n"/>
      <c r="G3" s="11" t="n"/>
      <c r="H3" s="11" t="n"/>
      <c r="I3" s="6" t="n"/>
      <c r="J3" s="6" t="n"/>
      <c r="K3" s="11" t="n"/>
      <c r="L3" s="11" t="n"/>
      <c r="M3" s="9" t="n"/>
      <c r="N3" s="9" t="n"/>
      <c r="O3" s="6" t="n"/>
      <c r="P3" s="6" t="n"/>
      <c r="Q3" s="6" t="n"/>
      <c r="R3" s="6" t="n"/>
      <c r="S3" s="11" t="n"/>
      <c r="T3" s="11" t="n"/>
      <c r="U3" s="6" t="n"/>
      <c r="V3" s="6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BA3" t="inlineStr">
        <is>
          <t>เมโทรล็อคอบขาว</t>
        </is>
      </c>
      <c r="BB3" t="inlineStr">
        <is>
          <t>JR00369</t>
        </is>
      </c>
      <c r="BD3">
        <f>IF($B$71="ประตู","ดัมมี่+ดัมมี่","")</f>
        <v/>
      </c>
    </row>
    <row r="4" ht="40.15" customHeight="1">
      <c r="A4" s="6" t="n"/>
      <c r="B4" s="6" t="n"/>
      <c r="C4" s="6" t="n"/>
      <c r="F4" s="6" t="n"/>
      <c r="I4" s="6" t="n"/>
      <c r="J4" s="6" t="n"/>
      <c r="M4" s="9" t="n"/>
      <c r="N4" s="9" t="n"/>
      <c r="O4" s="6" t="n"/>
      <c r="P4" s="6" t="n"/>
      <c r="Q4" s="6" t="n"/>
      <c r="R4" s="6" t="n"/>
      <c r="U4" s="6" t="n"/>
      <c r="V4" s="6" t="n"/>
      <c r="BA4" t="inlineStr">
        <is>
          <t>เมโทรล็อคดำ</t>
        </is>
      </c>
      <c r="BB4" t="inlineStr">
        <is>
          <t>JR00372</t>
        </is>
      </c>
      <c r="BD4">
        <f>IF($B$71="ประตู","Digital lock","")</f>
        <v/>
      </c>
    </row>
    <row r="5" ht="40.15" customHeight="1">
      <c r="A5" s="6" t="n"/>
      <c r="B5" s="6" t="n"/>
      <c r="C5" s="6" t="n"/>
      <c r="D5" s="6" t="n"/>
      <c r="E5" s="8" t="n"/>
      <c r="F5" s="6" t="n"/>
      <c r="I5" s="6" t="n"/>
      <c r="J5" s="6" t="n"/>
      <c r="O5" s="6" t="n"/>
      <c r="P5" s="6" t="n"/>
      <c r="R5" s="6" t="n"/>
      <c r="U5" s="6" t="n"/>
      <c r="V5" s="6" t="n"/>
      <c r="BA5" t="inlineStr">
        <is>
          <t>เมโทรดัมมี่อบขาว</t>
        </is>
      </c>
      <c r="BB5" t="inlineStr">
        <is>
          <t>JR00370</t>
        </is>
      </c>
    </row>
    <row r="6" ht="60" customHeight="1">
      <c r="A6" s="13" t="inlineStr">
        <is>
          <t>สูตรตัด</t>
        </is>
      </c>
      <c r="B6" s="14" t="n"/>
      <c r="C6" s="14" t="n"/>
      <c r="D6" s="15" t="n"/>
      <c r="E6" s="16" t="inlineStr">
        <is>
          <t>สูง</t>
        </is>
      </c>
      <c r="F6" s="17" t="n"/>
      <c r="G6" s="16" t="inlineStr">
        <is>
          <t>สูง</t>
        </is>
      </c>
      <c r="H6" s="17" t="n"/>
      <c r="I6" s="16" t="inlineStr">
        <is>
          <t>กว้าง-21-21</t>
        </is>
      </c>
      <c r="J6" s="17" t="n"/>
      <c r="K6" s="16" t="inlineStr">
        <is>
          <t>กว้าง-21-21</t>
        </is>
      </c>
      <c r="L6" s="17" t="n"/>
      <c r="M6" s="16" t="inlineStr">
        <is>
          <t>กว้าง</t>
        </is>
      </c>
      <c r="N6" s="17" t="n"/>
      <c r="O6" s="16" t="inlineStr">
        <is>
          <t>สูง-21-19-13-21</t>
        </is>
      </c>
      <c r="P6" s="17" t="n"/>
      <c r="Q6" s="16" t="inlineStr">
        <is>
          <t>((กว้าง-21-1-1-3.6-21)/4)+(78x3/4)</t>
        </is>
      </c>
      <c r="R6" s="17" t="n"/>
      <c r="S6" s="16" t="inlineStr">
        <is>
          <t>เสา-78-78</t>
        </is>
      </c>
      <c r="T6" s="17" t="n"/>
      <c r="U6" s="16" t="inlineStr">
        <is>
          <t>ขวาง-63-63</t>
        </is>
      </c>
      <c r="V6" s="17" t="n"/>
      <c r="W6" s="16" t="inlineStr">
        <is>
          <t>สูงกรอบบาน</t>
        </is>
      </c>
      <c r="X6" s="17" t="n"/>
      <c r="Y6" s="16" t="inlineStr">
        <is>
          <t>สูง-45-45</t>
        </is>
      </c>
      <c r="Z6" s="17" t="n"/>
      <c r="AA6" s="16" t="inlineStr">
        <is>
          <t>เท่าเฟรมบน</t>
        </is>
      </c>
      <c r="AB6" s="17" t="n"/>
      <c r="AC6" s="16" t="n"/>
      <c r="AD6" s="17" t="n"/>
      <c r="AE6" s="16" t="inlineStr">
        <is>
          <t>เท่าเฟรมล่าง</t>
        </is>
      </c>
      <c r="AF6" s="17" t="n"/>
      <c r="AG6" s="18" t="n"/>
      <c r="AH6" s="18" t="n"/>
      <c r="AI6" s="18" t="n"/>
      <c r="BA6" t="inlineStr">
        <is>
          <t>เมโทรดัมมี่ดำ</t>
        </is>
      </c>
      <c r="BB6" t="inlineStr">
        <is>
          <t>JR00373</t>
        </is>
      </c>
      <c r="BC6">
        <f>(COUNTIF($B$74:$B$75,"กุญแจ+ล็อค")+COUNTIF($B$74:$B$75,"ล็อค+ดัมมี่")+COUNTIF($B$74:$B$75,"ล็อค"))</f>
        <v/>
      </c>
    </row>
    <row r="7" ht="40.15" customHeight="1">
      <c r="A7" s="19" t="inlineStr">
        <is>
          <t>ใส่ข้อมูล</t>
        </is>
      </c>
      <c r="B7" s="20" t="n"/>
      <c r="C7" s="20" t="n"/>
      <c r="D7" s="21" t="n"/>
      <c r="E7" s="22" t="inlineStr">
        <is>
          <t>F7979</t>
        </is>
      </c>
      <c r="F7" s="15" t="n"/>
      <c r="G7" s="22" t="inlineStr">
        <is>
          <t>F7989</t>
        </is>
      </c>
      <c r="H7" s="15" t="n"/>
      <c r="I7" s="22" t="inlineStr">
        <is>
          <t>F7977</t>
        </is>
      </c>
      <c r="J7" s="15" t="n"/>
      <c r="K7" s="23" t="inlineStr">
        <is>
          <t>F7990</t>
        </is>
      </c>
      <c r="L7" s="15" t="n"/>
      <c r="M7" s="22" t="inlineStr">
        <is>
          <t>F7992</t>
        </is>
      </c>
      <c r="N7" s="15" t="n"/>
      <c r="O7" s="22" t="inlineStr">
        <is>
          <t>F7980</t>
        </is>
      </c>
      <c r="P7" s="14" t="n"/>
      <c r="Q7" s="14" t="n"/>
      <c r="R7" s="15" t="n"/>
      <c r="S7" s="22" t="inlineStr">
        <is>
          <t>F7919</t>
        </is>
      </c>
      <c r="T7" s="14" t="n"/>
      <c r="U7" s="14" t="n"/>
      <c r="V7" s="15" t="n"/>
      <c r="W7" s="22" t="inlineStr">
        <is>
          <t>F7983</t>
        </is>
      </c>
      <c r="X7" s="15" t="n"/>
      <c r="Y7" s="22" t="inlineStr">
        <is>
          <t>F7986</t>
        </is>
      </c>
      <c r="Z7" s="15" t="n"/>
      <c r="AA7" s="22" t="inlineStr">
        <is>
          <t>F7993</t>
        </is>
      </c>
      <c r="AB7" s="15" t="n"/>
      <c r="AC7" s="22" t="inlineStr">
        <is>
          <t>F7988</t>
        </is>
      </c>
      <c r="AD7" s="15" t="n"/>
      <c r="AE7" s="22" t="inlineStr">
        <is>
          <t>F7994</t>
        </is>
      </c>
      <c r="AF7" s="15" t="n"/>
      <c r="AG7" s="24" t="n"/>
      <c r="AH7" s="25" t="inlineStr">
        <is>
          <t>ขนาดกระจก</t>
        </is>
      </c>
      <c r="AI7" s="26" t="n"/>
      <c r="BA7" t="inlineStr">
        <is>
          <t>Alignกุญแจอบขาว</t>
        </is>
      </c>
      <c r="BB7" t="inlineStr">
        <is>
          <t>JR00377</t>
        </is>
      </c>
      <c r="BC7">
        <f>COUNTIF($B$74:$B$75,"กุญแจ+ล็อค")</f>
        <v/>
      </c>
    </row>
    <row r="8" ht="40.15" customHeight="1">
      <c r="A8" s="27" t="inlineStr">
        <is>
          <t>แผน</t>
        </is>
      </c>
      <c r="B8" s="28" t="inlineStr">
        <is>
          <t>ขนาดชิ้นงาน
(mm)</t>
        </is>
      </c>
      <c r="C8" s="29" t="n"/>
      <c r="D8" s="27" t="inlineStr">
        <is>
          <t>ชุด</t>
        </is>
      </c>
      <c r="E8" s="30" t="n"/>
      <c r="F8" s="31" t="n"/>
      <c r="G8" s="30" t="n"/>
      <c r="H8" s="31" t="n"/>
      <c r="I8" s="34" t="n"/>
      <c r="J8" s="31" t="n"/>
      <c r="K8" s="34" t="n"/>
      <c r="L8" s="31" t="n"/>
      <c r="M8" s="30" t="n"/>
      <c r="N8" s="31" t="n"/>
      <c r="O8" s="32" t="n"/>
      <c r="P8" s="33" t="n"/>
      <c r="Q8" s="34" t="n"/>
      <c r="R8" s="31" t="n"/>
      <c r="S8" s="32" t="n"/>
      <c r="T8" s="33" t="n"/>
      <c r="U8" s="34" t="n"/>
      <c r="V8" s="31" t="n"/>
      <c r="W8" s="32" t="n"/>
      <c r="X8" s="33" t="n"/>
      <c r="Y8" s="32" t="n"/>
      <c r="Z8" s="33" t="n"/>
      <c r="AA8" s="32" t="n"/>
      <c r="AB8" s="33" t="n"/>
      <c r="AC8" s="30" t="n"/>
      <c r="AD8" s="31" t="n"/>
      <c r="AE8" s="30" t="n"/>
      <c r="AF8" s="31" t="n"/>
      <c r="AG8" s="36" t="n"/>
      <c r="AH8" s="37" t="inlineStr">
        <is>
          <t>กรอบบาน</t>
        </is>
      </c>
      <c r="AI8" s="38" t="n"/>
      <c r="AK8" t="inlineStr">
        <is>
          <t>JR00577</t>
        </is>
      </c>
      <c r="AL8">
        <f>VLOOKUP($B$72&amp;"กุญแจ"&amp;$B$73,$BA$1:$BB$12,2,0)</f>
        <v/>
      </c>
      <c r="AM8">
        <f>VLOOKUP($B$72&amp;"ล็อค"&amp;$B$73,$BA$1:$BB$12,2,0)</f>
        <v/>
      </c>
      <c r="AN8">
        <f>VLOOKUP($B$72&amp;"ดัมมี่"&amp;$B$73,$BA$1:$BB$12,2,0)</f>
        <v/>
      </c>
      <c r="AO8" t="inlineStr"/>
      <c r="AP8" t="inlineStr">
        <is>
          <t>JR00478</t>
        </is>
      </c>
      <c r="AQ8" t="inlineStr">
        <is>
          <t>JR00479</t>
        </is>
      </c>
      <c r="AR8" t="inlineStr">
        <is>
          <t>JR00476</t>
        </is>
      </c>
      <c r="AS8" t="inlineStr">
        <is>
          <t>JR00475</t>
        </is>
      </c>
      <c r="AT8" t="inlineStr">
        <is>
          <t>JR00477</t>
        </is>
      </c>
      <c r="AU8" t="inlineStr">
        <is>
          <t>JR00592</t>
        </is>
      </c>
      <c r="AV8" t="inlineStr">
        <is>
          <t>JR00480</t>
        </is>
      </c>
      <c r="AW8" t="inlineStr">
        <is>
          <t>JR00589</t>
        </is>
      </c>
      <c r="AX8" t="inlineStr">
        <is>
          <t>JR00485</t>
        </is>
      </c>
      <c r="AY8" t="inlineStr">
        <is>
          <t>JR00794</t>
        </is>
      </c>
      <c r="BA8" t="inlineStr">
        <is>
          <t>Alignล็อคอบขาว</t>
        </is>
      </c>
      <c r="BB8" t="inlineStr">
        <is>
          <t>JR00378</t>
        </is>
      </c>
    </row>
    <row r="9" ht="40.15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ต่อเฟรมข้าง</t>
        </is>
      </c>
      <c r="H9" s="43" t="n"/>
      <c r="I9" s="42" t="inlineStr">
        <is>
          <t>เฟรม บน-ล่าง</t>
        </is>
      </c>
      <c r="J9" s="43" t="n"/>
      <c r="K9" s="42" t="inlineStr">
        <is>
          <t>ต่อราง</t>
        </is>
      </c>
      <c r="L9" s="43" t="n"/>
      <c r="M9" s="42" t="inlineStr">
        <is>
          <t>ตบกันสาด</t>
        </is>
      </c>
      <c r="N9" s="43" t="n"/>
      <c r="O9" s="42" t="inlineStr">
        <is>
          <t>เสา</t>
        </is>
      </c>
      <c r="P9" s="43" t="n"/>
      <c r="Q9" s="42" t="inlineStr">
        <is>
          <t>ขวาง</t>
        </is>
      </c>
      <c r="R9" s="43" t="n"/>
      <c r="S9" s="42" t="inlineStr">
        <is>
          <t>คิ้ว ตั้ง</t>
        </is>
      </c>
      <c r="T9" s="43" t="n"/>
      <c r="U9" s="42" t="inlineStr">
        <is>
          <t>คิ้ว ขวาง</t>
        </is>
      </c>
      <c r="V9" s="43" t="n"/>
      <c r="W9" s="42" t="inlineStr">
        <is>
          <t>ตบเกี่ยว</t>
        </is>
      </c>
      <c r="X9" s="43" t="n"/>
      <c r="Y9" s="44" t="inlineStr">
        <is>
          <t>ยูข้าง</t>
        </is>
      </c>
      <c r="Z9" s="43" t="n"/>
      <c r="AA9" s="44" t="inlineStr">
        <is>
          <t>ตบเฟรมบน</t>
        </is>
      </c>
      <c r="AB9" s="43" t="n"/>
      <c r="AC9" s="44" t="inlineStr">
        <is>
          <t>ตบยูข้าง</t>
        </is>
      </c>
      <c r="AD9" s="43" t="n"/>
      <c r="AE9" s="44" t="inlineStr">
        <is>
          <t>ราง</t>
        </is>
      </c>
      <c r="AF9" s="43" t="n"/>
      <c r="AG9" s="45" t="inlineStr">
        <is>
          <t>SH-68-68</t>
        </is>
      </c>
      <c r="AH9" s="46" t="inlineStr">
        <is>
          <t>SW-68-68</t>
        </is>
      </c>
      <c r="AI9" s="47" t="n"/>
      <c r="AK9" t="inlineStr">
        <is>
          <t>ล้อ 20</t>
        </is>
      </c>
      <c r="AL9" t="inlineStr">
        <is>
          <t>มือจับ กุญแจ</t>
        </is>
      </c>
      <c r="AM9" t="inlineStr">
        <is>
          <t>มือจับ ล็อค</t>
        </is>
      </c>
      <c r="AN9" t="inlineStr">
        <is>
          <t>มือจับ ดัมมี่</t>
        </is>
      </c>
      <c r="AO9" t="inlineStr">
        <is>
          <t>Digital lock</t>
        </is>
      </c>
      <c r="AP9" t="inlineStr">
        <is>
          <t>แกน A</t>
        </is>
      </c>
      <c r="AQ9" t="inlineStr">
        <is>
          <t>แกน B</t>
        </is>
      </c>
      <c r="AR9" t="inlineStr">
        <is>
          <t>ปลายดำ</t>
        </is>
      </c>
      <c r="AS9" t="inlineStr">
        <is>
          <t>ตัวที เงิน</t>
        </is>
      </c>
      <c r="AT9" t="inlineStr">
        <is>
          <t>ก้ามปู</t>
        </is>
      </c>
      <c r="AU9" t="inlineStr">
        <is>
          <t>สปิงก็อท</t>
        </is>
      </c>
      <c r="AV9" t="inlineStr">
        <is>
          <t>ฉากประกอบมุม</t>
        </is>
      </c>
      <c r="AW9" t="inlineStr">
        <is>
          <t>ยางรูน้ำ</t>
        </is>
      </c>
      <c r="AX9" t="inlineStr">
        <is>
          <t>วาวรูน้ำ</t>
        </is>
      </c>
      <c r="AY9" t="inlineStr">
        <is>
          <t>สักหลาด(ม.)</t>
        </is>
      </c>
      <c r="BA9" t="inlineStr">
        <is>
          <t>Alignดัมมี่อบขาว</t>
        </is>
      </c>
      <c r="BB9" t="inlineStr">
        <is>
          <t>JR00379</t>
        </is>
      </c>
      <c r="BC9">
        <f>(COUNTIF($B$74:$B$75,"ล็อค+ดัมมี่")+2*COUNTIF($B$74:$B$75,"ดัมมี่+ดัมมี่")+COUNTIF($B$74:$B$75,"ดัมมี่"))</f>
        <v/>
      </c>
    </row>
    <row r="10" ht="40.15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3" t="inlineStr">
        <is>
          <t>จำนวน</t>
        </is>
      </c>
      <c r="K10" s="52" t="inlineStr">
        <is>
          <t>ยาว</t>
        </is>
      </c>
      <c r="L10" s="54" t="inlineStr">
        <is>
          <t>จำนวน</t>
        </is>
      </c>
      <c r="M10" s="52" t="inlineStr">
        <is>
          <t>ยาว</t>
        </is>
      </c>
      <c r="N10" s="53" t="inlineStr">
        <is>
          <t>จำนวน</t>
        </is>
      </c>
      <c r="O10" s="52" t="inlineStr">
        <is>
          <t>ยาว</t>
        </is>
      </c>
      <c r="P10" s="54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4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3" t="inlineStr">
        <is>
          <t>จำนวน</t>
        </is>
      </c>
      <c r="Y10" s="52" t="inlineStr">
        <is>
          <t>ยาว</t>
        </is>
      </c>
      <c r="Z10" s="54" t="inlineStr">
        <is>
          <t>จำนวน</t>
        </is>
      </c>
      <c r="AA10" s="52" t="inlineStr">
        <is>
          <t>ยาว</t>
        </is>
      </c>
      <c r="AB10" s="54" t="inlineStr">
        <is>
          <t>จำนวน</t>
        </is>
      </c>
      <c r="AC10" s="52" t="inlineStr">
        <is>
          <t>ยาว</t>
        </is>
      </c>
      <c r="AD10" s="54" t="inlineStr">
        <is>
          <t>จำนวน</t>
        </is>
      </c>
      <c r="AE10" s="52" t="inlineStr">
        <is>
          <t>ยาว</t>
        </is>
      </c>
      <c r="AF10" s="54" t="inlineStr">
        <is>
          <t>จำนวน</t>
        </is>
      </c>
      <c r="AG10" s="55" t="inlineStr">
        <is>
          <t>H</t>
        </is>
      </c>
      <c r="AH10" s="56" t="inlineStr">
        <is>
          <t>W</t>
        </is>
      </c>
      <c r="AI10" s="57" t="inlineStr">
        <is>
          <t>จำนวน</t>
        </is>
      </c>
      <c r="AK10" t="inlineStr">
        <is>
          <t>จำนวน</t>
        </is>
      </c>
      <c r="AL10" t="inlineStr">
        <is>
          <t>จำนวน</t>
        </is>
      </c>
      <c r="AM10" t="inlineStr">
        <is>
          <t>จำนวน</t>
        </is>
      </c>
      <c r="AN10" t="inlineStr">
        <is>
          <t>จำนวน</t>
        </is>
      </c>
      <c r="AO10" t="inlineStr">
        <is>
          <t>จำนวน</t>
        </is>
      </c>
      <c r="AP10" t="inlineStr">
        <is>
          <t>จำนวน</t>
        </is>
      </c>
      <c r="AQ10" t="inlineStr">
        <is>
          <t>จำนวน</t>
        </is>
      </c>
      <c r="AR10" t="inlineStr">
        <is>
          <t>จำนวน</t>
        </is>
      </c>
      <c r="AS10" t="inlineStr">
        <is>
          <t>จำนวน</t>
        </is>
      </c>
      <c r="AT10" t="inlineStr">
        <is>
          <t>จำนวน</t>
        </is>
      </c>
      <c r="AU10" t="inlineStr">
        <is>
          <t>จำนวน</t>
        </is>
      </c>
      <c r="AV10" t="inlineStr">
        <is>
          <t>จำนวน</t>
        </is>
      </c>
      <c r="AW10" t="inlineStr">
        <is>
          <t>จำนวน</t>
        </is>
      </c>
      <c r="AX10" t="inlineStr">
        <is>
          <t>จำนวน</t>
        </is>
      </c>
      <c r="AY10" t="inlineStr">
        <is>
          <t>จำนวน</t>
        </is>
      </c>
      <c r="BA10" t="inlineStr">
        <is>
          <t>Alignกุญแจดำ</t>
        </is>
      </c>
      <c r="BB10" t="inlineStr">
        <is>
          <t>JR00374</t>
        </is>
      </c>
      <c r="BC10">
        <f>COUNTIF($B$74:$B$75,"Digital lock")</f>
        <v/>
      </c>
    </row>
    <row r="11" ht="40.15" customHeight="1">
      <c r="A11" s="101" t="inlineStr">
        <is>
          <t>D1</t>
        </is>
      </c>
      <c r="B11" s="102" t="n">
        <v>2490</v>
      </c>
      <c r="C11" s="92" t="n">
        <v>4462</v>
      </c>
      <c r="D11" s="103" t="n">
        <v>1</v>
      </c>
      <c r="E11" s="104">
        <f>IF($A11="","",$B11)</f>
        <v/>
      </c>
      <c r="F11" s="92">
        <f>IF($A11="","",$L$54*$D11)</f>
        <v/>
      </c>
      <c r="G11" s="104">
        <f>IF($A11="","",$B11)</f>
        <v/>
      </c>
      <c r="H11" s="92">
        <f>IF($A11="","",$L$55*$D11)</f>
        <v/>
      </c>
      <c r="I11" s="104">
        <f>IF($A11="","",$C11-$E$56-$F$56)</f>
        <v/>
      </c>
      <c r="J11" s="92">
        <f>IF($A11="","",$L$56*$D11)</f>
        <v/>
      </c>
      <c r="K11" s="104">
        <f>IF($A11="","",$C11-$E$57-$F$57)</f>
        <v/>
      </c>
      <c r="L11" s="92">
        <f>IF($A11="","",$L$57*$D11)</f>
        <v/>
      </c>
      <c r="M11" s="104">
        <f>IF($A11="","",$C11)</f>
        <v/>
      </c>
      <c r="N11" s="92">
        <f>IF($A11="","",$L$58*$D11)</f>
        <v/>
      </c>
      <c r="O11" s="104">
        <f>IF($A11="","",$B11-$E$59-$F$59-$G$59-$H$59)</f>
        <v/>
      </c>
      <c r="P11" s="92">
        <f>IF($A11="","",$L$59*$D11)</f>
        <v/>
      </c>
      <c r="Q11" s="104">
        <f>IF($A11="","",(($C11-$E$60-$F$60-$G$60-$H$60-$I$60)/4)+(78*3)/4)</f>
        <v/>
      </c>
      <c r="R11" s="92">
        <f>IF($A11="","",$L$60*$D11)</f>
        <v/>
      </c>
      <c r="S11" s="104">
        <f>IF($A11="","",$O11-$E$61-$F$61)</f>
        <v/>
      </c>
      <c r="T11" s="92">
        <f>IF($A11="","",$L$61*$D11)</f>
        <v/>
      </c>
      <c r="U11" s="104">
        <f>IF($A11="","",$Q11-$E$62-$F$62)</f>
        <v/>
      </c>
      <c r="V11" s="92">
        <f>IF($A11="","",$L$62*$D11)</f>
        <v/>
      </c>
      <c r="W11" s="104">
        <f>IF($A11="","",$B11-$E$63-$F$63-$G$63-$H$63)</f>
        <v/>
      </c>
      <c r="X11" s="92">
        <f>IF($A11="","",$L$63*$D11)</f>
        <v/>
      </c>
      <c r="Y11" s="104">
        <f>IF($A11="","",$B11-$E$64-$F$64)</f>
        <v/>
      </c>
      <c r="Z11" s="92">
        <f>IF($A11="","",$L$64*$D11)</f>
        <v/>
      </c>
      <c r="AA11" s="104">
        <f>IF($A11="","",$C11-$E$65-$F$65)</f>
        <v/>
      </c>
      <c r="AB11" s="92">
        <f>IF($A11="","",$L$65*$D11)</f>
        <v/>
      </c>
      <c r="AC11" s="104">
        <f>IF($A11="","",$B11-$E$66-$F$66)</f>
        <v/>
      </c>
      <c r="AD11" s="92">
        <f>IF($A11="","",$L$66*$D11)</f>
        <v/>
      </c>
      <c r="AE11" s="104">
        <f>IF($A11="","",$C11-$E$67-$F$67)</f>
        <v/>
      </c>
      <c r="AF11" s="92">
        <f>IF($A11="","",$L$67*$D11)</f>
        <v/>
      </c>
      <c r="AG11" s="105">
        <f>IF($A11="","",$O11-68-68)</f>
        <v/>
      </c>
      <c r="AH11" s="135">
        <f>IF($A11="","",$Q11-68-68)</f>
        <v/>
      </c>
      <c r="AI11" s="107">
        <f>IF($A11="","",4*$D11)</f>
        <v/>
      </c>
      <c r="AK11">
        <f>IF($A11="","",2*4*$D11)</f>
        <v/>
      </c>
      <c r="AL11">
        <f>IF($A11="","",$BC$7*$D11)</f>
        <v/>
      </c>
      <c r="AM11">
        <f>IF($A11="","",$BC$6*$D11)</f>
        <v/>
      </c>
      <c r="AN11">
        <f>IF($A11="","",$BC$9*$D11)</f>
        <v/>
      </c>
      <c r="AO11">
        <f>IF($A11="","",$BC$10*$D11)</f>
        <v/>
      </c>
      <c r="AP11">
        <f>IF($A11="","",2*$BC$6*$D11)</f>
        <v/>
      </c>
      <c r="AQ11">
        <f>IF($A11="","",IF($B11&gt;2800,2,IF($B11&gt;1400,1,0))*$BC$6*$D11)</f>
        <v/>
      </c>
      <c r="AR11">
        <f>IF($A11="","",2*$BC$6*$D11)</f>
        <v/>
      </c>
      <c r="AS11">
        <f>IF($A11="","",$BC$6*$D11)</f>
        <v/>
      </c>
      <c r="AT11">
        <f>IF($A11="","",2*$BC$6*$D11)</f>
        <v/>
      </c>
      <c r="AU11">
        <f>IF($A11="","",4*4*$D11)</f>
        <v/>
      </c>
      <c r="AV11">
        <f>IF($A11="","",16*4*$D11)</f>
        <v/>
      </c>
      <c r="AW11">
        <f>IF($A11="","",(2+MAX(0,ROUNDUP(($I11-1500)/500,0)))*$D11)</f>
        <v/>
      </c>
      <c r="AX11">
        <f>IF($A11="","",(2+MAX(0,ROUNDUP(($I11-1500)/500,0)))*$D11)</f>
        <v/>
      </c>
      <c r="AY11">
        <f>IF($A11="","",ROUND((2*2*($Q11+$O11)*4*$D11+$W11*$X11)/1000,1))</f>
        <v/>
      </c>
      <c r="BA11" t="inlineStr">
        <is>
          <t>Alignล็อคดำ</t>
        </is>
      </c>
      <c r="BB11" t="inlineStr">
        <is>
          <t>JR00375</t>
        </is>
      </c>
    </row>
    <row r="12" ht="40.15" customHeight="1">
      <c r="A12" s="101" t="n"/>
      <c r="B12" s="102" t="n"/>
      <c r="C12" s="92" t="n"/>
      <c r="D12" s="103" t="n"/>
      <c r="E12" s="108">
        <f>IF($A12="","",$B12)</f>
        <v/>
      </c>
      <c r="F12" s="98">
        <f>IF($A12="","",$L$54*$D12)</f>
        <v/>
      </c>
      <c r="G12" s="108">
        <f>IF($A12="","",$B12)</f>
        <v/>
      </c>
      <c r="H12" s="98">
        <f>IF($A12="","",$L$55*$D12)</f>
        <v/>
      </c>
      <c r="I12" s="108">
        <f>IF($A12="","",$C12-$E$56-$F$56)</f>
        <v/>
      </c>
      <c r="J12" s="98">
        <f>IF($A12="","",$L$56*$D12)</f>
        <v/>
      </c>
      <c r="K12" s="108">
        <f>IF($A12="","",$C12-$E$57-$F$57)</f>
        <v/>
      </c>
      <c r="L12" s="98">
        <f>IF($A12="","",$L$57*$D12)</f>
        <v/>
      </c>
      <c r="M12" s="108">
        <f>IF($A12="","",$C12)</f>
        <v/>
      </c>
      <c r="N12" s="98">
        <f>IF($A12="","",$L$58*$D12)</f>
        <v/>
      </c>
      <c r="O12" s="108">
        <f>IF($A12="","",$B12-$E$59-$F$59-$G$59-$H$59)</f>
        <v/>
      </c>
      <c r="P12" s="98">
        <f>IF($A12="","",$L$59*$D12)</f>
        <v/>
      </c>
      <c r="Q12" s="108">
        <f>IF($A12="","",(($C12-$E$60-$F$60-$G$60-$H$60-$I$60)/4)+(78*3)/4)</f>
        <v/>
      </c>
      <c r="R12" s="98">
        <f>IF($A12="","",$L$60*$D12)</f>
        <v/>
      </c>
      <c r="S12" s="108">
        <f>IF($A12="","",$O12-$E$61-$F$61)</f>
        <v/>
      </c>
      <c r="T12" s="98">
        <f>IF($A12="","",$L$61*$D12)</f>
        <v/>
      </c>
      <c r="U12" s="108">
        <f>IF($A12="","",$Q12-$E$62-$F$62)</f>
        <v/>
      </c>
      <c r="V12" s="98">
        <f>IF($A12="","",$L$62*$D12)</f>
        <v/>
      </c>
      <c r="W12" s="108">
        <f>IF($A12="","",$B12-$E$63-$F$63-$G$63-$H$63)</f>
        <v/>
      </c>
      <c r="X12" s="98">
        <f>IF($A12="","",$L$63*$D12)</f>
        <v/>
      </c>
      <c r="Y12" s="108">
        <f>IF($A12="","",$B12-$E$64-$F$64)</f>
        <v/>
      </c>
      <c r="Z12" s="98">
        <f>IF($A12="","",$L$64*$D12)</f>
        <v/>
      </c>
      <c r="AA12" s="108">
        <f>IF($A12="","",$C12-$E$65-$F$65)</f>
        <v/>
      </c>
      <c r="AB12" s="98">
        <f>IF($A12="","",$L$65*$D12)</f>
        <v/>
      </c>
      <c r="AC12" s="108">
        <f>IF($A12="","",$B12-$E$66-$F$66)</f>
        <v/>
      </c>
      <c r="AD12" s="98">
        <f>IF($A12="","",$L$66*$D12)</f>
        <v/>
      </c>
      <c r="AE12" s="108">
        <f>IF($A12="","",$C12-$E$67-$F$67)</f>
        <v/>
      </c>
      <c r="AF12" s="98">
        <f>IF($A12="","",$L$67*$D12)</f>
        <v/>
      </c>
      <c r="AG12" s="105">
        <f>IF($A12="","",$O12-68-68)</f>
        <v/>
      </c>
      <c r="AH12" s="106">
        <f>IF($A12="","",$Q12-68-68)</f>
        <v/>
      </c>
      <c r="AI12" s="107">
        <f>IF($A12="","",4*$D12)</f>
        <v/>
      </c>
      <c r="AK12">
        <f>IF($A12="","",2*4*$D12)</f>
        <v/>
      </c>
      <c r="AL12">
        <f>IF($A12="","",$BC$7*$D12)</f>
        <v/>
      </c>
      <c r="AM12">
        <f>IF($A12="","",$BC$6*$D12)</f>
        <v/>
      </c>
      <c r="AN12">
        <f>IF($A12="","",$BC$9*$D12)</f>
        <v/>
      </c>
      <c r="AO12">
        <f>IF($A12="","",$BC$10*$D12)</f>
        <v/>
      </c>
      <c r="AP12">
        <f>IF($A12="","",2*$BC$6*$D12)</f>
        <v/>
      </c>
      <c r="AQ12">
        <f>IF($A12="","",IF($B12&gt;2800,2,IF($B12&gt;1400,1,0))*$BC$6*$D12)</f>
        <v/>
      </c>
      <c r="AR12">
        <f>IF($A12="","",2*$BC$6*$D12)</f>
        <v/>
      </c>
      <c r="AS12">
        <f>IF($A12="","",$BC$6*$D12)</f>
        <v/>
      </c>
      <c r="AT12">
        <f>IF($A12="","",2*$BC$6*$D12)</f>
        <v/>
      </c>
      <c r="AU12">
        <f>IF($A12="","",4*4*$D12)</f>
        <v/>
      </c>
      <c r="AV12">
        <f>IF($A12="","",16*4*$D12)</f>
        <v/>
      </c>
      <c r="AW12">
        <f>IF($A12="","",(2+MAX(0,ROUNDUP(($I12-1500)/500,0)))*$D12)</f>
        <v/>
      </c>
      <c r="AX12">
        <f>IF($A12="","",(2+MAX(0,ROUNDUP(($I12-1500)/500,0)))*$D12)</f>
        <v/>
      </c>
      <c r="AY12">
        <f>IF($A12="","",ROUND((2*2*($Q12+$O12)*4*$D12+$W12*$X12)/1000,1))</f>
        <v/>
      </c>
      <c r="BA12" t="inlineStr">
        <is>
          <t>Alignดัมมี่ดำ</t>
        </is>
      </c>
      <c r="BB12" t="inlineStr">
        <is>
          <t>JR00376</t>
        </is>
      </c>
    </row>
    <row r="13" ht="40.15" customHeight="1">
      <c r="A13" s="101" t="inlineStr">
        <is>
          <t>D2</t>
        </is>
      </c>
      <c r="B13" s="102" t="n">
        <v>2380</v>
      </c>
      <c r="C13" s="92" t="n">
        <v>3800</v>
      </c>
      <c r="D13" s="103" t="n">
        <v>1</v>
      </c>
      <c r="E13" s="104">
        <f>IF($A13="","",$B13)</f>
        <v/>
      </c>
      <c r="F13" s="92">
        <f>IF($A13="","",$L$54*$D13)</f>
        <v/>
      </c>
      <c r="G13" s="104">
        <f>IF($A13="","",$B13)</f>
        <v/>
      </c>
      <c r="H13" s="92">
        <f>IF($A13="","",$L$55*$D13)</f>
        <v/>
      </c>
      <c r="I13" s="104">
        <f>IF($A13="","",$C13-$E$56-$F$56)</f>
        <v/>
      </c>
      <c r="J13" s="92">
        <f>IF($A13="","",$L$56*$D13)</f>
        <v/>
      </c>
      <c r="K13" s="104">
        <f>IF($A13="","",$C13-$E$57-$F$57)</f>
        <v/>
      </c>
      <c r="L13" s="92">
        <f>IF($A13="","",$L$57*$D13)</f>
        <v/>
      </c>
      <c r="M13" s="104">
        <f>IF($A13="","",$C13)</f>
        <v/>
      </c>
      <c r="N13" s="92">
        <f>IF($A13="","",$L$58*$D13)</f>
        <v/>
      </c>
      <c r="O13" s="104">
        <f>IF($A13="","",$B13-$E$59-$F$59-$G$59-$H$59)</f>
        <v/>
      </c>
      <c r="P13" s="92">
        <f>IF($A13="","",$L$59*$D13)</f>
        <v/>
      </c>
      <c r="Q13" s="104">
        <f>IF($A13="","",(($C13-$E$60-$F$60-$G$60-$H$60-$I$60)/4)+(78*3)/4)</f>
        <v/>
      </c>
      <c r="R13" s="92">
        <f>IF($A13="","",$L$60*$D13)</f>
        <v/>
      </c>
      <c r="S13" s="104">
        <f>IF($A13="","",$O13-$E$61-$F$61)</f>
        <v/>
      </c>
      <c r="T13" s="92">
        <f>IF($A13="","",$L$61*$D13)</f>
        <v/>
      </c>
      <c r="U13" s="104">
        <f>IF($A13="","",$Q13-$E$62-$F$62)</f>
        <v/>
      </c>
      <c r="V13" s="92">
        <f>IF($A13="","",$L$62*$D13)</f>
        <v/>
      </c>
      <c r="W13" s="104">
        <f>IF($A13="","",$B13-$E$63-$F$63-$G$63-$H$63)</f>
        <v/>
      </c>
      <c r="X13" s="92">
        <f>IF($A13="","",$L$63*$D13)</f>
        <v/>
      </c>
      <c r="Y13" s="104">
        <f>IF($A13="","",$B13-$E$64-$F$64)</f>
        <v/>
      </c>
      <c r="Z13" s="92">
        <f>IF($A13="","",$L$64*$D13)</f>
        <v/>
      </c>
      <c r="AA13" s="104">
        <f>IF($A13="","",$C13-$E$65-$F$65)</f>
        <v/>
      </c>
      <c r="AB13" s="92">
        <f>IF($A13="","",$L$65*$D13)</f>
        <v/>
      </c>
      <c r="AC13" s="104">
        <f>IF($A13="","",$B13-$E$66-$F$66)</f>
        <v/>
      </c>
      <c r="AD13" s="92">
        <f>IF($A13="","",$L$66*$D13)</f>
        <v/>
      </c>
      <c r="AE13" s="104">
        <f>IF($A13="","",$C13-$E$67-$F$67)</f>
        <v/>
      </c>
      <c r="AF13" s="92">
        <f>IF($A13="","",$L$67*$D13)</f>
        <v/>
      </c>
      <c r="AG13" s="105">
        <f>IF($A13="","",$O13-68-68)</f>
        <v/>
      </c>
      <c r="AH13" s="135">
        <f>IF($A13="","",$Q13-68-68)</f>
        <v/>
      </c>
      <c r="AI13" s="107">
        <f>IF($A13="","",4*$D13)</f>
        <v/>
      </c>
      <c r="AK13">
        <f>IF($A13="","",2*4*$D13)</f>
        <v/>
      </c>
      <c r="AL13">
        <f>IF($A13="","",$BC$7*$D13)</f>
        <v/>
      </c>
      <c r="AM13">
        <f>IF($A13="","",$BC$6*$D13)</f>
        <v/>
      </c>
      <c r="AN13">
        <f>IF($A13="","",$BC$9*$D13)</f>
        <v/>
      </c>
      <c r="AO13">
        <f>IF($A13="","",$BC$10*$D13)</f>
        <v/>
      </c>
      <c r="AP13">
        <f>IF($A13="","",2*$BC$6*$D13)</f>
        <v/>
      </c>
      <c r="AQ13">
        <f>IF($A13="","",IF($B13&gt;2800,2,IF($B13&gt;1400,1,0))*$BC$6*$D13)</f>
        <v/>
      </c>
      <c r="AR13">
        <f>IF($A13="","",2*$BC$6*$D13)</f>
        <v/>
      </c>
      <c r="AS13">
        <f>IF($A13="","",$BC$6*$D13)</f>
        <v/>
      </c>
      <c r="AT13">
        <f>IF($A13="","",2*$BC$6*$D13)</f>
        <v/>
      </c>
      <c r="AU13">
        <f>IF($A13="","",4*4*$D13)</f>
        <v/>
      </c>
      <c r="AV13">
        <f>IF($A13="","",16*4*$D13)</f>
        <v/>
      </c>
      <c r="AW13">
        <f>IF($A13="","",(2+MAX(0,ROUNDUP(($I13-1500)/500,0)))*$D13)</f>
        <v/>
      </c>
      <c r="AX13">
        <f>IF($A13="","",(2+MAX(0,ROUNDUP(($I13-1500)/500,0)))*$D13)</f>
        <v/>
      </c>
      <c r="AY13">
        <f>IF($A13="","",ROUND((2*2*($Q13+$O13)*4*$D13+$W13*$X13)/1000,1))</f>
        <v/>
      </c>
    </row>
    <row r="14" ht="40.15" customHeight="1">
      <c r="A14" s="101" t="n"/>
      <c r="B14" s="102" t="n"/>
      <c r="C14" s="92" t="n"/>
      <c r="D14" s="103" t="n"/>
      <c r="E14" s="108">
        <f>IF($A14="","",$B14)</f>
        <v/>
      </c>
      <c r="F14" s="98">
        <f>IF($A14="","",$L$54*$D14)</f>
        <v/>
      </c>
      <c r="G14" s="108">
        <f>IF($A14="","",$B14)</f>
        <v/>
      </c>
      <c r="H14" s="98">
        <f>IF($A14="","",$L$55*$D14)</f>
        <v/>
      </c>
      <c r="I14" s="108">
        <f>IF($A14="","",$C14-$E$56-$F$56)</f>
        <v/>
      </c>
      <c r="J14" s="98">
        <f>IF($A14="","",$L$56*$D14)</f>
        <v/>
      </c>
      <c r="K14" s="108">
        <f>IF($A14="","",$C14-$E$57-$F$57)</f>
        <v/>
      </c>
      <c r="L14" s="98">
        <f>IF($A14="","",$L$57*$D14)</f>
        <v/>
      </c>
      <c r="M14" s="108">
        <f>IF($A14="","",$C14)</f>
        <v/>
      </c>
      <c r="N14" s="98">
        <f>IF($A14="","",$L$58*$D14)</f>
        <v/>
      </c>
      <c r="O14" s="108">
        <f>IF($A14="","",$B14-$E$59-$F$59-$G$59-$H$59)</f>
        <v/>
      </c>
      <c r="P14" s="98">
        <f>IF($A14="","",$L$59*$D14)</f>
        <v/>
      </c>
      <c r="Q14" s="108">
        <f>IF($A14="","",(($C14-$E$60-$F$60-$G$60-$H$60-$I$60)/4)+(78*3)/4)</f>
        <v/>
      </c>
      <c r="R14" s="98">
        <f>IF($A14="","",$L$60*$D14)</f>
        <v/>
      </c>
      <c r="S14" s="108">
        <f>IF($A14="","",$O14-$E$61-$F$61)</f>
        <v/>
      </c>
      <c r="T14" s="98">
        <f>IF($A14="","",$L$61*$D14)</f>
        <v/>
      </c>
      <c r="U14" s="108">
        <f>IF($A14="","",$Q14-$E$62-$F$62)</f>
        <v/>
      </c>
      <c r="V14" s="98">
        <f>IF($A14="","",$L$62*$D14)</f>
        <v/>
      </c>
      <c r="W14" s="108">
        <f>IF($A14="","",$B14-$E$63-$F$63-$G$63-$H$63)</f>
        <v/>
      </c>
      <c r="X14" s="98">
        <f>IF($A14="","",$L$63*$D14)</f>
        <v/>
      </c>
      <c r="Y14" s="108">
        <f>IF($A14="","",$B14-$E$64-$F$64)</f>
        <v/>
      </c>
      <c r="Z14" s="98">
        <f>IF($A14="","",$L$64*$D14)</f>
        <v/>
      </c>
      <c r="AA14" s="108">
        <f>IF($A14="","",$C14-$E$65-$F$65)</f>
        <v/>
      </c>
      <c r="AB14" s="98">
        <f>IF($A14="","",$L$65*$D14)</f>
        <v/>
      </c>
      <c r="AC14" s="108">
        <f>IF($A14="","",$B14-$E$66-$F$66)</f>
        <v/>
      </c>
      <c r="AD14" s="98">
        <f>IF($A14="","",$L$66*$D14)</f>
        <v/>
      </c>
      <c r="AE14" s="108">
        <f>IF($A14="","",$C14-$E$67-$F$67)</f>
        <v/>
      </c>
      <c r="AF14" s="98">
        <f>IF($A14="","",$L$67*$D14)</f>
        <v/>
      </c>
      <c r="AG14" s="105">
        <f>IF($A14="","",$O14-68-68)</f>
        <v/>
      </c>
      <c r="AH14" s="106">
        <f>IF($A14="","",$Q14-68-68)</f>
        <v/>
      </c>
      <c r="AI14" s="107">
        <f>IF($A14="","",4*$D14)</f>
        <v/>
      </c>
      <c r="AK14">
        <f>IF($A14="","",2*4*$D14)</f>
        <v/>
      </c>
      <c r="AL14">
        <f>IF($A14="","",$BC$7*$D14)</f>
        <v/>
      </c>
      <c r="AM14">
        <f>IF($A14="","",$BC$6*$D14)</f>
        <v/>
      </c>
      <c r="AN14">
        <f>IF($A14="","",$BC$9*$D14)</f>
        <v/>
      </c>
      <c r="AO14">
        <f>IF($A14="","",$BC$10*$D14)</f>
        <v/>
      </c>
      <c r="AP14">
        <f>IF($A14="","",2*$BC$6*$D14)</f>
        <v/>
      </c>
      <c r="AQ14">
        <f>IF($A14="","",IF($B14&gt;2800,2,IF($B14&gt;1400,1,0))*$BC$6*$D14)</f>
        <v/>
      </c>
      <c r="AR14">
        <f>IF($A14="","",2*$BC$6*$D14)</f>
        <v/>
      </c>
      <c r="AS14">
        <f>IF($A14="","",$BC$6*$D14)</f>
        <v/>
      </c>
      <c r="AT14">
        <f>IF($A14="","",2*$BC$6*$D14)</f>
        <v/>
      </c>
      <c r="AU14">
        <f>IF($A14="","",4*4*$D14)</f>
        <v/>
      </c>
      <c r="AV14">
        <f>IF($A14="","",16*4*$D14)</f>
        <v/>
      </c>
      <c r="AW14">
        <f>IF($A14="","",(2+MAX(0,ROUNDUP(($I14-1500)/500,0)))*$D14)</f>
        <v/>
      </c>
      <c r="AX14">
        <f>IF($A14="","",(2+MAX(0,ROUNDUP(($I14-1500)/500,0)))*$D14)</f>
        <v/>
      </c>
      <c r="AY14">
        <f>IF($A14="","",ROUND((2*2*($Q14+$O14)*4*$D14+$W14*$X14)/1000,1))</f>
        <v/>
      </c>
    </row>
    <row r="15" ht="40.15" customHeight="1">
      <c r="A15" s="101" t="n"/>
      <c r="B15" s="102" t="n"/>
      <c r="C15" s="92" t="n"/>
      <c r="D15" s="103" t="n"/>
      <c r="E15" s="104">
        <f>IF($A15="","",$B15)</f>
        <v/>
      </c>
      <c r="F15" s="92">
        <f>IF($A15="","",$L$54*$D15)</f>
        <v/>
      </c>
      <c r="G15" s="104">
        <f>IF($A15="","",$B15)</f>
        <v/>
      </c>
      <c r="H15" s="92">
        <f>IF($A15="","",$L$55*$D15)</f>
        <v/>
      </c>
      <c r="I15" s="104">
        <f>IF($A15="","",$C15-$E$56-$F$56)</f>
        <v/>
      </c>
      <c r="J15" s="92">
        <f>IF($A15="","",$L$56*$D15)</f>
        <v/>
      </c>
      <c r="K15" s="104">
        <f>IF($A15="","",$C15-$E$57-$F$57)</f>
        <v/>
      </c>
      <c r="L15" s="92">
        <f>IF($A15="","",$L$57*$D15)</f>
        <v/>
      </c>
      <c r="M15" s="104">
        <f>IF($A15="","",$C15)</f>
        <v/>
      </c>
      <c r="N15" s="92">
        <f>IF($A15="","",$L$58*$D15)</f>
        <v/>
      </c>
      <c r="O15" s="104">
        <f>IF($A15="","",$B15-$E$59-$F$59-$G$59-$H$59)</f>
        <v/>
      </c>
      <c r="P15" s="92">
        <f>IF($A15="","",$L$59*$D15)</f>
        <v/>
      </c>
      <c r="Q15" s="104">
        <f>IF($A15="","",(($C15-$E$60-$F$60-$G$60-$H$60-$I$60)/4)+(78*3)/4)</f>
        <v/>
      </c>
      <c r="R15" s="92">
        <f>IF($A15="","",$L$60*$D15)</f>
        <v/>
      </c>
      <c r="S15" s="104">
        <f>IF($A15="","",$O15-$E$61-$F$61)</f>
        <v/>
      </c>
      <c r="T15" s="92">
        <f>IF($A15="","",$L$61*$D15)</f>
        <v/>
      </c>
      <c r="U15" s="104">
        <f>IF($A15="","",$Q15-$E$62-$F$62)</f>
        <v/>
      </c>
      <c r="V15" s="92">
        <f>IF($A15="","",$L$62*$D15)</f>
        <v/>
      </c>
      <c r="W15" s="104">
        <f>IF($A15="","",$B15-$E$63-$F$63-$G$63-$H$63)</f>
        <v/>
      </c>
      <c r="X15" s="92">
        <f>IF($A15="","",$L$63*$D15)</f>
        <v/>
      </c>
      <c r="Y15" s="104">
        <f>IF($A15="","",$B15-$E$64-$F$64)</f>
        <v/>
      </c>
      <c r="Z15" s="92">
        <f>IF($A15="","",$L$64*$D15)</f>
        <v/>
      </c>
      <c r="AA15" s="104">
        <f>IF($A15="","",$C15-$E$65-$F$65)</f>
        <v/>
      </c>
      <c r="AB15" s="92">
        <f>IF($A15="","",$L$65*$D15)</f>
        <v/>
      </c>
      <c r="AC15" s="104">
        <f>IF($A15="","",$B15-$E$66-$F$66)</f>
        <v/>
      </c>
      <c r="AD15" s="92">
        <f>IF($A15="","",$L$66*$D15)</f>
        <v/>
      </c>
      <c r="AE15" s="104">
        <f>IF($A15="","",$C15-$E$67-$F$67)</f>
        <v/>
      </c>
      <c r="AF15" s="92">
        <f>IF($A15="","",$L$67*$D15)</f>
        <v/>
      </c>
      <c r="AG15" s="105">
        <f>IF($A15="","",$O15-68-68)</f>
        <v/>
      </c>
      <c r="AH15" s="106">
        <f>IF($A15="","",$Q15-68-68)</f>
        <v/>
      </c>
      <c r="AI15" s="107">
        <f>IF($A15="","",4*$D15)</f>
        <v/>
      </c>
      <c r="AK15">
        <f>IF($A15="","",2*4*$D15)</f>
        <v/>
      </c>
      <c r="AL15">
        <f>IF($A15="","",$BC$7*$D15)</f>
        <v/>
      </c>
      <c r="AM15">
        <f>IF($A15="","",$BC$6*$D15)</f>
        <v/>
      </c>
      <c r="AN15">
        <f>IF($A15="","",$BC$9*$D15)</f>
        <v/>
      </c>
      <c r="AO15">
        <f>IF($A15="","",$BC$10*$D15)</f>
        <v/>
      </c>
      <c r="AP15">
        <f>IF($A15="","",2*$BC$6*$D15)</f>
        <v/>
      </c>
      <c r="AQ15">
        <f>IF($A15="","",IF($B15&gt;2800,2,IF($B15&gt;1400,1,0))*$BC$6*$D15)</f>
        <v/>
      </c>
      <c r="AR15">
        <f>IF($A15="","",2*$BC$6*$D15)</f>
        <v/>
      </c>
      <c r="AS15">
        <f>IF($A15="","",$BC$6*$D15)</f>
        <v/>
      </c>
      <c r="AT15">
        <f>IF($A15="","",2*$BC$6*$D15)</f>
        <v/>
      </c>
      <c r="AU15">
        <f>IF($A15="","",4*4*$D15)</f>
        <v/>
      </c>
      <c r="AV15">
        <f>IF($A15="","",16*4*$D15)</f>
        <v/>
      </c>
      <c r="AW15">
        <f>IF($A15="","",(2+MAX(0,ROUNDUP(($I15-1500)/500,0)))*$D15)</f>
        <v/>
      </c>
      <c r="AX15">
        <f>IF($A15="","",(2+MAX(0,ROUNDUP(($I15-1500)/500,0)))*$D15)</f>
        <v/>
      </c>
      <c r="AY15">
        <f>IF($A15="","",ROUND((2*2*($Q15+$O15)*4*$D15+$W15*$X15)/1000,1))</f>
        <v/>
      </c>
    </row>
    <row r="16" ht="40.15" customHeight="1">
      <c r="A16" s="101" t="n"/>
      <c r="B16" s="102" t="n"/>
      <c r="C16" s="92" t="n"/>
      <c r="D16" s="103" t="n"/>
      <c r="E16" s="108">
        <f>IF($A16="","",$B16)</f>
        <v/>
      </c>
      <c r="F16" s="98">
        <f>IF($A16="","",$L$54*$D16)</f>
        <v/>
      </c>
      <c r="G16" s="108">
        <f>IF($A16="","",$B16)</f>
        <v/>
      </c>
      <c r="H16" s="98">
        <f>IF($A16="","",$L$55*$D16)</f>
        <v/>
      </c>
      <c r="I16" s="108">
        <f>IF($A16="","",$C16-$E$56-$F$56)</f>
        <v/>
      </c>
      <c r="J16" s="98">
        <f>IF($A16="","",$L$56*$D16)</f>
        <v/>
      </c>
      <c r="K16" s="108">
        <f>IF($A16="","",$C16-$E$57-$F$57)</f>
        <v/>
      </c>
      <c r="L16" s="98">
        <f>IF($A16="","",$L$57*$D16)</f>
        <v/>
      </c>
      <c r="M16" s="108">
        <f>IF($A16="","",$C16)</f>
        <v/>
      </c>
      <c r="N16" s="98">
        <f>IF($A16="","",$L$58*$D16)</f>
        <v/>
      </c>
      <c r="O16" s="108">
        <f>IF($A16="","",$B16-$E$59-$F$59-$G$59-$H$59)</f>
        <v/>
      </c>
      <c r="P16" s="98">
        <f>IF($A16="","",$L$59*$D16)</f>
        <v/>
      </c>
      <c r="Q16" s="108">
        <f>IF($A16="","",(($C16-$E$60-$F$60-$G$60-$H$60-$I$60)/4)+(78*3)/4)</f>
        <v/>
      </c>
      <c r="R16" s="98">
        <f>IF($A16="","",$L$60*$D16)</f>
        <v/>
      </c>
      <c r="S16" s="108">
        <f>IF($A16="","",$O16-$E$61-$F$61)</f>
        <v/>
      </c>
      <c r="T16" s="98">
        <f>IF($A16="","",$L$61*$D16)</f>
        <v/>
      </c>
      <c r="U16" s="108">
        <f>IF($A16="","",$Q16-$E$62-$F$62)</f>
        <v/>
      </c>
      <c r="V16" s="98">
        <f>IF($A16="","",$L$62*$D16)</f>
        <v/>
      </c>
      <c r="W16" s="108">
        <f>IF($A16="","",$B16-$E$63-$F$63-$G$63-$H$63)</f>
        <v/>
      </c>
      <c r="X16" s="98">
        <f>IF($A16="","",$L$63*$D16)</f>
        <v/>
      </c>
      <c r="Y16" s="108">
        <f>IF($A16="","",$B16-$E$64-$F$64)</f>
        <v/>
      </c>
      <c r="Z16" s="98">
        <f>IF($A16="","",$L$64*$D16)</f>
        <v/>
      </c>
      <c r="AA16" s="108">
        <f>IF($A16="","",$C16-$E$65-$F$65)</f>
        <v/>
      </c>
      <c r="AB16" s="98">
        <f>IF($A16="","",$L$65*$D16)</f>
        <v/>
      </c>
      <c r="AC16" s="108">
        <f>IF($A16="","",$B16-$E$66-$F$66)</f>
        <v/>
      </c>
      <c r="AD16" s="98">
        <f>IF($A16="","",$L$66*$D16)</f>
        <v/>
      </c>
      <c r="AE16" s="108">
        <f>IF($A16="","",$C16-$E$67-$F$67)</f>
        <v/>
      </c>
      <c r="AF16" s="98">
        <f>IF($A16="","",$L$67*$D16)</f>
        <v/>
      </c>
      <c r="AG16" s="105">
        <f>IF($A16="","",$O16-68-68)</f>
        <v/>
      </c>
      <c r="AH16" s="106">
        <f>IF($A16="","",$Q16-68-68)</f>
        <v/>
      </c>
      <c r="AI16" s="107">
        <f>IF($A16="","",4*$D16)</f>
        <v/>
      </c>
      <c r="AK16">
        <f>IF($A16="","",2*4*$D16)</f>
        <v/>
      </c>
      <c r="AL16">
        <f>IF($A16="","",$BC$7*$D16)</f>
        <v/>
      </c>
      <c r="AM16">
        <f>IF($A16="","",$BC$6*$D16)</f>
        <v/>
      </c>
      <c r="AN16">
        <f>IF($A16="","",$BC$9*$D16)</f>
        <v/>
      </c>
      <c r="AO16">
        <f>IF($A16="","",$BC$10*$D16)</f>
        <v/>
      </c>
      <c r="AP16">
        <f>IF($A16="","",2*$BC$6*$D16)</f>
        <v/>
      </c>
      <c r="AQ16">
        <f>IF($A16="","",IF($B16&gt;2800,2,IF($B16&gt;1400,1,0))*$BC$6*$D16)</f>
        <v/>
      </c>
      <c r="AR16">
        <f>IF($A16="","",2*$BC$6*$D16)</f>
        <v/>
      </c>
      <c r="AS16">
        <f>IF($A16="","",$BC$6*$D16)</f>
        <v/>
      </c>
      <c r="AT16">
        <f>IF($A16="","",2*$BC$6*$D16)</f>
        <v/>
      </c>
      <c r="AU16">
        <f>IF($A16="","",4*4*$D16)</f>
        <v/>
      </c>
      <c r="AV16">
        <f>IF($A16="","",16*4*$D16)</f>
        <v/>
      </c>
      <c r="AW16">
        <f>IF($A16="","",(2+MAX(0,ROUNDUP(($I16-1500)/500,0)))*$D16)</f>
        <v/>
      </c>
      <c r="AX16">
        <f>IF($A16="","",(2+MAX(0,ROUNDUP(($I16-1500)/500,0)))*$D16)</f>
        <v/>
      </c>
      <c r="AY16">
        <f>IF($A16="","",ROUND((2*2*($Q16+$O16)*4*$D16+$W16*$X16)/1000,1))</f>
        <v/>
      </c>
    </row>
    <row r="17" ht="40.15" customHeight="1">
      <c r="A17" s="101" t="n"/>
      <c r="B17" s="102" t="n"/>
      <c r="C17" s="92" t="n"/>
      <c r="D17" s="103" t="n"/>
      <c r="E17" s="104">
        <f>IF($A17="","",$B17)</f>
        <v/>
      </c>
      <c r="F17" s="92">
        <f>IF($A17="","",$L$54*$D17)</f>
        <v/>
      </c>
      <c r="G17" s="104">
        <f>IF($A17="","",$B17)</f>
        <v/>
      </c>
      <c r="H17" s="92">
        <f>IF($A17="","",$L$55*$D17)</f>
        <v/>
      </c>
      <c r="I17" s="104">
        <f>IF($A17="","",$C17-$E$56-$F$56)</f>
        <v/>
      </c>
      <c r="J17" s="92">
        <f>IF($A17="","",$L$56*$D17)</f>
        <v/>
      </c>
      <c r="K17" s="104">
        <f>IF($A17="","",$C17-$E$57-$F$57)</f>
        <v/>
      </c>
      <c r="L17" s="92">
        <f>IF($A17="","",$L$57*$D17)</f>
        <v/>
      </c>
      <c r="M17" s="104">
        <f>IF($A17="","",$C17)</f>
        <v/>
      </c>
      <c r="N17" s="92">
        <f>IF($A17="","",$L$58*$D17)</f>
        <v/>
      </c>
      <c r="O17" s="104">
        <f>IF($A17="","",$B17-$E$59-$F$59-$G$59-$H$59)</f>
        <v/>
      </c>
      <c r="P17" s="92">
        <f>IF($A17="","",$L$59*$D17)</f>
        <v/>
      </c>
      <c r="Q17" s="104">
        <f>IF($A17="","",(($C17-$E$60-$F$60-$G$60-$H$60-$I$60)/4)+(78*3)/4)</f>
        <v/>
      </c>
      <c r="R17" s="92">
        <f>IF($A17="","",$L$60*$D17)</f>
        <v/>
      </c>
      <c r="S17" s="104">
        <f>IF($A17="","",$O17-$E$61-$F$61)</f>
        <v/>
      </c>
      <c r="T17" s="92">
        <f>IF($A17="","",$L$61*$D17)</f>
        <v/>
      </c>
      <c r="U17" s="104">
        <f>IF($A17="","",$Q17-$E$62-$F$62)</f>
        <v/>
      </c>
      <c r="V17" s="92">
        <f>IF($A17="","",$L$62*$D17)</f>
        <v/>
      </c>
      <c r="W17" s="104">
        <f>IF($A17="","",$B17-$E$63-$F$63-$G$63-$H$63)</f>
        <v/>
      </c>
      <c r="X17" s="92">
        <f>IF($A17="","",$L$63*$D17)</f>
        <v/>
      </c>
      <c r="Y17" s="104">
        <f>IF($A17="","",$B17-$E$64-$F$64)</f>
        <v/>
      </c>
      <c r="Z17" s="92">
        <f>IF($A17="","",$L$64*$D17)</f>
        <v/>
      </c>
      <c r="AA17" s="104">
        <f>IF($A17="","",$C17-$E$65-$F$65)</f>
        <v/>
      </c>
      <c r="AB17" s="92">
        <f>IF($A17="","",$L$65*$D17)</f>
        <v/>
      </c>
      <c r="AC17" s="104">
        <f>IF($A17="","",$B17-$E$66-$F$66)</f>
        <v/>
      </c>
      <c r="AD17" s="92">
        <f>IF($A17="","",$L$66*$D17)</f>
        <v/>
      </c>
      <c r="AE17" s="104">
        <f>IF($A17="","",$C17-$E$67-$F$67)</f>
        <v/>
      </c>
      <c r="AF17" s="92">
        <f>IF($A17="","",$L$67*$D17)</f>
        <v/>
      </c>
      <c r="AG17" s="105">
        <f>IF($A17="","",$O17-68-68)</f>
        <v/>
      </c>
      <c r="AH17" s="106">
        <f>IF($A17="","",$Q17-68-68)</f>
        <v/>
      </c>
      <c r="AI17" s="107">
        <f>IF($A17="","",4*$D17)</f>
        <v/>
      </c>
      <c r="AK17">
        <f>IF($A17="","",2*4*$D17)</f>
        <v/>
      </c>
      <c r="AL17">
        <f>IF($A17="","",$BC$7*$D17)</f>
        <v/>
      </c>
      <c r="AM17">
        <f>IF($A17="","",$BC$6*$D17)</f>
        <v/>
      </c>
      <c r="AN17">
        <f>IF($A17="","",$BC$9*$D17)</f>
        <v/>
      </c>
      <c r="AO17">
        <f>IF($A17="","",$BC$10*$D17)</f>
        <v/>
      </c>
      <c r="AP17">
        <f>IF($A17="","",2*$BC$6*$D17)</f>
        <v/>
      </c>
      <c r="AQ17">
        <f>IF($A17="","",IF($B17&gt;2800,2,IF($B17&gt;1400,1,0))*$BC$6*$D17)</f>
        <v/>
      </c>
      <c r="AR17">
        <f>IF($A17="","",2*$BC$6*$D17)</f>
        <v/>
      </c>
      <c r="AS17">
        <f>IF($A17="","",$BC$6*$D17)</f>
        <v/>
      </c>
      <c r="AT17">
        <f>IF($A17="","",2*$BC$6*$D17)</f>
        <v/>
      </c>
      <c r="AU17">
        <f>IF($A17="","",4*4*$D17)</f>
        <v/>
      </c>
      <c r="AV17">
        <f>IF($A17="","",16*4*$D17)</f>
        <v/>
      </c>
      <c r="AW17">
        <f>IF($A17="","",(2+MAX(0,ROUNDUP(($I17-1500)/500,0)))*$D17)</f>
        <v/>
      </c>
      <c r="AX17">
        <f>IF($A17="","",(2+MAX(0,ROUNDUP(($I17-1500)/500,0)))*$D17)</f>
        <v/>
      </c>
      <c r="AY17">
        <f>IF($A17="","",ROUND((2*2*($Q17+$O17)*4*$D17+$W17*$X17)/1000,1))</f>
        <v/>
      </c>
    </row>
    <row r="18" ht="40.15" customHeight="1">
      <c r="A18" s="101" t="n"/>
      <c r="B18" s="102" t="n"/>
      <c r="C18" s="92" t="n"/>
      <c r="D18" s="103" t="n"/>
      <c r="E18" s="108">
        <f>IF($A18="","",$B18)</f>
        <v/>
      </c>
      <c r="F18" s="98">
        <f>IF($A18="","",$L$54*$D18)</f>
        <v/>
      </c>
      <c r="G18" s="108">
        <f>IF($A18="","",$B18)</f>
        <v/>
      </c>
      <c r="H18" s="98">
        <f>IF($A18="","",$L$55*$D18)</f>
        <v/>
      </c>
      <c r="I18" s="108">
        <f>IF($A18="","",$C18-$E$56-$F$56)</f>
        <v/>
      </c>
      <c r="J18" s="98">
        <f>IF($A18="","",$L$56*$D18)</f>
        <v/>
      </c>
      <c r="K18" s="108">
        <f>IF($A18="","",$C18-$E$57-$F$57)</f>
        <v/>
      </c>
      <c r="L18" s="98">
        <f>IF($A18="","",$L$57*$D18)</f>
        <v/>
      </c>
      <c r="M18" s="108">
        <f>IF($A18="","",$C18)</f>
        <v/>
      </c>
      <c r="N18" s="98">
        <f>IF($A18="","",$L$58*$D18)</f>
        <v/>
      </c>
      <c r="O18" s="108">
        <f>IF($A18="","",$B18-$E$59-$F$59-$G$59-$H$59)</f>
        <v/>
      </c>
      <c r="P18" s="98">
        <f>IF($A18="","",$L$59*$D18)</f>
        <v/>
      </c>
      <c r="Q18" s="108">
        <f>IF($A18="","",(($C18-$E$60-$F$60-$G$60-$H$60-$I$60)/4)+(78*3)/4)</f>
        <v/>
      </c>
      <c r="R18" s="98">
        <f>IF($A18="","",$L$60*$D18)</f>
        <v/>
      </c>
      <c r="S18" s="108">
        <f>IF($A18="","",$O18-$E$61-$F$61)</f>
        <v/>
      </c>
      <c r="T18" s="98">
        <f>IF($A18="","",$L$61*$D18)</f>
        <v/>
      </c>
      <c r="U18" s="108">
        <f>IF($A18="","",$Q18-$E$62-$F$62)</f>
        <v/>
      </c>
      <c r="V18" s="98">
        <f>IF($A18="","",$L$62*$D18)</f>
        <v/>
      </c>
      <c r="W18" s="108">
        <f>IF($A18="","",$B18-$E$63-$F$63-$G$63-$H$63)</f>
        <v/>
      </c>
      <c r="X18" s="98">
        <f>IF($A18="","",$L$63*$D18)</f>
        <v/>
      </c>
      <c r="Y18" s="108">
        <f>IF($A18="","",$B18-$E$64-$F$64)</f>
        <v/>
      </c>
      <c r="Z18" s="98">
        <f>IF($A18="","",$L$64*$D18)</f>
        <v/>
      </c>
      <c r="AA18" s="108">
        <f>IF($A18="","",$C18-$E$65-$F$65)</f>
        <v/>
      </c>
      <c r="AB18" s="98">
        <f>IF($A18="","",$L$65*$D18)</f>
        <v/>
      </c>
      <c r="AC18" s="108">
        <f>IF($A18="","",$B18-$E$66-$F$66)</f>
        <v/>
      </c>
      <c r="AD18" s="98">
        <f>IF($A18="","",$L$66*$D18)</f>
        <v/>
      </c>
      <c r="AE18" s="108">
        <f>IF($A18="","",$C18-$E$67-$F$67)</f>
        <v/>
      </c>
      <c r="AF18" s="98">
        <f>IF($A18="","",$L$67*$D18)</f>
        <v/>
      </c>
      <c r="AG18" s="105">
        <f>IF($A18="","",$O18-68-68)</f>
        <v/>
      </c>
      <c r="AH18" s="106">
        <f>IF($A18="","",$Q18-68-68)</f>
        <v/>
      </c>
      <c r="AI18" s="107">
        <f>IF($A18="","",4*$D18)</f>
        <v/>
      </c>
      <c r="AK18">
        <f>IF($A18="","",2*4*$D18)</f>
        <v/>
      </c>
      <c r="AL18">
        <f>IF($A18="","",$BC$7*$D18)</f>
        <v/>
      </c>
      <c r="AM18">
        <f>IF($A18="","",$BC$6*$D18)</f>
        <v/>
      </c>
      <c r="AN18">
        <f>IF($A18="","",$BC$9*$D18)</f>
        <v/>
      </c>
      <c r="AO18">
        <f>IF($A18="","",$BC$10*$D18)</f>
        <v/>
      </c>
      <c r="AP18">
        <f>IF($A18="","",2*$BC$6*$D18)</f>
        <v/>
      </c>
      <c r="AQ18">
        <f>IF($A18="","",IF($B18&gt;2800,2,IF($B18&gt;1400,1,0))*$BC$6*$D18)</f>
        <v/>
      </c>
      <c r="AR18">
        <f>IF($A18="","",2*$BC$6*$D18)</f>
        <v/>
      </c>
      <c r="AS18">
        <f>IF($A18="","",$BC$6*$D18)</f>
        <v/>
      </c>
      <c r="AT18">
        <f>IF($A18="","",2*$BC$6*$D18)</f>
        <v/>
      </c>
      <c r="AU18">
        <f>IF($A18="","",4*4*$D18)</f>
        <v/>
      </c>
      <c r="AV18">
        <f>IF($A18="","",16*4*$D18)</f>
        <v/>
      </c>
      <c r="AW18">
        <f>IF($A18="","",(2+MAX(0,ROUNDUP(($I18-1500)/500,0)))*$D18)</f>
        <v/>
      </c>
      <c r="AX18">
        <f>IF($A18="","",(2+MAX(0,ROUNDUP(($I18-1500)/500,0)))*$D18)</f>
        <v/>
      </c>
      <c r="AY18">
        <f>IF($A18="","",ROUND((2*2*($Q18+$O18)*4*$D18+$W18*$X18)/1000,1))</f>
        <v/>
      </c>
    </row>
    <row r="19" ht="40.15" customHeight="1">
      <c r="A19" s="101" t="n"/>
      <c r="B19" s="102" t="n"/>
      <c r="C19" s="92" t="n"/>
      <c r="D19" s="103" t="n"/>
      <c r="E19" s="104">
        <f>IF($A19="","",$B19)</f>
        <v/>
      </c>
      <c r="F19" s="92">
        <f>IF($A19="","",$L$54*$D19)</f>
        <v/>
      </c>
      <c r="G19" s="104">
        <f>IF($A19="","",$B19)</f>
        <v/>
      </c>
      <c r="H19" s="92">
        <f>IF($A19="","",$L$55*$D19)</f>
        <v/>
      </c>
      <c r="I19" s="104">
        <f>IF($A19="","",$C19-$E$56-$F$56)</f>
        <v/>
      </c>
      <c r="J19" s="92">
        <f>IF($A19="","",$L$56*$D19)</f>
        <v/>
      </c>
      <c r="K19" s="104">
        <f>IF($A19="","",$C19-$E$57-$F$57)</f>
        <v/>
      </c>
      <c r="L19" s="92">
        <f>IF($A19="","",$L$57*$D19)</f>
        <v/>
      </c>
      <c r="M19" s="104">
        <f>IF($A19="","",$C19)</f>
        <v/>
      </c>
      <c r="N19" s="92">
        <f>IF($A19="","",$L$58*$D19)</f>
        <v/>
      </c>
      <c r="O19" s="104">
        <f>IF($A19="","",$B19-$E$59-$F$59-$G$59-$H$59)</f>
        <v/>
      </c>
      <c r="P19" s="92">
        <f>IF($A19="","",$L$59*$D19)</f>
        <v/>
      </c>
      <c r="Q19" s="104">
        <f>IF($A19="","",(($C19-$E$60-$F$60-$G$60-$H$60-$I$60)/4)+(78*3)/4)</f>
        <v/>
      </c>
      <c r="R19" s="92">
        <f>IF($A19="","",$L$60*$D19)</f>
        <v/>
      </c>
      <c r="S19" s="104">
        <f>IF($A19="","",$O19-$E$61-$F$61)</f>
        <v/>
      </c>
      <c r="T19" s="92">
        <f>IF($A19="","",$L$61*$D19)</f>
        <v/>
      </c>
      <c r="U19" s="104">
        <f>IF($A19="","",$Q19-$E$62-$F$62)</f>
        <v/>
      </c>
      <c r="V19" s="92">
        <f>IF($A19="","",$L$62*$D19)</f>
        <v/>
      </c>
      <c r="W19" s="104">
        <f>IF($A19="","",$B19-$E$63-$F$63-$G$63-$H$63)</f>
        <v/>
      </c>
      <c r="X19" s="92">
        <f>IF($A19="","",$L$63*$D19)</f>
        <v/>
      </c>
      <c r="Y19" s="104">
        <f>IF($A19="","",$B19-$E$64-$F$64)</f>
        <v/>
      </c>
      <c r="Z19" s="92">
        <f>IF($A19="","",$L$64*$D19)</f>
        <v/>
      </c>
      <c r="AA19" s="104">
        <f>IF($A19="","",$C19-$E$65-$F$65)</f>
        <v/>
      </c>
      <c r="AB19" s="92">
        <f>IF($A19="","",$L$65*$D19)</f>
        <v/>
      </c>
      <c r="AC19" s="104">
        <f>IF($A19="","",$B19-$E$66-$F$66)</f>
        <v/>
      </c>
      <c r="AD19" s="92">
        <f>IF($A19="","",$L$66*$D19)</f>
        <v/>
      </c>
      <c r="AE19" s="104">
        <f>IF($A19="","",$C19-$E$67-$F$67)</f>
        <v/>
      </c>
      <c r="AF19" s="92">
        <f>IF($A19="","",$L$67*$D19)</f>
        <v/>
      </c>
      <c r="AG19" s="105">
        <f>IF($A19="","",$O19-68-68)</f>
        <v/>
      </c>
      <c r="AH19" s="106">
        <f>IF($A19="","",$Q19-68-68)</f>
        <v/>
      </c>
      <c r="AI19" s="107">
        <f>IF($A19="","",4*$D19)</f>
        <v/>
      </c>
      <c r="AK19">
        <f>IF($A19="","",2*4*$D19)</f>
        <v/>
      </c>
      <c r="AL19">
        <f>IF($A19="","",$BC$7*$D19)</f>
        <v/>
      </c>
      <c r="AM19">
        <f>IF($A19="","",$BC$6*$D19)</f>
        <v/>
      </c>
      <c r="AN19">
        <f>IF($A19="","",$BC$9*$D19)</f>
        <v/>
      </c>
      <c r="AO19">
        <f>IF($A19="","",$BC$10*$D19)</f>
        <v/>
      </c>
      <c r="AP19">
        <f>IF($A19="","",2*$BC$6*$D19)</f>
        <v/>
      </c>
      <c r="AQ19">
        <f>IF($A19="","",IF($B19&gt;2800,2,IF($B19&gt;1400,1,0))*$BC$6*$D19)</f>
        <v/>
      </c>
      <c r="AR19">
        <f>IF($A19="","",2*$BC$6*$D19)</f>
        <v/>
      </c>
      <c r="AS19">
        <f>IF($A19="","",$BC$6*$D19)</f>
        <v/>
      </c>
      <c r="AT19">
        <f>IF($A19="","",2*$BC$6*$D19)</f>
        <v/>
      </c>
      <c r="AU19">
        <f>IF($A19="","",4*4*$D19)</f>
        <v/>
      </c>
      <c r="AV19">
        <f>IF($A19="","",16*4*$D19)</f>
        <v/>
      </c>
      <c r="AW19">
        <f>IF($A19="","",(2+MAX(0,ROUNDUP(($I19-1500)/500,0)))*$D19)</f>
        <v/>
      </c>
      <c r="AX19">
        <f>IF($A19="","",(2+MAX(0,ROUNDUP(($I19-1500)/500,0)))*$D19)</f>
        <v/>
      </c>
      <c r="AY19">
        <f>IF($A19="","",ROUND((2*2*($Q19+$O19)*4*$D19+$W19*$X19)/1000,1))</f>
        <v/>
      </c>
    </row>
    <row r="20" ht="40.15" customHeight="1">
      <c r="A20" s="101" t="n"/>
      <c r="B20" s="102" t="n"/>
      <c r="C20" s="92" t="n"/>
      <c r="D20" s="103" t="n"/>
      <c r="E20" s="108">
        <f>IF($A20="","",$B20)</f>
        <v/>
      </c>
      <c r="F20" s="98">
        <f>IF($A20="","",$L$54*$D20)</f>
        <v/>
      </c>
      <c r="G20" s="108">
        <f>IF($A20="","",$B20)</f>
        <v/>
      </c>
      <c r="H20" s="98">
        <f>IF($A20="","",$L$55*$D20)</f>
        <v/>
      </c>
      <c r="I20" s="108">
        <f>IF($A20="","",$C20-$E$56-$F$56)</f>
        <v/>
      </c>
      <c r="J20" s="98">
        <f>IF($A20="","",$L$56*$D20)</f>
        <v/>
      </c>
      <c r="K20" s="108">
        <f>IF($A20="","",$C20-$E$57-$F$57)</f>
        <v/>
      </c>
      <c r="L20" s="98">
        <f>IF($A20="","",$L$57*$D20)</f>
        <v/>
      </c>
      <c r="M20" s="108">
        <f>IF($A20="","",$C20)</f>
        <v/>
      </c>
      <c r="N20" s="98">
        <f>IF($A20="","",$L$58*$D20)</f>
        <v/>
      </c>
      <c r="O20" s="108">
        <f>IF($A20="","",$B20-$E$59-$F$59-$G$59-$H$59)</f>
        <v/>
      </c>
      <c r="P20" s="98">
        <f>IF($A20="","",$L$59*$D20)</f>
        <v/>
      </c>
      <c r="Q20" s="108">
        <f>IF($A20="","",(($C20-$E$60-$F$60-$G$60-$H$60-$I$60)/4)+(78*3)/4)</f>
        <v/>
      </c>
      <c r="R20" s="98">
        <f>IF($A20="","",$L$60*$D20)</f>
        <v/>
      </c>
      <c r="S20" s="108">
        <f>IF($A20="","",$O20-$E$61-$F$61)</f>
        <v/>
      </c>
      <c r="T20" s="98">
        <f>IF($A20="","",$L$61*$D20)</f>
        <v/>
      </c>
      <c r="U20" s="108">
        <f>IF($A20="","",$Q20-$E$62-$F$62)</f>
        <v/>
      </c>
      <c r="V20" s="98">
        <f>IF($A20="","",$L$62*$D20)</f>
        <v/>
      </c>
      <c r="W20" s="108">
        <f>IF($A20="","",$B20-$E$63-$F$63-$G$63-$H$63)</f>
        <v/>
      </c>
      <c r="X20" s="98">
        <f>IF($A20="","",$L$63*$D20)</f>
        <v/>
      </c>
      <c r="Y20" s="108">
        <f>IF($A20="","",$B20-$E$64-$F$64)</f>
        <v/>
      </c>
      <c r="Z20" s="98">
        <f>IF($A20="","",$L$64*$D20)</f>
        <v/>
      </c>
      <c r="AA20" s="108">
        <f>IF($A20="","",$C20-$E$65-$F$65)</f>
        <v/>
      </c>
      <c r="AB20" s="98">
        <f>IF($A20="","",$L$65*$D20)</f>
        <v/>
      </c>
      <c r="AC20" s="108">
        <f>IF($A20="","",$B20-$E$66-$F$66)</f>
        <v/>
      </c>
      <c r="AD20" s="98">
        <f>IF($A20="","",$L$66*$D20)</f>
        <v/>
      </c>
      <c r="AE20" s="108">
        <f>IF($A20="","",$C20-$E$67-$F$67)</f>
        <v/>
      </c>
      <c r="AF20" s="98">
        <f>IF($A20="","",$L$67*$D20)</f>
        <v/>
      </c>
      <c r="AG20" s="105">
        <f>IF($A20="","",$O20-68-68)</f>
        <v/>
      </c>
      <c r="AH20" s="106">
        <f>IF($A20="","",$Q20-68-68)</f>
        <v/>
      </c>
      <c r="AI20" s="107">
        <f>IF($A20="","",4*$D20)</f>
        <v/>
      </c>
      <c r="AK20">
        <f>IF($A20="","",2*4*$D20)</f>
        <v/>
      </c>
      <c r="AL20">
        <f>IF($A20="","",$BC$7*$D20)</f>
        <v/>
      </c>
      <c r="AM20">
        <f>IF($A20="","",$BC$6*$D20)</f>
        <v/>
      </c>
      <c r="AN20">
        <f>IF($A20="","",$BC$9*$D20)</f>
        <v/>
      </c>
      <c r="AO20">
        <f>IF($A20="","",$BC$10*$D20)</f>
        <v/>
      </c>
      <c r="AP20">
        <f>IF($A20="","",2*$BC$6*$D20)</f>
        <v/>
      </c>
      <c r="AQ20">
        <f>IF($A20="","",IF($B20&gt;2800,2,IF($B20&gt;1400,1,0))*$BC$6*$D20)</f>
        <v/>
      </c>
      <c r="AR20">
        <f>IF($A20="","",2*$BC$6*$D20)</f>
        <v/>
      </c>
      <c r="AS20">
        <f>IF($A20="","",$BC$6*$D20)</f>
        <v/>
      </c>
      <c r="AT20">
        <f>IF($A20="","",2*$BC$6*$D20)</f>
        <v/>
      </c>
      <c r="AU20">
        <f>IF($A20="","",4*4*$D20)</f>
        <v/>
      </c>
      <c r="AV20">
        <f>IF($A20="","",16*4*$D20)</f>
        <v/>
      </c>
      <c r="AW20">
        <f>IF($A20="","",(2+MAX(0,ROUNDUP(($I20-1500)/500,0)))*$D20)</f>
        <v/>
      </c>
      <c r="AX20">
        <f>IF($A20="","",(2+MAX(0,ROUNDUP(($I20-1500)/500,0)))*$D20)</f>
        <v/>
      </c>
      <c r="AY20">
        <f>IF($A20="","",ROUND((2*2*($Q20+$O20)*4*$D20+$W20*$X20)/1000,1))</f>
        <v/>
      </c>
    </row>
    <row r="21" ht="40.15" customHeight="1">
      <c r="A21" s="101" t="n"/>
      <c r="B21" s="102" t="n"/>
      <c r="C21" s="92" t="n"/>
      <c r="D21" s="103" t="n"/>
      <c r="E21" s="104">
        <f>IF($A21="","",$B21)</f>
        <v/>
      </c>
      <c r="F21" s="92">
        <f>IF($A21="","",$L$54*$D21)</f>
        <v/>
      </c>
      <c r="G21" s="104">
        <f>IF($A21="","",$B21)</f>
        <v/>
      </c>
      <c r="H21" s="92">
        <f>IF($A21="","",$L$55*$D21)</f>
        <v/>
      </c>
      <c r="I21" s="104">
        <f>IF($A21="","",$C21-$E$56-$F$56)</f>
        <v/>
      </c>
      <c r="J21" s="92">
        <f>IF($A21="","",$L$56*$D21)</f>
        <v/>
      </c>
      <c r="K21" s="104">
        <f>IF($A21="","",$C21-$E$57-$F$57)</f>
        <v/>
      </c>
      <c r="L21" s="92">
        <f>IF($A21="","",$L$57*$D21)</f>
        <v/>
      </c>
      <c r="M21" s="104">
        <f>IF($A21="","",$C21)</f>
        <v/>
      </c>
      <c r="N21" s="92">
        <f>IF($A21="","",$L$58*$D21)</f>
        <v/>
      </c>
      <c r="O21" s="104">
        <f>IF($A21="","",$B21-$E$59-$F$59-$G$59-$H$59)</f>
        <v/>
      </c>
      <c r="P21" s="92">
        <f>IF($A21="","",$L$59*$D21)</f>
        <v/>
      </c>
      <c r="Q21" s="104">
        <f>IF($A21="","",(($C21-$E$60-$F$60-$G$60-$H$60-$I$60)/4)+(78*3)/4)</f>
        <v/>
      </c>
      <c r="R21" s="92">
        <f>IF($A21="","",$L$60*$D21)</f>
        <v/>
      </c>
      <c r="S21" s="104">
        <f>IF($A21="","",$O21-$E$61-$F$61)</f>
        <v/>
      </c>
      <c r="T21" s="92">
        <f>IF($A21="","",$L$61*$D21)</f>
        <v/>
      </c>
      <c r="U21" s="104">
        <f>IF($A21="","",$Q21-$E$62-$F$62)</f>
        <v/>
      </c>
      <c r="V21" s="92">
        <f>IF($A21="","",$L$62*$D21)</f>
        <v/>
      </c>
      <c r="W21" s="104">
        <f>IF($A21="","",$B21-$E$63-$F$63-$G$63-$H$63)</f>
        <v/>
      </c>
      <c r="X21" s="92">
        <f>IF($A21="","",$L$63*$D21)</f>
        <v/>
      </c>
      <c r="Y21" s="104">
        <f>IF($A21="","",$B21-$E$64-$F$64)</f>
        <v/>
      </c>
      <c r="Z21" s="92">
        <f>IF($A21="","",$L$64*$D21)</f>
        <v/>
      </c>
      <c r="AA21" s="104">
        <f>IF($A21="","",$C21-$E$65-$F$65)</f>
        <v/>
      </c>
      <c r="AB21" s="92">
        <f>IF($A21="","",$L$65*$D21)</f>
        <v/>
      </c>
      <c r="AC21" s="104">
        <f>IF($A21="","",$B21-$E$66-$F$66)</f>
        <v/>
      </c>
      <c r="AD21" s="92">
        <f>IF($A21="","",$L$66*$D21)</f>
        <v/>
      </c>
      <c r="AE21" s="104">
        <f>IF($A21="","",$C21-$E$67-$F$67)</f>
        <v/>
      </c>
      <c r="AF21" s="92">
        <f>IF($A21="","",$L$67*$D21)</f>
        <v/>
      </c>
      <c r="AG21" s="105">
        <f>IF($A21="","",$O21-68-68)</f>
        <v/>
      </c>
      <c r="AH21" s="106">
        <f>IF($A21="","",$Q21-68-68)</f>
        <v/>
      </c>
      <c r="AI21" s="107">
        <f>IF($A21="","",4*$D21)</f>
        <v/>
      </c>
      <c r="AK21">
        <f>IF($A21="","",2*4*$D21)</f>
        <v/>
      </c>
      <c r="AL21">
        <f>IF($A21="","",$BC$7*$D21)</f>
        <v/>
      </c>
      <c r="AM21">
        <f>IF($A21="","",$BC$6*$D21)</f>
        <v/>
      </c>
      <c r="AN21">
        <f>IF($A21="","",$BC$9*$D21)</f>
        <v/>
      </c>
      <c r="AO21">
        <f>IF($A21="","",$BC$10*$D21)</f>
        <v/>
      </c>
      <c r="AP21">
        <f>IF($A21="","",2*$BC$6*$D21)</f>
        <v/>
      </c>
      <c r="AQ21">
        <f>IF($A21="","",IF($B21&gt;2800,2,IF($B21&gt;1400,1,0))*$BC$6*$D21)</f>
        <v/>
      </c>
      <c r="AR21">
        <f>IF($A21="","",2*$BC$6*$D21)</f>
        <v/>
      </c>
      <c r="AS21">
        <f>IF($A21="","",$BC$6*$D21)</f>
        <v/>
      </c>
      <c r="AT21">
        <f>IF($A21="","",2*$BC$6*$D21)</f>
        <v/>
      </c>
      <c r="AU21">
        <f>IF($A21="","",4*4*$D21)</f>
        <v/>
      </c>
      <c r="AV21">
        <f>IF($A21="","",16*4*$D21)</f>
        <v/>
      </c>
      <c r="AW21">
        <f>IF($A21="","",(2+MAX(0,ROUNDUP(($I21-1500)/500,0)))*$D21)</f>
        <v/>
      </c>
      <c r="AX21">
        <f>IF($A21="","",(2+MAX(0,ROUNDUP(($I21-1500)/500,0)))*$D21)</f>
        <v/>
      </c>
      <c r="AY21">
        <f>IF($A21="","",ROUND((2*2*($Q21+$O21)*4*$D21+$W21*$X21)/1000,1))</f>
        <v/>
      </c>
    </row>
    <row r="22" ht="40.15" customHeight="1">
      <c r="A22" s="101" t="n"/>
      <c r="B22" s="102" t="n"/>
      <c r="C22" s="92" t="n"/>
      <c r="D22" s="103" t="n"/>
      <c r="E22" s="108">
        <f>IF($A22="","",$B22)</f>
        <v/>
      </c>
      <c r="F22" s="98">
        <f>IF($A22="","",$L$54*$D22)</f>
        <v/>
      </c>
      <c r="G22" s="108">
        <f>IF($A22="","",$B22)</f>
        <v/>
      </c>
      <c r="H22" s="98">
        <f>IF($A22="","",$L$55*$D22)</f>
        <v/>
      </c>
      <c r="I22" s="108">
        <f>IF($A22="","",$C22-$E$56-$F$56)</f>
        <v/>
      </c>
      <c r="J22" s="98">
        <f>IF($A22="","",$L$56*$D22)</f>
        <v/>
      </c>
      <c r="K22" s="108">
        <f>IF($A22="","",$C22-$E$57-$F$57)</f>
        <v/>
      </c>
      <c r="L22" s="98">
        <f>IF($A22="","",$L$57*$D22)</f>
        <v/>
      </c>
      <c r="M22" s="108">
        <f>IF($A22="","",$C22)</f>
        <v/>
      </c>
      <c r="N22" s="98">
        <f>IF($A22="","",$L$58*$D22)</f>
        <v/>
      </c>
      <c r="O22" s="108">
        <f>IF($A22="","",$B22-$E$59-$F$59-$G$59-$H$59)</f>
        <v/>
      </c>
      <c r="P22" s="98">
        <f>IF($A22="","",$L$59*$D22)</f>
        <v/>
      </c>
      <c r="Q22" s="108">
        <f>IF($A22="","",(($C22-$E$60-$F$60-$G$60-$H$60-$I$60)/4)+(78*3)/4)</f>
        <v/>
      </c>
      <c r="R22" s="98">
        <f>IF($A22="","",$L$60*$D22)</f>
        <v/>
      </c>
      <c r="S22" s="108">
        <f>IF($A22="","",$O22-$E$61-$F$61)</f>
        <v/>
      </c>
      <c r="T22" s="98">
        <f>IF($A22="","",$L$61*$D22)</f>
        <v/>
      </c>
      <c r="U22" s="108">
        <f>IF($A22="","",$Q22-$E$62-$F$62)</f>
        <v/>
      </c>
      <c r="V22" s="98">
        <f>IF($A22="","",$L$62*$D22)</f>
        <v/>
      </c>
      <c r="W22" s="108">
        <f>IF($A22="","",$B22-$E$63-$F$63-$G$63-$H$63)</f>
        <v/>
      </c>
      <c r="X22" s="98">
        <f>IF($A22="","",$L$63*$D22)</f>
        <v/>
      </c>
      <c r="Y22" s="108">
        <f>IF($A22="","",$B22-$E$64-$F$64)</f>
        <v/>
      </c>
      <c r="Z22" s="98">
        <f>IF($A22="","",$L$64*$D22)</f>
        <v/>
      </c>
      <c r="AA22" s="108">
        <f>IF($A22="","",$C22-$E$65-$F$65)</f>
        <v/>
      </c>
      <c r="AB22" s="98">
        <f>IF($A22="","",$L$65*$D22)</f>
        <v/>
      </c>
      <c r="AC22" s="108">
        <f>IF($A22="","",$B22-$E$66-$F$66)</f>
        <v/>
      </c>
      <c r="AD22" s="98">
        <f>IF($A22="","",$L$66*$D22)</f>
        <v/>
      </c>
      <c r="AE22" s="108">
        <f>IF($A22="","",$C22-$E$67-$F$67)</f>
        <v/>
      </c>
      <c r="AF22" s="98">
        <f>IF($A22="","",$L$67*$D22)</f>
        <v/>
      </c>
      <c r="AG22" s="105">
        <f>IF($A22="","",$O22-68-68)</f>
        <v/>
      </c>
      <c r="AH22" s="106">
        <f>IF($A22="","",$Q22-68-68)</f>
        <v/>
      </c>
      <c r="AI22" s="107">
        <f>IF($A22="","",4*$D22)</f>
        <v/>
      </c>
      <c r="AK22">
        <f>IF($A22="","",2*4*$D22)</f>
        <v/>
      </c>
      <c r="AL22">
        <f>IF($A22="","",$BC$7*$D22)</f>
        <v/>
      </c>
      <c r="AM22">
        <f>IF($A22="","",$BC$6*$D22)</f>
        <v/>
      </c>
      <c r="AN22">
        <f>IF($A22="","",$BC$9*$D22)</f>
        <v/>
      </c>
      <c r="AO22">
        <f>IF($A22="","",$BC$10*$D22)</f>
        <v/>
      </c>
      <c r="AP22">
        <f>IF($A22="","",2*$BC$6*$D22)</f>
        <v/>
      </c>
      <c r="AQ22">
        <f>IF($A22="","",IF($B22&gt;2800,2,IF($B22&gt;1400,1,0))*$BC$6*$D22)</f>
        <v/>
      </c>
      <c r="AR22">
        <f>IF($A22="","",2*$BC$6*$D22)</f>
        <v/>
      </c>
      <c r="AS22">
        <f>IF($A22="","",$BC$6*$D22)</f>
        <v/>
      </c>
      <c r="AT22">
        <f>IF($A22="","",2*$BC$6*$D22)</f>
        <v/>
      </c>
      <c r="AU22">
        <f>IF($A22="","",4*4*$D22)</f>
        <v/>
      </c>
      <c r="AV22">
        <f>IF($A22="","",16*4*$D22)</f>
        <v/>
      </c>
      <c r="AW22">
        <f>IF($A22="","",(2+MAX(0,ROUNDUP(($I22-1500)/500,0)))*$D22)</f>
        <v/>
      </c>
      <c r="AX22">
        <f>IF($A22="","",(2+MAX(0,ROUNDUP(($I22-1500)/500,0)))*$D22)</f>
        <v/>
      </c>
      <c r="AY22">
        <f>IF($A22="","",ROUND((2*2*($Q22+$O22)*4*$D22+$W22*$X22)/1000,1))</f>
        <v/>
      </c>
    </row>
    <row r="23" ht="40.15" customHeight="1">
      <c r="A23" s="101" t="n"/>
      <c r="B23" s="102" t="n"/>
      <c r="C23" s="92" t="n"/>
      <c r="D23" s="103" t="n"/>
      <c r="E23" s="104">
        <f>IF($A23="","",$B23)</f>
        <v/>
      </c>
      <c r="F23" s="92">
        <f>IF($A23="","",$L$54*$D23)</f>
        <v/>
      </c>
      <c r="G23" s="104">
        <f>IF($A23="","",$B23)</f>
        <v/>
      </c>
      <c r="H23" s="92">
        <f>IF($A23="","",$L$55*$D23)</f>
        <v/>
      </c>
      <c r="I23" s="104">
        <f>IF($A23="","",$C23-$E$56-$F$56)</f>
        <v/>
      </c>
      <c r="J23" s="92">
        <f>IF($A23="","",$L$56*$D23)</f>
        <v/>
      </c>
      <c r="K23" s="104">
        <f>IF($A23="","",$C23-$E$57-$F$57)</f>
        <v/>
      </c>
      <c r="L23" s="92">
        <f>IF($A23="","",$L$57*$D23)</f>
        <v/>
      </c>
      <c r="M23" s="104">
        <f>IF($A23="","",$C23)</f>
        <v/>
      </c>
      <c r="N23" s="92">
        <f>IF($A23="","",$L$58*$D23)</f>
        <v/>
      </c>
      <c r="O23" s="104">
        <f>IF($A23="","",$B23-$E$59-$F$59-$G$59-$H$59)</f>
        <v/>
      </c>
      <c r="P23" s="92">
        <f>IF($A23="","",$L$59*$D23)</f>
        <v/>
      </c>
      <c r="Q23" s="104">
        <f>IF($A23="","",(($C23-$E$60-$F$60-$G$60-$H$60-$I$60)/4)+(78*3)/4)</f>
        <v/>
      </c>
      <c r="R23" s="92">
        <f>IF($A23="","",$L$60*$D23)</f>
        <v/>
      </c>
      <c r="S23" s="104">
        <f>IF($A23="","",$O23-$E$61-$F$61)</f>
        <v/>
      </c>
      <c r="T23" s="92">
        <f>IF($A23="","",$L$61*$D23)</f>
        <v/>
      </c>
      <c r="U23" s="104">
        <f>IF($A23="","",$Q23-$E$62-$F$62)</f>
        <v/>
      </c>
      <c r="V23" s="92">
        <f>IF($A23="","",$L$62*$D23)</f>
        <v/>
      </c>
      <c r="W23" s="104">
        <f>IF($A23="","",$B23-$E$63-$F$63-$G$63-$H$63)</f>
        <v/>
      </c>
      <c r="X23" s="92">
        <f>IF($A23="","",$L$63*$D23)</f>
        <v/>
      </c>
      <c r="Y23" s="104">
        <f>IF($A23="","",$B23-$E$64-$F$64)</f>
        <v/>
      </c>
      <c r="Z23" s="92">
        <f>IF($A23="","",$L$64*$D23)</f>
        <v/>
      </c>
      <c r="AA23" s="104">
        <f>IF($A23="","",$C23-$E$65-$F$65)</f>
        <v/>
      </c>
      <c r="AB23" s="92">
        <f>IF($A23="","",$L$65*$D23)</f>
        <v/>
      </c>
      <c r="AC23" s="104">
        <f>IF($A23="","",$B23-$E$66-$F$66)</f>
        <v/>
      </c>
      <c r="AD23" s="92">
        <f>IF($A23="","",$L$66*$D23)</f>
        <v/>
      </c>
      <c r="AE23" s="104">
        <f>IF($A23="","",$C23-$E$67-$F$67)</f>
        <v/>
      </c>
      <c r="AF23" s="92">
        <f>IF($A23="","",$L$67*$D23)</f>
        <v/>
      </c>
      <c r="AG23" s="105">
        <f>IF($A23="","",$O23-68-68)</f>
        <v/>
      </c>
      <c r="AH23" s="106">
        <f>IF($A23="","",$Q23-68-68)</f>
        <v/>
      </c>
      <c r="AI23" s="107">
        <f>IF($A23="","",4*$D23)</f>
        <v/>
      </c>
      <c r="AK23">
        <f>IF($A23="","",2*4*$D23)</f>
        <v/>
      </c>
      <c r="AL23">
        <f>IF($A23="","",$BC$7*$D23)</f>
        <v/>
      </c>
      <c r="AM23">
        <f>IF($A23="","",$BC$6*$D23)</f>
        <v/>
      </c>
      <c r="AN23">
        <f>IF($A23="","",$BC$9*$D23)</f>
        <v/>
      </c>
      <c r="AO23">
        <f>IF($A23="","",$BC$10*$D23)</f>
        <v/>
      </c>
      <c r="AP23">
        <f>IF($A23="","",2*$BC$6*$D23)</f>
        <v/>
      </c>
      <c r="AQ23">
        <f>IF($A23="","",IF($B23&gt;2800,2,IF($B23&gt;1400,1,0))*$BC$6*$D23)</f>
        <v/>
      </c>
      <c r="AR23">
        <f>IF($A23="","",2*$BC$6*$D23)</f>
        <v/>
      </c>
      <c r="AS23">
        <f>IF($A23="","",$BC$6*$D23)</f>
        <v/>
      </c>
      <c r="AT23">
        <f>IF($A23="","",2*$BC$6*$D23)</f>
        <v/>
      </c>
      <c r="AU23">
        <f>IF($A23="","",4*4*$D23)</f>
        <v/>
      </c>
      <c r="AV23">
        <f>IF($A23="","",16*4*$D23)</f>
        <v/>
      </c>
      <c r="AW23">
        <f>IF($A23="","",(2+MAX(0,ROUNDUP(($I23-1500)/500,0)))*$D23)</f>
        <v/>
      </c>
      <c r="AX23">
        <f>IF($A23="","",(2+MAX(0,ROUNDUP(($I23-1500)/500,0)))*$D23)</f>
        <v/>
      </c>
      <c r="AY23">
        <f>IF($A23="","",ROUND((2*2*($Q23+$O23)*4*$D23+$W23*$X23)/1000,1))</f>
        <v/>
      </c>
    </row>
    <row r="24" ht="40.15" customHeight="1">
      <c r="A24" s="101" t="n"/>
      <c r="B24" s="102" t="n"/>
      <c r="C24" s="92" t="n"/>
      <c r="D24" s="103" t="n"/>
      <c r="E24" s="108">
        <f>IF($A24="","",$B24)</f>
        <v/>
      </c>
      <c r="F24" s="98">
        <f>IF($A24="","",$L$54*$D24)</f>
        <v/>
      </c>
      <c r="G24" s="108">
        <f>IF($A24="","",$B24)</f>
        <v/>
      </c>
      <c r="H24" s="98">
        <f>IF($A24="","",$L$55*$D24)</f>
        <v/>
      </c>
      <c r="I24" s="108">
        <f>IF($A24="","",$C24-$E$56-$F$56)</f>
        <v/>
      </c>
      <c r="J24" s="98">
        <f>IF($A24="","",$L$56*$D24)</f>
        <v/>
      </c>
      <c r="K24" s="108">
        <f>IF($A24="","",$C24-$E$57-$F$57)</f>
        <v/>
      </c>
      <c r="L24" s="98">
        <f>IF($A24="","",$L$57*$D24)</f>
        <v/>
      </c>
      <c r="M24" s="108">
        <f>IF($A24="","",$C24)</f>
        <v/>
      </c>
      <c r="N24" s="98">
        <f>IF($A24="","",$L$58*$D24)</f>
        <v/>
      </c>
      <c r="O24" s="108">
        <f>IF($A24="","",$B24-$E$59-$F$59-$G$59-$H$59)</f>
        <v/>
      </c>
      <c r="P24" s="98">
        <f>IF($A24="","",$L$59*$D24)</f>
        <v/>
      </c>
      <c r="Q24" s="108">
        <f>IF($A24="","",(($C24-$E$60-$F$60-$G$60-$H$60-$I$60)/4)+(78*3)/4)</f>
        <v/>
      </c>
      <c r="R24" s="98">
        <f>IF($A24="","",$L$60*$D24)</f>
        <v/>
      </c>
      <c r="S24" s="108">
        <f>IF($A24="","",$O24-$E$61-$F$61)</f>
        <v/>
      </c>
      <c r="T24" s="98">
        <f>IF($A24="","",$L$61*$D24)</f>
        <v/>
      </c>
      <c r="U24" s="108">
        <f>IF($A24="","",$Q24-$E$62-$F$62)</f>
        <v/>
      </c>
      <c r="V24" s="98">
        <f>IF($A24="","",$L$62*$D24)</f>
        <v/>
      </c>
      <c r="W24" s="108">
        <f>IF($A24="","",$B24-$E$63-$F$63-$G$63-$H$63)</f>
        <v/>
      </c>
      <c r="X24" s="98">
        <f>IF($A24="","",$L$63*$D24)</f>
        <v/>
      </c>
      <c r="Y24" s="108">
        <f>IF($A24="","",$B24-$E$64-$F$64)</f>
        <v/>
      </c>
      <c r="Z24" s="98">
        <f>IF($A24="","",$L$64*$D24)</f>
        <v/>
      </c>
      <c r="AA24" s="108">
        <f>IF($A24="","",$C24-$E$65-$F$65)</f>
        <v/>
      </c>
      <c r="AB24" s="98">
        <f>IF($A24="","",$L$65*$D24)</f>
        <v/>
      </c>
      <c r="AC24" s="108">
        <f>IF($A24="","",$B24-$E$66-$F$66)</f>
        <v/>
      </c>
      <c r="AD24" s="98">
        <f>IF($A24="","",$L$66*$D24)</f>
        <v/>
      </c>
      <c r="AE24" s="108">
        <f>IF($A24="","",$C24-$E$67-$F$67)</f>
        <v/>
      </c>
      <c r="AF24" s="98">
        <f>IF($A24="","",$L$67*$D24)</f>
        <v/>
      </c>
      <c r="AG24" s="105">
        <f>IF($A24="","",$O24-68-68)</f>
        <v/>
      </c>
      <c r="AH24" s="106">
        <f>IF($A24="","",$Q24-68-68)</f>
        <v/>
      </c>
      <c r="AI24" s="107">
        <f>IF($A24="","",4*$D24)</f>
        <v/>
      </c>
      <c r="AK24">
        <f>IF($A24="","",2*4*$D24)</f>
        <v/>
      </c>
      <c r="AL24">
        <f>IF($A24="","",$BC$7*$D24)</f>
        <v/>
      </c>
      <c r="AM24">
        <f>IF($A24="","",$BC$6*$D24)</f>
        <v/>
      </c>
      <c r="AN24">
        <f>IF($A24="","",$BC$9*$D24)</f>
        <v/>
      </c>
      <c r="AO24">
        <f>IF($A24="","",$BC$10*$D24)</f>
        <v/>
      </c>
      <c r="AP24">
        <f>IF($A24="","",2*$BC$6*$D24)</f>
        <v/>
      </c>
      <c r="AQ24">
        <f>IF($A24="","",IF($B24&gt;2800,2,IF($B24&gt;1400,1,0))*$BC$6*$D24)</f>
        <v/>
      </c>
      <c r="AR24">
        <f>IF($A24="","",2*$BC$6*$D24)</f>
        <v/>
      </c>
      <c r="AS24">
        <f>IF($A24="","",$BC$6*$D24)</f>
        <v/>
      </c>
      <c r="AT24">
        <f>IF($A24="","",2*$BC$6*$D24)</f>
        <v/>
      </c>
      <c r="AU24">
        <f>IF($A24="","",4*4*$D24)</f>
        <v/>
      </c>
      <c r="AV24">
        <f>IF($A24="","",16*4*$D24)</f>
        <v/>
      </c>
      <c r="AW24">
        <f>IF($A24="","",(2+MAX(0,ROUNDUP(($I24-1500)/500,0)))*$D24)</f>
        <v/>
      </c>
      <c r="AX24">
        <f>IF($A24="","",(2+MAX(0,ROUNDUP(($I24-1500)/500,0)))*$D24)</f>
        <v/>
      </c>
      <c r="AY24">
        <f>IF($A24="","",ROUND((2*2*($Q24+$O24)*4*$D24+$W24*$X24)/1000,1))</f>
        <v/>
      </c>
    </row>
    <row r="25" ht="40.15" customHeight="1">
      <c r="A25" s="101" t="n"/>
      <c r="B25" s="102" t="n"/>
      <c r="C25" s="92" t="n"/>
      <c r="D25" s="103" t="n"/>
      <c r="E25" s="104">
        <f>IF($A25="","",$B25)</f>
        <v/>
      </c>
      <c r="F25" s="92">
        <f>IF($A25="","",$L$54*$D25)</f>
        <v/>
      </c>
      <c r="G25" s="104">
        <f>IF($A25="","",$B25)</f>
        <v/>
      </c>
      <c r="H25" s="92">
        <f>IF($A25="","",$L$55*$D25)</f>
        <v/>
      </c>
      <c r="I25" s="104">
        <f>IF($A25="","",$C25-$E$56-$F$56)</f>
        <v/>
      </c>
      <c r="J25" s="92">
        <f>IF($A25="","",$L$56*$D25)</f>
        <v/>
      </c>
      <c r="K25" s="104">
        <f>IF($A25="","",$C25-$E$57-$F$57)</f>
        <v/>
      </c>
      <c r="L25" s="92">
        <f>IF($A25="","",$L$57*$D25)</f>
        <v/>
      </c>
      <c r="M25" s="104">
        <f>IF($A25="","",$C25)</f>
        <v/>
      </c>
      <c r="N25" s="92">
        <f>IF($A25="","",$L$58*$D25)</f>
        <v/>
      </c>
      <c r="O25" s="104">
        <f>IF($A25="","",$B25-$E$59-$F$59-$G$59-$H$59)</f>
        <v/>
      </c>
      <c r="P25" s="92">
        <f>IF($A25="","",$L$59*$D25)</f>
        <v/>
      </c>
      <c r="Q25" s="104">
        <f>IF($A25="","",(($C25-$E$60-$F$60-$G$60-$H$60-$I$60)/4)+(78*3)/4)</f>
        <v/>
      </c>
      <c r="R25" s="92">
        <f>IF($A25="","",$L$60*$D25)</f>
        <v/>
      </c>
      <c r="S25" s="104">
        <f>IF($A25="","",$O25-$E$61-$F$61)</f>
        <v/>
      </c>
      <c r="T25" s="92">
        <f>IF($A25="","",$L$61*$D25)</f>
        <v/>
      </c>
      <c r="U25" s="104">
        <f>IF($A25="","",$Q25-$E$62-$F$62)</f>
        <v/>
      </c>
      <c r="V25" s="92">
        <f>IF($A25="","",$L$62*$D25)</f>
        <v/>
      </c>
      <c r="W25" s="104">
        <f>IF($A25="","",$B25-$E$63-$F$63-$G$63-$H$63)</f>
        <v/>
      </c>
      <c r="X25" s="92">
        <f>IF($A25="","",$L$63*$D25)</f>
        <v/>
      </c>
      <c r="Y25" s="104">
        <f>IF($A25="","",$B25-$E$64-$F$64)</f>
        <v/>
      </c>
      <c r="Z25" s="92">
        <f>IF($A25="","",$L$64*$D25)</f>
        <v/>
      </c>
      <c r="AA25" s="104">
        <f>IF($A25="","",$C25-$E$65-$F$65)</f>
        <v/>
      </c>
      <c r="AB25" s="92">
        <f>IF($A25="","",$L$65*$D25)</f>
        <v/>
      </c>
      <c r="AC25" s="104">
        <f>IF($A25="","",$B25-$E$66-$F$66)</f>
        <v/>
      </c>
      <c r="AD25" s="92">
        <f>IF($A25="","",$L$66*$D25)</f>
        <v/>
      </c>
      <c r="AE25" s="104">
        <f>IF($A25="","",$C25-$E$67-$F$67)</f>
        <v/>
      </c>
      <c r="AF25" s="92">
        <f>IF($A25="","",$L$67*$D25)</f>
        <v/>
      </c>
      <c r="AG25" s="105">
        <f>IF($A25="","",$O25-68-68)</f>
        <v/>
      </c>
      <c r="AH25" s="106">
        <f>IF($A25="","",$Q25-68-68)</f>
        <v/>
      </c>
      <c r="AI25" s="107">
        <f>IF($A25="","",4*$D25)</f>
        <v/>
      </c>
      <c r="AK25">
        <f>IF($A25="","",2*4*$D25)</f>
        <v/>
      </c>
      <c r="AL25">
        <f>IF($A25="","",$BC$7*$D25)</f>
        <v/>
      </c>
      <c r="AM25">
        <f>IF($A25="","",$BC$6*$D25)</f>
        <v/>
      </c>
      <c r="AN25">
        <f>IF($A25="","",$BC$9*$D25)</f>
        <v/>
      </c>
      <c r="AO25">
        <f>IF($A25="","",$BC$10*$D25)</f>
        <v/>
      </c>
      <c r="AP25">
        <f>IF($A25="","",2*$BC$6*$D25)</f>
        <v/>
      </c>
      <c r="AQ25">
        <f>IF($A25="","",IF($B25&gt;2800,2,IF($B25&gt;1400,1,0))*$BC$6*$D25)</f>
        <v/>
      </c>
      <c r="AR25">
        <f>IF($A25="","",2*$BC$6*$D25)</f>
        <v/>
      </c>
      <c r="AS25">
        <f>IF($A25="","",$BC$6*$D25)</f>
        <v/>
      </c>
      <c r="AT25">
        <f>IF($A25="","",2*$BC$6*$D25)</f>
        <v/>
      </c>
      <c r="AU25">
        <f>IF($A25="","",4*4*$D25)</f>
        <v/>
      </c>
      <c r="AV25">
        <f>IF($A25="","",16*4*$D25)</f>
        <v/>
      </c>
      <c r="AW25">
        <f>IF($A25="","",(2+MAX(0,ROUNDUP(($I25-1500)/500,0)))*$D25)</f>
        <v/>
      </c>
      <c r="AX25">
        <f>IF($A25="","",(2+MAX(0,ROUNDUP(($I25-1500)/500,0)))*$D25)</f>
        <v/>
      </c>
      <c r="AY25">
        <f>IF($A25="","",ROUND((2*2*($Q25+$O25)*4*$D25+$W25*$X25)/1000,1))</f>
        <v/>
      </c>
    </row>
    <row r="26" ht="40.15" customHeight="1">
      <c r="A26" s="101" t="n"/>
      <c r="B26" s="102" t="n"/>
      <c r="C26" s="92" t="n"/>
      <c r="D26" s="103" t="n"/>
      <c r="E26" s="108">
        <f>IF($A26="","",$B26)</f>
        <v/>
      </c>
      <c r="F26" s="98">
        <f>IF($A26="","",$L$54*$D26)</f>
        <v/>
      </c>
      <c r="G26" s="108">
        <f>IF($A26="","",$B26)</f>
        <v/>
      </c>
      <c r="H26" s="98">
        <f>IF($A26="","",$L$55*$D26)</f>
        <v/>
      </c>
      <c r="I26" s="108">
        <f>IF($A26="","",$C26-$E$56-$F$56)</f>
        <v/>
      </c>
      <c r="J26" s="98">
        <f>IF($A26="","",$L$56*$D26)</f>
        <v/>
      </c>
      <c r="K26" s="108">
        <f>IF($A26="","",$C26-$E$57-$F$57)</f>
        <v/>
      </c>
      <c r="L26" s="98">
        <f>IF($A26="","",$L$57*$D26)</f>
        <v/>
      </c>
      <c r="M26" s="108">
        <f>IF($A26="","",$C26)</f>
        <v/>
      </c>
      <c r="N26" s="98">
        <f>IF($A26="","",$L$58*$D26)</f>
        <v/>
      </c>
      <c r="O26" s="108">
        <f>IF($A26="","",$B26-$E$59-$F$59-$G$59-$H$59)</f>
        <v/>
      </c>
      <c r="P26" s="98">
        <f>IF($A26="","",$L$59*$D26)</f>
        <v/>
      </c>
      <c r="Q26" s="108">
        <f>IF($A26="","",(($C26-$E$60-$F$60-$G$60-$H$60-$I$60)/4)+(78*3)/4)</f>
        <v/>
      </c>
      <c r="R26" s="98">
        <f>IF($A26="","",$L$60*$D26)</f>
        <v/>
      </c>
      <c r="S26" s="108">
        <f>IF($A26="","",$O26-$E$61-$F$61)</f>
        <v/>
      </c>
      <c r="T26" s="98">
        <f>IF($A26="","",$L$61*$D26)</f>
        <v/>
      </c>
      <c r="U26" s="108">
        <f>IF($A26="","",$Q26-$E$62-$F$62)</f>
        <v/>
      </c>
      <c r="V26" s="98">
        <f>IF($A26="","",$L$62*$D26)</f>
        <v/>
      </c>
      <c r="W26" s="108">
        <f>IF($A26="","",$B26-$E$63-$F$63-$G$63-$H$63)</f>
        <v/>
      </c>
      <c r="X26" s="98">
        <f>IF($A26="","",$L$63*$D26)</f>
        <v/>
      </c>
      <c r="Y26" s="108">
        <f>IF($A26="","",$B26-$E$64-$F$64)</f>
        <v/>
      </c>
      <c r="Z26" s="98">
        <f>IF($A26="","",$L$64*$D26)</f>
        <v/>
      </c>
      <c r="AA26" s="108">
        <f>IF($A26="","",$C26-$E$65-$F$65)</f>
        <v/>
      </c>
      <c r="AB26" s="98">
        <f>IF($A26="","",$L$65*$D26)</f>
        <v/>
      </c>
      <c r="AC26" s="108">
        <f>IF($A26="","",$B26-$E$66-$F$66)</f>
        <v/>
      </c>
      <c r="AD26" s="98">
        <f>IF($A26="","",$L$66*$D26)</f>
        <v/>
      </c>
      <c r="AE26" s="108">
        <f>IF($A26="","",$C26-$E$67-$F$67)</f>
        <v/>
      </c>
      <c r="AF26" s="98">
        <f>IF($A26="","",$L$67*$D26)</f>
        <v/>
      </c>
      <c r="AG26" s="105">
        <f>IF($A26="","",$O26-68-68)</f>
        <v/>
      </c>
      <c r="AH26" s="106">
        <f>IF($A26="","",$Q26-68-68)</f>
        <v/>
      </c>
      <c r="AI26" s="107">
        <f>IF($A26="","",4*$D26)</f>
        <v/>
      </c>
      <c r="AK26">
        <f>IF($A26="","",2*4*$D26)</f>
        <v/>
      </c>
      <c r="AL26">
        <f>IF($A26="","",$BC$7*$D26)</f>
        <v/>
      </c>
      <c r="AM26">
        <f>IF($A26="","",$BC$6*$D26)</f>
        <v/>
      </c>
      <c r="AN26">
        <f>IF($A26="","",$BC$9*$D26)</f>
        <v/>
      </c>
      <c r="AO26">
        <f>IF($A26="","",$BC$10*$D26)</f>
        <v/>
      </c>
      <c r="AP26">
        <f>IF($A26="","",2*$BC$6*$D26)</f>
        <v/>
      </c>
      <c r="AQ26">
        <f>IF($A26="","",IF($B26&gt;2800,2,IF($B26&gt;1400,1,0))*$BC$6*$D26)</f>
        <v/>
      </c>
      <c r="AR26">
        <f>IF($A26="","",2*$BC$6*$D26)</f>
        <v/>
      </c>
      <c r="AS26">
        <f>IF($A26="","",$BC$6*$D26)</f>
        <v/>
      </c>
      <c r="AT26">
        <f>IF($A26="","",2*$BC$6*$D26)</f>
        <v/>
      </c>
      <c r="AU26">
        <f>IF($A26="","",4*4*$D26)</f>
        <v/>
      </c>
      <c r="AV26">
        <f>IF($A26="","",16*4*$D26)</f>
        <v/>
      </c>
      <c r="AW26">
        <f>IF($A26="","",(2+MAX(0,ROUNDUP(($I26-1500)/500,0)))*$D26)</f>
        <v/>
      </c>
      <c r="AX26">
        <f>IF($A26="","",(2+MAX(0,ROUNDUP(($I26-1500)/500,0)))*$D26)</f>
        <v/>
      </c>
      <c r="AY26">
        <f>IF($A26="","",ROUND((2*2*($Q26+$O26)*4*$D26+$W26*$X26)/1000,1))</f>
        <v/>
      </c>
    </row>
    <row r="27" ht="40.15" customHeight="1">
      <c r="A27" s="101" t="n"/>
      <c r="B27" s="102" t="n"/>
      <c r="C27" s="92" t="n"/>
      <c r="D27" s="103" t="n"/>
      <c r="E27" s="104">
        <f>IF($A27="","",$B27)</f>
        <v/>
      </c>
      <c r="F27" s="92">
        <f>IF($A27="","",$L$54*$D27)</f>
        <v/>
      </c>
      <c r="G27" s="104">
        <f>IF($A27="","",$B27)</f>
        <v/>
      </c>
      <c r="H27" s="92">
        <f>IF($A27="","",$L$55*$D27)</f>
        <v/>
      </c>
      <c r="I27" s="104">
        <f>IF($A27="","",$C27-$E$56-$F$56)</f>
        <v/>
      </c>
      <c r="J27" s="92">
        <f>IF($A27="","",$L$56*$D27)</f>
        <v/>
      </c>
      <c r="K27" s="104">
        <f>IF($A27="","",$C27-$E$57-$F$57)</f>
        <v/>
      </c>
      <c r="L27" s="92">
        <f>IF($A27="","",$L$57*$D27)</f>
        <v/>
      </c>
      <c r="M27" s="104">
        <f>IF($A27="","",$C27)</f>
        <v/>
      </c>
      <c r="N27" s="92">
        <f>IF($A27="","",$L$58*$D27)</f>
        <v/>
      </c>
      <c r="O27" s="104">
        <f>IF($A27="","",$B27-$E$59-$F$59-$G$59-$H$59)</f>
        <v/>
      </c>
      <c r="P27" s="92">
        <f>IF($A27="","",$L$59*$D27)</f>
        <v/>
      </c>
      <c r="Q27" s="104">
        <f>IF($A27="","",(($C27-$E$60-$F$60-$G$60-$H$60-$I$60)/4)+(78*3)/4)</f>
        <v/>
      </c>
      <c r="R27" s="92">
        <f>IF($A27="","",$L$60*$D27)</f>
        <v/>
      </c>
      <c r="S27" s="104">
        <f>IF($A27="","",$O27-$E$61-$F$61)</f>
        <v/>
      </c>
      <c r="T27" s="92">
        <f>IF($A27="","",$L$61*$D27)</f>
        <v/>
      </c>
      <c r="U27" s="104">
        <f>IF($A27="","",$Q27-$E$62-$F$62)</f>
        <v/>
      </c>
      <c r="V27" s="92">
        <f>IF($A27="","",$L$62*$D27)</f>
        <v/>
      </c>
      <c r="W27" s="104">
        <f>IF($A27="","",$B27-$E$63-$F$63-$G$63-$H$63)</f>
        <v/>
      </c>
      <c r="X27" s="92">
        <f>IF($A27="","",$L$63*$D27)</f>
        <v/>
      </c>
      <c r="Y27" s="104">
        <f>IF($A27="","",$B27-$E$64-$F$64)</f>
        <v/>
      </c>
      <c r="Z27" s="92">
        <f>IF($A27="","",$L$64*$D27)</f>
        <v/>
      </c>
      <c r="AA27" s="104">
        <f>IF($A27="","",$C27-$E$65-$F$65)</f>
        <v/>
      </c>
      <c r="AB27" s="92">
        <f>IF($A27="","",$L$65*$D27)</f>
        <v/>
      </c>
      <c r="AC27" s="104">
        <f>IF($A27="","",$B27-$E$66-$F$66)</f>
        <v/>
      </c>
      <c r="AD27" s="92">
        <f>IF($A27="","",$L$66*$D27)</f>
        <v/>
      </c>
      <c r="AE27" s="104">
        <f>IF($A27="","",$C27-$E$67-$F$67)</f>
        <v/>
      </c>
      <c r="AF27" s="92">
        <f>IF($A27="","",$L$67*$D27)</f>
        <v/>
      </c>
      <c r="AG27" s="105">
        <f>IF($A27="","",$O27-68-68)</f>
        <v/>
      </c>
      <c r="AH27" s="106">
        <f>IF($A27="","",$Q27-68-68)</f>
        <v/>
      </c>
      <c r="AI27" s="107">
        <f>IF($A27="","",4*$D27)</f>
        <v/>
      </c>
      <c r="AK27">
        <f>IF($A27="","",2*4*$D27)</f>
        <v/>
      </c>
      <c r="AL27">
        <f>IF($A27="","",$BC$7*$D27)</f>
        <v/>
      </c>
      <c r="AM27">
        <f>IF($A27="","",$BC$6*$D27)</f>
        <v/>
      </c>
      <c r="AN27">
        <f>IF($A27="","",$BC$9*$D27)</f>
        <v/>
      </c>
      <c r="AO27">
        <f>IF($A27="","",$BC$10*$D27)</f>
        <v/>
      </c>
      <c r="AP27">
        <f>IF($A27="","",2*$BC$6*$D27)</f>
        <v/>
      </c>
      <c r="AQ27">
        <f>IF($A27="","",IF($B27&gt;2800,2,IF($B27&gt;1400,1,0))*$BC$6*$D27)</f>
        <v/>
      </c>
      <c r="AR27">
        <f>IF($A27="","",2*$BC$6*$D27)</f>
        <v/>
      </c>
      <c r="AS27">
        <f>IF($A27="","",$BC$6*$D27)</f>
        <v/>
      </c>
      <c r="AT27">
        <f>IF($A27="","",2*$BC$6*$D27)</f>
        <v/>
      </c>
      <c r="AU27">
        <f>IF($A27="","",4*4*$D27)</f>
        <v/>
      </c>
      <c r="AV27">
        <f>IF($A27="","",16*4*$D27)</f>
        <v/>
      </c>
      <c r="AW27">
        <f>IF($A27="","",(2+MAX(0,ROUNDUP(($I27-1500)/500,0)))*$D27)</f>
        <v/>
      </c>
      <c r="AX27">
        <f>IF($A27="","",(2+MAX(0,ROUNDUP(($I27-1500)/500,0)))*$D27)</f>
        <v/>
      </c>
      <c r="AY27">
        <f>IF($A27="","",ROUND((2*2*($Q27+$O27)*4*$D27+$W27*$X27)/1000,1))</f>
        <v/>
      </c>
    </row>
    <row r="28" ht="40.15" customHeight="1">
      <c r="A28" s="101" t="n"/>
      <c r="B28" s="102" t="n"/>
      <c r="C28" s="92" t="n"/>
      <c r="D28" s="103" t="n"/>
      <c r="E28" s="108">
        <f>IF($A28="","",$B28)</f>
        <v/>
      </c>
      <c r="F28" s="98">
        <f>IF($A28="","",$L$54*$D28)</f>
        <v/>
      </c>
      <c r="G28" s="108">
        <f>IF($A28="","",$B28)</f>
        <v/>
      </c>
      <c r="H28" s="98">
        <f>IF($A28="","",$L$55*$D28)</f>
        <v/>
      </c>
      <c r="I28" s="108">
        <f>IF($A28="","",$C28-$E$56-$F$56)</f>
        <v/>
      </c>
      <c r="J28" s="98">
        <f>IF($A28="","",$L$56*$D28)</f>
        <v/>
      </c>
      <c r="K28" s="108">
        <f>IF($A28="","",$C28-$E$57-$F$57)</f>
        <v/>
      </c>
      <c r="L28" s="98">
        <f>IF($A28="","",$L$57*$D28)</f>
        <v/>
      </c>
      <c r="M28" s="108">
        <f>IF($A28="","",$C28)</f>
        <v/>
      </c>
      <c r="N28" s="98">
        <f>IF($A28="","",$L$58*$D28)</f>
        <v/>
      </c>
      <c r="O28" s="108">
        <f>IF($A28="","",$B28-$E$59-$F$59-$G$59-$H$59)</f>
        <v/>
      </c>
      <c r="P28" s="98">
        <f>IF($A28="","",$L$59*$D28)</f>
        <v/>
      </c>
      <c r="Q28" s="108">
        <f>IF($A28="","",(($C28-$E$60-$F$60-$G$60-$H$60-$I$60)/4)+(78*3)/4)</f>
        <v/>
      </c>
      <c r="R28" s="98">
        <f>IF($A28="","",$L$60*$D28)</f>
        <v/>
      </c>
      <c r="S28" s="108">
        <f>IF($A28="","",$O28-$E$61-$F$61)</f>
        <v/>
      </c>
      <c r="T28" s="98">
        <f>IF($A28="","",$L$61*$D28)</f>
        <v/>
      </c>
      <c r="U28" s="108">
        <f>IF($A28="","",$Q28-$E$62-$F$62)</f>
        <v/>
      </c>
      <c r="V28" s="98">
        <f>IF($A28="","",$L$62*$D28)</f>
        <v/>
      </c>
      <c r="W28" s="108">
        <f>IF($A28="","",$B28-$E$63-$F$63-$G$63-$H$63)</f>
        <v/>
      </c>
      <c r="X28" s="98">
        <f>IF($A28="","",$L$63*$D28)</f>
        <v/>
      </c>
      <c r="Y28" s="108">
        <f>IF($A28="","",$B28-$E$64-$F$64)</f>
        <v/>
      </c>
      <c r="Z28" s="98">
        <f>IF($A28="","",$L$64*$D28)</f>
        <v/>
      </c>
      <c r="AA28" s="108">
        <f>IF($A28="","",$C28-$E$65-$F$65)</f>
        <v/>
      </c>
      <c r="AB28" s="98">
        <f>IF($A28="","",$L$65*$D28)</f>
        <v/>
      </c>
      <c r="AC28" s="108">
        <f>IF($A28="","",$B28-$E$66-$F$66)</f>
        <v/>
      </c>
      <c r="AD28" s="98">
        <f>IF($A28="","",$L$66*$D28)</f>
        <v/>
      </c>
      <c r="AE28" s="108">
        <f>IF($A28="","",$C28-$E$67-$F$67)</f>
        <v/>
      </c>
      <c r="AF28" s="98">
        <f>IF($A28="","",$L$67*$D28)</f>
        <v/>
      </c>
      <c r="AG28" s="105">
        <f>IF($A28="","",$O28-68-68)</f>
        <v/>
      </c>
      <c r="AH28" s="106">
        <f>IF($A28="","",$Q28-68-68)</f>
        <v/>
      </c>
      <c r="AI28" s="107">
        <f>IF($A28="","",4*$D28)</f>
        <v/>
      </c>
      <c r="AK28">
        <f>IF($A28="","",2*4*$D28)</f>
        <v/>
      </c>
      <c r="AL28">
        <f>IF($A28="","",$BC$7*$D28)</f>
        <v/>
      </c>
      <c r="AM28">
        <f>IF($A28="","",$BC$6*$D28)</f>
        <v/>
      </c>
      <c r="AN28">
        <f>IF($A28="","",$BC$9*$D28)</f>
        <v/>
      </c>
      <c r="AO28">
        <f>IF($A28="","",$BC$10*$D28)</f>
        <v/>
      </c>
      <c r="AP28">
        <f>IF($A28="","",2*$BC$6*$D28)</f>
        <v/>
      </c>
      <c r="AQ28">
        <f>IF($A28="","",IF($B28&gt;2800,2,IF($B28&gt;1400,1,0))*$BC$6*$D28)</f>
        <v/>
      </c>
      <c r="AR28">
        <f>IF($A28="","",2*$BC$6*$D28)</f>
        <v/>
      </c>
      <c r="AS28">
        <f>IF($A28="","",$BC$6*$D28)</f>
        <v/>
      </c>
      <c r="AT28">
        <f>IF($A28="","",2*$BC$6*$D28)</f>
        <v/>
      </c>
      <c r="AU28">
        <f>IF($A28="","",4*4*$D28)</f>
        <v/>
      </c>
      <c r="AV28">
        <f>IF($A28="","",16*4*$D28)</f>
        <v/>
      </c>
      <c r="AW28">
        <f>IF($A28="","",(2+MAX(0,ROUNDUP(($I28-1500)/500,0)))*$D28)</f>
        <v/>
      </c>
      <c r="AX28">
        <f>IF($A28="","",(2+MAX(0,ROUNDUP(($I28-1500)/500,0)))*$D28)</f>
        <v/>
      </c>
      <c r="AY28">
        <f>IF($A28="","",ROUND((2*2*($Q28+$O28)*4*$D28+$W28*$X28)/1000,1))</f>
        <v/>
      </c>
    </row>
    <row r="29" ht="40.15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9" t="n"/>
    </row>
    <row r="30" ht="40.15" customHeight="1">
      <c r="A30" s="70" t="inlineStr">
        <is>
          <t>จำนวนเส้น 6.4 ม. ที่ต้องสั่ง →</t>
        </is>
      </c>
      <c r="B30" s="20" t="n"/>
      <c r="C30" s="20" t="n"/>
      <c r="D30" s="21" t="n"/>
      <c r="E30" s="71">
        <f>E$7</f>
        <v/>
      </c>
      <c r="F30" s="72">
        <f>(ROUNDUP(F49/6400,0))</f>
        <v/>
      </c>
      <c r="G30" s="72">
        <f>G$7</f>
        <v/>
      </c>
      <c r="H30" s="72">
        <f>(ROUNDUP(H49/6400,0))</f>
        <v/>
      </c>
      <c r="I30" s="72">
        <f>I$7</f>
        <v/>
      </c>
      <c r="J30" s="72">
        <f>(ROUNDUP(J49/6400,0))</f>
        <v/>
      </c>
      <c r="K30" s="72">
        <f>K$7</f>
        <v/>
      </c>
      <c r="L30" s="72">
        <f>(ROUNDUP(L49/5000,0))</f>
        <v/>
      </c>
      <c r="M30" s="72">
        <f>M$7</f>
        <v/>
      </c>
      <c r="N30" s="72">
        <f>(ROUNDUP(N49/6400,0))</f>
        <v/>
      </c>
      <c r="O30" s="72">
        <f>O$7</f>
        <v/>
      </c>
      <c r="P30" s="20" t="n"/>
      <c r="Q30" s="21" t="n"/>
      <c r="R30" s="72">
        <f>(ROUNDUP(SUM(P49:R49)/6400,0))</f>
        <v/>
      </c>
      <c r="S30" s="72">
        <f>S$7</f>
        <v/>
      </c>
      <c r="T30" s="20" t="n"/>
      <c r="U30" s="21" t="n"/>
      <c r="V30" s="72">
        <f>(ROUNDUP(SUM(T49:V49)/6400,0))</f>
        <v/>
      </c>
      <c r="W30" s="72">
        <f>W$7</f>
        <v/>
      </c>
      <c r="X30" s="72">
        <f>(ROUNDUP(X49/6400,0))</f>
        <v/>
      </c>
      <c r="Y30" s="72">
        <f>Y$7</f>
        <v/>
      </c>
      <c r="Z30" s="72">
        <f>(ROUNDUP(Z49/6400,0))</f>
        <v/>
      </c>
      <c r="AA30" s="72">
        <f>AA$7</f>
        <v/>
      </c>
      <c r="AB30" s="72">
        <f>(ROUNDUP(AB49/5000,0))</f>
        <v/>
      </c>
      <c r="AC30" s="72">
        <f>AC$7</f>
        <v/>
      </c>
      <c r="AD30" s="72">
        <f>(ROUNDUP(AD49/6400,0))</f>
        <v/>
      </c>
      <c r="AE30" s="72">
        <f>AE$7</f>
        <v/>
      </c>
      <c r="AF30" s="72">
        <f>(ROUNDUP(AF49/5000,0))</f>
        <v/>
      </c>
      <c r="AJ30" t="inlineStr">
        <is>
          <t>รวม</t>
        </is>
      </c>
      <c r="AK30">
        <f>SUM(AK11:AK28)</f>
        <v/>
      </c>
      <c r="AL30">
        <f>SUM(AL11:AL28)</f>
        <v/>
      </c>
      <c r="AM30">
        <f>SUM(AM11:AM28)</f>
        <v/>
      </c>
      <c r="AN30">
        <f>SUM(AN11:AN28)</f>
        <v/>
      </c>
      <c r="AO30">
        <f>SUM(AO11:AO28)</f>
        <v/>
      </c>
      <c r="AP30">
        <f>SUM(AP11:AP28)</f>
        <v/>
      </c>
      <c r="AQ30">
        <f>SUM(AQ11:AQ28)</f>
        <v/>
      </c>
      <c r="AR30">
        <f>SUM(AR11:AR28)</f>
        <v/>
      </c>
      <c r="AS30">
        <f>SUM(AS11:AS28)</f>
        <v/>
      </c>
      <c r="AT30">
        <f>SUM(AT11:AT28)</f>
        <v/>
      </c>
      <c r="AU30">
        <f>SUM(AU11:AU28)</f>
        <v/>
      </c>
      <c r="AV30">
        <f>SUM(AV11:AV28)</f>
        <v/>
      </c>
      <c r="AW30">
        <f>SUM(AW11:AW28)</f>
        <v/>
      </c>
      <c r="AX30">
        <f>SUM(AX11:AX28)</f>
        <v/>
      </c>
      <c r="AY30">
        <f>SUM(AY11:AY28)</f>
        <v/>
      </c>
    </row>
    <row r="31" hidden="1" ht="40.15" customHeight="1">
      <c r="F31" s="73">
        <f>IF($A11="","",F11*E11)</f>
        <v/>
      </c>
      <c r="G31" s="73" t="n"/>
      <c r="H31" s="73">
        <f>IF($A11="","",H11*G11)</f>
        <v/>
      </c>
      <c r="I31" s="73" t="n"/>
      <c r="J31" s="73">
        <f>IF($A11="","",J11*I11)</f>
        <v/>
      </c>
      <c r="K31" s="73" t="n"/>
      <c r="L31" s="73">
        <f>IF($A11="","",L11*K11)</f>
        <v/>
      </c>
      <c r="M31" s="73" t="n"/>
      <c r="N31" s="73">
        <f>IF($A11="","",N11*M11)</f>
        <v/>
      </c>
      <c r="O31" s="73" t="n"/>
      <c r="P31" s="73">
        <f>IF($A11="","",P11*O11)</f>
        <v/>
      </c>
      <c r="Q31" s="73" t="n"/>
      <c r="R31" s="73">
        <f>IF($A11="","",R11*Q11)</f>
        <v/>
      </c>
      <c r="S31" s="73" t="n"/>
      <c r="T31" s="73">
        <f>IF($A11="","",T11*S11)</f>
        <v/>
      </c>
      <c r="U31" s="73" t="n"/>
      <c r="V31" s="73">
        <f>IF($A11="","",V11*U11)</f>
        <v/>
      </c>
      <c r="W31" s="73" t="n"/>
      <c r="X31" s="73">
        <f>IF($A11="","",X11*W11)</f>
        <v/>
      </c>
      <c r="Y31" s="73" t="n"/>
      <c r="Z31" s="73">
        <f>IF($A11="","",Z11*Y11)</f>
        <v/>
      </c>
      <c r="AA31" s="73" t="n"/>
      <c r="AB31" s="73">
        <f>IF($A11="","",AB11*AA11)</f>
        <v/>
      </c>
      <c r="AC31" s="73" t="n"/>
      <c r="AD31" s="73">
        <f>IF($A11="","",AD11*AC11)</f>
        <v/>
      </c>
      <c r="AE31" s="73" t="n"/>
      <c r="AF31" s="73">
        <f>IF($A11="","",AF11*AE11)</f>
        <v/>
      </c>
    </row>
    <row r="32" hidden="1" ht="40.15" customHeight="1">
      <c r="F32" s="73">
        <f>IF($A12="","",F12*E12)</f>
        <v/>
      </c>
      <c r="G32" s="73" t="n"/>
      <c r="H32" s="73">
        <f>IF($A12="","",H12*G12)</f>
        <v/>
      </c>
      <c r="I32" s="73" t="n"/>
      <c r="J32" s="73">
        <f>IF($A12="","",J12*I12)</f>
        <v/>
      </c>
      <c r="K32" s="73" t="n"/>
      <c r="L32" s="73">
        <f>IF($A12="","",L12*K12)</f>
        <v/>
      </c>
      <c r="M32" s="73" t="n"/>
      <c r="N32" s="73">
        <f>IF($A12="","",N12*M12)</f>
        <v/>
      </c>
      <c r="O32" s="73" t="n"/>
      <c r="P32" s="73">
        <f>IF($A12="","",P12*O12)</f>
        <v/>
      </c>
      <c r="Q32" s="73" t="n"/>
      <c r="R32" s="73">
        <f>IF($A12="","",R12*Q12)</f>
        <v/>
      </c>
      <c r="S32" s="73" t="n"/>
      <c r="T32" s="73">
        <f>IF($A12="","",T12*S12)</f>
        <v/>
      </c>
      <c r="U32" s="73" t="n"/>
      <c r="V32" s="73">
        <f>IF($A12="","",V12*U12)</f>
        <v/>
      </c>
      <c r="W32" s="73" t="n"/>
      <c r="X32" s="73">
        <f>IF($A12="","",X12*W12)</f>
        <v/>
      </c>
      <c r="Y32" s="73" t="n"/>
      <c r="Z32" s="73">
        <f>IF($A12="","",Z12*Y12)</f>
        <v/>
      </c>
      <c r="AA32" s="73" t="n"/>
      <c r="AB32" s="73">
        <f>IF($A12="","",AB12*AA12)</f>
        <v/>
      </c>
      <c r="AC32" s="73" t="n"/>
      <c r="AD32" s="73">
        <f>IF($A12="","",AD12*AC12)</f>
        <v/>
      </c>
      <c r="AE32" s="73" t="n"/>
      <c r="AF32" s="73">
        <f>IF($A12="","",AF12*AE12)</f>
        <v/>
      </c>
    </row>
    <row r="33" hidden="1" ht="40.15" customHeight="1">
      <c r="F33" s="73">
        <f>IF($A13="","",F13*E13)</f>
        <v/>
      </c>
      <c r="G33" s="73" t="n"/>
      <c r="H33" s="73">
        <f>IF($A13="","",H13*G13)</f>
        <v/>
      </c>
      <c r="I33" s="73" t="n"/>
      <c r="J33" s="73">
        <f>IF($A13="","",J13*I13)</f>
        <v/>
      </c>
      <c r="K33" s="73" t="n"/>
      <c r="L33" s="73">
        <f>IF($A13="","",L13*K13)</f>
        <v/>
      </c>
      <c r="M33" s="73" t="n"/>
      <c r="N33" s="73">
        <f>IF($A13="","",N13*M13)</f>
        <v/>
      </c>
      <c r="O33" s="73" t="n"/>
      <c r="P33" s="73">
        <f>IF($A13="","",P13*O13)</f>
        <v/>
      </c>
      <c r="Q33" s="73" t="n"/>
      <c r="R33" s="73">
        <f>IF($A13="","",R13*Q13)</f>
        <v/>
      </c>
      <c r="S33" s="73" t="n"/>
      <c r="T33" s="73">
        <f>IF($A13="","",T13*S13)</f>
        <v/>
      </c>
      <c r="U33" s="73" t="n"/>
      <c r="V33" s="73">
        <f>IF($A13="","",V13*U13)</f>
        <v/>
      </c>
      <c r="W33" s="73" t="n"/>
      <c r="X33" s="73">
        <f>IF($A13="","",X13*W13)</f>
        <v/>
      </c>
      <c r="Y33" s="73" t="n"/>
      <c r="Z33" s="73">
        <f>IF($A13="","",Z13*Y13)</f>
        <v/>
      </c>
      <c r="AA33" s="73" t="n"/>
      <c r="AB33" s="73">
        <f>IF($A13="","",AB13*AA13)</f>
        <v/>
      </c>
      <c r="AC33" s="73" t="n"/>
      <c r="AD33" s="73">
        <f>IF($A13="","",AD13*AC13)</f>
        <v/>
      </c>
      <c r="AE33" s="73" t="n"/>
      <c r="AF33" s="73">
        <f>IF($A13="","",AF13*AE13)</f>
        <v/>
      </c>
    </row>
    <row r="34" hidden="1" ht="40.15" customHeight="1">
      <c r="F34" s="73">
        <f>IF($A14="","",F14*E14)</f>
        <v/>
      </c>
      <c r="G34" s="73" t="n"/>
      <c r="H34" s="73">
        <f>IF($A14="","",H14*G14)</f>
        <v/>
      </c>
      <c r="I34" s="73" t="n"/>
      <c r="J34" s="73">
        <f>IF($A14="","",J14*I14)</f>
        <v/>
      </c>
      <c r="K34" s="73" t="n"/>
      <c r="L34" s="73">
        <f>IF($A14="","",L14*K14)</f>
        <v/>
      </c>
      <c r="M34" s="73" t="n"/>
      <c r="N34" s="73">
        <f>IF($A14="","",N14*M14)</f>
        <v/>
      </c>
      <c r="O34" s="73" t="n"/>
      <c r="P34" s="73">
        <f>IF($A14="","",P14*O14)</f>
        <v/>
      </c>
      <c r="Q34" s="73" t="n"/>
      <c r="R34" s="73">
        <f>IF($A14="","",R14*Q14)</f>
        <v/>
      </c>
      <c r="S34" s="73" t="n"/>
      <c r="T34" s="73">
        <f>IF($A14="","",T14*S14)</f>
        <v/>
      </c>
      <c r="U34" s="73" t="n"/>
      <c r="V34" s="73">
        <f>IF($A14="","",V14*U14)</f>
        <v/>
      </c>
      <c r="W34" s="73" t="n"/>
      <c r="X34" s="73">
        <f>IF($A14="","",X14*W14)</f>
        <v/>
      </c>
      <c r="Y34" s="73" t="n"/>
      <c r="Z34" s="73">
        <f>IF($A14="","",Z14*Y14)</f>
        <v/>
      </c>
      <c r="AA34" s="73" t="n"/>
      <c r="AB34" s="73">
        <f>IF($A14="","",AB14*AA14)</f>
        <v/>
      </c>
      <c r="AC34" s="73" t="n"/>
      <c r="AD34" s="73">
        <f>IF($A14="","",AD14*AC14)</f>
        <v/>
      </c>
      <c r="AE34" s="73" t="n"/>
      <c r="AF34" s="73">
        <f>IF($A14="","",AF14*AE14)</f>
        <v/>
      </c>
    </row>
    <row r="35" hidden="1" ht="40.15" customHeight="1">
      <c r="F35" s="73">
        <f>IF($A15="","",F15*E15)</f>
        <v/>
      </c>
      <c r="G35" s="73" t="n"/>
      <c r="H35" s="73">
        <f>IF($A15="","",H15*G15)</f>
        <v/>
      </c>
      <c r="I35" s="73" t="n"/>
      <c r="J35" s="73">
        <f>IF($A15="","",J15*I15)</f>
        <v/>
      </c>
      <c r="K35" s="73" t="n"/>
      <c r="L35" s="73">
        <f>IF($A15="","",L15*K15)</f>
        <v/>
      </c>
      <c r="M35" s="73" t="n"/>
      <c r="N35" s="73">
        <f>IF($A15="","",N15*M15)</f>
        <v/>
      </c>
      <c r="O35" s="73" t="n"/>
      <c r="P35" s="73">
        <f>IF($A15="","",P15*O15)</f>
        <v/>
      </c>
      <c r="Q35" s="73" t="n"/>
      <c r="R35" s="73">
        <f>IF($A15="","",R15*Q15)</f>
        <v/>
      </c>
      <c r="S35" s="73" t="n"/>
      <c r="T35" s="73">
        <f>IF($A15="","",T15*S15)</f>
        <v/>
      </c>
      <c r="U35" s="73" t="n"/>
      <c r="V35" s="73">
        <f>IF($A15="","",V15*U15)</f>
        <v/>
      </c>
      <c r="W35" s="73" t="n"/>
      <c r="X35" s="73">
        <f>IF($A15="","",X15*W15)</f>
        <v/>
      </c>
      <c r="Y35" s="73" t="n"/>
      <c r="Z35" s="73">
        <f>IF($A15="","",Z15*Y15)</f>
        <v/>
      </c>
      <c r="AA35" s="73" t="n"/>
      <c r="AB35" s="73">
        <f>IF($A15="","",AB15*AA15)</f>
        <v/>
      </c>
      <c r="AC35" s="73" t="n"/>
      <c r="AD35" s="73">
        <f>IF($A15="","",AD15*AC15)</f>
        <v/>
      </c>
      <c r="AE35" s="73" t="n"/>
      <c r="AF35" s="73">
        <f>IF($A15="","",AF15*AE15)</f>
        <v/>
      </c>
    </row>
    <row r="36" hidden="1">
      <c r="F36" s="73">
        <f>IF($A16="","",F16*E16)</f>
        <v/>
      </c>
      <c r="G36" s="73" t="n"/>
      <c r="H36" s="73">
        <f>IF($A16="","",H16*G16)</f>
        <v/>
      </c>
      <c r="I36" s="73" t="n"/>
      <c r="J36" s="73">
        <f>IF($A16="","",J16*I16)</f>
        <v/>
      </c>
      <c r="K36" s="73" t="n"/>
      <c r="L36" s="73">
        <f>IF($A16="","",L16*K16)</f>
        <v/>
      </c>
      <c r="M36" s="73" t="n"/>
      <c r="N36" s="73">
        <f>IF($A16="","",N16*M16)</f>
        <v/>
      </c>
      <c r="O36" s="73" t="n"/>
      <c r="P36" s="73">
        <f>IF($A16="","",P16*O16)</f>
        <v/>
      </c>
      <c r="Q36" s="73" t="n"/>
      <c r="R36" s="73">
        <f>IF($A16="","",R16*Q16)</f>
        <v/>
      </c>
      <c r="S36" s="73" t="n"/>
      <c r="T36" s="73">
        <f>IF($A16="","",T16*S16)</f>
        <v/>
      </c>
      <c r="U36" s="73" t="n"/>
      <c r="V36" s="73">
        <f>IF($A16="","",V16*U16)</f>
        <v/>
      </c>
      <c r="W36" s="73" t="n"/>
      <c r="X36" s="73">
        <f>IF($A16="","",X16*W16)</f>
        <v/>
      </c>
      <c r="Y36" s="73" t="n"/>
      <c r="Z36" s="73">
        <f>IF($A16="","",Z16*Y16)</f>
        <v/>
      </c>
      <c r="AA36" s="73" t="n"/>
      <c r="AB36" s="73">
        <f>IF($A16="","",AB16*AA16)</f>
        <v/>
      </c>
      <c r="AC36" s="73" t="n"/>
      <c r="AD36" s="73">
        <f>IF($A16="","",AD16*AC16)</f>
        <v/>
      </c>
      <c r="AE36" s="73" t="n"/>
      <c r="AF36" s="73">
        <f>IF($A16="","",AF16*AE16)</f>
        <v/>
      </c>
    </row>
    <row r="37" hidden="1">
      <c r="F37" s="73">
        <f>IF($A17="","",F17*E17)</f>
        <v/>
      </c>
      <c r="G37" s="73" t="n"/>
      <c r="H37" s="73">
        <f>IF($A17="","",H17*G17)</f>
        <v/>
      </c>
      <c r="I37" s="73" t="n"/>
      <c r="J37" s="73">
        <f>IF($A17="","",J17*I17)</f>
        <v/>
      </c>
      <c r="K37" s="73" t="n"/>
      <c r="L37" s="73">
        <f>IF($A17="","",L17*K17)</f>
        <v/>
      </c>
      <c r="M37" s="73" t="n"/>
      <c r="N37" s="73">
        <f>IF($A17="","",N17*M17)</f>
        <v/>
      </c>
      <c r="O37" s="73" t="n"/>
      <c r="P37" s="73">
        <f>IF($A17="","",P17*O17)</f>
        <v/>
      </c>
      <c r="Q37" s="73" t="n"/>
      <c r="R37" s="73">
        <f>IF($A17="","",R17*Q17)</f>
        <v/>
      </c>
      <c r="S37" s="73" t="n"/>
      <c r="T37" s="73">
        <f>IF($A17="","",T17*S17)</f>
        <v/>
      </c>
      <c r="U37" s="73" t="n"/>
      <c r="V37" s="73">
        <f>IF($A17="","",V17*U17)</f>
        <v/>
      </c>
      <c r="W37" s="73" t="n"/>
      <c r="X37" s="73">
        <f>IF($A17="","",X17*W17)</f>
        <v/>
      </c>
      <c r="Y37" s="73" t="n"/>
      <c r="Z37" s="73">
        <f>IF($A17="","",Z17*Y17)</f>
        <v/>
      </c>
      <c r="AA37" s="73" t="n"/>
      <c r="AB37" s="73">
        <f>IF($A17="","",AB17*AA17)</f>
        <v/>
      </c>
      <c r="AC37" s="73" t="n"/>
      <c r="AD37" s="73">
        <f>IF($A17="","",AD17*AC17)</f>
        <v/>
      </c>
      <c r="AE37" s="73" t="n"/>
      <c r="AF37" s="73">
        <f>IF($A17="","",AF17*AE17)</f>
        <v/>
      </c>
    </row>
    <row r="38" hidden="1">
      <c r="F38" s="73">
        <f>IF($A18="","",F18*E18)</f>
        <v/>
      </c>
      <c r="G38" s="73" t="n"/>
      <c r="H38" s="73">
        <f>IF($A18="","",H18*G18)</f>
        <v/>
      </c>
      <c r="I38" s="73" t="n"/>
      <c r="J38" s="73">
        <f>IF($A18="","",J18*I18)</f>
        <v/>
      </c>
      <c r="K38" s="73" t="n"/>
      <c r="L38" s="73">
        <f>IF($A18="","",L18*K18)</f>
        <v/>
      </c>
      <c r="M38" s="73" t="n"/>
      <c r="N38" s="73">
        <f>IF($A18="","",N18*M18)</f>
        <v/>
      </c>
      <c r="O38" s="73" t="n"/>
      <c r="P38" s="73">
        <f>IF($A18="","",P18*O18)</f>
        <v/>
      </c>
      <c r="Q38" s="73" t="n"/>
      <c r="R38" s="73">
        <f>IF($A18="","",R18*Q18)</f>
        <v/>
      </c>
      <c r="S38" s="73" t="n"/>
      <c r="T38" s="73">
        <f>IF($A18="","",T18*S18)</f>
        <v/>
      </c>
      <c r="U38" s="73" t="n"/>
      <c r="V38" s="73">
        <f>IF($A18="","",V18*U18)</f>
        <v/>
      </c>
      <c r="W38" s="73" t="n"/>
      <c r="X38" s="73">
        <f>IF($A18="","",X18*W18)</f>
        <v/>
      </c>
      <c r="Y38" s="73" t="n"/>
      <c r="Z38" s="73">
        <f>IF($A18="","",Z18*Y18)</f>
        <v/>
      </c>
      <c r="AA38" s="73" t="n"/>
      <c r="AB38" s="73">
        <f>IF($A18="","",AB18*AA18)</f>
        <v/>
      </c>
      <c r="AC38" s="73" t="n"/>
      <c r="AD38" s="73">
        <f>IF($A18="","",AD18*AC18)</f>
        <v/>
      </c>
      <c r="AE38" s="73" t="n"/>
      <c r="AF38" s="73">
        <f>IF($A18="","",AF18*AE18)</f>
        <v/>
      </c>
    </row>
    <row r="39" hidden="1">
      <c r="F39" s="73">
        <f>IF($A19="","",F19*E19)</f>
        <v/>
      </c>
      <c r="G39" s="73" t="n"/>
      <c r="H39" s="73">
        <f>IF($A19="","",H19*G19)</f>
        <v/>
      </c>
      <c r="I39" s="73" t="n"/>
      <c r="J39" s="73">
        <f>IF($A19="","",J19*I19)</f>
        <v/>
      </c>
      <c r="K39" s="73" t="n"/>
      <c r="L39" s="73">
        <f>IF($A19="","",L19*K19)</f>
        <v/>
      </c>
      <c r="M39" s="73" t="n"/>
      <c r="N39" s="73">
        <f>IF($A19="","",N19*M19)</f>
        <v/>
      </c>
      <c r="O39" s="73" t="n"/>
      <c r="P39" s="73">
        <f>IF($A19="","",P19*O19)</f>
        <v/>
      </c>
      <c r="Q39" s="73" t="n"/>
      <c r="R39" s="73">
        <f>IF($A19="","",R19*Q19)</f>
        <v/>
      </c>
      <c r="S39" s="73" t="n"/>
      <c r="T39" s="73">
        <f>IF($A19="","",T19*S19)</f>
        <v/>
      </c>
      <c r="U39" s="73" t="n"/>
      <c r="V39" s="73">
        <f>IF($A19="","",V19*U19)</f>
        <v/>
      </c>
      <c r="W39" s="73" t="n"/>
      <c r="X39" s="73">
        <f>IF($A19="","",X19*W19)</f>
        <v/>
      </c>
      <c r="Y39" s="73" t="n"/>
      <c r="Z39" s="73">
        <f>IF($A19="","",Z19*Y19)</f>
        <v/>
      </c>
      <c r="AA39" s="73" t="n"/>
      <c r="AB39" s="73">
        <f>IF($A19="","",AB19*AA19)</f>
        <v/>
      </c>
      <c r="AC39" s="73" t="n"/>
      <c r="AD39" s="73">
        <f>IF($A19="","",AD19*AC19)</f>
        <v/>
      </c>
      <c r="AE39" s="73" t="n"/>
      <c r="AF39" s="73">
        <f>IF($A19="","",AF19*AE19)</f>
        <v/>
      </c>
    </row>
    <row r="40" hidden="1">
      <c r="F40" s="73">
        <f>IF($A20="","",F20*E20)</f>
        <v/>
      </c>
      <c r="G40" s="73" t="n"/>
      <c r="H40" s="73">
        <f>IF($A20="","",H20*G20)</f>
        <v/>
      </c>
      <c r="I40" s="73" t="n"/>
      <c r="J40" s="73">
        <f>IF($A20="","",J20*I20)</f>
        <v/>
      </c>
      <c r="K40" s="73" t="n"/>
      <c r="L40" s="73">
        <f>IF($A20="","",L20*K20)</f>
        <v/>
      </c>
      <c r="M40" s="73" t="n"/>
      <c r="N40" s="73">
        <f>IF($A20="","",N20*M20)</f>
        <v/>
      </c>
      <c r="O40" s="73" t="n"/>
      <c r="P40" s="73">
        <f>IF($A20="","",P20*O20)</f>
        <v/>
      </c>
      <c r="Q40" s="73" t="n"/>
      <c r="R40" s="73">
        <f>IF($A20="","",R20*Q20)</f>
        <v/>
      </c>
      <c r="S40" s="73" t="n"/>
      <c r="T40" s="73">
        <f>IF($A20="","",T20*S20)</f>
        <v/>
      </c>
      <c r="U40" s="73" t="n"/>
      <c r="V40" s="73">
        <f>IF($A20="","",V20*U20)</f>
        <v/>
      </c>
      <c r="W40" s="73" t="n"/>
      <c r="X40" s="73">
        <f>IF($A20="","",X20*W20)</f>
        <v/>
      </c>
      <c r="Y40" s="73" t="n"/>
      <c r="Z40" s="73">
        <f>IF($A20="","",Z20*Y20)</f>
        <v/>
      </c>
      <c r="AA40" s="73" t="n"/>
      <c r="AB40" s="73">
        <f>IF($A20="","",AB20*AA20)</f>
        <v/>
      </c>
      <c r="AC40" s="73" t="n"/>
      <c r="AD40" s="73">
        <f>IF($A20="","",AD20*AC20)</f>
        <v/>
      </c>
      <c r="AE40" s="73" t="n"/>
      <c r="AF40" s="73">
        <f>IF($A20="","",AF20*AE20)</f>
        <v/>
      </c>
    </row>
    <row r="41" hidden="1">
      <c r="F41" s="73">
        <f>IF($A21="","",F21*E21)</f>
        <v/>
      </c>
      <c r="G41" s="73" t="n"/>
      <c r="H41" s="73">
        <f>IF($A21="","",H21*G21)</f>
        <v/>
      </c>
      <c r="I41" s="73" t="n"/>
      <c r="J41" s="73">
        <f>IF($A21="","",J21*I21)</f>
        <v/>
      </c>
      <c r="K41" s="73" t="n"/>
      <c r="L41" s="73">
        <f>IF($A21="","",L21*K21)</f>
        <v/>
      </c>
      <c r="M41" s="73" t="n"/>
      <c r="N41" s="73">
        <f>IF($A21="","",N21*M21)</f>
        <v/>
      </c>
      <c r="O41" s="73" t="n"/>
      <c r="P41" s="73">
        <f>IF($A21="","",P21*O21)</f>
        <v/>
      </c>
      <c r="Q41" s="73" t="n"/>
      <c r="R41" s="73">
        <f>IF($A21="","",R21*Q21)</f>
        <v/>
      </c>
      <c r="S41" s="73" t="n"/>
      <c r="T41" s="73">
        <f>IF($A21="","",T21*S21)</f>
        <v/>
      </c>
      <c r="U41" s="73" t="n"/>
      <c r="V41" s="73">
        <f>IF($A21="","",V21*U21)</f>
        <v/>
      </c>
      <c r="W41" s="73" t="n"/>
      <c r="X41" s="73">
        <f>IF($A21="","",X21*W21)</f>
        <v/>
      </c>
      <c r="Y41" s="73" t="n"/>
      <c r="Z41" s="73">
        <f>IF($A21="","",Z21*Y21)</f>
        <v/>
      </c>
      <c r="AA41" s="73" t="n"/>
      <c r="AB41" s="73">
        <f>IF($A21="","",AB21*AA21)</f>
        <v/>
      </c>
      <c r="AC41" s="73" t="n"/>
      <c r="AD41" s="73">
        <f>IF($A21="","",AD21*AC21)</f>
        <v/>
      </c>
      <c r="AE41" s="73" t="n"/>
      <c r="AF41" s="73">
        <f>IF($A21="","",AF21*AE21)</f>
        <v/>
      </c>
    </row>
    <row r="42" hidden="1">
      <c r="F42" s="73">
        <f>IF($A22="","",F22*E22)</f>
        <v/>
      </c>
      <c r="G42" s="73" t="n"/>
      <c r="H42" s="73">
        <f>IF($A22="","",H22*G22)</f>
        <v/>
      </c>
      <c r="I42" s="73" t="n"/>
      <c r="J42" s="73">
        <f>IF($A22="","",J22*I22)</f>
        <v/>
      </c>
      <c r="K42" s="73" t="n"/>
      <c r="L42" s="73">
        <f>IF($A22="","",L22*K22)</f>
        <v/>
      </c>
      <c r="M42" s="73" t="n"/>
      <c r="N42" s="73">
        <f>IF($A22="","",N22*M22)</f>
        <v/>
      </c>
      <c r="O42" s="73" t="n"/>
      <c r="P42" s="73">
        <f>IF($A22="","",P22*O22)</f>
        <v/>
      </c>
      <c r="Q42" s="73" t="n"/>
      <c r="R42" s="73">
        <f>IF($A22="","",R22*Q22)</f>
        <v/>
      </c>
      <c r="S42" s="73" t="n"/>
      <c r="T42" s="73">
        <f>IF($A22="","",T22*S22)</f>
        <v/>
      </c>
      <c r="U42" s="73" t="n"/>
      <c r="V42" s="73">
        <f>IF($A22="","",V22*U22)</f>
        <v/>
      </c>
      <c r="W42" s="73" t="n"/>
      <c r="X42" s="73">
        <f>IF($A22="","",X22*W22)</f>
        <v/>
      </c>
      <c r="Y42" s="73" t="n"/>
      <c r="Z42" s="73">
        <f>IF($A22="","",Z22*Y22)</f>
        <v/>
      </c>
      <c r="AA42" s="73" t="n"/>
      <c r="AB42" s="73">
        <f>IF($A22="","",AB22*AA22)</f>
        <v/>
      </c>
      <c r="AC42" s="73" t="n"/>
      <c r="AD42" s="73">
        <f>IF($A22="","",AD22*AC22)</f>
        <v/>
      </c>
      <c r="AE42" s="73" t="n"/>
      <c r="AF42" s="73">
        <f>IF($A22="","",AF22*AE22)</f>
        <v/>
      </c>
    </row>
    <row r="43" hidden="1">
      <c r="F43" s="73">
        <f>IF($A23="","",F23*E23)</f>
        <v/>
      </c>
      <c r="G43" s="73" t="n"/>
      <c r="H43" s="73">
        <f>IF($A23="","",H23*G23)</f>
        <v/>
      </c>
      <c r="I43" s="73" t="n"/>
      <c r="J43" s="73">
        <f>IF($A23="","",J23*I23)</f>
        <v/>
      </c>
      <c r="K43" s="73" t="n"/>
      <c r="L43" s="73">
        <f>IF($A23="","",L23*K23)</f>
        <v/>
      </c>
      <c r="M43" s="73" t="n"/>
      <c r="N43" s="73">
        <f>IF($A23="","",N23*M23)</f>
        <v/>
      </c>
      <c r="O43" s="73" t="n"/>
      <c r="P43" s="73">
        <f>IF($A23="","",P23*O23)</f>
        <v/>
      </c>
      <c r="Q43" s="73" t="n"/>
      <c r="R43" s="73">
        <f>IF($A23="","",R23*Q23)</f>
        <v/>
      </c>
      <c r="S43" s="73" t="n"/>
      <c r="T43" s="73">
        <f>IF($A23="","",T23*S23)</f>
        <v/>
      </c>
      <c r="U43" s="73" t="n"/>
      <c r="V43" s="73">
        <f>IF($A23="","",V23*U23)</f>
        <v/>
      </c>
      <c r="W43" s="73" t="n"/>
      <c r="X43" s="73">
        <f>IF($A23="","",X23*W23)</f>
        <v/>
      </c>
      <c r="Y43" s="73" t="n"/>
      <c r="Z43" s="73">
        <f>IF($A23="","",Z23*Y23)</f>
        <v/>
      </c>
      <c r="AA43" s="73" t="n"/>
      <c r="AB43" s="73">
        <f>IF($A23="","",AB23*AA23)</f>
        <v/>
      </c>
      <c r="AC43" s="73" t="n"/>
      <c r="AD43" s="73">
        <f>IF($A23="","",AD23*AC23)</f>
        <v/>
      </c>
      <c r="AE43" s="73" t="n"/>
      <c r="AF43" s="73">
        <f>IF($A23="","",AF23*AE23)</f>
        <v/>
      </c>
    </row>
    <row r="44" hidden="1">
      <c r="F44" s="73">
        <f>IF($A24="","",F24*E24)</f>
        <v/>
      </c>
      <c r="G44" s="73" t="n"/>
      <c r="H44" s="73">
        <f>IF($A24="","",H24*G24)</f>
        <v/>
      </c>
      <c r="I44" s="73" t="n"/>
      <c r="J44" s="73">
        <f>IF($A24="","",J24*I24)</f>
        <v/>
      </c>
      <c r="K44" s="73" t="n"/>
      <c r="L44" s="73">
        <f>IF($A24="","",L24*K24)</f>
        <v/>
      </c>
      <c r="M44" s="73" t="n"/>
      <c r="N44" s="73">
        <f>IF($A24="","",N24*M24)</f>
        <v/>
      </c>
      <c r="O44" s="73" t="n"/>
      <c r="P44" s="73">
        <f>IF($A24="","",P24*O24)</f>
        <v/>
      </c>
      <c r="Q44" s="73" t="n"/>
      <c r="R44" s="73">
        <f>IF($A24="","",R24*Q24)</f>
        <v/>
      </c>
      <c r="S44" s="73" t="n"/>
      <c r="T44" s="73">
        <f>IF($A24="","",T24*S24)</f>
        <v/>
      </c>
      <c r="U44" s="73" t="n"/>
      <c r="V44" s="73">
        <f>IF($A24="","",V24*U24)</f>
        <v/>
      </c>
      <c r="W44" s="73" t="n"/>
      <c r="X44" s="73">
        <f>IF($A24="","",X24*W24)</f>
        <v/>
      </c>
      <c r="Y44" s="73" t="n"/>
      <c r="Z44" s="73">
        <f>IF($A24="","",Z24*Y24)</f>
        <v/>
      </c>
      <c r="AA44" s="73" t="n"/>
      <c r="AB44" s="73">
        <f>IF($A24="","",AB24*AA24)</f>
        <v/>
      </c>
      <c r="AC44" s="73" t="n"/>
      <c r="AD44" s="73">
        <f>IF($A24="","",AD24*AC24)</f>
        <v/>
      </c>
      <c r="AE44" s="73" t="n"/>
      <c r="AF44" s="73">
        <f>IF($A24="","",AF24*AE24)</f>
        <v/>
      </c>
    </row>
    <row r="45" hidden="1">
      <c r="F45" s="73">
        <f>IF($A25="","",F25*E25)</f>
        <v/>
      </c>
      <c r="G45" s="73" t="n"/>
      <c r="H45" s="73">
        <f>IF($A25="","",H25*G25)</f>
        <v/>
      </c>
      <c r="I45" s="73" t="n"/>
      <c r="J45" s="73">
        <f>IF($A25="","",J25*I25)</f>
        <v/>
      </c>
      <c r="K45" s="73" t="n"/>
      <c r="L45" s="73">
        <f>IF($A25="","",L25*K25)</f>
        <v/>
      </c>
      <c r="M45" s="73" t="n"/>
      <c r="N45" s="73">
        <f>IF($A25="","",N25*M25)</f>
        <v/>
      </c>
      <c r="O45" s="73" t="n"/>
      <c r="P45" s="73">
        <f>IF($A25="","",P25*O25)</f>
        <v/>
      </c>
      <c r="Q45" s="73" t="n"/>
      <c r="R45" s="73">
        <f>IF($A25="","",R25*Q25)</f>
        <v/>
      </c>
      <c r="S45" s="73" t="n"/>
      <c r="T45" s="73">
        <f>IF($A25="","",T25*S25)</f>
        <v/>
      </c>
      <c r="U45" s="73" t="n"/>
      <c r="V45" s="73">
        <f>IF($A25="","",V25*U25)</f>
        <v/>
      </c>
      <c r="W45" s="73" t="n"/>
      <c r="X45" s="73">
        <f>IF($A25="","",X25*W25)</f>
        <v/>
      </c>
      <c r="Y45" s="73" t="n"/>
      <c r="Z45" s="73">
        <f>IF($A25="","",Z25*Y25)</f>
        <v/>
      </c>
      <c r="AA45" s="73" t="n"/>
      <c r="AB45" s="73">
        <f>IF($A25="","",AB25*AA25)</f>
        <v/>
      </c>
      <c r="AC45" s="73" t="n"/>
      <c r="AD45" s="73">
        <f>IF($A25="","",AD25*AC25)</f>
        <v/>
      </c>
      <c r="AE45" s="73" t="n"/>
      <c r="AF45" s="73">
        <f>IF($A25="","",AF25*AE25)</f>
        <v/>
      </c>
    </row>
    <row r="46" hidden="1">
      <c r="F46" s="73">
        <f>IF($A26="","",F26*E26)</f>
        <v/>
      </c>
      <c r="G46" s="73" t="n"/>
      <c r="H46" s="73">
        <f>IF($A26="","",H26*G26)</f>
        <v/>
      </c>
      <c r="I46" s="73" t="n"/>
      <c r="J46" s="73">
        <f>IF($A26="","",J26*I26)</f>
        <v/>
      </c>
      <c r="K46" s="73" t="n"/>
      <c r="L46" s="73">
        <f>IF($A26="","",L26*K26)</f>
        <v/>
      </c>
      <c r="M46" s="73" t="n"/>
      <c r="N46" s="73">
        <f>IF($A26="","",N26*M26)</f>
        <v/>
      </c>
      <c r="O46" s="73" t="n"/>
      <c r="P46" s="73">
        <f>IF($A26="","",P26*O26)</f>
        <v/>
      </c>
      <c r="Q46" s="73" t="n"/>
      <c r="R46" s="73">
        <f>IF($A26="","",R26*Q26)</f>
        <v/>
      </c>
      <c r="S46" s="73" t="n"/>
      <c r="T46" s="73">
        <f>IF($A26="","",T26*S26)</f>
        <v/>
      </c>
      <c r="U46" s="73" t="n"/>
      <c r="V46" s="73">
        <f>IF($A26="","",V26*U26)</f>
        <v/>
      </c>
      <c r="W46" s="73" t="n"/>
      <c r="X46" s="73">
        <f>IF($A26="","",X26*W26)</f>
        <v/>
      </c>
      <c r="Y46" s="73" t="n"/>
      <c r="Z46" s="73">
        <f>IF($A26="","",Z26*Y26)</f>
        <v/>
      </c>
      <c r="AA46" s="73" t="n"/>
      <c r="AB46" s="73">
        <f>IF($A26="","",AB26*AA26)</f>
        <v/>
      </c>
      <c r="AC46" s="73" t="n"/>
      <c r="AD46" s="73">
        <f>IF($A26="","",AD26*AC26)</f>
        <v/>
      </c>
      <c r="AE46" s="73" t="n"/>
      <c r="AF46" s="73">
        <f>IF($A26="","",AF26*AE26)</f>
        <v/>
      </c>
    </row>
    <row r="47" hidden="1">
      <c r="F47" s="73">
        <f>IF($A27="","",F27*E27)</f>
        <v/>
      </c>
      <c r="G47" s="73" t="n"/>
      <c r="H47" s="73">
        <f>IF($A27="","",H27*G27)</f>
        <v/>
      </c>
      <c r="I47" s="73" t="n"/>
      <c r="J47" s="73">
        <f>IF($A27="","",J27*I27)</f>
        <v/>
      </c>
      <c r="K47" s="73" t="n"/>
      <c r="L47" s="73">
        <f>IF($A27="","",L27*K27)</f>
        <v/>
      </c>
      <c r="M47" s="73" t="n"/>
      <c r="N47" s="73">
        <f>IF($A27="","",N27*M27)</f>
        <v/>
      </c>
      <c r="O47" s="73" t="n"/>
      <c r="P47" s="73">
        <f>IF($A27="","",P27*O27)</f>
        <v/>
      </c>
      <c r="Q47" s="73" t="n"/>
      <c r="R47" s="73">
        <f>IF($A27="","",R27*Q27)</f>
        <v/>
      </c>
      <c r="S47" s="73" t="n"/>
      <c r="T47" s="73">
        <f>IF($A27="","",T27*S27)</f>
        <v/>
      </c>
      <c r="U47" s="73" t="n"/>
      <c r="V47" s="73">
        <f>IF($A27="","",V27*U27)</f>
        <v/>
      </c>
      <c r="W47" s="73" t="n"/>
      <c r="X47" s="73">
        <f>IF($A27="","",X27*W27)</f>
        <v/>
      </c>
      <c r="Y47" s="73" t="n"/>
      <c r="Z47" s="73">
        <f>IF($A27="","",Z27*Y27)</f>
        <v/>
      </c>
      <c r="AA47" s="73" t="n"/>
      <c r="AB47" s="73">
        <f>IF($A27="","",AB27*AA27)</f>
        <v/>
      </c>
      <c r="AC47" s="73" t="n"/>
      <c r="AD47" s="73">
        <f>IF($A27="","",AD27*AC27)</f>
        <v/>
      </c>
      <c r="AE47" s="73" t="n"/>
      <c r="AF47" s="73">
        <f>IF($A27="","",AF27*AE27)</f>
        <v/>
      </c>
    </row>
    <row r="48" hidden="1">
      <c r="F48" s="73">
        <f>IF($A28="","",F28*E28)</f>
        <v/>
      </c>
      <c r="G48" s="73" t="n"/>
      <c r="H48" s="73">
        <f>IF($A28="","",H28*G28)</f>
        <v/>
      </c>
      <c r="I48" s="73" t="n"/>
      <c r="J48" s="73">
        <f>IF($A28="","",J28*I28)</f>
        <v/>
      </c>
      <c r="K48" s="73" t="n"/>
      <c r="L48" s="73">
        <f>IF($A28="","",L28*K28)</f>
        <v/>
      </c>
      <c r="M48" s="73" t="n"/>
      <c r="N48" s="73">
        <f>IF($A28="","",N28*M28)</f>
        <v/>
      </c>
      <c r="O48" s="73" t="n"/>
      <c r="P48" s="73">
        <f>IF($A28="","",P28*O28)</f>
        <v/>
      </c>
      <c r="Q48" s="73" t="n"/>
      <c r="R48" s="73">
        <f>IF($A28="","",R28*Q28)</f>
        <v/>
      </c>
      <c r="S48" s="73" t="n"/>
      <c r="T48" s="73">
        <f>IF($A28="","",T28*S28)</f>
        <v/>
      </c>
      <c r="U48" s="73" t="n"/>
      <c r="V48" s="73">
        <f>IF($A28="","",V28*U28)</f>
        <v/>
      </c>
      <c r="W48" s="73" t="n"/>
      <c r="X48" s="73">
        <f>IF($A28="","",X28*W28)</f>
        <v/>
      </c>
      <c r="Y48" s="73" t="n"/>
      <c r="Z48" s="73">
        <f>IF($A28="","",Z28*Y28)</f>
        <v/>
      </c>
      <c r="AA48" s="73" t="n"/>
      <c r="AB48" s="73">
        <f>IF($A28="","",AB28*AA28)</f>
        <v/>
      </c>
      <c r="AC48" s="73" t="n"/>
      <c r="AD48" s="73">
        <f>IF($A28="","",AD28*AC28)</f>
        <v/>
      </c>
      <c r="AE48" s="73" t="n"/>
      <c r="AF48" s="73">
        <f>IF($A28="","",AF28*AE28)</f>
        <v/>
      </c>
    </row>
    <row r="49" hidden="1">
      <c r="F49" s="74">
        <f>SUMIF(F31:F48,"&gt;0")</f>
        <v/>
      </c>
      <c r="H49" s="74">
        <f>SUMIF(H31:H48,"&gt;0")</f>
        <v/>
      </c>
      <c r="I49" s="74" t="n"/>
      <c r="J49" s="74">
        <f>SUMIF(J31:J48,"&gt;0")</f>
        <v/>
      </c>
      <c r="L49" s="74">
        <f>SUMIF(L31:L48,"&gt;0")</f>
        <v/>
      </c>
      <c r="M49" s="74" t="n"/>
      <c r="N49" s="74">
        <f>SUMIF(N31:N48,"&gt;0")</f>
        <v/>
      </c>
      <c r="O49" s="74" t="n"/>
      <c r="P49" s="74">
        <f>SUMIF(P31:P48,"&gt;0")</f>
        <v/>
      </c>
      <c r="Q49" s="74" t="n"/>
      <c r="R49" s="74">
        <f>SUMIF(R31:R48,"&gt;0")</f>
        <v/>
      </c>
      <c r="T49" s="74">
        <f>SUMIF(T31:T48,"&gt;0")</f>
        <v/>
      </c>
      <c r="U49" s="74" t="n"/>
      <c r="V49" s="74">
        <f>SUMIF(V31:V48,"&gt;0")</f>
        <v/>
      </c>
      <c r="W49" s="74" t="n"/>
      <c r="X49" s="74">
        <f>SUMIF(X31:X48,"&gt;0")</f>
        <v/>
      </c>
      <c r="Y49" s="74" t="n"/>
      <c r="Z49" s="74">
        <f>SUMIF(Z31:Z48,"&gt;0")</f>
        <v/>
      </c>
      <c r="AB49" s="74">
        <f>SUMIF(AB31:AB48,"&gt;0")</f>
        <v/>
      </c>
      <c r="AC49" s="74" t="n"/>
      <c r="AD49" s="74">
        <f>SUMIF(AD31:AD48,"&gt;0")</f>
        <v/>
      </c>
      <c r="AE49" s="74" t="n"/>
      <c r="AF49" s="74">
        <f>SUMIF(AF31:AF48,"&gt;0")</f>
        <v/>
      </c>
    </row>
    <row r="52">
      <c r="A52" s="75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</row>
    <row r="53">
      <c r="A53" s="77" t="inlineStr">
        <is>
          <t>#</t>
        </is>
      </c>
      <c r="B53" s="77" t="inlineStr">
        <is>
          <t>โปรไฟล์</t>
        </is>
      </c>
      <c r="C53" s="77" t="inlineStr">
        <is>
          <t>รหัส</t>
        </is>
      </c>
      <c r="D53" s="77" t="inlineStr">
        <is>
          <t>สูตรตัด (เดิม)</t>
        </is>
      </c>
      <c r="E53" s="77" t="inlineStr">
        <is>
          <t>หัก1</t>
        </is>
      </c>
      <c r="F53" s="77" t="inlineStr">
        <is>
          <t>หัก2</t>
        </is>
      </c>
      <c r="G53" s="77" t="inlineStr">
        <is>
          <t>หัก3</t>
        </is>
      </c>
      <c r="H53" s="77" t="inlineStr">
        <is>
          <t>หัก4</t>
        </is>
      </c>
      <c r="I53" s="77" t="inlineStr">
        <is>
          <t>หัก5</t>
        </is>
      </c>
      <c r="J53" s="77" t="inlineStr">
        <is>
          <t>หัก6</t>
        </is>
      </c>
      <c r="K53" s="77" t="inlineStr">
        <is>
          <t>หัก7</t>
        </is>
      </c>
      <c r="L53" s="77" t="inlineStr">
        <is>
          <t>จำนวน/ชุด</t>
        </is>
      </c>
      <c r="M53" s="122" t="n"/>
    </row>
    <row r="54" ht="44" customHeight="1">
      <c r="A54" s="78" t="n">
        <v>1</v>
      </c>
      <c r="B54" s="79" t="inlineStr">
        <is>
          <t>เฟรมข้าง</t>
        </is>
      </c>
      <c r="C54" s="80" t="inlineStr">
        <is>
          <t>F7979</t>
        </is>
      </c>
      <c r="D54" s="81" t="inlineStr">
        <is>
          <t>สูง</t>
        </is>
      </c>
      <c r="E54" s="82" t="n"/>
      <c r="F54" s="82" t="n"/>
      <c r="G54" s="82" t="n"/>
      <c r="H54" s="82" t="n"/>
      <c r="I54" s="82" t="n"/>
      <c r="J54" s="82" t="n"/>
      <c r="K54" s="82" t="n"/>
      <c r="L54" s="83" t="n">
        <v>4</v>
      </c>
      <c r="M54" s="82" t="n"/>
    </row>
    <row r="55" ht="44" customHeight="1">
      <c r="A55" s="78" t="n">
        <v>2</v>
      </c>
      <c r="B55" s="79" t="inlineStr">
        <is>
          <t>ต่อเฟรมข้าง</t>
        </is>
      </c>
      <c r="C55" s="80" t="inlineStr">
        <is>
          <t>F7989</t>
        </is>
      </c>
      <c r="D55" s="81" t="inlineStr">
        <is>
          <t>สูง</t>
        </is>
      </c>
      <c r="E55" s="82" t="n"/>
      <c r="F55" s="82" t="n"/>
      <c r="G55" s="82" t="n"/>
      <c r="H55" s="82" t="n"/>
      <c r="I55" s="82" t="n"/>
      <c r="J55" s="82" t="n"/>
      <c r="K55" s="82" t="n"/>
      <c r="L55" s="83" t="n">
        <v>2</v>
      </c>
      <c r="M55" s="82" t="n"/>
    </row>
    <row r="56" ht="44" customHeight="1">
      <c r="A56" s="78" t="n">
        <v>3</v>
      </c>
      <c r="B56" s="79" t="inlineStr">
        <is>
          <t>เฟรม บน-ล่าง</t>
        </is>
      </c>
      <c r="C56" s="80" t="inlineStr">
        <is>
          <t>F7977</t>
        </is>
      </c>
      <c r="D56" s="81" t="inlineStr">
        <is>
          <t>กว้าง-21-21</t>
        </is>
      </c>
      <c r="E56" s="83" t="n">
        <v>21</v>
      </c>
      <c r="F56" s="83" t="n">
        <v>21</v>
      </c>
      <c r="G56" s="82" t="n"/>
      <c r="H56" s="82" t="n"/>
      <c r="I56" s="82" t="n"/>
      <c r="J56" s="82" t="n"/>
      <c r="K56" s="82" t="n"/>
      <c r="L56" s="83" t="n">
        <v>2</v>
      </c>
      <c r="M56" s="82" t="n"/>
    </row>
    <row r="57" ht="44" customHeight="1">
      <c r="A57" s="78" t="n">
        <v>4</v>
      </c>
      <c r="B57" s="79" t="inlineStr">
        <is>
          <t>ต่อราง</t>
        </is>
      </c>
      <c r="C57" s="80" t="inlineStr">
        <is>
          <t>F7990</t>
        </is>
      </c>
      <c r="D57" s="81" t="inlineStr">
        <is>
          <t>กว้าง-21-21</t>
        </is>
      </c>
      <c r="E57" s="83" t="n">
        <v>21</v>
      </c>
      <c r="F57" s="83" t="n">
        <v>21</v>
      </c>
      <c r="G57" s="82" t="n"/>
      <c r="H57" s="82" t="n"/>
      <c r="I57" s="82" t="n"/>
      <c r="J57" s="82" t="n"/>
      <c r="K57" s="82" t="n"/>
      <c r="L57" s="83" t="n">
        <v>4</v>
      </c>
      <c r="M57" s="82" t="n"/>
    </row>
    <row r="58" ht="44" customHeight="1">
      <c r="A58" s="78" t="n">
        <v>5</v>
      </c>
      <c r="B58" s="79" t="inlineStr">
        <is>
          <t>ตบกันสาด</t>
        </is>
      </c>
      <c r="C58" s="80" t="inlineStr">
        <is>
          <t>F7992</t>
        </is>
      </c>
      <c r="D58" s="81" t="inlineStr">
        <is>
          <t>กว้าง</t>
        </is>
      </c>
      <c r="E58" s="82" t="n"/>
      <c r="F58" s="82" t="n"/>
      <c r="G58" s="82" t="n"/>
      <c r="H58" s="82" t="n"/>
      <c r="I58" s="82" t="n"/>
      <c r="J58" s="82" t="n"/>
      <c r="K58" s="82" t="n"/>
      <c r="L58" s="83" t="n">
        <v>2</v>
      </c>
      <c r="M58" s="82" t="n"/>
    </row>
    <row r="59" ht="44" customHeight="1">
      <c r="A59" s="78" t="n">
        <v>6</v>
      </c>
      <c r="B59" s="79" t="inlineStr">
        <is>
          <t>เสา</t>
        </is>
      </c>
      <c r="C59" s="80" t="inlineStr">
        <is>
          <t>F7980</t>
        </is>
      </c>
      <c r="D59" s="81" t="inlineStr">
        <is>
          <t>สูง-21-19-13-21</t>
        </is>
      </c>
      <c r="E59" s="83" t="n">
        <v>21</v>
      </c>
      <c r="F59" s="83" t="n">
        <v>19</v>
      </c>
      <c r="G59" s="83" t="n">
        <v>13</v>
      </c>
      <c r="H59" s="83" t="n">
        <v>21</v>
      </c>
      <c r="I59" s="82" t="n"/>
      <c r="J59" s="82" t="n"/>
      <c r="K59" s="82" t="n"/>
      <c r="L59" s="83" t="n">
        <v>8</v>
      </c>
      <c r="M59" s="82" t="n"/>
    </row>
    <row r="60" ht="15" customHeight="1">
      <c r="A60" s="78" t="n">
        <v>7</v>
      </c>
      <c r="B60" s="79" t="inlineStr">
        <is>
          <t>ขวาง</t>
        </is>
      </c>
      <c r="C60" s="80" t="inlineStr">
        <is>
          <t>-</t>
        </is>
      </c>
      <c r="D60" s="81" t="inlineStr">
        <is>
          <t>((กว้าง-21-1-1-3.6-21)/4)+(78x3/4)</t>
        </is>
      </c>
      <c r="E60" s="83" t="n">
        <v>21</v>
      </c>
      <c r="F60" s="83" t="n">
        <v>1</v>
      </c>
      <c r="G60" s="83" t="n">
        <v>1</v>
      </c>
      <c r="H60" s="83" t="n">
        <v>3.6</v>
      </c>
      <c r="I60" s="83" t="n">
        <v>21</v>
      </c>
      <c r="J60" s="82" t="n"/>
      <c r="K60" s="82" t="n"/>
      <c r="L60" s="83" t="n">
        <v>8</v>
      </c>
      <c r="M60" s="82" t="n"/>
    </row>
    <row r="61" ht="44" customHeight="1">
      <c r="A61" s="78" t="n">
        <v>8</v>
      </c>
      <c r="B61" s="79" t="inlineStr">
        <is>
          <t>คิ้ว ตั้ง</t>
        </is>
      </c>
      <c r="C61" s="80" t="inlineStr">
        <is>
          <t>F7919</t>
        </is>
      </c>
      <c r="D61" s="81" t="inlineStr">
        <is>
          <t>เสา-78-78</t>
        </is>
      </c>
      <c r="E61" s="83" t="n">
        <v>78</v>
      </c>
      <c r="F61" s="83" t="n">
        <v>78</v>
      </c>
      <c r="G61" s="82" t="n"/>
      <c r="H61" s="82" t="n"/>
      <c r="I61" s="82" t="n"/>
      <c r="J61" s="82" t="n"/>
      <c r="K61" s="82" t="n"/>
      <c r="L61" s="83" t="n">
        <v>8</v>
      </c>
      <c r="M61" s="82" t="n"/>
    </row>
    <row r="62" ht="15" customHeight="1">
      <c r="A62" s="78" t="n">
        <v>9</v>
      </c>
      <c r="B62" s="79" t="inlineStr">
        <is>
          <t>คิ้ว ขวาง</t>
        </is>
      </c>
      <c r="C62" s="80" t="inlineStr">
        <is>
          <t>-</t>
        </is>
      </c>
      <c r="D62" s="81" t="inlineStr">
        <is>
          <t>ขวาง-63-63</t>
        </is>
      </c>
      <c r="E62" s="83" t="n">
        <v>63</v>
      </c>
      <c r="F62" s="83" t="n">
        <v>63</v>
      </c>
      <c r="G62" s="82" t="n"/>
      <c r="H62" s="82" t="n"/>
      <c r="I62" s="82" t="n"/>
      <c r="J62" s="82" t="n"/>
      <c r="K62" s="82" t="n"/>
      <c r="L62" s="83" t="n">
        <v>8</v>
      </c>
      <c r="M62" s="82" t="n"/>
    </row>
    <row r="63" ht="44" customHeight="1">
      <c r="A63" s="78" t="n">
        <v>10</v>
      </c>
      <c r="B63" s="79" t="inlineStr">
        <is>
          <t>ตบเกี่ยว</t>
        </is>
      </c>
      <c r="C63" s="80" t="inlineStr">
        <is>
          <t>F7983</t>
        </is>
      </c>
      <c r="D63" s="81" t="inlineStr">
        <is>
          <t>สูงกรอบบาน</t>
        </is>
      </c>
      <c r="E63" s="83" t="n">
        <v>21</v>
      </c>
      <c r="F63" s="83" t="n">
        <v>19</v>
      </c>
      <c r="G63" s="83" t="n">
        <v>13</v>
      </c>
      <c r="H63" s="83" t="n">
        <v>21</v>
      </c>
      <c r="I63" s="82" t="n"/>
      <c r="J63" s="82" t="n"/>
      <c r="K63" s="82" t="n"/>
      <c r="L63" s="83" t="n">
        <v>6</v>
      </c>
      <c r="M63" s="82" t="n"/>
    </row>
    <row r="64" ht="44" customHeight="1">
      <c r="A64" s="78" t="n">
        <v>11</v>
      </c>
      <c r="B64" s="79" t="inlineStr">
        <is>
          <t>ยูข้าง</t>
        </is>
      </c>
      <c r="C64" s="80" t="inlineStr">
        <is>
          <t>F7986</t>
        </is>
      </c>
      <c r="D64" s="81" t="inlineStr">
        <is>
          <t>สูง-45-45</t>
        </is>
      </c>
      <c r="E64" s="83" t="n">
        <v>45</v>
      </c>
      <c r="F64" s="83" t="n">
        <v>45</v>
      </c>
      <c r="G64" s="82" t="n"/>
      <c r="H64" s="82" t="n"/>
      <c r="I64" s="82" t="n"/>
      <c r="J64" s="82" t="n"/>
      <c r="K64" s="82" t="n"/>
      <c r="L64" s="83" t="n">
        <v>2</v>
      </c>
      <c r="M64" s="82" t="n"/>
    </row>
    <row r="65" ht="44" customHeight="1">
      <c r="A65" s="78" t="n">
        <v>12</v>
      </c>
      <c r="B65" s="79" t="inlineStr">
        <is>
          <t>ตบเฟรมบน</t>
        </is>
      </c>
      <c r="C65" s="80" t="inlineStr">
        <is>
          <t>F7993</t>
        </is>
      </c>
      <c r="D65" s="81" t="inlineStr">
        <is>
          <t>เท่าเฟรมบน</t>
        </is>
      </c>
      <c r="E65" s="83" t="n">
        <v>21</v>
      </c>
      <c r="F65" s="83" t="n">
        <v>21</v>
      </c>
      <c r="G65" s="82" t="n"/>
      <c r="H65" s="82" t="n"/>
      <c r="I65" s="82" t="n"/>
      <c r="J65" s="82" t="n"/>
      <c r="K65" s="82" t="n"/>
      <c r="L65" s="83" t="n">
        <v>4</v>
      </c>
      <c r="M65" s="82" t="n"/>
    </row>
    <row r="66" ht="44" customHeight="1">
      <c r="A66" s="78" t="n">
        <v>13</v>
      </c>
      <c r="B66" s="79" t="inlineStr">
        <is>
          <t>ตบยูข้าง</t>
        </is>
      </c>
      <c r="C66" s="80" t="inlineStr">
        <is>
          <t>F7988</t>
        </is>
      </c>
      <c r="D66" s="81" t="inlineStr"/>
      <c r="E66" s="83" t="n">
        <v>45</v>
      </c>
      <c r="F66" s="83" t="n">
        <v>45</v>
      </c>
      <c r="G66" s="82" t="n"/>
      <c r="H66" s="82" t="n"/>
      <c r="I66" s="82" t="n"/>
      <c r="J66" s="82" t="n"/>
      <c r="K66" s="82" t="n"/>
      <c r="L66" s="83" t="n">
        <v>2</v>
      </c>
      <c r="M66" s="82" t="n"/>
    </row>
    <row r="67" ht="44" customHeight="1">
      <c r="A67" s="78" t="n">
        <v>14</v>
      </c>
      <c r="B67" s="79" t="inlineStr">
        <is>
          <t>ราง</t>
        </is>
      </c>
      <c r="C67" s="80" t="inlineStr">
        <is>
          <t>F7994</t>
        </is>
      </c>
      <c r="D67" s="81" t="inlineStr">
        <is>
          <t>เท่าเฟรมล่าง</t>
        </is>
      </c>
      <c r="E67" s="83" t="n">
        <v>21</v>
      </c>
      <c r="F67" s="83" t="n">
        <v>21</v>
      </c>
      <c r="G67" s="82" t="n"/>
      <c r="H67" s="82" t="n"/>
      <c r="I67" s="82" t="n"/>
      <c r="J67" s="82" t="n"/>
      <c r="K67" s="82" t="n"/>
      <c r="L67" s="83" t="n">
        <v>4</v>
      </c>
      <c r="M67" s="82" t="n"/>
    </row>
    <row r="69">
      <c r="A69" s="123" t="n"/>
      <c r="F69" s="124" t="n"/>
    </row>
    <row r="70">
      <c r="A70" s="153" t="inlineStr">
        <is>
          <t>⑤ อุปกรณ์ + ตั้งค่ามือจับ (2 ชุด · บานเลื่อน 4)</t>
        </is>
      </c>
      <c r="F70" s="126" t="n"/>
    </row>
    <row r="71">
      <c r="A71" s="152" t="inlineStr">
        <is>
          <t>ประเภทบาน →</t>
        </is>
      </c>
      <c r="B71" s="150" t="inlineStr">
        <is>
          <t>ประตู</t>
        </is>
      </c>
      <c r="F71" s="126" t="n"/>
    </row>
    <row r="72">
      <c r="A72" s="152" t="inlineStr">
        <is>
          <t>ยี่ห้อมือจับ →</t>
        </is>
      </c>
      <c r="B72" s="150" t="inlineStr">
        <is>
          <t>เมโทร</t>
        </is>
      </c>
      <c r="F72" s="126" t="n"/>
    </row>
    <row r="73">
      <c r="A73" s="152" t="inlineStr">
        <is>
          <t>สีมือจับ →</t>
        </is>
      </c>
      <c r="B73" s="150" t="inlineStr">
        <is>
          <t>อบขาว</t>
        </is>
      </c>
      <c r="F73" s="126" t="n"/>
    </row>
    <row r="74">
      <c r="A74" s="156" t="inlineStr">
        <is>
          <t>มือจับ ชุด1 →</t>
        </is>
      </c>
      <c r="B74" s="150" t="inlineStr">
        <is>
          <t>กุญแจ+ล็อค</t>
        </is>
      </c>
    </row>
    <row r="75">
      <c r="A75" s="149" t="inlineStr">
        <is>
          <t>มือจับ ชุด2 →</t>
        </is>
      </c>
      <c r="B75" s="150" t="inlineStr">
        <is>
          <t>ล็อค+ดัมมี่</t>
        </is>
      </c>
    </row>
    <row r="76">
      <c r="A76" s="154" t="inlineStr">
        <is>
          <t>⑤.1 สรุปอุปกรณ์ (จำนวนลิงก์อัตโนมัติ)</t>
        </is>
      </c>
    </row>
    <row r="77">
      <c r="A77" s="154" t="inlineStr">
        <is>
          <t>#</t>
        </is>
      </c>
      <c r="B77" s="154" t="inlineStr">
        <is>
          <t>อุปกรณ์</t>
        </is>
      </c>
      <c r="C77" s="154" t="inlineStr">
        <is>
          <t>รหัส SKU</t>
        </is>
      </c>
      <c r="D77" s="154" t="inlineStr">
        <is>
          <t>จำนวน</t>
        </is>
      </c>
      <c r="E77" s="154" t="inlineStr">
        <is>
          <t>หน่วย</t>
        </is>
      </c>
      <c r="F77" s="154" t="inlineStr">
        <is>
          <t>หมายเหตุ</t>
        </is>
      </c>
    </row>
    <row r="78">
      <c r="A78" s="149" t="n">
        <v>1</v>
      </c>
      <c r="B78" s="149" t="inlineStr">
        <is>
          <t>ล้อ 20</t>
        </is>
      </c>
      <c r="C78" s="150">
        <f>AK8</f>
        <v/>
      </c>
      <c r="D78" s="155">
        <f>AK30</f>
        <v/>
      </c>
      <c r="E78" s="149" t="inlineStr">
        <is>
          <t>ตัว</t>
        </is>
      </c>
      <c r="F78" s="149" t="inlineStr"/>
    </row>
    <row r="79">
      <c r="A79" s="149" t="n">
        <v>2</v>
      </c>
      <c r="B79" s="149" t="inlineStr">
        <is>
          <t>มือจับ กุญแจ</t>
        </is>
      </c>
      <c r="C79" s="150">
        <f>AL8</f>
        <v/>
      </c>
      <c r="D79" s="155">
        <f>AL30</f>
        <v/>
      </c>
      <c r="E79" s="149" t="inlineStr">
        <is>
          <t>ตัว</t>
        </is>
      </c>
      <c r="F79" s="149" t="inlineStr"/>
    </row>
    <row r="80">
      <c r="A80" s="149" t="n">
        <v>3</v>
      </c>
      <c r="B80" s="149" t="inlineStr">
        <is>
          <t>มือจับ ล็อค</t>
        </is>
      </c>
      <c r="C80" s="150">
        <f>AM8</f>
        <v/>
      </c>
      <c r="D80" s="155">
        <f>AM30</f>
        <v/>
      </c>
      <c r="E80" s="149" t="inlineStr">
        <is>
          <t>ตัว</t>
        </is>
      </c>
      <c r="F80" s="149" t="inlineStr"/>
    </row>
    <row r="81">
      <c r="A81" s="149" t="n">
        <v>4</v>
      </c>
      <c r="B81" s="149" t="inlineStr">
        <is>
          <t>มือจับ ดัมมี่</t>
        </is>
      </c>
      <c r="C81" s="150">
        <f>AN8</f>
        <v/>
      </c>
      <c r="D81" s="155">
        <f>AN30</f>
        <v/>
      </c>
      <c r="E81" s="149" t="inlineStr">
        <is>
          <t>ตัว</t>
        </is>
      </c>
      <c r="F81" s="149" t="inlineStr"/>
    </row>
    <row r="82">
      <c r="A82" s="149" t="n">
        <v>5</v>
      </c>
      <c r="B82" s="149" t="inlineStr">
        <is>
          <t>Digital lock</t>
        </is>
      </c>
      <c r="C82" s="150" t="inlineStr">
        <is>
          <t>-</t>
        </is>
      </c>
      <c r="D82" s="155">
        <f>AO30</f>
        <v/>
      </c>
      <c r="E82" s="149" t="inlineStr">
        <is>
          <t>ชุด</t>
        </is>
      </c>
      <c r="F82" s="149" t="inlineStr">
        <is>
          <t>ไม่ตัดสต็อก</t>
        </is>
      </c>
    </row>
    <row r="83">
      <c r="A83" s="149" t="n">
        <v>6</v>
      </c>
      <c r="B83" s="149" t="inlineStr">
        <is>
          <t>แกน A</t>
        </is>
      </c>
      <c r="C83" s="150">
        <f>AP8</f>
        <v/>
      </c>
      <c r="D83" s="155">
        <f>AP30</f>
        <v/>
      </c>
      <c r="E83" s="149" t="inlineStr">
        <is>
          <t>เส้น</t>
        </is>
      </c>
      <c r="F83" s="149" t="inlineStr"/>
    </row>
    <row r="84">
      <c r="A84" s="149" t="n">
        <v>7</v>
      </c>
      <c r="B84" s="149" t="inlineStr">
        <is>
          <t>แกน B</t>
        </is>
      </c>
      <c r="C84" s="150">
        <f>AQ8</f>
        <v/>
      </c>
      <c r="D84" s="155">
        <f>AQ30</f>
        <v/>
      </c>
      <c r="E84" s="149" t="inlineStr">
        <is>
          <t>เส้น</t>
        </is>
      </c>
      <c r="F84" s="149" t="inlineStr"/>
    </row>
    <row r="85">
      <c r="A85" s="149" t="n">
        <v>8</v>
      </c>
      <c r="B85" s="149" t="inlineStr">
        <is>
          <t>ปลายดำ</t>
        </is>
      </c>
      <c r="C85" s="150">
        <f>AR8</f>
        <v/>
      </c>
      <c r="D85" s="155">
        <f>AR30</f>
        <v/>
      </c>
      <c r="E85" s="149" t="inlineStr">
        <is>
          <t>ตัว</t>
        </is>
      </c>
      <c r="F85" s="149" t="inlineStr"/>
    </row>
    <row r="86">
      <c r="A86" s="149" t="n">
        <v>9</v>
      </c>
      <c r="B86" s="149" t="inlineStr">
        <is>
          <t>ตัวที เงิน</t>
        </is>
      </c>
      <c r="C86" s="150">
        <f>AS8</f>
        <v/>
      </c>
      <c r="D86" s="155">
        <f>AS30</f>
        <v/>
      </c>
      <c r="E86" s="149" t="inlineStr">
        <is>
          <t>ตัว</t>
        </is>
      </c>
      <c r="F86" s="149" t="inlineStr"/>
    </row>
    <row r="87">
      <c r="A87" s="149" t="n">
        <v>10</v>
      </c>
      <c r="B87" s="149" t="inlineStr">
        <is>
          <t>ก้ามปู</t>
        </is>
      </c>
      <c r="C87" s="150">
        <f>AT8</f>
        <v/>
      </c>
      <c r="D87" s="155">
        <f>AT30</f>
        <v/>
      </c>
      <c r="E87" s="149" t="inlineStr">
        <is>
          <t>ตัว</t>
        </is>
      </c>
      <c r="F87" s="149" t="inlineStr"/>
    </row>
    <row r="88">
      <c r="A88" s="149" t="n">
        <v>11</v>
      </c>
      <c r="B88" s="149" t="inlineStr">
        <is>
          <t>สปิงก็อท</t>
        </is>
      </c>
      <c r="C88" s="150">
        <f>AU8</f>
        <v/>
      </c>
      <c r="D88" s="155">
        <f>AU30</f>
        <v/>
      </c>
      <c r="E88" s="149" t="inlineStr">
        <is>
          <t>ตัว</t>
        </is>
      </c>
      <c r="F88" s="149" t="inlineStr"/>
    </row>
    <row r="89">
      <c r="A89" s="149" t="n">
        <v>12</v>
      </c>
      <c r="B89" s="149" t="inlineStr">
        <is>
          <t>ฉากประกอบมุม</t>
        </is>
      </c>
      <c r="C89" s="150">
        <f>AV8</f>
        <v/>
      </c>
      <c r="D89" s="155">
        <f>AV30</f>
        <v/>
      </c>
      <c r="E89" s="149" t="inlineStr">
        <is>
          <t>ตัว</t>
        </is>
      </c>
      <c r="F89" s="149" t="inlineStr"/>
    </row>
    <row r="90">
      <c r="A90" s="149" t="n">
        <v>13</v>
      </c>
      <c r="B90" s="149" t="inlineStr">
        <is>
          <t>ยางรูน้ำ</t>
        </is>
      </c>
      <c r="C90" s="150">
        <f>AW8</f>
        <v/>
      </c>
      <c r="D90" s="155">
        <f>AW30</f>
        <v/>
      </c>
      <c r="E90" s="149" t="inlineStr">
        <is>
          <t>ตัว</t>
        </is>
      </c>
      <c r="F90" s="149" t="inlineStr"/>
    </row>
    <row r="91">
      <c r="A91" s="149" t="n">
        <v>14</v>
      </c>
      <c r="B91" s="149" t="inlineStr">
        <is>
          <t>วาวรูน้ำ</t>
        </is>
      </c>
      <c r="C91" s="150">
        <f>AX8</f>
        <v/>
      </c>
      <c r="D91" s="155">
        <f>AX30</f>
        <v/>
      </c>
      <c r="E91" s="149" t="inlineStr">
        <is>
          <t>ตัว</t>
        </is>
      </c>
      <c r="F91" s="149" t="inlineStr"/>
    </row>
    <row r="92">
      <c r="A92" s="149" t="n">
        <v>15</v>
      </c>
      <c r="B92" s="149" t="inlineStr">
        <is>
          <t>สักหลาด 5×3</t>
        </is>
      </c>
      <c r="C92" s="150">
        <f>AY8</f>
        <v/>
      </c>
      <c r="D92" s="155">
        <f>AY30</f>
        <v/>
      </c>
      <c r="E92" s="149" t="inlineStr">
        <is>
          <t>เมตร</t>
        </is>
      </c>
      <c r="F92" s="149" t="inlineStr">
        <is>
          <t>เก็บเป็นเมตร</t>
        </is>
      </c>
    </row>
  </sheetData>
  <mergeCells count="62">
    <mergeCell ref="U9:V9"/>
    <mergeCell ref="AC7:AD7"/>
    <mergeCell ref="I6:J6"/>
    <mergeCell ref="AE7:AF7"/>
    <mergeCell ref="O6:P6"/>
    <mergeCell ref="U6:V6"/>
    <mergeCell ref="K9:L9"/>
    <mergeCell ref="W6:X6"/>
    <mergeCell ref="M9:N9"/>
    <mergeCell ref="O9:P9"/>
    <mergeCell ref="G8:H8"/>
    <mergeCell ref="Y9:Z9"/>
    <mergeCell ref="E8:F8"/>
    <mergeCell ref="Q8:R8"/>
    <mergeCell ref="AA9:AB9"/>
    <mergeCell ref="S8:T8"/>
    <mergeCell ref="G7:H7"/>
    <mergeCell ref="AA6:AB6"/>
    <mergeCell ref="I7:J7"/>
    <mergeCell ref="O7:R7"/>
    <mergeCell ref="A30:D30"/>
    <mergeCell ref="S30:U30"/>
    <mergeCell ref="G6:H6"/>
    <mergeCell ref="AC8:AD8"/>
    <mergeCell ref="E9:F9"/>
    <mergeCell ref="AE8:AF8"/>
    <mergeCell ref="M7:N7"/>
    <mergeCell ref="W7:X7"/>
    <mergeCell ref="E6:F6"/>
    <mergeCell ref="Y7:Z7"/>
    <mergeCell ref="A8:A9"/>
    <mergeCell ref="A6:D6"/>
    <mergeCell ref="M6:N6"/>
    <mergeCell ref="AA7:AB7"/>
    <mergeCell ref="K8:L8"/>
    <mergeCell ref="Q6:R6"/>
    <mergeCell ref="S6:T6"/>
    <mergeCell ref="Y6:Z6"/>
    <mergeCell ref="A7:D7"/>
    <mergeCell ref="D8:D9"/>
    <mergeCell ref="S7:V7"/>
    <mergeCell ref="Q9:R9"/>
    <mergeCell ref="I8:J8"/>
    <mergeCell ref="S9:T9"/>
    <mergeCell ref="M8:N8"/>
    <mergeCell ref="W9:X9"/>
    <mergeCell ref="AC9:AD9"/>
    <mergeCell ref="O8:P8"/>
    <mergeCell ref="U8:V8"/>
    <mergeCell ref="AE9:AF9"/>
    <mergeCell ref="K7:L7"/>
    <mergeCell ref="B8:C9"/>
    <mergeCell ref="W8:X8"/>
    <mergeCell ref="AC6:AD6"/>
    <mergeCell ref="E7:F7"/>
    <mergeCell ref="AE6:AF6"/>
    <mergeCell ref="O30:Q30"/>
    <mergeCell ref="Y8:Z8"/>
    <mergeCell ref="K6:L6"/>
    <mergeCell ref="G9:H9"/>
    <mergeCell ref="AA8:AB8"/>
    <mergeCell ref="I9:J9"/>
  </mergeCells>
  <dataValidations count="5">
    <dataValidation sqref="B71" showDropDown="0" showInputMessage="0" showErrorMessage="0" allowBlank="1" type="list">
      <formula1>"ประตู,หน้าต่าง"</formula1>
    </dataValidation>
    <dataValidation sqref="B72" showDropDown="0" showInputMessage="0" showErrorMessage="0" allowBlank="1" type="list">
      <formula1>"เมโทร,Align"</formula1>
    </dataValidation>
    <dataValidation sqref="B73" showDropDown="0" showInputMessage="0" showErrorMessage="0" allowBlank="1" type="list">
      <formula1>"อบขาว,ดำ"</formula1>
    </dataValidation>
    <dataValidation sqref="B74" showDropDown="0" showInputMessage="0" showErrorMessage="0" allowBlank="1" type="list">
      <formula1>=$BD$1:$BD$4</formula1>
    </dataValidation>
    <dataValidation sqref="B75" showDropDown="0" showInputMessage="0" showErrorMessage="0" allowBlank="1" type="list">
      <formula1>=$BD$1:$BD$4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D92"/>
  <sheetViews>
    <sheetView showGridLines="0" workbookViewId="0">
      <selection activeCell="A1" sqref="A1"/>
    </sheetView>
  </sheetViews>
  <sheetFormatPr baseColWidth="8" defaultRowHeight="15"/>
  <cols>
    <col width="10.125" customWidth="1" min="1" max="1"/>
    <col width="14" customWidth="1" min="2" max="2"/>
    <col width="26" customWidth="1" min="4" max="4"/>
    <col width="12.75" customWidth="1" min="5" max="5"/>
    <col width="6.75" customWidth="1" min="6" max="6"/>
    <col width="12.75" customWidth="1" min="7" max="7"/>
    <col width="6.75" customWidth="1" min="8" max="8"/>
    <col width="12.75" customWidth="1" min="9" max="9"/>
    <col width="6.75" customWidth="1" min="10" max="10"/>
    <col width="12.75" customWidth="1" min="11" max="11"/>
    <col width="6.75" customWidth="1" min="12" max="12"/>
    <col width="26" customWidth="1" min="13" max="13"/>
    <col width="6.75" customWidth="1" min="14" max="14"/>
    <col width="12.75" customWidth="1" min="15" max="15"/>
    <col width="6.75" customWidth="1" min="16" max="16"/>
    <col width="12.75" customWidth="1" min="17" max="17"/>
    <col width="6.75" customWidth="1" min="18" max="18"/>
    <col width="12.75" customWidth="1" min="19" max="19"/>
    <col width="6.75" customWidth="1" min="20" max="20"/>
    <col width="12.75" customWidth="1" min="21" max="21"/>
    <col width="6.75" customWidth="1" min="22" max="22"/>
    <col width="12.75" customWidth="1" min="23" max="23"/>
    <col width="6.75" customWidth="1" min="24" max="24"/>
    <col width="12.75" customWidth="1" min="25" max="25"/>
    <col width="6.75" customWidth="1" min="26" max="26"/>
    <col width="12.75" customWidth="1" min="27" max="27"/>
    <col width="6.75" customWidth="1" min="28" max="28"/>
    <col width="12.75" customWidth="1" min="29" max="29"/>
    <col width="6.75" customWidth="1" min="30" max="30"/>
    <col width="12.75" customWidth="1" min="31" max="31"/>
    <col width="6.75" customWidth="1" min="32" max="32"/>
    <col width="12.75" customWidth="1" min="33" max="33"/>
    <col width="6.75" customWidth="1" min="34" max="34"/>
    <col width="12.75" customWidth="1" min="35" max="35"/>
    <col width="12.75" customWidth="1" min="36" max="36"/>
    <col width="8.75" customWidth="1" min="37" max="37"/>
    <col width="8.875" customWidth="1" min="38" max="38"/>
    <col hidden="1" width="13" customWidth="1" min="53" max="53"/>
    <col hidden="1" width="13" customWidth="1" min="54" max="54"/>
    <col hidden="1" width="13" customWidth="1" min="55" max="55"/>
    <col hidden="1" width="13" customWidth="1" min="56" max="56"/>
  </cols>
  <sheetData>
    <row r="1" ht="40.15" customHeight="1">
      <c r="A1" s="1" t="inlineStr">
        <is>
          <t>JR ALUMINIUM &amp; GLASS  —  ใบรายการตัด · FUJI เลื่อน5   (หน่วย: มม.)</t>
        </is>
      </c>
      <c r="B1" s="2" t="n"/>
      <c r="D1" s="3" t="n"/>
      <c r="E1" s="4" t="n"/>
      <c r="F1" s="3" t="n"/>
      <c r="G1" s="4" t="n"/>
      <c r="H1" s="3" t="n"/>
      <c r="I1" s="5" t="n"/>
      <c r="J1" s="5" t="n"/>
      <c r="K1" s="3" t="n"/>
      <c r="L1" s="3" t="n"/>
      <c r="M1" s="5" t="n"/>
      <c r="N1" s="5" t="n"/>
      <c r="O1" s="6" t="n"/>
      <c r="P1" s="5" t="n"/>
      <c r="Q1" s="3" t="n"/>
      <c r="R1" s="3" t="n"/>
      <c r="S1" s="6" t="n"/>
      <c r="T1" s="6" t="n"/>
      <c r="U1" s="5" t="n"/>
      <c r="V1" s="5" t="n"/>
      <c r="W1" s="3" t="n"/>
      <c r="X1" s="7" t="n"/>
      <c r="Y1" s="6" t="n"/>
      <c r="Z1" s="6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BA1" t="inlineStr">
        <is>
          <t>เมโทรกุญแจอบขาว</t>
        </is>
      </c>
      <c r="BB1" t="inlineStr">
        <is>
          <t>JR00368</t>
        </is>
      </c>
      <c r="BD1">
        <f>IF($B$71="ประตู","กุญแจ+ล็อค","ล็อค")</f>
        <v/>
      </c>
    </row>
    <row r="2" ht="40.15" customHeight="1">
      <c r="A2" s="6" t="n"/>
      <c r="B2" s="6" t="n"/>
      <c r="C2" s="6" t="n"/>
      <c r="D2" s="6" t="n"/>
      <c r="E2" s="8" t="n"/>
      <c r="F2" s="6" t="n"/>
      <c r="G2" s="8" t="n"/>
      <c r="H2" s="6" t="n"/>
      <c r="I2" s="9" t="n"/>
      <c r="J2" s="9" t="n"/>
      <c r="K2" s="6" t="n"/>
      <c r="L2" s="6" t="n"/>
      <c r="M2" s="9" t="n"/>
      <c r="N2" s="9" t="n"/>
      <c r="O2" s="9" t="n"/>
      <c r="P2" s="9" t="n"/>
      <c r="Q2" s="6" t="n"/>
      <c r="R2" s="6" t="n"/>
      <c r="S2" s="6" t="n"/>
      <c r="T2" s="6" t="n"/>
      <c r="U2" s="9" t="n"/>
      <c r="V2" s="9" t="n"/>
      <c r="W2" s="6" t="n"/>
      <c r="X2" s="6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BA2" t="inlineStr">
        <is>
          <t>เมโทรกุญแจดำ</t>
        </is>
      </c>
      <c r="BB2" t="inlineStr">
        <is>
          <t>JR00371</t>
        </is>
      </c>
      <c r="BD2">
        <f>IF($B$71="ประตู","ล็อค+ดัมมี่","ดัมมี่")</f>
        <v/>
      </c>
    </row>
    <row r="3" ht="40.15" customHeight="1">
      <c r="A3" s="130">
        <f>HYPERLINK("#สารบัญ!A1","← สารบัญ")</f>
        <v/>
      </c>
      <c r="B3" s="6" t="n"/>
      <c r="C3" s="121" t="n"/>
      <c r="D3" s="6" t="n"/>
      <c r="E3" s="8" t="n"/>
      <c r="F3" s="6" t="n"/>
      <c r="G3" s="8" t="n"/>
      <c r="H3" s="6" t="n"/>
      <c r="I3" s="11" t="n"/>
      <c r="J3" s="11" t="n"/>
      <c r="K3" s="6" t="n"/>
      <c r="L3" s="6" t="n"/>
      <c r="M3" s="11" t="n"/>
      <c r="N3" s="11" t="n"/>
      <c r="O3" s="9" t="n"/>
      <c r="P3" s="9" t="n"/>
      <c r="Q3" s="6" t="n"/>
      <c r="R3" s="6" t="n"/>
      <c r="S3" s="6" t="n"/>
      <c r="T3" s="6" t="n"/>
      <c r="U3" s="11" t="n"/>
      <c r="V3" s="11" t="n"/>
      <c r="W3" s="6" t="n"/>
      <c r="X3" s="6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BA3" t="inlineStr">
        <is>
          <t>เมโทรล็อคอบขาว</t>
        </is>
      </c>
      <c r="BB3" t="inlineStr">
        <is>
          <t>JR00369</t>
        </is>
      </c>
      <c r="BD3">
        <f>IF($B$71="ประตู","ดัมมี่+ดัมมี่","")</f>
        <v/>
      </c>
    </row>
    <row r="4" ht="40.15" customHeight="1">
      <c r="A4" s="6" t="n"/>
      <c r="B4" s="6" t="n"/>
      <c r="C4" s="6" t="n"/>
      <c r="F4" s="6" t="n"/>
      <c r="H4" s="6" t="n"/>
      <c r="K4" s="6" t="n"/>
      <c r="L4" s="6" t="n"/>
      <c r="O4" s="9" t="n"/>
      <c r="P4" s="9" t="n"/>
      <c r="Q4" s="6" t="n"/>
      <c r="R4" s="6" t="n"/>
      <c r="S4" s="6" t="n"/>
      <c r="T4" s="6" t="n"/>
      <c r="W4" s="6" t="n"/>
      <c r="X4" s="6" t="n"/>
      <c r="BA4" t="inlineStr">
        <is>
          <t>เมโทรล็อคดำ</t>
        </is>
      </c>
      <c r="BB4" t="inlineStr">
        <is>
          <t>JR00372</t>
        </is>
      </c>
      <c r="BD4">
        <f>IF($B$71="ประตู","Digital lock","")</f>
        <v/>
      </c>
    </row>
    <row r="5" ht="40.15" customHeight="1">
      <c r="A5" s="6" t="n"/>
      <c r="B5" s="6" t="n"/>
      <c r="C5" s="6" t="n"/>
      <c r="D5" s="6" t="n"/>
      <c r="E5" s="8" t="n"/>
      <c r="F5" s="6" t="n"/>
      <c r="G5" s="8" t="n"/>
      <c r="H5" s="6" t="n"/>
      <c r="K5" s="6" t="n"/>
      <c r="L5" s="6" t="n"/>
      <c r="Q5" s="6" t="n"/>
      <c r="R5" s="6" t="n"/>
      <c r="T5" s="6" t="n"/>
      <c r="W5" s="6" t="n"/>
      <c r="X5" s="6" t="n"/>
      <c r="BA5" t="inlineStr">
        <is>
          <t>เมโทรดัมมี่อบขาว</t>
        </is>
      </c>
      <c r="BB5" t="inlineStr">
        <is>
          <t>JR00370</t>
        </is>
      </c>
    </row>
    <row r="6" ht="60" customHeight="1">
      <c r="A6" s="13" t="inlineStr">
        <is>
          <t>สูตรตัด</t>
        </is>
      </c>
      <c r="B6" s="14" t="n"/>
      <c r="C6" s="14" t="n"/>
      <c r="D6" s="15" t="n"/>
      <c r="E6" s="16" t="inlineStr">
        <is>
          <t>สูง</t>
        </is>
      </c>
      <c r="F6" s="17" t="n"/>
      <c r="G6" s="16" t="inlineStr">
        <is>
          <t>สูง</t>
        </is>
      </c>
      <c r="H6" s="17" t="n"/>
      <c r="I6" s="16" t="inlineStr">
        <is>
          <t>สูง</t>
        </is>
      </c>
      <c r="J6" s="17" t="n"/>
      <c r="K6" s="16" t="inlineStr">
        <is>
          <t>กว้าง-21-21</t>
        </is>
      </c>
      <c r="L6" s="17" t="n"/>
      <c r="M6" s="16" t="inlineStr">
        <is>
          <t>กว้าง-21-21</t>
        </is>
      </c>
      <c r="N6" s="17" t="n"/>
      <c r="O6" s="16" t="inlineStr">
        <is>
          <t>กว้าง</t>
        </is>
      </c>
      <c r="P6" s="17" t="n"/>
      <c r="Q6" s="16" t="inlineStr">
        <is>
          <t>สูง-21-19-13-21</t>
        </is>
      </c>
      <c r="R6" s="17" t="n"/>
      <c r="S6" s="16" t="inlineStr">
        <is>
          <t>((กว้าง-21-3-3-4.8-21)/5)+(78x4/5)</t>
        </is>
      </c>
      <c r="T6" s="17" t="n"/>
      <c r="U6" s="16" t="inlineStr">
        <is>
          <t>เสา-78-78</t>
        </is>
      </c>
      <c r="V6" s="17" t="n"/>
      <c r="W6" s="16" t="inlineStr">
        <is>
          <t>ขวาง-63-63</t>
        </is>
      </c>
      <c r="X6" s="17" t="n"/>
      <c r="Y6" s="16" t="inlineStr">
        <is>
          <t>สูงกรอบบาน</t>
        </is>
      </c>
      <c r="Z6" s="17" t="n"/>
      <c r="AA6" s="16" t="inlineStr">
        <is>
          <t>สูง-45-45</t>
        </is>
      </c>
      <c r="AB6" s="17" t="n"/>
      <c r="AC6" s="16" t="inlineStr">
        <is>
          <t>เท่าเฟรมบน</t>
        </is>
      </c>
      <c r="AD6" s="17" t="n"/>
      <c r="AE6" s="16" t="n"/>
      <c r="AF6" s="17" t="n"/>
      <c r="AG6" s="16" t="inlineStr">
        <is>
          <t>เท่าเฟรมล่าง</t>
        </is>
      </c>
      <c r="AI6" s="18" t="n"/>
      <c r="AJ6" s="18" t="n"/>
      <c r="AK6" s="18" t="n"/>
      <c r="BA6" t="inlineStr">
        <is>
          <t>เมโทรดัมมี่ดำ</t>
        </is>
      </c>
      <c r="BB6" t="inlineStr">
        <is>
          <t>JR00373</t>
        </is>
      </c>
      <c r="BC6">
        <f>(COUNTIF($B$74:$B$75,"กุญแจ+ล็อค")+COUNTIF($B$74:$B$75,"ล็อค+ดัมมี่")+COUNTIF($B$74:$B$75,"ล็อค"))</f>
        <v/>
      </c>
    </row>
    <row r="7" ht="40.15" customHeight="1">
      <c r="A7" s="19" t="inlineStr">
        <is>
          <t>ใส่ข้อมูล</t>
        </is>
      </c>
      <c r="B7" s="20" t="n"/>
      <c r="C7" s="20" t="n"/>
      <c r="D7" s="21" t="n"/>
      <c r="E7" s="22" t="inlineStr">
        <is>
          <t>F7979</t>
        </is>
      </c>
      <c r="F7" s="15" t="n"/>
      <c r="G7" s="22" t="inlineStr">
        <is>
          <t>F7978</t>
        </is>
      </c>
      <c r="H7" s="15" t="n"/>
      <c r="I7" s="22" t="inlineStr">
        <is>
          <t>F7989</t>
        </is>
      </c>
      <c r="J7" s="15" t="n"/>
      <c r="K7" s="22" t="inlineStr">
        <is>
          <t>F7976</t>
        </is>
      </c>
      <c r="L7" s="15" t="n"/>
      <c r="M7" s="23" t="inlineStr">
        <is>
          <t>F7990</t>
        </is>
      </c>
      <c r="N7" s="15" t="n"/>
      <c r="O7" s="22" t="inlineStr">
        <is>
          <t>F7992</t>
        </is>
      </c>
      <c r="P7" s="15" t="n"/>
      <c r="Q7" s="22" t="inlineStr">
        <is>
          <t>F7980</t>
        </is>
      </c>
      <c r="R7" s="14" t="n"/>
      <c r="S7" s="14" t="n"/>
      <c r="T7" s="15" t="n"/>
      <c r="U7" s="22" t="inlineStr">
        <is>
          <t>F7919</t>
        </is>
      </c>
      <c r="V7" s="14" t="n"/>
      <c r="W7" s="14" t="n"/>
      <c r="X7" s="15" t="n"/>
      <c r="Y7" s="22" t="inlineStr">
        <is>
          <t>F7983</t>
        </is>
      </c>
      <c r="Z7" s="15" t="n"/>
      <c r="AA7" s="22" t="inlineStr">
        <is>
          <t>F7986</t>
        </is>
      </c>
      <c r="AB7" s="15" t="n"/>
      <c r="AC7" s="22" t="inlineStr">
        <is>
          <t>F7993</t>
        </is>
      </c>
      <c r="AD7" s="15" t="n"/>
      <c r="AE7" s="22" t="inlineStr">
        <is>
          <t>F7988</t>
        </is>
      </c>
      <c r="AF7" s="15" t="n"/>
      <c r="AG7" s="22" t="inlineStr">
        <is>
          <t>F7994</t>
        </is>
      </c>
      <c r="AI7" s="24" t="n"/>
      <c r="AJ7" s="25" t="inlineStr">
        <is>
          <t>ขนาดกระจก</t>
        </is>
      </c>
      <c r="AK7" s="26" t="n"/>
      <c r="BA7" t="inlineStr">
        <is>
          <t>Alignกุญแจอบขาว</t>
        </is>
      </c>
      <c r="BB7" t="inlineStr">
        <is>
          <t>JR00377</t>
        </is>
      </c>
      <c r="BC7">
        <f>COUNTIF($B$74:$B$75,"กุญแจ+ล็อค")</f>
        <v/>
      </c>
    </row>
    <row r="8" ht="40.15" customHeight="1">
      <c r="A8" s="27" t="inlineStr">
        <is>
          <t>แผน</t>
        </is>
      </c>
      <c r="B8" s="28" t="inlineStr">
        <is>
          <t>ขนาดชิ้นงาน
(mm)</t>
        </is>
      </c>
      <c r="C8" s="29" t="n"/>
      <c r="D8" s="27" t="inlineStr">
        <is>
          <t>ชุด</t>
        </is>
      </c>
      <c r="E8" s="30" t="n"/>
      <c r="F8" s="31" t="n"/>
      <c r="G8" s="30" t="n"/>
      <c r="H8" s="31" t="n"/>
      <c r="I8" s="30" t="n"/>
      <c r="J8" s="31" t="n"/>
      <c r="K8" s="34" t="n"/>
      <c r="L8" s="31" t="n"/>
      <c r="M8" s="34" t="n"/>
      <c r="N8" s="31" t="n"/>
      <c r="O8" s="30" t="n"/>
      <c r="P8" s="31" t="n"/>
      <c r="Q8" s="32" t="n"/>
      <c r="R8" s="33" t="n"/>
      <c r="S8" s="34" t="n"/>
      <c r="T8" s="31" t="n"/>
      <c r="U8" s="32" t="n"/>
      <c r="V8" s="33" t="n"/>
      <c r="W8" s="34" t="n"/>
      <c r="X8" s="31" t="n"/>
      <c r="Y8" s="32" t="n"/>
      <c r="Z8" s="33" t="n"/>
      <c r="AA8" s="32" t="n"/>
      <c r="AB8" s="33" t="n"/>
      <c r="AC8" s="32" t="n"/>
      <c r="AD8" s="33" t="n"/>
      <c r="AE8" s="30" t="n"/>
      <c r="AF8" s="31" t="n"/>
      <c r="AG8" s="30" t="n"/>
      <c r="AI8" s="36" t="n"/>
      <c r="AJ8" s="37" t="inlineStr">
        <is>
          <t>กรอบบาน</t>
        </is>
      </c>
      <c r="AK8" s="38" t="inlineStr">
        <is>
          <t>JR00577</t>
        </is>
      </c>
      <c r="AL8">
        <f>VLOOKUP($B$72&amp;"กุญแจ"&amp;$B$73,$BA$1:$BB$12,2,0)</f>
        <v/>
      </c>
      <c r="AM8">
        <f>VLOOKUP($B$72&amp;"ล็อค"&amp;$B$73,$BA$1:$BB$12,2,0)</f>
        <v/>
      </c>
      <c r="AN8">
        <f>VLOOKUP($B$72&amp;"ดัมมี่"&amp;$B$73,$BA$1:$BB$12,2,0)</f>
        <v/>
      </c>
      <c r="AO8" t="inlineStr"/>
      <c r="AP8" t="inlineStr">
        <is>
          <t>JR00478</t>
        </is>
      </c>
      <c r="AQ8" t="inlineStr">
        <is>
          <t>JR00479</t>
        </is>
      </c>
      <c r="AR8" t="inlineStr">
        <is>
          <t>JR00476</t>
        </is>
      </c>
      <c r="AS8" t="inlineStr">
        <is>
          <t>JR00475</t>
        </is>
      </c>
      <c r="AT8" t="inlineStr">
        <is>
          <t>JR00477</t>
        </is>
      </c>
      <c r="AU8" t="inlineStr">
        <is>
          <t>JR00592</t>
        </is>
      </c>
      <c r="AV8" t="inlineStr">
        <is>
          <t>JR00480</t>
        </is>
      </c>
      <c r="AW8" t="inlineStr">
        <is>
          <t>JR00589</t>
        </is>
      </c>
      <c r="AX8" t="inlineStr">
        <is>
          <t>JR00485</t>
        </is>
      </c>
      <c r="AY8" t="inlineStr">
        <is>
          <t>JR00794</t>
        </is>
      </c>
      <c r="BA8" t="inlineStr">
        <is>
          <t>Alignล็อคอบขาว</t>
        </is>
      </c>
      <c r="BB8" t="inlineStr">
        <is>
          <t>JR00378</t>
        </is>
      </c>
    </row>
    <row r="9" ht="40.15" customHeight="1">
      <c r="A9" s="39" t="n"/>
      <c r="B9" s="40" t="n"/>
      <c r="C9" s="41" t="n"/>
      <c r="D9" s="39" t="n"/>
      <c r="E9" s="42" t="inlineStr">
        <is>
          <t>เฟรมข้าง</t>
        </is>
      </c>
      <c r="F9" s="43" t="n"/>
      <c r="G9" s="42" t="inlineStr">
        <is>
          <t>เฟรมข้าง</t>
        </is>
      </c>
      <c r="H9" s="43" t="n"/>
      <c r="I9" s="42" t="inlineStr">
        <is>
          <t>ต่อเฟรมข้าง</t>
        </is>
      </c>
      <c r="J9" s="43" t="n"/>
      <c r="K9" s="42" t="inlineStr">
        <is>
          <t>เฟรม บน-ล่าง</t>
        </is>
      </c>
      <c r="L9" s="43" t="n"/>
      <c r="M9" s="42" t="inlineStr">
        <is>
          <t>ต่อราง</t>
        </is>
      </c>
      <c r="N9" s="43" t="n"/>
      <c r="O9" s="42" t="inlineStr">
        <is>
          <t>ตบกันสาด</t>
        </is>
      </c>
      <c r="P9" s="43" t="n"/>
      <c r="Q9" s="42" t="inlineStr">
        <is>
          <t>เสา</t>
        </is>
      </c>
      <c r="R9" s="43" t="n"/>
      <c r="S9" s="42" t="inlineStr">
        <is>
          <t>ขวาง</t>
        </is>
      </c>
      <c r="T9" s="43" t="n"/>
      <c r="U9" s="42" t="inlineStr">
        <is>
          <t>คิ้ว ตั้ง</t>
        </is>
      </c>
      <c r="V9" s="43" t="n"/>
      <c r="W9" s="42" t="inlineStr">
        <is>
          <t>คิ้ว ขวาง</t>
        </is>
      </c>
      <c r="X9" s="43" t="n"/>
      <c r="Y9" s="42" t="inlineStr">
        <is>
          <t>ตบเกี่ยว</t>
        </is>
      </c>
      <c r="Z9" s="43" t="n"/>
      <c r="AA9" s="44" t="inlineStr">
        <is>
          <t>ยูข้าง</t>
        </is>
      </c>
      <c r="AB9" s="43" t="n"/>
      <c r="AC9" s="44" t="inlineStr">
        <is>
          <t>ตบเฟรมบน</t>
        </is>
      </c>
      <c r="AD9" s="43" t="n"/>
      <c r="AE9" s="44" t="inlineStr">
        <is>
          <t>ตบยูข้าง</t>
        </is>
      </c>
      <c r="AF9" s="43" t="n"/>
      <c r="AG9" s="44" t="inlineStr">
        <is>
          <t>ราง</t>
        </is>
      </c>
      <c r="AI9" s="45" t="inlineStr">
        <is>
          <t>SH-68-68</t>
        </is>
      </c>
      <c r="AJ9" s="46" t="inlineStr">
        <is>
          <t>SW-68-68</t>
        </is>
      </c>
      <c r="AK9" s="47" t="inlineStr">
        <is>
          <t>ล้อ 20</t>
        </is>
      </c>
      <c r="AL9" t="inlineStr">
        <is>
          <t>มือจับ กุญแจ</t>
        </is>
      </c>
      <c r="AM9" t="inlineStr">
        <is>
          <t>มือจับ ล็อค</t>
        </is>
      </c>
      <c r="AN9" t="inlineStr">
        <is>
          <t>มือจับ ดัมมี่</t>
        </is>
      </c>
      <c r="AO9" t="inlineStr">
        <is>
          <t>Digital lock</t>
        </is>
      </c>
      <c r="AP9" t="inlineStr">
        <is>
          <t>แกน A</t>
        </is>
      </c>
      <c r="AQ9" t="inlineStr">
        <is>
          <t>แกน B</t>
        </is>
      </c>
      <c r="AR9" t="inlineStr">
        <is>
          <t>ปลายดำ</t>
        </is>
      </c>
      <c r="AS9" t="inlineStr">
        <is>
          <t>ตัวที เงิน</t>
        </is>
      </c>
      <c r="AT9" t="inlineStr">
        <is>
          <t>ก้ามปู</t>
        </is>
      </c>
      <c r="AU9" t="inlineStr">
        <is>
          <t>สปิงก็อท</t>
        </is>
      </c>
      <c r="AV9" t="inlineStr">
        <is>
          <t>ฉากประกอบมุม</t>
        </is>
      </c>
      <c r="AW9" t="inlineStr">
        <is>
          <t>ยางรูน้ำ</t>
        </is>
      </c>
      <c r="AX9" t="inlineStr">
        <is>
          <t>วาวรูน้ำ</t>
        </is>
      </c>
      <c r="AY9" t="inlineStr">
        <is>
          <t>สักหลาด(ม.)</t>
        </is>
      </c>
      <c r="BA9" t="inlineStr">
        <is>
          <t>Alignดัมมี่อบขาว</t>
        </is>
      </c>
      <c r="BB9" t="inlineStr">
        <is>
          <t>JR00379</t>
        </is>
      </c>
      <c r="BC9">
        <f>(COUNTIF($B$74:$B$75,"ล็อค+ดัมมี่")+2*COUNTIF($B$74:$B$75,"ดัมมี่+ดัมมี่")+COUNTIF($B$74:$B$75,"ดัมมี่"))</f>
        <v/>
      </c>
    </row>
    <row r="10" ht="40.15" customHeight="1">
      <c r="A10" s="48" t="inlineStr">
        <is>
          <t>ใบงาน</t>
        </is>
      </c>
      <c r="B10" s="49" t="inlineStr">
        <is>
          <t>สูง</t>
        </is>
      </c>
      <c r="C10" s="50" t="inlineStr">
        <is>
          <t>กว้าง</t>
        </is>
      </c>
      <c r="D10" s="51" t="inlineStr">
        <is>
          <t>จำนวนชุด</t>
        </is>
      </c>
      <c r="E10" s="52" t="inlineStr">
        <is>
          <t>ยาว</t>
        </is>
      </c>
      <c r="F10" s="53" t="inlineStr">
        <is>
          <t>จำนวน</t>
        </is>
      </c>
      <c r="G10" s="52" t="inlineStr">
        <is>
          <t>ยาว</t>
        </is>
      </c>
      <c r="H10" s="53" t="inlineStr">
        <is>
          <t>จำนวน</t>
        </is>
      </c>
      <c r="I10" s="52" t="inlineStr">
        <is>
          <t>ยาว</t>
        </is>
      </c>
      <c r="J10" s="53" t="inlineStr">
        <is>
          <t>จำนวน</t>
        </is>
      </c>
      <c r="K10" s="52" t="inlineStr">
        <is>
          <t>ยาว</t>
        </is>
      </c>
      <c r="L10" s="53" t="inlineStr">
        <is>
          <t>จำนวน</t>
        </is>
      </c>
      <c r="M10" s="52" t="inlineStr">
        <is>
          <t>ยาว</t>
        </is>
      </c>
      <c r="N10" s="54" t="inlineStr">
        <is>
          <t>จำนวน</t>
        </is>
      </c>
      <c r="O10" s="52" t="inlineStr">
        <is>
          <t>ยาว</t>
        </is>
      </c>
      <c r="P10" s="53" t="inlineStr">
        <is>
          <t>จำนวน</t>
        </is>
      </c>
      <c r="Q10" s="52" t="inlineStr">
        <is>
          <t>ยาว</t>
        </is>
      </c>
      <c r="R10" s="54" t="inlineStr">
        <is>
          <t>จำนวน</t>
        </is>
      </c>
      <c r="S10" s="52" t="inlineStr">
        <is>
          <t>ยาว</t>
        </is>
      </c>
      <c r="T10" s="54" t="inlineStr">
        <is>
          <t>จำนวน</t>
        </is>
      </c>
      <c r="U10" s="52" t="inlineStr">
        <is>
          <t>ยาว</t>
        </is>
      </c>
      <c r="V10" s="54" t="inlineStr">
        <is>
          <t>จำนวน</t>
        </is>
      </c>
      <c r="W10" s="52" t="inlineStr">
        <is>
          <t>ยาว</t>
        </is>
      </c>
      <c r="X10" s="54" t="inlineStr">
        <is>
          <t>จำนวน</t>
        </is>
      </c>
      <c r="Y10" s="52" t="inlineStr">
        <is>
          <t>ยาว</t>
        </is>
      </c>
      <c r="Z10" s="53" t="inlineStr">
        <is>
          <t>จำนวน</t>
        </is>
      </c>
      <c r="AA10" s="52" t="inlineStr">
        <is>
          <t>ยาว</t>
        </is>
      </c>
      <c r="AB10" s="54" t="inlineStr">
        <is>
          <t>จำนวน</t>
        </is>
      </c>
      <c r="AC10" s="52" t="inlineStr">
        <is>
          <t>ยาว</t>
        </is>
      </c>
      <c r="AD10" s="54" t="inlineStr">
        <is>
          <t>จำนวน</t>
        </is>
      </c>
      <c r="AE10" s="52" t="inlineStr">
        <is>
          <t>ยาว</t>
        </is>
      </c>
      <c r="AF10" s="54" t="inlineStr">
        <is>
          <t>จำนวน</t>
        </is>
      </c>
      <c r="AG10" s="52" t="inlineStr">
        <is>
          <t>ยาว</t>
        </is>
      </c>
      <c r="AH10" s="54" t="inlineStr">
        <is>
          <t>จำนวน</t>
        </is>
      </c>
      <c r="AI10" s="55" t="inlineStr">
        <is>
          <t>H</t>
        </is>
      </c>
      <c r="AJ10" s="56" t="inlineStr">
        <is>
          <t>W</t>
        </is>
      </c>
      <c r="AK10" s="57" t="inlineStr">
        <is>
          <t>จำนวน</t>
        </is>
      </c>
      <c r="AL10" t="inlineStr">
        <is>
          <t>จำนวน</t>
        </is>
      </c>
      <c r="AM10" t="inlineStr">
        <is>
          <t>จำนวน</t>
        </is>
      </c>
      <c r="AN10" t="inlineStr">
        <is>
          <t>จำนวน</t>
        </is>
      </c>
      <c r="AO10" t="inlineStr">
        <is>
          <t>จำนวน</t>
        </is>
      </c>
      <c r="AP10" t="inlineStr">
        <is>
          <t>จำนวน</t>
        </is>
      </c>
      <c r="AQ10" t="inlineStr">
        <is>
          <t>จำนวน</t>
        </is>
      </c>
      <c r="AR10" t="inlineStr">
        <is>
          <t>จำนวน</t>
        </is>
      </c>
      <c r="AS10" t="inlineStr">
        <is>
          <t>จำนวน</t>
        </is>
      </c>
      <c r="AT10" t="inlineStr">
        <is>
          <t>จำนวน</t>
        </is>
      </c>
      <c r="AU10" t="inlineStr">
        <is>
          <t>จำนวน</t>
        </is>
      </c>
      <c r="AV10" t="inlineStr">
        <is>
          <t>จำนวน</t>
        </is>
      </c>
      <c r="AW10" t="inlineStr">
        <is>
          <t>จำนวน</t>
        </is>
      </c>
      <c r="AX10" t="inlineStr">
        <is>
          <t>จำนวน</t>
        </is>
      </c>
      <c r="AY10" t="inlineStr">
        <is>
          <t>จำนวน</t>
        </is>
      </c>
      <c r="BA10" t="inlineStr">
        <is>
          <t>Alignกุญแจดำ</t>
        </is>
      </c>
      <c r="BB10" t="inlineStr">
        <is>
          <t>JR00374</t>
        </is>
      </c>
      <c r="BC10">
        <f>COUNTIF($B$74:$B$75,"Digital lock")</f>
        <v/>
      </c>
    </row>
    <row r="11" ht="40.15" customHeight="1">
      <c r="A11" s="58" t="inlineStr">
        <is>
          <t>D1</t>
        </is>
      </c>
      <c r="B11" s="59" t="n">
        <v>2695</v>
      </c>
      <c r="C11" s="60" t="n">
        <v>6245</v>
      </c>
      <c r="D11" s="61" t="n">
        <v>1</v>
      </c>
      <c r="E11" s="62">
        <f>IF($A11="","",$B11)</f>
        <v/>
      </c>
      <c r="F11" s="60">
        <f>IF($A11="","",$L$54*$D11)</f>
        <v/>
      </c>
      <c r="G11" s="62">
        <f>IF($A11="","",$B11)</f>
        <v/>
      </c>
      <c r="H11" s="60">
        <f>IF($A11="","",$L$55*$D11)</f>
        <v/>
      </c>
      <c r="I11" s="62">
        <f>IF($A11="","",$B11)</f>
        <v/>
      </c>
      <c r="J11" s="60">
        <f>IF($A11="","",$L$56*$D11)</f>
        <v/>
      </c>
      <c r="K11" s="62">
        <f>IF($A11="","",$C11-$E$57-$F$57)</f>
        <v/>
      </c>
      <c r="L11" s="60">
        <f>IF($A11="","",$L$57*$D11)</f>
        <v/>
      </c>
      <c r="M11" s="62">
        <f>IF($A11="","",$C11-$E$58-$F$58)</f>
        <v/>
      </c>
      <c r="N11" s="60">
        <f>IF($A11="","",$L$58*$D11)</f>
        <v/>
      </c>
      <c r="O11" s="62">
        <f>IF($A11="","",$C11)</f>
        <v/>
      </c>
      <c r="P11" s="60">
        <f>IF($A11="","",$L$59*$D11)</f>
        <v/>
      </c>
      <c r="Q11" s="62">
        <f>IF($A11="","",$B11-$E$60-$F$60-$G$60-$H$60)</f>
        <v/>
      </c>
      <c r="R11" s="60">
        <f>IF($A11="","",$L$60*$D11)</f>
        <v/>
      </c>
      <c r="S11" s="62">
        <f>IF($A11="","",(($C11-$E$61-$F$61-$G$61-$H$61-$I$61)/5)+(78*4)/5)</f>
        <v/>
      </c>
      <c r="T11" s="60">
        <f>IF($A11="","",$L$61*$D11)</f>
        <v/>
      </c>
      <c r="U11" s="62">
        <f>IF($A11="","",$Q11-$E$62-$F$62)</f>
        <v/>
      </c>
      <c r="V11" s="60">
        <f>IF($A11="","",$L$62*$D11)</f>
        <v/>
      </c>
      <c r="W11" s="62">
        <f>IF($A11="","",$S11-$E$63-$F$63)</f>
        <v/>
      </c>
      <c r="X11" s="60">
        <f>IF($A11="","",$L$63*$D11)</f>
        <v/>
      </c>
      <c r="Y11" s="62">
        <f>IF($A11="","",$Q11)</f>
        <v/>
      </c>
      <c r="Z11" s="60">
        <f>IF($A11="","",$L$64*$D11)</f>
        <v/>
      </c>
      <c r="AA11" s="62">
        <f>IF($A11="","",$B11-$E$65-$F$65)</f>
        <v/>
      </c>
      <c r="AB11" s="60">
        <f>IF($A11="","",$L$65*$D11)</f>
        <v/>
      </c>
      <c r="AC11" s="62">
        <f>IF($A11="","",$C11-$E$66-$F$66)</f>
        <v/>
      </c>
      <c r="AD11" s="60">
        <f>IF($A11="","",$L$66*$D11)</f>
        <v/>
      </c>
      <c r="AE11" s="62">
        <f>IF($A11="","",$B11-$E$67-$F$67)</f>
        <v/>
      </c>
      <c r="AF11" s="60">
        <f>IF($A11="","",$L$67*$D11)</f>
        <v/>
      </c>
      <c r="AG11" s="62">
        <f>IF($A11="","",$C11-$E$68-$F$68)</f>
        <v/>
      </c>
      <c r="AH11" s="60">
        <f>IF($A11="","",$L$68*$D11)</f>
        <v/>
      </c>
      <c r="AI11" s="63">
        <f>IF($A11="","",$Q11-68-68)</f>
        <v/>
      </c>
      <c r="AJ11" s="133">
        <f>IF($A11="","",$S11-68-68)</f>
        <v/>
      </c>
      <c r="AK11" s="65">
        <f>IF($A11="","",2*5*$D11)</f>
        <v/>
      </c>
      <c r="AL11">
        <f>IF($A11="","",$BC$7*$D11)</f>
        <v/>
      </c>
      <c r="AM11">
        <f>IF($A11="","",$BC$6*$D11)</f>
        <v/>
      </c>
      <c r="AN11">
        <f>IF($A11="","",$BC$9*$D11)</f>
        <v/>
      </c>
      <c r="AO11">
        <f>IF($A11="","",$BC$10*$D11)</f>
        <v/>
      </c>
      <c r="AP11">
        <f>IF($A11="","",2*$BC$6*$D11)</f>
        <v/>
      </c>
      <c r="AQ11">
        <f>IF($A11="","",IF($B11&gt;2800,2,IF($B11&gt;1400,1,0))*$BC$6*$D11)</f>
        <v/>
      </c>
      <c r="AR11">
        <f>IF($A11="","",2*$BC$6*$D11)</f>
        <v/>
      </c>
      <c r="AS11">
        <f>IF($A11="","",$BC$6*$D11)</f>
        <v/>
      </c>
      <c r="AT11">
        <f>IF($A11="","",2*$BC$6*$D11)</f>
        <v/>
      </c>
      <c r="AU11">
        <f>IF($A11="","",4*5*$D11)</f>
        <v/>
      </c>
      <c r="AV11">
        <f>IF($A11="","",16*5*$D11)</f>
        <v/>
      </c>
      <c r="AW11">
        <f>IF($A11="","",(2+MAX(0,ROUNDUP(($K11-1500)/500,0)))*$D11)</f>
        <v/>
      </c>
      <c r="AX11">
        <f>IF($A11="","",(2+MAX(0,ROUNDUP(($K11-1500)/500,0)))*$D11)</f>
        <v/>
      </c>
      <c r="AY11">
        <f>IF($A11="","",ROUND((2*2*($S11+$Q11)*5*$D11+$Y11*$Z11)/1000,1))</f>
        <v/>
      </c>
      <c r="BA11" t="inlineStr">
        <is>
          <t>Alignล็อคดำ</t>
        </is>
      </c>
      <c r="BB11" t="inlineStr">
        <is>
          <t>JR00375</t>
        </is>
      </c>
    </row>
    <row r="12" ht="40.15" customHeight="1">
      <c r="A12" s="58" t="n"/>
      <c r="B12" s="59" t="n"/>
      <c r="C12" s="60" t="n"/>
      <c r="D12" s="61" t="n"/>
      <c r="E12" s="66">
        <f>IF($A12="","",$B12)</f>
        <v/>
      </c>
      <c r="F12" s="67">
        <f>IF($A12="","",$L$54*$D12)</f>
        <v/>
      </c>
      <c r="G12" s="66">
        <f>IF($A12="","",$B12)</f>
        <v/>
      </c>
      <c r="H12" s="67">
        <f>IF($A12="","",$L$55*$D12)</f>
        <v/>
      </c>
      <c r="I12" s="66">
        <f>IF($A12="","",$B12)</f>
        <v/>
      </c>
      <c r="J12" s="67">
        <f>IF($A12="","",$L$56*$D12)</f>
        <v/>
      </c>
      <c r="K12" s="66">
        <f>IF($A12="","",$C12-$E$57-$F$57)</f>
        <v/>
      </c>
      <c r="L12" s="67">
        <f>IF($A12="","",$L$57*$D12)</f>
        <v/>
      </c>
      <c r="M12" s="66">
        <f>IF($A12="","",$C12-$E$58-$F$58)</f>
        <v/>
      </c>
      <c r="N12" s="67">
        <f>IF($A12="","",$L$58*$D12)</f>
        <v/>
      </c>
      <c r="O12" s="66">
        <f>IF($A12="","",$C12)</f>
        <v/>
      </c>
      <c r="P12" s="67">
        <f>IF($A12="","",$L$59*$D12)</f>
        <v/>
      </c>
      <c r="Q12" s="66">
        <f>IF($A12="","",$B12-$E$60-$F$60-$G$60-$H$60)</f>
        <v/>
      </c>
      <c r="R12" s="67">
        <f>IF($A12="","",$L$60*$D12)</f>
        <v/>
      </c>
      <c r="S12" s="66">
        <f>IF($A12="","",(($C12-$E$61-$F$61-$G$61-$H$61-$I$61)/5)+(78*4)/5)</f>
        <v/>
      </c>
      <c r="T12" s="67">
        <f>IF($A12="","",$L$61*$D12)</f>
        <v/>
      </c>
      <c r="U12" s="66">
        <f>IF($A12="","",$Q12-$E$62-$F$62)</f>
        <v/>
      </c>
      <c r="V12" s="67">
        <f>IF($A12="","",$L$62*$D12)</f>
        <v/>
      </c>
      <c r="W12" s="66">
        <f>IF($A12="","",$S12-$E$63-$F$63)</f>
        <v/>
      </c>
      <c r="X12" s="67">
        <f>IF($A12="","",$L$63*$D12)</f>
        <v/>
      </c>
      <c r="Y12" s="66">
        <f>IF($A12="","",$Q12)</f>
        <v/>
      </c>
      <c r="Z12" s="67">
        <f>IF($A12="","",$L$64*$D12)</f>
        <v/>
      </c>
      <c r="AA12" s="66">
        <f>IF($A12="","",$B12-$E$65-$F$65)</f>
        <v/>
      </c>
      <c r="AB12" s="67">
        <f>IF($A12="","",$L$65*$D12)</f>
        <v/>
      </c>
      <c r="AC12" s="66">
        <f>IF($A12="","",$C12-$E$66-$F$66)</f>
        <v/>
      </c>
      <c r="AD12" s="67">
        <f>IF($A12="","",$L$66*$D12)</f>
        <v/>
      </c>
      <c r="AE12" s="66">
        <f>IF($A12="","",$B12-$E$67-$F$67)</f>
        <v/>
      </c>
      <c r="AF12" s="67">
        <f>IF($A12="","",$L$67*$D12)</f>
        <v/>
      </c>
      <c r="AG12" s="66">
        <f>IF($A12="","",$C12-$E$68-$F$68)</f>
        <v/>
      </c>
      <c r="AH12" s="67">
        <f>IF($A12="","",$L$68*$D12)</f>
        <v/>
      </c>
      <c r="AI12" s="63">
        <f>IF($A12="","",$Q12-68-68)</f>
        <v/>
      </c>
      <c r="AJ12" s="64">
        <f>IF($A12="","",$S12-68-68)</f>
        <v/>
      </c>
      <c r="AK12" s="65">
        <f>IF($A12="","",2*5*$D12)</f>
        <v/>
      </c>
      <c r="AL12">
        <f>IF($A12="","",$BC$7*$D12)</f>
        <v/>
      </c>
      <c r="AM12">
        <f>IF($A12="","",$BC$6*$D12)</f>
        <v/>
      </c>
      <c r="AN12">
        <f>IF($A12="","",$BC$9*$D12)</f>
        <v/>
      </c>
      <c r="AO12">
        <f>IF($A12="","",$BC$10*$D12)</f>
        <v/>
      </c>
      <c r="AP12">
        <f>IF($A12="","",2*$BC$6*$D12)</f>
        <v/>
      </c>
      <c r="AQ12">
        <f>IF($A12="","",IF($B12&gt;2800,2,IF($B12&gt;1400,1,0))*$BC$6*$D12)</f>
        <v/>
      </c>
      <c r="AR12">
        <f>IF($A12="","",2*$BC$6*$D12)</f>
        <v/>
      </c>
      <c r="AS12">
        <f>IF($A12="","",$BC$6*$D12)</f>
        <v/>
      </c>
      <c r="AT12">
        <f>IF($A12="","",2*$BC$6*$D12)</f>
        <v/>
      </c>
      <c r="AU12">
        <f>IF($A12="","",4*5*$D12)</f>
        <v/>
      </c>
      <c r="AV12">
        <f>IF($A12="","",16*5*$D12)</f>
        <v/>
      </c>
      <c r="AW12">
        <f>IF($A12="","",(2+MAX(0,ROUNDUP(($K12-1500)/500,0)))*$D12)</f>
        <v/>
      </c>
      <c r="AX12">
        <f>IF($A12="","",(2+MAX(0,ROUNDUP(($K12-1500)/500,0)))*$D12)</f>
        <v/>
      </c>
      <c r="AY12">
        <f>IF($A12="","",ROUND((2*2*($S12+$Q12)*5*$D12+$Y12*$Z12)/1000,1))</f>
        <v/>
      </c>
      <c r="BA12" t="inlineStr">
        <is>
          <t>Alignดัมมี่ดำ</t>
        </is>
      </c>
      <c r="BB12" t="inlineStr">
        <is>
          <t>JR00376</t>
        </is>
      </c>
    </row>
    <row r="13" ht="40.15" customHeight="1">
      <c r="A13" s="58" t="n"/>
      <c r="B13" s="59" t="n"/>
      <c r="C13" s="60" t="n"/>
      <c r="D13" s="61" t="n"/>
      <c r="E13" s="62">
        <f>IF($A13="","",$B13)</f>
        <v/>
      </c>
      <c r="F13" s="60">
        <f>IF($A13="","",$L$54*$D13)</f>
        <v/>
      </c>
      <c r="G13" s="62">
        <f>IF($A13="","",$B13)</f>
        <v/>
      </c>
      <c r="H13" s="60">
        <f>IF($A13="","",$L$55*$D13)</f>
        <v/>
      </c>
      <c r="I13" s="62">
        <f>IF($A13="","",$B13)</f>
        <v/>
      </c>
      <c r="J13" s="60">
        <f>IF($A13="","",$L$56*$D13)</f>
        <v/>
      </c>
      <c r="K13" s="62">
        <f>IF($A13="","",$C13-$E$57-$F$57)</f>
        <v/>
      </c>
      <c r="L13" s="60">
        <f>IF($A13="","",$L$57*$D13)</f>
        <v/>
      </c>
      <c r="M13" s="62">
        <f>IF($A13="","",$C13-$E$58-$F$58)</f>
        <v/>
      </c>
      <c r="N13" s="60">
        <f>IF($A13="","",$L$58*$D13)</f>
        <v/>
      </c>
      <c r="O13" s="62">
        <f>IF($A13="","",$C13)</f>
        <v/>
      </c>
      <c r="P13" s="60">
        <f>IF($A13="","",$L$59*$D13)</f>
        <v/>
      </c>
      <c r="Q13" s="62">
        <f>IF($A13="","",$B13-$E$60-$F$60-$G$60-$H$60)</f>
        <v/>
      </c>
      <c r="R13" s="60">
        <f>IF($A13="","",$L$60*$D13)</f>
        <v/>
      </c>
      <c r="S13" s="62">
        <f>IF($A13="","",(($C13-$E$61-$F$61-$G$61-$H$61-$I$61)/5)+(78*4)/5)</f>
        <v/>
      </c>
      <c r="T13" s="60">
        <f>IF($A13="","",$L$61*$D13)</f>
        <v/>
      </c>
      <c r="U13" s="62">
        <f>IF($A13="","",$Q13-$E$62-$F$62)</f>
        <v/>
      </c>
      <c r="V13" s="60">
        <f>IF($A13="","",$L$62*$D13)</f>
        <v/>
      </c>
      <c r="W13" s="62">
        <f>IF($A13="","",$S13-$E$63-$F$63)</f>
        <v/>
      </c>
      <c r="X13" s="60">
        <f>IF($A13="","",$L$63*$D13)</f>
        <v/>
      </c>
      <c r="Y13" s="62">
        <f>IF($A13="","",$Q13)</f>
        <v/>
      </c>
      <c r="Z13" s="60">
        <f>IF($A13="","",$L$64*$D13)</f>
        <v/>
      </c>
      <c r="AA13" s="62">
        <f>IF($A13="","",$B13-$E$65-$F$65)</f>
        <v/>
      </c>
      <c r="AB13" s="60">
        <f>IF($A13="","",$L$65*$D13)</f>
        <v/>
      </c>
      <c r="AC13" s="62">
        <f>IF($A13="","",$C13-$E$66-$F$66)</f>
        <v/>
      </c>
      <c r="AD13" s="60">
        <f>IF($A13="","",$L$66*$D13)</f>
        <v/>
      </c>
      <c r="AE13" s="62">
        <f>IF($A13="","",$B13-$E$67-$F$67)</f>
        <v/>
      </c>
      <c r="AF13" s="60">
        <f>IF($A13="","",$L$67*$D13)</f>
        <v/>
      </c>
      <c r="AG13" s="62">
        <f>IF($A13="","",$C13-$E$68-$F$68)</f>
        <v/>
      </c>
      <c r="AH13" s="60">
        <f>IF($A13="","",$L$68*$D13)</f>
        <v/>
      </c>
      <c r="AI13" s="63">
        <f>IF($A13="","",$Q13-68-68)</f>
        <v/>
      </c>
      <c r="AJ13" s="64">
        <f>IF($A13="","",$S13-68-68)</f>
        <v/>
      </c>
      <c r="AK13" s="65">
        <f>IF($A13="","",2*5*$D13)</f>
        <v/>
      </c>
      <c r="AL13">
        <f>IF($A13="","",$BC$7*$D13)</f>
        <v/>
      </c>
      <c r="AM13">
        <f>IF($A13="","",$BC$6*$D13)</f>
        <v/>
      </c>
      <c r="AN13">
        <f>IF($A13="","",$BC$9*$D13)</f>
        <v/>
      </c>
      <c r="AO13">
        <f>IF($A13="","",$BC$10*$D13)</f>
        <v/>
      </c>
      <c r="AP13">
        <f>IF($A13="","",2*$BC$6*$D13)</f>
        <v/>
      </c>
      <c r="AQ13">
        <f>IF($A13="","",IF($B13&gt;2800,2,IF($B13&gt;1400,1,0))*$BC$6*$D13)</f>
        <v/>
      </c>
      <c r="AR13">
        <f>IF($A13="","",2*$BC$6*$D13)</f>
        <v/>
      </c>
      <c r="AS13">
        <f>IF($A13="","",$BC$6*$D13)</f>
        <v/>
      </c>
      <c r="AT13">
        <f>IF($A13="","",2*$BC$6*$D13)</f>
        <v/>
      </c>
      <c r="AU13">
        <f>IF($A13="","",4*5*$D13)</f>
        <v/>
      </c>
      <c r="AV13">
        <f>IF($A13="","",16*5*$D13)</f>
        <v/>
      </c>
      <c r="AW13">
        <f>IF($A13="","",(2+MAX(0,ROUNDUP(($K13-1500)/500,0)))*$D13)</f>
        <v/>
      </c>
      <c r="AX13">
        <f>IF($A13="","",(2+MAX(0,ROUNDUP(($K13-1500)/500,0)))*$D13)</f>
        <v/>
      </c>
      <c r="AY13">
        <f>IF($A13="","",ROUND((2*2*($S13+$Q13)*5*$D13+$Y13*$Z13)/1000,1))</f>
        <v/>
      </c>
    </row>
    <row r="14" ht="40.15" customHeight="1">
      <c r="A14" s="58" t="n"/>
      <c r="B14" s="59" t="n"/>
      <c r="C14" s="60" t="n"/>
      <c r="D14" s="61" t="n"/>
      <c r="E14" s="66">
        <f>IF($A14="","",$B14)</f>
        <v/>
      </c>
      <c r="F14" s="67">
        <f>IF($A14="","",$L$54*$D14)</f>
        <v/>
      </c>
      <c r="G14" s="66">
        <f>IF($A14="","",$B14)</f>
        <v/>
      </c>
      <c r="H14" s="67">
        <f>IF($A14="","",$L$55*$D14)</f>
        <v/>
      </c>
      <c r="I14" s="66">
        <f>IF($A14="","",$B14)</f>
        <v/>
      </c>
      <c r="J14" s="67">
        <f>IF($A14="","",$L$56*$D14)</f>
        <v/>
      </c>
      <c r="K14" s="66">
        <f>IF($A14="","",$C14-$E$57-$F$57)</f>
        <v/>
      </c>
      <c r="L14" s="67">
        <f>IF($A14="","",$L$57*$D14)</f>
        <v/>
      </c>
      <c r="M14" s="66">
        <f>IF($A14="","",$C14-$E$58-$F$58)</f>
        <v/>
      </c>
      <c r="N14" s="67">
        <f>IF($A14="","",$L$58*$D14)</f>
        <v/>
      </c>
      <c r="O14" s="66">
        <f>IF($A14="","",$C14)</f>
        <v/>
      </c>
      <c r="P14" s="67">
        <f>IF($A14="","",$L$59*$D14)</f>
        <v/>
      </c>
      <c r="Q14" s="66">
        <f>IF($A14="","",$B14-$E$60-$F$60-$G$60-$H$60)</f>
        <v/>
      </c>
      <c r="R14" s="67">
        <f>IF($A14="","",$L$60*$D14)</f>
        <v/>
      </c>
      <c r="S14" s="66">
        <f>IF($A14="","",(($C14-$E$61-$F$61-$G$61-$H$61-$I$61)/5)+(78*4)/5)</f>
        <v/>
      </c>
      <c r="T14" s="67">
        <f>IF($A14="","",$L$61*$D14)</f>
        <v/>
      </c>
      <c r="U14" s="66">
        <f>IF($A14="","",$Q14-$E$62-$F$62)</f>
        <v/>
      </c>
      <c r="V14" s="67">
        <f>IF($A14="","",$L$62*$D14)</f>
        <v/>
      </c>
      <c r="W14" s="66">
        <f>IF($A14="","",$S14-$E$63-$F$63)</f>
        <v/>
      </c>
      <c r="X14" s="67">
        <f>IF($A14="","",$L$63*$D14)</f>
        <v/>
      </c>
      <c r="Y14" s="66">
        <f>IF($A14="","",$Q14)</f>
        <v/>
      </c>
      <c r="Z14" s="67">
        <f>IF($A14="","",$L$64*$D14)</f>
        <v/>
      </c>
      <c r="AA14" s="66">
        <f>IF($A14="","",$B14-$E$65-$F$65)</f>
        <v/>
      </c>
      <c r="AB14" s="67">
        <f>IF($A14="","",$L$65*$D14)</f>
        <v/>
      </c>
      <c r="AC14" s="66">
        <f>IF($A14="","",$C14-$E$66-$F$66)</f>
        <v/>
      </c>
      <c r="AD14" s="67">
        <f>IF($A14="","",$L$66*$D14)</f>
        <v/>
      </c>
      <c r="AE14" s="66">
        <f>IF($A14="","",$B14-$E$67-$F$67)</f>
        <v/>
      </c>
      <c r="AF14" s="67">
        <f>IF($A14="","",$L$67*$D14)</f>
        <v/>
      </c>
      <c r="AG14" s="66">
        <f>IF($A14="","",$C14-$E$68-$F$68)</f>
        <v/>
      </c>
      <c r="AH14" s="67">
        <f>IF($A14="","",$L$68*$D14)</f>
        <v/>
      </c>
      <c r="AI14" s="63">
        <f>IF($A14="","",$Q14-68-68)</f>
        <v/>
      </c>
      <c r="AJ14" s="64">
        <f>IF($A14="","",$S14-68-68)</f>
        <v/>
      </c>
      <c r="AK14" s="65">
        <f>IF($A14="","",2*5*$D14)</f>
        <v/>
      </c>
      <c r="AL14">
        <f>IF($A14="","",$BC$7*$D14)</f>
        <v/>
      </c>
      <c r="AM14">
        <f>IF($A14="","",$BC$6*$D14)</f>
        <v/>
      </c>
      <c r="AN14">
        <f>IF($A14="","",$BC$9*$D14)</f>
        <v/>
      </c>
      <c r="AO14">
        <f>IF($A14="","",$BC$10*$D14)</f>
        <v/>
      </c>
      <c r="AP14">
        <f>IF($A14="","",2*$BC$6*$D14)</f>
        <v/>
      </c>
      <c r="AQ14">
        <f>IF($A14="","",IF($B14&gt;2800,2,IF($B14&gt;1400,1,0))*$BC$6*$D14)</f>
        <v/>
      </c>
      <c r="AR14">
        <f>IF($A14="","",2*$BC$6*$D14)</f>
        <v/>
      </c>
      <c r="AS14">
        <f>IF($A14="","",$BC$6*$D14)</f>
        <v/>
      </c>
      <c r="AT14">
        <f>IF($A14="","",2*$BC$6*$D14)</f>
        <v/>
      </c>
      <c r="AU14">
        <f>IF($A14="","",4*5*$D14)</f>
        <v/>
      </c>
      <c r="AV14">
        <f>IF($A14="","",16*5*$D14)</f>
        <v/>
      </c>
      <c r="AW14">
        <f>IF($A14="","",(2+MAX(0,ROUNDUP(($K14-1500)/500,0)))*$D14)</f>
        <v/>
      </c>
      <c r="AX14">
        <f>IF($A14="","",(2+MAX(0,ROUNDUP(($K14-1500)/500,0)))*$D14)</f>
        <v/>
      </c>
      <c r="AY14">
        <f>IF($A14="","",ROUND((2*2*($S14+$Q14)*5*$D14+$Y14*$Z14)/1000,1))</f>
        <v/>
      </c>
    </row>
    <row r="15" ht="40.15" customHeight="1">
      <c r="A15" s="58" t="n"/>
      <c r="B15" s="59" t="n"/>
      <c r="C15" s="60" t="n"/>
      <c r="D15" s="61" t="n"/>
      <c r="E15" s="62">
        <f>IF($A15="","",$B15)</f>
        <v/>
      </c>
      <c r="F15" s="60">
        <f>IF($A15="","",$L$54*$D15)</f>
        <v/>
      </c>
      <c r="G15" s="62">
        <f>IF($A15="","",$B15)</f>
        <v/>
      </c>
      <c r="H15" s="60">
        <f>IF($A15="","",$L$55*$D15)</f>
        <v/>
      </c>
      <c r="I15" s="62">
        <f>IF($A15="","",$B15)</f>
        <v/>
      </c>
      <c r="J15" s="60">
        <f>IF($A15="","",$L$56*$D15)</f>
        <v/>
      </c>
      <c r="K15" s="62">
        <f>IF($A15="","",$C15-$E$57-$F$57)</f>
        <v/>
      </c>
      <c r="L15" s="60">
        <f>IF($A15="","",$L$57*$D15)</f>
        <v/>
      </c>
      <c r="M15" s="62">
        <f>IF($A15="","",$C15-$E$58-$F$58)</f>
        <v/>
      </c>
      <c r="N15" s="60">
        <f>IF($A15="","",$L$58*$D15)</f>
        <v/>
      </c>
      <c r="O15" s="62">
        <f>IF($A15="","",$C15)</f>
        <v/>
      </c>
      <c r="P15" s="60">
        <f>IF($A15="","",$L$59*$D15)</f>
        <v/>
      </c>
      <c r="Q15" s="62">
        <f>IF($A15="","",$B15-$E$60-$F$60-$G$60-$H$60)</f>
        <v/>
      </c>
      <c r="R15" s="60">
        <f>IF($A15="","",$L$60*$D15)</f>
        <v/>
      </c>
      <c r="S15" s="62">
        <f>IF($A15="","",(($C15-$E$61-$F$61-$G$61-$H$61-$I$61)/5)+(78*4)/5)</f>
        <v/>
      </c>
      <c r="T15" s="60">
        <f>IF($A15="","",$L$61*$D15)</f>
        <v/>
      </c>
      <c r="U15" s="62">
        <f>IF($A15="","",$Q15-$E$62-$F$62)</f>
        <v/>
      </c>
      <c r="V15" s="60">
        <f>IF($A15="","",$L$62*$D15)</f>
        <v/>
      </c>
      <c r="W15" s="62">
        <f>IF($A15="","",$S15-$E$63-$F$63)</f>
        <v/>
      </c>
      <c r="X15" s="60">
        <f>IF($A15="","",$L$63*$D15)</f>
        <v/>
      </c>
      <c r="Y15" s="62">
        <f>IF($A15="","",$Q15)</f>
        <v/>
      </c>
      <c r="Z15" s="60">
        <f>IF($A15="","",$L$64*$D15)</f>
        <v/>
      </c>
      <c r="AA15" s="62">
        <f>IF($A15="","",$B15-$E$65-$F$65)</f>
        <v/>
      </c>
      <c r="AB15" s="60">
        <f>IF($A15="","",$L$65*$D15)</f>
        <v/>
      </c>
      <c r="AC15" s="62">
        <f>IF($A15="","",$C15-$E$66-$F$66)</f>
        <v/>
      </c>
      <c r="AD15" s="60">
        <f>IF($A15="","",$L$66*$D15)</f>
        <v/>
      </c>
      <c r="AE15" s="62">
        <f>IF($A15="","",$B15-$E$67-$F$67)</f>
        <v/>
      </c>
      <c r="AF15" s="60">
        <f>IF($A15="","",$L$67*$D15)</f>
        <v/>
      </c>
      <c r="AG15" s="62">
        <f>IF($A15="","",$C15-$E$68-$F$68)</f>
        <v/>
      </c>
      <c r="AH15" s="60">
        <f>IF($A15="","",$L$68*$D15)</f>
        <v/>
      </c>
      <c r="AI15" s="63">
        <f>IF($A15="","",$Q15-68-68)</f>
        <v/>
      </c>
      <c r="AJ15" s="64">
        <f>IF($A15="","",$S15-68-68)</f>
        <v/>
      </c>
      <c r="AK15" s="65">
        <f>IF($A15="","",2*5*$D15)</f>
        <v/>
      </c>
      <c r="AL15">
        <f>IF($A15="","",$BC$7*$D15)</f>
        <v/>
      </c>
      <c r="AM15">
        <f>IF($A15="","",$BC$6*$D15)</f>
        <v/>
      </c>
      <c r="AN15">
        <f>IF($A15="","",$BC$9*$D15)</f>
        <v/>
      </c>
      <c r="AO15">
        <f>IF($A15="","",$BC$10*$D15)</f>
        <v/>
      </c>
      <c r="AP15">
        <f>IF($A15="","",2*$BC$6*$D15)</f>
        <v/>
      </c>
      <c r="AQ15">
        <f>IF($A15="","",IF($B15&gt;2800,2,IF($B15&gt;1400,1,0))*$BC$6*$D15)</f>
        <v/>
      </c>
      <c r="AR15">
        <f>IF($A15="","",2*$BC$6*$D15)</f>
        <v/>
      </c>
      <c r="AS15">
        <f>IF($A15="","",$BC$6*$D15)</f>
        <v/>
      </c>
      <c r="AT15">
        <f>IF($A15="","",2*$BC$6*$D15)</f>
        <v/>
      </c>
      <c r="AU15">
        <f>IF($A15="","",4*5*$D15)</f>
        <v/>
      </c>
      <c r="AV15">
        <f>IF($A15="","",16*5*$D15)</f>
        <v/>
      </c>
      <c r="AW15">
        <f>IF($A15="","",(2+MAX(0,ROUNDUP(($K15-1500)/500,0)))*$D15)</f>
        <v/>
      </c>
      <c r="AX15">
        <f>IF($A15="","",(2+MAX(0,ROUNDUP(($K15-1500)/500,0)))*$D15)</f>
        <v/>
      </c>
      <c r="AY15">
        <f>IF($A15="","",ROUND((2*2*($S15+$Q15)*5*$D15+$Y15*$Z15)/1000,1))</f>
        <v/>
      </c>
    </row>
    <row r="16" ht="40.15" customHeight="1">
      <c r="A16" s="58" t="n"/>
      <c r="B16" s="59" t="n"/>
      <c r="C16" s="60" t="n"/>
      <c r="D16" s="61" t="n"/>
      <c r="E16" s="66">
        <f>IF($A16="","",$B16)</f>
        <v/>
      </c>
      <c r="F16" s="67">
        <f>IF($A16="","",$L$54*$D16)</f>
        <v/>
      </c>
      <c r="G16" s="66">
        <f>IF($A16="","",$B16)</f>
        <v/>
      </c>
      <c r="H16" s="67">
        <f>IF($A16="","",$L$55*$D16)</f>
        <v/>
      </c>
      <c r="I16" s="66">
        <f>IF($A16="","",$B16)</f>
        <v/>
      </c>
      <c r="J16" s="67">
        <f>IF($A16="","",$L$56*$D16)</f>
        <v/>
      </c>
      <c r="K16" s="66">
        <f>IF($A16="","",$C16-$E$57-$F$57)</f>
        <v/>
      </c>
      <c r="L16" s="67">
        <f>IF($A16="","",$L$57*$D16)</f>
        <v/>
      </c>
      <c r="M16" s="66">
        <f>IF($A16="","",$C16-$E$58-$F$58)</f>
        <v/>
      </c>
      <c r="N16" s="67">
        <f>IF($A16="","",$L$58*$D16)</f>
        <v/>
      </c>
      <c r="O16" s="66">
        <f>IF($A16="","",$C16)</f>
        <v/>
      </c>
      <c r="P16" s="67">
        <f>IF($A16="","",$L$59*$D16)</f>
        <v/>
      </c>
      <c r="Q16" s="66">
        <f>IF($A16="","",$B16-$E$60-$F$60-$G$60-$H$60)</f>
        <v/>
      </c>
      <c r="R16" s="67">
        <f>IF($A16="","",$L$60*$D16)</f>
        <v/>
      </c>
      <c r="S16" s="66">
        <f>IF($A16="","",(($C16-$E$61-$F$61-$G$61-$H$61-$I$61)/5)+(78*4)/5)</f>
        <v/>
      </c>
      <c r="T16" s="67">
        <f>IF($A16="","",$L$61*$D16)</f>
        <v/>
      </c>
      <c r="U16" s="66">
        <f>IF($A16="","",$Q16-$E$62-$F$62)</f>
        <v/>
      </c>
      <c r="V16" s="67">
        <f>IF($A16="","",$L$62*$D16)</f>
        <v/>
      </c>
      <c r="W16" s="66">
        <f>IF($A16="","",$S16-$E$63-$F$63)</f>
        <v/>
      </c>
      <c r="X16" s="67">
        <f>IF($A16="","",$L$63*$D16)</f>
        <v/>
      </c>
      <c r="Y16" s="66">
        <f>IF($A16="","",$Q16)</f>
        <v/>
      </c>
      <c r="Z16" s="67">
        <f>IF($A16="","",$L$64*$D16)</f>
        <v/>
      </c>
      <c r="AA16" s="66">
        <f>IF($A16="","",$B16-$E$65-$F$65)</f>
        <v/>
      </c>
      <c r="AB16" s="67">
        <f>IF($A16="","",$L$65*$D16)</f>
        <v/>
      </c>
      <c r="AC16" s="66">
        <f>IF($A16="","",$C16-$E$66-$F$66)</f>
        <v/>
      </c>
      <c r="AD16" s="67">
        <f>IF($A16="","",$L$66*$D16)</f>
        <v/>
      </c>
      <c r="AE16" s="66">
        <f>IF($A16="","",$B16-$E$67-$F$67)</f>
        <v/>
      </c>
      <c r="AF16" s="67">
        <f>IF($A16="","",$L$67*$D16)</f>
        <v/>
      </c>
      <c r="AG16" s="66">
        <f>IF($A16="","",$C16-$E$68-$F$68)</f>
        <v/>
      </c>
      <c r="AH16" s="67">
        <f>IF($A16="","",$L$68*$D16)</f>
        <v/>
      </c>
      <c r="AI16" s="63">
        <f>IF($A16="","",$Q16-68-68)</f>
        <v/>
      </c>
      <c r="AJ16" s="64">
        <f>IF($A16="","",$S16-68-68)</f>
        <v/>
      </c>
      <c r="AK16" s="65">
        <f>IF($A16="","",2*5*$D16)</f>
        <v/>
      </c>
      <c r="AL16">
        <f>IF($A16="","",$BC$7*$D16)</f>
        <v/>
      </c>
      <c r="AM16">
        <f>IF($A16="","",$BC$6*$D16)</f>
        <v/>
      </c>
      <c r="AN16">
        <f>IF($A16="","",$BC$9*$D16)</f>
        <v/>
      </c>
      <c r="AO16">
        <f>IF($A16="","",$BC$10*$D16)</f>
        <v/>
      </c>
      <c r="AP16">
        <f>IF($A16="","",2*$BC$6*$D16)</f>
        <v/>
      </c>
      <c r="AQ16">
        <f>IF($A16="","",IF($B16&gt;2800,2,IF($B16&gt;1400,1,0))*$BC$6*$D16)</f>
        <v/>
      </c>
      <c r="AR16">
        <f>IF($A16="","",2*$BC$6*$D16)</f>
        <v/>
      </c>
      <c r="AS16">
        <f>IF($A16="","",$BC$6*$D16)</f>
        <v/>
      </c>
      <c r="AT16">
        <f>IF($A16="","",2*$BC$6*$D16)</f>
        <v/>
      </c>
      <c r="AU16">
        <f>IF($A16="","",4*5*$D16)</f>
        <v/>
      </c>
      <c r="AV16">
        <f>IF($A16="","",16*5*$D16)</f>
        <v/>
      </c>
      <c r="AW16">
        <f>IF($A16="","",(2+MAX(0,ROUNDUP(($K16-1500)/500,0)))*$D16)</f>
        <v/>
      </c>
      <c r="AX16">
        <f>IF($A16="","",(2+MAX(0,ROUNDUP(($K16-1500)/500,0)))*$D16)</f>
        <v/>
      </c>
      <c r="AY16">
        <f>IF($A16="","",ROUND((2*2*($S16+$Q16)*5*$D16+$Y16*$Z16)/1000,1))</f>
        <v/>
      </c>
    </row>
    <row r="17" ht="40.15" customHeight="1">
      <c r="A17" s="58" t="n"/>
      <c r="B17" s="59" t="n"/>
      <c r="C17" s="60" t="n"/>
      <c r="D17" s="61" t="n"/>
      <c r="E17" s="62">
        <f>IF($A17="","",$B17)</f>
        <v/>
      </c>
      <c r="F17" s="60">
        <f>IF($A17="","",$L$54*$D17)</f>
        <v/>
      </c>
      <c r="G17" s="62">
        <f>IF($A17="","",$B17)</f>
        <v/>
      </c>
      <c r="H17" s="60">
        <f>IF($A17="","",$L$55*$D17)</f>
        <v/>
      </c>
      <c r="I17" s="62">
        <f>IF($A17="","",$B17)</f>
        <v/>
      </c>
      <c r="J17" s="60">
        <f>IF($A17="","",$L$56*$D17)</f>
        <v/>
      </c>
      <c r="K17" s="62">
        <f>IF($A17="","",$C17-$E$57-$F$57)</f>
        <v/>
      </c>
      <c r="L17" s="60">
        <f>IF($A17="","",$L$57*$D17)</f>
        <v/>
      </c>
      <c r="M17" s="62">
        <f>IF($A17="","",$C17-$E$58-$F$58)</f>
        <v/>
      </c>
      <c r="N17" s="60">
        <f>IF($A17="","",$L$58*$D17)</f>
        <v/>
      </c>
      <c r="O17" s="62">
        <f>IF($A17="","",$C17)</f>
        <v/>
      </c>
      <c r="P17" s="60">
        <f>IF($A17="","",$L$59*$D17)</f>
        <v/>
      </c>
      <c r="Q17" s="62">
        <f>IF($A17="","",$B17-$E$60-$F$60-$G$60-$H$60)</f>
        <v/>
      </c>
      <c r="R17" s="60">
        <f>IF($A17="","",$L$60*$D17)</f>
        <v/>
      </c>
      <c r="S17" s="62">
        <f>IF($A17="","",(($C17-$E$61-$F$61-$G$61-$H$61-$I$61)/5)+(78*4)/5)</f>
        <v/>
      </c>
      <c r="T17" s="60">
        <f>IF($A17="","",$L$61*$D17)</f>
        <v/>
      </c>
      <c r="U17" s="62">
        <f>IF($A17="","",$Q17-$E$62-$F$62)</f>
        <v/>
      </c>
      <c r="V17" s="60">
        <f>IF($A17="","",$L$62*$D17)</f>
        <v/>
      </c>
      <c r="W17" s="62">
        <f>IF($A17="","",$S17-$E$63-$F$63)</f>
        <v/>
      </c>
      <c r="X17" s="60">
        <f>IF($A17="","",$L$63*$D17)</f>
        <v/>
      </c>
      <c r="Y17" s="62">
        <f>IF($A17="","",$Q17)</f>
        <v/>
      </c>
      <c r="Z17" s="60">
        <f>IF($A17="","",$L$64*$D17)</f>
        <v/>
      </c>
      <c r="AA17" s="62">
        <f>IF($A17="","",$B17-$E$65-$F$65)</f>
        <v/>
      </c>
      <c r="AB17" s="60">
        <f>IF($A17="","",$L$65*$D17)</f>
        <v/>
      </c>
      <c r="AC17" s="62">
        <f>IF($A17="","",$C17-$E$66-$F$66)</f>
        <v/>
      </c>
      <c r="AD17" s="60">
        <f>IF($A17="","",$L$66*$D17)</f>
        <v/>
      </c>
      <c r="AE17" s="62">
        <f>IF($A17="","",$B17-$E$67-$F$67)</f>
        <v/>
      </c>
      <c r="AF17" s="60">
        <f>IF($A17="","",$L$67*$D17)</f>
        <v/>
      </c>
      <c r="AG17" s="62">
        <f>IF($A17="","",$C17-$E$68-$F$68)</f>
        <v/>
      </c>
      <c r="AH17" s="60">
        <f>IF($A17="","",$L$68*$D17)</f>
        <v/>
      </c>
      <c r="AI17" s="63">
        <f>IF($A17="","",$Q17-68-68)</f>
        <v/>
      </c>
      <c r="AJ17" s="64">
        <f>IF($A17="","",$S17-68-68)</f>
        <v/>
      </c>
      <c r="AK17" s="65">
        <f>IF($A17="","",2*5*$D17)</f>
        <v/>
      </c>
      <c r="AL17">
        <f>IF($A17="","",$BC$7*$D17)</f>
        <v/>
      </c>
      <c r="AM17">
        <f>IF($A17="","",$BC$6*$D17)</f>
        <v/>
      </c>
      <c r="AN17">
        <f>IF($A17="","",$BC$9*$D17)</f>
        <v/>
      </c>
      <c r="AO17">
        <f>IF($A17="","",$BC$10*$D17)</f>
        <v/>
      </c>
      <c r="AP17">
        <f>IF($A17="","",2*$BC$6*$D17)</f>
        <v/>
      </c>
      <c r="AQ17">
        <f>IF($A17="","",IF($B17&gt;2800,2,IF($B17&gt;1400,1,0))*$BC$6*$D17)</f>
        <v/>
      </c>
      <c r="AR17">
        <f>IF($A17="","",2*$BC$6*$D17)</f>
        <v/>
      </c>
      <c r="AS17">
        <f>IF($A17="","",$BC$6*$D17)</f>
        <v/>
      </c>
      <c r="AT17">
        <f>IF($A17="","",2*$BC$6*$D17)</f>
        <v/>
      </c>
      <c r="AU17">
        <f>IF($A17="","",4*5*$D17)</f>
        <v/>
      </c>
      <c r="AV17">
        <f>IF($A17="","",16*5*$D17)</f>
        <v/>
      </c>
      <c r="AW17">
        <f>IF($A17="","",(2+MAX(0,ROUNDUP(($K17-1500)/500,0)))*$D17)</f>
        <v/>
      </c>
      <c r="AX17">
        <f>IF($A17="","",(2+MAX(0,ROUNDUP(($K17-1500)/500,0)))*$D17)</f>
        <v/>
      </c>
      <c r="AY17">
        <f>IF($A17="","",ROUND((2*2*($S17+$Q17)*5*$D17+$Y17*$Z17)/1000,1))</f>
        <v/>
      </c>
    </row>
    <row r="18" ht="40.15" customHeight="1">
      <c r="A18" s="58" t="n"/>
      <c r="B18" s="59" t="n"/>
      <c r="C18" s="60" t="n"/>
      <c r="D18" s="61" t="n"/>
      <c r="E18" s="66">
        <f>IF($A18="","",$B18)</f>
        <v/>
      </c>
      <c r="F18" s="67">
        <f>IF($A18="","",$L$54*$D18)</f>
        <v/>
      </c>
      <c r="G18" s="66">
        <f>IF($A18="","",$B18)</f>
        <v/>
      </c>
      <c r="H18" s="67">
        <f>IF($A18="","",$L$55*$D18)</f>
        <v/>
      </c>
      <c r="I18" s="66">
        <f>IF($A18="","",$B18)</f>
        <v/>
      </c>
      <c r="J18" s="67">
        <f>IF($A18="","",$L$56*$D18)</f>
        <v/>
      </c>
      <c r="K18" s="66">
        <f>IF($A18="","",$C18-$E$57-$F$57)</f>
        <v/>
      </c>
      <c r="L18" s="67">
        <f>IF($A18="","",$L$57*$D18)</f>
        <v/>
      </c>
      <c r="M18" s="66">
        <f>IF($A18="","",$C18-$E$58-$F$58)</f>
        <v/>
      </c>
      <c r="N18" s="67">
        <f>IF($A18="","",$L$58*$D18)</f>
        <v/>
      </c>
      <c r="O18" s="66">
        <f>IF($A18="","",$C18)</f>
        <v/>
      </c>
      <c r="P18" s="67">
        <f>IF($A18="","",$L$59*$D18)</f>
        <v/>
      </c>
      <c r="Q18" s="66">
        <f>IF($A18="","",$B18-$E$60-$F$60-$G$60-$H$60)</f>
        <v/>
      </c>
      <c r="R18" s="67">
        <f>IF($A18="","",$L$60*$D18)</f>
        <v/>
      </c>
      <c r="S18" s="66">
        <f>IF($A18="","",(($C18-$E$61-$F$61-$G$61-$H$61-$I$61)/5)+(78*4)/5)</f>
        <v/>
      </c>
      <c r="T18" s="67">
        <f>IF($A18="","",$L$61*$D18)</f>
        <v/>
      </c>
      <c r="U18" s="66">
        <f>IF($A18="","",$Q18-$E$62-$F$62)</f>
        <v/>
      </c>
      <c r="V18" s="67">
        <f>IF($A18="","",$L$62*$D18)</f>
        <v/>
      </c>
      <c r="W18" s="66">
        <f>IF($A18="","",$S18-$E$63-$F$63)</f>
        <v/>
      </c>
      <c r="X18" s="67">
        <f>IF($A18="","",$L$63*$D18)</f>
        <v/>
      </c>
      <c r="Y18" s="66">
        <f>IF($A18="","",$Q18)</f>
        <v/>
      </c>
      <c r="Z18" s="67">
        <f>IF($A18="","",$L$64*$D18)</f>
        <v/>
      </c>
      <c r="AA18" s="66">
        <f>IF($A18="","",$B18-$E$65-$F$65)</f>
        <v/>
      </c>
      <c r="AB18" s="67">
        <f>IF($A18="","",$L$65*$D18)</f>
        <v/>
      </c>
      <c r="AC18" s="66">
        <f>IF($A18="","",$C18-$E$66-$F$66)</f>
        <v/>
      </c>
      <c r="AD18" s="67">
        <f>IF($A18="","",$L$66*$D18)</f>
        <v/>
      </c>
      <c r="AE18" s="66">
        <f>IF($A18="","",$B18-$E$67-$F$67)</f>
        <v/>
      </c>
      <c r="AF18" s="67">
        <f>IF($A18="","",$L$67*$D18)</f>
        <v/>
      </c>
      <c r="AG18" s="66">
        <f>IF($A18="","",$C18-$E$68-$F$68)</f>
        <v/>
      </c>
      <c r="AH18" s="67">
        <f>IF($A18="","",$L$68*$D18)</f>
        <v/>
      </c>
      <c r="AI18" s="63">
        <f>IF($A18="","",$Q18-68-68)</f>
        <v/>
      </c>
      <c r="AJ18" s="64">
        <f>IF($A18="","",$S18-68-68)</f>
        <v/>
      </c>
      <c r="AK18" s="65">
        <f>IF($A18="","",2*5*$D18)</f>
        <v/>
      </c>
      <c r="AL18">
        <f>IF($A18="","",$BC$7*$D18)</f>
        <v/>
      </c>
      <c r="AM18">
        <f>IF($A18="","",$BC$6*$D18)</f>
        <v/>
      </c>
      <c r="AN18">
        <f>IF($A18="","",$BC$9*$D18)</f>
        <v/>
      </c>
      <c r="AO18">
        <f>IF($A18="","",$BC$10*$D18)</f>
        <v/>
      </c>
      <c r="AP18">
        <f>IF($A18="","",2*$BC$6*$D18)</f>
        <v/>
      </c>
      <c r="AQ18">
        <f>IF($A18="","",IF($B18&gt;2800,2,IF($B18&gt;1400,1,0))*$BC$6*$D18)</f>
        <v/>
      </c>
      <c r="AR18">
        <f>IF($A18="","",2*$BC$6*$D18)</f>
        <v/>
      </c>
      <c r="AS18">
        <f>IF($A18="","",$BC$6*$D18)</f>
        <v/>
      </c>
      <c r="AT18">
        <f>IF($A18="","",2*$BC$6*$D18)</f>
        <v/>
      </c>
      <c r="AU18">
        <f>IF($A18="","",4*5*$D18)</f>
        <v/>
      </c>
      <c r="AV18">
        <f>IF($A18="","",16*5*$D18)</f>
        <v/>
      </c>
      <c r="AW18">
        <f>IF($A18="","",(2+MAX(0,ROUNDUP(($K18-1500)/500,0)))*$D18)</f>
        <v/>
      </c>
      <c r="AX18">
        <f>IF($A18="","",(2+MAX(0,ROUNDUP(($K18-1500)/500,0)))*$D18)</f>
        <v/>
      </c>
      <c r="AY18">
        <f>IF($A18="","",ROUND((2*2*($S18+$Q18)*5*$D18+$Y18*$Z18)/1000,1))</f>
        <v/>
      </c>
    </row>
    <row r="19" ht="40.15" customHeight="1">
      <c r="A19" s="58" t="n"/>
      <c r="B19" s="59" t="n"/>
      <c r="C19" s="60" t="n"/>
      <c r="D19" s="61" t="n"/>
      <c r="E19" s="62">
        <f>IF($A19="","",$B19)</f>
        <v/>
      </c>
      <c r="F19" s="60">
        <f>IF($A19="","",$L$54*$D19)</f>
        <v/>
      </c>
      <c r="G19" s="62">
        <f>IF($A19="","",$B19)</f>
        <v/>
      </c>
      <c r="H19" s="60">
        <f>IF($A19="","",$L$55*$D19)</f>
        <v/>
      </c>
      <c r="I19" s="62">
        <f>IF($A19="","",$B19)</f>
        <v/>
      </c>
      <c r="J19" s="60">
        <f>IF($A19="","",$L$56*$D19)</f>
        <v/>
      </c>
      <c r="K19" s="62">
        <f>IF($A19="","",$C19-$E$57-$F$57)</f>
        <v/>
      </c>
      <c r="L19" s="60">
        <f>IF($A19="","",$L$57*$D19)</f>
        <v/>
      </c>
      <c r="M19" s="62">
        <f>IF($A19="","",$C19-$E$58-$F$58)</f>
        <v/>
      </c>
      <c r="N19" s="60">
        <f>IF($A19="","",$L$58*$D19)</f>
        <v/>
      </c>
      <c r="O19" s="62">
        <f>IF($A19="","",$C19)</f>
        <v/>
      </c>
      <c r="P19" s="60">
        <f>IF($A19="","",$L$59*$D19)</f>
        <v/>
      </c>
      <c r="Q19" s="62">
        <f>IF($A19="","",$B19-$E$60-$F$60-$G$60-$H$60)</f>
        <v/>
      </c>
      <c r="R19" s="60">
        <f>IF($A19="","",$L$60*$D19)</f>
        <v/>
      </c>
      <c r="S19" s="62">
        <f>IF($A19="","",(($C19-$E$61-$F$61-$G$61-$H$61-$I$61)/5)+(78*4)/5)</f>
        <v/>
      </c>
      <c r="T19" s="60">
        <f>IF($A19="","",$L$61*$D19)</f>
        <v/>
      </c>
      <c r="U19" s="62">
        <f>IF($A19="","",$Q19-$E$62-$F$62)</f>
        <v/>
      </c>
      <c r="V19" s="60">
        <f>IF($A19="","",$L$62*$D19)</f>
        <v/>
      </c>
      <c r="W19" s="62">
        <f>IF($A19="","",$S19-$E$63-$F$63)</f>
        <v/>
      </c>
      <c r="X19" s="60">
        <f>IF($A19="","",$L$63*$D19)</f>
        <v/>
      </c>
      <c r="Y19" s="62">
        <f>IF($A19="","",$Q19)</f>
        <v/>
      </c>
      <c r="Z19" s="60">
        <f>IF($A19="","",$L$64*$D19)</f>
        <v/>
      </c>
      <c r="AA19" s="62">
        <f>IF($A19="","",$B19-$E$65-$F$65)</f>
        <v/>
      </c>
      <c r="AB19" s="60">
        <f>IF($A19="","",$L$65*$D19)</f>
        <v/>
      </c>
      <c r="AC19" s="62">
        <f>IF($A19="","",$C19-$E$66-$F$66)</f>
        <v/>
      </c>
      <c r="AD19" s="60">
        <f>IF($A19="","",$L$66*$D19)</f>
        <v/>
      </c>
      <c r="AE19" s="62">
        <f>IF($A19="","",$B19-$E$67-$F$67)</f>
        <v/>
      </c>
      <c r="AF19" s="60">
        <f>IF($A19="","",$L$67*$D19)</f>
        <v/>
      </c>
      <c r="AG19" s="62">
        <f>IF($A19="","",$C19-$E$68-$F$68)</f>
        <v/>
      </c>
      <c r="AH19" s="60">
        <f>IF($A19="","",$L$68*$D19)</f>
        <v/>
      </c>
      <c r="AI19" s="63">
        <f>IF($A19="","",$Q19-68-68)</f>
        <v/>
      </c>
      <c r="AJ19" s="64">
        <f>IF($A19="","",$S19-68-68)</f>
        <v/>
      </c>
      <c r="AK19" s="65">
        <f>IF($A19="","",2*5*$D19)</f>
        <v/>
      </c>
      <c r="AL19">
        <f>IF($A19="","",$BC$7*$D19)</f>
        <v/>
      </c>
      <c r="AM19">
        <f>IF($A19="","",$BC$6*$D19)</f>
        <v/>
      </c>
      <c r="AN19">
        <f>IF($A19="","",$BC$9*$D19)</f>
        <v/>
      </c>
      <c r="AO19">
        <f>IF($A19="","",$BC$10*$D19)</f>
        <v/>
      </c>
      <c r="AP19">
        <f>IF($A19="","",2*$BC$6*$D19)</f>
        <v/>
      </c>
      <c r="AQ19">
        <f>IF($A19="","",IF($B19&gt;2800,2,IF($B19&gt;1400,1,0))*$BC$6*$D19)</f>
        <v/>
      </c>
      <c r="AR19">
        <f>IF($A19="","",2*$BC$6*$D19)</f>
        <v/>
      </c>
      <c r="AS19">
        <f>IF($A19="","",$BC$6*$D19)</f>
        <v/>
      </c>
      <c r="AT19">
        <f>IF($A19="","",2*$BC$6*$D19)</f>
        <v/>
      </c>
      <c r="AU19">
        <f>IF($A19="","",4*5*$D19)</f>
        <v/>
      </c>
      <c r="AV19">
        <f>IF($A19="","",16*5*$D19)</f>
        <v/>
      </c>
      <c r="AW19">
        <f>IF($A19="","",(2+MAX(0,ROUNDUP(($K19-1500)/500,0)))*$D19)</f>
        <v/>
      </c>
      <c r="AX19">
        <f>IF($A19="","",(2+MAX(0,ROUNDUP(($K19-1500)/500,0)))*$D19)</f>
        <v/>
      </c>
      <c r="AY19">
        <f>IF($A19="","",ROUND((2*2*($S19+$Q19)*5*$D19+$Y19*$Z19)/1000,1))</f>
        <v/>
      </c>
    </row>
    <row r="20" ht="40.15" customHeight="1">
      <c r="A20" s="58" t="n"/>
      <c r="B20" s="59" t="n"/>
      <c r="C20" s="60" t="n"/>
      <c r="D20" s="61" t="n"/>
      <c r="E20" s="66">
        <f>IF($A20="","",$B20)</f>
        <v/>
      </c>
      <c r="F20" s="67">
        <f>IF($A20="","",$L$54*$D20)</f>
        <v/>
      </c>
      <c r="G20" s="66">
        <f>IF($A20="","",$B20)</f>
        <v/>
      </c>
      <c r="H20" s="67">
        <f>IF($A20="","",$L$55*$D20)</f>
        <v/>
      </c>
      <c r="I20" s="66">
        <f>IF($A20="","",$B20)</f>
        <v/>
      </c>
      <c r="J20" s="67">
        <f>IF($A20="","",$L$56*$D20)</f>
        <v/>
      </c>
      <c r="K20" s="66">
        <f>IF($A20="","",$C20-$E$57-$F$57)</f>
        <v/>
      </c>
      <c r="L20" s="67">
        <f>IF($A20="","",$L$57*$D20)</f>
        <v/>
      </c>
      <c r="M20" s="66">
        <f>IF($A20="","",$C20-$E$58-$F$58)</f>
        <v/>
      </c>
      <c r="N20" s="67">
        <f>IF($A20="","",$L$58*$D20)</f>
        <v/>
      </c>
      <c r="O20" s="66">
        <f>IF($A20="","",$C20)</f>
        <v/>
      </c>
      <c r="P20" s="67">
        <f>IF($A20="","",$L$59*$D20)</f>
        <v/>
      </c>
      <c r="Q20" s="66">
        <f>IF($A20="","",$B20-$E$60-$F$60-$G$60-$H$60)</f>
        <v/>
      </c>
      <c r="R20" s="67">
        <f>IF($A20="","",$L$60*$D20)</f>
        <v/>
      </c>
      <c r="S20" s="66">
        <f>IF($A20="","",(($C20-$E$61-$F$61-$G$61-$H$61-$I$61)/5)+(78*4)/5)</f>
        <v/>
      </c>
      <c r="T20" s="67">
        <f>IF($A20="","",$L$61*$D20)</f>
        <v/>
      </c>
      <c r="U20" s="66">
        <f>IF($A20="","",$Q20-$E$62-$F$62)</f>
        <v/>
      </c>
      <c r="V20" s="67">
        <f>IF($A20="","",$L$62*$D20)</f>
        <v/>
      </c>
      <c r="W20" s="66">
        <f>IF($A20="","",$S20-$E$63-$F$63)</f>
        <v/>
      </c>
      <c r="X20" s="67">
        <f>IF($A20="","",$L$63*$D20)</f>
        <v/>
      </c>
      <c r="Y20" s="66">
        <f>IF($A20="","",$Q20)</f>
        <v/>
      </c>
      <c r="Z20" s="67">
        <f>IF($A20="","",$L$64*$D20)</f>
        <v/>
      </c>
      <c r="AA20" s="66">
        <f>IF($A20="","",$B20-$E$65-$F$65)</f>
        <v/>
      </c>
      <c r="AB20" s="67">
        <f>IF($A20="","",$L$65*$D20)</f>
        <v/>
      </c>
      <c r="AC20" s="66">
        <f>IF($A20="","",$C20-$E$66-$F$66)</f>
        <v/>
      </c>
      <c r="AD20" s="67">
        <f>IF($A20="","",$L$66*$D20)</f>
        <v/>
      </c>
      <c r="AE20" s="66">
        <f>IF($A20="","",$B20-$E$67-$F$67)</f>
        <v/>
      </c>
      <c r="AF20" s="67">
        <f>IF($A20="","",$L$67*$D20)</f>
        <v/>
      </c>
      <c r="AG20" s="66">
        <f>IF($A20="","",$C20-$E$68-$F$68)</f>
        <v/>
      </c>
      <c r="AH20" s="67">
        <f>IF($A20="","",$L$68*$D20)</f>
        <v/>
      </c>
      <c r="AI20" s="63">
        <f>IF($A20="","",$Q20-68-68)</f>
        <v/>
      </c>
      <c r="AJ20" s="64">
        <f>IF($A20="","",$S20-68-68)</f>
        <v/>
      </c>
      <c r="AK20" s="65">
        <f>IF($A20="","",2*5*$D20)</f>
        <v/>
      </c>
      <c r="AL20">
        <f>IF($A20="","",$BC$7*$D20)</f>
        <v/>
      </c>
      <c r="AM20">
        <f>IF($A20="","",$BC$6*$D20)</f>
        <v/>
      </c>
      <c r="AN20">
        <f>IF($A20="","",$BC$9*$D20)</f>
        <v/>
      </c>
      <c r="AO20">
        <f>IF($A20="","",$BC$10*$D20)</f>
        <v/>
      </c>
      <c r="AP20">
        <f>IF($A20="","",2*$BC$6*$D20)</f>
        <v/>
      </c>
      <c r="AQ20">
        <f>IF($A20="","",IF($B20&gt;2800,2,IF($B20&gt;1400,1,0))*$BC$6*$D20)</f>
        <v/>
      </c>
      <c r="AR20">
        <f>IF($A20="","",2*$BC$6*$D20)</f>
        <v/>
      </c>
      <c r="AS20">
        <f>IF($A20="","",$BC$6*$D20)</f>
        <v/>
      </c>
      <c r="AT20">
        <f>IF($A20="","",2*$BC$6*$D20)</f>
        <v/>
      </c>
      <c r="AU20">
        <f>IF($A20="","",4*5*$D20)</f>
        <v/>
      </c>
      <c r="AV20">
        <f>IF($A20="","",16*5*$D20)</f>
        <v/>
      </c>
      <c r="AW20">
        <f>IF($A20="","",(2+MAX(0,ROUNDUP(($K20-1500)/500,0)))*$D20)</f>
        <v/>
      </c>
      <c r="AX20">
        <f>IF($A20="","",(2+MAX(0,ROUNDUP(($K20-1500)/500,0)))*$D20)</f>
        <v/>
      </c>
      <c r="AY20">
        <f>IF($A20="","",ROUND((2*2*($S20+$Q20)*5*$D20+$Y20*$Z20)/1000,1))</f>
        <v/>
      </c>
    </row>
    <row r="21" ht="40.15" customHeight="1">
      <c r="A21" s="58" t="n"/>
      <c r="B21" s="59" t="n"/>
      <c r="C21" s="60" t="n"/>
      <c r="D21" s="61" t="n"/>
      <c r="E21" s="62">
        <f>IF($A21="","",$B21)</f>
        <v/>
      </c>
      <c r="F21" s="60">
        <f>IF($A21="","",$L$54*$D21)</f>
        <v/>
      </c>
      <c r="G21" s="62">
        <f>IF($A21="","",$B21)</f>
        <v/>
      </c>
      <c r="H21" s="60">
        <f>IF($A21="","",$L$55*$D21)</f>
        <v/>
      </c>
      <c r="I21" s="62">
        <f>IF($A21="","",$B21)</f>
        <v/>
      </c>
      <c r="J21" s="60">
        <f>IF($A21="","",$L$56*$D21)</f>
        <v/>
      </c>
      <c r="K21" s="62">
        <f>IF($A21="","",$C21-$E$57-$F$57)</f>
        <v/>
      </c>
      <c r="L21" s="60">
        <f>IF($A21="","",$L$57*$D21)</f>
        <v/>
      </c>
      <c r="M21" s="62">
        <f>IF($A21="","",$C21-$E$58-$F$58)</f>
        <v/>
      </c>
      <c r="N21" s="60">
        <f>IF($A21="","",$L$58*$D21)</f>
        <v/>
      </c>
      <c r="O21" s="62">
        <f>IF($A21="","",$C21)</f>
        <v/>
      </c>
      <c r="P21" s="60">
        <f>IF($A21="","",$L$59*$D21)</f>
        <v/>
      </c>
      <c r="Q21" s="62">
        <f>IF($A21="","",$B21-$E$60-$F$60-$G$60-$H$60)</f>
        <v/>
      </c>
      <c r="R21" s="60">
        <f>IF($A21="","",$L$60*$D21)</f>
        <v/>
      </c>
      <c r="S21" s="62">
        <f>IF($A21="","",(($C21-$E$61-$F$61-$G$61-$H$61-$I$61)/5)+(78*4)/5)</f>
        <v/>
      </c>
      <c r="T21" s="60">
        <f>IF($A21="","",$L$61*$D21)</f>
        <v/>
      </c>
      <c r="U21" s="62">
        <f>IF($A21="","",$Q21-$E$62-$F$62)</f>
        <v/>
      </c>
      <c r="V21" s="60">
        <f>IF($A21="","",$L$62*$D21)</f>
        <v/>
      </c>
      <c r="W21" s="62">
        <f>IF($A21="","",$S21-$E$63-$F$63)</f>
        <v/>
      </c>
      <c r="X21" s="60">
        <f>IF($A21="","",$L$63*$D21)</f>
        <v/>
      </c>
      <c r="Y21" s="62">
        <f>IF($A21="","",$Q21)</f>
        <v/>
      </c>
      <c r="Z21" s="60">
        <f>IF($A21="","",$L$64*$D21)</f>
        <v/>
      </c>
      <c r="AA21" s="62">
        <f>IF($A21="","",$B21-$E$65-$F$65)</f>
        <v/>
      </c>
      <c r="AB21" s="60">
        <f>IF($A21="","",$L$65*$D21)</f>
        <v/>
      </c>
      <c r="AC21" s="62">
        <f>IF($A21="","",$C21-$E$66-$F$66)</f>
        <v/>
      </c>
      <c r="AD21" s="60">
        <f>IF($A21="","",$L$66*$D21)</f>
        <v/>
      </c>
      <c r="AE21" s="62">
        <f>IF($A21="","",$B21-$E$67-$F$67)</f>
        <v/>
      </c>
      <c r="AF21" s="60">
        <f>IF($A21="","",$L$67*$D21)</f>
        <v/>
      </c>
      <c r="AG21" s="62">
        <f>IF($A21="","",$C21-$E$68-$F$68)</f>
        <v/>
      </c>
      <c r="AH21" s="60">
        <f>IF($A21="","",$L$68*$D21)</f>
        <v/>
      </c>
      <c r="AI21" s="63">
        <f>IF($A21="","",$Q21-68-68)</f>
        <v/>
      </c>
      <c r="AJ21" s="64">
        <f>IF($A21="","",$S21-68-68)</f>
        <v/>
      </c>
      <c r="AK21" s="65">
        <f>IF($A21="","",2*5*$D21)</f>
        <v/>
      </c>
      <c r="AL21">
        <f>IF($A21="","",$BC$7*$D21)</f>
        <v/>
      </c>
      <c r="AM21">
        <f>IF($A21="","",$BC$6*$D21)</f>
        <v/>
      </c>
      <c r="AN21">
        <f>IF($A21="","",$BC$9*$D21)</f>
        <v/>
      </c>
      <c r="AO21">
        <f>IF($A21="","",$BC$10*$D21)</f>
        <v/>
      </c>
      <c r="AP21">
        <f>IF($A21="","",2*$BC$6*$D21)</f>
        <v/>
      </c>
      <c r="AQ21">
        <f>IF($A21="","",IF($B21&gt;2800,2,IF($B21&gt;1400,1,0))*$BC$6*$D21)</f>
        <v/>
      </c>
      <c r="AR21">
        <f>IF($A21="","",2*$BC$6*$D21)</f>
        <v/>
      </c>
      <c r="AS21">
        <f>IF($A21="","",$BC$6*$D21)</f>
        <v/>
      </c>
      <c r="AT21">
        <f>IF($A21="","",2*$BC$6*$D21)</f>
        <v/>
      </c>
      <c r="AU21">
        <f>IF($A21="","",4*5*$D21)</f>
        <v/>
      </c>
      <c r="AV21">
        <f>IF($A21="","",16*5*$D21)</f>
        <v/>
      </c>
      <c r="AW21">
        <f>IF($A21="","",(2+MAX(0,ROUNDUP(($K21-1500)/500,0)))*$D21)</f>
        <v/>
      </c>
      <c r="AX21">
        <f>IF($A21="","",(2+MAX(0,ROUNDUP(($K21-1500)/500,0)))*$D21)</f>
        <v/>
      </c>
      <c r="AY21">
        <f>IF($A21="","",ROUND((2*2*($S21+$Q21)*5*$D21+$Y21*$Z21)/1000,1))</f>
        <v/>
      </c>
    </row>
    <row r="22" ht="40.15" customHeight="1">
      <c r="A22" s="58" t="n"/>
      <c r="B22" s="59" t="n"/>
      <c r="C22" s="60" t="n"/>
      <c r="D22" s="61" t="n"/>
      <c r="E22" s="66">
        <f>IF($A22="","",$B22)</f>
        <v/>
      </c>
      <c r="F22" s="67">
        <f>IF($A22="","",$L$54*$D22)</f>
        <v/>
      </c>
      <c r="G22" s="66">
        <f>IF($A22="","",$B22)</f>
        <v/>
      </c>
      <c r="H22" s="67">
        <f>IF($A22="","",$L$55*$D22)</f>
        <v/>
      </c>
      <c r="I22" s="66">
        <f>IF($A22="","",$B22)</f>
        <v/>
      </c>
      <c r="J22" s="67">
        <f>IF($A22="","",$L$56*$D22)</f>
        <v/>
      </c>
      <c r="K22" s="66">
        <f>IF($A22="","",$C22-$E$57-$F$57)</f>
        <v/>
      </c>
      <c r="L22" s="67">
        <f>IF($A22="","",$L$57*$D22)</f>
        <v/>
      </c>
      <c r="M22" s="66">
        <f>IF($A22="","",$C22-$E$58-$F$58)</f>
        <v/>
      </c>
      <c r="N22" s="67">
        <f>IF($A22="","",$L$58*$D22)</f>
        <v/>
      </c>
      <c r="O22" s="66">
        <f>IF($A22="","",$C22)</f>
        <v/>
      </c>
      <c r="P22" s="67">
        <f>IF($A22="","",$L$59*$D22)</f>
        <v/>
      </c>
      <c r="Q22" s="66">
        <f>IF($A22="","",$B22-$E$60-$F$60-$G$60-$H$60)</f>
        <v/>
      </c>
      <c r="R22" s="67">
        <f>IF($A22="","",$L$60*$D22)</f>
        <v/>
      </c>
      <c r="S22" s="66">
        <f>IF($A22="","",(($C22-$E$61-$F$61-$G$61-$H$61-$I$61)/5)+(78*4)/5)</f>
        <v/>
      </c>
      <c r="T22" s="67">
        <f>IF($A22="","",$L$61*$D22)</f>
        <v/>
      </c>
      <c r="U22" s="66">
        <f>IF($A22="","",$Q22-$E$62-$F$62)</f>
        <v/>
      </c>
      <c r="V22" s="67">
        <f>IF($A22="","",$L$62*$D22)</f>
        <v/>
      </c>
      <c r="W22" s="66">
        <f>IF($A22="","",$S22-$E$63-$F$63)</f>
        <v/>
      </c>
      <c r="X22" s="67">
        <f>IF($A22="","",$L$63*$D22)</f>
        <v/>
      </c>
      <c r="Y22" s="66">
        <f>IF($A22="","",$Q22)</f>
        <v/>
      </c>
      <c r="Z22" s="67">
        <f>IF($A22="","",$L$64*$D22)</f>
        <v/>
      </c>
      <c r="AA22" s="66">
        <f>IF($A22="","",$B22-$E$65-$F$65)</f>
        <v/>
      </c>
      <c r="AB22" s="67">
        <f>IF($A22="","",$L$65*$D22)</f>
        <v/>
      </c>
      <c r="AC22" s="66">
        <f>IF($A22="","",$C22-$E$66-$F$66)</f>
        <v/>
      </c>
      <c r="AD22" s="67">
        <f>IF($A22="","",$L$66*$D22)</f>
        <v/>
      </c>
      <c r="AE22" s="66">
        <f>IF($A22="","",$B22-$E$67-$F$67)</f>
        <v/>
      </c>
      <c r="AF22" s="67">
        <f>IF($A22="","",$L$67*$D22)</f>
        <v/>
      </c>
      <c r="AG22" s="66">
        <f>IF($A22="","",$C22-$E$68-$F$68)</f>
        <v/>
      </c>
      <c r="AH22" s="67">
        <f>IF($A22="","",$L$68*$D22)</f>
        <v/>
      </c>
      <c r="AI22" s="63">
        <f>IF($A22="","",$Q22-68-68)</f>
        <v/>
      </c>
      <c r="AJ22" s="64">
        <f>IF($A22="","",$S22-68-68)</f>
        <v/>
      </c>
      <c r="AK22" s="65">
        <f>IF($A22="","",2*5*$D22)</f>
        <v/>
      </c>
      <c r="AL22">
        <f>IF($A22="","",$BC$7*$D22)</f>
        <v/>
      </c>
      <c r="AM22">
        <f>IF($A22="","",$BC$6*$D22)</f>
        <v/>
      </c>
      <c r="AN22">
        <f>IF($A22="","",$BC$9*$D22)</f>
        <v/>
      </c>
      <c r="AO22">
        <f>IF($A22="","",$BC$10*$D22)</f>
        <v/>
      </c>
      <c r="AP22">
        <f>IF($A22="","",2*$BC$6*$D22)</f>
        <v/>
      </c>
      <c r="AQ22">
        <f>IF($A22="","",IF($B22&gt;2800,2,IF($B22&gt;1400,1,0))*$BC$6*$D22)</f>
        <v/>
      </c>
      <c r="AR22">
        <f>IF($A22="","",2*$BC$6*$D22)</f>
        <v/>
      </c>
      <c r="AS22">
        <f>IF($A22="","",$BC$6*$D22)</f>
        <v/>
      </c>
      <c r="AT22">
        <f>IF($A22="","",2*$BC$6*$D22)</f>
        <v/>
      </c>
      <c r="AU22">
        <f>IF($A22="","",4*5*$D22)</f>
        <v/>
      </c>
      <c r="AV22">
        <f>IF($A22="","",16*5*$D22)</f>
        <v/>
      </c>
      <c r="AW22">
        <f>IF($A22="","",(2+MAX(0,ROUNDUP(($K22-1500)/500,0)))*$D22)</f>
        <v/>
      </c>
      <c r="AX22">
        <f>IF($A22="","",(2+MAX(0,ROUNDUP(($K22-1500)/500,0)))*$D22)</f>
        <v/>
      </c>
      <c r="AY22">
        <f>IF($A22="","",ROUND((2*2*($S22+$Q22)*5*$D22+$Y22*$Z22)/1000,1))</f>
        <v/>
      </c>
    </row>
    <row r="23" ht="40.15" customHeight="1">
      <c r="A23" s="58" t="n"/>
      <c r="B23" s="59" t="n"/>
      <c r="C23" s="60" t="n"/>
      <c r="D23" s="61" t="n"/>
      <c r="E23" s="62">
        <f>IF($A23="","",$B23)</f>
        <v/>
      </c>
      <c r="F23" s="60">
        <f>IF($A23="","",$L$54*$D23)</f>
        <v/>
      </c>
      <c r="G23" s="62">
        <f>IF($A23="","",$B23)</f>
        <v/>
      </c>
      <c r="H23" s="60">
        <f>IF($A23="","",$L$55*$D23)</f>
        <v/>
      </c>
      <c r="I23" s="62">
        <f>IF($A23="","",$B23)</f>
        <v/>
      </c>
      <c r="J23" s="60">
        <f>IF($A23="","",$L$56*$D23)</f>
        <v/>
      </c>
      <c r="K23" s="62">
        <f>IF($A23="","",$C23-$E$57-$F$57)</f>
        <v/>
      </c>
      <c r="L23" s="60">
        <f>IF($A23="","",$L$57*$D23)</f>
        <v/>
      </c>
      <c r="M23" s="62">
        <f>IF($A23="","",$C23-$E$58-$F$58)</f>
        <v/>
      </c>
      <c r="N23" s="60">
        <f>IF($A23="","",$L$58*$D23)</f>
        <v/>
      </c>
      <c r="O23" s="62">
        <f>IF($A23="","",$C23)</f>
        <v/>
      </c>
      <c r="P23" s="60">
        <f>IF($A23="","",$L$59*$D23)</f>
        <v/>
      </c>
      <c r="Q23" s="62">
        <f>IF($A23="","",$B23-$E$60-$F$60-$G$60-$H$60)</f>
        <v/>
      </c>
      <c r="R23" s="60">
        <f>IF($A23="","",$L$60*$D23)</f>
        <v/>
      </c>
      <c r="S23" s="62">
        <f>IF($A23="","",(($C23-$E$61-$F$61-$G$61-$H$61-$I$61)/5)+(78*4)/5)</f>
        <v/>
      </c>
      <c r="T23" s="60">
        <f>IF($A23="","",$L$61*$D23)</f>
        <v/>
      </c>
      <c r="U23" s="62">
        <f>IF($A23="","",$Q23-$E$62-$F$62)</f>
        <v/>
      </c>
      <c r="V23" s="60">
        <f>IF($A23="","",$L$62*$D23)</f>
        <v/>
      </c>
      <c r="W23" s="62">
        <f>IF($A23="","",$S23-$E$63-$F$63)</f>
        <v/>
      </c>
      <c r="X23" s="60">
        <f>IF($A23="","",$L$63*$D23)</f>
        <v/>
      </c>
      <c r="Y23" s="62">
        <f>IF($A23="","",$Q23)</f>
        <v/>
      </c>
      <c r="Z23" s="60">
        <f>IF($A23="","",$L$64*$D23)</f>
        <v/>
      </c>
      <c r="AA23" s="62">
        <f>IF($A23="","",$B23-$E$65-$F$65)</f>
        <v/>
      </c>
      <c r="AB23" s="60">
        <f>IF($A23="","",$L$65*$D23)</f>
        <v/>
      </c>
      <c r="AC23" s="62">
        <f>IF($A23="","",$C23-$E$66-$F$66)</f>
        <v/>
      </c>
      <c r="AD23" s="60">
        <f>IF($A23="","",$L$66*$D23)</f>
        <v/>
      </c>
      <c r="AE23" s="62">
        <f>IF($A23="","",$B23-$E$67-$F$67)</f>
        <v/>
      </c>
      <c r="AF23" s="60">
        <f>IF($A23="","",$L$67*$D23)</f>
        <v/>
      </c>
      <c r="AG23" s="62">
        <f>IF($A23="","",$C23-$E$68-$F$68)</f>
        <v/>
      </c>
      <c r="AH23" s="60">
        <f>IF($A23="","",$L$68*$D23)</f>
        <v/>
      </c>
      <c r="AI23" s="63">
        <f>IF($A23="","",$Q23-68-68)</f>
        <v/>
      </c>
      <c r="AJ23" s="64">
        <f>IF($A23="","",$S23-68-68)</f>
        <v/>
      </c>
      <c r="AK23" s="65">
        <f>IF($A23="","",2*5*$D23)</f>
        <v/>
      </c>
      <c r="AL23">
        <f>IF($A23="","",$BC$7*$D23)</f>
        <v/>
      </c>
      <c r="AM23">
        <f>IF($A23="","",$BC$6*$D23)</f>
        <v/>
      </c>
      <c r="AN23">
        <f>IF($A23="","",$BC$9*$D23)</f>
        <v/>
      </c>
      <c r="AO23">
        <f>IF($A23="","",$BC$10*$D23)</f>
        <v/>
      </c>
      <c r="AP23">
        <f>IF($A23="","",2*$BC$6*$D23)</f>
        <v/>
      </c>
      <c r="AQ23">
        <f>IF($A23="","",IF($B23&gt;2800,2,IF($B23&gt;1400,1,0))*$BC$6*$D23)</f>
        <v/>
      </c>
      <c r="AR23">
        <f>IF($A23="","",2*$BC$6*$D23)</f>
        <v/>
      </c>
      <c r="AS23">
        <f>IF($A23="","",$BC$6*$D23)</f>
        <v/>
      </c>
      <c r="AT23">
        <f>IF($A23="","",2*$BC$6*$D23)</f>
        <v/>
      </c>
      <c r="AU23">
        <f>IF($A23="","",4*5*$D23)</f>
        <v/>
      </c>
      <c r="AV23">
        <f>IF($A23="","",16*5*$D23)</f>
        <v/>
      </c>
      <c r="AW23">
        <f>IF($A23="","",(2+MAX(0,ROUNDUP(($K23-1500)/500,0)))*$D23)</f>
        <v/>
      </c>
      <c r="AX23">
        <f>IF($A23="","",(2+MAX(0,ROUNDUP(($K23-1500)/500,0)))*$D23)</f>
        <v/>
      </c>
      <c r="AY23">
        <f>IF($A23="","",ROUND((2*2*($S23+$Q23)*5*$D23+$Y23*$Z23)/1000,1))</f>
        <v/>
      </c>
    </row>
    <row r="24" ht="40.15" customHeight="1">
      <c r="A24" s="58" t="n"/>
      <c r="B24" s="59" t="n"/>
      <c r="C24" s="60" t="n"/>
      <c r="D24" s="61" t="n"/>
      <c r="E24" s="66">
        <f>IF($A24="","",$B24)</f>
        <v/>
      </c>
      <c r="F24" s="67">
        <f>IF($A24="","",$L$54*$D24)</f>
        <v/>
      </c>
      <c r="G24" s="66">
        <f>IF($A24="","",$B24)</f>
        <v/>
      </c>
      <c r="H24" s="67">
        <f>IF($A24="","",$L$55*$D24)</f>
        <v/>
      </c>
      <c r="I24" s="66">
        <f>IF($A24="","",$B24)</f>
        <v/>
      </c>
      <c r="J24" s="67">
        <f>IF($A24="","",$L$56*$D24)</f>
        <v/>
      </c>
      <c r="K24" s="66">
        <f>IF($A24="","",$C24-$E$57-$F$57)</f>
        <v/>
      </c>
      <c r="L24" s="67">
        <f>IF($A24="","",$L$57*$D24)</f>
        <v/>
      </c>
      <c r="M24" s="66">
        <f>IF($A24="","",$C24-$E$58-$F$58)</f>
        <v/>
      </c>
      <c r="N24" s="67">
        <f>IF($A24="","",$L$58*$D24)</f>
        <v/>
      </c>
      <c r="O24" s="66">
        <f>IF($A24="","",$C24)</f>
        <v/>
      </c>
      <c r="P24" s="67">
        <f>IF($A24="","",$L$59*$D24)</f>
        <v/>
      </c>
      <c r="Q24" s="66">
        <f>IF($A24="","",$B24-$E$60-$F$60-$G$60-$H$60)</f>
        <v/>
      </c>
      <c r="R24" s="67">
        <f>IF($A24="","",$L$60*$D24)</f>
        <v/>
      </c>
      <c r="S24" s="66">
        <f>IF($A24="","",(($C24-$E$61-$F$61-$G$61-$H$61-$I$61)/5)+(78*4)/5)</f>
        <v/>
      </c>
      <c r="T24" s="67">
        <f>IF($A24="","",$L$61*$D24)</f>
        <v/>
      </c>
      <c r="U24" s="66">
        <f>IF($A24="","",$Q24-$E$62-$F$62)</f>
        <v/>
      </c>
      <c r="V24" s="67">
        <f>IF($A24="","",$L$62*$D24)</f>
        <v/>
      </c>
      <c r="W24" s="66">
        <f>IF($A24="","",$S24-$E$63-$F$63)</f>
        <v/>
      </c>
      <c r="X24" s="67">
        <f>IF($A24="","",$L$63*$D24)</f>
        <v/>
      </c>
      <c r="Y24" s="66">
        <f>IF($A24="","",$Q24)</f>
        <v/>
      </c>
      <c r="Z24" s="67">
        <f>IF($A24="","",$L$64*$D24)</f>
        <v/>
      </c>
      <c r="AA24" s="66">
        <f>IF($A24="","",$B24-$E$65-$F$65)</f>
        <v/>
      </c>
      <c r="AB24" s="67">
        <f>IF($A24="","",$L$65*$D24)</f>
        <v/>
      </c>
      <c r="AC24" s="66">
        <f>IF($A24="","",$C24-$E$66-$F$66)</f>
        <v/>
      </c>
      <c r="AD24" s="67">
        <f>IF($A24="","",$L$66*$D24)</f>
        <v/>
      </c>
      <c r="AE24" s="66">
        <f>IF($A24="","",$B24-$E$67-$F$67)</f>
        <v/>
      </c>
      <c r="AF24" s="67">
        <f>IF($A24="","",$L$67*$D24)</f>
        <v/>
      </c>
      <c r="AG24" s="66">
        <f>IF($A24="","",$C24-$E$68-$F$68)</f>
        <v/>
      </c>
      <c r="AH24" s="67">
        <f>IF($A24="","",$L$68*$D24)</f>
        <v/>
      </c>
      <c r="AI24" s="63">
        <f>IF($A24="","",$Q24-68-68)</f>
        <v/>
      </c>
      <c r="AJ24" s="64">
        <f>IF($A24="","",$S24-68-68)</f>
        <v/>
      </c>
      <c r="AK24" s="65">
        <f>IF($A24="","",2*5*$D24)</f>
        <v/>
      </c>
      <c r="AL24">
        <f>IF($A24="","",$BC$7*$D24)</f>
        <v/>
      </c>
      <c r="AM24">
        <f>IF($A24="","",$BC$6*$D24)</f>
        <v/>
      </c>
      <c r="AN24">
        <f>IF($A24="","",$BC$9*$D24)</f>
        <v/>
      </c>
      <c r="AO24">
        <f>IF($A24="","",$BC$10*$D24)</f>
        <v/>
      </c>
      <c r="AP24">
        <f>IF($A24="","",2*$BC$6*$D24)</f>
        <v/>
      </c>
      <c r="AQ24">
        <f>IF($A24="","",IF($B24&gt;2800,2,IF($B24&gt;1400,1,0))*$BC$6*$D24)</f>
        <v/>
      </c>
      <c r="AR24">
        <f>IF($A24="","",2*$BC$6*$D24)</f>
        <v/>
      </c>
      <c r="AS24">
        <f>IF($A24="","",$BC$6*$D24)</f>
        <v/>
      </c>
      <c r="AT24">
        <f>IF($A24="","",2*$BC$6*$D24)</f>
        <v/>
      </c>
      <c r="AU24">
        <f>IF($A24="","",4*5*$D24)</f>
        <v/>
      </c>
      <c r="AV24">
        <f>IF($A24="","",16*5*$D24)</f>
        <v/>
      </c>
      <c r="AW24">
        <f>IF($A24="","",(2+MAX(0,ROUNDUP(($K24-1500)/500,0)))*$D24)</f>
        <v/>
      </c>
      <c r="AX24">
        <f>IF($A24="","",(2+MAX(0,ROUNDUP(($K24-1500)/500,0)))*$D24)</f>
        <v/>
      </c>
      <c r="AY24">
        <f>IF($A24="","",ROUND((2*2*($S24+$Q24)*5*$D24+$Y24*$Z24)/1000,1))</f>
        <v/>
      </c>
    </row>
    <row r="25" ht="40.15" customHeight="1">
      <c r="A25" s="58" t="n"/>
      <c r="B25" s="59" t="n"/>
      <c r="C25" s="60" t="n"/>
      <c r="D25" s="61" t="n"/>
      <c r="E25" s="62">
        <f>IF($A25="","",$B25)</f>
        <v/>
      </c>
      <c r="F25" s="60">
        <f>IF($A25="","",$L$54*$D25)</f>
        <v/>
      </c>
      <c r="G25" s="62">
        <f>IF($A25="","",$B25)</f>
        <v/>
      </c>
      <c r="H25" s="60">
        <f>IF($A25="","",$L$55*$D25)</f>
        <v/>
      </c>
      <c r="I25" s="62">
        <f>IF($A25="","",$B25)</f>
        <v/>
      </c>
      <c r="J25" s="60">
        <f>IF($A25="","",$L$56*$D25)</f>
        <v/>
      </c>
      <c r="K25" s="62">
        <f>IF($A25="","",$C25-$E$57-$F$57)</f>
        <v/>
      </c>
      <c r="L25" s="60">
        <f>IF($A25="","",$L$57*$D25)</f>
        <v/>
      </c>
      <c r="M25" s="62">
        <f>IF($A25="","",$C25-$E$58-$F$58)</f>
        <v/>
      </c>
      <c r="N25" s="60">
        <f>IF($A25="","",$L$58*$D25)</f>
        <v/>
      </c>
      <c r="O25" s="62">
        <f>IF($A25="","",$C25)</f>
        <v/>
      </c>
      <c r="P25" s="60">
        <f>IF($A25="","",$L$59*$D25)</f>
        <v/>
      </c>
      <c r="Q25" s="62">
        <f>IF($A25="","",$B25-$E$60-$F$60-$G$60-$H$60)</f>
        <v/>
      </c>
      <c r="R25" s="60">
        <f>IF($A25="","",$L$60*$D25)</f>
        <v/>
      </c>
      <c r="S25" s="62">
        <f>IF($A25="","",(($C25-$E$61-$F$61-$G$61-$H$61-$I$61)/5)+(78*4)/5)</f>
        <v/>
      </c>
      <c r="T25" s="60">
        <f>IF($A25="","",$L$61*$D25)</f>
        <v/>
      </c>
      <c r="U25" s="62">
        <f>IF($A25="","",$Q25-$E$62-$F$62)</f>
        <v/>
      </c>
      <c r="V25" s="60">
        <f>IF($A25="","",$L$62*$D25)</f>
        <v/>
      </c>
      <c r="W25" s="62">
        <f>IF($A25="","",$S25-$E$63-$F$63)</f>
        <v/>
      </c>
      <c r="X25" s="60">
        <f>IF($A25="","",$L$63*$D25)</f>
        <v/>
      </c>
      <c r="Y25" s="62">
        <f>IF($A25="","",$Q25)</f>
        <v/>
      </c>
      <c r="Z25" s="60">
        <f>IF($A25="","",$L$64*$D25)</f>
        <v/>
      </c>
      <c r="AA25" s="62">
        <f>IF($A25="","",$B25-$E$65-$F$65)</f>
        <v/>
      </c>
      <c r="AB25" s="60">
        <f>IF($A25="","",$L$65*$D25)</f>
        <v/>
      </c>
      <c r="AC25" s="62">
        <f>IF($A25="","",$C25-$E$66-$F$66)</f>
        <v/>
      </c>
      <c r="AD25" s="60">
        <f>IF($A25="","",$L$66*$D25)</f>
        <v/>
      </c>
      <c r="AE25" s="62">
        <f>IF($A25="","",$B25-$E$67-$F$67)</f>
        <v/>
      </c>
      <c r="AF25" s="60">
        <f>IF($A25="","",$L$67*$D25)</f>
        <v/>
      </c>
      <c r="AG25" s="62">
        <f>IF($A25="","",$C25-$E$68-$F$68)</f>
        <v/>
      </c>
      <c r="AH25" s="60">
        <f>IF($A25="","",$L$68*$D25)</f>
        <v/>
      </c>
      <c r="AI25" s="63">
        <f>IF($A25="","",$Q25-68-68)</f>
        <v/>
      </c>
      <c r="AJ25" s="64">
        <f>IF($A25="","",$S25-68-68)</f>
        <v/>
      </c>
      <c r="AK25" s="65">
        <f>IF($A25="","",2*5*$D25)</f>
        <v/>
      </c>
      <c r="AL25">
        <f>IF($A25="","",$BC$7*$D25)</f>
        <v/>
      </c>
      <c r="AM25">
        <f>IF($A25="","",$BC$6*$D25)</f>
        <v/>
      </c>
      <c r="AN25">
        <f>IF($A25="","",$BC$9*$D25)</f>
        <v/>
      </c>
      <c r="AO25">
        <f>IF($A25="","",$BC$10*$D25)</f>
        <v/>
      </c>
      <c r="AP25">
        <f>IF($A25="","",2*$BC$6*$D25)</f>
        <v/>
      </c>
      <c r="AQ25">
        <f>IF($A25="","",IF($B25&gt;2800,2,IF($B25&gt;1400,1,0))*$BC$6*$D25)</f>
        <v/>
      </c>
      <c r="AR25">
        <f>IF($A25="","",2*$BC$6*$D25)</f>
        <v/>
      </c>
      <c r="AS25">
        <f>IF($A25="","",$BC$6*$D25)</f>
        <v/>
      </c>
      <c r="AT25">
        <f>IF($A25="","",2*$BC$6*$D25)</f>
        <v/>
      </c>
      <c r="AU25">
        <f>IF($A25="","",4*5*$D25)</f>
        <v/>
      </c>
      <c r="AV25">
        <f>IF($A25="","",16*5*$D25)</f>
        <v/>
      </c>
      <c r="AW25">
        <f>IF($A25="","",(2+MAX(0,ROUNDUP(($K25-1500)/500,0)))*$D25)</f>
        <v/>
      </c>
      <c r="AX25">
        <f>IF($A25="","",(2+MAX(0,ROUNDUP(($K25-1500)/500,0)))*$D25)</f>
        <v/>
      </c>
      <c r="AY25">
        <f>IF($A25="","",ROUND((2*2*($S25+$Q25)*5*$D25+$Y25*$Z25)/1000,1))</f>
        <v/>
      </c>
    </row>
    <row r="26" ht="40.15" customHeight="1">
      <c r="A26" s="58" t="n"/>
      <c r="B26" s="59" t="n"/>
      <c r="C26" s="60" t="n"/>
      <c r="D26" s="61" t="n"/>
      <c r="E26" s="66">
        <f>IF($A26="","",$B26)</f>
        <v/>
      </c>
      <c r="F26" s="67">
        <f>IF($A26="","",$L$54*$D26)</f>
        <v/>
      </c>
      <c r="G26" s="66">
        <f>IF($A26="","",$B26)</f>
        <v/>
      </c>
      <c r="H26" s="67">
        <f>IF($A26="","",$L$55*$D26)</f>
        <v/>
      </c>
      <c r="I26" s="66">
        <f>IF($A26="","",$B26)</f>
        <v/>
      </c>
      <c r="J26" s="67">
        <f>IF($A26="","",$L$56*$D26)</f>
        <v/>
      </c>
      <c r="K26" s="66">
        <f>IF($A26="","",$C26-$E$57-$F$57)</f>
        <v/>
      </c>
      <c r="L26" s="67">
        <f>IF($A26="","",$L$57*$D26)</f>
        <v/>
      </c>
      <c r="M26" s="66">
        <f>IF($A26="","",$C26-$E$58-$F$58)</f>
        <v/>
      </c>
      <c r="N26" s="67">
        <f>IF($A26="","",$L$58*$D26)</f>
        <v/>
      </c>
      <c r="O26" s="66">
        <f>IF($A26="","",$C26)</f>
        <v/>
      </c>
      <c r="P26" s="67">
        <f>IF($A26="","",$L$59*$D26)</f>
        <v/>
      </c>
      <c r="Q26" s="66">
        <f>IF($A26="","",$B26-$E$60-$F$60-$G$60-$H$60)</f>
        <v/>
      </c>
      <c r="R26" s="67">
        <f>IF($A26="","",$L$60*$D26)</f>
        <v/>
      </c>
      <c r="S26" s="66">
        <f>IF($A26="","",(($C26-$E$61-$F$61-$G$61-$H$61-$I$61)/5)+(78*4)/5)</f>
        <v/>
      </c>
      <c r="T26" s="67">
        <f>IF($A26="","",$L$61*$D26)</f>
        <v/>
      </c>
      <c r="U26" s="66">
        <f>IF($A26="","",$Q26-$E$62-$F$62)</f>
        <v/>
      </c>
      <c r="V26" s="67">
        <f>IF($A26="","",$L$62*$D26)</f>
        <v/>
      </c>
      <c r="W26" s="66">
        <f>IF($A26="","",$S26-$E$63-$F$63)</f>
        <v/>
      </c>
      <c r="X26" s="67">
        <f>IF($A26="","",$L$63*$D26)</f>
        <v/>
      </c>
      <c r="Y26" s="66">
        <f>IF($A26="","",$Q26)</f>
        <v/>
      </c>
      <c r="Z26" s="67">
        <f>IF($A26="","",$L$64*$D26)</f>
        <v/>
      </c>
      <c r="AA26" s="66">
        <f>IF($A26="","",$B26-$E$65-$F$65)</f>
        <v/>
      </c>
      <c r="AB26" s="67">
        <f>IF($A26="","",$L$65*$D26)</f>
        <v/>
      </c>
      <c r="AC26" s="66">
        <f>IF($A26="","",$C26-$E$66-$F$66)</f>
        <v/>
      </c>
      <c r="AD26" s="67">
        <f>IF($A26="","",$L$66*$D26)</f>
        <v/>
      </c>
      <c r="AE26" s="66">
        <f>IF($A26="","",$B26-$E$67-$F$67)</f>
        <v/>
      </c>
      <c r="AF26" s="67">
        <f>IF($A26="","",$L$67*$D26)</f>
        <v/>
      </c>
      <c r="AG26" s="66">
        <f>IF($A26="","",$C26-$E$68-$F$68)</f>
        <v/>
      </c>
      <c r="AH26" s="67">
        <f>IF($A26="","",$L$68*$D26)</f>
        <v/>
      </c>
      <c r="AI26" s="63">
        <f>IF($A26="","",$Q26-68-68)</f>
        <v/>
      </c>
      <c r="AJ26" s="64">
        <f>IF($A26="","",$S26-68-68)</f>
        <v/>
      </c>
      <c r="AK26" s="65">
        <f>IF($A26="","",2*5*$D26)</f>
        <v/>
      </c>
      <c r="AL26">
        <f>IF($A26="","",$BC$7*$D26)</f>
        <v/>
      </c>
      <c r="AM26">
        <f>IF($A26="","",$BC$6*$D26)</f>
        <v/>
      </c>
      <c r="AN26">
        <f>IF($A26="","",$BC$9*$D26)</f>
        <v/>
      </c>
      <c r="AO26">
        <f>IF($A26="","",$BC$10*$D26)</f>
        <v/>
      </c>
      <c r="AP26">
        <f>IF($A26="","",2*$BC$6*$D26)</f>
        <v/>
      </c>
      <c r="AQ26">
        <f>IF($A26="","",IF($B26&gt;2800,2,IF($B26&gt;1400,1,0))*$BC$6*$D26)</f>
        <v/>
      </c>
      <c r="AR26">
        <f>IF($A26="","",2*$BC$6*$D26)</f>
        <v/>
      </c>
      <c r="AS26">
        <f>IF($A26="","",$BC$6*$D26)</f>
        <v/>
      </c>
      <c r="AT26">
        <f>IF($A26="","",2*$BC$6*$D26)</f>
        <v/>
      </c>
      <c r="AU26">
        <f>IF($A26="","",4*5*$D26)</f>
        <v/>
      </c>
      <c r="AV26">
        <f>IF($A26="","",16*5*$D26)</f>
        <v/>
      </c>
      <c r="AW26">
        <f>IF($A26="","",(2+MAX(0,ROUNDUP(($K26-1500)/500,0)))*$D26)</f>
        <v/>
      </c>
      <c r="AX26">
        <f>IF($A26="","",(2+MAX(0,ROUNDUP(($K26-1500)/500,0)))*$D26)</f>
        <v/>
      </c>
      <c r="AY26">
        <f>IF($A26="","",ROUND((2*2*($S26+$Q26)*5*$D26+$Y26*$Z26)/1000,1))</f>
        <v/>
      </c>
    </row>
    <row r="27" ht="40.15" customHeight="1">
      <c r="A27" s="101" t="n"/>
      <c r="B27" s="102" t="n"/>
      <c r="C27" s="92" t="n"/>
      <c r="D27" s="103" t="n"/>
      <c r="E27" s="104">
        <f>IF($A27="","",$B27)</f>
        <v/>
      </c>
      <c r="F27" s="92">
        <f>IF($A27="","",$L$54*$D27)</f>
        <v/>
      </c>
      <c r="G27" s="104">
        <f>IF($A27="","",$B27)</f>
        <v/>
      </c>
      <c r="H27" s="92">
        <f>IF($A27="","",$L$55*$D27)</f>
        <v/>
      </c>
      <c r="I27" s="104">
        <f>IF($A27="","",$B27)</f>
        <v/>
      </c>
      <c r="J27" s="92">
        <f>IF($A27="","",$L$56*$D27)</f>
        <v/>
      </c>
      <c r="K27" s="104">
        <f>IF($A27="","",$C27-$E$57-$F$57)</f>
        <v/>
      </c>
      <c r="L27" s="92">
        <f>IF($A27="","",$L$57*$D27)</f>
        <v/>
      </c>
      <c r="M27" s="104">
        <f>IF($A27="","",$C27-$E$58-$F$58)</f>
        <v/>
      </c>
      <c r="N27" s="92">
        <f>IF($A27="","",$L$58*$D27)</f>
        <v/>
      </c>
      <c r="O27" s="104">
        <f>IF($A27="","",$C27)</f>
        <v/>
      </c>
      <c r="P27" s="92">
        <f>IF($A27="","",$L$59*$D27)</f>
        <v/>
      </c>
      <c r="Q27" s="104">
        <f>IF($A27="","",$B27-$E$60-$F$60-$G$60-$H$60)</f>
        <v/>
      </c>
      <c r="R27" s="92">
        <f>IF($A27="","",$L$60*$D27)</f>
        <v/>
      </c>
      <c r="S27" s="104">
        <f>IF($A27="","",(($C27-$E$61-$F$61-$G$61-$H$61-$I$61)/5)+(78*4)/5)</f>
        <v/>
      </c>
      <c r="T27" s="92">
        <f>IF($A27="","",$L$61*$D27)</f>
        <v/>
      </c>
      <c r="U27" s="104">
        <f>IF($A27="","",$Q27-$E$62-$F$62)</f>
        <v/>
      </c>
      <c r="V27" s="92">
        <f>IF($A27="","",$L$62*$D27)</f>
        <v/>
      </c>
      <c r="W27" s="104">
        <f>IF($A27="","",$S27-$E$63-$F$63)</f>
        <v/>
      </c>
      <c r="X27" s="92">
        <f>IF($A27="","",$L$63*$D27)</f>
        <v/>
      </c>
      <c r="Y27" s="62">
        <f>IF($A27="","",$Q27)</f>
        <v/>
      </c>
      <c r="Z27" s="92">
        <f>IF($A27="","",$L$64*$D27)</f>
        <v/>
      </c>
      <c r="AA27" s="104">
        <f>IF($A27="","",$B27-$E$65-$F$65)</f>
        <v/>
      </c>
      <c r="AB27" s="92">
        <f>IF($A27="","",$L$65*$D27)</f>
        <v/>
      </c>
      <c r="AC27" s="104">
        <f>IF($A27="","",$C27-$E$66-$F$66)</f>
        <v/>
      </c>
      <c r="AD27" s="92">
        <f>IF($A27="","",$L$66*$D27)</f>
        <v/>
      </c>
      <c r="AE27" s="104">
        <f>IF($A27="","",$B27-$E$67-$F$67)</f>
        <v/>
      </c>
      <c r="AF27" s="92">
        <f>IF($A27="","",$L$67*$D27)</f>
        <v/>
      </c>
      <c r="AG27" s="104">
        <f>IF($A27="","",$C27-$E$68-$F$68)</f>
        <v/>
      </c>
      <c r="AH27" s="92">
        <f>IF($A27="","",$L$68*$D27)</f>
        <v/>
      </c>
      <c r="AI27" s="105">
        <f>IF($A27="","",$Q27-68-68)</f>
        <v/>
      </c>
      <c r="AJ27" s="106">
        <f>IF($A27="","",$S27-68-68)</f>
        <v/>
      </c>
      <c r="AK27" s="107">
        <f>IF($A27="","",2*5*$D27)</f>
        <v/>
      </c>
      <c r="AL27">
        <f>IF($A27="","",$BC$7*$D27)</f>
        <v/>
      </c>
      <c r="AM27">
        <f>IF($A27="","",$BC$6*$D27)</f>
        <v/>
      </c>
      <c r="AN27">
        <f>IF($A27="","",$BC$9*$D27)</f>
        <v/>
      </c>
      <c r="AO27">
        <f>IF($A27="","",$BC$10*$D27)</f>
        <v/>
      </c>
      <c r="AP27">
        <f>IF($A27="","",2*$BC$6*$D27)</f>
        <v/>
      </c>
      <c r="AQ27">
        <f>IF($A27="","",IF($B27&gt;2800,2,IF($B27&gt;1400,1,0))*$BC$6*$D27)</f>
        <v/>
      </c>
      <c r="AR27">
        <f>IF($A27="","",2*$BC$6*$D27)</f>
        <v/>
      </c>
      <c r="AS27">
        <f>IF($A27="","",$BC$6*$D27)</f>
        <v/>
      </c>
      <c r="AT27">
        <f>IF($A27="","",2*$BC$6*$D27)</f>
        <v/>
      </c>
      <c r="AU27">
        <f>IF($A27="","",4*5*$D27)</f>
        <v/>
      </c>
      <c r="AV27">
        <f>IF($A27="","",16*5*$D27)</f>
        <v/>
      </c>
      <c r="AW27">
        <f>IF($A27="","",(2+MAX(0,ROUNDUP(($K27-1500)/500,0)))*$D27)</f>
        <v/>
      </c>
      <c r="AX27">
        <f>IF($A27="","",(2+MAX(0,ROUNDUP(($K27-1500)/500,0)))*$D27)</f>
        <v/>
      </c>
      <c r="AY27">
        <f>IF($A27="","",ROUND((2*2*($S27+$Q27)*5*$D27+$Y27*$Z27)/1000,1))</f>
        <v/>
      </c>
    </row>
    <row r="28" ht="40.15" customHeight="1">
      <c r="A28" s="101" t="n"/>
      <c r="B28" s="102" t="n"/>
      <c r="C28" s="92" t="n"/>
      <c r="D28" s="103" t="n"/>
      <c r="E28" s="108">
        <f>IF($A28="","",$B28)</f>
        <v/>
      </c>
      <c r="F28" s="98">
        <f>IF($A28="","",$L$54*$D28)</f>
        <v/>
      </c>
      <c r="G28" s="108">
        <f>IF($A28="","",$B28)</f>
        <v/>
      </c>
      <c r="H28" s="98">
        <f>IF($A28="","",$L$55*$D28)</f>
        <v/>
      </c>
      <c r="I28" s="108">
        <f>IF($A28="","",$B28)</f>
        <v/>
      </c>
      <c r="J28" s="98">
        <f>IF($A28="","",$L$56*$D28)</f>
        <v/>
      </c>
      <c r="K28" s="108">
        <f>IF($A28="","",$C28-$E$57-$F$57)</f>
        <v/>
      </c>
      <c r="L28" s="98">
        <f>IF($A28="","",$L$57*$D28)</f>
        <v/>
      </c>
      <c r="M28" s="108">
        <f>IF($A28="","",$C28-$E$58-$F$58)</f>
        <v/>
      </c>
      <c r="N28" s="98">
        <f>IF($A28="","",$L$58*$D28)</f>
        <v/>
      </c>
      <c r="O28" s="108">
        <f>IF($A28="","",$C28)</f>
        <v/>
      </c>
      <c r="P28" s="98">
        <f>IF($A28="","",$L$59*$D28)</f>
        <v/>
      </c>
      <c r="Q28" s="108">
        <f>IF($A28="","",$B28-$E$60-$F$60-$G$60-$H$60)</f>
        <v/>
      </c>
      <c r="R28" s="98">
        <f>IF($A28="","",$L$60*$D28)</f>
        <v/>
      </c>
      <c r="S28" s="108">
        <f>IF($A28="","",(($C28-$E$61-$F$61-$G$61-$H$61-$I$61)/5)+(78*4)/5)</f>
        <v/>
      </c>
      <c r="T28" s="98">
        <f>IF($A28="","",$L$61*$D28)</f>
        <v/>
      </c>
      <c r="U28" s="108">
        <f>IF($A28="","",$Q28-$E$62-$F$62)</f>
        <v/>
      </c>
      <c r="V28" s="98">
        <f>IF($A28="","",$L$62*$D28)</f>
        <v/>
      </c>
      <c r="W28" s="108">
        <f>IF($A28="","",$S28-$E$63-$F$63)</f>
        <v/>
      </c>
      <c r="X28" s="98">
        <f>IF($A28="","",$L$63*$D28)</f>
        <v/>
      </c>
      <c r="Y28" s="66">
        <f>IF($A28="","",$Q28)</f>
        <v/>
      </c>
      <c r="Z28" s="98">
        <f>IF($A28="","",$L$64*$D28)</f>
        <v/>
      </c>
      <c r="AA28" s="108">
        <f>IF($A28="","",$B28-$E$65-$F$65)</f>
        <v/>
      </c>
      <c r="AB28" s="98">
        <f>IF($A28="","",$L$65*$D28)</f>
        <v/>
      </c>
      <c r="AC28" s="108">
        <f>IF($A28="","",$C28-$E$66-$F$66)</f>
        <v/>
      </c>
      <c r="AD28" s="98">
        <f>IF($A28="","",$L$66*$D28)</f>
        <v/>
      </c>
      <c r="AE28" s="108">
        <f>IF($A28="","",$B28-$E$67-$F$67)</f>
        <v/>
      </c>
      <c r="AF28" s="98">
        <f>IF($A28="","",$L$67*$D28)</f>
        <v/>
      </c>
      <c r="AG28" s="108">
        <f>IF($A28="","",$C28-$E$68-$F$68)</f>
        <v/>
      </c>
      <c r="AH28" s="98">
        <f>IF($A28="","",$L$68*$D28)</f>
        <v/>
      </c>
      <c r="AI28" s="105">
        <f>IF($A28="","",$Q28-68-68)</f>
        <v/>
      </c>
      <c r="AJ28" s="106">
        <f>IF($A28="","",$S28-68-68)</f>
        <v/>
      </c>
      <c r="AK28" s="107">
        <f>IF($A28="","",2*5*$D28)</f>
        <v/>
      </c>
      <c r="AL28">
        <f>IF($A28="","",$BC$7*$D28)</f>
        <v/>
      </c>
      <c r="AM28">
        <f>IF($A28="","",$BC$6*$D28)</f>
        <v/>
      </c>
      <c r="AN28">
        <f>IF($A28="","",$BC$9*$D28)</f>
        <v/>
      </c>
      <c r="AO28">
        <f>IF($A28="","",$BC$10*$D28)</f>
        <v/>
      </c>
      <c r="AP28">
        <f>IF($A28="","",2*$BC$6*$D28)</f>
        <v/>
      </c>
      <c r="AQ28">
        <f>IF($A28="","",IF($B28&gt;2800,2,IF($B28&gt;1400,1,0))*$BC$6*$D28)</f>
        <v/>
      </c>
      <c r="AR28">
        <f>IF($A28="","",2*$BC$6*$D28)</f>
        <v/>
      </c>
      <c r="AS28">
        <f>IF($A28="","",$BC$6*$D28)</f>
        <v/>
      </c>
      <c r="AT28">
        <f>IF($A28="","",2*$BC$6*$D28)</f>
        <v/>
      </c>
      <c r="AU28">
        <f>IF($A28="","",4*5*$D28)</f>
        <v/>
      </c>
      <c r="AV28">
        <f>IF($A28="","",16*5*$D28)</f>
        <v/>
      </c>
      <c r="AW28">
        <f>IF($A28="","",(2+MAX(0,ROUNDUP(($K28-1500)/500,0)))*$D28)</f>
        <v/>
      </c>
      <c r="AX28">
        <f>IF($A28="","",(2+MAX(0,ROUNDUP(($K28-1500)/500,0)))*$D28)</f>
        <v/>
      </c>
      <c r="AY28">
        <f>IF($A28="","",ROUND((2*2*($S28+$Q28)*5*$D28+$Y28*$Z28)/1000,1))</f>
        <v/>
      </c>
    </row>
    <row r="29" ht="40.15" customHeight="1"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8" t="n"/>
      <c r="O29" s="68" t="n"/>
      <c r="P29" s="68" t="n"/>
      <c r="Q29" s="68" t="n"/>
      <c r="R29" s="68" t="n"/>
      <c r="S29" s="68" t="n"/>
      <c r="T29" s="68" t="n"/>
      <c r="U29" s="68" t="n"/>
      <c r="V29" s="68" t="n"/>
      <c r="W29" s="68" t="n"/>
      <c r="X29" s="68" t="n"/>
      <c r="Y29" s="68" t="n"/>
      <c r="Z29" s="68" t="n"/>
      <c r="AA29" s="68" t="n"/>
      <c r="AB29" s="68" t="n"/>
      <c r="AC29" s="68" t="n"/>
      <c r="AD29" s="68" t="n"/>
      <c r="AE29" s="68" t="n"/>
      <c r="AF29" s="68" t="n"/>
      <c r="AG29" s="68" t="n"/>
      <c r="AH29" s="68" t="n"/>
      <c r="AI29" s="69" t="n"/>
    </row>
    <row r="30" ht="40.15" customHeight="1">
      <c r="A30" s="70" t="inlineStr">
        <is>
          <t>จำนวนเส้น 6.4 ม. ที่ต้องสั่ง →</t>
        </is>
      </c>
      <c r="B30" s="20" t="n"/>
      <c r="C30" s="20" t="n"/>
      <c r="D30" s="21" t="n"/>
      <c r="E30" s="71">
        <f>E$7</f>
        <v/>
      </c>
      <c r="F30" s="72">
        <f>(ROUNDUP(F49/6400,0))</f>
        <v/>
      </c>
      <c r="G30" s="71">
        <f>G$7</f>
        <v/>
      </c>
      <c r="H30" s="72">
        <f>(ROUNDUP(H49/6400,0))</f>
        <v/>
      </c>
      <c r="I30" s="72">
        <f>I$7</f>
        <v/>
      </c>
      <c r="J30" s="72">
        <f>(ROUNDUP(J49/6400,0))</f>
        <v/>
      </c>
      <c r="K30" s="72">
        <f>K$7</f>
        <v/>
      </c>
      <c r="L30" s="72">
        <f>(ROUNDUP(L49/6400,0))</f>
        <v/>
      </c>
      <c r="M30" s="72">
        <f>M$7</f>
        <v/>
      </c>
      <c r="N30" s="72">
        <f>(ROUNDUP(N49/6400,0))</f>
        <v/>
      </c>
      <c r="O30" s="72">
        <f>O$7</f>
        <v/>
      </c>
      <c r="P30" s="72">
        <f>(ROUNDUP(P49/6400,0))</f>
        <v/>
      </c>
      <c r="Q30" s="72">
        <f>Q$7</f>
        <v/>
      </c>
      <c r="R30" s="20" t="n"/>
      <c r="S30" s="21" t="n"/>
      <c r="T30" s="72">
        <f>(ROUNDUP(SUM(R49:T49)/6400,0))</f>
        <v/>
      </c>
      <c r="U30" s="72">
        <f>U$7</f>
        <v/>
      </c>
      <c r="V30" s="20" t="n"/>
      <c r="W30" s="21" t="n"/>
      <c r="X30" s="72">
        <f>(ROUNDUP(SUM(V49:X49)/6400,0))</f>
        <v/>
      </c>
      <c r="Y30" s="72">
        <f>Y$7</f>
        <v/>
      </c>
      <c r="Z30" s="72">
        <f>(ROUNDUP(Z49/6400,0))</f>
        <v/>
      </c>
      <c r="AA30" s="72">
        <f>AA$7</f>
        <v/>
      </c>
      <c r="AB30" s="72">
        <f>(ROUNDUP(AB49/6400,0))</f>
        <v/>
      </c>
      <c r="AC30" s="72">
        <f>AC$7</f>
        <v/>
      </c>
      <c r="AD30" s="72">
        <f>(ROUNDUP(AD49/6400,0))</f>
        <v/>
      </c>
      <c r="AE30" s="72">
        <f>AE$7</f>
        <v/>
      </c>
      <c r="AF30" s="72">
        <f>(ROUNDUP(AF49/6400,0))</f>
        <v/>
      </c>
      <c r="AG30" s="72">
        <f>AG$7</f>
        <v/>
      </c>
      <c r="AH30" s="72">
        <f>(ROUNDUP(AH49/6400,0))</f>
        <v/>
      </c>
      <c r="AJ30" t="inlineStr">
        <is>
          <t>รวม</t>
        </is>
      </c>
      <c r="AK30">
        <f>SUM(AK11:AK28)</f>
        <v/>
      </c>
      <c r="AL30">
        <f>SUM(AL11:AL28)</f>
        <v/>
      </c>
      <c r="AM30">
        <f>SUM(AM11:AM28)</f>
        <v/>
      </c>
      <c r="AN30">
        <f>SUM(AN11:AN28)</f>
        <v/>
      </c>
      <c r="AO30">
        <f>SUM(AO11:AO28)</f>
        <v/>
      </c>
      <c r="AP30">
        <f>SUM(AP11:AP28)</f>
        <v/>
      </c>
      <c r="AQ30">
        <f>SUM(AQ11:AQ28)</f>
        <v/>
      </c>
      <c r="AR30">
        <f>SUM(AR11:AR28)</f>
        <v/>
      </c>
      <c r="AS30">
        <f>SUM(AS11:AS28)</f>
        <v/>
      </c>
      <c r="AT30">
        <f>SUM(AT11:AT28)</f>
        <v/>
      </c>
      <c r="AU30">
        <f>SUM(AU11:AU28)</f>
        <v/>
      </c>
      <c r="AV30">
        <f>SUM(AV11:AV28)</f>
        <v/>
      </c>
      <c r="AW30">
        <f>SUM(AW11:AW28)</f>
        <v/>
      </c>
      <c r="AX30">
        <f>SUM(AX11:AX28)</f>
        <v/>
      </c>
      <c r="AY30">
        <f>SUM(AY11:AY28)</f>
        <v/>
      </c>
    </row>
    <row r="31" hidden="1" ht="40.15" customHeight="1">
      <c r="F31" s="73">
        <f>IF($A11="","",F11*E11)</f>
        <v/>
      </c>
      <c r="H31" s="73">
        <f>IF($A11="","",H11*G11)</f>
        <v/>
      </c>
      <c r="I31" s="73" t="n"/>
      <c r="J31" s="73">
        <f>IF($A11="","",J11*I11)</f>
        <v/>
      </c>
      <c r="K31" s="73" t="n"/>
      <c r="L31" s="73">
        <f>IF($A11="","",L11*K11)</f>
        <v/>
      </c>
      <c r="M31" s="73" t="n"/>
      <c r="N31" s="73">
        <f>IF($A11="","",N11*M11)</f>
        <v/>
      </c>
      <c r="O31" s="73" t="n"/>
      <c r="P31" s="73">
        <f>IF($A11="","",P11*O11)</f>
        <v/>
      </c>
      <c r="Q31" s="73" t="n"/>
      <c r="R31" s="73">
        <f>IF($A11="","",R11*Q11)</f>
        <v/>
      </c>
      <c r="S31" s="73" t="n"/>
      <c r="T31" s="73">
        <f>IF($A11="","",T11*S11)</f>
        <v/>
      </c>
      <c r="U31" s="73" t="n"/>
      <c r="V31" s="73">
        <f>IF($A11="","",V11*U11)</f>
        <v/>
      </c>
      <c r="W31" s="73" t="n"/>
      <c r="X31" s="73">
        <f>IF($A11="","",X11*W11)</f>
        <v/>
      </c>
      <c r="Y31" s="73" t="n"/>
      <c r="Z31" s="73">
        <f>IF($A11="","",Z11*Y11)</f>
        <v/>
      </c>
      <c r="AA31" s="73" t="n"/>
      <c r="AB31" s="73">
        <f>IF($A11="","",AB11*AA11)</f>
        <v/>
      </c>
      <c r="AC31" s="73" t="n"/>
      <c r="AD31" s="73">
        <f>IF($A11="","",AD11*AC11)</f>
        <v/>
      </c>
      <c r="AE31" s="73" t="n"/>
      <c r="AF31" s="73">
        <f>IF($A11="","",AF11*AE11)</f>
        <v/>
      </c>
      <c r="AG31" s="73" t="n"/>
      <c r="AH31" s="73">
        <f>IF($A11="","",AH11*AG11)</f>
        <v/>
      </c>
    </row>
    <row r="32" hidden="1" ht="40.15" customHeight="1">
      <c r="F32" s="73">
        <f>IF($A12="","",F12*E12)</f>
        <v/>
      </c>
      <c r="H32" s="73">
        <f>IF($A12="","",H12*G12)</f>
        <v/>
      </c>
      <c r="I32" s="73" t="n"/>
      <c r="J32" s="73">
        <f>IF($A12="","",J12*I12)</f>
        <v/>
      </c>
      <c r="K32" s="73" t="n"/>
      <c r="L32" s="73">
        <f>IF($A12="","",L12*K12)</f>
        <v/>
      </c>
      <c r="M32" s="73" t="n"/>
      <c r="N32" s="73">
        <f>IF($A12="","",N12*M12)</f>
        <v/>
      </c>
      <c r="O32" s="73" t="n"/>
      <c r="P32" s="73">
        <f>IF($A12="","",P12*O12)</f>
        <v/>
      </c>
      <c r="Q32" s="73" t="n"/>
      <c r="R32" s="73">
        <f>IF($A12="","",R12*Q12)</f>
        <v/>
      </c>
      <c r="S32" s="73" t="n"/>
      <c r="T32" s="73">
        <f>IF($A12="","",T12*S12)</f>
        <v/>
      </c>
      <c r="U32" s="73" t="n"/>
      <c r="V32" s="73">
        <f>IF($A12="","",V12*U12)</f>
        <v/>
      </c>
      <c r="W32" s="73" t="n"/>
      <c r="X32" s="73">
        <f>IF($A12="","",X12*W12)</f>
        <v/>
      </c>
      <c r="Y32" s="73" t="n"/>
      <c r="Z32" s="73">
        <f>IF($A12="","",Z12*Y12)</f>
        <v/>
      </c>
      <c r="AA32" s="73" t="n"/>
      <c r="AB32" s="73">
        <f>IF($A12="","",AB12*AA12)</f>
        <v/>
      </c>
      <c r="AC32" s="73" t="n"/>
      <c r="AD32" s="73">
        <f>IF($A12="","",AD12*AC12)</f>
        <v/>
      </c>
      <c r="AE32" s="73" t="n"/>
      <c r="AF32" s="73">
        <f>IF($A12="","",AF12*AE12)</f>
        <v/>
      </c>
      <c r="AG32" s="73" t="n"/>
      <c r="AH32" s="73">
        <f>IF($A12="","",AH12*AG12)</f>
        <v/>
      </c>
    </row>
    <row r="33" hidden="1" ht="40.15" customHeight="1">
      <c r="F33" s="73">
        <f>IF($A13="","",F13*E13)</f>
        <v/>
      </c>
      <c r="H33" s="73">
        <f>IF($A13="","",H13*G13)</f>
        <v/>
      </c>
      <c r="I33" s="73" t="n"/>
      <c r="J33" s="73">
        <f>IF($A13="","",J13*I13)</f>
        <v/>
      </c>
      <c r="K33" s="73" t="n"/>
      <c r="L33" s="73">
        <f>IF($A13="","",L13*K13)</f>
        <v/>
      </c>
      <c r="M33" s="73" t="n"/>
      <c r="N33" s="73">
        <f>IF($A13="","",N13*M13)</f>
        <v/>
      </c>
      <c r="O33" s="73" t="n"/>
      <c r="P33" s="73">
        <f>IF($A13="","",P13*O13)</f>
        <v/>
      </c>
      <c r="Q33" s="73" t="n"/>
      <c r="R33" s="73">
        <f>IF($A13="","",R13*Q13)</f>
        <v/>
      </c>
      <c r="S33" s="73" t="n"/>
      <c r="T33" s="73">
        <f>IF($A13="","",T13*S13)</f>
        <v/>
      </c>
      <c r="U33" s="73" t="n"/>
      <c r="V33" s="73">
        <f>IF($A13="","",V13*U13)</f>
        <v/>
      </c>
      <c r="W33" s="73" t="n"/>
      <c r="X33" s="73">
        <f>IF($A13="","",X13*W13)</f>
        <v/>
      </c>
      <c r="Y33" s="73" t="n"/>
      <c r="Z33" s="73">
        <f>IF($A13="","",Z13*Y13)</f>
        <v/>
      </c>
      <c r="AA33" s="73" t="n"/>
      <c r="AB33" s="73">
        <f>IF($A13="","",AB13*AA13)</f>
        <v/>
      </c>
      <c r="AC33" s="73" t="n"/>
      <c r="AD33" s="73">
        <f>IF($A13="","",AD13*AC13)</f>
        <v/>
      </c>
      <c r="AE33" s="73" t="n"/>
      <c r="AF33" s="73">
        <f>IF($A13="","",AF13*AE13)</f>
        <v/>
      </c>
      <c r="AG33" s="73" t="n"/>
      <c r="AH33" s="73">
        <f>IF($A13="","",AH13*AG13)</f>
        <v/>
      </c>
    </row>
    <row r="34" hidden="1" ht="40.15" customHeight="1">
      <c r="F34" s="73">
        <f>IF($A14="","",F14*E14)</f>
        <v/>
      </c>
      <c r="H34" s="73">
        <f>IF($A14="","",H14*G14)</f>
        <v/>
      </c>
      <c r="I34" s="73" t="n"/>
      <c r="J34" s="73">
        <f>IF($A14="","",J14*I14)</f>
        <v/>
      </c>
      <c r="K34" s="73" t="n"/>
      <c r="L34" s="73">
        <f>IF($A14="","",L14*K14)</f>
        <v/>
      </c>
      <c r="M34" s="73" t="n"/>
      <c r="N34" s="73">
        <f>IF($A14="","",N14*M14)</f>
        <v/>
      </c>
      <c r="O34" s="73" t="n"/>
      <c r="P34" s="73">
        <f>IF($A14="","",P14*O14)</f>
        <v/>
      </c>
      <c r="Q34" s="73" t="n"/>
      <c r="R34" s="73">
        <f>IF($A14="","",R14*Q14)</f>
        <v/>
      </c>
      <c r="S34" s="73" t="n"/>
      <c r="T34" s="73">
        <f>IF($A14="","",T14*S14)</f>
        <v/>
      </c>
      <c r="U34" s="73" t="n"/>
      <c r="V34" s="73">
        <f>IF($A14="","",V14*U14)</f>
        <v/>
      </c>
      <c r="W34" s="73" t="n"/>
      <c r="X34" s="73">
        <f>IF($A14="","",X14*W14)</f>
        <v/>
      </c>
      <c r="Y34" s="73" t="n"/>
      <c r="Z34" s="73">
        <f>IF($A14="","",Z14*Y14)</f>
        <v/>
      </c>
      <c r="AA34" s="73" t="n"/>
      <c r="AB34" s="73">
        <f>IF($A14="","",AB14*AA14)</f>
        <v/>
      </c>
      <c r="AC34" s="73" t="n"/>
      <c r="AD34" s="73">
        <f>IF($A14="","",AD14*AC14)</f>
        <v/>
      </c>
      <c r="AE34" s="73" t="n"/>
      <c r="AF34" s="73">
        <f>IF($A14="","",AF14*AE14)</f>
        <v/>
      </c>
      <c r="AG34" s="73" t="n"/>
      <c r="AH34" s="73">
        <f>IF($A14="","",AH14*AG14)</f>
        <v/>
      </c>
    </row>
    <row r="35" hidden="1" ht="40.15" customHeight="1">
      <c r="F35" s="73">
        <f>IF($A15="","",F15*E15)</f>
        <v/>
      </c>
      <c r="H35" s="73">
        <f>IF($A15="","",H15*G15)</f>
        <v/>
      </c>
      <c r="I35" s="73" t="n"/>
      <c r="J35" s="73">
        <f>IF($A15="","",J15*I15)</f>
        <v/>
      </c>
      <c r="K35" s="73" t="n"/>
      <c r="L35" s="73">
        <f>IF($A15="","",L15*K15)</f>
        <v/>
      </c>
      <c r="M35" s="73" t="n"/>
      <c r="N35" s="73">
        <f>IF($A15="","",N15*M15)</f>
        <v/>
      </c>
      <c r="O35" s="73" t="n"/>
      <c r="P35" s="73">
        <f>IF($A15="","",P15*O15)</f>
        <v/>
      </c>
      <c r="Q35" s="73" t="n"/>
      <c r="R35" s="73">
        <f>IF($A15="","",R15*Q15)</f>
        <v/>
      </c>
      <c r="S35" s="73" t="n"/>
      <c r="T35" s="73">
        <f>IF($A15="","",T15*S15)</f>
        <v/>
      </c>
      <c r="U35" s="73" t="n"/>
      <c r="V35" s="73">
        <f>IF($A15="","",V15*U15)</f>
        <v/>
      </c>
      <c r="W35" s="73" t="n"/>
      <c r="X35" s="73">
        <f>IF($A15="","",X15*W15)</f>
        <v/>
      </c>
      <c r="Y35" s="73" t="n"/>
      <c r="Z35" s="73">
        <f>IF($A15="","",Z15*Y15)</f>
        <v/>
      </c>
      <c r="AA35" s="73" t="n"/>
      <c r="AB35" s="73">
        <f>IF($A15="","",AB15*AA15)</f>
        <v/>
      </c>
      <c r="AC35" s="73" t="n"/>
      <c r="AD35" s="73">
        <f>IF($A15="","",AD15*AC15)</f>
        <v/>
      </c>
      <c r="AE35" s="73" t="n"/>
      <c r="AF35" s="73">
        <f>IF($A15="","",AF15*AE15)</f>
        <v/>
      </c>
      <c r="AG35" s="73" t="n"/>
      <c r="AH35" s="73">
        <f>IF($A15="","",AH15*AG15)</f>
        <v/>
      </c>
    </row>
    <row r="36" hidden="1">
      <c r="F36" s="73">
        <f>IF($A16="","",F16*E16)</f>
        <v/>
      </c>
      <c r="H36" s="73">
        <f>IF($A16="","",H16*G16)</f>
        <v/>
      </c>
      <c r="I36" s="73" t="n"/>
      <c r="J36" s="73">
        <f>IF($A16="","",J16*I16)</f>
        <v/>
      </c>
      <c r="K36" s="73" t="n"/>
      <c r="L36" s="73">
        <f>IF($A16="","",L16*K16)</f>
        <v/>
      </c>
      <c r="M36" s="73" t="n"/>
      <c r="N36" s="73">
        <f>IF($A16="","",N16*M16)</f>
        <v/>
      </c>
      <c r="O36" s="73" t="n"/>
      <c r="P36" s="73">
        <f>IF($A16="","",P16*O16)</f>
        <v/>
      </c>
      <c r="Q36" s="73" t="n"/>
      <c r="R36" s="73">
        <f>IF($A16="","",R16*Q16)</f>
        <v/>
      </c>
      <c r="S36" s="73" t="n"/>
      <c r="T36" s="73">
        <f>IF($A16="","",T16*S16)</f>
        <v/>
      </c>
      <c r="U36" s="73" t="n"/>
      <c r="V36" s="73">
        <f>IF($A16="","",V16*U16)</f>
        <v/>
      </c>
      <c r="W36" s="73" t="n"/>
      <c r="X36" s="73">
        <f>IF($A16="","",X16*W16)</f>
        <v/>
      </c>
      <c r="Y36" s="73" t="n"/>
      <c r="Z36" s="73">
        <f>IF($A16="","",Z16*Y16)</f>
        <v/>
      </c>
      <c r="AA36" s="73" t="n"/>
      <c r="AB36" s="73">
        <f>IF($A16="","",AB16*AA16)</f>
        <v/>
      </c>
      <c r="AC36" s="73" t="n"/>
      <c r="AD36" s="73">
        <f>IF($A16="","",AD16*AC16)</f>
        <v/>
      </c>
      <c r="AE36" s="73" t="n"/>
      <c r="AF36" s="73">
        <f>IF($A16="","",AF16*AE16)</f>
        <v/>
      </c>
      <c r="AG36" s="73" t="n"/>
      <c r="AH36" s="73">
        <f>IF($A16="","",AH16*AG16)</f>
        <v/>
      </c>
    </row>
    <row r="37" hidden="1">
      <c r="F37" s="73">
        <f>IF($A17="","",F17*E17)</f>
        <v/>
      </c>
      <c r="H37" s="73">
        <f>IF($A17="","",H17*G17)</f>
        <v/>
      </c>
      <c r="I37" s="73" t="n"/>
      <c r="J37" s="73">
        <f>IF($A17="","",J17*I17)</f>
        <v/>
      </c>
      <c r="K37" s="73" t="n"/>
      <c r="L37" s="73">
        <f>IF($A17="","",L17*K17)</f>
        <v/>
      </c>
      <c r="M37" s="73" t="n"/>
      <c r="N37" s="73">
        <f>IF($A17="","",N17*M17)</f>
        <v/>
      </c>
      <c r="O37" s="73" t="n"/>
      <c r="P37" s="73">
        <f>IF($A17="","",P17*O17)</f>
        <v/>
      </c>
      <c r="Q37" s="73" t="n"/>
      <c r="R37" s="73">
        <f>IF($A17="","",R17*Q17)</f>
        <v/>
      </c>
      <c r="S37" s="73" t="n"/>
      <c r="T37" s="73">
        <f>IF($A17="","",T17*S17)</f>
        <v/>
      </c>
      <c r="U37" s="73" t="n"/>
      <c r="V37" s="73">
        <f>IF($A17="","",V17*U17)</f>
        <v/>
      </c>
      <c r="W37" s="73" t="n"/>
      <c r="X37" s="73">
        <f>IF($A17="","",X17*W17)</f>
        <v/>
      </c>
      <c r="Y37" s="73" t="n"/>
      <c r="Z37" s="73">
        <f>IF($A17="","",Z17*Y17)</f>
        <v/>
      </c>
      <c r="AA37" s="73" t="n"/>
      <c r="AB37" s="73">
        <f>IF($A17="","",AB17*AA17)</f>
        <v/>
      </c>
      <c r="AC37" s="73" t="n"/>
      <c r="AD37" s="73">
        <f>IF($A17="","",AD17*AC17)</f>
        <v/>
      </c>
      <c r="AE37" s="73" t="n"/>
      <c r="AF37" s="73">
        <f>IF($A17="","",AF17*AE17)</f>
        <v/>
      </c>
      <c r="AG37" s="73" t="n"/>
      <c r="AH37" s="73">
        <f>IF($A17="","",AH17*AG17)</f>
        <v/>
      </c>
    </row>
    <row r="38" hidden="1">
      <c r="F38" s="73">
        <f>IF($A18="","",F18*E18)</f>
        <v/>
      </c>
      <c r="H38" s="73">
        <f>IF($A18="","",H18*G18)</f>
        <v/>
      </c>
      <c r="I38" s="73" t="n"/>
      <c r="J38" s="73">
        <f>IF($A18="","",J18*I18)</f>
        <v/>
      </c>
      <c r="K38" s="73" t="n"/>
      <c r="L38" s="73">
        <f>IF($A18="","",L18*K18)</f>
        <v/>
      </c>
      <c r="M38" s="73" t="n"/>
      <c r="N38" s="73">
        <f>IF($A18="","",N18*M18)</f>
        <v/>
      </c>
      <c r="O38" s="73" t="n"/>
      <c r="P38" s="73">
        <f>IF($A18="","",P18*O18)</f>
        <v/>
      </c>
      <c r="Q38" s="73" t="n"/>
      <c r="R38" s="73">
        <f>IF($A18="","",R18*Q18)</f>
        <v/>
      </c>
      <c r="S38" s="73" t="n"/>
      <c r="T38" s="73">
        <f>IF($A18="","",T18*S18)</f>
        <v/>
      </c>
      <c r="U38" s="73" t="n"/>
      <c r="V38" s="73">
        <f>IF($A18="","",V18*U18)</f>
        <v/>
      </c>
      <c r="W38" s="73" t="n"/>
      <c r="X38" s="73">
        <f>IF($A18="","",X18*W18)</f>
        <v/>
      </c>
      <c r="Y38" s="73" t="n"/>
      <c r="Z38" s="73">
        <f>IF($A18="","",Z18*Y18)</f>
        <v/>
      </c>
      <c r="AA38" s="73" t="n"/>
      <c r="AB38" s="73">
        <f>IF($A18="","",AB18*AA18)</f>
        <v/>
      </c>
      <c r="AC38" s="73" t="n"/>
      <c r="AD38" s="73">
        <f>IF($A18="","",AD18*AC18)</f>
        <v/>
      </c>
      <c r="AE38" s="73" t="n"/>
      <c r="AF38" s="73">
        <f>IF($A18="","",AF18*AE18)</f>
        <v/>
      </c>
      <c r="AG38" s="73" t="n"/>
      <c r="AH38" s="73">
        <f>IF($A18="","",AH18*AG18)</f>
        <v/>
      </c>
    </row>
    <row r="39" hidden="1">
      <c r="F39" s="73">
        <f>IF($A19="","",F19*E19)</f>
        <v/>
      </c>
      <c r="H39" s="73">
        <f>IF($A19="","",H19*G19)</f>
        <v/>
      </c>
      <c r="I39" s="73" t="n"/>
      <c r="J39" s="73">
        <f>IF($A19="","",J19*I19)</f>
        <v/>
      </c>
      <c r="K39" s="73" t="n"/>
      <c r="L39" s="73">
        <f>IF($A19="","",L19*K19)</f>
        <v/>
      </c>
      <c r="M39" s="73" t="n"/>
      <c r="N39" s="73">
        <f>IF($A19="","",N19*M19)</f>
        <v/>
      </c>
      <c r="O39" s="73" t="n"/>
      <c r="P39" s="73">
        <f>IF($A19="","",P19*O19)</f>
        <v/>
      </c>
      <c r="Q39" s="73" t="n"/>
      <c r="R39" s="73">
        <f>IF($A19="","",R19*Q19)</f>
        <v/>
      </c>
      <c r="S39" s="73" t="n"/>
      <c r="T39" s="73">
        <f>IF($A19="","",T19*S19)</f>
        <v/>
      </c>
      <c r="U39" s="73" t="n"/>
      <c r="V39" s="73">
        <f>IF($A19="","",V19*U19)</f>
        <v/>
      </c>
      <c r="W39" s="73" t="n"/>
      <c r="X39" s="73">
        <f>IF($A19="","",X19*W19)</f>
        <v/>
      </c>
      <c r="Y39" s="73" t="n"/>
      <c r="Z39" s="73">
        <f>IF($A19="","",Z19*Y19)</f>
        <v/>
      </c>
      <c r="AA39" s="73" t="n"/>
      <c r="AB39" s="73">
        <f>IF($A19="","",AB19*AA19)</f>
        <v/>
      </c>
      <c r="AC39" s="73" t="n"/>
      <c r="AD39" s="73">
        <f>IF($A19="","",AD19*AC19)</f>
        <v/>
      </c>
      <c r="AE39" s="73" t="n"/>
      <c r="AF39" s="73">
        <f>IF($A19="","",AF19*AE19)</f>
        <v/>
      </c>
      <c r="AG39" s="73" t="n"/>
      <c r="AH39" s="73">
        <f>IF($A19="","",AH19*AG19)</f>
        <v/>
      </c>
    </row>
    <row r="40" hidden="1">
      <c r="F40" s="73">
        <f>IF($A20="","",F20*E20)</f>
        <v/>
      </c>
      <c r="H40" s="73">
        <f>IF($A20="","",H20*G20)</f>
        <v/>
      </c>
      <c r="I40" s="73" t="n"/>
      <c r="J40" s="73">
        <f>IF($A20="","",J20*I20)</f>
        <v/>
      </c>
      <c r="K40" s="73" t="n"/>
      <c r="L40" s="73">
        <f>IF($A20="","",L20*K20)</f>
        <v/>
      </c>
      <c r="M40" s="73" t="n"/>
      <c r="N40" s="73">
        <f>IF($A20="","",N20*M20)</f>
        <v/>
      </c>
      <c r="O40" s="73" t="n"/>
      <c r="P40" s="73">
        <f>IF($A20="","",P20*O20)</f>
        <v/>
      </c>
      <c r="Q40" s="73" t="n"/>
      <c r="R40" s="73">
        <f>IF($A20="","",R20*Q20)</f>
        <v/>
      </c>
      <c r="S40" s="73" t="n"/>
      <c r="T40" s="73">
        <f>IF($A20="","",T20*S20)</f>
        <v/>
      </c>
      <c r="U40" s="73" t="n"/>
      <c r="V40" s="73">
        <f>IF($A20="","",V20*U20)</f>
        <v/>
      </c>
      <c r="W40" s="73" t="n"/>
      <c r="X40" s="73">
        <f>IF($A20="","",X20*W20)</f>
        <v/>
      </c>
      <c r="Y40" s="73" t="n"/>
      <c r="Z40" s="73">
        <f>IF($A20="","",Z20*Y20)</f>
        <v/>
      </c>
      <c r="AA40" s="73" t="n"/>
      <c r="AB40" s="73">
        <f>IF($A20="","",AB20*AA20)</f>
        <v/>
      </c>
      <c r="AC40" s="73" t="n"/>
      <c r="AD40" s="73">
        <f>IF($A20="","",AD20*AC20)</f>
        <v/>
      </c>
      <c r="AE40" s="73" t="n"/>
      <c r="AF40" s="73">
        <f>IF($A20="","",AF20*AE20)</f>
        <v/>
      </c>
      <c r="AG40" s="73" t="n"/>
      <c r="AH40" s="73">
        <f>IF($A20="","",AH20*AG20)</f>
        <v/>
      </c>
    </row>
    <row r="41" hidden="1">
      <c r="F41" s="73">
        <f>IF($A21="","",F21*E21)</f>
        <v/>
      </c>
      <c r="H41" s="73">
        <f>IF($A21="","",H21*G21)</f>
        <v/>
      </c>
      <c r="I41" s="73" t="n"/>
      <c r="J41" s="73">
        <f>IF($A21="","",J21*I21)</f>
        <v/>
      </c>
      <c r="K41" s="73" t="n"/>
      <c r="L41" s="73">
        <f>IF($A21="","",L21*K21)</f>
        <v/>
      </c>
      <c r="M41" s="73" t="n"/>
      <c r="N41" s="73">
        <f>IF($A21="","",N21*M21)</f>
        <v/>
      </c>
      <c r="O41" s="73" t="n"/>
      <c r="P41" s="73">
        <f>IF($A21="","",P21*O21)</f>
        <v/>
      </c>
      <c r="Q41" s="73" t="n"/>
      <c r="R41" s="73">
        <f>IF($A21="","",R21*Q21)</f>
        <v/>
      </c>
      <c r="S41" s="73" t="n"/>
      <c r="T41" s="73">
        <f>IF($A21="","",T21*S21)</f>
        <v/>
      </c>
      <c r="U41" s="73" t="n"/>
      <c r="V41" s="73">
        <f>IF($A21="","",V21*U21)</f>
        <v/>
      </c>
      <c r="W41" s="73" t="n"/>
      <c r="X41" s="73">
        <f>IF($A21="","",X21*W21)</f>
        <v/>
      </c>
      <c r="Y41" s="73" t="n"/>
      <c r="Z41" s="73">
        <f>IF($A21="","",Z21*Y21)</f>
        <v/>
      </c>
      <c r="AA41" s="73" t="n"/>
      <c r="AB41" s="73">
        <f>IF($A21="","",AB21*AA21)</f>
        <v/>
      </c>
      <c r="AC41" s="73" t="n"/>
      <c r="AD41" s="73">
        <f>IF($A21="","",AD21*AC21)</f>
        <v/>
      </c>
      <c r="AE41" s="73" t="n"/>
      <c r="AF41" s="73">
        <f>IF($A21="","",AF21*AE21)</f>
        <v/>
      </c>
      <c r="AG41" s="73" t="n"/>
      <c r="AH41" s="73">
        <f>IF($A21="","",AH21*AG21)</f>
        <v/>
      </c>
    </row>
    <row r="42" hidden="1">
      <c r="F42" s="73">
        <f>IF($A22="","",F22*E22)</f>
        <v/>
      </c>
      <c r="H42" s="73">
        <f>IF($A22="","",H22*G22)</f>
        <v/>
      </c>
      <c r="I42" s="73" t="n"/>
      <c r="J42" s="73">
        <f>IF($A22="","",J22*I22)</f>
        <v/>
      </c>
      <c r="K42" s="73" t="n"/>
      <c r="L42" s="73">
        <f>IF($A22="","",L22*K22)</f>
        <v/>
      </c>
      <c r="M42" s="73" t="n"/>
      <c r="N42" s="73">
        <f>IF($A22="","",N22*M22)</f>
        <v/>
      </c>
      <c r="O42" s="73" t="n"/>
      <c r="P42" s="73">
        <f>IF($A22="","",P22*O22)</f>
        <v/>
      </c>
      <c r="Q42" s="73" t="n"/>
      <c r="R42" s="73">
        <f>IF($A22="","",R22*Q22)</f>
        <v/>
      </c>
      <c r="S42" s="73" t="n"/>
      <c r="T42" s="73">
        <f>IF($A22="","",T22*S22)</f>
        <v/>
      </c>
      <c r="U42" s="73" t="n"/>
      <c r="V42" s="73">
        <f>IF($A22="","",V22*U22)</f>
        <v/>
      </c>
      <c r="W42" s="73" t="n"/>
      <c r="X42" s="73">
        <f>IF($A22="","",X22*W22)</f>
        <v/>
      </c>
      <c r="Y42" s="73" t="n"/>
      <c r="Z42" s="73">
        <f>IF($A22="","",Z22*Y22)</f>
        <v/>
      </c>
      <c r="AA42" s="73" t="n"/>
      <c r="AB42" s="73">
        <f>IF($A22="","",AB22*AA22)</f>
        <v/>
      </c>
      <c r="AC42" s="73" t="n"/>
      <c r="AD42" s="73">
        <f>IF($A22="","",AD22*AC22)</f>
        <v/>
      </c>
      <c r="AE42" s="73" t="n"/>
      <c r="AF42" s="73">
        <f>IF($A22="","",AF22*AE22)</f>
        <v/>
      </c>
      <c r="AG42" s="73" t="n"/>
      <c r="AH42" s="73">
        <f>IF($A22="","",AH22*AG22)</f>
        <v/>
      </c>
    </row>
    <row r="43" hidden="1">
      <c r="F43" s="73">
        <f>IF($A23="","",F23*E23)</f>
        <v/>
      </c>
      <c r="H43" s="73">
        <f>IF($A23="","",H23*G23)</f>
        <v/>
      </c>
      <c r="I43" s="73" t="n"/>
      <c r="J43" s="73">
        <f>IF($A23="","",J23*I23)</f>
        <v/>
      </c>
      <c r="K43" s="73" t="n"/>
      <c r="L43" s="73">
        <f>IF($A23="","",L23*K23)</f>
        <v/>
      </c>
      <c r="M43" s="73" t="n"/>
      <c r="N43" s="73">
        <f>IF($A23="","",N23*M23)</f>
        <v/>
      </c>
      <c r="O43" s="73" t="n"/>
      <c r="P43" s="73">
        <f>IF($A23="","",P23*O23)</f>
        <v/>
      </c>
      <c r="Q43" s="73" t="n"/>
      <c r="R43" s="73">
        <f>IF($A23="","",R23*Q23)</f>
        <v/>
      </c>
      <c r="S43" s="73" t="n"/>
      <c r="T43" s="73">
        <f>IF($A23="","",T23*S23)</f>
        <v/>
      </c>
      <c r="U43" s="73" t="n"/>
      <c r="V43" s="73">
        <f>IF($A23="","",V23*U23)</f>
        <v/>
      </c>
      <c r="W43" s="73" t="n"/>
      <c r="X43" s="73">
        <f>IF($A23="","",X23*W23)</f>
        <v/>
      </c>
      <c r="Y43" s="73" t="n"/>
      <c r="Z43" s="73">
        <f>IF($A23="","",Z23*Y23)</f>
        <v/>
      </c>
      <c r="AA43" s="73" t="n"/>
      <c r="AB43" s="73">
        <f>IF($A23="","",AB23*AA23)</f>
        <v/>
      </c>
      <c r="AC43" s="73" t="n"/>
      <c r="AD43" s="73">
        <f>IF($A23="","",AD23*AC23)</f>
        <v/>
      </c>
      <c r="AE43" s="73" t="n"/>
      <c r="AF43" s="73">
        <f>IF($A23="","",AF23*AE23)</f>
        <v/>
      </c>
      <c r="AG43" s="73" t="n"/>
      <c r="AH43" s="73">
        <f>IF($A23="","",AH23*AG23)</f>
        <v/>
      </c>
    </row>
    <row r="44" hidden="1">
      <c r="F44" s="73">
        <f>IF($A24="","",F24*E24)</f>
        <v/>
      </c>
      <c r="H44" s="73">
        <f>IF($A24="","",H24*G24)</f>
        <v/>
      </c>
      <c r="I44" s="73" t="n"/>
      <c r="J44" s="73">
        <f>IF($A24="","",J24*I24)</f>
        <v/>
      </c>
      <c r="K44" s="73" t="n"/>
      <c r="L44" s="73">
        <f>IF($A24="","",L24*K24)</f>
        <v/>
      </c>
      <c r="M44" s="73" t="n"/>
      <c r="N44" s="73">
        <f>IF($A24="","",N24*M24)</f>
        <v/>
      </c>
      <c r="O44" s="73" t="n"/>
      <c r="P44" s="73">
        <f>IF($A24="","",P24*O24)</f>
        <v/>
      </c>
      <c r="Q44" s="73" t="n"/>
      <c r="R44" s="73">
        <f>IF($A24="","",R24*Q24)</f>
        <v/>
      </c>
      <c r="S44" s="73" t="n"/>
      <c r="T44" s="73">
        <f>IF($A24="","",T24*S24)</f>
        <v/>
      </c>
      <c r="U44" s="73" t="n"/>
      <c r="V44" s="73">
        <f>IF($A24="","",V24*U24)</f>
        <v/>
      </c>
      <c r="W44" s="73" t="n"/>
      <c r="X44" s="73">
        <f>IF($A24="","",X24*W24)</f>
        <v/>
      </c>
      <c r="Y44" s="73" t="n"/>
      <c r="Z44" s="73">
        <f>IF($A24="","",Z24*Y24)</f>
        <v/>
      </c>
      <c r="AA44" s="73" t="n"/>
      <c r="AB44" s="73">
        <f>IF($A24="","",AB24*AA24)</f>
        <v/>
      </c>
      <c r="AC44" s="73" t="n"/>
      <c r="AD44" s="73">
        <f>IF($A24="","",AD24*AC24)</f>
        <v/>
      </c>
      <c r="AE44" s="73" t="n"/>
      <c r="AF44" s="73">
        <f>IF($A24="","",AF24*AE24)</f>
        <v/>
      </c>
      <c r="AG44" s="73" t="n"/>
      <c r="AH44" s="73">
        <f>IF($A24="","",AH24*AG24)</f>
        <v/>
      </c>
    </row>
    <row r="45" hidden="1">
      <c r="F45" s="73">
        <f>IF($A25="","",F25*E25)</f>
        <v/>
      </c>
      <c r="H45" s="73">
        <f>IF($A25="","",H25*G25)</f>
        <v/>
      </c>
      <c r="I45" s="73" t="n"/>
      <c r="J45" s="73">
        <f>IF($A25="","",J25*I25)</f>
        <v/>
      </c>
      <c r="K45" s="73" t="n"/>
      <c r="L45" s="73">
        <f>IF($A25="","",L25*K25)</f>
        <v/>
      </c>
      <c r="M45" s="73" t="n"/>
      <c r="N45" s="73">
        <f>IF($A25="","",N25*M25)</f>
        <v/>
      </c>
      <c r="O45" s="73" t="n"/>
      <c r="P45" s="73">
        <f>IF($A25="","",P25*O25)</f>
        <v/>
      </c>
      <c r="Q45" s="73" t="n"/>
      <c r="R45" s="73">
        <f>IF($A25="","",R25*Q25)</f>
        <v/>
      </c>
      <c r="S45" s="73" t="n"/>
      <c r="T45" s="73">
        <f>IF($A25="","",T25*S25)</f>
        <v/>
      </c>
      <c r="U45" s="73" t="n"/>
      <c r="V45" s="73">
        <f>IF($A25="","",V25*U25)</f>
        <v/>
      </c>
      <c r="W45" s="73" t="n"/>
      <c r="X45" s="73">
        <f>IF($A25="","",X25*W25)</f>
        <v/>
      </c>
      <c r="Y45" s="73" t="n"/>
      <c r="Z45" s="73">
        <f>IF($A25="","",Z25*Y25)</f>
        <v/>
      </c>
      <c r="AA45" s="73" t="n"/>
      <c r="AB45" s="73">
        <f>IF($A25="","",AB25*AA25)</f>
        <v/>
      </c>
      <c r="AC45" s="73" t="n"/>
      <c r="AD45" s="73">
        <f>IF($A25="","",AD25*AC25)</f>
        <v/>
      </c>
      <c r="AE45" s="73" t="n"/>
      <c r="AF45" s="73">
        <f>IF($A25="","",AF25*AE25)</f>
        <v/>
      </c>
      <c r="AG45" s="73" t="n"/>
      <c r="AH45" s="73">
        <f>IF($A25="","",AH25*AG25)</f>
        <v/>
      </c>
    </row>
    <row r="46" hidden="1">
      <c r="F46" s="73">
        <f>IF($A26="","",F26*E26)</f>
        <v/>
      </c>
      <c r="H46" s="73">
        <f>IF($A26="","",H26*G26)</f>
        <v/>
      </c>
      <c r="I46" s="73" t="n"/>
      <c r="J46" s="73">
        <f>IF($A26="","",J26*I26)</f>
        <v/>
      </c>
      <c r="K46" s="73" t="n"/>
      <c r="L46" s="73">
        <f>IF($A26="","",L26*K26)</f>
        <v/>
      </c>
      <c r="M46" s="73" t="n"/>
      <c r="N46" s="73">
        <f>IF($A26="","",N26*M26)</f>
        <v/>
      </c>
      <c r="O46" s="73" t="n"/>
      <c r="P46" s="73">
        <f>IF($A26="","",P26*O26)</f>
        <v/>
      </c>
      <c r="Q46" s="73" t="n"/>
      <c r="R46" s="73">
        <f>IF($A26="","",R26*Q26)</f>
        <v/>
      </c>
      <c r="S46" s="73" t="n"/>
      <c r="T46" s="73">
        <f>IF($A26="","",T26*S26)</f>
        <v/>
      </c>
      <c r="U46" s="73" t="n"/>
      <c r="V46" s="73">
        <f>IF($A26="","",V26*U26)</f>
        <v/>
      </c>
      <c r="W46" s="73" t="n"/>
      <c r="X46" s="73">
        <f>IF($A26="","",X26*W26)</f>
        <v/>
      </c>
      <c r="Y46" s="73" t="n"/>
      <c r="Z46" s="73">
        <f>IF($A26="","",Z26*Y26)</f>
        <v/>
      </c>
      <c r="AA46" s="73" t="n"/>
      <c r="AB46" s="73">
        <f>IF($A26="","",AB26*AA26)</f>
        <v/>
      </c>
      <c r="AC46" s="73" t="n"/>
      <c r="AD46" s="73">
        <f>IF($A26="","",AD26*AC26)</f>
        <v/>
      </c>
      <c r="AE46" s="73" t="n"/>
      <c r="AF46" s="73">
        <f>IF($A26="","",AF26*AE26)</f>
        <v/>
      </c>
      <c r="AG46" s="73" t="n"/>
      <c r="AH46" s="73">
        <f>IF($A26="","",AH26*AG26)</f>
        <v/>
      </c>
    </row>
    <row r="47" hidden="1">
      <c r="F47" s="73">
        <f>IF($A27="","",F27*E27)</f>
        <v/>
      </c>
      <c r="H47" s="73">
        <f>IF($A27="","",H27*G27)</f>
        <v/>
      </c>
      <c r="I47" s="73" t="n"/>
      <c r="J47" s="73">
        <f>IF($A27="","",J27*I27)</f>
        <v/>
      </c>
      <c r="K47" s="73" t="n"/>
      <c r="L47" s="73">
        <f>IF($A27="","",L27*K27)</f>
        <v/>
      </c>
      <c r="M47" s="73" t="n"/>
      <c r="N47" s="73">
        <f>IF($A27="","",N27*M27)</f>
        <v/>
      </c>
      <c r="O47" s="73" t="n"/>
      <c r="P47" s="73">
        <f>IF($A27="","",P27*O27)</f>
        <v/>
      </c>
      <c r="Q47" s="73" t="n"/>
      <c r="R47" s="73">
        <f>IF($A27="","",R27*Q27)</f>
        <v/>
      </c>
      <c r="S47" s="73" t="n"/>
      <c r="T47" s="73">
        <f>IF($A27="","",T27*S27)</f>
        <v/>
      </c>
      <c r="U47" s="73" t="n"/>
      <c r="V47" s="73">
        <f>IF($A27="","",V27*U27)</f>
        <v/>
      </c>
      <c r="W47" s="73" t="n"/>
      <c r="X47" s="73">
        <f>IF($A27="","",X27*W27)</f>
        <v/>
      </c>
      <c r="Y47" s="73" t="n"/>
      <c r="Z47" s="73">
        <f>IF($A27="","",Z27*Y27)</f>
        <v/>
      </c>
      <c r="AA47" s="73" t="n"/>
      <c r="AB47" s="73">
        <f>IF($A27="","",AB27*AA27)</f>
        <v/>
      </c>
      <c r="AC47" s="73" t="n"/>
      <c r="AD47" s="73">
        <f>IF($A27="","",AD27*AC27)</f>
        <v/>
      </c>
      <c r="AE47" s="73" t="n"/>
      <c r="AF47" s="73">
        <f>IF($A27="","",AF27*AE27)</f>
        <v/>
      </c>
      <c r="AG47" s="73" t="n"/>
      <c r="AH47" s="73">
        <f>IF($A27="","",AH27*AG27)</f>
        <v/>
      </c>
    </row>
    <row r="48" hidden="1">
      <c r="F48" s="73">
        <f>IF($A28="","",F28*E28)</f>
        <v/>
      </c>
      <c r="H48" s="73">
        <f>IF($A28="","",H28*G28)</f>
        <v/>
      </c>
      <c r="I48" s="73" t="n"/>
      <c r="J48" s="73">
        <f>IF($A28="","",J28*I28)</f>
        <v/>
      </c>
      <c r="K48" s="73" t="n"/>
      <c r="L48" s="73">
        <f>IF($A28="","",L28*K28)</f>
        <v/>
      </c>
      <c r="M48" s="73" t="n"/>
      <c r="N48" s="73">
        <f>IF($A28="","",N28*M28)</f>
        <v/>
      </c>
      <c r="O48" s="73" t="n"/>
      <c r="P48" s="73">
        <f>IF($A28="","",P28*O28)</f>
        <v/>
      </c>
      <c r="Q48" s="73" t="n"/>
      <c r="R48" s="73">
        <f>IF($A28="","",R28*Q28)</f>
        <v/>
      </c>
      <c r="S48" s="73" t="n"/>
      <c r="T48" s="73">
        <f>IF($A28="","",T28*S28)</f>
        <v/>
      </c>
      <c r="U48" s="73" t="n"/>
      <c r="V48" s="73">
        <f>IF($A28="","",V28*U28)</f>
        <v/>
      </c>
      <c r="W48" s="73" t="n"/>
      <c r="X48" s="73">
        <f>IF($A28="","",X28*W28)</f>
        <v/>
      </c>
      <c r="Y48" s="73" t="n"/>
      <c r="Z48" s="73">
        <f>IF($A28="","",Z28*Y28)</f>
        <v/>
      </c>
      <c r="AA48" s="73" t="n"/>
      <c r="AB48" s="73">
        <f>IF($A28="","",AB28*AA28)</f>
        <v/>
      </c>
      <c r="AC48" s="73" t="n"/>
      <c r="AD48" s="73">
        <f>IF($A28="","",AD28*AC28)</f>
        <v/>
      </c>
      <c r="AE48" s="73" t="n"/>
      <c r="AF48" s="73">
        <f>IF($A28="","",AF28*AE28)</f>
        <v/>
      </c>
      <c r="AG48" s="73" t="n"/>
      <c r="AH48" s="73">
        <f>IF($A28="","",AH28*AG28)</f>
        <v/>
      </c>
    </row>
    <row r="49" hidden="1">
      <c r="F49" s="74">
        <f>SUMIF(F31:F48,"&gt;0")</f>
        <v/>
      </c>
      <c r="H49" s="74">
        <f>SUMIF(H31:H48,"&gt;0")</f>
        <v/>
      </c>
      <c r="J49" s="74">
        <f>SUMIF(J31:J48,"&gt;0")</f>
        <v/>
      </c>
      <c r="K49" s="74" t="n"/>
      <c r="L49" s="74">
        <f>SUMIF(L31:L48,"&gt;0")</f>
        <v/>
      </c>
      <c r="N49" s="74">
        <f>SUMIF(N31:N48,"&gt;0")</f>
        <v/>
      </c>
      <c r="O49" s="74" t="n"/>
      <c r="P49" s="74">
        <f>SUMIF(P31:P48,"&gt;0")</f>
        <v/>
      </c>
      <c r="Q49" s="74" t="n"/>
      <c r="R49" s="74">
        <f>SUMIF(R31:R48,"&gt;0")</f>
        <v/>
      </c>
      <c r="S49" s="74" t="n"/>
      <c r="T49" s="74">
        <f>SUMIF(T31:T48,"&gt;0")</f>
        <v/>
      </c>
      <c r="V49" s="74">
        <f>SUMIF(V31:V48,"&gt;0")</f>
        <v/>
      </c>
      <c r="W49" s="74" t="n"/>
      <c r="X49" s="74">
        <f>SUMIF(X31:X48,"&gt;0")</f>
        <v/>
      </c>
      <c r="Y49" s="74" t="n"/>
      <c r="Z49" s="74">
        <f>SUMIF(Z31:Z48,"&gt;0")</f>
        <v/>
      </c>
      <c r="AA49" s="74" t="n"/>
      <c r="AB49" s="74">
        <f>SUMIF(AB31:AB48,"&gt;0")</f>
        <v/>
      </c>
      <c r="AD49" s="74">
        <f>SUMIF(AD31:AD48,"&gt;0")</f>
        <v/>
      </c>
      <c r="AE49" s="74" t="n"/>
      <c r="AF49" s="74">
        <f>SUMIF(AF31:AF48,"&gt;0")</f>
        <v/>
      </c>
      <c r="AG49" s="74" t="n"/>
      <c r="AH49" s="74">
        <f>SUMIF(AH31:AH48,"&gt;0")</f>
        <v/>
      </c>
    </row>
    <row r="52">
      <c r="A52" s="75" t="inlineStr">
        <is>
          <t>แผงแก้สูตร — แก้ตัวหักลบ/จำนวน ที่นี่ที่เดียว แล้วทั้งชีทเปลี่ยนตาม</t>
        </is>
      </c>
      <c r="B52" s="76" t="n"/>
      <c r="C52" s="76" t="n"/>
      <c r="D52" s="76" t="n"/>
      <c r="E52" s="76" t="n"/>
      <c r="F52" s="76" t="n"/>
      <c r="G52" s="76" t="n"/>
      <c r="H52" s="76" t="n"/>
      <c r="I52" s="76" t="n"/>
      <c r="J52" s="76" t="n"/>
      <c r="K52" s="76" t="n"/>
      <c r="L52" s="76" t="n"/>
    </row>
    <row r="53">
      <c r="A53" s="77" t="inlineStr">
        <is>
          <t>#</t>
        </is>
      </c>
      <c r="B53" s="77" t="inlineStr">
        <is>
          <t>โปรไฟล์</t>
        </is>
      </c>
      <c r="C53" s="77" t="inlineStr">
        <is>
          <t>รหัส</t>
        </is>
      </c>
      <c r="D53" s="77" t="inlineStr">
        <is>
          <t>สูตรตัด (เดิม)</t>
        </is>
      </c>
      <c r="E53" s="77" t="inlineStr">
        <is>
          <t>หัก1</t>
        </is>
      </c>
      <c r="F53" s="77" t="inlineStr">
        <is>
          <t>หัก2</t>
        </is>
      </c>
      <c r="G53" s="77" t="inlineStr">
        <is>
          <t>หัก3</t>
        </is>
      </c>
      <c r="H53" s="77" t="inlineStr">
        <is>
          <t>หัก4</t>
        </is>
      </c>
      <c r="I53" s="77" t="inlineStr">
        <is>
          <t>หัก5</t>
        </is>
      </c>
      <c r="J53" s="77" t="inlineStr">
        <is>
          <t>หัก6</t>
        </is>
      </c>
      <c r="K53" s="77" t="inlineStr">
        <is>
          <t>หัก7</t>
        </is>
      </c>
      <c r="L53" s="77" t="inlineStr">
        <is>
          <t>จำนวน/ชุด</t>
        </is>
      </c>
      <c r="M53" s="122" t="n"/>
    </row>
    <row r="54" ht="44" customHeight="1">
      <c r="A54" s="78" t="n">
        <v>1</v>
      </c>
      <c r="B54" s="79" t="inlineStr">
        <is>
          <t>เฟรมข้าง</t>
        </is>
      </c>
      <c r="C54" s="80" t="inlineStr">
        <is>
          <t>F7979</t>
        </is>
      </c>
      <c r="D54" s="81" t="inlineStr">
        <is>
          <t>สูง</t>
        </is>
      </c>
      <c r="E54" s="82" t="n"/>
      <c r="F54" s="82" t="n"/>
      <c r="G54" s="82" t="n"/>
      <c r="H54" s="82" t="n"/>
      <c r="I54" s="82" t="n"/>
      <c r="J54" s="82" t="n"/>
      <c r="K54" s="82" t="n"/>
      <c r="L54" s="83" t="n">
        <v>2</v>
      </c>
      <c r="M54" s="82" t="n"/>
    </row>
    <row r="55" ht="44" customHeight="1">
      <c r="A55" s="78" t="n">
        <v>2</v>
      </c>
      <c r="B55" s="79" t="inlineStr">
        <is>
          <t>เฟรมข้าง</t>
        </is>
      </c>
      <c r="C55" s="80" t="inlineStr">
        <is>
          <t>F7978</t>
        </is>
      </c>
      <c r="D55" s="81" t="inlineStr">
        <is>
          <t>สูง</t>
        </is>
      </c>
      <c r="E55" s="82" t="n"/>
      <c r="F55" s="82" t="n"/>
      <c r="G55" s="82" t="n"/>
      <c r="H55" s="82" t="n"/>
      <c r="I55" s="82" t="n"/>
      <c r="J55" s="82" t="n"/>
      <c r="K55" s="82" t="n"/>
      <c r="L55" s="83" t="n">
        <v>2</v>
      </c>
      <c r="M55" s="82" t="n"/>
    </row>
    <row r="56" ht="44" customHeight="1">
      <c r="A56" s="78" t="n">
        <v>3</v>
      </c>
      <c r="B56" s="79" t="inlineStr">
        <is>
          <t>ต่อเฟรมข้าง</t>
        </is>
      </c>
      <c r="C56" s="80" t="inlineStr">
        <is>
          <t>F7989</t>
        </is>
      </c>
      <c r="D56" s="81" t="inlineStr">
        <is>
          <t>สูง</t>
        </is>
      </c>
      <c r="E56" s="82" t="n"/>
      <c r="F56" s="82" t="n"/>
      <c r="G56" s="82" t="n"/>
      <c r="H56" s="82" t="n"/>
      <c r="I56" s="82" t="n"/>
      <c r="J56" s="82" t="n"/>
      <c r="K56" s="82" t="n"/>
      <c r="L56" s="83" t="n">
        <v>2</v>
      </c>
      <c r="M56" s="82" t="n"/>
    </row>
    <row r="57" ht="44" customHeight="1">
      <c r="A57" s="78" t="n">
        <v>4</v>
      </c>
      <c r="B57" s="79" t="inlineStr">
        <is>
          <t>เฟรม บน-ล่าง</t>
        </is>
      </c>
      <c r="C57" s="80" t="inlineStr">
        <is>
          <t>F7976</t>
        </is>
      </c>
      <c r="D57" s="81" t="inlineStr">
        <is>
          <t>กว้าง-21-21</t>
        </is>
      </c>
      <c r="E57" s="83" t="n">
        <v>21</v>
      </c>
      <c r="F57" s="83" t="n">
        <v>21</v>
      </c>
      <c r="G57" s="82" t="n"/>
      <c r="H57" s="82" t="n"/>
      <c r="I57" s="82" t="n"/>
      <c r="J57" s="82" t="n"/>
      <c r="K57" s="82" t="n"/>
      <c r="L57" s="83" t="n">
        <v>2</v>
      </c>
      <c r="M57" s="82" t="n"/>
    </row>
    <row r="58" ht="44" customHeight="1">
      <c r="A58" s="78" t="n">
        <v>5</v>
      </c>
      <c r="B58" s="79" t="inlineStr">
        <is>
          <t>ต่อราง</t>
        </is>
      </c>
      <c r="C58" s="80" t="inlineStr">
        <is>
          <t>F7990</t>
        </is>
      </c>
      <c r="D58" s="81" t="inlineStr">
        <is>
          <t>กว้าง-21-21</t>
        </is>
      </c>
      <c r="E58" s="83" t="n">
        <v>21</v>
      </c>
      <c r="F58" s="83" t="n">
        <v>21</v>
      </c>
      <c r="G58" s="82" t="n"/>
      <c r="H58" s="82" t="n"/>
      <c r="I58" s="82" t="n"/>
      <c r="J58" s="82" t="n"/>
      <c r="K58" s="82" t="n"/>
      <c r="L58" s="83" t="n">
        <v>4</v>
      </c>
      <c r="M58" s="82" t="n"/>
    </row>
    <row r="59" ht="44" customHeight="1">
      <c r="A59" s="78" t="n">
        <v>6</v>
      </c>
      <c r="B59" s="79" t="inlineStr">
        <is>
          <t>ตบกันสาด</t>
        </is>
      </c>
      <c r="C59" s="80" t="inlineStr">
        <is>
          <t>F7992</t>
        </is>
      </c>
      <c r="D59" s="81" t="inlineStr">
        <is>
          <t>กว้าง</t>
        </is>
      </c>
      <c r="E59" s="82" t="n"/>
      <c r="F59" s="82" t="n"/>
      <c r="G59" s="82" t="n"/>
      <c r="H59" s="82" t="n"/>
      <c r="I59" s="82" t="n"/>
      <c r="J59" s="82" t="n"/>
      <c r="K59" s="82" t="n"/>
      <c r="L59" s="83" t="n">
        <v>1</v>
      </c>
      <c r="M59" s="82" t="n"/>
    </row>
    <row r="60" ht="44" customHeight="1">
      <c r="A60" s="78" t="n">
        <v>7</v>
      </c>
      <c r="B60" s="79" t="inlineStr">
        <is>
          <t>เสา</t>
        </is>
      </c>
      <c r="C60" s="80" t="inlineStr">
        <is>
          <t>F7980</t>
        </is>
      </c>
      <c r="D60" s="81" t="inlineStr">
        <is>
          <t>สูง-21-19-13-21</t>
        </is>
      </c>
      <c r="E60" s="83" t="n">
        <v>21</v>
      </c>
      <c r="F60" s="83" t="n">
        <v>19</v>
      </c>
      <c r="G60" s="83" t="n">
        <v>13</v>
      </c>
      <c r="H60" s="83" t="n">
        <v>21</v>
      </c>
      <c r="I60" s="82" t="n"/>
      <c r="J60" s="82" t="n"/>
      <c r="K60" s="82" t="n"/>
      <c r="L60" s="83" t="n">
        <v>10</v>
      </c>
      <c r="M60" s="82" t="n"/>
    </row>
    <row r="61" ht="15" customHeight="1">
      <c r="A61" s="78" t="n">
        <v>8</v>
      </c>
      <c r="B61" s="79" t="inlineStr">
        <is>
          <t>ขวาง</t>
        </is>
      </c>
      <c r="C61" s="80" t="inlineStr">
        <is>
          <t>-</t>
        </is>
      </c>
      <c r="D61" s="81" t="inlineStr">
        <is>
          <t>((กว้าง-21-3-3-4.8-21)/5)+(78x4/5)</t>
        </is>
      </c>
      <c r="E61" s="83" t="n">
        <v>21</v>
      </c>
      <c r="F61" s="83" t="n">
        <v>3</v>
      </c>
      <c r="G61" s="83" t="n">
        <v>3</v>
      </c>
      <c r="H61" s="83" t="n">
        <v>4.8</v>
      </c>
      <c r="I61" s="83" t="n">
        <v>21</v>
      </c>
      <c r="J61" s="82" t="n"/>
      <c r="K61" s="82" t="n"/>
      <c r="L61" s="83" t="n">
        <v>10</v>
      </c>
      <c r="M61" s="82" t="n"/>
    </row>
    <row r="62" ht="44" customHeight="1">
      <c r="A62" s="78" t="n">
        <v>9</v>
      </c>
      <c r="B62" s="79" t="inlineStr">
        <is>
          <t>คิ้ว ตั้ง</t>
        </is>
      </c>
      <c r="C62" s="80" t="inlineStr">
        <is>
          <t>F7919</t>
        </is>
      </c>
      <c r="D62" s="81" t="inlineStr">
        <is>
          <t>เสา-78-78</t>
        </is>
      </c>
      <c r="E62" s="83" t="n">
        <v>78</v>
      </c>
      <c r="F62" s="83" t="n">
        <v>78</v>
      </c>
      <c r="G62" s="82" t="n"/>
      <c r="H62" s="82" t="n"/>
      <c r="I62" s="82" t="n"/>
      <c r="J62" s="82" t="n"/>
      <c r="K62" s="82" t="n"/>
      <c r="L62" s="83" t="n">
        <v>10</v>
      </c>
      <c r="M62" s="82" t="n"/>
    </row>
    <row r="63" ht="15" customHeight="1">
      <c r="A63" s="78" t="n">
        <v>10</v>
      </c>
      <c r="B63" s="79" t="inlineStr">
        <is>
          <t>คิ้ว ขวาง</t>
        </is>
      </c>
      <c r="C63" s="80" t="inlineStr">
        <is>
          <t>-</t>
        </is>
      </c>
      <c r="D63" s="81" t="inlineStr">
        <is>
          <t>ขวาง-63-63</t>
        </is>
      </c>
      <c r="E63" s="83" t="n">
        <v>63</v>
      </c>
      <c r="F63" s="83" t="n">
        <v>63</v>
      </c>
      <c r="G63" s="82" t="n"/>
      <c r="H63" s="82" t="n"/>
      <c r="I63" s="82" t="n"/>
      <c r="J63" s="82" t="n"/>
      <c r="K63" s="82" t="n"/>
      <c r="L63" s="83" t="n">
        <v>10</v>
      </c>
      <c r="M63" s="82" t="n"/>
    </row>
    <row r="64" ht="44" customHeight="1">
      <c r="A64" s="78" t="n">
        <v>11</v>
      </c>
      <c r="B64" s="79" t="inlineStr">
        <is>
          <t>ตบเกี่ยว</t>
        </is>
      </c>
      <c r="C64" s="80" t="inlineStr">
        <is>
          <t>F7983</t>
        </is>
      </c>
      <c r="D64" s="81" t="inlineStr">
        <is>
          <t>สูงกรอบบาน</t>
        </is>
      </c>
      <c r="E64" s="82" t="n"/>
      <c r="F64" s="82" t="n"/>
      <c r="G64" s="82" t="n"/>
      <c r="H64" s="82" t="n"/>
      <c r="I64" s="82" t="n"/>
      <c r="J64" s="82" t="n"/>
      <c r="K64" s="82" t="n"/>
      <c r="L64" s="83" t="n">
        <v>8</v>
      </c>
      <c r="M64" s="82" t="n"/>
    </row>
    <row r="65" ht="44" customHeight="1">
      <c r="A65" s="78" t="n">
        <v>12</v>
      </c>
      <c r="B65" s="79" t="inlineStr">
        <is>
          <t>ยูข้าง</t>
        </is>
      </c>
      <c r="C65" s="80" t="inlineStr">
        <is>
          <t>F7986</t>
        </is>
      </c>
      <c r="D65" s="81" t="inlineStr">
        <is>
          <t>สูง-45-45</t>
        </is>
      </c>
      <c r="E65" s="83" t="n">
        <v>45</v>
      </c>
      <c r="F65" s="83" t="n">
        <v>45</v>
      </c>
      <c r="G65" s="82" t="n"/>
      <c r="H65" s="82" t="n"/>
      <c r="I65" s="82" t="n"/>
      <c r="J65" s="82" t="n"/>
      <c r="K65" s="82" t="n"/>
      <c r="L65" s="83" t="n">
        <v>2</v>
      </c>
      <c r="M65" s="82" t="n"/>
    </row>
    <row r="66" ht="44" customHeight="1">
      <c r="A66" s="78" t="n">
        <v>13</v>
      </c>
      <c r="B66" s="79" t="inlineStr">
        <is>
          <t>ตบเฟรมบน</t>
        </is>
      </c>
      <c r="C66" s="80" t="inlineStr">
        <is>
          <t>F7993</t>
        </is>
      </c>
      <c r="D66" s="81" t="inlineStr">
        <is>
          <t>เท่าเฟรมบน</t>
        </is>
      </c>
      <c r="E66" s="83" t="n">
        <v>21</v>
      </c>
      <c r="F66" s="83" t="n">
        <v>21</v>
      </c>
      <c r="G66" s="82" t="n"/>
      <c r="H66" s="82" t="n"/>
      <c r="I66" s="82" t="n"/>
      <c r="J66" s="82" t="n"/>
      <c r="K66" s="82" t="n"/>
      <c r="L66" s="83" t="n">
        <v>5</v>
      </c>
      <c r="M66" s="82" t="n"/>
    </row>
    <row r="67" ht="44" customHeight="1">
      <c r="A67" s="78" t="n">
        <v>14</v>
      </c>
      <c r="B67" s="79" t="inlineStr">
        <is>
          <t>ตบยูข้าง</t>
        </is>
      </c>
      <c r="C67" s="80" t="inlineStr">
        <is>
          <t>F7988</t>
        </is>
      </c>
      <c r="D67" s="81" t="inlineStr"/>
      <c r="E67" s="83" t="n">
        <v>45</v>
      </c>
      <c r="F67" s="83" t="n">
        <v>45</v>
      </c>
      <c r="G67" s="82" t="n"/>
      <c r="H67" s="82" t="n"/>
      <c r="I67" s="82" t="n"/>
      <c r="J67" s="82" t="n"/>
      <c r="K67" s="82" t="n"/>
      <c r="L67" s="83" t="n">
        <v>2</v>
      </c>
      <c r="M67" s="82" t="n"/>
    </row>
    <row r="68" ht="44" customHeight="1">
      <c r="A68" s="78" t="n">
        <v>15</v>
      </c>
      <c r="B68" s="79" t="inlineStr">
        <is>
          <t>ราง</t>
        </is>
      </c>
      <c r="C68" s="80" t="inlineStr">
        <is>
          <t>F7994</t>
        </is>
      </c>
      <c r="D68" s="81" t="inlineStr">
        <is>
          <t>เท่าเฟรมล่าง</t>
        </is>
      </c>
      <c r="E68" s="83" t="n">
        <v>21</v>
      </c>
      <c r="F68" s="83" t="n">
        <v>21</v>
      </c>
      <c r="G68" s="82" t="n"/>
      <c r="H68" s="82" t="n"/>
      <c r="I68" s="82" t="n"/>
      <c r="J68" s="82" t="n"/>
      <c r="K68" s="82" t="n"/>
      <c r="L68" s="83" t="n">
        <v>5</v>
      </c>
      <c r="M68" s="82" t="n"/>
    </row>
    <row r="69"/>
    <row r="70">
      <c r="A70" s="153" t="inlineStr">
        <is>
          <t>⑤ อุปกรณ์ + ตั้งค่ามือจับ (2 ชุด · บานเลื่อน 5)</t>
        </is>
      </c>
      <c r="F70" s="124" t="n"/>
    </row>
    <row r="71">
      <c r="A71" s="152" t="inlineStr">
        <is>
          <t>ประเภทบาน →</t>
        </is>
      </c>
      <c r="B71" s="150" t="inlineStr">
        <is>
          <t>ประตู</t>
        </is>
      </c>
      <c r="F71" s="126" t="n"/>
    </row>
    <row r="72">
      <c r="A72" s="152" t="inlineStr">
        <is>
          <t>ยี่ห้อมือจับ →</t>
        </is>
      </c>
      <c r="B72" s="150" t="inlineStr">
        <is>
          <t>เมโทร</t>
        </is>
      </c>
      <c r="F72" s="126" t="n"/>
    </row>
    <row r="73">
      <c r="A73" s="152" t="inlineStr">
        <is>
          <t>สีมือจับ →</t>
        </is>
      </c>
      <c r="B73" s="150" t="inlineStr">
        <is>
          <t>อบขาว</t>
        </is>
      </c>
      <c r="F73" s="126" t="n"/>
    </row>
    <row r="74">
      <c r="A74" s="152" t="inlineStr">
        <is>
          <t>มือจับ ชุด1 →</t>
        </is>
      </c>
      <c r="B74" s="150" t="inlineStr">
        <is>
          <t>กุญแจ+ล็อค</t>
        </is>
      </c>
      <c r="F74" s="126" t="n"/>
    </row>
    <row r="75">
      <c r="A75" s="156" t="inlineStr">
        <is>
          <t>มือจับ ชุด2 →</t>
        </is>
      </c>
      <c r="B75" s="150" t="inlineStr">
        <is>
          <t>ล็อค+ดัมมี่</t>
        </is>
      </c>
    </row>
    <row r="76">
      <c r="A76" s="154" t="inlineStr">
        <is>
          <t>⑤.1 สรุปอุปกรณ์ (จำนวนลิงก์อัตโนมัติ)</t>
        </is>
      </c>
    </row>
    <row r="77">
      <c r="A77" s="154" t="inlineStr">
        <is>
          <t>#</t>
        </is>
      </c>
      <c r="B77" s="154" t="inlineStr">
        <is>
          <t>อุปกรณ์</t>
        </is>
      </c>
      <c r="C77" s="154" t="inlineStr">
        <is>
          <t>รหัส SKU</t>
        </is>
      </c>
      <c r="D77" s="154" t="inlineStr">
        <is>
          <t>จำนวน</t>
        </is>
      </c>
      <c r="E77" s="154" t="inlineStr">
        <is>
          <t>หน่วย</t>
        </is>
      </c>
      <c r="F77" s="154" t="inlineStr">
        <is>
          <t>หมายเหตุ</t>
        </is>
      </c>
    </row>
    <row r="78">
      <c r="A78" s="149" t="n">
        <v>1</v>
      </c>
      <c r="B78" s="149" t="inlineStr">
        <is>
          <t>ล้อ 20</t>
        </is>
      </c>
      <c r="C78" s="150">
        <f>AK8</f>
        <v/>
      </c>
      <c r="D78" s="155">
        <f>AK30</f>
        <v/>
      </c>
      <c r="E78" s="149" t="inlineStr">
        <is>
          <t>ตัว</t>
        </is>
      </c>
      <c r="F78" s="149" t="inlineStr"/>
    </row>
    <row r="79">
      <c r="A79" s="149" t="n">
        <v>2</v>
      </c>
      <c r="B79" s="149" t="inlineStr">
        <is>
          <t>มือจับ กุญแจ</t>
        </is>
      </c>
      <c r="C79" s="150">
        <f>AL8</f>
        <v/>
      </c>
      <c r="D79" s="155">
        <f>AL30</f>
        <v/>
      </c>
      <c r="E79" s="149" t="inlineStr">
        <is>
          <t>ตัว</t>
        </is>
      </c>
      <c r="F79" s="149" t="inlineStr"/>
    </row>
    <row r="80">
      <c r="A80" s="149" t="n">
        <v>3</v>
      </c>
      <c r="B80" s="149" t="inlineStr">
        <is>
          <t>มือจับ ล็อค</t>
        </is>
      </c>
      <c r="C80" s="150">
        <f>AM8</f>
        <v/>
      </c>
      <c r="D80" s="155">
        <f>AM30</f>
        <v/>
      </c>
      <c r="E80" s="149" t="inlineStr">
        <is>
          <t>ตัว</t>
        </is>
      </c>
      <c r="F80" s="149" t="inlineStr"/>
    </row>
    <row r="81">
      <c r="A81" s="149" t="n">
        <v>4</v>
      </c>
      <c r="B81" s="149" t="inlineStr">
        <is>
          <t>มือจับ ดัมมี่</t>
        </is>
      </c>
      <c r="C81" s="150">
        <f>AN8</f>
        <v/>
      </c>
      <c r="D81" s="155">
        <f>AN30</f>
        <v/>
      </c>
      <c r="E81" s="149" t="inlineStr">
        <is>
          <t>ตัว</t>
        </is>
      </c>
      <c r="F81" s="149" t="inlineStr"/>
    </row>
    <row r="82">
      <c r="A82" s="149" t="n">
        <v>5</v>
      </c>
      <c r="B82" s="149" t="inlineStr">
        <is>
          <t>Digital lock</t>
        </is>
      </c>
      <c r="C82" s="150" t="inlineStr">
        <is>
          <t>-</t>
        </is>
      </c>
      <c r="D82" s="155">
        <f>AO30</f>
        <v/>
      </c>
      <c r="E82" s="149" t="inlineStr">
        <is>
          <t>ชุด</t>
        </is>
      </c>
      <c r="F82" s="149" t="inlineStr">
        <is>
          <t>ไม่ตัดสต็อก</t>
        </is>
      </c>
    </row>
    <row r="83">
      <c r="A83" s="149" t="n">
        <v>6</v>
      </c>
      <c r="B83" s="149" t="inlineStr">
        <is>
          <t>แกน A</t>
        </is>
      </c>
      <c r="C83" s="150">
        <f>AP8</f>
        <v/>
      </c>
      <c r="D83" s="155">
        <f>AP30</f>
        <v/>
      </c>
      <c r="E83" s="149" t="inlineStr">
        <is>
          <t>เส้น</t>
        </is>
      </c>
      <c r="F83" s="149" t="inlineStr"/>
    </row>
    <row r="84">
      <c r="A84" s="149" t="n">
        <v>7</v>
      </c>
      <c r="B84" s="149" t="inlineStr">
        <is>
          <t>แกน B</t>
        </is>
      </c>
      <c r="C84" s="150">
        <f>AQ8</f>
        <v/>
      </c>
      <c r="D84" s="155">
        <f>AQ30</f>
        <v/>
      </c>
      <c r="E84" s="149" t="inlineStr">
        <is>
          <t>เส้น</t>
        </is>
      </c>
      <c r="F84" s="149" t="inlineStr"/>
    </row>
    <row r="85">
      <c r="A85" s="149" t="n">
        <v>8</v>
      </c>
      <c r="B85" s="149" t="inlineStr">
        <is>
          <t>ปลายดำ</t>
        </is>
      </c>
      <c r="C85" s="150">
        <f>AR8</f>
        <v/>
      </c>
      <c r="D85" s="155">
        <f>AR30</f>
        <v/>
      </c>
      <c r="E85" s="149" t="inlineStr">
        <is>
          <t>ตัว</t>
        </is>
      </c>
      <c r="F85" s="149" t="inlineStr"/>
    </row>
    <row r="86">
      <c r="A86" s="149" t="n">
        <v>9</v>
      </c>
      <c r="B86" s="149" t="inlineStr">
        <is>
          <t>ตัวที เงิน</t>
        </is>
      </c>
      <c r="C86" s="150">
        <f>AS8</f>
        <v/>
      </c>
      <c r="D86" s="155">
        <f>AS30</f>
        <v/>
      </c>
      <c r="E86" s="149" t="inlineStr">
        <is>
          <t>ตัว</t>
        </is>
      </c>
      <c r="F86" s="149" t="inlineStr"/>
    </row>
    <row r="87">
      <c r="A87" s="149" t="n">
        <v>10</v>
      </c>
      <c r="B87" s="149" t="inlineStr">
        <is>
          <t>ก้ามปู</t>
        </is>
      </c>
      <c r="C87" s="150">
        <f>AT8</f>
        <v/>
      </c>
      <c r="D87" s="155">
        <f>AT30</f>
        <v/>
      </c>
      <c r="E87" s="149" t="inlineStr">
        <is>
          <t>ตัว</t>
        </is>
      </c>
      <c r="F87" s="149" t="inlineStr"/>
    </row>
    <row r="88">
      <c r="A88" s="149" t="n">
        <v>11</v>
      </c>
      <c r="B88" s="149" t="inlineStr">
        <is>
          <t>สปิงก็อท</t>
        </is>
      </c>
      <c r="C88" s="150">
        <f>AU8</f>
        <v/>
      </c>
      <c r="D88" s="155">
        <f>AU30</f>
        <v/>
      </c>
      <c r="E88" s="149" t="inlineStr">
        <is>
          <t>ตัว</t>
        </is>
      </c>
      <c r="F88" s="149" t="inlineStr"/>
    </row>
    <row r="89">
      <c r="A89" s="149" t="n">
        <v>12</v>
      </c>
      <c r="B89" s="149" t="inlineStr">
        <is>
          <t>ฉากประกอบมุม</t>
        </is>
      </c>
      <c r="C89" s="150">
        <f>AV8</f>
        <v/>
      </c>
      <c r="D89" s="155">
        <f>AV30</f>
        <v/>
      </c>
      <c r="E89" s="149" t="inlineStr">
        <is>
          <t>ตัว</t>
        </is>
      </c>
      <c r="F89" s="149" t="inlineStr"/>
    </row>
    <row r="90">
      <c r="A90" s="149" t="n">
        <v>13</v>
      </c>
      <c r="B90" s="149" t="inlineStr">
        <is>
          <t>ยางรูน้ำ</t>
        </is>
      </c>
      <c r="C90" s="150">
        <f>AW8</f>
        <v/>
      </c>
      <c r="D90" s="155">
        <f>AW30</f>
        <v/>
      </c>
      <c r="E90" s="149" t="inlineStr">
        <is>
          <t>ตัว</t>
        </is>
      </c>
      <c r="F90" s="149" t="inlineStr"/>
    </row>
    <row r="91">
      <c r="A91" s="149" t="n">
        <v>14</v>
      </c>
      <c r="B91" s="149" t="inlineStr">
        <is>
          <t>วาวรูน้ำ</t>
        </is>
      </c>
      <c r="C91" s="150">
        <f>AX8</f>
        <v/>
      </c>
      <c r="D91" s="155">
        <f>AX30</f>
        <v/>
      </c>
      <c r="E91" s="149" t="inlineStr">
        <is>
          <t>ตัว</t>
        </is>
      </c>
      <c r="F91" s="149" t="inlineStr"/>
    </row>
    <row r="92">
      <c r="A92" s="149" t="n">
        <v>15</v>
      </c>
      <c r="B92" s="149" t="inlineStr">
        <is>
          <t>สักหลาด 5×3</t>
        </is>
      </c>
      <c r="C92" s="150">
        <f>AY8</f>
        <v/>
      </c>
      <c r="D92" s="155">
        <f>AY30</f>
        <v/>
      </c>
      <c r="E92" s="149" t="inlineStr">
        <is>
          <t>เมตร</t>
        </is>
      </c>
      <c r="F92" s="149" t="inlineStr">
        <is>
          <t>เก็บเป็นเมตร</t>
        </is>
      </c>
    </row>
  </sheetData>
  <mergeCells count="62">
    <mergeCell ref="O7:P7"/>
    <mergeCell ref="U9:V9"/>
    <mergeCell ref="AC7:AD7"/>
    <mergeCell ref="I6:J6"/>
    <mergeCell ref="AE7:AF7"/>
    <mergeCell ref="O6:P6"/>
    <mergeCell ref="U6:V6"/>
    <mergeCell ref="K9:L9"/>
    <mergeCell ref="W6:X6"/>
    <mergeCell ref="M9:N9"/>
    <mergeCell ref="O9:P9"/>
    <mergeCell ref="G8:H8"/>
    <mergeCell ref="Y9:Z9"/>
    <mergeCell ref="E8:F8"/>
    <mergeCell ref="Q8:R8"/>
    <mergeCell ref="AA9:AB9"/>
    <mergeCell ref="S8:T8"/>
    <mergeCell ref="G7:H7"/>
    <mergeCell ref="AA6:AB6"/>
    <mergeCell ref="I7:J7"/>
    <mergeCell ref="A30:D30"/>
    <mergeCell ref="Q7:T7"/>
    <mergeCell ref="Q30:S30"/>
    <mergeCell ref="G6:H6"/>
    <mergeCell ref="AC8:AD8"/>
    <mergeCell ref="E9:F9"/>
    <mergeCell ref="AE8:AF8"/>
    <mergeCell ref="M7:N7"/>
    <mergeCell ref="E6:F6"/>
    <mergeCell ref="A8:A9"/>
    <mergeCell ref="Y7:Z7"/>
    <mergeCell ref="A6:D6"/>
    <mergeCell ref="M6:N6"/>
    <mergeCell ref="K8:L8"/>
    <mergeCell ref="AA7:AB7"/>
    <mergeCell ref="Q6:R6"/>
    <mergeCell ref="S6:T6"/>
    <mergeCell ref="Y6:Z6"/>
    <mergeCell ref="A7:D7"/>
    <mergeCell ref="D8:D9"/>
    <mergeCell ref="Q9:R9"/>
    <mergeCell ref="I8:J8"/>
    <mergeCell ref="S9:T9"/>
    <mergeCell ref="M8:N8"/>
    <mergeCell ref="W9:X9"/>
    <mergeCell ref="AC9:AD9"/>
    <mergeCell ref="O8:P8"/>
    <mergeCell ref="U8:V8"/>
    <mergeCell ref="AE9:AF9"/>
    <mergeCell ref="K7:L7"/>
    <mergeCell ref="W8:X8"/>
    <mergeCell ref="B8:C9"/>
    <mergeCell ref="AC6:AD6"/>
    <mergeCell ref="E7:F7"/>
    <mergeCell ref="AE6:AF6"/>
    <mergeCell ref="U7:X7"/>
    <mergeCell ref="U30:W30"/>
    <mergeCell ref="Y8:Z8"/>
    <mergeCell ref="K6:L6"/>
    <mergeCell ref="G9:H9"/>
    <mergeCell ref="AA8:AB8"/>
    <mergeCell ref="I9:J9"/>
  </mergeCells>
  <dataValidations count="5">
    <dataValidation sqref="B71" showDropDown="0" showInputMessage="0" showErrorMessage="0" allowBlank="1" type="list">
      <formula1>"ประตู,หน้าต่าง"</formula1>
    </dataValidation>
    <dataValidation sqref="B72" showDropDown="0" showInputMessage="0" showErrorMessage="0" allowBlank="1" type="list">
      <formula1>"เมโทร,Align"</formula1>
    </dataValidation>
    <dataValidation sqref="B73" showDropDown="0" showInputMessage="0" showErrorMessage="0" allowBlank="1" type="list">
      <formula1>"อบขาว,ดำ"</formula1>
    </dataValidation>
    <dataValidation sqref="B74" showDropDown="0" showInputMessage="0" showErrorMessage="0" allowBlank="1" type="list">
      <formula1>=$BD$1:$BD$4</formula1>
    </dataValidation>
    <dataValidation sqref="B75" showDropDown="0" showInputMessage="0" showErrorMessage="0" allowBlank="1" type="list">
      <formula1>=$BD$1:$BD$4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2026-06-30T03:24:13Z</dcterms:created>
  <dcterms:modified xmlns:dcterms="http://purl.org/dc/terms/" xmlns:xsi="http://www.w3.org/2001/XMLSchema-instance" xsi:type="dcterms:W3CDTF">2026-07-21T11:00:31Z</dcterms:modified>
</cp:coreProperties>
</file>