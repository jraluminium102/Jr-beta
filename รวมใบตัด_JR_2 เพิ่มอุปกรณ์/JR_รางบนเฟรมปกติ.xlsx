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รางบนเฟรมปกติ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<sst xmlns="http://schemas.openxmlformats.org/spreadsheetml/2006/main" count="206" uniqueCount="167">
  <si>
    <t xml:space="preserve">JR ALUMINIUM &amp; GLASS   —   ใบตัดบาน รางบนเฟรมปกติ (Hafele · SMS / ยูโร)   ·   หน่วย: ซม.</t>
  </si>
  <si>
    <t xml:space="preserve">เมโทรกุญแจอบขาว</t>
  </si>
  <si>
    <t xml:space="preserve">JR00368</t>
  </si>
  <si>
    <t xml:space="preserve">เมโทรกุญแจดำ</t>
  </si>
  <si>
    <t xml:space="preserve">JR00371</t>
  </si>
  <si>
    <t xml:space="preserve">① กรอก + เลือกดรอปดาว (ช่องเหลือง)</t>
  </si>
  <si>
    <t xml:space="preserve">เมโทรล็อคอบขาว</t>
  </si>
  <si>
    <t xml:space="preserve">JR00369</t>
  </si>
  <si>
    <t xml:space="preserve">กว้างช่องปูน (ช่อง)</t>
  </si>
  <si>
    <t xml:space="preserve">เมโทรล็อคดำ</t>
  </si>
  <si>
    <t xml:space="preserve">JR00372</t>
  </si>
  <si>
    <t xml:space="preserve">สูงช่องปูน</t>
  </si>
  <si>
    <t xml:space="preserve">เมโทรดัมมี่อบขาว</t>
  </si>
  <si>
    <t xml:space="preserve">JR00370</t>
  </si>
  <si>
    <t xml:space="preserve">จำนวนบาน</t>
  </si>
  <si>
    <t xml:space="preserve">เมโทรดัมมี่ดำ</t>
  </si>
  <si>
    <t xml:space="preserve">JR00373</t>
  </si>
  <si>
    <t xml:space="preserve">ระบบ</t>
  </si>
  <si>
    <t xml:space="preserve">SMS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</si>
  <si>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กุญแจอบขาว</t>
    </r>
  </si>
  <si>
    <t xml:space="preserve">JR00377</t>
  </si>
  <si>
    <t xml:space="preserve">รูปแบบบาน</t>
  </si>
  <si>
    <t xml:space="preserve">อิสระ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</si>
  <si>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ล็อคอบขาว</t>
    </r>
  </si>
  <si>
    <t xml:space="preserve">JR00378</t>
  </si>
  <si>
    <t xml:space="preserve">ช่องปูน</t>
  </si>
  <si>
    <t xml:space="preserve">ยัดในช่อง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</si>
  <si>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ดัมมี่อบขาว</t>
    </r>
  </si>
  <si>
    <t xml:space="preserve">JR00379</t>
  </si>
  <si>
    <t xml:space="preserve">มือจับ (เฉพาะ SMS+ไปต่อ)</t>
  </si>
  <si>
    <t xml:space="preserve">ฝัง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</si>
  <si>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กุญแจดำ</t>
    </r>
  </si>
  <si>
    <t xml:space="preserve">JR00374</t>
  </si>
  <si>
    <t xml:space="preserve">คาน (เลือกกล่อง)</t>
  </si>
  <si>
    <t xml:space="preserve">2×4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</si>
  <si>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ล็อคดำ</t>
    </r>
  </si>
  <si>
    <t xml:space="preserve">JR00375</t>
  </si>
  <si>
    <t xml:space="preserve">เสารับบาน</t>
  </si>
  <si>
    <t xml:space="preserve">กล่อง 1×4+ชนกลาง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</si>
  <si>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ดัมมี่ดำ</t>
    </r>
  </si>
  <si>
    <t xml:space="preserve">JR00376</t>
  </si>
  <si>
    <t xml:space="preserve">② ค่าที่คำนวณอัตโนมัติ (ห้ามแก้)</t>
  </si>
  <si>
    <t xml:space="preserve">ขนาดคานที่หัก</t>
  </si>
  <si>
    <t xml:space="preserve">บานตาย</t>
  </si>
  <si>
    <t xml:space="preserve">บานเลื่อน</t>
  </si>
  <si>
    <t xml:space="preserve">แปะนอก? (1=ใช่)</t>
  </si>
  <si>
    <t xml:space="preserve">จำนวนเสากุญแจ</t>
  </si>
  <si>
    <t xml:space="preserve">จำนวนเสาเกี่ยว</t>
  </si>
  <si>
    <t xml:space="preserve">รอยซ้อน</t>
  </si>
  <si>
    <t xml:space="preserve">ค่า C ขวาง — SMS</t>
  </si>
  <si>
    <t xml:space="preserve">ค่า C ขวาง — ยูโร</t>
  </si>
  <si>
    <t xml:space="preserve">#</t>
  </si>
  <si>
    <t xml:space="preserve">โปรไฟล์</t>
  </si>
  <si>
    <t xml:space="preserve">รหัส</t>
  </si>
  <si>
    <t xml:space="preserve">ยาวตัด (ซม.)</t>
  </si>
  <si>
    <t xml:space="preserve">จำนวน</t>
  </si>
  <si>
    <t xml:space="preserve">คานรับราง</t>
  </si>
  <si>
    <t xml:space="preserve">คาน</t>
  </si>
  <si>
    <t xml:space="preserve">1</t>
  </si>
  <si>
    <t xml:space="preserve">เสารับบาน (กล่อง)</t>
  </si>
  <si>
    <t xml:space="preserve">—</t>
  </si>
  <si>
    <t xml:space="preserve">ชนกลางรับบาน</t>
  </si>
  <si>
    <t xml:space="preserve">รางบน Hafele</t>
  </si>
  <si>
    <t xml:space="preserve">ฉาก 4" ปิดราง</t>
  </si>
  <si>
    <t xml:space="preserve">2</t>
  </si>
  <si>
    <t xml:space="preserve">เสากุญแจ 20051 (SMS·ตั้ง)</t>
  </si>
  <si>
    <t xml:space="preserve">20051</t>
  </si>
  <si>
    <t xml:space="preserve">เสาเกี่ยว 20009 (SMS·ตั้ง)</t>
  </si>
  <si>
    <t xml:space="preserve">20009</t>
  </si>
  <si>
    <t xml:space="preserve">ขวางบน/ล่าง 20054 (SMS·นอน)</t>
  </si>
  <si>
    <t xml:space="preserve">20054</t>
  </si>
  <si>
    <t xml:space="preserve">เสากุญแจยูโร ตั้ง</t>
  </si>
  <si>
    <t xml:space="preserve">ยูโร</t>
  </si>
  <si>
    <t xml:space="preserve">เสากุญแจยูโร นอน</t>
  </si>
  <si>
    <t xml:space="preserve">ตบเกี่ยวยูโร</t>
  </si>
  <si>
    <t xml:space="preserve">③ กระดานคำนวณความยาว (แตกทีละขั้น) — อ่านซ้าย→ขวา · ฟ้า=ค่าสด · เหลือง=แก้ได้ · เขียว=ผล</t>
  </si>
  <si>
    <t xml:space="preserve">ฐาน (จาก)</t>
  </si>
  <si>
    <t xml:space="preserve">ค่า</t>
  </si>
  <si>
    <t xml:space="preserve">− ขนาดคาน</t>
  </si>
  <si>
    <t xml:space="preserve">− ตัวลบ</t>
  </si>
  <si>
    <t xml:space="preserve">− C</t>
  </si>
  <si>
    <t xml:space="preserve">− รอยซ้อนรวม</t>
  </si>
  <si>
    <t xml:space="preserve">÷ บาน</t>
  </si>
  <si>
    <t xml:space="preserve">ยาวตัด</t>
  </si>
  <si>
    <t xml:space="preserve">หมายเหตุ / สูตร</t>
  </si>
  <si>
    <t xml:space="preserve">ความกว้างช่อง</t>
  </si>
  <si>
    <t xml:space="preserve">ตัดเท่าช่อง · 1 เส้น</t>
  </si>
  <si>
    <t xml:space="preserve">ความสูงช่อง</t>
  </si>
  <si>
    <t xml:space="preserve">สูง − ขนาดคาน · จำนวน ยัด2/แปะ1</t>
  </si>
  <si>
    <t xml:space="preserve">สูง − ขนาดคาน · 1 ท่อน</t>
  </si>
  <si>
    <t xml:space="preserve">ยัด: −5 / แปะนอก: ×2 (แก้ที่ ④) · จำนวน=บานเลื่อน</t>
  </si>
  <si>
    <t xml:space="preserve">เท่าช่อง · 2 อัน</t>
  </si>
  <si>
    <t xml:space="preserve">เสากุญแจ 20051 (SMS)</t>
  </si>
  <si>
    <t xml:space="preserve">สูง − ขนาดคาน − ตัวลบ</t>
  </si>
  <si>
    <t xml:space="preserve">เสาเกี่ยว 20009 (SMS)</t>
  </si>
  <si>
    <t xml:space="preserve">ขวาง 20054 (SMS·นอน)</t>
  </si>
  <si>
    <t xml:space="preserve">SMS: (ช่อง − C − รอยซ้อน×4) ÷ บาน · C แก้ที่ ⑤</t>
  </si>
  <si>
    <t xml:space="preserve">ยูโร 45° เต็มบาน: (ช่อง − C + รอยซ้อน×8) ÷ บาน</t>
  </si>
  <si>
    <t xml:space="preserve">④ ตัวเลข 'ราง + ระยะซ้อน' ที่แก้ได้</t>
  </si>
  <si>
    <t xml:space="preserve">ความหมาย</t>
  </si>
  <si>
    <t xml:space="preserve">ราง/คานรับราง — ยัดในช่อง หัก</t>
  </si>
  <si>
    <t xml:space="preserve">ราง — แปะนอก คูณ</t>
  </si>
  <si>
    <t xml:space="preserve">ระยะซ้อน — ระบบ SMS</t>
  </si>
  <si>
    <t xml:space="preserve">ระยะซ้อน — ระบบ ยูโร</t>
  </si>
  <si>
    <t xml:space="preserve">⑤ ค่า C (หัก) — SMS=เสารับ+เสากุญแจ+เสาเกี่ยว+กรอบ (90°) · ยูโร=เสารับอย่างเดียว (45° เต็มบาน)</t>
  </si>
  <si>
    <t xml:space="preserve">กรณี</t>
  </si>
  <si>
    <t xml:space="preserve">ค่า C</t>
  </si>
  <si>
    <t xml:space="preserve">SMS — ยัดในช่อง</t>
  </si>
  <si>
    <t xml:space="preserve">SMS — แปะนอกชนผนัง</t>
  </si>
  <si>
    <t xml:space="preserve">SMS — แปะนอกไปต่อ (มือจับฝัง)</t>
  </si>
  <si>
    <t xml:space="preserve">SMS — แปะนอกไปต่อ (มือจับเมโทร)</t>
  </si>
  <si>
    <t xml:space="preserve">ยูโร — ยัดในช่อง (เสารับ 2 ข้าง)</t>
  </si>
  <si>
    <t xml:space="preserve">ยูโร — แปะนอกชนผนัง (เสารับ 1 ข้าง)</t>
  </si>
  <si>
    <t xml:space="preserve">ยูโร — แปะนอกไปต่อ (เสารับเสมอปูน = ไม่ลบ)</t>
  </si>
  <si>
    <t xml:space="preserve">⑥ ตารางคาน (ดรอปดาว) — แก้ขนาดที่หัก</t>
  </si>
  <si>
    <t xml:space="preserve">ลบความสูง (ซม.)</t>
  </si>
  <si>
    <t xml:space="preserve">1×1.6</t>
  </si>
  <si>
    <t xml:space="preserve">1.6×1.6</t>
  </si>
  <si>
    <t xml:space="preserve">1×3</t>
  </si>
  <si>
    <t xml:space="preserve">4×4</t>
  </si>
  <si>
    <t xml:space="preserve">2×4+4×4</t>
  </si>
  <si>
    <t xml:space="preserve">⑤ ตั้งค่ามือจับ (แบบ SMS อิสระ)</t>
  </si>
  <si>
    <t xml:space="preserve">ประเภทบาน →</t>
  </si>
  <si>
    <t xml:space="preserve">ประตู</t>
  </si>
  <si>
    <t xml:space="preserve">ยี่ห้อมือจับ →</t>
  </si>
  <si>
    <t xml:space="preserve">เมโทร</t>
  </si>
  <si>
    <t xml:space="preserve">สีมือจับ →</t>
  </si>
  <si>
    <t xml:space="preserve">อบขาว</t>
  </si>
  <si>
    <t xml:space="preserve">มือจับ ซ้าย →</t>
  </si>
  <si>
    <t xml:space="preserve">กุญแจ+ล็อค</t>
  </si>
  <si>
    <t xml:space="preserve">มือจับ ขวา →</t>
  </si>
  <si>
    <t xml:space="preserve">ล็อค+ดัมมี่</t>
  </si>
  <si>
    <t xml:space="preserve">⑤.1 สรุปอุปกรณ์ (จำนวนลิงก์อัตโนมัติ)</t>
  </si>
  <si>
    <t xml:space="preserve">อุปกรณ์</t>
  </si>
  <si>
    <t xml:space="preserve">รหัส SKU</t>
  </si>
  <si>
    <t xml:space="preserve">หน่วย</t>
  </si>
  <si>
    <t xml:space="preserve">หมายเหตุ</t>
  </si>
  <si>
    <t xml:space="preserve">ล้อรางบน Hafele 100kg</t>
  </si>
  <si>
    <t xml:space="preserve">JR00544</t>
  </si>
  <si>
    <t xml:space="preserve">กล่อง</t>
  </si>
  <si>
    <t xml:space="preserve">1/บานเลื่อน</t>
  </si>
  <si>
    <t xml:space="preserve">มือจับ กุญแจ</t>
  </si>
  <si>
    <t xml:space="preserve">ชุด</t>
  </si>
  <si>
    <t xml:space="preserve">มือจับ ล็อค</t>
  </si>
  <si>
    <t xml:space="preserve">มือจับ ดัมมี่</t>
  </si>
  <si>
    <t xml:space="preserve">Digital lock</t>
  </si>
  <si>
    <t xml:space="preserve">-</t>
  </si>
  <si>
    <t xml:space="preserve">ไม่ตัดสต็อก</t>
  </si>
  <si>
    <t xml:space="preserve">แกน A</t>
  </si>
  <si>
    <t xml:space="preserve">JR00478</t>
  </si>
  <si>
    <t xml:space="preserve">เส้น</t>
  </si>
  <si>
    <t xml:space="preserve">แกน B</t>
  </si>
  <si>
    <t xml:space="preserve">JR00479</t>
  </si>
  <si>
    <t xml:space="preserve">ปลายดำ</t>
  </si>
  <si>
    <t xml:space="preserve">JR00476</t>
  </si>
  <si>
    <t xml:space="preserve">ตัว</t>
  </si>
  <si>
    <t xml:space="preserve">ตัวที เงิน</t>
  </si>
  <si>
    <t xml:space="preserve">JR00475</t>
  </si>
  <si>
    <t xml:space="preserve">ก้ามปู</t>
  </si>
  <si>
    <t xml:space="preserve">JR00477</t>
  </si>
  <si>
    <t xml:space="preserve">น็อตประกอบบาน 1"</t>
  </si>
  <si>
    <t xml:space="preserve">JR00864</t>
  </si>
  <si>
    <t xml:space="preserve">ไม่มีน็อตเฟรม</t>
  </si>
  <si>
    <t xml:space="preserve">สักหลาด 5×3</t>
  </si>
  <si>
    <t xml:space="preserve">JR00794</t>
  </si>
  <si>
    <t xml:space="preserve">เมตร</t>
  </si>
  <si>
    <t xml:space="preserve">กรอบบาน+เฟรมข้าง2เส้น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</si>
</sst>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Tahoma"/>
      <family val="0"/>
      <charset val="1"/>
    </font>
    <font>
      <sz val="11"/>
      <color theme="1"/>
      <name val="FreeSans"/>
      <family val="2"/>
    </font>
    <font>
      <b val="true"/>
      <sz val="10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10"/>
      <name val="Tahoma"/>
      <family val="0"/>
      <charset val="1"/>
    </font>
    <font>
      <sz val="9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1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sz val="11"/>
      <name val="Tahom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F2F2F2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548235"/>
        <bgColor rgb="FF339966"/>
      </patternFill>
    </fill>
    <fill>
      <patternFill patternType="solid">
        <fgColor rgb="FFEDEDED"/>
        <bgColor rgb="FFF2F2F2"/>
      </patternFill>
    </fill>
    <fill>
      <patternFill patternType="solid">
        <fgColor rgb="FFDEEBF7"/>
        <bgColor rgb="FFEDEDED"/>
      </patternFill>
    </fill>
    <fill>
      <patternFill patternType="solid">
        <fgColor rgb="FF7F77DD"/>
        <bgColor rgb="FF808080"/>
      </patternFill>
    </fill>
    <fill>
      <patternFill patternType="solid">
        <fgColor rgb="FF1F4E79"/>
        <bgColor rgb="FF1F4E78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EDEDED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7F77DD"/>
      <rgbColor rgb="FFB0B0B0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9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6" min="4" style="0" width="9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38"/>
    <col collapsed="false" customWidth="true" hidden="true" outlineLevel="0" max="56" min="53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BA1" s="2" t="s">
        <v>1</v>
      </c>
      <c r="BB1" s="3" t="s">
        <v>2</v>
      </c>
      <c r="BD1" s="0" t="str">
        <f aca="false">IF($C$77="ประตู","กุญแจ+ล็อค","ล็อค")</f>
        <v>กุญแจ+ล็อค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BA2" s="2" t="s">
        <v>3</v>
      </c>
      <c r="BB2" s="3" t="s">
        <v>4</v>
      </c>
      <c r="BD2" s="0" t="str">
        <f aca="false">IF($C$77="ประตู","ล็อค+ดัมมี่","ดัมมี่")</f>
        <v>ล็อค+ดัมมี่</v>
      </c>
    </row>
    <row r="3" customFormat="false" ht="15" hidden="false" customHeight="true" outlineLevel="0" collapsed="false">
      <c r="B3" s="4" t="s">
        <v>5</v>
      </c>
      <c r="C3" s="4"/>
      <c r="BA3" s="2" t="s">
        <v>6</v>
      </c>
      <c r="BB3" s="3" t="s">
        <v>7</v>
      </c>
      <c r="BD3" s="0" t="str">
        <f aca="false">IF($C$77="ประตู","ดัมมี่+ดัมมี่","")</f>
        <v>ดัมมี่+ดัมมี่</v>
      </c>
    </row>
    <row r="4" customFormat="false" ht="15" hidden="false" customHeight="false" outlineLevel="0" collapsed="false">
      <c r="B4" s="5" t="s">
        <v>8</v>
      </c>
      <c r="C4" s="6" t="n">
        <v>360</v>
      </c>
      <c r="BA4" s="2" t="s">
        <v>9</v>
      </c>
      <c r="BB4" s="3" t="s">
        <v>10</v>
      </c>
      <c r="BD4" s="0" t="str">
        <f aca="false">IF($C$77="ประตู","Digital lock","")</f>
        <v>Digital lock</v>
      </c>
    </row>
    <row r="5" customFormat="false" ht="15" hidden="false" customHeight="false" outlineLevel="0" collapsed="false">
      <c r="B5" s="5" t="s">
        <v>11</v>
      </c>
      <c r="C5" s="6" t="n">
        <v>240</v>
      </c>
      <c r="BA5" s="2" t="s">
        <v>12</v>
      </c>
      <c r="BB5" s="3" t="s">
        <v>13</v>
      </c>
    </row>
    <row r="6" customFormat="false" ht="15" hidden="false" customHeight="false" outlineLevel="0" collapsed="false">
      <c r="B6" s="5" t="s">
        <v>14</v>
      </c>
      <c r="C6" s="6" t="n">
        <v>2</v>
      </c>
      <c r="BA6" s="2" t="s">
        <v>15</v>
      </c>
      <c r="BB6" s="3" t="s">
        <v>16</v>
      </c>
      <c r="BC6" s="3" t="n">
        <f aca="false">(COUNTIF($C$80:$C$81,"กุญแจ+ล็อค")+COUNTIF($C$80:$C$81,"ล็อค+ดัมมี่")+COUNTIF($C$80:$C$81,"ล็อค"))</f>
        <v>2</v>
      </c>
    </row>
    <row r="7" customFormat="false" ht="15" hidden="false" customHeight="false" outlineLevel="0" collapsed="false">
      <c r="B7" s="5" t="s">
        <v>17</v>
      </c>
      <c r="C7" s="6" t="s">
        <v>18</v>
      </c>
      <c r="BA7" s="3" t="s">
        <v>19</v>
      </c>
      <c r="BB7" s="3" t="s">
        <v>20</v>
      </c>
      <c r="BC7" s="3" t="n">
        <f aca="false">COUNTIF($C$80:$C$81,"กุญแจ+ล็อค")</f>
        <v>1</v>
      </c>
    </row>
    <row r="8" customFormat="false" ht="15" hidden="false" customHeight="false" outlineLevel="0" collapsed="false">
      <c r="B8" s="5" t="s">
        <v>21</v>
      </c>
      <c r="C8" s="6" t="s">
        <v>22</v>
      </c>
      <c r="BA8" s="3" t="s">
        <v>23</v>
      </c>
      <c r="BB8" s="3" t="s">
        <v>24</v>
      </c>
    </row>
    <row r="9" customFormat="false" ht="15" hidden="false" customHeight="false" outlineLevel="0" collapsed="false">
      <c r="B9" s="5" t="s">
        <v>25</v>
      </c>
      <c r="C9" s="6" t="s">
        <v>26</v>
      </c>
      <c r="BA9" s="3" t="s">
        <v>27</v>
      </c>
      <c r="BB9" s="3" t="s">
        <v>28</v>
      </c>
      <c r="BC9" s="3" t="n">
        <f aca="false">(COUNTIF($C$80:$C$81,"ล็อค+ดัมมี่")+2*COUNTIF($C$80:$C$81,"ดัมมี่+ดัมมี่")+COUNTIF($C$80:$C$81,"ดัมมี่"))</f>
        <v>1</v>
      </c>
    </row>
    <row r="10" customFormat="false" ht="15" hidden="false" customHeight="false" outlineLevel="0" collapsed="false">
      <c r="B10" s="5" t="s">
        <v>29</v>
      </c>
      <c r="C10" s="6" t="s">
        <v>30</v>
      </c>
      <c r="BA10" s="3" t="s">
        <v>31</v>
      </c>
      <c r="BB10" s="3" t="s">
        <v>32</v>
      </c>
      <c r="BC10" s="3" t="n">
        <f aca="false">COUNTIF($C$80:$C$81,"Digital lock")</f>
        <v>0</v>
      </c>
    </row>
    <row r="11" customFormat="false" ht="15" hidden="false" customHeight="false" outlineLevel="0" collapsed="false">
      <c r="B11" s="5" t="s">
        <v>33</v>
      </c>
      <c r="C11" s="6" t="s">
        <v>34</v>
      </c>
      <c r="BA11" s="3" t="s">
        <v>35</v>
      </c>
      <c r="BB11" s="3" t="s">
        <v>36</v>
      </c>
    </row>
    <row r="12" customFormat="false" ht="22.35" hidden="false" customHeight="false" outlineLevel="0" collapsed="false">
      <c r="B12" s="5" t="s">
        <v>37</v>
      </c>
      <c r="C12" s="6" t="s">
        <v>38</v>
      </c>
      <c r="BA12" s="3" t="s">
        <v>39</v>
      </c>
      <c r="BB12" s="3" t="s">
        <v>40</v>
      </c>
    </row>
    <row r="13" customFormat="false" ht="15" hidden="false" customHeight="true" outlineLevel="0" collapsed="false">
      <c r="B13" s="4" t="s">
        <v>41</v>
      </c>
      <c r="C13" s="4"/>
    </row>
    <row r="14" customFormat="false" ht="15" hidden="false" customHeight="false" outlineLevel="0" collapsed="false">
      <c r="B14" s="7" t="s">
        <v>42</v>
      </c>
      <c r="C14" s="8" t="n">
        <f aca="false">VLOOKUP($C$11,$B$69:$C$74,2,FALSE())</f>
        <v>5</v>
      </c>
    </row>
    <row r="15" customFormat="false" ht="15" hidden="false" customHeight="false" outlineLevel="0" collapsed="false">
      <c r="B15" s="7" t="s">
        <v>43</v>
      </c>
      <c r="C15" s="9" t="n">
        <f aca="false">IF($C$8="อิสระ",0,IF($C$8="ลากจูง",1,2))</f>
        <v>0</v>
      </c>
    </row>
    <row r="16" customFormat="false" ht="15" hidden="false" customHeight="false" outlineLevel="0" collapsed="false">
      <c r="B16" s="7" t="s">
        <v>44</v>
      </c>
      <c r="C16" s="9" t="n">
        <f aca="false">$C$6-$C$15</f>
        <v>2</v>
      </c>
    </row>
    <row r="17" customFormat="false" ht="15" hidden="false" customHeight="false" outlineLevel="0" collapsed="false">
      <c r="B17" s="7" t="s">
        <v>45</v>
      </c>
      <c r="C17" s="9" t="n">
        <f aca="false">IF(OR($C$9="แปะนอกชนผนัง",$C$9="แปะนอกไปต่อ"),1,0)</f>
        <v>0</v>
      </c>
    </row>
    <row r="18" customFormat="false" ht="15" hidden="false" customHeight="false" outlineLevel="0" collapsed="false">
      <c r="B18" s="7" t="s">
        <v>46</v>
      </c>
      <c r="C18" s="9" t="n">
        <f aca="false">IF($C$6=1,1,IF($C$17=1,1,2))</f>
        <v>2</v>
      </c>
    </row>
    <row r="19" customFormat="false" ht="15" hidden="false" customHeight="false" outlineLevel="0" collapsed="false">
      <c r="B19" s="7" t="s">
        <v>47</v>
      </c>
      <c r="C19" s="9" t="n">
        <f aca="false">IF($C$6=1,1,$C$16+$C$17)</f>
        <v>2</v>
      </c>
    </row>
    <row r="20" customFormat="false" ht="15" hidden="false" customHeight="false" outlineLevel="0" collapsed="false">
      <c r="B20" s="7" t="s">
        <v>48</v>
      </c>
      <c r="C20" s="9" t="n">
        <f aca="false">MAX(1,$C$6-1)</f>
        <v>1</v>
      </c>
    </row>
    <row r="21" customFormat="false" ht="15" hidden="false" customHeight="false" outlineLevel="0" collapsed="false">
      <c r="B21" s="7" t="s">
        <v>49</v>
      </c>
      <c r="C21" s="8" t="n">
        <f aca="false">IF($C$9="ยัดในช่อง",$F$59,IF($C$9="แปะนอกชนผนัง",$F$60,IF($C$10="ฝัง",$F$61,$F$62)))</f>
        <v>16.8</v>
      </c>
    </row>
    <row r="22" customFormat="false" ht="15" hidden="false" customHeight="false" outlineLevel="0" collapsed="false">
      <c r="B22" s="7" t="s">
        <v>50</v>
      </c>
      <c r="C22" s="8" t="n">
        <f aca="false">IF($C$9="ยัดในช่อง",$F$63,IF($C$9="แปะนอกชนผนัง",$F$64,$F$65))</f>
        <v>5</v>
      </c>
    </row>
    <row r="23" customFormat="false" ht="26.1" hidden="false" customHeight="false" outlineLevel="0" collapsed="false">
      <c r="A23" s="10" t="s">
        <v>51</v>
      </c>
      <c r="B23" s="10" t="s">
        <v>52</v>
      </c>
      <c r="C23" s="10" t="s">
        <v>53</v>
      </c>
      <c r="D23" s="10" t="s">
        <v>54</v>
      </c>
      <c r="E23" s="10" t="s">
        <v>55</v>
      </c>
    </row>
    <row r="24" customFormat="false" ht="21.75" hidden="false" customHeight="true" outlineLevel="0" collapsed="false">
      <c r="A24" s="11" t="n">
        <v>1</v>
      </c>
      <c r="B24" s="12" t="s">
        <v>56</v>
      </c>
      <c r="C24" s="13" t="s">
        <v>57</v>
      </c>
      <c r="D24" s="14" t="n">
        <f aca="false">$C$4</f>
        <v>360</v>
      </c>
      <c r="E24" s="15" t="s">
        <v>58</v>
      </c>
    </row>
    <row r="25" customFormat="false" ht="21.75" hidden="false" customHeight="true" outlineLevel="0" collapsed="false">
      <c r="A25" s="11" t="n">
        <v>2</v>
      </c>
      <c r="B25" s="12" t="s">
        <v>59</v>
      </c>
      <c r="C25" s="13" t="s">
        <v>60</v>
      </c>
      <c r="D25" s="14" t="n">
        <f aca="false">$C$5-$C$14</f>
        <v>235</v>
      </c>
      <c r="E25" s="15" t="n">
        <f aca="false">IF($C$17=1,1,2)</f>
        <v>2</v>
      </c>
    </row>
    <row r="26" customFormat="false" ht="21.75" hidden="false" customHeight="true" outlineLevel="0" collapsed="false">
      <c r="A26" s="11" t="n">
        <v>3</v>
      </c>
      <c r="B26" s="12" t="s">
        <v>61</v>
      </c>
      <c r="C26" s="13" t="s">
        <v>60</v>
      </c>
      <c r="D26" s="14" t="n">
        <f aca="false">$C$5-$C$14</f>
        <v>235</v>
      </c>
      <c r="E26" s="15" t="s">
        <v>58</v>
      </c>
    </row>
    <row r="27" customFormat="false" ht="21.75" hidden="false" customHeight="true" outlineLevel="0" collapsed="false">
      <c r="A27" s="11" t="n">
        <v>4</v>
      </c>
      <c r="B27" s="12" t="s">
        <v>62</v>
      </c>
      <c r="C27" s="13" t="s">
        <v>60</v>
      </c>
      <c r="D27" s="14" t="n">
        <f aca="false">IF($C$9="ยัดในช่อง",$C$4-$F$52,$C$4*$F$53)</f>
        <v>355</v>
      </c>
      <c r="E27" s="15" t="n">
        <f aca="false">$C$16</f>
        <v>2</v>
      </c>
    </row>
    <row r="28" customFormat="false" ht="21.75" hidden="false" customHeight="true" outlineLevel="0" collapsed="false">
      <c r="A28" s="11" t="n">
        <v>5</v>
      </c>
      <c r="B28" s="12" t="s">
        <v>63</v>
      </c>
      <c r="C28" s="13" t="s">
        <v>60</v>
      </c>
      <c r="D28" s="14" t="n">
        <f aca="false">$C$4</f>
        <v>360</v>
      </c>
      <c r="E28" s="15" t="s">
        <v>64</v>
      </c>
    </row>
    <row r="29" customFormat="false" ht="21.75" hidden="false" customHeight="true" outlineLevel="0" collapsed="false">
      <c r="A29" s="11" t="n">
        <v>6</v>
      </c>
      <c r="B29" s="12" t="s">
        <v>65</v>
      </c>
      <c r="C29" s="13" t="s">
        <v>66</v>
      </c>
      <c r="D29" s="14" t="n">
        <f aca="false">$C$5-$C$14-$F$43</f>
        <v>229.9</v>
      </c>
      <c r="E29" s="15" t="n">
        <f aca="false">IF($C$7="SMS",$C$18,0)</f>
        <v>2</v>
      </c>
    </row>
    <row r="30" customFormat="false" ht="21.75" hidden="false" customHeight="true" outlineLevel="0" collapsed="false">
      <c r="A30" s="11" t="n">
        <v>7</v>
      </c>
      <c r="B30" s="12" t="s">
        <v>67</v>
      </c>
      <c r="C30" s="13" t="s">
        <v>68</v>
      </c>
      <c r="D30" s="14" t="n">
        <f aca="false">$C$5-$C$14-$F$44</f>
        <v>229.9</v>
      </c>
      <c r="E30" s="15" t="n">
        <f aca="false">IF($C$7="SMS",$C$19,0)</f>
        <v>2</v>
      </c>
    </row>
    <row r="31" customFormat="false" ht="21.75" hidden="false" customHeight="true" outlineLevel="0" collapsed="false">
      <c r="A31" s="11" t="n">
        <v>8</v>
      </c>
      <c r="B31" s="12" t="s">
        <v>69</v>
      </c>
      <c r="C31" s="13" t="s">
        <v>70</v>
      </c>
      <c r="D31" s="14" t="n">
        <f aca="false">(($C$4-$C$21)-$C$20*$F$54)/$C$6</f>
        <v>169.6</v>
      </c>
      <c r="E31" s="15" t="n">
        <f aca="false">IF($C$7="SMS",2*$C$6,0)</f>
        <v>4</v>
      </c>
    </row>
    <row r="32" customFormat="false" ht="21.75" hidden="false" customHeight="true" outlineLevel="0" collapsed="false">
      <c r="A32" s="11" t="n">
        <v>9</v>
      </c>
      <c r="B32" s="12" t="s">
        <v>71</v>
      </c>
      <c r="C32" s="13" t="s">
        <v>72</v>
      </c>
      <c r="D32" s="14" t="n">
        <f aca="false">$C$5-$C$14-$F$46</f>
        <v>229.9</v>
      </c>
      <c r="E32" s="15" t="n">
        <f aca="false">IF($C$7="ยูโร",$C$18,0)</f>
        <v>0</v>
      </c>
    </row>
    <row r="33" customFormat="false" ht="21.75" hidden="false" customHeight="true" outlineLevel="0" collapsed="false">
      <c r="A33" s="11" t="n">
        <v>10</v>
      </c>
      <c r="B33" s="12" t="s">
        <v>73</v>
      </c>
      <c r="C33" s="13" t="s">
        <v>72</v>
      </c>
      <c r="D33" s="14" t="n">
        <f aca="false">(($C$4-$C$22)+$C$20*$F$55)/$C$6</f>
        <v>181.5</v>
      </c>
      <c r="E33" s="15" t="n">
        <f aca="false">IF($C$7="ยูโร",2*$C$6,0)</f>
        <v>0</v>
      </c>
    </row>
    <row r="34" customFormat="false" ht="21.75" hidden="false" customHeight="true" outlineLevel="0" collapsed="false">
      <c r="A34" s="11" t="n">
        <v>11</v>
      </c>
      <c r="B34" s="12" t="s">
        <v>74</v>
      </c>
      <c r="C34" s="13" t="s">
        <v>72</v>
      </c>
      <c r="D34" s="14" t="n">
        <f aca="false">$C$5-$C$14-$F$48</f>
        <v>229.9</v>
      </c>
      <c r="E34" s="15" t="n">
        <f aca="false">IF($C$7="ยูโร",$C$19,0)</f>
        <v>0</v>
      </c>
    </row>
    <row r="36" customFormat="false" ht="15" hidden="false" customHeight="true" outlineLevel="0" collapsed="false">
      <c r="B36" s="16" t="s">
        <v>75</v>
      </c>
      <c r="C36" s="16"/>
      <c r="D36" s="16"/>
      <c r="E36" s="16"/>
      <c r="F36" s="16"/>
      <c r="G36" s="16"/>
      <c r="H36" s="16"/>
      <c r="I36" s="16"/>
      <c r="J36" s="16"/>
      <c r="K36" s="16"/>
    </row>
    <row r="37" customFormat="false" ht="23.85" hidden="false" customHeight="false" outlineLevel="0" collapsed="false">
      <c r="B37" s="10" t="s">
        <v>52</v>
      </c>
      <c r="C37" s="10" t="s">
        <v>76</v>
      </c>
      <c r="D37" s="10" t="s">
        <v>77</v>
      </c>
      <c r="E37" s="10" t="s">
        <v>78</v>
      </c>
      <c r="F37" s="10" t="s">
        <v>79</v>
      </c>
      <c r="G37" s="10" t="s">
        <v>80</v>
      </c>
      <c r="H37" s="10" t="s">
        <v>81</v>
      </c>
      <c r="I37" s="10" t="s">
        <v>82</v>
      </c>
      <c r="J37" s="10" t="s">
        <v>83</v>
      </c>
      <c r="K37" s="10" t="s">
        <v>84</v>
      </c>
    </row>
    <row r="38" customFormat="false" ht="24" hidden="false" customHeight="true" outlineLevel="0" collapsed="false">
      <c r="B38" s="17" t="s">
        <v>56</v>
      </c>
      <c r="C38" s="18" t="s">
        <v>85</v>
      </c>
      <c r="D38" s="19" t="n">
        <f aca="false">$C$4</f>
        <v>360</v>
      </c>
      <c r="E38" s="20"/>
      <c r="F38" s="20"/>
      <c r="G38" s="20"/>
      <c r="H38" s="20"/>
      <c r="I38" s="21"/>
      <c r="J38" s="8" t="n">
        <f aca="false">$D$24</f>
        <v>360</v>
      </c>
      <c r="K38" s="18" t="s">
        <v>86</v>
      </c>
    </row>
    <row r="39" customFormat="false" ht="24" hidden="false" customHeight="true" outlineLevel="0" collapsed="false">
      <c r="B39" s="17" t="s">
        <v>37</v>
      </c>
      <c r="C39" s="18" t="s">
        <v>87</v>
      </c>
      <c r="D39" s="19" t="n">
        <f aca="false">$C$5</f>
        <v>240</v>
      </c>
      <c r="E39" s="19" t="n">
        <f aca="false">$C$14</f>
        <v>5</v>
      </c>
      <c r="F39" s="20"/>
      <c r="G39" s="20"/>
      <c r="H39" s="20"/>
      <c r="I39" s="21"/>
      <c r="J39" s="8" t="n">
        <f aca="false">$D$25</f>
        <v>235</v>
      </c>
      <c r="K39" s="18" t="s">
        <v>88</v>
      </c>
    </row>
    <row r="40" customFormat="false" ht="24" hidden="false" customHeight="true" outlineLevel="0" collapsed="false">
      <c r="B40" s="17" t="s">
        <v>61</v>
      </c>
      <c r="C40" s="18" t="s">
        <v>87</v>
      </c>
      <c r="D40" s="19" t="n">
        <f aca="false">$C$5</f>
        <v>240</v>
      </c>
      <c r="E40" s="19" t="n">
        <f aca="false">$C$14</f>
        <v>5</v>
      </c>
      <c r="F40" s="20"/>
      <c r="G40" s="20"/>
      <c r="H40" s="20"/>
      <c r="I40" s="21"/>
      <c r="J40" s="8" t="n">
        <f aca="false">$D$26</f>
        <v>235</v>
      </c>
      <c r="K40" s="18" t="s">
        <v>89</v>
      </c>
    </row>
    <row r="41" customFormat="false" ht="24" hidden="false" customHeight="true" outlineLevel="0" collapsed="false">
      <c r="B41" s="17" t="s">
        <v>62</v>
      </c>
      <c r="C41" s="18" t="s">
        <v>85</v>
      </c>
      <c r="D41" s="19" t="n">
        <f aca="false">$C$4</f>
        <v>360</v>
      </c>
      <c r="E41" s="20"/>
      <c r="F41" s="20"/>
      <c r="G41" s="20"/>
      <c r="H41" s="20"/>
      <c r="I41" s="21"/>
      <c r="J41" s="8" t="n">
        <f aca="false">$D$27</f>
        <v>355</v>
      </c>
      <c r="K41" s="18" t="s">
        <v>90</v>
      </c>
    </row>
    <row r="42" customFormat="false" ht="24" hidden="false" customHeight="true" outlineLevel="0" collapsed="false">
      <c r="B42" s="17" t="s">
        <v>63</v>
      </c>
      <c r="C42" s="18" t="s">
        <v>85</v>
      </c>
      <c r="D42" s="19" t="n">
        <f aca="false">$C$4</f>
        <v>360</v>
      </c>
      <c r="E42" s="20"/>
      <c r="F42" s="20"/>
      <c r="G42" s="20"/>
      <c r="H42" s="20"/>
      <c r="I42" s="21"/>
      <c r="J42" s="8" t="n">
        <f aca="false">$D$28</f>
        <v>360</v>
      </c>
      <c r="K42" s="18" t="s">
        <v>91</v>
      </c>
    </row>
    <row r="43" customFormat="false" ht="24" hidden="false" customHeight="true" outlineLevel="0" collapsed="false">
      <c r="B43" s="17" t="s">
        <v>92</v>
      </c>
      <c r="C43" s="18" t="s">
        <v>87</v>
      </c>
      <c r="D43" s="19" t="n">
        <f aca="false">$C$5</f>
        <v>240</v>
      </c>
      <c r="E43" s="19" t="n">
        <f aca="false">$C$14</f>
        <v>5</v>
      </c>
      <c r="F43" s="22" t="n">
        <v>5.1</v>
      </c>
      <c r="G43" s="20"/>
      <c r="H43" s="20"/>
      <c r="I43" s="21"/>
      <c r="J43" s="8" t="n">
        <f aca="false">$D$29</f>
        <v>229.9</v>
      </c>
      <c r="K43" s="18" t="s">
        <v>93</v>
      </c>
    </row>
    <row r="44" customFormat="false" ht="24" hidden="false" customHeight="true" outlineLevel="0" collapsed="false">
      <c r="B44" s="17" t="s">
        <v>94</v>
      </c>
      <c r="C44" s="18" t="s">
        <v>87</v>
      </c>
      <c r="D44" s="19" t="n">
        <f aca="false">$C$5</f>
        <v>240</v>
      </c>
      <c r="E44" s="19" t="n">
        <f aca="false">$C$14</f>
        <v>5</v>
      </c>
      <c r="F44" s="22" t="n">
        <v>5.1</v>
      </c>
      <c r="G44" s="20"/>
      <c r="H44" s="20"/>
      <c r="I44" s="21"/>
      <c r="J44" s="8" t="n">
        <f aca="false">$D$30</f>
        <v>229.9</v>
      </c>
      <c r="K44" s="18" t="s">
        <v>93</v>
      </c>
    </row>
    <row r="45" customFormat="false" ht="24" hidden="false" customHeight="true" outlineLevel="0" collapsed="false">
      <c r="B45" s="17" t="s">
        <v>95</v>
      </c>
      <c r="C45" s="18" t="s">
        <v>85</v>
      </c>
      <c r="D45" s="19" t="n">
        <f aca="false">$C$4</f>
        <v>360</v>
      </c>
      <c r="E45" s="20"/>
      <c r="F45" s="20"/>
      <c r="G45" s="19" t="n">
        <f aca="false">$C$21</f>
        <v>16.8</v>
      </c>
      <c r="H45" s="19" t="n">
        <f aca="false">$C$20*$F$54</f>
        <v>4</v>
      </c>
      <c r="I45" s="23" t="n">
        <f aca="false">$C$6</f>
        <v>2</v>
      </c>
      <c r="J45" s="8" t="n">
        <f aca="false">$D$31</f>
        <v>169.6</v>
      </c>
      <c r="K45" s="18" t="s">
        <v>96</v>
      </c>
    </row>
    <row r="46" customFormat="false" ht="24" hidden="false" customHeight="true" outlineLevel="0" collapsed="false">
      <c r="B46" s="17" t="s">
        <v>71</v>
      </c>
      <c r="C46" s="18" t="s">
        <v>87</v>
      </c>
      <c r="D46" s="19" t="n">
        <f aca="false">$C$5</f>
        <v>240</v>
      </c>
      <c r="E46" s="19" t="n">
        <f aca="false">$C$14</f>
        <v>5</v>
      </c>
      <c r="F46" s="22" t="n">
        <v>5.1</v>
      </c>
      <c r="G46" s="20"/>
      <c r="H46" s="20"/>
      <c r="I46" s="21"/>
      <c r="J46" s="8" t="n">
        <f aca="false">$D$32</f>
        <v>229.9</v>
      </c>
      <c r="K46" s="18" t="s">
        <v>93</v>
      </c>
    </row>
    <row r="47" customFormat="false" ht="24" hidden="false" customHeight="true" outlineLevel="0" collapsed="false">
      <c r="B47" s="17" t="s">
        <v>73</v>
      </c>
      <c r="C47" s="18" t="s">
        <v>85</v>
      </c>
      <c r="D47" s="19" t="n">
        <f aca="false">$C$4</f>
        <v>360</v>
      </c>
      <c r="E47" s="20"/>
      <c r="F47" s="20"/>
      <c r="G47" s="19" t="n">
        <f aca="false">$C$22</f>
        <v>5</v>
      </c>
      <c r="H47" s="19" t="n">
        <f aca="false">$C$20*$F$55</f>
        <v>8</v>
      </c>
      <c r="I47" s="23" t="n">
        <f aca="false">$C$6</f>
        <v>2</v>
      </c>
      <c r="J47" s="8" t="n">
        <f aca="false">$D$33</f>
        <v>181.5</v>
      </c>
      <c r="K47" s="18" t="s">
        <v>97</v>
      </c>
    </row>
    <row r="48" customFormat="false" ht="24" hidden="false" customHeight="true" outlineLevel="0" collapsed="false">
      <c r="B48" s="17" t="s">
        <v>74</v>
      </c>
      <c r="C48" s="18" t="s">
        <v>87</v>
      </c>
      <c r="D48" s="19" t="n">
        <f aca="false">$C$5</f>
        <v>240</v>
      </c>
      <c r="E48" s="19" t="n">
        <f aca="false">$C$14</f>
        <v>5</v>
      </c>
      <c r="F48" s="22" t="n">
        <v>5.1</v>
      </c>
      <c r="G48" s="20"/>
      <c r="H48" s="20"/>
      <c r="I48" s="21"/>
      <c r="J48" s="8" t="n">
        <f aca="false">$D$34</f>
        <v>229.9</v>
      </c>
      <c r="K48" s="18" t="s">
        <v>93</v>
      </c>
    </row>
    <row r="50" customFormat="false" ht="15" hidden="false" customHeight="true" outlineLevel="0" collapsed="false">
      <c r="B50" s="24" t="s">
        <v>98</v>
      </c>
      <c r="C50" s="24"/>
      <c r="D50" s="24"/>
      <c r="E50" s="24"/>
      <c r="F50" s="24"/>
    </row>
    <row r="51" customFormat="false" ht="15" hidden="false" customHeight="true" outlineLevel="0" collapsed="false">
      <c r="B51" s="5" t="s">
        <v>99</v>
      </c>
      <c r="C51" s="5"/>
      <c r="D51" s="5"/>
      <c r="E51" s="5"/>
      <c r="F51" s="10" t="s">
        <v>77</v>
      </c>
    </row>
    <row r="52" customFormat="false" ht="18.75" hidden="false" customHeight="true" outlineLevel="0" collapsed="false">
      <c r="B52" s="12" t="s">
        <v>100</v>
      </c>
      <c r="C52" s="12"/>
      <c r="D52" s="12"/>
      <c r="E52" s="12"/>
      <c r="F52" s="22" t="n">
        <v>5</v>
      </c>
    </row>
    <row r="53" customFormat="false" ht="18.75" hidden="false" customHeight="true" outlineLevel="0" collapsed="false">
      <c r="B53" s="12" t="s">
        <v>101</v>
      </c>
      <c r="C53" s="12"/>
      <c r="D53" s="12"/>
      <c r="E53" s="12"/>
      <c r="F53" s="22" t="n">
        <v>2</v>
      </c>
    </row>
    <row r="54" customFormat="false" ht="18.75" hidden="false" customHeight="true" outlineLevel="0" collapsed="false">
      <c r="B54" s="12" t="s">
        <v>102</v>
      </c>
      <c r="C54" s="12"/>
      <c r="D54" s="12"/>
      <c r="E54" s="12"/>
      <c r="F54" s="22" t="n">
        <v>4</v>
      </c>
    </row>
    <row r="55" customFormat="false" ht="18.75" hidden="false" customHeight="true" outlineLevel="0" collapsed="false">
      <c r="B55" s="12" t="s">
        <v>103</v>
      </c>
      <c r="C55" s="12"/>
      <c r="D55" s="12"/>
      <c r="E55" s="12"/>
      <c r="F55" s="22" t="n">
        <v>8</v>
      </c>
    </row>
    <row r="57" customFormat="false" ht="28.35" hidden="false" customHeight="true" outlineLevel="0" collapsed="false">
      <c r="B57" s="24" t="s">
        <v>104</v>
      </c>
      <c r="C57" s="24"/>
      <c r="D57" s="24"/>
      <c r="E57" s="24"/>
      <c r="F57" s="24"/>
    </row>
    <row r="58" customFormat="false" ht="15" hidden="false" customHeight="true" outlineLevel="0" collapsed="false">
      <c r="B58" s="5" t="s">
        <v>105</v>
      </c>
      <c r="C58" s="5"/>
      <c r="D58" s="5"/>
      <c r="E58" s="5"/>
      <c r="F58" s="10" t="s">
        <v>106</v>
      </c>
    </row>
    <row r="59" customFormat="false" ht="18.75" hidden="false" customHeight="true" outlineLevel="0" collapsed="false">
      <c r="B59" s="12" t="s">
        <v>107</v>
      </c>
      <c r="C59" s="12"/>
      <c r="D59" s="12"/>
      <c r="E59" s="12"/>
      <c r="F59" s="22" t="n">
        <v>16.8</v>
      </c>
    </row>
    <row r="60" customFormat="false" ht="18.75" hidden="false" customHeight="true" outlineLevel="0" collapsed="false">
      <c r="B60" s="12" t="s">
        <v>108</v>
      </c>
      <c r="C60" s="12"/>
      <c r="D60" s="12"/>
      <c r="E60" s="12"/>
      <c r="F60" s="22" t="n">
        <v>8.4</v>
      </c>
    </row>
    <row r="61" customFormat="false" ht="18.75" hidden="false" customHeight="true" outlineLevel="0" collapsed="false">
      <c r="B61" s="12" t="s">
        <v>109</v>
      </c>
      <c r="C61" s="12"/>
      <c r="D61" s="12"/>
      <c r="E61" s="12"/>
      <c r="F61" s="22" t="n">
        <v>4.3</v>
      </c>
    </row>
    <row r="62" customFormat="false" ht="18.75" hidden="false" customHeight="true" outlineLevel="0" collapsed="false">
      <c r="B62" s="12" t="s">
        <v>110</v>
      </c>
      <c r="C62" s="12"/>
      <c r="D62" s="12"/>
      <c r="E62" s="12"/>
      <c r="F62" s="22" t="n">
        <v>5.9</v>
      </c>
    </row>
    <row r="63" customFormat="false" ht="18.75" hidden="false" customHeight="true" outlineLevel="0" collapsed="false">
      <c r="B63" s="12" t="s">
        <v>111</v>
      </c>
      <c r="C63" s="12"/>
      <c r="D63" s="12"/>
      <c r="E63" s="12"/>
      <c r="F63" s="22" t="n">
        <v>5</v>
      </c>
    </row>
    <row r="64" customFormat="false" ht="18.75" hidden="false" customHeight="true" outlineLevel="0" collapsed="false">
      <c r="B64" s="12" t="s">
        <v>112</v>
      </c>
      <c r="C64" s="12"/>
      <c r="D64" s="12"/>
      <c r="E64" s="12"/>
      <c r="F64" s="22" t="n">
        <v>2.5</v>
      </c>
    </row>
    <row r="65" customFormat="false" ht="18.75" hidden="false" customHeight="true" outlineLevel="0" collapsed="false">
      <c r="B65" s="12" t="s">
        <v>113</v>
      </c>
      <c r="C65" s="12"/>
      <c r="D65" s="12"/>
      <c r="E65" s="12"/>
      <c r="F65" s="22" t="n">
        <v>0</v>
      </c>
    </row>
    <row r="67" customFormat="false" ht="15" hidden="false" customHeight="true" outlineLevel="0" collapsed="false">
      <c r="B67" s="24" t="s">
        <v>114</v>
      </c>
      <c r="C67" s="24"/>
    </row>
    <row r="68" customFormat="false" ht="26.1" hidden="false" customHeight="false" outlineLevel="0" collapsed="false">
      <c r="B68" s="10" t="s">
        <v>57</v>
      </c>
      <c r="C68" s="10" t="s">
        <v>115</v>
      </c>
    </row>
    <row r="69" customFormat="false" ht="15" hidden="false" customHeight="false" outlineLevel="0" collapsed="false">
      <c r="B69" s="11" t="s">
        <v>116</v>
      </c>
      <c r="C69" s="22" t="n">
        <v>2.5</v>
      </c>
    </row>
    <row r="70" customFormat="false" ht="15" hidden="false" customHeight="false" outlineLevel="0" collapsed="false">
      <c r="B70" s="11" t="s">
        <v>117</v>
      </c>
      <c r="C70" s="22" t="n">
        <v>4.5</v>
      </c>
    </row>
    <row r="71" customFormat="false" ht="15" hidden="false" customHeight="false" outlineLevel="0" collapsed="false">
      <c r="B71" s="11" t="s">
        <v>118</v>
      </c>
      <c r="C71" s="22" t="n">
        <v>2.5</v>
      </c>
    </row>
    <row r="72" customFormat="false" ht="15" hidden="false" customHeight="false" outlineLevel="0" collapsed="false">
      <c r="B72" s="11" t="s">
        <v>34</v>
      </c>
      <c r="C72" s="22" t="n">
        <v>5</v>
      </c>
    </row>
    <row r="73" customFormat="false" ht="15" hidden="false" customHeight="false" outlineLevel="0" collapsed="false">
      <c r="B73" s="11" t="s">
        <v>119</v>
      </c>
      <c r="C73" s="22" t="n">
        <v>10.2</v>
      </c>
    </row>
    <row r="74" customFormat="false" ht="15" hidden="false" customHeight="false" outlineLevel="0" collapsed="false">
      <c r="B74" s="11" t="s">
        <v>120</v>
      </c>
      <c r="C74" s="22" t="n">
        <v>10.2</v>
      </c>
    </row>
    <row r="76" customFormat="false" ht="15" hidden="false" customHeight="false" outlineLevel="0" collapsed="false">
      <c r="A76" s="25"/>
      <c r="B76" s="26" t="s">
        <v>121</v>
      </c>
      <c r="C76" s="26"/>
      <c r="D76" s="26"/>
      <c r="E76" s="26"/>
      <c r="F76" s="26"/>
    </row>
    <row r="77" customFormat="false" ht="15" hidden="false" customHeight="false" outlineLevel="0" collapsed="false">
      <c r="A77" s="27"/>
      <c r="B77" s="28" t="s">
        <v>122</v>
      </c>
      <c r="C77" s="29" t="s">
        <v>123</v>
      </c>
      <c r="F77" s="30"/>
    </row>
    <row r="78" customFormat="false" ht="15" hidden="false" customHeight="false" outlineLevel="0" collapsed="false">
      <c r="A78" s="27"/>
      <c r="B78" s="28" t="s">
        <v>124</v>
      </c>
      <c r="C78" s="29" t="s">
        <v>125</v>
      </c>
      <c r="F78" s="30"/>
    </row>
    <row r="79" customFormat="false" ht="15" hidden="false" customHeight="false" outlineLevel="0" collapsed="false">
      <c r="A79" s="27"/>
      <c r="B79" s="28" t="s">
        <v>126</v>
      </c>
      <c r="C79" s="29" t="s">
        <v>127</v>
      </c>
      <c r="F79" s="30"/>
    </row>
    <row r="80" customFormat="false" ht="15" hidden="false" customHeight="false" outlineLevel="0" collapsed="false">
      <c r="A80" s="27"/>
      <c r="B80" s="28" t="s">
        <v>128</v>
      </c>
      <c r="C80" s="29" t="s">
        <v>129</v>
      </c>
      <c r="F80" s="30"/>
    </row>
    <row r="81" customFormat="false" ht="15" hidden="false" customHeight="false" outlineLevel="0" collapsed="false">
      <c r="B81" s="31" t="s">
        <v>130</v>
      </c>
      <c r="C81" s="29" t="s">
        <v>131</v>
      </c>
    </row>
    <row r="83" customFormat="false" ht="15" hidden="false" customHeight="false" outlineLevel="0" collapsed="false">
      <c r="B83" s="32" t="s">
        <v>132</v>
      </c>
      <c r="C83" s="32"/>
      <c r="D83" s="32"/>
      <c r="E83" s="32"/>
      <c r="F83" s="32"/>
    </row>
    <row r="84" customFormat="false" ht="15" hidden="false" customHeight="false" outlineLevel="0" collapsed="false">
      <c r="A84" s="32" t="s">
        <v>51</v>
      </c>
      <c r="B84" s="32" t="s">
        <v>133</v>
      </c>
      <c r="C84" s="32" t="s">
        <v>134</v>
      </c>
      <c r="D84" s="32" t="s">
        <v>55</v>
      </c>
      <c r="E84" s="32" t="s">
        <v>135</v>
      </c>
      <c r="F84" s="32" t="s">
        <v>136</v>
      </c>
    </row>
    <row r="85" customFormat="false" ht="15" hidden="false" customHeight="false" outlineLevel="0" collapsed="false">
      <c r="A85" s="31" t="n">
        <v>1</v>
      </c>
      <c r="B85" s="31" t="s">
        <v>137</v>
      </c>
      <c r="C85" s="29" t="s">
        <v>138</v>
      </c>
      <c r="D85" s="33" t="n">
        <f aca="false">$C$16</f>
        <v>2</v>
      </c>
      <c r="E85" s="31" t="s">
        <v>139</v>
      </c>
      <c r="F85" s="31" t="s">
        <v>140</v>
      </c>
    </row>
    <row r="86" customFormat="false" ht="15" hidden="false" customHeight="false" outlineLevel="0" collapsed="false">
      <c r="A86" s="31" t="n">
        <v>2</v>
      </c>
      <c r="B86" s="31" t="s">
        <v>141</v>
      </c>
      <c r="C86" s="29" t="str">
        <f aca="false">VLOOKUP($C$78&amp;"กุญแจ"&amp;$C$79,$BA$1:$BB$12,2,0)</f>
        <v>JR00368</v>
      </c>
      <c r="D86" s="34" t="n">
        <f aca="false">$BC$7</f>
        <v>1</v>
      </c>
      <c r="E86" s="31" t="s">
        <v>142</v>
      </c>
      <c r="F86" s="31"/>
    </row>
    <row r="87" customFormat="false" ht="15" hidden="false" customHeight="false" outlineLevel="0" collapsed="false">
      <c r="A87" s="31" t="n">
        <v>3</v>
      </c>
      <c r="B87" s="31" t="s">
        <v>143</v>
      </c>
      <c r="C87" s="29" t="str">
        <f aca="false">VLOOKUP($C$78&amp;"ล็อค"&amp;$C$79,$BA$1:$BB$12,2,0)</f>
        <v>JR00369</v>
      </c>
      <c r="D87" s="34" t="n">
        <f aca="false">$BC$6</f>
        <v>2</v>
      </c>
      <c r="E87" s="31" t="s">
        <v>142</v>
      </c>
      <c r="F87" s="31"/>
    </row>
    <row r="88" customFormat="false" ht="15" hidden="false" customHeight="false" outlineLevel="0" collapsed="false">
      <c r="A88" s="31" t="n">
        <v>4</v>
      </c>
      <c r="B88" s="31" t="s">
        <v>144</v>
      </c>
      <c r="C88" s="29" t="str">
        <f aca="false">VLOOKUP($C$78&amp;"ดัมมี่"&amp;$C$79,$BA$1:$BB$12,2,0)</f>
        <v>JR00370</v>
      </c>
      <c r="D88" s="34" t="n">
        <f aca="false">$BC$9</f>
        <v>1</v>
      </c>
      <c r="E88" s="31" t="s">
        <v>142</v>
      </c>
      <c r="F88" s="31"/>
    </row>
    <row r="89" customFormat="false" ht="15" hidden="false" customHeight="false" outlineLevel="0" collapsed="false">
      <c r="A89" s="31" t="n">
        <v>5</v>
      </c>
      <c r="B89" s="31" t="s">
        <v>145</v>
      </c>
      <c r="C89" s="29" t="s">
        <v>146</v>
      </c>
      <c r="D89" s="34" t="n">
        <f aca="false">$BC$10</f>
        <v>0</v>
      </c>
      <c r="E89" s="31" t="s">
        <v>142</v>
      </c>
      <c r="F89" s="31" t="s">
        <v>147</v>
      </c>
    </row>
    <row r="90" customFormat="false" ht="15" hidden="false" customHeight="false" outlineLevel="0" collapsed="false">
      <c r="A90" s="31" t="n">
        <v>6</v>
      </c>
      <c r="B90" s="31" t="s">
        <v>148</v>
      </c>
      <c r="C90" s="29" t="s">
        <v>149</v>
      </c>
      <c r="D90" s="34" t="n">
        <f aca="false">2*$BC$6</f>
        <v>4</v>
      </c>
      <c r="E90" s="31" t="s">
        <v>150</v>
      </c>
      <c r="F90" s="31"/>
    </row>
    <row r="91" customFormat="false" ht="15" hidden="false" customHeight="false" outlineLevel="0" collapsed="false">
      <c r="A91" s="31" t="n">
        <v>7</v>
      </c>
      <c r="B91" s="31" t="s">
        <v>151</v>
      </c>
      <c r="C91" s="29" t="s">
        <v>152</v>
      </c>
      <c r="D91" s="34" t="n">
        <f aca="false">IF($C$5&gt;280,2,IF($C$5&gt;140,1,0))*$BC$6</f>
        <v>2</v>
      </c>
      <c r="E91" s="31" t="s">
        <v>150</v>
      </c>
      <c r="F91" s="31"/>
    </row>
    <row r="92" customFormat="false" ht="15" hidden="false" customHeight="false" outlineLevel="0" collapsed="false">
      <c r="A92" s="31" t="n">
        <v>8</v>
      </c>
      <c r="B92" s="31" t="s">
        <v>153</v>
      </c>
      <c r="C92" s="29" t="s">
        <v>154</v>
      </c>
      <c r="D92" s="34" t="n">
        <f aca="false">2*$BC$6</f>
        <v>4</v>
      </c>
      <c r="E92" s="31" t="s">
        <v>155</v>
      </c>
      <c r="F92" s="31"/>
    </row>
    <row r="93" customFormat="false" ht="15" hidden="false" customHeight="false" outlineLevel="0" collapsed="false">
      <c r="A93" s="31" t="n">
        <v>9</v>
      </c>
      <c r="B93" s="31" t="s">
        <v>156</v>
      </c>
      <c r="C93" s="29" t="s">
        <v>157</v>
      </c>
      <c r="D93" s="34" t="n">
        <f aca="false">$BC$6</f>
        <v>2</v>
      </c>
      <c r="E93" s="31" t="s">
        <v>155</v>
      </c>
      <c r="F93" s="31"/>
    </row>
    <row r="94" customFormat="false" ht="15" hidden="false" customHeight="false" outlineLevel="0" collapsed="false">
      <c r="A94" s="31" t="n">
        <v>10</v>
      </c>
      <c r="B94" s="31" t="s">
        <v>158</v>
      </c>
      <c r="C94" s="29" t="s">
        <v>159</v>
      </c>
      <c r="D94" s="34" t="n">
        <f aca="false">2*$BC$6</f>
        <v>4</v>
      </c>
      <c r="E94" s="31" t="s">
        <v>155</v>
      </c>
      <c r="F94" s="31"/>
    </row>
    <row r="95" customFormat="false" ht="15" hidden="false" customHeight="false" outlineLevel="0" collapsed="false">
      <c r="A95" s="31" t="n">
        <v>11</v>
      </c>
      <c r="B95" s="31" t="s">
        <v>160</v>
      </c>
      <c r="C95" s="29" t="s">
        <v>161</v>
      </c>
      <c r="D95" s="34" t="n">
        <f aca="false">4*$C$16</f>
        <v>8</v>
      </c>
      <c r="E95" s="31" t="s">
        <v>155</v>
      </c>
      <c r="F95" s="31" t="s">
        <v>162</v>
      </c>
    </row>
    <row r="96" customFormat="false" ht="15" hidden="false" customHeight="false" outlineLevel="0" collapsed="false">
      <c r="A96" s="31" t="n">
        <v>12</v>
      </c>
      <c r="B96" s="31" t="s">
        <v>163</v>
      </c>
      <c r="C96" s="29" t="s">
        <v>164</v>
      </c>
      <c r="D96" s="34" t="n">
        <f aca="false">ROUND((4*(IF($C$7="SMS",$D$31,$D$33)+IF($C$7="SMS",$D$29,$D$32))*$C$16 + 2*$C$5)/100,1)</f>
        <v>36.8</v>
      </c>
      <c r="E96" s="31" t="s">
        <v>165</v>
      </c>
      <c r="F96" s="31" t="s">
        <v>166</v>
      </c>
    </row>
  </sheetData>
  <mergeCells count="22">
    <mergeCell ref="A1:K2"/>
    <mergeCell ref="B3:C3"/>
    <mergeCell ref="B13:C13"/>
    <mergeCell ref="B36:K36"/>
    <mergeCell ref="B50:F50"/>
    <mergeCell ref="B51:E51"/>
    <mergeCell ref="B52:E52"/>
    <mergeCell ref="B53:E53"/>
    <mergeCell ref="B54:E54"/>
    <mergeCell ref="B55:E55"/>
    <mergeCell ref="B57:F57"/>
    <mergeCell ref="B58:E58"/>
    <mergeCell ref="B59:E59"/>
    <mergeCell ref="B60:E60"/>
    <mergeCell ref="B61:E61"/>
    <mergeCell ref="B62:E62"/>
    <mergeCell ref="B63:E63"/>
    <mergeCell ref="B64:E64"/>
    <mergeCell ref="B65:E65"/>
    <mergeCell ref="B67:C67"/>
    <mergeCell ref="B76:F76"/>
    <mergeCell ref="B83:F83"/>
  </mergeCells>
  <dataValidations count="11">
    <dataValidation allowBlank="false" errorStyle="stop" operator="between" showDropDown="false" showErrorMessage="false" showInputMessage="false" sqref="C7" type="list">
      <formula1>"SMS,ยูโร"</formula1>
      <formula2>0</formula2>
    </dataValidation>
    <dataValidation allowBlank="false" errorStyle="stop" operator="between" showDropDown="false" showErrorMessage="false" showInputMessage="false" sqref="C8" type="list">
      <formula1>"อิสระ,ลากจูง,เปิดคู่กลาง"</formula1>
      <formula2>0</formula2>
    </dataValidation>
    <dataValidation allowBlank="false" errorStyle="stop" operator="between" showDropDown="false" showErrorMessage="false" showInputMessage="false" sqref="C9" type="list">
      <formula1>"ยัดในช่อง,แปะนอกชนผนัง,แปะนอกไปต่อ"</formula1>
      <formula2>0</formula2>
    </dataValidation>
    <dataValidation allowBlank="false" errorStyle="stop" operator="between" showDropDown="false" showErrorMessage="false" showInputMessage="false" sqref="C10" type="list">
      <formula1>"ฝัง,เมโทร"</formula1>
      <formula2>0</formula2>
    </dataValidation>
    <dataValidation allowBlank="false" errorStyle="stop" operator="between" showDropDown="false" showErrorMessage="false" showInputMessage="false" sqref="C11" type="list">
      <formula1>$B$69:$B$74</formula1>
      <formula2>0</formula2>
    </dataValidation>
    <dataValidation allowBlank="false" errorStyle="stop" operator="between" showDropDown="false" showErrorMessage="false" showInputMessage="false" sqref="C12" type="list">
      <formula1>"กล่อง 1×1.6+ชนกลาง,กล่อง 1×3+ชนกลาง,กล่อง 1×4+ชนกลาง"</formula1>
      <formula2>0</formula2>
    </dataValidation>
    <dataValidation allowBlank="true" errorStyle="stop" operator="between" showDropDown="false" showErrorMessage="false" showInputMessage="false" sqref="C77" type="list">
      <formula1>"ประตู,หน้าต่าง"</formula1>
      <formula2>0</formula2>
    </dataValidation>
    <dataValidation allowBlank="true" errorStyle="stop" operator="between" showDropDown="false" showErrorMessage="false" showInputMessage="false" sqref="C78" type="list">
      <formula1>"เมโทร,Align"</formula1>
      <formula2>0</formula2>
    </dataValidation>
    <dataValidation allowBlank="true" errorStyle="stop" operator="between" showDropDown="false" showErrorMessage="false" showInputMessage="false" sqref="C79" type="list">
      <formula1>"อบขาว,ดำ"</formula1>
      <formula2>0</formula2>
    </dataValidation>
    <dataValidation allowBlank="true" errorStyle="stop" operator="between" showDropDown="false" showErrorMessage="false" showInputMessage="false" sqref="C80" type="list">
      <formula1>$BD$1:$BD$4</formula1>
      <formula2>0</formula2>
    </dataValidation>
    <dataValidation allowBlank="true" errorStyle="stop" operator="between" showDropDown="false" showErrorMessage="false" showInputMessage="false" sqref="C81" type="list">
      <formula1>$BD$1:$BD$4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2026-07-02T02:38:31Z</dcterms:created>
  <dc:creator>openpyxl</dc:creator>
  <dc:description/>
  <dc:language>en-US</dc:language>
  <cp:lastModifiedBy/>
  <dcterms:modified xsi:type="dcterms:W3CDTF">2026-07-22T04:09:44Z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