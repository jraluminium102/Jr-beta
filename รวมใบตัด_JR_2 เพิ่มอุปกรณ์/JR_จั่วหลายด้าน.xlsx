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จั่วตรง" sheetId="1" state="visible" r:id="rId1"/>
    <sheet xmlns:r="http://schemas.openxmlformats.org/officeDocument/2006/relationships" name="จั่วหลายด้า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9"/>
    </font>
    <font>
      <name val="Tahoma"/>
      <sz val="9"/>
    </font>
    <font>
      <name val="Tahoma"/>
      <b val="1"/>
      <sz val="12"/>
    </font>
    <font>
      <name val="Tahoma"/>
      <b val="1"/>
      <sz val="10"/>
    </font>
    <font>
      <name val="Tahoma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8" fillId="6" borderId="1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pivotButton="0" quotePrefix="0" xfId="0"/>
    <xf numFmtId="0" fontId="7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22" customWidth="1" min="4" max="4"/>
    <col width="12" customWidth="1" min="5" max="5"/>
  </cols>
  <sheetData>
    <row r="1">
      <c r="A1" s="18" t="inlineStr">
        <is>
          <t>JR — ใบตัดจั่วตรง (1 ช่วง)</t>
        </is>
      </c>
      <c r="B1" s="10" t="n"/>
      <c r="C1" s="10" t="n"/>
      <c r="D1" s="10" t="n"/>
      <c r="E1" s="10" t="n"/>
    </row>
    <row r="2">
      <c r="A2" s="10" t="n"/>
      <c r="B2" s="10" t="n"/>
      <c r="C2" s="10" t="n"/>
      <c r="D2" s="10" t="n"/>
      <c r="E2" s="10" t="n"/>
    </row>
    <row r="3">
      <c r="A3" s="19" t="inlineStr">
        <is>
          <t>ชนิดแผ่น</t>
        </is>
      </c>
      <c r="B3" s="20" t="inlineStr">
        <is>
          <t>ไวนิล</t>
        </is>
      </c>
      <c r="C3" s="10" t="n"/>
      <c r="D3" s="19" t="inlineStr">
        <is>
          <t>จันทันเต็ม</t>
        </is>
      </c>
      <c r="E3" s="21">
        <f>ROUND(SQRT((B4/2)^2+B6^2),1)</f>
        <v/>
      </c>
    </row>
    <row r="4">
      <c r="A4" s="19" t="inlineStr">
        <is>
          <t>กว้าง</t>
        </is>
      </c>
      <c r="B4" s="20" t="n">
        <v>400</v>
      </c>
      <c r="C4" s="10" t="n"/>
      <c r="D4" s="19" t="inlineStr">
        <is>
          <t>จำนวนชุดจันทัน/ฝั่ง</t>
        </is>
      </c>
      <c r="E4" s="21">
        <f>CEILING(B5/VLOOKUP(B3,$A$31:$C$36,2,0),1)+1</f>
        <v/>
      </c>
    </row>
    <row r="5">
      <c r="A5" s="19" t="inlineStr">
        <is>
          <t>ยื่น</t>
        </is>
      </c>
      <c r="B5" s="20" t="n">
        <v>300</v>
      </c>
      <c r="C5" s="10" t="n"/>
      <c r="D5" s="19" t="inlineStr">
        <is>
          <t>ระยะห่างชุดจันทัน</t>
        </is>
      </c>
      <c r="E5" s="21">
        <f>ROUND(B5/(E4-1),2)</f>
        <v/>
      </c>
    </row>
    <row r="6">
      <c r="A6" s="19" t="inlineStr">
        <is>
          <t>สูงสัน</t>
        </is>
      </c>
      <c r="B6" s="20" t="n">
        <v>60</v>
      </c>
      <c r="C6" s="10" t="n"/>
      <c r="D6" s="19" t="inlineStr">
        <is>
          <t>หัก</t>
        </is>
      </c>
      <c r="E6" s="21">
        <f>IF(B8="รางน้ำ",$B$40,$B$41)</f>
        <v/>
      </c>
    </row>
    <row r="7">
      <c r="A7" s="19" t="inlineStr">
        <is>
          <t>แป</t>
        </is>
      </c>
      <c r="B7" s="20" t="inlineStr">
        <is>
          <t>แปคู่</t>
        </is>
      </c>
      <c r="C7" s="10" t="n"/>
      <c r="D7" s="19" t="inlineStr">
        <is>
          <t>จันทันตัด</t>
        </is>
      </c>
      <c r="E7" s="21">
        <f>ROUND(E3-E6,1)</f>
        <v/>
      </c>
    </row>
    <row r="8">
      <c r="A8" s="19" t="inlineStr">
        <is>
          <t>ปลาย</t>
        </is>
      </c>
      <c r="B8" s="20" t="inlineStr">
        <is>
          <t>รางน้ำ</t>
        </is>
      </c>
      <c r="C8" s="10" t="n"/>
      <c r="D8" s="19" t="inlineStr">
        <is>
          <t>ชั้นแป</t>
        </is>
      </c>
      <c r="E8" s="21">
        <f>CEILING((B4/2)/$B$38,1)+1</f>
        <v/>
      </c>
    </row>
    <row r="9">
      <c r="A9" s="10" t="n"/>
      <c r="B9" s="10" t="n"/>
      <c r="C9" s="10" t="n"/>
      <c r="D9" s="19" t="inlineStr">
        <is>
          <t>ช่องชุดจันทัน</t>
        </is>
      </c>
      <c r="E9" s="21">
        <f>E4-1</f>
        <v/>
      </c>
    </row>
    <row r="10">
      <c r="A10" s="10" t="n"/>
      <c r="B10" s="10" t="n"/>
      <c r="C10" s="10" t="n"/>
      <c r="D10" s="10" t="n"/>
      <c r="E10" s="10" t="n"/>
    </row>
    <row r="11">
      <c r="A11" s="19" t="inlineStr">
        <is>
          <t>③ รายการตัด</t>
        </is>
      </c>
      <c r="B11" s="10" t="n"/>
      <c r="C11" s="10" t="n"/>
      <c r="D11" s="10" t="n"/>
      <c r="E11" s="10" t="n"/>
    </row>
    <row r="12">
      <c r="A12" s="22" t="inlineStr">
        <is>
          <t>รายการ</t>
        </is>
      </c>
      <c r="B12" s="22" t="inlineStr">
        <is>
          <t>ยาว</t>
        </is>
      </c>
      <c r="C12" s="22" t="inlineStr">
        <is>
          <t>จำนวน</t>
        </is>
      </c>
      <c r="D12" s="22" t="inlineStr">
        <is>
          <t>โปรไฟล์</t>
        </is>
      </c>
      <c r="E12" s="10" t="n"/>
    </row>
    <row r="13">
      <c r="A13" s="23" t="inlineStr">
        <is>
          <t>จันทัน (2 ฝั่ง)</t>
        </is>
      </c>
      <c r="B13" s="24">
        <f>E7</f>
        <v/>
      </c>
      <c r="C13" s="25">
        <f>2*E4</f>
        <v/>
      </c>
      <c r="D13" s="23" t="inlineStr">
        <is>
          <t>1.6×4</t>
        </is>
      </c>
      <c r="E13" s="10" t="n"/>
    </row>
    <row r="14">
      <c r="A14" s="23" t="inlineStr">
        <is>
          <t>สัน/อกไก่</t>
        </is>
      </c>
      <c r="B14" s="24">
        <f>ROUND(($B$5-$B$44)/CEILING(($B$5-$B$44)/$B$42,1),1)</f>
        <v/>
      </c>
      <c r="C14" s="25">
        <f>1*CEILING(($B$5-$B$44)/$B$42,1)</f>
        <v/>
      </c>
      <c r="D14" s="23" t="inlineStr">
        <is>
          <t>4×4</t>
        </is>
      </c>
      <c r="E14" s="10" t="n"/>
    </row>
    <row r="15">
      <c r="A15" s="23" t="inlineStr">
        <is>
          <t>คานตัว T คานนอน</t>
        </is>
      </c>
      <c r="B15" s="24">
        <f>ROUND($B$4-$B$45,1)</f>
        <v/>
      </c>
      <c r="C15" s="25">
        <f>E4-1</f>
        <v/>
      </c>
      <c r="D15" s="23" t="inlineStr">
        <is>
          <t>4×4</t>
        </is>
      </c>
      <c r="E15" s="10" t="n"/>
    </row>
    <row r="16">
      <c r="A16" s="23" t="inlineStr">
        <is>
          <t>คานตัว T เสาตั้ง</t>
        </is>
      </c>
      <c r="B16" s="24">
        <f>ROUND($B$6-$B$46,1)</f>
        <v/>
      </c>
      <c r="C16" s="25">
        <f>E4-1</f>
        <v/>
      </c>
      <c r="D16" s="23" t="inlineStr">
        <is>
          <t>4×4</t>
        </is>
      </c>
      <c r="E16" s="10" t="n"/>
    </row>
    <row r="17">
      <c r="A17" s="23" t="inlineStr">
        <is>
          <t>แป</t>
        </is>
      </c>
      <c r="B17" s="24">
        <f>ROUND(E5-$B$39,1)</f>
        <v/>
      </c>
      <c r="C17" s="25">
        <f>E9*E8*2*IF($B$7="แปคู่",2,1)</f>
        <v/>
      </c>
      <c r="D17" s="23" t="inlineStr">
        <is>
          <t>1×1½</t>
        </is>
      </c>
      <c r="E17" s="10" t="n"/>
    </row>
    <row r="18">
      <c r="A18" s="23" t="inlineStr">
        <is>
          <t>รางน้ำอลู</t>
        </is>
      </c>
      <c r="B18" s="24">
        <f>ROUND($B$5/CEILING($B$5/$B$42,1),1)</f>
        <v/>
      </c>
      <c r="C18" s="25">
        <f>IF($B$8="รางน้ำ",2*CEILING($B$5/$B$42,1),0)</f>
        <v/>
      </c>
      <c r="D18" s="23" t="inlineStr">
        <is>
          <t>ราง</t>
        </is>
      </c>
      <c r="E18" s="10" t="n"/>
    </row>
    <row r="19">
      <c r="A19" s="23" t="inlineStr">
        <is>
          <t>รัดรอบ 4×4 (แนวยื่น 2 ข้าง)</t>
        </is>
      </c>
      <c r="B19" s="24">
        <f>ROUND(($B$5)/CEILING(($B$5)/$B$42,1),1)</f>
        <v/>
      </c>
      <c r="C19" s="25">
        <f>2*CEILING(($B$5)/$B$42,1)</f>
        <v/>
      </c>
      <c r="D19" s="23" t="inlineStr">
        <is>
          <t>4×4</t>
        </is>
      </c>
      <c r="E19" s="10" t="n"/>
    </row>
    <row r="20">
      <c r="A20" s="23" t="inlineStr">
        <is>
          <t>รัดรอบ 4×4 (แนวกว้าง ปลาย)</t>
        </is>
      </c>
      <c r="B20" s="24">
        <f>ROUND(($B$4)/CEILING(($B$4)/$B$42,1),1)</f>
        <v/>
      </c>
      <c r="C20" s="25">
        <f>1*CEILING(($B$4)/$B$42,1)</f>
        <v/>
      </c>
      <c r="D20" s="23" t="inlineStr">
        <is>
          <t>4×4</t>
        </is>
      </c>
      <c r="E20" s="10" t="n"/>
    </row>
    <row r="21">
      <c r="A21" s="23" t="inlineStr">
        <is>
          <t>แผ่นหลังคา (2 สโลป)</t>
        </is>
      </c>
      <c r="B21" s="24">
        <f>E3</f>
        <v/>
      </c>
      <c r="C21" s="25">
        <f>2*CEILING(B5/VLOOKUP(B3,$A$31:$C$36,3,0),1)</f>
        <v/>
      </c>
      <c r="D21" s="23" t="inlineStr">
        <is>
          <t>ตามชนิด</t>
        </is>
      </c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9" t="n"/>
      <c r="B29" s="10" t="n"/>
      <c r="C29" s="10" t="n"/>
      <c r="D29" s="10" t="n"/>
      <c r="E29" s="10" t="n"/>
    </row>
    <row r="30">
      <c r="A30" s="22" t="inlineStr">
        <is>
          <t>ชนิดแผ่น</t>
        </is>
      </c>
      <c r="B30" s="22" t="inlineStr">
        <is>
          <t>max</t>
        </is>
      </c>
      <c r="C30" s="22" t="inlineStr">
        <is>
          <t>กว้าง/แผ่น</t>
        </is>
      </c>
      <c r="D30" s="10" t="n"/>
      <c r="E30" s="10" t="n"/>
    </row>
    <row r="31">
      <c r="A31" s="23" t="inlineStr">
        <is>
          <t>ไวนิล</t>
        </is>
      </c>
      <c r="B31" s="20" t="n">
        <v>100</v>
      </c>
      <c r="C31" s="20" t="n">
        <v>25</v>
      </c>
      <c r="D31" s="10" t="n"/>
      <c r="E31" s="10" t="n"/>
    </row>
    <row r="32">
      <c r="A32" s="23" t="inlineStr">
        <is>
          <t>ดีไลท์</t>
        </is>
      </c>
      <c r="B32" s="20" t="n">
        <v>100</v>
      </c>
      <c r="C32" s="20" t="n">
        <v>100</v>
      </c>
      <c r="D32" s="10" t="n"/>
      <c r="E32" s="10" t="n"/>
    </row>
    <row r="33">
      <c r="A33" s="23" t="inlineStr">
        <is>
          <t>เมทัลชีท</t>
        </is>
      </c>
      <c r="B33" s="20" t="n">
        <v>100</v>
      </c>
      <c r="C33" s="20" t="n">
        <v>34</v>
      </c>
      <c r="D33" s="10" t="n"/>
      <c r="E33" s="10" t="n"/>
    </row>
    <row r="34">
      <c r="A34" s="23" t="inlineStr">
        <is>
          <t>โพลีตัน</t>
        </is>
      </c>
      <c r="B34" s="20" t="n">
        <v>122</v>
      </c>
      <c r="C34" s="20" t="n">
        <v>122</v>
      </c>
      <c r="D34" s="10" t="n"/>
      <c r="E34" s="10" t="n"/>
    </row>
    <row r="35">
      <c r="A35" s="23" t="inlineStr">
        <is>
          <t>ชินโคร์ HC</t>
        </is>
      </c>
      <c r="B35" s="20" t="n">
        <v>138</v>
      </c>
      <c r="C35" s="20" t="n">
        <v>138</v>
      </c>
      <c r="D35" s="10" t="n"/>
      <c r="E35" s="10" t="n"/>
    </row>
    <row r="36">
      <c r="A36" s="23" t="inlineStr">
        <is>
          <t>ชินโคร์ Sup</t>
        </is>
      </c>
      <c r="B36" s="20" t="n">
        <v>138</v>
      </c>
      <c r="C36" s="20" t="n">
        <v>138</v>
      </c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9" t="inlineStr">
        <is>
          <t>แป max</t>
        </is>
      </c>
      <c r="B38" s="20" t="n">
        <v>50</v>
      </c>
      <c r="C38" s="10" t="n"/>
      <c r="D38" s="10" t="n"/>
      <c r="E38" s="10" t="n"/>
    </row>
    <row r="39">
      <c r="A39" s="19" t="inlineStr">
        <is>
          <t>แป หนา</t>
        </is>
      </c>
      <c r="B39" s="20" t="n">
        <v>4.5</v>
      </c>
      <c r="C39" s="10" t="n"/>
      <c r="D39" s="10" t="n"/>
      <c r="E39" s="10" t="n"/>
    </row>
    <row r="40">
      <c r="A40" s="19" t="inlineStr">
        <is>
          <t>หัก รางน้ำ</t>
        </is>
      </c>
      <c r="B40" s="20" t="n">
        <v>10.2</v>
      </c>
      <c r="C40" s="10" t="n"/>
      <c r="D40" s="10" t="n"/>
      <c r="E40" s="10" t="n"/>
    </row>
    <row r="41">
      <c r="A41" s="19" t="inlineStr">
        <is>
          <t>หัก ปล่อยปลาย</t>
        </is>
      </c>
      <c r="B41" s="20" t="n">
        <v>10</v>
      </c>
      <c r="C41" s="10" t="n"/>
      <c r="D41" s="10" t="n"/>
      <c r="E41" s="10" t="n"/>
    </row>
    <row r="42">
      <c r="A42" s="19" t="inlineStr">
        <is>
          <t>เส้นสต็อก (ซม.)</t>
        </is>
      </c>
      <c r="B42" s="33" t="n">
        <v>600</v>
      </c>
    </row>
    <row r="43">
      <c r="A43" s="10" t="inlineStr">
        <is>
          <t>หมายเหตุ: หักสัน/คานT ที่แผงล่าง · รัดรอบ=ยื่น2+กว้าง1(เว้นผนัง) · เส้นต่อเนื่อง&gt;สต็อก หารเป็นเส้น</t>
        </is>
      </c>
    </row>
    <row r="44">
      <c r="A44" s="19" t="inlineStr">
        <is>
          <t>สัน −</t>
        </is>
      </c>
      <c r="B44" s="33" t="n">
        <v>10.2</v>
      </c>
    </row>
    <row r="45">
      <c r="A45" s="19" t="inlineStr">
        <is>
          <t>คาน T นอน −</t>
        </is>
      </c>
      <c r="B45" s="33" t="n">
        <v>20.4</v>
      </c>
    </row>
    <row r="46">
      <c r="A46" s="19" t="inlineStr">
        <is>
          <t>คาน T ตั้ง −</t>
        </is>
      </c>
      <c r="B46" s="33" t="n">
        <v>10.2</v>
      </c>
    </row>
  </sheetData>
  <dataValidations count="3"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7" showDropDown="0" showInputMessage="0" showErrorMessage="0" allowBlank="0" type="list">
      <formula1>"แปเดี่ยว,แปคู่"</formula1>
    </dataValidation>
    <dataValidation sqref="B8" showDropDown="0" showInputMessage="0" showErrorMessage="0" allowBlank="0" type="list">
      <formula1>"รางน้ำ,ปล่อยปลาย"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2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7" customWidth="1" min="4" max="4"/>
    <col width="8" customWidth="1" min="5" max="5"/>
    <col width="11" customWidth="1" min="6" max="6"/>
    <col width="11" customWidth="1" min="7" max="7"/>
    <col width="8" customWidth="1" min="8" max="8"/>
    <col width="9" customWidth="1" min="9" max="9"/>
    <col width="7" customWidth="1" min="10" max="10"/>
    <col width="10" customWidth="1" min="11" max="11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</cols>
  <sheetData>
    <row r="1">
      <c r="A1" s="26" t="inlineStr">
        <is>
          <t>JR — ใบตัดจั่วหลายด้าน (สันต่อเนื่องหักมุม · 2 สโลป) · ซม.</t>
        </is>
      </c>
    </row>
    <row r="2">
      <c r="A2" s="2" t="inlineStr">
        <is>
          <t>① ค่ารวม (เหลือง)</t>
        </is>
      </c>
    </row>
    <row r="3">
      <c r="A3" s="3" t="inlineStr">
        <is>
          <t>ชนิดแผ่น</t>
        </is>
      </c>
      <c r="B3" s="4" t="inlineStr">
        <is>
          <t>ไวนิล</t>
        </is>
      </c>
      <c r="D3" s="5" t="inlineStr">
        <is>
          <t>ตก (สโลป)</t>
        </is>
      </c>
      <c r="E3" s="6">
        <f>B5</f>
        <v/>
      </c>
    </row>
    <row r="4">
      <c r="A4" s="27" t="inlineStr">
        <is>
          <t>กว้าง (ลึก 2 สโลป)</t>
        </is>
      </c>
      <c r="B4" s="28" t="n">
        <v>400</v>
      </c>
    </row>
    <row r="5">
      <c r="A5" s="27" t="inlineStr">
        <is>
          <t>สูงสัน</t>
        </is>
      </c>
      <c r="B5" s="28" t="n">
        <v>60</v>
      </c>
    </row>
    <row r="6">
      <c r="A6" s="3" t="inlineStr">
        <is>
          <t>ปลายหลังคา</t>
        </is>
      </c>
      <c r="B6" s="4" t="inlineStr">
        <is>
          <t>รางน้ำ</t>
        </is>
      </c>
    </row>
    <row r="7">
      <c r="A7" s="13" t="inlineStr">
        <is>
          <t>แป</t>
        </is>
      </c>
      <c r="B7" s="14" t="inlineStr">
        <is>
          <t>แปคู่</t>
        </is>
      </c>
    </row>
    <row r="8">
      <c r="A8" s="2" t="inlineStr">
        <is>
          <t>② แต่ละด้าน — กรอก กว้าง+ยื่น · ที่เหลือคิดเอง (ต่อ 1 ด้าน)</t>
        </is>
      </c>
      <c r="M8" s="19" t="inlineStr">
        <is>
          <t>③.5 จันทันรายตัว/สโลป — ยาวตัดจริง (หักปลาย ⑤) · 0=ชนตะเข้</t>
        </is>
      </c>
    </row>
    <row r="9">
      <c r="A9" s="7" t="inlineStr">
        <is>
          <t>ด้าน</t>
        </is>
      </c>
      <c r="B9" s="7" t="inlineStr">
        <is>
          <t>ยื่น(ยาวช่วง)</t>
        </is>
      </c>
      <c r="C9" s="7" t="inlineStr">
        <is>
          <t>กว้าง/2(อัตโนมัติ)</t>
        </is>
      </c>
      <c r="D9" s="7" t="inlineStr">
        <is>
          <t>องศา</t>
        </is>
      </c>
      <c r="E9" s="7" t="inlineStr">
        <is>
          <t>จันทัน</t>
        </is>
      </c>
      <c r="F9" s="7" t="inlineStr">
        <is>
          <t>จำนวนจันทัน</t>
        </is>
      </c>
      <c r="G9" s="7" t="inlineStr">
        <is>
          <t>จันทันซอย(ใน)</t>
        </is>
      </c>
      <c r="H9" s="7" t="inlineStr">
        <is>
          <t>แป ยาว</t>
        </is>
      </c>
      <c r="I9" s="7" t="inlineStr">
        <is>
          <t>แป จำนวน</t>
        </is>
      </c>
      <c r="J9" s="7" t="inlineStr">
        <is>
          <t>ปลาย (ราง)</t>
        </is>
      </c>
      <c r="K9" s="7" t="inlineStr">
        <is>
          <t>แผ่น จำนวน</t>
        </is>
      </c>
      <c r="L9" t="inlineStr">
        <is>
          <t>jack(สั้น)</t>
        </is>
      </c>
      <c r="M9" s="34" t="inlineStr">
        <is>
          <t>จ1</t>
        </is>
      </c>
      <c r="N9" s="34" t="inlineStr">
        <is>
          <t>จ2</t>
        </is>
      </c>
      <c r="O9" s="34" t="inlineStr">
        <is>
          <t>จ3</t>
        </is>
      </c>
      <c r="P9" s="34" t="inlineStr">
        <is>
          <t>จ4</t>
        </is>
      </c>
      <c r="Q9" s="34" t="inlineStr">
        <is>
          <t>จ5</t>
        </is>
      </c>
      <c r="R9" s="34" t="inlineStr">
        <is>
          <t>จ6</t>
        </is>
      </c>
      <c r="S9" s="34" t="inlineStr">
        <is>
          <t>จ7</t>
        </is>
      </c>
      <c r="T9" s="34" t="inlineStr">
        <is>
          <t>จ8</t>
        </is>
      </c>
      <c r="U9" s="34" t="inlineStr">
        <is>
          <t>จ9</t>
        </is>
      </c>
      <c r="V9" s="34" t="inlineStr">
        <is>
          <t>จ10</t>
        </is>
      </c>
      <c r="W9" s="34" t="inlineStr">
        <is>
          <t>จ11</t>
        </is>
      </c>
      <c r="X9" s="34" t="inlineStr">
        <is>
          <t>จ12</t>
        </is>
      </c>
      <c r="Y9" s="34" t="inlineStr">
        <is>
          <t>จ13</t>
        </is>
      </c>
      <c r="Z9" s="34" t="inlineStr">
        <is>
          <t>จ14</t>
        </is>
      </c>
      <c r="AA9" s="34" t="inlineStr">
        <is>
          <t>จ15</t>
        </is>
      </c>
      <c r="AB9" s="34" t="inlineStr">
        <is>
          <t>จ16</t>
        </is>
      </c>
    </row>
    <row r="10">
      <c r="A10" s="8" t="n">
        <v>1</v>
      </c>
      <c r="B10" s="29" t="n">
        <v>400</v>
      </c>
      <c r="C10" s="30">
        <f>IF(B10="","",$B$4/2)</f>
        <v/>
      </c>
      <c r="D10" s="8">
        <f>IF(C10="","",ROUND(DEGREES(ATAN($E$3/C10)),1))</f>
        <v/>
      </c>
      <c r="E10" s="8">
        <f>IF(C10="","",ROUND(SQRT(C10^2+$E$3^2),1))</f>
        <v/>
      </c>
      <c r="F10" s="8">
        <f>IF(B10="","",CEILING(J10/VLOOKUP($B$3,$A$39:$C$44,2,0),1)+1)</f>
        <v/>
      </c>
      <c r="G10" s="8">
        <f>IF(B10="","",MAX(COUNTIF(BH10:BW10,E10)-(IF(AD10=0,1,0)+IF(AE10=0,1,0)),0))</f>
        <v/>
      </c>
      <c r="H10" s="8">
        <f>IF(B10="","",ROUND((J10-F10*$B$47)/(F10-1),1))</f>
        <v/>
      </c>
      <c r="I10" s="8">
        <f>IF(B10="","",SUM(AI10:AW10)*IF($B$7="แปคู่",2,1))</f>
        <v/>
      </c>
      <c r="J10" s="8">
        <f>IF(B10="","",B10+AD10+AE10)</f>
        <v/>
      </c>
      <c r="K10" s="8">
        <f>IF(B10="","",CEILING(J10/VLOOKUP($B$3,$A$39:$C$44,3,0),1))</f>
        <v/>
      </c>
      <c r="L10">
        <f>IF(B10="","",COUNTIFS(BH10:BW10,"&gt;0",BH10:BW10,"&lt;"&amp;E10))</f>
        <v/>
      </c>
      <c r="M10" s="35">
        <f>IF(BH10="","",IF(BH10&lt;=0,0,MAX(ROUND(BH10-$B$52,1),0)))</f>
        <v/>
      </c>
      <c r="N10" s="35">
        <f>IF(BI10="","",IF(BI10&lt;=0,0,MAX(ROUND(BI10-$B$52,1),0)))</f>
        <v/>
      </c>
      <c r="O10" s="35">
        <f>IF(BJ10="","",IF(BJ10&lt;=0,0,MAX(ROUND(BJ10-$B$52,1),0)))</f>
        <v/>
      </c>
      <c r="P10" s="35">
        <f>IF(BK10="","",IF(BK10&lt;=0,0,MAX(ROUND(BK10-$B$52,1),0)))</f>
        <v/>
      </c>
      <c r="Q10" s="35">
        <f>IF(BL10="","",IF(BL10&lt;=0,0,MAX(ROUND(BL10-$B$52,1),0)))</f>
        <v/>
      </c>
      <c r="R10" s="35">
        <f>IF(BM10="","",IF(BM10&lt;=0,0,MAX(ROUND(BM10-$B$52,1),0)))</f>
        <v/>
      </c>
      <c r="S10" s="35">
        <f>IF(BN10="","",IF(BN10&lt;=0,0,MAX(ROUND(BN10-$B$52,1),0)))</f>
        <v/>
      </c>
      <c r="T10" s="35">
        <f>IF(BO10="","",IF(BO10&lt;=0,0,MAX(ROUND(BO10-$B$52,1),0)))</f>
        <v/>
      </c>
      <c r="U10" s="35">
        <f>IF(BP10="","",IF(BP10&lt;=0,0,MAX(ROUND(BP10-$B$52,1),0)))</f>
        <v/>
      </c>
      <c r="V10" s="35">
        <f>IF(BQ10="","",IF(BQ10&lt;=0,0,MAX(ROUND(BQ10-$B$52,1),0)))</f>
        <v/>
      </c>
      <c r="W10" s="35">
        <f>IF(BR10="","",IF(BR10&lt;=0,0,MAX(ROUND(BR10-$B$52,1),0)))</f>
        <v/>
      </c>
      <c r="X10" s="35">
        <f>IF(BS10="","",IF(BS10&lt;=0,0,MAX(ROUND(BS10-$B$52,1),0)))</f>
        <v/>
      </c>
      <c r="Y10" s="35">
        <f>IF(BT10="","",IF(BT10&lt;=0,0,MAX(ROUND(BT10-$B$52,1),0)))</f>
        <v/>
      </c>
      <c r="Z10" s="35">
        <f>IF(BU10="","",IF(BU10&lt;=0,0,MAX(ROUND(BU10-$B$52,1),0)))</f>
        <v/>
      </c>
      <c r="AA10" s="35">
        <f>IF(BV10="","",IF(BV10&lt;=0,0,MAX(ROUND(BV10-$B$52,1),0)))</f>
        <v/>
      </c>
      <c r="AB10" s="35">
        <f>IF(BW10="","",IF(BW10&lt;=0,0,MAX(ROUND(BW10-$B$52,1),0)))</f>
        <v/>
      </c>
      <c r="AD10">
        <f>IF(B10="","",0)</f>
        <v/>
      </c>
      <c r="AE10">
        <f>IF(B10="","",IF(B19="",0,IF(B11="",0,IF(B19="นูน",C11,IF(B19="เว้า",-C11,0)))))</f>
        <v/>
      </c>
      <c r="AF10">
        <f>IF(OR(B10="",F10&lt;=1),0,J10/(F10-1))</f>
        <v/>
      </c>
      <c r="AG10">
        <f>IF(B10="",0,AD10+B10)</f>
        <v/>
      </c>
      <c r="AH10">
        <f>IF(B10="","",CEILING(C10/$B$46,1)+1)</f>
        <v/>
      </c>
      <c r="AI10">
        <f>IF($B10="",0,IF(0&gt;$F10-2,0,MAX($AH10-CEILING(($AH10-1)*(1-MIN(BH10,BI10)/$E10),1),0)))</f>
        <v/>
      </c>
      <c r="AJ10">
        <f>IF($B10="",0,IF(1&gt;$F10-2,0,MAX($AH10-CEILING(($AH10-1)*(1-MIN(BI10,BJ10)/$E10),1),0)))</f>
        <v/>
      </c>
      <c r="AK10">
        <f>IF($B10="",0,IF(2&gt;$F10-2,0,MAX($AH10-CEILING(($AH10-1)*(1-MIN(BJ10,BK10)/$E10),1),0)))</f>
        <v/>
      </c>
      <c r="AL10">
        <f>IF($B10="",0,IF(3&gt;$F10-2,0,MAX($AH10-CEILING(($AH10-1)*(1-MIN(BK10,BL10)/$E10),1),0)))</f>
        <v/>
      </c>
      <c r="AM10">
        <f>IF($B10="",0,IF(4&gt;$F10-2,0,MAX($AH10-CEILING(($AH10-1)*(1-MIN(BL10,BM10)/$E10),1),0)))</f>
        <v/>
      </c>
      <c r="AN10">
        <f>IF($B10="",0,IF(5&gt;$F10-2,0,MAX($AH10-CEILING(($AH10-1)*(1-MIN(BM10,BN10)/$E10),1),0)))</f>
        <v/>
      </c>
      <c r="AO10">
        <f>IF($B10="",0,IF(6&gt;$F10-2,0,MAX($AH10-CEILING(($AH10-1)*(1-MIN(BN10,BO10)/$E10),1),0)))</f>
        <v/>
      </c>
      <c r="AP10">
        <f>IF($B10="",0,IF(7&gt;$F10-2,0,MAX($AH10-CEILING(($AH10-1)*(1-MIN(BO10,BP10)/$E10),1),0)))</f>
        <v/>
      </c>
      <c r="AQ10">
        <f>IF($B10="",0,IF(8&gt;$F10-2,0,MAX($AH10-CEILING(($AH10-1)*(1-MIN(BP10,BQ10)/$E10),1),0)))</f>
        <v/>
      </c>
      <c r="AR10">
        <f>IF($B10="",0,IF(9&gt;$F10-2,0,MAX($AH10-CEILING(($AH10-1)*(1-MIN(BQ10,BR10)/$E10),1),0)))</f>
        <v/>
      </c>
      <c r="AS10">
        <f>IF($B10="",0,IF(10&gt;$F10-2,0,MAX($AH10-CEILING(($AH10-1)*(1-MIN(BR10,BS10)/$E10),1),0)))</f>
        <v/>
      </c>
      <c r="AT10">
        <f>IF($B10="",0,IF(11&gt;$F10-2,0,MAX($AH10-CEILING(($AH10-1)*(1-MIN(BS10,BT10)/$E10),1),0)))</f>
        <v/>
      </c>
      <c r="AU10">
        <f>IF($B10="",0,IF(12&gt;$F10-2,0,MAX($AH10-CEILING(($AH10-1)*(1-MIN(BT10,BU10)/$E10),1),0)))</f>
        <v/>
      </c>
      <c r="AV10">
        <f>IF($B10="",0,IF(13&gt;$F10-2,0,MAX($AH10-CEILING(($AH10-1)*(1-MIN(BU10,BV10)/$E10),1),0)))</f>
        <v/>
      </c>
      <c r="AW10">
        <f>IF($B10="",0,IF(14&gt;$F10-2,0,MAX($AH10-CEILING(($AH10-1)*(1-MIN(BV10,BW10)/$E10),1),0)))</f>
        <v/>
      </c>
      <c r="BH10">
        <f>IF($B10="","",IF(0&gt;$F10-1,"",ROUND($E10*MIN(1,IF($AD10=0,1,(0*$AF10)/ABS($AD10)),IF($AE10=0,1,($J10-0*$AF10)/ABS($AE10))),1)))</f>
        <v/>
      </c>
      <c r="BI10">
        <f>IF($B10="","",IF(1&gt;$F10-1,"",ROUND($E10*MIN(1,IF($AD10=0,1,(1*$AF10)/ABS($AD10)),IF($AE10=0,1,($J10-1*$AF10)/ABS($AE10))),1)))</f>
        <v/>
      </c>
      <c r="BJ10">
        <f>IF($B10="","",IF(2&gt;$F10-1,"",ROUND($E10*MIN(1,IF($AD10=0,1,(2*$AF10)/ABS($AD10)),IF($AE10=0,1,($J10-2*$AF10)/ABS($AE10))),1)))</f>
        <v/>
      </c>
      <c r="BK10">
        <f>IF($B10="","",IF(3&gt;$F10-1,"",ROUND($E10*MIN(1,IF($AD10=0,1,(3*$AF10)/ABS($AD10)),IF($AE10=0,1,($J10-3*$AF10)/ABS($AE10))),1)))</f>
        <v/>
      </c>
      <c r="BL10">
        <f>IF($B10="","",IF(4&gt;$F10-1,"",ROUND($E10*MIN(1,IF($AD10=0,1,(4*$AF10)/ABS($AD10)),IF($AE10=0,1,($J10-4*$AF10)/ABS($AE10))),1)))</f>
        <v/>
      </c>
      <c r="BM10">
        <f>IF($B10="","",IF(5&gt;$F10-1,"",ROUND($E10*MIN(1,IF($AD10=0,1,(5*$AF10)/ABS($AD10)),IF($AE10=0,1,($J10-5*$AF10)/ABS($AE10))),1)))</f>
        <v/>
      </c>
      <c r="BN10">
        <f>IF($B10="","",IF(6&gt;$F10-1,"",ROUND($E10*MIN(1,IF($AD10=0,1,(6*$AF10)/ABS($AD10)),IF($AE10=0,1,($J10-6*$AF10)/ABS($AE10))),1)))</f>
        <v/>
      </c>
      <c r="BO10">
        <f>IF($B10="","",IF(7&gt;$F10-1,"",ROUND($E10*MIN(1,IF($AD10=0,1,(7*$AF10)/ABS($AD10)),IF($AE10=0,1,($J10-7*$AF10)/ABS($AE10))),1)))</f>
        <v/>
      </c>
      <c r="BP10">
        <f>IF($B10="","",IF(8&gt;$F10-1,"",ROUND($E10*MIN(1,IF($AD10=0,1,(8*$AF10)/ABS($AD10)),IF($AE10=0,1,($J10-8*$AF10)/ABS($AE10))),1)))</f>
        <v/>
      </c>
      <c r="BQ10">
        <f>IF($B10="","",IF(9&gt;$F10-1,"",ROUND($E10*MIN(1,IF($AD10=0,1,(9*$AF10)/ABS($AD10)),IF($AE10=0,1,($J10-9*$AF10)/ABS($AE10))),1)))</f>
        <v/>
      </c>
      <c r="BR10">
        <f>IF($B10="","",IF(10&gt;$F10-1,"",ROUND($E10*MIN(1,IF($AD10=0,1,(10*$AF10)/ABS($AD10)),IF($AE10=0,1,($J10-10*$AF10)/ABS($AE10))),1)))</f>
        <v/>
      </c>
      <c r="BS10">
        <f>IF($B10="","",IF(11&gt;$F10-1,"",ROUND($E10*MIN(1,IF($AD10=0,1,(11*$AF10)/ABS($AD10)),IF($AE10=0,1,($J10-11*$AF10)/ABS($AE10))),1)))</f>
        <v/>
      </c>
      <c r="BT10">
        <f>IF($B10="","",IF(12&gt;$F10-1,"",ROUND($E10*MIN(1,IF($AD10=0,1,(12*$AF10)/ABS($AD10)),IF($AE10=0,1,($J10-12*$AF10)/ABS($AE10))),1)))</f>
        <v/>
      </c>
      <c r="BU10">
        <f>IF($B10="","",IF(13&gt;$F10-1,"",ROUND($E10*MIN(1,IF($AD10=0,1,(13*$AF10)/ABS($AD10)),IF($AE10=0,1,($J10-13*$AF10)/ABS($AE10))),1)))</f>
        <v/>
      </c>
      <c r="BV10">
        <f>IF($B10="","",IF(14&gt;$F10-1,"",ROUND($E10*MIN(1,IF($AD10=0,1,(14*$AF10)/ABS($AD10)),IF($AE10=0,1,($J10-14*$AF10)/ABS($AE10))),1)))</f>
        <v/>
      </c>
      <c r="BW10">
        <f>IF($B10="","",IF(15&gt;$F10-1,"",ROUND($E10*MIN(1,IF($AD10=0,1,(15*$AF10)/ABS($AD10)),IF($AE10=0,1,($J10-15*$AF10)/ABS($AE10))),1)))</f>
        <v/>
      </c>
    </row>
    <row r="11">
      <c r="A11" s="8" t="n">
        <v>2</v>
      </c>
      <c r="B11" s="29" t="n">
        <v>300</v>
      </c>
      <c r="C11" s="30">
        <f>IF(B11="","",$B$4/2)</f>
        <v/>
      </c>
      <c r="D11" s="8">
        <f>IF(C11="","",ROUND(DEGREES(ATAN($E$3/C11)),1))</f>
        <v/>
      </c>
      <c r="E11" s="8">
        <f>IF(C11="","",ROUND(SQRT(C11^2+$E$3^2),1))</f>
        <v/>
      </c>
      <c r="F11" s="8">
        <f>IF(B11="","",CEILING(J11/VLOOKUP($B$3,$A$39:$C$44,2,0),1)+1)</f>
        <v/>
      </c>
      <c r="G11" s="8">
        <f>IF(B11="","",MAX(COUNTIF(BH11:BW11,E11)-(IF(AD11=0,1,0)+IF(AE11=0,1,0)),0))</f>
        <v/>
      </c>
      <c r="H11" s="8">
        <f>IF(B11="","",ROUND((J11-F11*$B$47)/(F11-1),1))</f>
        <v/>
      </c>
      <c r="I11" s="8">
        <f>IF(B11="","",SUM(AI11:AW11)*IF($B$7="แปคู่",2,1))</f>
        <v/>
      </c>
      <c r="J11" s="8">
        <f>IF(B11="","",B11+AD11+AE11)</f>
        <v/>
      </c>
      <c r="K11" s="8">
        <f>IF(B11="","",CEILING(J11/VLOOKUP($B$3,$A$39:$C$44,3,0),1))</f>
        <v/>
      </c>
      <c r="L11">
        <f>IF(B11="","",COUNTIFS(BH11:BW11,"&gt;0",BH11:BW11,"&lt;"&amp;E11))</f>
        <v/>
      </c>
      <c r="M11" s="35">
        <f>IF(BH11="","",IF(BH11&lt;=0,0,MAX(ROUND(BH11-$B$52,1),0)))</f>
        <v/>
      </c>
      <c r="N11" s="35">
        <f>IF(BI11="","",IF(BI11&lt;=0,0,MAX(ROUND(BI11-$B$52,1),0)))</f>
        <v/>
      </c>
      <c r="O11" s="35">
        <f>IF(BJ11="","",IF(BJ11&lt;=0,0,MAX(ROUND(BJ11-$B$52,1),0)))</f>
        <v/>
      </c>
      <c r="P11" s="35">
        <f>IF(BK11="","",IF(BK11&lt;=0,0,MAX(ROUND(BK11-$B$52,1),0)))</f>
        <v/>
      </c>
      <c r="Q11" s="35">
        <f>IF(BL11="","",IF(BL11&lt;=0,0,MAX(ROUND(BL11-$B$52,1),0)))</f>
        <v/>
      </c>
      <c r="R11" s="35">
        <f>IF(BM11="","",IF(BM11&lt;=0,0,MAX(ROUND(BM11-$B$52,1),0)))</f>
        <v/>
      </c>
      <c r="S11" s="35">
        <f>IF(BN11="","",IF(BN11&lt;=0,0,MAX(ROUND(BN11-$B$52,1),0)))</f>
        <v/>
      </c>
      <c r="T11" s="35">
        <f>IF(BO11="","",IF(BO11&lt;=0,0,MAX(ROUND(BO11-$B$52,1),0)))</f>
        <v/>
      </c>
      <c r="U11" s="35">
        <f>IF(BP11="","",IF(BP11&lt;=0,0,MAX(ROUND(BP11-$B$52,1),0)))</f>
        <v/>
      </c>
      <c r="V11" s="35">
        <f>IF(BQ11="","",IF(BQ11&lt;=0,0,MAX(ROUND(BQ11-$B$52,1),0)))</f>
        <v/>
      </c>
      <c r="W11" s="35">
        <f>IF(BR11="","",IF(BR11&lt;=0,0,MAX(ROUND(BR11-$B$52,1),0)))</f>
        <v/>
      </c>
      <c r="X11" s="35">
        <f>IF(BS11="","",IF(BS11&lt;=0,0,MAX(ROUND(BS11-$B$52,1),0)))</f>
        <v/>
      </c>
      <c r="Y11" s="35">
        <f>IF(BT11="","",IF(BT11&lt;=0,0,MAX(ROUND(BT11-$B$52,1),0)))</f>
        <v/>
      </c>
      <c r="Z11" s="35">
        <f>IF(BU11="","",IF(BU11&lt;=0,0,MAX(ROUND(BU11-$B$52,1),0)))</f>
        <v/>
      </c>
      <c r="AA11" s="35">
        <f>IF(BV11="","",IF(BV11&lt;=0,0,MAX(ROUND(BV11-$B$52,1),0)))</f>
        <v/>
      </c>
      <c r="AB11" s="35">
        <f>IF(BW11="","",IF(BW11&lt;=0,0,MAX(ROUND(BW11-$B$52,1),0)))</f>
        <v/>
      </c>
      <c r="AD11">
        <f>IF(B11="",0,IF(B10="",0,IF(B19="นูน",C10,IF(B19="เว้า",-C10,0))))</f>
        <v/>
      </c>
      <c r="AE11">
        <f>IF(B11="","",IF(B20="",0,IF(B12="",0,IF(B20="นูน",C12,IF(B20="เว้า",-C12,0)))))</f>
        <v/>
      </c>
      <c r="AF11">
        <f>IF(OR(B11="",F11&lt;=1),0,J11/(F11-1))</f>
        <v/>
      </c>
      <c r="AG11">
        <f>IF(B11="",0,AD11+B11)</f>
        <v/>
      </c>
      <c r="AH11">
        <f>IF(B11="","",CEILING(C11/$B$46,1)+1)</f>
        <v/>
      </c>
      <c r="AI11">
        <f>IF($B11="",0,IF(0&gt;$F11-2,0,MAX($AH11-CEILING(($AH11-1)*(1-MIN(BH11,BI11)/$E11),1),0)))</f>
        <v/>
      </c>
      <c r="AJ11">
        <f>IF($B11="",0,IF(1&gt;$F11-2,0,MAX($AH11-CEILING(($AH11-1)*(1-MIN(BI11,BJ11)/$E11),1),0)))</f>
        <v/>
      </c>
      <c r="AK11">
        <f>IF($B11="",0,IF(2&gt;$F11-2,0,MAX($AH11-CEILING(($AH11-1)*(1-MIN(BJ11,BK11)/$E11),1),0)))</f>
        <v/>
      </c>
      <c r="AL11">
        <f>IF($B11="",0,IF(3&gt;$F11-2,0,MAX($AH11-CEILING(($AH11-1)*(1-MIN(BK11,BL11)/$E11),1),0)))</f>
        <v/>
      </c>
      <c r="AM11">
        <f>IF($B11="",0,IF(4&gt;$F11-2,0,MAX($AH11-CEILING(($AH11-1)*(1-MIN(BL11,BM11)/$E11),1),0)))</f>
        <v/>
      </c>
      <c r="AN11">
        <f>IF($B11="",0,IF(5&gt;$F11-2,0,MAX($AH11-CEILING(($AH11-1)*(1-MIN(BM11,BN11)/$E11),1),0)))</f>
        <v/>
      </c>
      <c r="AO11">
        <f>IF($B11="",0,IF(6&gt;$F11-2,0,MAX($AH11-CEILING(($AH11-1)*(1-MIN(BN11,BO11)/$E11),1),0)))</f>
        <v/>
      </c>
      <c r="AP11">
        <f>IF($B11="",0,IF(7&gt;$F11-2,0,MAX($AH11-CEILING(($AH11-1)*(1-MIN(BO11,BP11)/$E11),1),0)))</f>
        <v/>
      </c>
      <c r="AQ11">
        <f>IF($B11="",0,IF(8&gt;$F11-2,0,MAX($AH11-CEILING(($AH11-1)*(1-MIN(BP11,BQ11)/$E11),1),0)))</f>
        <v/>
      </c>
      <c r="AR11">
        <f>IF($B11="",0,IF(9&gt;$F11-2,0,MAX($AH11-CEILING(($AH11-1)*(1-MIN(BQ11,BR11)/$E11),1),0)))</f>
        <v/>
      </c>
      <c r="AS11">
        <f>IF($B11="",0,IF(10&gt;$F11-2,0,MAX($AH11-CEILING(($AH11-1)*(1-MIN(BR11,BS11)/$E11),1),0)))</f>
        <v/>
      </c>
      <c r="AT11">
        <f>IF($B11="",0,IF(11&gt;$F11-2,0,MAX($AH11-CEILING(($AH11-1)*(1-MIN(BS11,BT11)/$E11),1),0)))</f>
        <v/>
      </c>
      <c r="AU11">
        <f>IF($B11="",0,IF(12&gt;$F11-2,0,MAX($AH11-CEILING(($AH11-1)*(1-MIN(BT11,BU11)/$E11),1),0)))</f>
        <v/>
      </c>
      <c r="AV11">
        <f>IF($B11="",0,IF(13&gt;$F11-2,0,MAX($AH11-CEILING(($AH11-1)*(1-MIN(BU11,BV11)/$E11),1),0)))</f>
        <v/>
      </c>
      <c r="AW11">
        <f>IF($B11="",0,IF(14&gt;$F11-2,0,MAX($AH11-CEILING(($AH11-1)*(1-MIN(BV11,BW11)/$E11),1),0)))</f>
        <v/>
      </c>
      <c r="BH11">
        <f>IF($B11="","",IF(0&gt;$F11-1,"",ROUND($E11*MIN(1,IF($AD11=0,1,(0*$AF11)/ABS($AD11)),IF($AE11=0,1,($J11-0*$AF11)/ABS($AE11))),1)))</f>
        <v/>
      </c>
      <c r="BI11">
        <f>IF($B11="","",IF(1&gt;$F11-1,"",ROUND($E11*MIN(1,IF($AD11=0,1,(1*$AF11)/ABS($AD11)),IF($AE11=0,1,($J11-1*$AF11)/ABS($AE11))),1)))</f>
        <v/>
      </c>
      <c r="BJ11">
        <f>IF($B11="","",IF(2&gt;$F11-1,"",ROUND($E11*MIN(1,IF($AD11=0,1,(2*$AF11)/ABS($AD11)),IF($AE11=0,1,($J11-2*$AF11)/ABS($AE11))),1)))</f>
        <v/>
      </c>
      <c r="BK11">
        <f>IF($B11="","",IF(3&gt;$F11-1,"",ROUND($E11*MIN(1,IF($AD11=0,1,(3*$AF11)/ABS($AD11)),IF($AE11=0,1,($J11-3*$AF11)/ABS($AE11))),1)))</f>
        <v/>
      </c>
      <c r="BL11">
        <f>IF($B11="","",IF(4&gt;$F11-1,"",ROUND($E11*MIN(1,IF($AD11=0,1,(4*$AF11)/ABS($AD11)),IF($AE11=0,1,($J11-4*$AF11)/ABS($AE11))),1)))</f>
        <v/>
      </c>
      <c r="BM11">
        <f>IF($B11="","",IF(5&gt;$F11-1,"",ROUND($E11*MIN(1,IF($AD11=0,1,(5*$AF11)/ABS($AD11)),IF($AE11=0,1,($J11-5*$AF11)/ABS($AE11))),1)))</f>
        <v/>
      </c>
      <c r="BN11">
        <f>IF($B11="","",IF(6&gt;$F11-1,"",ROUND($E11*MIN(1,IF($AD11=0,1,(6*$AF11)/ABS($AD11)),IF($AE11=0,1,($J11-6*$AF11)/ABS($AE11))),1)))</f>
        <v/>
      </c>
      <c r="BO11">
        <f>IF($B11="","",IF(7&gt;$F11-1,"",ROUND($E11*MIN(1,IF($AD11=0,1,(7*$AF11)/ABS($AD11)),IF($AE11=0,1,($J11-7*$AF11)/ABS($AE11))),1)))</f>
        <v/>
      </c>
      <c r="BP11">
        <f>IF($B11="","",IF(8&gt;$F11-1,"",ROUND($E11*MIN(1,IF($AD11=0,1,(8*$AF11)/ABS($AD11)),IF($AE11=0,1,($J11-8*$AF11)/ABS($AE11))),1)))</f>
        <v/>
      </c>
      <c r="BQ11">
        <f>IF($B11="","",IF(9&gt;$F11-1,"",ROUND($E11*MIN(1,IF($AD11=0,1,(9*$AF11)/ABS($AD11)),IF($AE11=0,1,($J11-9*$AF11)/ABS($AE11))),1)))</f>
        <v/>
      </c>
      <c r="BR11">
        <f>IF($B11="","",IF(10&gt;$F11-1,"",ROUND($E11*MIN(1,IF($AD11=0,1,(10*$AF11)/ABS($AD11)),IF($AE11=0,1,($J11-10*$AF11)/ABS($AE11))),1)))</f>
        <v/>
      </c>
      <c r="BS11">
        <f>IF($B11="","",IF(11&gt;$F11-1,"",ROUND($E11*MIN(1,IF($AD11=0,1,(11*$AF11)/ABS($AD11)),IF($AE11=0,1,($J11-11*$AF11)/ABS($AE11))),1)))</f>
        <v/>
      </c>
      <c r="BT11">
        <f>IF($B11="","",IF(12&gt;$F11-1,"",ROUND($E11*MIN(1,IF($AD11=0,1,(12*$AF11)/ABS($AD11)),IF($AE11=0,1,($J11-12*$AF11)/ABS($AE11))),1)))</f>
        <v/>
      </c>
      <c r="BU11">
        <f>IF($B11="","",IF(13&gt;$F11-1,"",ROUND($E11*MIN(1,IF($AD11=0,1,(13*$AF11)/ABS($AD11)),IF($AE11=0,1,($J11-13*$AF11)/ABS($AE11))),1)))</f>
        <v/>
      </c>
      <c r="BV11">
        <f>IF($B11="","",IF(14&gt;$F11-1,"",ROUND($E11*MIN(1,IF($AD11=0,1,(14*$AF11)/ABS($AD11)),IF($AE11=0,1,($J11-14*$AF11)/ABS($AE11))),1)))</f>
        <v/>
      </c>
      <c r="BW11">
        <f>IF($B11="","",IF(15&gt;$F11-1,"",ROUND($E11*MIN(1,IF($AD11=0,1,(15*$AF11)/ABS($AD11)),IF($AE11=0,1,($J11-15*$AF11)/ABS($AE11))),1)))</f>
        <v/>
      </c>
    </row>
    <row r="12">
      <c r="A12" s="8" t="n">
        <v>3</v>
      </c>
      <c r="B12" s="29" t="n">
        <v>350</v>
      </c>
      <c r="C12" s="30">
        <f>IF(B12="","",$B$4/2)</f>
        <v/>
      </c>
      <c r="D12" s="8">
        <f>IF(C12="","",ROUND(DEGREES(ATAN($E$3/C12)),1))</f>
        <v/>
      </c>
      <c r="E12" s="8">
        <f>IF(C12="","",ROUND(SQRT(C12^2+$E$3^2),1))</f>
        <v/>
      </c>
      <c r="F12" s="8">
        <f>IF(B12="","",CEILING(J12/VLOOKUP($B$3,$A$39:$C$44,2,0),1)+1)</f>
        <v/>
      </c>
      <c r="G12" s="8">
        <f>IF(B12="","",MAX(COUNTIF(BH12:BW12,E12)-(IF(AD12=0,1,0)+IF(AE12=0,1,0)),0))</f>
        <v/>
      </c>
      <c r="H12" s="8">
        <f>IF(B12="","",ROUND((J12-F12*$B$47)/(F12-1),1))</f>
        <v/>
      </c>
      <c r="I12" s="8">
        <f>IF(B12="","",SUM(AI12:AW12)*IF($B$7="แปคู่",2,1))</f>
        <v/>
      </c>
      <c r="J12" s="8">
        <f>IF(B12="","",B12+AD12+AE12)</f>
        <v/>
      </c>
      <c r="K12" s="8">
        <f>IF(B12="","",CEILING(J12/VLOOKUP($B$3,$A$39:$C$44,3,0),1))</f>
        <v/>
      </c>
      <c r="L12">
        <f>IF(B12="","",COUNTIFS(BH12:BW12,"&gt;0",BH12:BW12,"&lt;"&amp;E12))</f>
        <v/>
      </c>
      <c r="M12" s="35">
        <f>IF(BH12="","",IF(BH12&lt;=0,0,MAX(ROUND(BH12-$B$52,1),0)))</f>
        <v/>
      </c>
      <c r="N12" s="35">
        <f>IF(BI12="","",IF(BI12&lt;=0,0,MAX(ROUND(BI12-$B$52,1),0)))</f>
        <v/>
      </c>
      <c r="O12" s="35">
        <f>IF(BJ12="","",IF(BJ12&lt;=0,0,MAX(ROUND(BJ12-$B$52,1),0)))</f>
        <v/>
      </c>
      <c r="P12" s="35">
        <f>IF(BK12="","",IF(BK12&lt;=0,0,MAX(ROUND(BK12-$B$52,1),0)))</f>
        <v/>
      </c>
      <c r="Q12" s="35">
        <f>IF(BL12="","",IF(BL12&lt;=0,0,MAX(ROUND(BL12-$B$52,1),0)))</f>
        <v/>
      </c>
      <c r="R12" s="35">
        <f>IF(BM12="","",IF(BM12&lt;=0,0,MAX(ROUND(BM12-$B$52,1),0)))</f>
        <v/>
      </c>
      <c r="S12" s="35">
        <f>IF(BN12="","",IF(BN12&lt;=0,0,MAX(ROUND(BN12-$B$52,1),0)))</f>
        <v/>
      </c>
      <c r="T12" s="35">
        <f>IF(BO12="","",IF(BO12&lt;=0,0,MAX(ROUND(BO12-$B$52,1),0)))</f>
        <v/>
      </c>
      <c r="U12" s="35">
        <f>IF(BP12="","",IF(BP12&lt;=0,0,MAX(ROUND(BP12-$B$52,1),0)))</f>
        <v/>
      </c>
      <c r="V12" s="35">
        <f>IF(BQ12="","",IF(BQ12&lt;=0,0,MAX(ROUND(BQ12-$B$52,1),0)))</f>
        <v/>
      </c>
      <c r="W12" s="35">
        <f>IF(BR12="","",IF(BR12&lt;=0,0,MAX(ROUND(BR12-$B$52,1),0)))</f>
        <v/>
      </c>
      <c r="X12" s="35">
        <f>IF(BS12="","",IF(BS12&lt;=0,0,MAX(ROUND(BS12-$B$52,1),0)))</f>
        <v/>
      </c>
      <c r="Y12" s="35">
        <f>IF(BT12="","",IF(BT12&lt;=0,0,MAX(ROUND(BT12-$B$52,1),0)))</f>
        <v/>
      </c>
      <c r="Z12" s="35">
        <f>IF(BU12="","",IF(BU12&lt;=0,0,MAX(ROUND(BU12-$B$52,1),0)))</f>
        <v/>
      </c>
      <c r="AA12" s="35">
        <f>IF(BV12="","",IF(BV12&lt;=0,0,MAX(ROUND(BV12-$B$52,1),0)))</f>
        <v/>
      </c>
      <c r="AB12" s="35">
        <f>IF(BW12="","",IF(BW12&lt;=0,0,MAX(ROUND(BW12-$B$52,1),0)))</f>
        <v/>
      </c>
      <c r="AD12">
        <f>IF(B12="",0,IF(B11="",0,IF(B20="นูน",C11,IF(B20="เว้า",-C11,0))))</f>
        <v/>
      </c>
      <c r="AE12">
        <f>IF(B12="","",IF(B21="",0,IF(B13="",0,IF(B21="นูน",C13,IF(B21="เว้า",-C13,0)))))</f>
        <v/>
      </c>
      <c r="AF12">
        <f>IF(OR(B12="",F12&lt;=1),0,J12/(F12-1))</f>
        <v/>
      </c>
      <c r="AG12">
        <f>IF(B12="",0,AD12+B12)</f>
        <v/>
      </c>
      <c r="AH12">
        <f>IF(B12="","",CEILING(C12/$B$46,1)+1)</f>
        <v/>
      </c>
      <c r="AI12">
        <f>IF($B12="",0,IF(0&gt;$F12-2,0,MAX($AH12-CEILING(($AH12-1)*(1-MIN(BH12,BI12)/$E12),1),0)))</f>
        <v/>
      </c>
      <c r="AJ12">
        <f>IF($B12="",0,IF(1&gt;$F12-2,0,MAX($AH12-CEILING(($AH12-1)*(1-MIN(BI12,BJ12)/$E12),1),0)))</f>
        <v/>
      </c>
      <c r="AK12">
        <f>IF($B12="",0,IF(2&gt;$F12-2,0,MAX($AH12-CEILING(($AH12-1)*(1-MIN(BJ12,BK12)/$E12),1),0)))</f>
        <v/>
      </c>
      <c r="AL12">
        <f>IF($B12="",0,IF(3&gt;$F12-2,0,MAX($AH12-CEILING(($AH12-1)*(1-MIN(BK12,BL12)/$E12),1),0)))</f>
        <v/>
      </c>
      <c r="AM12">
        <f>IF($B12="",0,IF(4&gt;$F12-2,0,MAX($AH12-CEILING(($AH12-1)*(1-MIN(BL12,BM12)/$E12),1),0)))</f>
        <v/>
      </c>
      <c r="AN12">
        <f>IF($B12="",0,IF(5&gt;$F12-2,0,MAX($AH12-CEILING(($AH12-1)*(1-MIN(BM12,BN12)/$E12),1),0)))</f>
        <v/>
      </c>
      <c r="AO12">
        <f>IF($B12="",0,IF(6&gt;$F12-2,0,MAX($AH12-CEILING(($AH12-1)*(1-MIN(BN12,BO12)/$E12),1),0)))</f>
        <v/>
      </c>
      <c r="AP12">
        <f>IF($B12="",0,IF(7&gt;$F12-2,0,MAX($AH12-CEILING(($AH12-1)*(1-MIN(BO12,BP12)/$E12),1),0)))</f>
        <v/>
      </c>
      <c r="AQ12">
        <f>IF($B12="",0,IF(8&gt;$F12-2,0,MAX($AH12-CEILING(($AH12-1)*(1-MIN(BP12,BQ12)/$E12),1),0)))</f>
        <v/>
      </c>
      <c r="AR12">
        <f>IF($B12="",0,IF(9&gt;$F12-2,0,MAX($AH12-CEILING(($AH12-1)*(1-MIN(BQ12,BR12)/$E12),1),0)))</f>
        <v/>
      </c>
      <c r="AS12">
        <f>IF($B12="",0,IF(10&gt;$F12-2,0,MAX($AH12-CEILING(($AH12-1)*(1-MIN(BR12,BS12)/$E12),1),0)))</f>
        <v/>
      </c>
      <c r="AT12">
        <f>IF($B12="",0,IF(11&gt;$F12-2,0,MAX($AH12-CEILING(($AH12-1)*(1-MIN(BS12,BT12)/$E12),1),0)))</f>
        <v/>
      </c>
      <c r="AU12">
        <f>IF($B12="",0,IF(12&gt;$F12-2,0,MAX($AH12-CEILING(($AH12-1)*(1-MIN(BT12,BU12)/$E12),1),0)))</f>
        <v/>
      </c>
      <c r="AV12">
        <f>IF($B12="",0,IF(13&gt;$F12-2,0,MAX($AH12-CEILING(($AH12-1)*(1-MIN(BU12,BV12)/$E12),1),0)))</f>
        <v/>
      </c>
      <c r="AW12">
        <f>IF($B12="",0,IF(14&gt;$F12-2,0,MAX($AH12-CEILING(($AH12-1)*(1-MIN(BV12,BW12)/$E12),1),0)))</f>
        <v/>
      </c>
      <c r="BH12">
        <f>IF($B12="","",IF(0&gt;$F12-1,"",ROUND($E12*MIN(1,IF($AD12=0,1,(0*$AF12)/ABS($AD12)),IF($AE12=0,1,($J12-0*$AF12)/ABS($AE12))),1)))</f>
        <v/>
      </c>
      <c r="BI12">
        <f>IF($B12="","",IF(1&gt;$F12-1,"",ROUND($E12*MIN(1,IF($AD12=0,1,(1*$AF12)/ABS($AD12)),IF($AE12=0,1,($J12-1*$AF12)/ABS($AE12))),1)))</f>
        <v/>
      </c>
      <c r="BJ12">
        <f>IF($B12="","",IF(2&gt;$F12-1,"",ROUND($E12*MIN(1,IF($AD12=0,1,(2*$AF12)/ABS($AD12)),IF($AE12=0,1,($J12-2*$AF12)/ABS($AE12))),1)))</f>
        <v/>
      </c>
      <c r="BK12">
        <f>IF($B12="","",IF(3&gt;$F12-1,"",ROUND($E12*MIN(1,IF($AD12=0,1,(3*$AF12)/ABS($AD12)),IF($AE12=0,1,($J12-3*$AF12)/ABS($AE12))),1)))</f>
        <v/>
      </c>
      <c r="BL12">
        <f>IF($B12="","",IF(4&gt;$F12-1,"",ROUND($E12*MIN(1,IF($AD12=0,1,(4*$AF12)/ABS($AD12)),IF($AE12=0,1,($J12-4*$AF12)/ABS($AE12))),1)))</f>
        <v/>
      </c>
      <c r="BM12">
        <f>IF($B12="","",IF(5&gt;$F12-1,"",ROUND($E12*MIN(1,IF($AD12=0,1,(5*$AF12)/ABS($AD12)),IF($AE12=0,1,($J12-5*$AF12)/ABS($AE12))),1)))</f>
        <v/>
      </c>
      <c r="BN12">
        <f>IF($B12="","",IF(6&gt;$F12-1,"",ROUND($E12*MIN(1,IF($AD12=0,1,(6*$AF12)/ABS($AD12)),IF($AE12=0,1,($J12-6*$AF12)/ABS($AE12))),1)))</f>
        <v/>
      </c>
      <c r="BO12">
        <f>IF($B12="","",IF(7&gt;$F12-1,"",ROUND($E12*MIN(1,IF($AD12=0,1,(7*$AF12)/ABS($AD12)),IF($AE12=0,1,($J12-7*$AF12)/ABS($AE12))),1)))</f>
        <v/>
      </c>
      <c r="BP12">
        <f>IF($B12="","",IF(8&gt;$F12-1,"",ROUND($E12*MIN(1,IF($AD12=0,1,(8*$AF12)/ABS($AD12)),IF($AE12=0,1,($J12-8*$AF12)/ABS($AE12))),1)))</f>
        <v/>
      </c>
      <c r="BQ12">
        <f>IF($B12="","",IF(9&gt;$F12-1,"",ROUND($E12*MIN(1,IF($AD12=0,1,(9*$AF12)/ABS($AD12)),IF($AE12=0,1,($J12-9*$AF12)/ABS($AE12))),1)))</f>
        <v/>
      </c>
      <c r="BR12">
        <f>IF($B12="","",IF(10&gt;$F12-1,"",ROUND($E12*MIN(1,IF($AD12=0,1,(10*$AF12)/ABS($AD12)),IF($AE12=0,1,($J12-10*$AF12)/ABS($AE12))),1)))</f>
        <v/>
      </c>
      <c r="BS12">
        <f>IF($B12="","",IF(11&gt;$F12-1,"",ROUND($E12*MIN(1,IF($AD12=0,1,(11*$AF12)/ABS($AD12)),IF($AE12=0,1,($J12-11*$AF12)/ABS($AE12))),1)))</f>
        <v/>
      </c>
      <c r="BT12">
        <f>IF($B12="","",IF(12&gt;$F12-1,"",ROUND($E12*MIN(1,IF($AD12=0,1,(12*$AF12)/ABS($AD12)),IF($AE12=0,1,($J12-12*$AF12)/ABS($AE12))),1)))</f>
        <v/>
      </c>
      <c r="BU12">
        <f>IF($B12="","",IF(13&gt;$F12-1,"",ROUND($E12*MIN(1,IF($AD12=0,1,(13*$AF12)/ABS($AD12)),IF($AE12=0,1,($J12-13*$AF12)/ABS($AE12))),1)))</f>
        <v/>
      </c>
      <c r="BV12">
        <f>IF($B12="","",IF(14&gt;$F12-1,"",ROUND($E12*MIN(1,IF($AD12=0,1,(14*$AF12)/ABS($AD12)),IF($AE12=0,1,($J12-14*$AF12)/ABS($AE12))),1)))</f>
        <v/>
      </c>
      <c r="BW12">
        <f>IF($B12="","",IF(15&gt;$F12-1,"",ROUND($E12*MIN(1,IF($AD12=0,1,(15*$AF12)/ABS($AD12)),IF($AE12=0,1,($J12-15*$AF12)/ABS($AE12))),1)))</f>
        <v/>
      </c>
    </row>
    <row r="13">
      <c r="A13" s="8" t="n">
        <v>4</v>
      </c>
      <c r="B13" s="29" t="n">
        <v>200</v>
      </c>
      <c r="C13" s="30">
        <f>IF(B13="","",$B$4/2)</f>
        <v/>
      </c>
      <c r="D13" s="8">
        <f>IF(C13="","",ROUND(DEGREES(ATAN($E$3/C13)),1))</f>
        <v/>
      </c>
      <c r="E13" s="8">
        <f>IF(C13="","",ROUND(SQRT(C13^2+$E$3^2),1))</f>
        <v/>
      </c>
      <c r="F13" s="8">
        <f>IF(B13="","",CEILING(J13/VLOOKUP($B$3,$A$39:$C$44,2,0),1)+1)</f>
        <v/>
      </c>
      <c r="G13" s="8">
        <f>IF(B13="","",MAX(COUNTIF(BH13:BW13,E13)-(IF(AD13=0,1,0)+IF(AE13=0,1,0)),0))</f>
        <v/>
      </c>
      <c r="H13" s="8">
        <f>IF(B13="","",ROUND((J13-F13*$B$47)/(F13-1),1))</f>
        <v/>
      </c>
      <c r="I13" s="8">
        <f>IF(B13="","",SUM(AI13:AW13)*IF($B$7="แปคู่",2,1))</f>
        <v/>
      </c>
      <c r="J13" s="8">
        <f>IF(B13="","",B13+AD13+AE13)</f>
        <v/>
      </c>
      <c r="K13" s="8">
        <f>IF(B13="","",CEILING(J13/VLOOKUP($B$3,$A$39:$C$44,3,0),1))</f>
        <v/>
      </c>
      <c r="L13">
        <f>IF(B13="","",COUNTIFS(BH13:BW13,"&gt;0",BH13:BW13,"&lt;"&amp;E13))</f>
        <v/>
      </c>
      <c r="M13" s="35">
        <f>IF(BH13="","",IF(BH13&lt;=0,0,MAX(ROUND(BH13-$B$52,1),0)))</f>
        <v/>
      </c>
      <c r="N13" s="35">
        <f>IF(BI13="","",IF(BI13&lt;=0,0,MAX(ROUND(BI13-$B$52,1),0)))</f>
        <v/>
      </c>
      <c r="O13" s="35">
        <f>IF(BJ13="","",IF(BJ13&lt;=0,0,MAX(ROUND(BJ13-$B$52,1),0)))</f>
        <v/>
      </c>
      <c r="P13" s="35">
        <f>IF(BK13="","",IF(BK13&lt;=0,0,MAX(ROUND(BK13-$B$52,1),0)))</f>
        <v/>
      </c>
      <c r="Q13" s="35">
        <f>IF(BL13="","",IF(BL13&lt;=0,0,MAX(ROUND(BL13-$B$52,1),0)))</f>
        <v/>
      </c>
      <c r="R13" s="35">
        <f>IF(BM13="","",IF(BM13&lt;=0,0,MAX(ROUND(BM13-$B$52,1),0)))</f>
        <v/>
      </c>
      <c r="S13" s="35">
        <f>IF(BN13="","",IF(BN13&lt;=0,0,MAX(ROUND(BN13-$B$52,1),0)))</f>
        <v/>
      </c>
      <c r="T13" s="35">
        <f>IF(BO13="","",IF(BO13&lt;=0,0,MAX(ROUND(BO13-$B$52,1),0)))</f>
        <v/>
      </c>
      <c r="U13" s="35">
        <f>IF(BP13="","",IF(BP13&lt;=0,0,MAX(ROUND(BP13-$B$52,1),0)))</f>
        <v/>
      </c>
      <c r="V13" s="35">
        <f>IF(BQ13="","",IF(BQ13&lt;=0,0,MAX(ROUND(BQ13-$B$52,1),0)))</f>
        <v/>
      </c>
      <c r="W13" s="35">
        <f>IF(BR13="","",IF(BR13&lt;=0,0,MAX(ROUND(BR13-$B$52,1),0)))</f>
        <v/>
      </c>
      <c r="X13" s="35">
        <f>IF(BS13="","",IF(BS13&lt;=0,0,MAX(ROUND(BS13-$B$52,1),0)))</f>
        <v/>
      </c>
      <c r="Y13" s="35">
        <f>IF(BT13="","",IF(BT13&lt;=0,0,MAX(ROUND(BT13-$B$52,1),0)))</f>
        <v/>
      </c>
      <c r="Z13" s="35">
        <f>IF(BU13="","",IF(BU13&lt;=0,0,MAX(ROUND(BU13-$B$52,1),0)))</f>
        <v/>
      </c>
      <c r="AA13" s="35">
        <f>IF(BV13="","",IF(BV13&lt;=0,0,MAX(ROUND(BV13-$B$52,1),0)))</f>
        <v/>
      </c>
      <c r="AB13" s="35">
        <f>IF(BW13="","",IF(BW13&lt;=0,0,MAX(ROUND(BW13-$B$52,1),0)))</f>
        <v/>
      </c>
      <c r="AD13">
        <f>IF(B13="",0,IF(B12="",0,IF(B21="นูน",C12,IF(B21="เว้า",-C12,0))))</f>
        <v/>
      </c>
      <c r="AE13">
        <f>IF(B13="","",IF(B22="",0,IF(B14="",0,IF(B22="นูน",C14,IF(B22="เว้า",-C14,0)))))</f>
        <v/>
      </c>
      <c r="AF13">
        <f>IF(OR(B13="",F13&lt;=1),0,J13/(F13-1))</f>
        <v/>
      </c>
      <c r="AG13">
        <f>IF(B13="",0,AD13+B13)</f>
        <v/>
      </c>
      <c r="AH13">
        <f>IF(B13="","",CEILING(C13/$B$46,1)+1)</f>
        <v/>
      </c>
      <c r="AI13">
        <f>IF($B13="",0,IF(0&gt;$F13-2,0,MAX($AH13-CEILING(($AH13-1)*(1-MIN(BH13,BI13)/$E13),1),0)))</f>
        <v/>
      </c>
      <c r="AJ13">
        <f>IF($B13="",0,IF(1&gt;$F13-2,0,MAX($AH13-CEILING(($AH13-1)*(1-MIN(BI13,BJ13)/$E13),1),0)))</f>
        <v/>
      </c>
      <c r="AK13">
        <f>IF($B13="",0,IF(2&gt;$F13-2,0,MAX($AH13-CEILING(($AH13-1)*(1-MIN(BJ13,BK13)/$E13),1),0)))</f>
        <v/>
      </c>
      <c r="AL13">
        <f>IF($B13="",0,IF(3&gt;$F13-2,0,MAX($AH13-CEILING(($AH13-1)*(1-MIN(BK13,BL13)/$E13),1),0)))</f>
        <v/>
      </c>
      <c r="AM13">
        <f>IF($B13="",0,IF(4&gt;$F13-2,0,MAX($AH13-CEILING(($AH13-1)*(1-MIN(BL13,BM13)/$E13),1),0)))</f>
        <v/>
      </c>
      <c r="AN13">
        <f>IF($B13="",0,IF(5&gt;$F13-2,0,MAX($AH13-CEILING(($AH13-1)*(1-MIN(BM13,BN13)/$E13),1),0)))</f>
        <v/>
      </c>
      <c r="AO13">
        <f>IF($B13="",0,IF(6&gt;$F13-2,0,MAX($AH13-CEILING(($AH13-1)*(1-MIN(BN13,BO13)/$E13),1),0)))</f>
        <v/>
      </c>
      <c r="AP13">
        <f>IF($B13="",0,IF(7&gt;$F13-2,0,MAX($AH13-CEILING(($AH13-1)*(1-MIN(BO13,BP13)/$E13),1),0)))</f>
        <v/>
      </c>
      <c r="AQ13">
        <f>IF($B13="",0,IF(8&gt;$F13-2,0,MAX($AH13-CEILING(($AH13-1)*(1-MIN(BP13,BQ13)/$E13),1),0)))</f>
        <v/>
      </c>
      <c r="AR13">
        <f>IF($B13="",0,IF(9&gt;$F13-2,0,MAX($AH13-CEILING(($AH13-1)*(1-MIN(BQ13,BR13)/$E13),1),0)))</f>
        <v/>
      </c>
      <c r="AS13">
        <f>IF($B13="",0,IF(10&gt;$F13-2,0,MAX($AH13-CEILING(($AH13-1)*(1-MIN(BR13,BS13)/$E13),1),0)))</f>
        <v/>
      </c>
      <c r="AT13">
        <f>IF($B13="",0,IF(11&gt;$F13-2,0,MAX($AH13-CEILING(($AH13-1)*(1-MIN(BS13,BT13)/$E13),1),0)))</f>
        <v/>
      </c>
      <c r="AU13">
        <f>IF($B13="",0,IF(12&gt;$F13-2,0,MAX($AH13-CEILING(($AH13-1)*(1-MIN(BT13,BU13)/$E13),1),0)))</f>
        <v/>
      </c>
      <c r="AV13">
        <f>IF($B13="",0,IF(13&gt;$F13-2,0,MAX($AH13-CEILING(($AH13-1)*(1-MIN(BU13,BV13)/$E13),1),0)))</f>
        <v/>
      </c>
      <c r="AW13">
        <f>IF($B13="",0,IF(14&gt;$F13-2,0,MAX($AH13-CEILING(($AH13-1)*(1-MIN(BV13,BW13)/$E13),1),0)))</f>
        <v/>
      </c>
      <c r="BH13">
        <f>IF($B13="","",IF(0&gt;$F13-1,"",ROUND($E13*MIN(1,IF($AD13=0,1,(0*$AF13)/ABS($AD13)),IF($AE13=0,1,($J13-0*$AF13)/ABS($AE13))),1)))</f>
        <v/>
      </c>
      <c r="BI13">
        <f>IF($B13="","",IF(1&gt;$F13-1,"",ROUND($E13*MIN(1,IF($AD13=0,1,(1*$AF13)/ABS($AD13)),IF($AE13=0,1,($J13-1*$AF13)/ABS($AE13))),1)))</f>
        <v/>
      </c>
      <c r="BJ13">
        <f>IF($B13="","",IF(2&gt;$F13-1,"",ROUND($E13*MIN(1,IF($AD13=0,1,(2*$AF13)/ABS($AD13)),IF($AE13=0,1,($J13-2*$AF13)/ABS($AE13))),1)))</f>
        <v/>
      </c>
      <c r="BK13">
        <f>IF($B13="","",IF(3&gt;$F13-1,"",ROUND($E13*MIN(1,IF($AD13=0,1,(3*$AF13)/ABS($AD13)),IF($AE13=0,1,($J13-3*$AF13)/ABS($AE13))),1)))</f>
        <v/>
      </c>
      <c r="BL13">
        <f>IF($B13="","",IF(4&gt;$F13-1,"",ROUND($E13*MIN(1,IF($AD13=0,1,(4*$AF13)/ABS($AD13)),IF($AE13=0,1,($J13-4*$AF13)/ABS($AE13))),1)))</f>
        <v/>
      </c>
      <c r="BM13">
        <f>IF($B13="","",IF(5&gt;$F13-1,"",ROUND($E13*MIN(1,IF($AD13=0,1,(5*$AF13)/ABS($AD13)),IF($AE13=0,1,($J13-5*$AF13)/ABS($AE13))),1)))</f>
        <v/>
      </c>
      <c r="BN13">
        <f>IF($B13="","",IF(6&gt;$F13-1,"",ROUND($E13*MIN(1,IF($AD13=0,1,(6*$AF13)/ABS($AD13)),IF($AE13=0,1,($J13-6*$AF13)/ABS($AE13))),1)))</f>
        <v/>
      </c>
      <c r="BO13">
        <f>IF($B13="","",IF(7&gt;$F13-1,"",ROUND($E13*MIN(1,IF($AD13=0,1,(7*$AF13)/ABS($AD13)),IF($AE13=0,1,($J13-7*$AF13)/ABS($AE13))),1)))</f>
        <v/>
      </c>
      <c r="BP13">
        <f>IF($B13="","",IF(8&gt;$F13-1,"",ROUND($E13*MIN(1,IF($AD13=0,1,(8*$AF13)/ABS($AD13)),IF($AE13=0,1,($J13-8*$AF13)/ABS($AE13))),1)))</f>
        <v/>
      </c>
      <c r="BQ13">
        <f>IF($B13="","",IF(9&gt;$F13-1,"",ROUND($E13*MIN(1,IF($AD13=0,1,(9*$AF13)/ABS($AD13)),IF($AE13=0,1,($J13-9*$AF13)/ABS($AE13))),1)))</f>
        <v/>
      </c>
      <c r="BR13">
        <f>IF($B13="","",IF(10&gt;$F13-1,"",ROUND($E13*MIN(1,IF($AD13=0,1,(10*$AF13)/ABS($AD13)),IF($AE13=0,1,($J13-10*$AF13)/ABS($AE13))),1)))</f>
        <v/>
      </c>
      <c r="BS13">
        <f>IF($B13="","",IF(11&gt;$F13-1,"",ROUND($E13*MIN(1,IF($AD13=0,1,(11*$AF13)/ABS($AD13)),IF($AE13=0,1,($J13-11*$AF13)/ABS($AE13))),1)))</f>
        <v/>
      </c>
      <c r="BT13">
        <f>IF($B13="","",IF(12&gt;$F13-1,"",ROUND($E13*MIN(1,IF($AD13=0,1,(12*$AF13)/ABS($AD13)),IF($AE13=0,1,($J13-12*$AF13)/ABS($AE13))),1)))</f>
        <v/>
      </c>
      <c r="BU13">
        <f>IF($B13="","",IF(13&gt;$F13-1,"",ROUND($E13*MIN(1,IF($AD13=0,1,(13*$AF13)/ABS($AD13)),IF($AE13=0,1,($J13-13*$AF13)/ABS($AE13))),1)))</f>
        <v/>
      </c>
      <c r="BV13">
        <f>IF($B13="","",IF(14&gt;$F13-1,"",ROUND($E13*MIN(1,IF($AD13=0,1,(14*$AF13)/ABS($AD13)),IF($AE13=0,1,($J13-14*$AF13)/ABS($AE13))),1)))</f>
        <v/>
      </c>
      <c r="BW13">
        <f>IF($B13="","",IF(15&gt;$F13-1,"",ROUND($E13*MIN(1,IF($AD13=0,1,(15*$AF13)/ABS($AD13)),IF($AE13=0,1,($J13-15*$AF13)/ABS($AE13))),1)))</f>
        <v/>
      </c>
    </row>
    <row r="14">
      <c r="A14" s="8" t="n">
        <v>5</v>
      </c>
      <c r="B14" s="29" t="n"/>
      <c r="C14" s="30">
        <f>IF(B14="","",$B$4/2)</f>
        <v/>
      </c>
      <c r="D14" s="8">
        <f>IF(C14="","",ROUND(DEGREES(ATAN($E$3/C14)),1))</f>
        <v/>
      </c>
      <c r="E14" s="8">
        <f>IF(C14="","",ROUND(SQRT(C14^2+$E$3^2),1))</f>
        <v/>
      </c>
      <c r="F14" s="8">
        <f>IF(B14="","",CEILING(J14/VLOOKUP($B$3,$A$39:$C$44,2,0),1)+1)</f>
        <v/>
      </c>
      <c r="G14" s="8">
        <f>IF(B14="","",MAX(COUNTIF(BH14:BW14,E14)-(IF(AD14=0,1,0)+IF(AE14=0,1,0)),0))</f>
        <v/>
      </c>
      <c r="H14" s="8">
        <f>IF(B14="","",ROUND((J14-F14*$B$47)/(F14-1),1))</f>
        <v/>
      </c>
      <c r="I14" s="8">
        <f>IF(B14="","",SUM(AI14:AW14)*IF($B$7="แปคู่",2,1))</f>
        <v/>
      </c>
      <c r="J14" s="8">
        <f>IF(B14="","",B14+AD14+AE14)</f>
        <v/>
      </c>
      <c r="K14" s="8">
        <f>IF(B14="","",CEILING(J14/VLOOKUP($B$3,$A$39:$C$44,3,0),1))</f>
        <v/>
      </c>
      <c r="L14">
        <f>IF(B14="","",COUNTIFS(BH14:BW14,"&gt;0",BH14:BW14,"&lt;"&amp;E14))</f>
        <v/>
      </c>
      <c r="M14" s="35">
        <f>IF(BH14="","",IF(BH14&lt;=0,0,MAX(ROUND(BH14-$B$52,1),0)))</f>
        <v/>
      </c>
      <c r="N14" s="35">
        <f>IF(BI14="","",IF(BI14&lt;=0,0,MAX(ROUND(BI14-$B$52,1),0)))</f>
        <v/>
      </c>
      <c r="O14" s="35">
        <f>IF(BJ14="","",IF(BJ14&lt;=0,0,MAX(ROUND(BJ14-$B$52,1),0)))</f>
        <v/>
      </c>
      <c r="P14" s="35">
        <f>IF(BK14="","",IF(BK14&lt;=0,0,MAX(ROUND(BK14-$B$52,1),0)))</f>
        <v/>
      </c>
      <c r="Q14" s="35">
        <f>IF(BL14="","",IF(BL14&lt;=0,0,MAX(ROUND(BL14-$B$52,1),0)))</f>
        <v/>
      </c>
      <c r="R14" s="35">
        <f>IF(BM14="","",IF(BM14&lt;=0,0,MAX(ROUND(BM14-$B$52,1),0)))</f>
        <v/>
      </c>
      <c r="S14" s="35">
        <f>IF(BN14="","",IF(BN14&lt;=0,0,MAX(ROUND(BN14-$B$52,1),0)))</f>
        <v/>
      </c>
      <c r="T14" s="35">
        <f>IF(BO14="","",IF(BO14&lt;=0,0,MAX(ROUND(BO14-$B$52,1),0)))</f>
        <v/>
      </c>
      <c r="U14" s="35">
        <f>IF(BP14="","",IF(BP14&lt;=0,0,MAX(ROUND(BP14-$B$52,1),0)))</f>
        <v/>
      </c>
      <c r="V14" s="35">
        <f>IF(BQ14="","",IF(BQ14&lt;=0,0,MAX(ROUND(BQ14-$B$52,1),0)))</f>
        <v/>
      </c>
      <c r="W14" s="35">
        <f>IF(BR14="","",IF(BR14&lt;=0,0,MAX(ROUND(BR14-$B$52,1),0)))</f>
        <v/>
      </c>
      <c r="X14" s="35">
        <f>IF(BS14="","",IF(BS14&lt;=0,0,MAX(ROUND(BS14-$B$52,1),0)))</f>
        <v/>
      </c>
      <c r="Y14" s="35">
        <f>IF(BT14="","",IF(BT14&lt;=0,0,MAX(ROUND(BT14-$B$52,1),0)))</f>
        <v/>
      </c>
      <c r="Z14" s="35">
        <f>IF(BU14="","",IF(BU14&lt;=0,0,MAX(ROUND(BU14-$B$52,1),0)))</f>
        <v/>
      </c>
      <c r="AA14" s="35">
        <f>IF(BV14="","",IF(BV14&lt;=0,0,MAX(ROUND(BV14-$B$52,1),0)))</f>
        <v/>
      </c>
      <c r="AB14" s="35">
        <f>IF(BW14="","",IF(BW14&lt;=0,0,MAX(ROUND(BW14-$B$52,1),0)))</f>
        <v/>
      </c>
      <c r="AD14">
        <f>IF(B14="",0,IF(B13="",0,IF(B22="นูน",C13,IF(B22="เว้า",-C13,0))))</f>
        <v/>
      </c>
      <c r="AE14">
        <f>IF(B14="","",IF(B23="",0,IF(B15="",0,IF(B23="นูน",C15,IF(B23="เว้า",-C15,0)))))</f>
        <v/>
      </c>
      <c r="AF14">
        <f>IF(OR(B14="",F14&lt;=1),0,J14/(F14-1))</f>
        <v/>
      </c>
      <c r="AG14">
        <f>IF(B14="",0,AD14+B14)</f>
        <v/>
      </c>
      <c r="AH14">
        <f>IF(B14="","",CEILING(C14/$B$46,1)+1)</f>
        <v/>
      </c>
      <c r="AI14">
        <f>IF($B14="",0,IF(0&gt;$F14-2,0,MAX($AH14-CEILING(($AH14-1)*(1-MIN(BH14,BI14)/$E14),1),0)))</f>
        <v/>
      </c>
      <c r="AJ14">
        <f>IF($B14="",0,IF(1&gt;$F14-2,0,MAX($AH14-CEILING(($AH14-1)*(1-MIN(BI14,BJ14)/$E14),1),0)))</f>
        <v/>
      </c>
      <c r="AK14">
        <f>IF($B14="",0,IF(2&gt;$F14-2,0,MAX($AH14-CEILING(($AH14-1)*(1-MIN(BJ14,BK14)/$E14),1),0)))</f>
        <v/>
      </c>
      <c r="AL14">
        <f>IF($B14="",0,IF(3&gt;$F14-2,0,MAX($AH14-CEILING(($AH14-1)*(1-MIN(BK14,BL14)/$E14),1),0)))</f>
        <v/>
      </c>
      <c r="AM14">
        <f>IF($B14="",0,IF(4&gt;$F14-2,0,MAX($AH14-CEILING(($AH14-1)*(1-MIN(BL14,BM14)/$E14),1),0)))</f>
        <v/>
      </c>
      <c r="AN14">
        <f>IF($B14="",0,IF(5&gt;$F14-2,0,MAX($AH14-CEILING(($AH14-1)*(1-MIN(BM14,BN14)/$E14),1),0)))</f>
        <v/>
      </c>
      <c r="AO14">
        <f>IF($B14="",0,IF(6&gt;$F14-2,0,MAX($AH14-CEILING(($AH14-1)*(1-MIN(BN14,BO14)/$E14),1),0)))</f>
        <v/>
      </c>
      <c r="AP14">
        <f>IF($B14="",0,IF(7&gt;$F14-2,0,MAX($AH14-CEILING(($AH14-1)*(1-MIN(BO14,BP14)/$E14),1),0)))</f>
        <v/>
      </c>
      <c r="AQ14">
        <f>IF($B14="",0,IF(8&gt;$F14-2,0,MAX($AH14-CEILING(($AH14-1)*(1-MIN(BP14,BQ14)/$E14),1),0)))</f>
        <v/>
      </c>
      <c r="AR14">
        <f>IF($B14="",0,IF(9&gt;$F14-2,0,MAX($AH14-CEILING(($AH14-1)*(1-MIN(BQ14,BR14)/$E14),1),0)))</f>
        <v/>
      </c>
      <c r="AS14">
        <f>IF($B14="",0,IF(10&gt;$F14-2,0,MAX($AH14-CEILING(($AH14-1)*(1-MIN(BR14,BS14)/$E14),1),0)))</f>
        <v/>
      </c>
      <c r="AT14">
        <f>IF($B14="",0,IF(11&gt;$F14-2,0,MAX($AH14-CEILING(($AH14-1)*(1-MIN(BS14,BT14)/$E14),1),0)))</f>
        <v/>
      </c>
      <c r="AU14">
        <f>IF($B14="",0,IF(12&gt;$F14-2,0,MAX($AH14-CEILING(($AH14-1)*(1-MIN(BT14,BU14)/$E14),1),0)))</f>
        <v/>
      </c>
      <c r="AV14">
        <f>IF($B14="",0,IF(13&gt;$F14-2,0,MAX($AH14-CEILING(($AH14-1)*(1-MIN(BU14,BV14)/$E14),1),0)))</f>
        <v/>
      </c>
      <c r="AW14">
        <f>IF($B14="",0,IF(14&gt;$F14-2,0,MAX($AH14-CEILING(($AH14-1)*(1-MIN(BV14,BW14)/$E14),1),0)))</f>
        <v/>
      </c>
      <c r="BH14">
        <f>IF($B14="","",IF(0&gt;$F14-1,"",ROUND($E14*MIN(1,IF($AD14=0,1,(0*$AF14)/ABS($AD14)),IF($AE14=0,1,($J14-0*$AF14)/ABS($AE14))),1)))</f>
        <v/>
      </c>
      <c r="BI14">
        <f>IF($B14="","",IF(1&gt;$F14-1,"",ROUND($E14*MIN(1,IF($AD14=0,1,(1*$AF14)/ABS($AD14)),IF($AE14=0,1,($J14-1*$AF14)/ABS($AE14))),1)))</f>
        <v/>
      </c>
      <c r="BJ14">
        <f>IF($B14="","",IF(2&gt;$F14-1,"",ROUND($E14*MIN(1,IF($AD14=0,1,(2*$AF14)/ABS($AD14)),IF($AE14=0,1,($J14-2*$AF14)/ABS($AE14))),1)))</f>
        <v/>
      </c>
      <c r="BK14">
        <f>IF($B14="","",IF(3&gt;$F14-1,"",ROUND($E14*MIN(1,IF($AD14=0,1,(3*$AF14)/ABS($AD14)),IF($AE14=0,1,($J14-3*$AF14)/ABS($AE14))),1)))</f>
        <v/>
      </c>
      <c r="BL14">
        <f>IF($B14="","",IF(4&gt;$F14-1,"",ROUND($E14*MIN(1,IF($AD14=0,1,(4*$AF14)/ABS($AD14)),IF($AE14=0,1,($J14-4*$AF14)/ABS($AE14))),1)))</f>
        <v/>
      </c>
      <c r="BM14">
        <f>IF($B14="","",IF(5&gt;$F14-1,"",ROUND($E14*MIN(1,IF($AD14=0,1,(5*$AF14)/ABS($AD14)),IF($AE14=0,1,($J14-5*$AF14)/ABS($AE14))),1)))</f>
        <v/>
      </c>
      <c r="BN14">
        <f>IF($B14="","",IF(6&gt;$F14-1,"",ROUND($E14*MIN(1,IF($AD14=0,1,(6*$AF14)/ABS($AD14)),IF($AE14=0,1,($J14-6*$AF14)/ABS($AE14))),1)))</f>
        <v/>
      </c>
      <c r="BO14">
        <f>IF($B14="","",IF(7&gt;$F14-1,"",ROUND($E14*MIN(1,IF($AD14=0,1,(7*$AF14)/ABS($AD14)),IF($AE14=0,1,($J14-7*$AF14)/ABS($AE14))),1)))</f>
        <v/>
      </c>
      <c r="BP14">
        <f>IF($B14="","",IF(8&gt;$F14-1,"",ROUND($E14*MIN(1,IF($AD14=0,1,(8*$AF14)/ABS($AD14)),IF($AE14=0,1,($J14-8*$AF14)/ABS($AE14))),1)))</f>
        <v/>
      </c>
      <c r="BQ14">
        <f>IF($B14="","",IF(9&gt;$F14-1,"",ROUND($E14*MIN(1,IF($AD14=0,1,(9*$AF14)/ABS($AD14)),IF($AE14=0,1,($J14-9*$AF14)/ABS($AE14))),1)))</f>
        <v/>
      </c>
      <c r="BR14">
        <f>IF($B14="","",IF(10&gt;$F14-1,"",ROUND($E14*MIN(1,IF($AD14=0,1,(10*$AF14)/ABS($AD14)),IF($AE14=0,1,($J14-10*$AF14)/ABS($AE14))),1)))</f>
        <v/>
      </c>
      <c r="BS14">
        <f>IF($B14="","",IF(11&gt;$F14-1,"",ROUND($E14*MIN(1,IF($AD14=0,1,(11*$AF14)/ABS($AD14)),IF($AE14=0,1,($J14-11*$AF14)/ABS($AE14))),1)))</f>
        <v/>
      </c>
      <c r="BT14">
        <f>IF($B14="","",IF(12&gt;$F14-1,"",ROUND($E14*MIN(1,IF($AD14=0,1,(12*$AF14)/ABS($AD14)),IF($AE14=0,1,($J14-12*$AF14)/ABS($AE14))),1)))</f>
        <v/>
      </c>
      <c r="BU14">
        <f>IF($B14="","",IF(13&gt;$F14-1,"",ROUND($E14*MIN(1,IF($AD14=0,1,(13*$AF14)/ABS($AD14)),IF($AE14=0,1,($J14-13*$AF14)/ABS($AE14))),1)))</f>
        <v/>
      </c>
      <c r="BV14">
        <f>IF($B14="","",IF(14&gt;$F14-1,"",ROUND($E14*MIN(1,IF($AD14=0,1,(14*$AF14)/ABS($AD14)),IF($AE14=0,1,($J14-14*$AF14)/ABS($AE14))),1)))</f>
        <v/>
      </c>
      <c r="BW14">
        <f>IF($B14="","",IF(15&gt;$F14-1,"",ROUND($E14*MIN(1,IF($AD14=0,1,(15*$AF14)/ABS($AD14)),IF($AE14=0,1,($J14-15*$AF14)/ABS($AE14))),1)))</f>
        <v/>
      </c>
    </row>
    <row r="15">
      <c r="A15" s="8" t="n">
        <v>6</v>
      </c>
      <c r="B15" s="29" t="n"/>
      <c r="C15" s="30">
        <f>IF(B15="","",$B$4/2)</f>
        <v/>
      </c>
      <c r="D15" s="8">
        <f>IF(C15="","",ROUND(DEGREES(ATAN($E$3/C15)),1))</f>
        <v/>
      </c>
      <c r="E15" s="8">
        <f>IF(C15="","",ROUND(SQRT(C15^2+$E$3^2),1))</f>
        <v/>
      </c>
      <c r="F15" s="8">
        <f>IF(B15="","",CEILING(J15/VLOOKUP($B$3,$A$39:$C$44,2,0),1)+1)</f>
        <v/>
      </c>
      <c r="G15" s="8">
        <f>IF(B15="","",MAX(COUNTIF(BH15:BW15,E15)-(IF(AD15=0,1,0)+IF(AE15=0,1,0)),0))</f>
        <v/>
      </c>
      <c r="H15" s="8">
        <f>IF(B15="","",ROUND((J15-F15*$B$47)/(F15-1),1))</f>
        <v/>
      </c>
      <c r="I15" s="8">
        <f>IF(B15="","",SUM(AI15:AW15)*IF($B$7="แปคู่",2,1))</f>
        <v/>
      </c>
      <c r="J15" s="8">
        <f>IF(B15="","",B15+AD15+AE15)</f>
        <v/>
      </c>
      <c r="K15" s="8">
        <f>IF(B15="","",CEILING(J15/VLOOKUP($B$3,$A$39:$C$44,3,0),1))</f>
        <v/>
      </c>
      <c r="L15">
        <f>IF(B15="","",COUNTIFS(BH15:BW15,"&gt;0",BH15:BW15,"&lt;"&amp;E15))</f>
        <v/>
      </c>
      <c r="M15" s="35">
        <f>IF(BH15="","",IF(BH15&lt;=0,0,MAX(ROUND(BH15-$B$52,1),0)))</f>
        <v/>
      </c>
      <c r="N15" s="35">
        <f>IF(BI15="","",IF(BI15&lt;=0,0,MAX(ROUND(BI15-$B$52,1),0)))</f>
        <v/>
      </c>
      <c r="O15" s="35">
        <f>IF(BJ15="","",IF(BJ15&lt;=0,0,MAX(ROUND(BJ15-$B$52,1),0)))</f>
        <v/>
      </c>
      <c r="P15" s="35">
        <f>IF(BK15="","",IF(BK15&lt;=0,0,MAX(ROUND(BK15-$B$52,1),0)))</f>
        <v/>
      </c>
      <c r="Q15" s="35">
        <f>IF(BL15="","",IF(BL15&lt;=0,0,MAX(ROUND(BL15-$B$52,1),0)))</f>
        <v/>
      </c>
      <c r="R15" s="35">
        <f>IF(BM15="","",IF(BM15&lt;=0,0,MAX(ROUND(BM15-$B$52,1),0)))</f>
        <v/>
      </c>
      <c r="S15" s="35">
        <f>IF(BN15="","",IF(BN15&lt;=0,0,MAX(ROUND(BN15-$B$52,1),0)))</f>
        <v/>
      </c>
      <c r="T15" s="35">
        <f>IF(BO15="","",IF(BO15&lt;=0,0,MAX(ROUND(BO15-$B$52,1),0)))</f>
        <v/>
      </c>
      <c r="U15" s="35">
        <f>IF(BP15="","",IF(BP15&lt;=0,0,MAX(ROUND(BP15-$B$52,1),0)))</f>
        <v/>
      </c>
      <c r="V15" s="35">
        <f>IF(BQ15="","",IF(BQ15&lt;=0,0,MAX(ROUND(BQ15-$B$52,1),0)))</f>
        <v/>
      </c>
      <c r="W15" s="35">
        <f>IF(BR15="","",IF(BR15&lt;=0,0,MAX(ROUND(BR15-$B$52,1),0)))</f>
        <v/>
      </c>
      <c r="X15" s="35">
        <f>IF(BS15="","",IF(BS15&lt;=0,0,MAX(ROUND(BS15-$B$52,1),0)))</f>
        <v/>
      </c>
      <c r="Y15" s="35">
        <f>IF(BT15="","",IF(BT15&lt;=0,0,MAX(ROUND(BT15-$B$52,1),0)))</f>
        <v/>
      </c>
      <c r="Z15" s="35">
        <f>IF(BU15="","",IF(BU15&lt;=0,0,MAX(ROUND(BU15-$B$52,1),0)))</f>
        <v/>
      </c>
      <c r="AA15" s="35">
        <f>IF(BV15="","",IF(BV15&lt;=0,0,MAX(ROUND(BV15-$B$52,1),0)))</f>
        <v/>
      </c>
      <c r="AB15" s="35">
        <f>IF(BW15="","",IF(BW15&lt;=0,0,MAX(ROUND(BW15-$B$52,1),0)))</f>
        <v/>
      </c>
      <c r="AD15">
        <f>IF(B15="",0,IF(B14="",0,IF(B23="นูน",C14,IF(B23="เว้า",-C14,0))))</f>
        <v/>
      </c>
      <c r="AE15">
        <f>IF(B15="","",IF(B24="",0,IF(B16="",0,IF(B24="นูน",C16,IF(B24="เว้า",-C16,0)))))</f>
        <v/>
      </c>
      <c r="AF15">
        <f>IF(OR(B15="",F15&lt;=1),0,J15/(F15-1))</f>
        <v/>
      </c>
      <c r="AG15">
        <f>IF(B15="",0,AD15+B15)</f>
        <v/>
      </c>
      <c r="AH15">
        <f>IF(B15="","",CEILING(C15/$B$46,1)+1)</f>
        <v/>
      </c>
      <c r="AI15">
        <f>IF($B15="",0,IF(0&gt;$F15-2,0,MAX($AH15-CEILING(($AH15-1)*(1-MIN(BH15,BI15)/$E15),1),0)))</f>
        <v/>
      </c>
      <c r="AJ15">
        <f>IF($B15="",0,IF(1&gt;$F15-2,0,MAX($AH15-CEILING(($AH15-1)*(1-MIN(BI15,BJ15)/$E15),1),0)))</f>
        <v/>
      </c>
      <c r="AK15">
        <f>IF($B15="",0,IF(2&gt;$F15-2,0,MAX($AH15-CEILING(($AH15-1)*(1-MIN(BJ15,BK15)/$E15),1),0)))</f>
        <v/>
      </c>
      <c r="AL15">
        <f>IF($B15="",0,IF(3&gt;$F15-2,0,MAX($AH15-CEILING(($AH15-1)*(1-MIN(BK15,BL15)/$E15),1),0)))</f>
        <v/>
      </c>
      <c r="AM15">
        <f>IF($B15="",0,IF(4&gt;$F15-2,0,MAX($AH15-CEILING(($AH15-1)*(1-MIN(BL15,BM15)/$E15),1),0)))</f>
        <v/>
      </c>
      <c r="AN15">
        <f>IF($B15="",0,IF(5&gt;$F15-2,0,MAX($AH15-CEILING(($AH15-1)*(1-MIN(BM15,BN15)/$E15),1),0)))</f>
        <v/>
      </c>
      <c r="AO15">
        <f>IF($B15="",0,IF(6&gt;$F15-2,0,MAX($AH15-CEILING(($AH15-1)*(1-MIN(BN15,BO15)/$E15),1),0)))</f>
        <v/>
      </c>
      <c r="AP15">
        <f>IF($B15="",0,IF(7&gt;$F15-2,0,MAX($AH15-CEILING(($AH15-1)*(1-MIN(BO15,BP15)/$E15),1),0)))</f>
        <v/>
      </c>
      <c r="AQ15">
        <f>IF($B15="",0,IF(8&gt;$F15-2,0,MAX($AH15-CEILING(($AH15-1)*(1-MIN(BP15,BQ15)/$E15),1),0)))</f>
        <v/>
      </c>
      <c r="AR15">
        <f>IF($B15="",0,IF(9&gt;$F15-2,0,MAX($AH15-CEILING(($AH15-1)*(1-MIN(BQ15,BR15)/$E15),1),0)))</f>
        <v/>
      </c>
      <c r="AS15">
        <f>IF($B15="",0,IF(10&gt;$F15-2,0,MAX($AH15-CEILING(($AH15-1)*(1-MIN(BR15,BS15)/$E15),1),0)))</f>
        <v/>
      </c>
      <c r="AT15">
        <f>IF($B15="",0,IF(11&gt;$F15-2,0,MAX($AH15-CEILING(($AH15-1)*(1-MIN(BS15,BT15)/$E15),1),0)))</f>
        <v/>
      </c>
      <c r="AU15">
        <f>IF($B15="",0,IF(12&gt;$F15-2,0,MAX($AH15-CEILING(($AH15-1)*(1-MIN(BT15,BU15)/$E15),1),0)))</f>
        <v/>
      </c>
      <c r="AV15">
        <f>IF($B15="",0,IF(13&gt;$F15-2,0,MAX($AH15-CEILING(($AH15-1)*(1-MIN(BU15,BV15)/$E15),1),0)))</f>
        <v/>
      </c>
      <c r="AW15">
        <f>IF($B15="",0,IF(14&gt;$F15-2,0,MAX($AH15-CEILING(($AH15-1)*(1-MIN(BV15,BW15)/$E15),1),0)))</f>
        <v/>
      </c>
      <c r="BH15">
        <f>IF($B15="","",IF(0&gt;$F15-1,"",ROUND($E15*MIN(1,IF($AD15=0,1,(0*$AF15)/ABS($AD15)),IF($AE15=0,1,($J15-0*$AF15)/ABS($AE15))),1)))</f>
        <v/>
      </c>
      <c r="BI15">
        <f>IF($B15="","",IF(1&gt;$F15-1,"",ROUND($E15*MIN(1,IF($AD15=0,1,(1*$AF15)/ABS($AD15)),IF($AE15=0,1,($J15-1*$AF15)/ABS($AE15))),1)))</f>
        <v/>
      </c>
      <c r="BJ15">
        <f>IF($B15="","",IF(2&gt;$F15-1,"",ROUND($E15*MIN(1,IF($AD15=0,1,(2*$AF15)/ABS($AD15)),IF($AE15=0,1,($J15-2*$AF15)/ABS($AE15))),1)))</f>
        <v/>
      </c>
      <c r="BK15">
        <f>IF($B15="","",IF(3&gt;$F15-1,"",ROUND($E15*MIN(1,IF($AD15=0,1,(3*$AF15)/ABS($AD15)),IF($AE15=0,1,($J15-3*$AF15)/ABS($AE15))),1)))</f>
        <v/>
      </c>
      <c r="BL15">
        <f>IF($B15="","",IF(4&gt;$F15-1,"",ROUND($E15*MIN(1,IF($AD15=0,1,(4*$AF15)/ABS($AD15)),IF($AE15=0,1,($J15-4*$AF15)/ABS($AE15))),1)))</f>
        <v/>
      </c>
      <c r="BM15">
        <f>IF($B15="","",IF(5&gt;$F15-1,"",ROUND($E15*MIN(1,IF($AD15=0,1,(5*$AF15)/ABS($AD15)),IF($AE15=0,1,($J15-5*$AF15)/ABS($AE15))),1)))</f>
        <v/>
      </c>
      <c r="BN15">
        <f>IF($B15="","",IF(6&gt;$F15-1,"",ROUND($E15*MIN(1,IF($AD15=0,1,(6*$AF15)/ABS($AD15)),IF($AE15=0,1,($J15-6*$AF15)/ABS($AE15))),1)))</f>
        <v/>
      </c>
      <c r="BO15">
        <f>IF($B15="","",IF(7&gt;$F15-1,"",ROUND($E15*MIN(1,IF($AD15=0,1,(7*$AF15)/ABS($AD15)),IF($AE15=0,1,($J15-7*$AF15)/ABS($AE15))),1)))</f>
        <v/>
      </c>
      <c r="BP15">
        <f>IF($B15="","",IF(8&gt;$F15-1,"",ROUND($E15*MIN(1,IF($AD15=0,1,(8*$AF15)/ABS($AD15)),IF($AE15=0,1,($J15-8*$AF15)/ABS($AE15))),1)))</f>
        <v/>
      </c>
      <c r="BQ15">
        <f>IF($B15="","",IF(9&gt;$F15-1,"",ROUND($E15*MIN(1,IF($AD15=0,1,(9*$AF15)/ABS($AD15)),IF($AE15=0,1,($J15-9*$AF15)/ABS($AE15))),1)))</f>
        <v/>
      </c>
      <c r="BR15">
        <f>IF($B15="","",IF(10&gt;$F15-1,"",ROUND($E15*MIN(1,IF($AD15=0,1,(10*$AF15)/ABS($AD15)),IF($AE15=0,1,($J15-10*$AF15)/ABS($AE15))),1)))</f>
        <v/>
      </c>
      <c r="BS15">
        <f>IF($B15="","",IF(11&gt;$F15-1,"",ROUND($E15*MIN(1,IF($AD15=0,1,(11*$AF15)/ABS($AD15)),IF($AE15=0,1,($J15-11*$AF15)/ABS($AE15))),1)))</f>
        <v/>
      </c>
      <c r="BT15">
        <f>IF($B15="","",IF(12&gt;$F15-1,"",ROUND($E15*MIN(1,IF($AD15=0,1,(12*$AF15)/ABS($AD15)),IF($AE15=0,1,($J15-12*$AF15)/ABS($AE15))),1)))</f>
        <v/>
      </c>
      <c r="BU15">
        <f>IF($B15="","",IF(13&gt;$F15-1,"",ROUND($E15*MIN(1,IF($AD15=0,1,(13*$AF15)/ABS($AD15)),IF($AE15=0,1,($J15-13*$AF15)/ABS($AE15))),1)))</f>
        <v/>
      </c>
      <c r="BV15">
        <f>IF($B15="","",IF(14&gt;$F15-1,"",ROUND($E15*MIN(1,IF($AD15=0,1,(14*$AF15)/ABS($AD15)),IF($AE15=0,1,($J15-14*$AF15)/ABS($AE15))),1)))</f>
        <v/>
      </c>
      <c r="BW15">
        <f>IF($B15="","",IF(15&gt;$F15-1,"",ROUND($E15*MIN(1,IF($AD15=0,1,(15*$AF15)/ABS($AD15)),IF($AE15=0,1,($J15-15*$AF15)/ABS($AE15))),1)))</f>
        <v/>
      </c>
    </row>
    <row r="17">
      <c r="A17" s="2" t="inlineStr">
        <is>
          <t>③ รอยต่อ (ตะเข้สัน/ราง = √((กว้าง/2)²+(กว้าง/2)²+สูงสัน²))</t>
        </is>
      </c>
    </row>
    <row r="18">
      <c r="A18" s="36" t="inlineStr">
        <is>
          <t>รอยต่อ</t>
        </is>
      </c>
      <c r="B18" s="36" t="inlineStr">
        <is>
          <t>แบบ</t>
        </is>
      </c>
      <c r="C18" s="36" t="inlineStr">
        <is>
          <t>ตะเข้</t>
        </is>
      </c>
      <c r="D18" s="15" t="inlineStr">
        <is>
          <t>jack → ดูตาราง ③.5</t>
        </is>
      </c>
      <c r="E18" s="15" t="n"/>
      <c r="G18" s="16" t="inlineStr">
        <is>
          <t>(jack = จันทันตัวชนตะเข้ ตัดสั้น · เต็ม=ไม่ต้องตัด)</t>
        </is>
      </c>
    </row>
    <row r="19">
      <c r="A19" s="37" t="inlineStr">
        <is>
          <t>ด้าน 1-2</t>
        </is>
      </c>
      <c r="B19" s="29" t="inlineStr">
        <is>
          <t>นูน</t>
        </is>
      </c>
      <c r="C19" s="25">
        <f>IF(OR(C10="",C11="",B19=""),"-",IF(OR(B19="นูน",B19="เว้า"),ROUND(SQRT(C10^2+C11^2+$E$3^2),1),"ชนผนัง"))</f>
        <v/>
      </c>
      <c r="D19" s="17" t="n"/>
      <c r="E19" s="17" t="n"/>
    </row>
    <row r="20">
      <c r="A20" s="37" t="inlineStr">
        <is>
          <t>ด้าน 2-3</t>
        </is>
      </c>
      <c r="B20" s="29" t="inlineStr">
        <is>
          <t>เว้า</t>
        </is>
      </c>
      <c r="C20" s="25">
        <f>IF(OR(C11="",C12="",B20=""),"-",IF(OR(B20="นูน",B20="เว้า"),ROUND(SQRT(C11^2+C12^2+$E$3^2),1),"ชนผนัง"))</f>
        <v/>
      </c>
      <c r="D20" s="17" t="n"/>
      <c r="E20" s="17" t="n"/>
    </row>
    <row r="21">
      <c r="A21" s="37" t="inlineStr">
        <is>
          <t>ด้าน 3-4</t>
        </is>
      </c>
      <c r="B21" s="29" t="inlineStr">
        <is>
          <t>นูน</t>
        </is>
      </c>
      <c r="C21" s="25">
        <f>IF(OR(C12="",C13="",B21=""),"-",IF(OR(B21="นูน",B21="เว้า"),ROUND(SQRT(C12^2+C13^2+$E$3^2),1),"ชนผนัง"))</f>
        <v/>
      </c>
      <c r="D21" s="17" t="n"/>
      <c r="E21" s="17" t="n"/>
    </row>
    <row r="22">
      <c r="A22" s="37" t="inlineStr">
        <is>
          <t>ด้าน 4-5</t>
        </is>
      </c>
      <c r="B22" s="29" t="n"/>
      <c r="C22" s="25">
        <f>IF(OR(C13="",C14="",B22=""),"-",IF(OR(B22="นูน",B22="เว้า"),ROUND(SQRT(C13^2+C14^2+$E$3^2),1),"ชนผนัง"))</f>
        <v/>
      </c>
      <c r="D22" s="17" t="n"/>
      <c r="E22" s="17" t="n"/>
    </row>
    <row r="23">
      <c r="A23" s="37" t="inlineStr">
        <is>
          <t>ด้าน 5-6</t>
        </is>
      </c>
      <c r="B23" s="29" t="n"/>
      <c r="C23" s="25">
        <f>IF(OR(C14="",C15="",B23=""),"-",IF(OR(B23="นูน",B23="เว้า"),ROUND(SQRT(C14^2+C15^2+$E$3^2),1),"ชนผนัง"))</f>
        <v/>
      </c>
      <c r="D23" s="17" t="n"/>
      <c r="E23" s="17" t="n"/>
    </row>
    <row r="25">
      <c r="A25" s="2" t="inlineStr">
        <is>
          <t>④ สรุปรวมทั้งหลัง</t>
        </is>
      </c>
    </row>
    <row r="26">
      <c r="A26" s="7" t="inlineStr">
        <is>
          <t>รายการ</t>
        </is>
      </c>
      <c r="B26" s="7" t="inlineStr">
        <is>
          <t>รวม</t>
        </is>
      </c>
      <c r="C26" s="19" t="inlineStr">
        <is>
          <t>ยาว/หมายเหตุ</t>
        </is>
      </c>
    </row>
    <row r="27">
      <c r="A27" s="27" t="inlineStr">
        <is>
          <t>จันทันเต็ม/ซอย (×2 สโลป)</t>
        </is>
      </c>
      <c r="B27" s="31">
        <f>SUM(G10:G15)*2</f>
        <v/>
      </c>
    </row>
    <row r="28">
      <c r="A28" s="27" t="inlineStr">
        <is>
          <t>จันทัน jack (×2 สโลป)</t>
        </is>
      </c>
      <c r="B28" s="31">
        <f>SUM(L10:L15)*2</f>
        <v/>
      </c>
    </row>
    <row r="29">
      <c r="A29" s="27" t="inlineStr">
        <is>
          <t>แป 1×1½ (×2 สโลป)</t>
        </is>
      </c>
      <c r="B29" s="31">
        <f>SUM(I10:I15)*2</f>
        <v/>
      </c>
    </row>
    <row r="30">
      <c r="A30" s="27" t="inlineStr">
        <is>
          <t>แผ่นหลังคา (×2 สโลป)</t>
        </is>
      </c>
      <c r="B30" s="31">
        <f>SUM(K10:K15)*2</f>
        <v/>
      </c>
    </row>
    <row r="31">
      <c r="A31" s="27" t="inlineStr">
        <is>
          <t>สัน/อกไก่ 4×4 (ยาวรวม−หัก / เส้น600)</t>
        </is>
      </c>
      <c r="B31" s="31">
        <f>(SUM(B10:B15)-$B$49)&amp;" / "&amp;CEILING((SUM(B10:B15)-$B$49)/$B$48,1)&amp;" เส้น"</f>
        <v/>
      </c>
    </row>
    <row r="32">
      <c r="A32" s="27" t="inlineStr">
        <is>
          <t>ตะเข้ สัน+ราง (จำนวน=2×มุม)</t>
        </is>
      </c>
      <c r="B32" s="31">
        <f>2*(SUMPRODUCT((C19:C23&lt;&gt;"-")*(C19:C23&lt;&gt;"ชนผนัง")))</f>
        <v/>
      </c>
    </row>
    <row r="33">
      <c r="A33" s="27" t="inlineStr">
        <is>
          <t>คานตัว T คานนอน 4×4</t>
        </is>
      </c>
      <c r="B33" s="31">
        <f>SUM(F10:F15)-SUMPRODUCT((B10:B15&lt;&gt;"")*1)</f>
        <v/>
      </c>
      <c r="C33">
        <f>ROUND($B$4-$B$50,1)&amp;" ซม./เส้น"</f>
        <v/>
      </c>
    </row>
    <row r="34">
      <c r="A34" s="27" t="inlineStr">
        <is>
          <t>คานตัว T เสาตั้ง 4×4</t>
        </is>
      </c>
      <c r="B34" s="31">
        <f>SUM(F10:F15)-SUMPRODUCT((B10:B15&lt;&gt;"")*1)</f>
        <v/>
      </c>
      <c r="C34">
        <f>ROUND($B$5-$B$51,1)&amp;" ซม./เส้น"</f>
        <v/>
      </c>
    </row>
    <row r="35">
      <c r="A35" s="19" t="inlineStr">
        <is>
          <t>ราง/เชิงชาย (ยาวรวมต่อฝั่ง ×2)</t>
        </is>
      </c>
      <c r="B35" s="32">
        <f>SUM(J10:J15)</f>
        <v/>
      </c>
    </row>
    <row r="36">
      <c r="A36" s="5" t="inlineStr">
        <is>
          <t>หมายเหตุ: 1 สโลป=engine เพิง(ลึก=กว้าง/2) ×2 · ตะเข้ยาว=ดูตาราง③ · คานตัวT=ทุกรีบยกเว้นเริ่มด้าน(≈ΣN−ด้าน) · ยังไม่หักปลาย(บอกได้) · jack 2 สโลปสมมาตร</t>
        </is>
      </c>
    </row>
    <row r="37">
      <c r="A37" s="2" t="inlineStr">
        <is>
          <t>⑤ แผงแก้ค่า (เหลือง = แก้ที่เดียว)</t>
        </is>
      </c>
    </row>
    <row r="38">
      <c r="A38" s="2" t="inlineStr">
        <is>
          <t>ชนิดแผ่น</t>
        </is>
      </c>
      <c r="B38" s="2" t="inlineStr">
        <is>
          <t>จันทัน max</t>
        </is>
      </c>
      <c r="C38" s="2" t="inlineStr">
        <is>
          <t>กว้าง/แผ่น</t>
        </is>
      </c>
    </row>
    <row r="39">
      <c r="A39" s="5" t="inlineStr">
        <is>
          <t>ไวนิล</t>
        </is>
      </c>
      <c r="B39" s="4" t="n">
        <v>100</v>
      </c>
      <c r="C39" s="4" t="n">
        <v>25</v>
      </c>
    </row>
    <row r="40">
      <c r="A40" s="5" t="inlineStr">
        <is>
          <t>ดีไลท์</t>
        </is>
      </c>
      <c r="B40" s="4" t="n">
        <v>100</v>
      </c>
      <c r="C40" s="4" t="n">
        <v>100</v>
      </c>
    </row>
    <row r="41">
      <c r="A41" s="5" t="inlineStr">
        <is>
          <t>เมทัลชีท</t>
        </is>
      </c>
      <c r="B41" s="4" t="n">
        <v>100</v>
      </c>
      <c r="C41" s="4" t="n">
        <v>34</v>
      </c>
    </row>
    <row r="42">
      <c r="A42" s="5" t="inlineStr">
        <is>
          <t>โพลีตัน</t>
        </is>
      </c>
      <c r="B42" s="4" t="n">
        <v>122</v>
      </c>
      <c r="C42" s="4" t="n">
        <v>122</v>
      </c>
    </row>
    <row r="43">
      <c r="A43" s="5" t="inlineStr">
        <is>
          <t>ชินโคร์ HC</t>
        </is>
      </c>
      <c r="B43" s="4" t="n">
        <v>138</v>
      </c>
      <c r="C43" s="4" t="n">
        <v>138</v>
      </c>
    </row>
    <row r="44">
      <c r="A44" s="5" t="inlineStr">
        <is>
          <t>ชินโคร์ Sup</t>
        </is>
      </c>
      <c r="B44" s="4" t="n">
        <v>138</v>
      </c>
      <c r="C44" s="4" t="n">
        <v>138</v>
      </c>
    </row>
    <row r="45">
      <c r="A45" s="10" t="inlineStr">
        <is>
          <t>จันทันรัดรอบ 1.6×4 (ฝั่งบ้าน)</t>
        </is>
      </c>
      <c r="B45" s="11">
        <f>SUMPRODUCT((B10:B15&lt;&gt;"")*1)</f>
        <v/>
      </c>
    </row>
    <row r="46">
      <c r="A46" s="5" t="inlineStr">
        <is>
          <t>แป max (ซม.)</t>
        </is>
      </c>
      <c r="B46" s="4" t="n">
        <v>50</v>
      </c>
    </row>
    <row r="47">
      <c r="A47" s="12" t="inlineStr">
        <is>
          <t>หมายเหตุ: แป ไล่ทีละช่อง — ช่องที่จันทันสองข้างสั้นไม่ถึงระดับนั้น = ไม่ใส่แป (สั้นจนใส่ไม่ได้) · ราง=ปลาย(J)</t>
        </is>
      </c>
      <c r="B47" s="4" t="n">
        <v>4.5</v>
      </c>
    </row>
    <row r="48">
      <c r="A48" s="19" t="inlineStr">
        <is>
          <t>เส้นสต็อก (ซม.)</t>
        </is>
      </c>
      <c r="B48" s="33" t="n">
        <v>600</v>
      </c>
    </row>
    <row r="49">
      <c r="A49" s="19" t="inlineStr">
        <is>
          <t>หัก สัน −</t>
        </is>
      </c>
      <c r="B49" s="33" t="n">
        <v>10.2</v>
      </c>
    </row>
    <row r="50">
      <c r="A50" s="19" t="inlineStr">
        <is>
          <t>หัก คานT นอน −</t>
        </is>
      </c>
      <c r="B50" s="33" t="n">
        <v>20.4</v>
      </c>
    </row>
    <row r="51">
      <c r="A51" s="19" t="inlineStr">
        <is>
          <t>หัก คานT ตั้ง −</t>
        </is>
      </c>
      <c r="B51" s="33" t="n">
        <v>10.2</v>
      </c>
    </row>
    <row r="52">
      <c r="A52" s="19" t="inlineStr">
        <is>
          <t>หัก ปลายจันทัน −</t>
        </is>
      </c>
      <c r="B52" s="33" t="n">
        <v>10.2</v>
      </c>
    </row>
  </sheetData>
  <mergeCells count="1">
    <mergeCell ref="A1:H1"/>
  </mergeCells>
  <dataValidations count="9">
    <dataValidation sqref="B19" showDropDown="0" showInputMessage="0" showErrorMessage="0" allowBlank="0" type="list">
      <formula1>"ลอย,ติดบ้าน"</formula1>
    </dataValidation>
    <dataValidation sqref="B20" showDropDown="0" showInputMessage="0" showErrorMessage="0" allowBlank="0" type="list">
      <formula1>"ลอย,ติดบ้าน"</formula1>
    </dataValidation>
    <dataValidation sqref="B21" showDropDown="0" showInputMessage="0" showErrorMessage="0" allowBlank="0" type="list">
      <formula1>"ลอย,ติดบ้าน"</formula1>
    </dataValidation>
    <dataValidation sqref="B22" showDropDown="0" showInputMessage="0" showErrorMessage="0" allowBlank="0" type="list">
      <formula1>"ลอย,ติดบ้าน"</formula1>
    </dataValidation>
    <dataValidation sqref="B23" showDropDown="0" showInputMessage="0" showErrorMessage="0" allowBlank="0" type="list">
      <formula1>"ลอย,ติดบ้าน"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6" showDropDown="0" showInputMessage="0" showErrorMessage="0" allowBlank="0" type="list">
      <formula1>"ปิดปลาย,ยื่นปลาย,รางน้ำ"</formula1>
    </dataValidation>
    <dataValidation sqref="B19 B20 B21 B22 B23" showDropDown="0" showInputMessage="0" showErrorMessage="0" allowBlank="1" type="list">
      <formula1>"นูน,เว้า,ติดบ้าน"</formula1>
    </dataValidation>
    <dataValidation sqref="B7" showDropDown="0" showInputMessage="0" showErrorMessage="0" allowBlank="0" type="list">
      <formula1>"แปเดี่ยว,แปคู่"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2026-07-10T01:23:25Z</dcterms:created>
  <dcterms:modified xmlns:dcterms="http://purl.org/dc/terms/" xmlns:xsi="http://www.w3.org/2001/XMLSchema-instance" xsi:type="dcterms:W3CDTF">2026-07-13T01:31:57Z</dcterms:modified>
</cp:coreProperties>
</file>