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ิสระ+สลับ" sheetId="1" state="visible" r:id="rId1"/>
    <sheet xmlns:r="http://schemas.openxmlformats.org/officeDocument/2006/relationships" name="เปิดคู่กลาง" sheetId="2" state="visible" r:id="rId2"/>
    <sheet xmlns:r="http://schemas.openxmlformats.org/officeDocument/2006/relationships" name="ลากจู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  <font>
      <name val="Tahoma"/>
      <i val="1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2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0" fillId="6" borderId="1" applyAlignment="1" pivotButton="0" quotePrefix="0" xfId="0">
      <alignment horizontal="center"/>
    </xf>
    <xf numFmtId="0" fontId="7" fillId="0" borderId="0" pivotButton="0" quotePrefix="0" xfId="0"/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JR — ใบตัด SMS เลื่อนอิสระ/สลับ (จำนวนบาน N · รวมราง+โหนก) · ซม.</t>
        </is>
      </c>
      <c r="B1" s="3" t="n"/>
      <c r="C1" s="3" t="n"/>
      <c r="D1" s="3" t="n"/>
      <c r="E1" s="3" t="n"/>
      <c r="F1" s="4" t="n"/>
      <c r="Y1">
        <f>(COUNTIF($B$25:$B$26,"กุญแจ+ล็อค")+COUNTIF($B$25:$B$26,"ล็อค+ดัมมี่")+COUNTIF($B$25:$B$26,"ล็อค"))</f>
        <v/>
      </c>
      <c r="Z1">
        <f>IF($B$52="ประตู","กุญแจ+ล็อค","ล็อค")</f>
        <v/>
      </c>
      <c r="AA1" t="inlineStr">
        <is>
          <t>เมโทรกุญแจอบขาว</t>
        </is>
      </c>
      <c r="AB1" t="inlineStr">
        <is>
          <t>JR00368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  <c r="Z2">
        <f>IF($B$52="ประตู","ล็อค+ดัมมี่","ดัมมี่")</f>
        <v/>
      </c>
      <c r="AA2" t="inlineStr">
        <is>
          <t>เมโทรกุญแจดำ</t>
        </is>
      </c>
      <c r="AB2" t="inlineStr">
        <is>
          <t>JR00371</t>
        </is>
      </c>
    </row>
    <row r="3">
      <c r="A3" s="5" t="inlineStr">
        <is>
          <t>กว้างช่อง W →</t>
        </is>
      </c>
      <c r="B3" s="6" t="n">
        <v>350</v>
      </c>
      <c r="D3" s="10" t="inlineStr">
        <is>
          <t>N=3 อิสระ · N=2 สลับ</t>
        </is>
      </c>
      <c r="Z3">
        <f>IF($B$52="ประตู","ดัมมี่+ดัมมี่","")</f>
        <v/>
      </c>
      <c r="AA3" t="inlineStr">
        <is>
          <t>เมโทรล็อคอบขาว</t>
        </is>
      </c>
      <c r="AB3" t="inlineStr">
        <is>
          <t>JR00369</t>
        </is>
      </c>
    </row>
    <row r="4">
      <c r="A4" s="5" t="inlineStr">
        <is>
          <t>สูงช่อง H →</t>
        </is>
      </c>
      <c r="B4" s="6" t="n">
        <v>159</v>
      </c>
      <c r="D4" s="16" t="inlineStr">
        <is>
          <t>ขวางบน =(W−4.2N−11.2)/N</t>
        </is>
      </c>
      <c r="E4" s="17">
        <f>(B3-$F$46*B7-$F$47)/B7</f>
        <v/>
      </c>
      <c r="Z4">
        <f>IF($B$52="ประตู","Digital lock","")</f>
        <v/>
      </c>
      <c r="AA4" t="inlineStr">
        <is>
          <t>เมโทรล็อคดำ</t>
        </is>
      </c>
      <c r="AB4" t="inlineStr">
        <is>
          <t>JR00372</t>
        </is>
      </c>
    </row>
    <row r="5">
      <c r="A5" s="5" t="inlineStr">
        <is>
          <t>ราง →</t>
        </is>
      </c>
      <c r="B5" s="6" t="inlineStr">
        <is>
          <t>3รางเสียบ</t>
        </is>
      </c>
      <c r="AA5" t="inlineStr">
        <is>
          <t>เมโทรดัมมี่อบขาว</t>
        </is>
      </c>
      <c r="AB5" t="inlineStr">
        <is>
          <t>JR00370</t>
        </is>
      </c>
    </row>
    <row r="6">
      <c r="A6" s="5" t="inlineStr">
        <is>
          <t>โหนก →</t>
        </is>
      </c>
      <c r="B6" s="6" t="inlineStr">
        <is>
          <t>ไม่มี</t>
        </is>
      </c>
      <c r="AA6" t="inlineStr">
        <is>
          <t>เมโทรดัมมี่ดำ</t>
        </is>
      </c>
      <c r="AB6" t="inlineStr">
        <is>
          <t>JR00373</t>
        </is>
      </c>
    </row>
    <row r="7">
      <c r="A7" s="5" t="inlineStr">
        <is>
          <t>จำนวนบาน N →</t>
        </is>
      </c>
      <c r="B7" s="6" t="n">
        <v>3</v>
      </c>
      <c r="AA7" t="inlineStr">
        <is>
          <t>Alignกุญแจอบขาว</t>
        </is>
      </c>
      <c r="AB7" t="inlineStr">
        <is>
          <t>JR00377</t>
        </is>
      </c>
    </row>
    <row r="8">
      <c r="AA8" t="inlineStr">
        <is>
          <t>Alignล็อคอบขาว</t>
        </is>
      </c>
      <c r="AB8" t="inlineStr">
        <is>
          <t>JR00378</t>
        </is>
      </c>
    </row>
    <row r="9">
      <c r="A9" s="2" t="inlineStr">
        <is>
          <t>④ ใบตัดอลู · ยาว=ฐาน−⑦</t>
        </is>
      </c>
      <c r="B9" s="3" t="n"/>
      <c r="C9" s="3" t="n"/>
      <c r="D9" s="3" t="n"/>
      <c r="E9" s="3" t="n"/>
      <c r="F9" s="4" t="n"/>
      <c r="AA9" t="inlineStr">
        <is>
          <t>Alignดัมมี่อบขาว</t>
        </is>
      </c>
      <c r="AB9" t="inlineStr">
        <is>
          <t>JR00379</t>
        </is>
      </c>
    </row>
    <row r="10">
      <c r="A10" s="1" t="inlineStr">
        <is>
          <t>#</t>
        </is>
      </c>
      <c r="B10" s="1" t="inlineStr">
        <is>
          <t>โปรไฟล์</t>
        </is>
      </c>
      <c r="C10" s="1" t="inlineStr">
        <is>
          <t>รหัส</t>
        </is>
      </c>
      <c r="D10" s="1" t="inlineStr">
        <is>
          <t>ยาวตัด (ซม.)</t>
        </is>
      </c>
      <c r="E10" s="1" t="inlineStr">
        <is>
          <t>จำนวน</t>
        </is>
      </c>
      <c r="F10" s="1" t="inlineStr">
        <is>
          <t>เส้น6.4ม.</t>
        </is>
      </c>
      <c r="AA10" t="inlineStr">
        <is>
          <t>Alignกุญแจดำ</t>
        </is>
      </c>
      <c r="AB10" t="inlineStr">
        <is>
          <t>JR00374</t>
        </is>
      </c>
    </row>
    <row r="11">
      <c r="A11" s="9" t="n">
        <v>1</v>
      </c>
      <c r="B11" s="10" t="inlineStr">
        <is>
          <t>เฟรมล่าง</t>
        </is>
      </c>
      <c r="C11" s="9">
        <f>IF(B5="3รางเสียบ","B20041","B20046")</f>
        <v/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  <c r="AA11" t="inlineStr">
        <is>
          <t>Alignล็อคดำ</t>
        </is>
      </c>
      <c r="AB11" t="inlineStr">
        <is>
          <t>JR00375</t>
        </is>
      </c>
    </row>
    <row r="12">
      <c r="A12" s="9" t="n">
        <v>2</v>
      </c>
      <c r="B12" s="10" t="inlineStr">
        <is>
          <t>เฟรมบน</t>
        </is>
      </c>
      <c r="C12" s="9" t="inlineStr">
        <is>
          <t>B20001</t>
        </is>
      </c>
      <c r="D12" s="11">
        <f>B3-$F$41</f>
        <v/>
      </c>
      <c r="E12" s="12" t="inlineStr">
        <is>
          <t>1</t>
        </is>
      </c>
      <c r="F12" s="9">
        <f>IF(E12=0,"-",ROUNDUP(D12*E12/640,0))</f>
        <v/>
      </c>
      <c r="AA12" t="inlineStr">
        <is>
          <t>Alignดัมมี่ดำ</t>
        </is>
      </c>
      <c r="AB12" t="inlineStr">
        <is>
          <t>JR00376</t>
        </is>
      </c>
    </row>
    <row r="13">
      <c r="A13" s="9" t="n">
        <v>3</v>
      </c>
      <c r="B13" s="10" t="inlineStr">
        <is>
          <t>เฟรมข้าง</t>
        </is>
      </c>
      <c r="C13" s="9" t="inlineStr">
        <is>
          <t>B20003</t>
        </is>
      </c>
      <c r="D13" s="11">
        <f>B4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4</v>
      </c>
      <c r="B14" s="10" t="inlineStr">
        <is>
          <t>เสากุญแจ ML</t>
        </is>
      </c>
      <c r="C14" s="9" t="inlineStr">
        <is>
          <t>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5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IF(B6="มี",B7-1,2*(B7-1))</f>
        <v/>
      </c>
      <c r="F15" s="9">
        <f>IF(E15=0,"-",ROUNDUP(D15*E15/640,0))</f>
        <v/>
      </c>
    </row>
    <row r="16">
      <c r="A16" s="9" t="n">
        <v>6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IF(B6="มี",B7-1,0)</f>
        <v/>
      </c>
      <c r="F16" s="9">
        <f>IF(E16=0,"-",ROUNDUP(D16*E16/640,0))</f>
        <v/>
      </c>
    </row>
    <row r="17">
      <c r="A17" s="9" t="n">
        <v>7</v>
      </c>
      <c r="B17" s="10" t="inlineStr">
        <is>
          <t>ขวางบน</t>
        </is>
      </c>
      <c r="C17" s="9" t="inlineStr">
        <is>
          <t>B20054</t>
        </is>
      </c>
      <c r="D17" s="11">
        <f>(B3-$F$46*B7-$F$47)/B7</f>
        <v/>
      </c>
      <c r="E17" s="12">
        <f>B7</f>
        <v/>
      </c>
      <c r="F17" s="9">
        <f>IF(E17=0,"-",ROUNDUP(D17*E17/640,0))</f>
        <v/>
      </c>
    </row>
    <row r="18">
      <c r="A18" s="9" t="n">
        <v>8</v>
      </c>
      <c r="B18" s="10" t="inlineStr">
        <is>
          <t>ขวางล่าง</t>
        </is>
      </c>
      <c r="C18" s="9" t="inlineStr">
        <is>
          <t>B20054</t>
        </is>
      </c>
      <c r="D18" s="11">
        <f>(B3-$F$46*B7-$F$47)/B7</f>
        <v/>
      </c>
      <c r="E18" s="12">
        <f>B7</f>
        <v/>
      </c>
      <c r="F18" s="9">
        <f>IF(E18=0,"-",ROUNDUP(D18*E18/640,0))</f>
        <v/>
      </c>
    </row>
    <row r="19">
      <c r="A19" s="9" t="n">
        <v>9</v>
      </c>
      <c r="B19" s="10" t="inlineStr">
        <is>
          <t>ฝาปิดเฟรมข้าง</t>
        </is>
      </c>
      <c r="C19" s="9" t="inlineStr">
        <is>
          <t>B20019</t>
        </is>
      </c>
      <c r="D19" s="11">
        <f>B4-IF(B5="3รางเสียบ",$F$44,$F$45)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10</v>
      </c>
      <c r="B20" s="10" t="inlineStr">
        <is>
          <t>ตบเฟรมบน/ล่าง ร่องใน</t>
        </is>
      </c>
      <c r="C20" s="9" t="inlineStr">
        <is>
          <t>-</t>
        </is>
      </c>
      <c r="D20" s="11">
        <f>B3-$F$48</f>
        <v/>
      </c>
      <c r="E20" s="12">
        <f>MAX(3-B7,0)*2</f>
        <v/>
      </c>
      <c r="F20" s="9">
        <f>IF(E20=0,"-",ROUNDUP(D20*E20/640,0))</f>
        <v/>
      </c>
    </row>
    <row r="21">
      <c r="A21" s="9" t="n">
        <v>11</v>
      </c>
      <c r="B21" s="10" t="inlineStr">
        <is>
          <t>เบรคบาน ธรณี</t>
        </is>
      </c>
      <c r="C21" s="9" t="inlineStr">
        <is>
          <t>B20050</t>
        </is>
      </c>
      <c r="D21" s="11">
        <f>B3-$F$41</f>
        <v/>
      </c>
      <c r="E21" s="12">
        <f>IF(B5="รางเตี้ย7มม",2,0)</f>
        <v/>
      </c>
      <c r="F21" s="9">
        <f>IF(E21=0,"-",ROUNDUP(D21*E21/640,0))</f>
        <v/>
      </c>
    </row>
    <row r="23">
      <c r="A23" s="18" t="n"/>
    </row>
    <row r="24">
      <c r="A24" s="19" t="n"/>
      <c r="B24" s="29" t="n"/>
    </row>
    <row r="25">
      <c r="A25" s="19" t="n"/>
      <c r="B25" s="29" t="n"/>
    </row>
    <row r="26">
      <c r="A26" s="19" t="n"/>
      <c r="B26" s="29" t="n"/>
    </row>
    <row r="27">
      <c r="A27" s="30" t="n"/>
      <c r="B27" s="30" t="n"/>
      <c r="C27" s="30" t="n"/>
      <c r="D27" s="30" t="n"/>
      <c r="E27" s="30" t="n"/>
      <c r="F27" s="30" t="n"/>
    </row>
    <row r="28">
      <c r="A28" s="22" t="n"/>
      <c r="B28" s="23" t="n"/>
      <c r="C28" s="29" t="n"/>
      <c r="D28" s="31" t="n"/>
      <c r="E28" s="22" t="n"/>
      <c r="F28" s="25" t="n"/>
    </row>
    <row r="29">
      <c r="A29" s="22" t="n"/>
      <c r="B29" s="23" t="n"/>
      <c r="C29" s="29" t="n"/>
      <c r="D29" s="31" t="n"/>
      <c r="E29" s="22" t="n"/>
      <c r="F29" s="25" t="n"/>
    </row>
    <row r="30">
      <c r="A30" s="22" t="n"/>
      <c r="B30" s="23" t="n"/>
      <c r="C30" s="29" t="n"/>
      <c r="D30" s="31" t="n"/>
      <c r="E30" s="22" t="n"/>
      <c r="F30" s="25" t="n"/>
    </row>
    <row r="31">
      <c r="A31" s="22" t="n"/>
      <c r="B31" s="23" t="n"/>
      <c r="C31" s="29" t="n"/>
      <c r="D31" s="31" t="n"/>
      <c r="E31" s="22" t="n"/>
      <c r="F31" s="25" t="n"/>
    </row>
    <row r="32">
      <c r="A32" s="22" t="n"/>
      <c r="B32" s="23" t="n"/>
      <c r="C32" s="29" t="n"/>
      <c r="D32" s="31" t="n"/>
      <c r="E32" s="22" t="n"/>
      <c r="F32" s="25" t="n"/>
    </row>
    <row r="33">
      <c r="A33" s="22" t="n"/>
      <c r="B33" s="23" t="n"/>
      <c r="C33" s="29" t="n"/>
      <c r="D33" s="31" t="n"/>
      <c r="E33" s="22" t="n"/>
      <c r="F33" s="25" t="n"/>
    </row>
    <row r="34">
      <c r="A34" s="22" t="n"/>
      <c r="B34" s="23" t="n"/>
      <c r="C34" s="29" t="n"/>
      <c r="D34" s="31" t="n"/>
      <c r="E34" s="22" t="n"/>
      <c r="F34" s="25" t="n"/>
    </row>
    <row r="35">
      <c r="A35" s="22" t="n"/>
      <c r="B35" s="23" t="n"/>
      <c r="C35" s="29" t="n"/>
      <c r="D35" s="31" t="n"/>
      <c r="E35" s="22" t="n"/>
      <c r="F35" s="25" t="n"/>
    </row>
    <row r="36">
      <c r="A36" s="22" t="n"/>
      <c r="B36" s="23" t="n"/>
      <c r="C36" s="29" t="n"/>
      <c r="D36" s="31" t="n"/>
      <c r="E36" s="22" t="n"/>
      <c r="F36" s="25" t="n"/>
    </row>
    <row r="37">
      <c r="A37" s="22" t="n"/>
      <c r="B37" s="23" t="n"/>
      <c r="C37" s="29" t="n"/>
      <c r="D37" s="31" t="n"/>
      <c r="E37" s="22" t="n"/>
      <c r="F37" s="25" t="n"/>
    </row>
    <row r="38">
      <c r="A38" s="22" t="n"/>
      <c r="B38" s="23" t="n"/>
      <c r="C38" s="29" t="n"/>
      <c r="D38" s="31" t="n"/>
      <c r="E38" s="22" t="n"/>
      <c r="F38" s="25" t="n"/>
    </row>
    <row r="39">
      <c r="A39" s="22" t="n"/>
      <c r="B39" s="23" t="n"/>
      <c r="C39" s="29" t="n"/>
      <c r="D39" s="31" t="n"/>
      <c r="E39" s="22" t="n"/>
      <c r="F39" s="25" t="n"/>
    </row>
    <row r="40">
      <c r="A40" s="2" t="inlineStr">
        <is>
          <t>⑦ แผงค่าหัก (เหลือง · แก้เตี้ย2.3)</t>
        </is>
      </c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(3)</t>
        </is>
      </c>
      <c r="F43" s="15" t="n">
        <v>3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ขวางบน สปส.N (4.2)</t>
        </is>
      </c>
      <c r="F46" s="15" t="n">
        <v>4.2</v>
      </c>
    </row>
    <row r="47">
      <c r="B47" s="10" t="inlineStr">
        <is>
          <t>ขวางบน คงที่ (11.2)</t>
        </is>
      </c>
      <c r="F47" s="15" t="n">
        <v>11.2</v>
      </c>
    </row>
    <row r="48">
      <c r="B48" s="10" t="inlineStr">
        <is>
          <t>ตบร่องใน (3.5×2)</t>
        </is>
      </c>
      <c r="F48" s="15" t="n">
        <v>7</v>
      </c>
    </row>
    <row r="51">
      <c r="A51" s="18" t="inlineStr">
        <is>
          <t>⑤ อุปกรณ์ (รหัสเว้นว่าง รอพี่เติม · จำนวนลิงก์อัตโนมัติ)</t>
        </is>
      </c>
    </row>
    <row r="52">
      <c r="A52" s="19" t="inlineStr">
        <is>
          <t>ประเภทบาน →</t>
        </is>
      </c>
      <c r="B52" s="20" t="inlineStr">
        <is>
          <t>ประตู</t>
        </is>
      </c>
      <c r="D52" s="19" t="inlineStr">
        <is>
          <t>ยี่ห้อมือจับ →</t>
        </is>
      </c>
      <c r="E52" s="20" t="inlineStr">
        <is>
          <t>เมโทร</t>
        </is>
      </c>
    </row>
    <row r="53">
      <c r="A53" s="19" t="inlineStr">
        <is>
          <t>มือจับ ซ้าย →</t>
        </is>
      </c>
      <c r="B53" s="20" t="inlineStr">
        <is>
          <t>กุญแจ+ล็อค</t>
        </is>
      </c>
      <c r="D53" s="19" t="inlineStr">
        <is>
          <t>สีมือจับ →</t>
        </is>
      </c>
      <c r="E53" s="20" t="inlineStr">
        <is>
          <t>อบขาว</t>
        </is>
      </c>
    </row>
    <row r="54">
      <c r="A54" s="19" t="inlineStr">
        <is>
          <t>มือจับ ขวา →</t>
        </is>
      </c>
      <c r="B54" s="20" t="inlineStr">
        <is>
          <t>ล็อค+ดัมมี่</t>
        </is>
      </c>
    </row>
    <row r="55">
      <c r="A55" s="21" t="inlineStr">
        <is>
          <t>#</t>
        </is>
      </c>
      <c r="B55" s="21" t="inlineStr">
        <is>
          <t>อุปกรณ์</t>
        </is>
      </c>
      <c r="C55" s="21" t="inlineStr">
        <is>
          <t>รหัส SKU</t>
        </is>
      </c>
      <c r="D55" s="21" t="inlineStr">
        <is>
          <t>จำนวน</t>
        </is>
      </c>
      <c r="E55" s="21" t="inlineStr">
        <is>
          <t>หน่วย</t>
        </is>
      </c>
      <c r="F55" s="21" t="inlineStr">
        <is>
          <t>หมายเหตุ</t>
        </is>
      </c>
    </row>
    <row r="56">
      <c r="A56" s="22" t="n">
        <v>1</v>
      </c>
      <c r="B56" s="23" t="inlineStr">
        <is>
          <t>ล้อ 27</t>
        </is>
      </c>
      <c r="C56" s="20" t="inlineStr">
        <is>
          <t>JR00576</t>
        </is>
      </c>
      <c r="D56" s="24">
        <f>2*$B$7</f>
        <v/>
      </c>
      <c r="E56" s="22" t="inlineStr">
        <is>
          <t>ตัว</t>
        </is>
      </c>
      <c r="F56" s="25" t="inlineStr"/>
    </row>
    <row r="57">
      <c r="A57" s="22" t="n">
        <v>2</v>
      </c>
      <c r="B57" s="23">
        <f>"มือจับ กุญแจ ("&amp;$E$52&amp;")"</f>
        <v/>
      </c>
      <c r="C57" s="32">
        <f>VLOOKUP($E$52&amp;"กุญแจ"&amp;$E$53,$AA$1:$AB$12,2,0)</f>
        <v/>
      </c>
      <c r="D57" s="24">
        <f>COUNTIF($B$53:$B$54,"กุญแจ+ล็อค")</f>
        <v/>
      </c>
      <c r="E57" s="22" t="inlineStr">
        <is>
          <t>ชุด</t>
        </is>
      </c>
      <c r="F57" s="25" t="inlineStr"/>
    </row>
    <row r="58">
      <c r="A58" s="22" t="n">
        <v>3</v>
      </c>
      <c r="B58" s="23">
        <f>"มือจับ ล็อค ("&amp;$E$52&amp;")"</f>
        <v/>
      </c>
      <c r="C58" s="32">
        <f>VLOOKUP($E$52&amp;"ล็อค"&amp;$E$53,$AA$1:$AB$12,2,0)</f>
        <v/>
      </c>
      <c r="D58" s="24">
        <f>(COUNTIF($B$53:$B$54,"กุญแจ+ล็อค")+COUNTIF($B$53:$B$54,"ล็อค+ดัมมี่")+COUNTIF($B$53:$B$54,"ล็อค"))</f>
        <v/>
      </c>
      <c r="E58" s="22" t="inlineStr">
        <is>
          <t>ชุด</t>
        </is>
      </c>
      <c r="F58" s="25" t="inlineStr"/>
    </row>
    <row r="59">
      <c r="A59" s="22" t="n">
        <v>4</v>
      </c>
      <c r="B59" s="23">
        <f>"มือจับ ดัมมี่ ("&amp;$E$52&amp;")"</f>
        <v/>
      </c>
      <c r="C59" s="32">
        <f>VLOOKUP($E$52&amp;"ดัมมี่"&amp;$E$53,$AA$1:$AB$12,2,0)</f>
        <v/>
      </c>
      <c r="D59" s="24">
        <f>(COUNTIF($B$53:$B$54,"ล็อค+ดัมมี่")+2*COUNTIF($B$53:$B$54,"ดัมมี่+ดัมมี่")+COUNTIF($B$53:$B$54,"ดัมมี่"))</f>
        <v/>
      </c>
      <c r="E59" s="22" t="inlineStr">
        <is>
          <t>ชุด</t>
        </is>
      </c>
      <c r="F59" s="25" t="inlineStr"/>
    </row>
    <row r="60">
      <c r="A60" s="22" t="n">
        <v>5</v>
      </c>
      <c r="B60" s="23" t="inlineStr">
        <is>
          <t>Digital lock (ซื้อแยก)</t>
        </is>
      </c>
      <c r="C60" s="20" t="n"/>
      <c r="D60" s="24">
        <f>COUNTIF($B$53:$B$54,"Digital lock")</f>
        <v/>
      </c>
      <c r="E60" s="22" t="inlineStr">
        <is>
          <t>ชุด</t>
        </is>
      </c>
      <c r="F60" s="25" t="inlineStr">
        <is>
          <t>ไม่ตัดสต็อก · ไม่มีมือจับ</t>
        </is>
      </c>
    </row>
    <row r="61">
      <c r="A61" s="22" t="n">
        <v>6</v>
      </c>
      <c r="B61" s="23" t="inlineStr">
        <is>
          <t>แกนมือจับ A</t>
        </is>
      </c>
      <c r="C61" s="20" t="inlineStr">
        <is>
          <t>JR00478</t>
        </is>
      </c>
      <c r="D61" s="24">
        <f>2*(COUNTIF($B$53:$B$54,"กุญแจ+ล็อค")+COUNTIF($B$53:$B$54,"ล็อค+ดัมมี่")+COUNTIF($B$53:$B$54,"ล็อค"))</f>
        <v/>
      </c>
      <c r="E61" s="22" t="inlineStr">
        <is>
          <t>อัน</t>
        </is>
      </c>
      <c r="F61" s="25" t="inlineStr"/>
    </row>
    <row r="62">
      <c r="A62" s="22" t="n">
        <v>7</v>
      </c>
      <c r="B62" s="23" t="inlineStr">
        <is>
          <t>แกนมือจับ B</t>
        </is>
      </c>
      <c r="C62" s="20" t="inlineStr">
        <is>
          <t>JR00479</t>
        </is>
      </c>
      <c r="D62" s="24">
        <f>IF($B$4&gt;280,2,IF($B$4&gt;140,1,0))*(COUNTIF($B$53:$B$54,"กุญแจ+ล็อค")+COUNTIF($B$53:$B$54,"ล็อค+ดัมมี่")+COUNTIF($B$53:$B$54,"ล็อค"))</f>
        <v/>
      </c>
      <c r="E62" s="22" t="inlineStr">
        <is>
          <t>อัน</t>
        </is>
      </c>
      <c r="F62" s="25" t="inlineStr">
        <is>
          <t>สูง&gt;140→1 &gt;280→2</t>
        </is>
      </c>
    </row>
    <row r="63">
      <c r="A63" s="22" t="n">
        <v>8</v>
      </c>
      <c r="B63" s="23" t="inlineStr">
        <is>
          <t>ปลายมือจับ ดำ</t>
        </is>
      </c>
      <c r="C63" s="20" t="inlineStr">
        <is>
          <t>JR00476</t>
        </is>
      </c>
      <c r="D63" s="24">
        <f>2*(COUNTIF($B$53:$B$54,"กุญแจ+ล็อค")+COUNTIF($B$53:$B$54,"ล็อค+ดัมมี่")+COUNTIF($B$53:$B$54,"ล็อค"))</f>
        <v/>
      </c>
      <c r="E63" s="22" t="inlineStr">
        <is>
          <t>อัน</t>
        </is>
      </c>
      <c r="F63" s="25" t="inlineStr"/>
    </row>
    <row r="64">
      <c r="A64" s="22" t="n">
        <v>9</v>
      </c>
      <c r="B64" s="23" t="inlineStr">
        <is>
          <t>ตัวที เงิน</t>
        </is>
      </c>
      <c r="C64" s="20" t="inlineStr">
        <is>
          <t>JR00475</t>
        </is>
      </c>
      <c r="D64" s="24">
        <f>1*(COUNTIF($B$53:$B$54,"กุญแจ+ล็อค")+COUNTIF($B$53:$B$54,"ล็อค+ดัมมี่")+COUNTIF($B$53:$B$54,"ล็อค"))</f>
        <v/>
      </c>
      <c r="E64" s="22" t="inlineStr">
        <is>
          <t>อัน</t>
        </is>
      </c>
      <c r="F64" s="25" t="inlineStr"/>
    </row>
    <row r="65">
      <c r="A65" s="22" t="n">
        <v>10</v>
      </c>
      <c r="B65" s="23" t="inlineStr">
        <is>
          <t>น็อต 1" (ประกอบบาน)</t>
        </is>
      </c>
      <c r="C65" s="20" t="inlineStr">
        <is>
          <t>JR00864</t>
        </is>
      </c>
      <c r="D65" s="24">
        <f>4*$B$7</f>
        <v/>
      </c>
      <c r="E65" s="22" t="inlineStr">
        <is>
          <t>ตัว</t>
        </is>
      </c>
      <c r="F65" s="25" t="inlineStr"/>
    </row>
    <row r="66">
      <c r="A66" s="22" t="n">
        <v>11</v>
      </c>
      <c r="B66" s="23" t="inlineStr">
        <is>
          <t>น็อต 1" (ประกอบเฟรม)</t>
        </is>
      </c>
      <c r="C66" s="20" t="inlineStr">
        <is>
          <t>JR00864</t>
        </is>
      </c>
      <c r="D66" s="24">
        <f>8</f>
        <v/>
      </c>
      <c r="E66" s="22" t="inlineStr">
        <is>
          <t>ตัว</t>
        </is>
      </c>
      <c r="F66" s="25" t="inlineStr"/>
    </row>
    <row r="67">
      <c r="A67" s="22" t="n">
        <v>12</v>
      </c>
      <c r="B67" s="23" t="inlineStr">
        <is>
          <t>น็อต 6 หุน (ยึดล้อ)</t>
        </is>
      </c>
      <c r="C67" s="20" t="inlineStr">
        <is>
          <t>JR00863</t>
        </is>
      </c>
      <c r="D67" s="24">
        <f>4*$B$7</f>
        <v/>
      </c>
      <c r="E67" s="22" t="inlineStr">
        <is>
          <t>ตัว</t>
        </is>
      </c>
      <c r="F67" s="25" t="inlineStr"/>
    </row>
    <row r="68">
      <c r="A68" s="22" t="n">
        <v>13</v>
      </c>
      <c r="B68" s="23" t="inlineStr">
        <is>
          <t>สักหลาด 5×3 (รวม)</t>
        </is>
      </c>
      <c r="C68" s="20" t="inlineStr">
        <is>
          <t>JR00794</t>
        </is>
      </c>
      <c r="D68" s="24">
        <f>ROUND((2*2*($E$17+$D$14)*$B$7 + 2*$B$7*$D$12 + IF($B$5="รางเตี้ย7มม",0,2*$B$7*$D$11) + $D$13)/100,1)</f>
        <v/>
      </c>
      <c r="E68" s="22" t="inlineStr">
        <is>
          <t>ม.</t>
        </is>
      </c>
      <c r="F68" s="25" t="inlineStr">
        <is>
          <t>ม้วนละ 250ม. · เก็บเป็นเมตร ระบบสะสมครบม้วนค่อยตัดสต็อก</t>
        </is>
      </c>
    </row>
    <row r="69">
      <c r="A69" s="22" t="n">
        <v>14</v>
      </c>
      <c r="B69" s="23" t="inlineStr">
        <is>
          <t>ยางรูน้ำลง</t>
        </is>
      </c>
      <c r="C69" s="20" t="inlineStr">
        <is>
          <t>JR00589</t>
        </is>
      </c>
      <c r="D69" s="24">
        <f>2+MAX(0,ROUNDUP((($B$3-$F$41)-150)/50,0))</f>
        <v/>
      </c>
      <c r="E69" s="22" t="inlineStr">
        <is>
          <t>อัน</t>
        </is>
      </c>
      <c r="F69" s="25" t="inlineStr">
        <is>
          <t>2 + เฟรมล่าง&gt;150 เพิ่มทุก 50ซม.</t>
        </is>
      </c>
    </row>
    <row r="70">
      <c r="A70" s="22" t="n">
        <v>15</v>
      </c>
      <c r="B70" s="23" t="inlineStr">
        <is>
          <t>วาวรูน้ำออก</t>
        </is>
      </c>
      <c r="C70" s="20" t="inlineStr">
        <is>
          <t>JR00485</t>
        </is>
      </c>
      <c r="D70" s="24">
        <f>2+MAX(0,ROUNDUP((($B$3-$F$41)-150)/50,0))</f>
        <v/>
      </c>
      <c r="E70" s="22" t="inlineStr">
        <is>
          <t>อัน</t>
        </is>
      </c>
      <c r="F70" s="25" t="inlineStr">
        <is>
          <t>2 + เฟรมล่าง&gt;150 เพิ่มทุก 50ซม.</t>
        </is>
      </c>
    </row>
    <row r="71">
      <c r="A71" s="22" t="n">
        <v>16</v>
      </c>
      <c r="B71" s="23" t="inlineStr">
        <is>
          <t>ก้ามปูรับล็อค</t>
        </is>
      </c>
      <c r="C71" s="20" t="inlineStr">
        <is>
          <t>JR00477</t>
        </is>
      </c>
      <c r="D71" s="24">
        <f>D63</f>
        <v/>
      </c>
      <c r="E71" s="22" t="inlineStr">
        <is>
          <t>อัน</t>
        </is>
      </c>
      <c r="F71" s="25" t="inlineStr">
        <is>
          <t>เท่าปลายดำ</t>
        </is>
      </c>
    </row>
  </sheetData>
  <mergeCells count="3">
    <mergeCell ref="A2:F2"/>
    <mergeCell ref="A1:F1"/>
    <mergeCell ref="A9:F9"/>
  </mergeCells>
  <dataValidations count="7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  <dataValidation sqref="B52" showDropDown="0" showInputMessage="0" showErrorMessage="0" allowBlank="1" type="list">
      <formula1>"ประตู,หน้าต่าง"</formula1>
    </dataValidation>
    <dataValidation sqref="B53" showDropDown="0" showInputMessage="0" showErrorMessage="0" allowBlank="1" type="list">
      <formula1>=$Z$1:$Z$4</formula1>
    </dataValidation>
    <dataValidation sqref="B54" showDropDown="0" showInputMessage="0" showErrorMessage="0" allowBlank="1" type="list">
      <formula1>=$Z$1:$Z$4</formula1>
    </dataValidation>
    <dataValidation sqref="E52" showDropDown="0" showInputMessage="0" showErrorMessage="0" allowBlank="1" type="list">
      <formula1>"เมโทร,Align"</formula1>
    </dataValidation>
    <dataValidation sqref="E53" showDropDown="0" showInputMessage="0" showErrorMessage="0" allowBlank="1" type="list">
      <formula1>"อบขาว,ดำ"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3" customWidth="1" min="4" max="4"/>
    <col width="13" customWidth="1" min="5" max="5"/>
    <col width="13" customWidth="1" min="6" max="6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JR — ใบตัด SMS เปิดคู่กลาง (รวมราง+โหนก) · หน่วย ซม.</t>
        </is>
      </c>
      <c r="B1" s="3" t="n"/>
      <c r="C1" s="3" t="n"/>
      <c r="D1" s="3" t="n"/>
      <c r="E1" s="3" t="n"/>
      <c r="F1" s="4" t="n"/>
      <c r="Z1">
        <f>IF($B$52="ประตู","กุญแจ+ล็อค","ล็อค")</f>
        <v/>
      </c>
      <c r="AA1" t="inlineStr">
        <is>
          <t>เมโทรกุญแจอบขาว</t>
        </is>
      </c>
      <c r="AB1" t="inlineStr">
        <is>
          <t>JR00368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  <c r="Z2">
        <f>IF($B$52="ประตู","ล็อค+ดัมมี่","ดัมมี่")</f>
        <v/>
      </c>
      <c r="AA2" t="inlineStr">
        <is>
          <t>เมโทรกุญแจดำ</t>
        </is>
      </c>
      <c r="AB2" t="inlineStr">
        <is>
          <t>JR00371</t>
        </is>
      </c>
    </row>
    <row r="3">
      <c r="A3" s="5" t="inlineStr">
        <is>
          <t>กว้างช่อง W →</t>
        </is>
      </c>
      <c r="B3" s="6" t="n">
        <v>350</v>
      </c>
      <c r="D3" s="16" t="inlineStr">
        <is>
          <t>ขวางบน =(W−35.3)/4</t>
        </is>
      </c>
      <c r="E3" s="17">
        <f>(B3-$F$48)/$F$49</f>
        <v/>
      </c>
      <c r="Z3">
        <f>IF($B$52="ประตู","ดัมมี่+ดัมมี่","")</f>
        <v/>
      </c>
      <c r="AA3" t="inlineStr">
        <is>
          <t>เมโทรล็อคอบขาว</t>
        </is>
      </c>
      <c r="AB3" t="inlineStr">
        <is>
          <t>JR00369</t>
        </is>
      </c>
    </row>
    <row r="4">
      <c r="A4" s="5" t="inlineStr">
        <is>
          <t>สูงช่อง H →</t>
        </is>
      </c>
      <c r="B4" s="6" t="n">
        <v>159</v>
      </c>
      <c r="Z4">
        <f>IF($B$52="ประตู","Digital lock","")</f>
        <v/>
      </c>
      <c r="AA4" t="inlineStr">
        <is>
          <t>เมโทรล็อคดำ</t>
        </is>
      </c>
      <c r="AB4" t="inlineStr">
        <is>
          <t>JR00372</t>
        </is>
      </c>
    </row>
    <row r="5">
      <c r="A5" s="5" t="inlineStr">
        <is>
          <t>ราง →</t>
        </is>
      </c>
      <c r="B5" s="6" t="inlineStr">
        <is>
          <t>3รางเสียบ</t>
        </is>
      </c>
      <c r="AA5" t="inlineStr">
        <is>
          <t>เมโทรดัมมี่อบขาว</t>
        </is>
      </c>
      <c r="AB5" t="inlineStr">
        <is>
          <t>JR00370</t>
        </is>
      </c>
    </row>
    <row r="6">
      <c r="A6" s="5" t="inlineStr">
        <is>
          <t>โหนก →</t>
        </is>
      </c>
      <c r="B6" s="6" t="inlineStr">
        <is>
          <t>ไม่มี</t>
        </is>
      </c>
      <c r="AA6" t="inlineStr">
        <is>
          <t>เมโทรดัมมี่ดำ</t>
        </is>
      </c>
      <c r="AB6" t="inlineStr">
        <is>
          <t>JR00373</t>
        </is>
      </c>
    </row>
    <row r="7">
      <c r="AA7" t="inlineStr">
        <is>
          <t>Alignกุญแจอบขาว</t>
        </is>
      </c>
      <c r="AB7" t="inlineStr">
        <is>
          <t>JR00377</t>
        </is>
      </c>
    </row>
    <row r="8">
      <c r="A8" s="2" t="inlineStr">
        <is>
          <t>④ ใบตัดอลู · ยาว=ฐาน−⑦</t>
        </is>
      </c>
      <c r="B8" s="3" t="n"/>
      <c r="C8" s="3" t="n"/>
      <c r="D8" s="3" t="n"/>
      <c r="E8" s="3" t="n"/>
      <c r="F8" s="4" t="n"/>
      <c r="AA8" t="inlineStr">
        <is>
          <t>Alignล็อคอบขาว</t>
        </is>
      </c>
      <c r="AB8" t="inlineStr">
        <is>
          <t>JR00378</t>
        </is>
      </c>
    </row>
    <row r="9">
      <c r="A9" s="1" t="inlineStr">
        <is>
          <t>#</t>
        </is>
      </c>
      <c r="B9" s="1" t="inlineStr">
        <is>
          <t>โปรไฟล์</t>
        </is>
      </c>
      <c r="C9" s="1" t="inlineStr">
        <is>
          <t>รหัส</t>
        </is>
      </c>
      <c r="D9" s="1" t="inlineStr">
        <is>
          <t>ยาวตัด (ซม.)</t>
        </is>
      </c>
      <c r="E9" s="1" t="inlineStr">
        <is>
          <t>จำนวน</t>
        </is>
      </c>
      <c r="F9" s="1" t="inlineStr">
        <is>
          <t>เส้น6.4ม.</t>
        </is>
      </c>
      <c r="AA9" t="inlineStr">
        <is>
          <t>Alignดัมมี่อบขาว</t>
        </is>
      </c>
      <c r="AB9" t="inlineStr">
        <is>
          <t>JR00379</t>
        </is>
      </c>
    </row>
    <row r="10">
      <c r="A10" s="9" t="n">
        <v>1</v>
      </c>
      <c r="B10" s="10" t="inlineStr">
        <is>
          <t>เฟรมล่าง</t>
        </is>
      </c>
      <c r="C10" s="9">
        <f>IF(B5="3รางเสียบ","B20041","B20046")</f>
        <v/>
      </c>
      <c r="D10" s="11">
        <f>B3-$F$41</f>
        <v/>
      </c>
      <c r="E10" s="12" t="inlineStr">
        <is>
          <t>1</t>
        </is>
      </c>
      <c r="F10" s="9">
        <f>IF(E10=0,"-",ROUNDUP(D10*E10/640,0))</f>
        <v/>
      </c>
      <c r="AA10" t="inlineStr">
        <is>
          <t>Alignกุญแจดำ</t>
        </is>
      </c>
      <c r="AB10" t="inlineStr">
        <is>
          <t>JR00374</t>
        </is>
      </c>
    </row>
    <row r="11">
      <c r="A11" s="9" t="n">
        <v>2</v>
      </c>
      <c r="B11" s="10" t="inlineStr">
        <is>
          <t>เฟรมบน</t>
        </is>
      </c>
      <c r="C11" s="9" t="inlineStr">
        <is>
          <t>B20001</t>
        </is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  <c r="AA11" t="inlineStr">
        <is>
          <t>Alignล็อคดำ</t>
        </is>
      </c>
      <c r="AB11" t="inlineStr">
        <is>
          <t>JR00375</t>
        </is>
      </c>
    </row>
    <row r="12">
      <c r="A12" s="9" t="n">
        <v>3</v>
      </c>
      <c r="B12" s="10" t="inlineStr">
        <is>
          <t>เฟรมข้าง</t>
        </is>
      </c>
      <c r="C12" s="9" t="inlineStr">
        <is>
          <t>B20003</t>
        </is>
      </c>
      <c r="D12" s="11">
        <f>B4</f>
        <v/>
      </c>
      <c r="E12" s="12" t="inlineStr">
        <is>
          <t>2</t>
        </is>
      </c>
      <c r="F12" s="9">
        <f>IF(E12=0,"-",ROUNDUP(D12*E12/640,0))</f>
        <v/>
      </c>
      <c r="AA12" t="inlineStr">
        <is>
          <t>Alignดัมมี่ดำ</t>
        </is>
      </c>
      <c r="AB12" t="inlineStr">
        <is>
          <t>JR00376</t>
        </is>
      </c>
    </row>
    <row r="13">
      <c r="A13" s="9" t="n">
        <v>4</v>
      </c>
      <c r="B13" s="10" t="inlineStr">
        <is>
          <t>เสากุญแจมัลติพ้อย</t>
        </is>
      </c>
      <c r="C13" s="9" t="inlineStr">
        <is>
          <t>B20051</t>
        </is>
      </c>
      <c r="D13" s="11">
        <f>B4-IF(B5="3รางเสียบ",$F$42,$F$43)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5</v>
      </c>
      <c r="B14" s="10" t="inlineStr">
        <is>
          <t>เสากุญแจบานตาย</t>
        </is>
      </c>
      <c r="C14" s="9" t="inlineStr">
        <is>
          <t>B20051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6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IF(B6="มี",2,4)</f>
        <v/>
      </c>
      <c r="F15" s="9">
        <f>IF(E15=0,"-",ROUNDUP(D15*E15/640,0))</f>
        <v/>
      </c>
    </row>
    <row r="16">
      <c r="A16" s="9" t="n">
        <v>7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IF(B6="มี",2,0)</f>
        <v/>
      </c>
      <c r="F16" s="9">
        <f>IF(E16=0,"-",ROUNDUP(D16*E16/640,0))</f>
        <v/>
      </c>
    </row>
    <row r="17">
      <c r="A17" s="9" t="n">
        <v>8</v>
      </c>
      <c r="B17" s="10" t="inlineStr">
        <is>
          <t>ชนกลาง</t>
        </is>
      </c>
      <c r="C17" s="9" t="inlineStr">
        <is>
          <t>B20046</t>
        </is>
      </c>
      <c r="D17" s="11">
        <f>B4-IF(B5="3รางเสียบ",$F$42,$F$43)</f>
        <v/>
      </c>
      <c r="E17" s="12" t="inlineStr">
        <is>
          <t>1</t>
        </is>
      </c>
      <c r="F17" s="9">
        <f>IF(E17=0,"-",ROUNDUP(D17*E17/640,0))</f>
        <v/>
      </c>
    </row>
    <row r="18">
      <c r="A18" s="9" t="n">
        <v>9</v>
      </c>
      <c r="B18" s="10" t="inlineStr">
        <is>
          <t>ขวางบน</t>
        </is>
      </c>
      <c r="C18" s="9" t="inlineStr">
        <is>
          <t>B20054</t>
        </is>
      </c>
      <c r="D18" s="11">
        <f>(B3-$F$48)/$F$49</f>
        <v/>
      </c>
      <c r="E18" s="12" t="inlineStr">
        <is>
          <t>4</t>
        </is>
      </c>
      <c r="F18" s="9">
        <f>IF(E18=0,"-",ROUNDUP(D18*E18/640,0))</f>
        <v/>
      </c>
    </row>
    <row r="19">
      <c r="A19" s="9" t="n">
        <v>10</v>
      </c>
      <c r="B19" s="10" t="inlineStr">
        <is>
          <t>ขวางล่าง</t>
        </is>
      </c>
      <c r="C19" s="9" t="inlineStr">
        <is>
          <t>B20054</t>
        </is>
      </c>
      <c r="D19" s="11">
        <f>(B3-$F$48)/$F$49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11</v>
      </c>
      <c r="B20" s="10" t="inlineStr">
        <is>
          <t>ฝาปิดเฟรมข้าง</t>
        </is>
      </c>
      <c r="C20" s="9" t="inlineStr">
        <is>
          <t>B20019</t>
        </is>
      </c>
      <c r="D20" s="11">
        <f>B4-IF(B5="3รางเสียบ",$F$44,$F$45)</f>
        <v/>
      </c>
      <c r="E20" s="12" t="inlineStr">
        <is>
          <t>4</t>
        </is>
      </c>
      <c r="F20" s="9">
        <f>IF(E20=0,"-",ROUNDUP(D20*E20/640,0))</f>
        <v/>
      </c>
    </row>
    <row r="21">
      <c r="A21" s="9" t="n">
        <v>12</v>
      </c>
      <c r="B21" s="10" t="inlineStr">
        <is>
          <t>ตบเฟรมบน/ล่าง ร่องใน</t>
        </is>
      </c>
      <c r="C21" s="9" t="inlineStr">
        <is>
          <t>-</t>
        </is>
      </c>
      <c r="D21" s="11">
        <f>B3-$F$46</f>
        <v/>
      </c>
      <c r="E21" s="12" t="inlineStr">
        <is>
          <t>2</t>
        </is>
      </c>
      <c r="F21" s="9">
        <f>IF(E21=0,"-",ROUNDUP(D21*E21/640,0))</f>
        <v/>
      </c>
    </row>
    <row r="22">
      <c r="A22" s="9" t="n">
        <v>13</v>
      </c>
      <c r="B22" s="10" t="inlineStr">
        <is>
          <t>ตบเฟรมบน/ล่าง ร่องกลาง</t>
        </is>
      </c>
      <c r="C22" s="9" t="inlineStr">
        <is>
          <t>-</t>
        </is>
      </c>
      <c r="D22" s="11">
        <f>D11-2*(D19+9.7)</f>
        <v/>
      </c>
      <c r="E22" s="12" t="inlineStr">
        <is>
          <t>2</t>
        </is>
      </c>
      <c r="F22" s="9" t="inlineStr">
        <is>
          <t>เฟรมบน − 2×(ขวางล่าง+9.7)</t>
        </is>
      </c>
    </row>
    <row r="23">
      <c r="A23" s="9" t="n">
        <v>14</v>
      </c>
      <c r="B23" s="10" t="inlineStr">
        <is>
          <t>เบรคบาน ธรณี</t>
        </is>
      </c>
      <c r="C23" s="9" t="inlineStr">
        <is>
          <t>B20050</t>
        </is>
      </c>
      <c r="D23" s="11">
        <f>B3-$F$41</f>
        <v/>
      </c>
      <c r="E23" s="12">
        <f>IF(B5="รางเตี้ย7มม",2,0)</f>
        <v/>
      </c>
      <c r="F23" s="9">
        <f>IF(E23=0,"-",ROUNDUP(D23*E23/640,0))</f>
        <v/>
      </c>
    </row>
    <row r="25">
      <c r="A25" s="18" t="n"/>
    </row>
    <row r="26">
      <c r="A26" s="19" t="n"/>
      <c r="B26" s="29" t="n"/>
    </row>
    <row r="27">
      <c r="A27" s="19" t="n"/>
      <c r="B27" s="29" t="n"/>
    </row>
    <row r="28">
      <c r="A28" s="19" t="n"/>
      <c r="B28" s="29" t="n"/>
    </row>
    <row r="29">
      <c r="A29" s="30" t="n"/>
      <c r="B29" s="30" t="n"/>
      <c r="C29" s="30" t="n"/>
      <c r="D29" s="30" t="n"/>
      <c r="E29" s="30" t="n"/>
      <c r="F29" s="30" t="n"/>
    </row>
    <row r="30">
      <c r="A30" s="22" t="n"/>
      <c r="B30" s="23" t="n"/>
      <c r="C30" s="29" t="n"/>
      <c r="D30" s="31" t="n"/>
      <c r="E30" s="22" t="n"/>
      <c r="F30" s="25" t="n"/>
    </row>
    <row r="31">
      <c r="A31" s="22" t="n"/>
      <c r="B31" s="23" t="n"/>
      <c r="C31" s="29" t="n"/>
      <c r="D31" s="31" t="n"/>
      <c r="E31" s="22" t="n"/>
      <c r="F31" s="25" t="n"/>
    </row>
    <row r="32">
      <c r="A32" s="22" t="n"/>
      <c r="B32" s="23" t="n"/>
      <c r="C32" s="29" t="n"/>
      <c r="D32" s="31" t="n"/>
      <c r="E32" s="22" t="n"/>
      <c r="F32" s="25" t="n"/>
    </row>
    <row r="33">
      <c r="A33" s="22" t="n"/>
      <c r="B33" s="23" t="n"/>
      <c r="C33" s="29" t="n"/>
      <c r="D33" s="31" t="n"/>
      <c r="E33" s="22" t="n"/>
      <c r="F33" s="25" t="n"/>
    </row>
    <row r="34">
      <c r="A34" s="22" t="n"/>
      <c r="B34" s="23" t="n"/>
      <c r="C34" s="29" t="n"/>
      <c r="D34" s="31" t="n"/>
      <c r="E34" s="22" t="n"/>
      <c r="F34" s="25" t="n"/>
    </row>
    <row r="35">
      <c r="A35" s="22" t="n"/>
      <c r="B35" s="23" t="n"/>
      <c r="C35" s="29" t="n"/>
      <c r="D35" s="31" t="n"/>
      <c r="E35" s="22" t="n"/>
      <c r="F35" s="25" t="n"/>
    </row>
    <row r="36">
      <c r="A36" s="22" t="n"/>
      <c r="B36" s="23" t="n"/>
      <c r="C36" s="29" t="n"/>
      <c r="D36" s="31" t="n"/>
      <c r="E36" s="22" t="n"/>
      <c r="F36" s="25" t="n"/>
    </row>
    <row r="37">
      <c r="A37" s="22" t="n"/>
      <c r="B37" s="23" t="n"/>
      <c r="C37" s="29" t="n"/>
      <c r="D37" s="31" t="n"/>
      <c r="E37" s="22" t="n"/>
      <c r="F37" s="25" t="n"/>
    </row>
    <row r="38">
      <c r="A38" s="22" t="n"/>
      <c r="B38" s="23" t="n"/>
      <c r="C38" s="29" t="n"/>
      <c r="D38" s="31" t="n"/>
      <c r="E38" s="22" t="n"/>
      <c r="F38" s="25" t="n"/>
    </row>
    <row r="39">
      <c r="A39" s="22" t="n"/>
      <c r="B39" s="23" t="n"/>
      <c r="C39" s="29" t="n"/>
      <c r="D39" s="31" t="n"/>
      <c r="E39" s="22" t="n"/>
      <c r="F39" s="25" t="n"/>
    </row>
    <row r="40">
      <c r="A40" s="22" t="inlineStr">
        <is>
          <t>⑦ แผงค่าหัก (จากชีทเดิม+แก้เตี้ย2.3 · เหลือง)</t>
        </is>
      </c>
      <c r="B40" s="23" t="n"/>
      <c r="C40" s="29" t="n"/>
      <c r="D40" s="31" t="n"/>
      <c r="E40" s="22" t="n"/>
      <c r="F40" s="25" t="n"/>
    </row>
    <row r="41">
      <c r="A41" s="22" t="n"/>
      <c r="B41" s="27" t="inlineStr">
        <is>
          <t>เฟรม (2.2×2)</t>
        </is>
      </c>
      <c r="C41" s="29" t="n"/>
      <c r="D41" s="31" t="n"/>
      <c r="E41" s="22" t="n"/>
      <c r="F41" s="28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(3.2)</t>
        </is>
      </c>
      <c r="F43" s="15" t="n">
        <v>3.2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ตบร่องใน (3.5×2)</t>
        </is>
      </c>
      <c r="F46" s="15" t="n">
        <v>7</v>
      </c>
    </row>
    <row r="47">
      <c r="B47" s="10" t="inlineStr">
        <is>
          <t>ตบร่องกลาง +เพิ่ม (11.5)</t>
        </is>
      </c>
      <c r="F47" s="15" t="n">
        <v>11.5</v>
      </c>
    </row>
    <row r="48">
      <c r="B48" s="10" t="inlineStr">
        <is>
          <t>ขวางบน หัก (35.3)</t>
        </is>
      </c>
      <c r="F48" s="15" t="n">
        <v>35.3</v>
      </c>
    </row>
    <row r="49">
      <c r="B49" s="10" t="inlineStr">
        <is>
          <t>ขวางบน หาร (4)</t>
        </is>
      </c>
      <c r="F49" s="15" t="n">
        <v>4</v>
      </c>
    </row>
    <row r="51">
      <c r="A51" s="18" t="inlineStr">
        <is>
          <t>⑤ อุปกรณ์ (รหัสเว้นว่าง รอพี่เติม · จำนวนลิงก์อัตโนมัติ)</t>
        </is>
      </c>
    </row>
    <row r="52">
      <c r="A52" s="19" t="inlineStr">
        <is>
          <t>ประเภทบาน →</t>
        </is>
      </c>
      <c r="B52" s="20" t="inlineStr">
        <is>
          <t>ประตู</t>
        </is>
      </c>
      <c r="D52" s="19" t="inlineStr">
        <is>
          <t>ยี่ห้อมือจับ →</t>
        </is>
      </c>
      <c r="E52" s="20" t="inlineStr">
        <is>
          <t>เมโทร</t>
        </is>
      </c>
    </row>
    <row r="53">
      <c r="A53" s="19" t="inlineStr">
        <is>
          <t>มือจับ ซ้าย →</t>
        </is>
      </c>
      <c r="B53" s="20" t="inlineStr">
        <is>
          <t>กุญแจ+ล็อค</t>
        </is>
      </c>
      <c r="D53" s="19" t="inlineStr">
        <is>
          <t>สีมือจับ →</t>
        </is>
      </c>
      <c r="E53" s="20" t="inlineStr">
        <is>
          <t>อบขาว</t>
        </is>
      </c>
    </row>
    <row r="54">
      <c r="A54" s="19" t="inlineStr">
        <is>
          <t>มือจับ ขวา →</t>
        </is>
      </c>
      <c r="B54" s="20" t="inlineStr">
        <is>
          <t>ล็อค+ดัมมี่</t>
        </is>
      </c>
    </row>
    <row r="55">
      <c r="A55" s="21" t="inlineStr">
        <is>
          <t>#</t>
        </is>
      </c>
      <c r="B55" s="21" t="inlineStr">
        <is>
          <t>อุปกรณ์</t>
        </is>
      </c>
      <c r="C55" s="21" t="inlineStr">
        <is>
          <t>รหัส SKU</t>
        </is>
      </c>
      <c r="D55" s="21" t="inlineStr">
        <is>
          <t>จำนวน</t>
        </is>
      </c>
      <c r="E55" s="21" t="inlineStr">
        <is>
          <t>หน่วย</t>
        </is>
      </c>
      <c r="F55" s="21" t="inlineStr">
        <is>
          <t>หมายเหตุ</t>
        </is>
      </c>
    </row>
    <row r="56">
      <c r="A56" s="22" t="n">
        <v>1</v>
      </c>
      <c r="B56" s="23" t="inlineStr">
        <is>
          <t>ล้อ 27</t>
        </is>
      </c>
      <c r="C56" s="20" t="inlineStr">
        <is>
          <t>JR00576</t>
        </is>
      </c>
      <c r="D56" s="24">
        <f>2*2</f>
        <v/>
      </c>
      <c r="E56" s="22" t="inlineStr">
        <is>
          <t>ตัว</t>
        </is>
      </c>
      <c r="F56" s="25" t="inlineStr"/>
    </row>
    <row r="57">
      <c r="A57" s="22" t="n">
        <v>2</v>
      </c>
      <c r="B57" s="23">
        <f>"มือจับ กุญแจ ("&amp;$E$52&amp;")"</f>
        <v/>
      </c>
      <c r="C57" s="32">
        <f>VLOOKUP($E$52&amp;"กุญแจ"&amp;$E$53,$AA$1:$AB$12,2,0)</f>
        <v/>
      </c>
      <c r="D57" s="24">
        <f>COUNTIF($B$53:$B$54,"กุญแจ+ล็อค")</f>
        <v/>
      </c>
      <c r="E57" s="22" t="inlineStr">
        <is>
          <t>ชุด</t>
        </is>
      </c>
      <c r="F57" s="25" t="inlineStr"/>
    </row>
    <row r="58">
      <c r="A58" s="22" t="n">
        <v>3</v>
      </c>
      <c r="B58" s="23">
        <f>"มือจับ ล็อค ("&amp;$E$52&amp;")"</f>
        <v/>
      </c>
      <c r="C58" s="32">
        <f>VLOOKUP($E$52&amp;"ล็อค"&amp;$E$53,$AA$1:$AB$12,2,0)</f>
        <v/>
      </c>
      <c r="D58" s="24">
        <f>(COUNTIF($B$53:$B$54,"กุญแจ+ล็อค")+COUNTIF($B$53:$B$54,"ล็อค+ดัมมี่")+COUNTIF($B$53:$B$54,"ล็อค"))</f>
        <v/>
      </c>
      <c r="E58" s="22" t="inlineStr">
        <is>
          <t>ชุด</t>
        </is>
      </c>
      <c r="F58" s="25" t="inlineStr"/>
    </row>
    <row r="59">
      <c r="A59" s="22" t="n">
        <v>4</v>
      </c>
      <c r="B59" s="23">
        <f>"มือจับ ดัมมี่ ("&amp;$E$52&amp;")"</f>
        <v/>
      </c>
      <c r="C59" s="32">
        <f>VLOOKUP($E$52&amp;"ดัมมี่"&amp;$E$53,$AA$1:$AB$12,2,0)</f>
        <v/>
      </c>
      <c r="D59" s="24">
        <f>(COUNTIF($B$53:$B$54,"ล็อค+ดัมมี่")+2*COUNTIF($B$53:$B$54,"ดัมมี่+ดัมมี่")+COUNTIF($B$53:$B$54,"ดัมมี่"))</f>
        <v/>
      </c>
      <c r="E59" s="22" t="inlineStr">
        <is>
          <t>ชุด</t>
        </is>
      </c>
      <c r="F59" s="25" t="inlineStr"/>
    </row>
    <row r="60">
      <c r="A60" s="22" t="n">
        <v>5</v>
      </c>
      <c r="B60" s="23" t="inlineStr">
        <is>
          <t>Digital lock (ซื้อแยก)</t>
        </is>
      </c>
      <c r="C60" s="20" t="n"/>
      <c r="D60" s="24">
        <f>COUNTIF($B$53:$B$54,"Digital lock")</f>
        <v/>
      </c>
      <c r="E60" s="22" t="inlineStr">
        <is>
          <t>ชุด</t>
        </is>
      </c>
      <c r="F60" s="25" t="inlineStr">
        <is>
          <t>ไม่ตัดสต็อก · ไม่มีมือจับ</t>
        </is>
      </c>
    </row>
    <row r="61">
      <c r="A61" s="22" t="n">
        <v>6</v>
      </c>
      <c r="B61" s="23" t="inlineStr">
        <is>
          <t>แกนมือจับ A</t>
        </is>
      </c>
      <c r="C61" s="20" t="inlineStr">
        <is>
          <t>JR00478</t>
        </is>
      </c>
      <c r="D61" s="24">
        <f>2*(COUNTIF($B$53:$B$54,"กุญแจ+ล็อค")+COUNTIF($B$53:$B$54,"ล็อค+ดัมมี่")+COUNTIF($B$53:$B$54,"ล็อค"))</f>
        <v/>
      </c>
      <c r="E61" s="22" t="inlineStr">
        <is>
          <t>อัน</t>
        </is>
      </c>
      <c r="F61" s="25" t="inlineStr"/>
    </row>
    <row r="62">
      <c r="A62" s="22" t="n">
        <v>7</v>
      </c>
      <c r="B62" s="23" t="inlineStr">
        <is>
          <t>แกนมือจับ B</t>
        </is>
      </c>
      <c r="C62" s="20" t="inlineStr">
        <is>
          <t>JR00479</t>
        </is>
      </c>
      <c r="D62" s="24">
        <f>IF($B$4&gt;280,2,IF($B$4&gt;140,1,0))*(COUNTIF($B$53:$B$54,"กุญแจ+ล็อค")+COUNTIF($B$53:$B$54,"ล็อค+ดัมมี่")+COUNTIF($B$53:$B$54,"ล็อค"))</f>
        <v/>
      </c>
      <c r="E62" s="22" t="inlineStr">
        <is>
          <t>อัน</t>
        </is>
      </c>
      <c r="F62" s="25" t="inlineStr">
        <is>
          <t>สูง&gt;140→1 &gt;280→2</t>
        </is>
      </c>
    </row>
    <row r="63">
      <c r="A63" s="22" t="n">
        <v>8</v>
      </c>
      <c r="B63" s="23" t="inlineStr">
        <is>
          <t>ปลายมือจับ ดำ</t>
        </is>
      </c>
      <c r="C63" s="20" t="inlineStr">
        <is>
          <t>JR00476</t>
        </is>
      </c>
      <c r="D63" s="24">
        <f>2*(COUNTIF($B$53:$B$54,"กุญแจ+ล็อค")+COUNTIF($B$53:$B$54,"ล็อค+ดัมมี่")+COUNTIF($B$53:$B$54,"ล็อค"))</f>
        <v/>
      </c>
      <c r="E63" s="22" t="inlineStr">
        <is>
          <t>อัน</t>
        </is>
      </c>
      <c r="F63" s="25" t="inlineStr"/>
    </row>
    <row r="64">
      <c r="A64" s="22" t="n">
        <v>9</v>
      </c>
      <c r="B64" s="23" t="inlineStr">
        <is>
          <t>ตัวที เงิน</t>
        </is>
      </c>
      <c r="C64" s="20" t="inlineStr">
        <is>
          <t>JR00475</t>
        </is>
      </c>
      <c r="D64" s="24">
        <f>1*(COUNTIF($B$53:$B$54,"กุญแจ+ล็อค")+COUNTIF($B$53:$B$54,"ล็อค+ดัมมี่")+COUNTIF($B$53:$B$54,"ล็อค"))</f>
        <v/>
      </c>
      <c r="E64" s="22" t="inlineStr">
        <is>
          <t>อัน</t>
        </is>
      </c>
      <c r="F64" s="25" t="inlineStr"/>
    </row>
    <row r="65">
      <c r="A65" s="22" t="n">
        <v>10</v>
      </c>
      <c r="B65" s="23" t="inlineStr">
        <is>
          <t>น็อต 1" (ประกอบบาน)</t>
        </is>
      </c>
      <c r="C65" s="20" t="inlineStr">
        <is>
          <t>JR00864</t>
        </is>
      </c>
      <c r="D65" s="24">
        <f>4*2</f>
        <v/>
      </c>
      <c r="E65" s="22" t="inlineStr">
        <is>
          <t>ตัว</t>
        </is>
      </c>
      <c r="F65" s="25" t="inlineStr"/>
    </row>
    <row r="66">
      <c r="A66" s="22" t="n">
        <v>11</v>
      </c>
      <c r="B66" s="23" t="inlineStr">
        <is>
          <t>น็อต 1" (ประกอบเฟรม)</t>
        </is>
      </c>
      <c r="C66" s="20" t="inlineStr">
        <is>
          <t>JR00864</t>
        </is>
      </c>
      <c r="D66" s="24">
        <f>8</f>
        <v/>
      </c>
      <c r="E66" s="22" t="inlineStr">
        <is>
          <t>ตัว</t>
        </is>
      </c>
      <c r="F66" s="25" t="inlineStr"/>
    </row>
    <row r="67">
      <c r="A67" s="22" t="n">
        <v>12</v>
      </c>
      <c r="B67" s="23" t="inlineStr">
        <is>
          <t>น็อต 6 หุน (ยึดล้อ)</t>
        </is>
      </c>
      <c r="C67" s="20" t="inlineStr">
        <is>
          <t>JR00863</t>
        </is>
      </c>
      <c r="D67" s="24">
        <f>4*2</f>
        <v/>
      </c>
      <c r="E67" s="22" t="inlineStr">
        <is>
          <t>ตัว</t>
        </is>
      </c>
      <c r="F67" s="25" t="inlineStr"/>
    </row>
    <row r="68">
      <c r="A68" s="22" t="n">
        <v>13</v>
      </c>
      <c r="B68" s="23" t="inlineStr">
        <is>
          <t>สักหลาด 5×3 (รวม)</t>
        </is>
      </c>
      <c r="C68" s="20" t="inlineStr">
        <is>
          <t>JR00794</t>
        </is>
      </c>
      <c r="D68" s="24">
        <f>ROUND((2*2*($D$18+$D$13)*2 + 2*2*$D$11 + IF($B$5="รางเตี้ย7มม",0,2*2*$D$10) + $D$12)/100,1)</f>
        <v/>
      </c>
      <c r="E68" s="22" t="inlineStr">
        <is>
          <t>ม.</t>
        </is>
      </c>
      <c r="F68" s="25" t="inlineStr">
        <is>
          <t>ม้วนละ 250ม. · เก็บเป็นเมตร ระบบสะสมครบม้วนค่อยตัดสต็อก</t>
        </is>
      </c>
    </row>
    <row r="69">
      <c r="A69" s="22" t="n">
        <v>14</v>
      </c>
      <c r="B69" s="23" t="inlineStr">
        <is>
          <t>ยางรูน้ำลง</t>
        </is>
      </c>
      <c r="C69" s="20" t="inlineStr">
        <is>
          <t>JR00589</t>
        </is>
      </c>
      <c r="D69" s="24">
        <f>2+MAX(0,ROUNDUP((($B$3-$F$41)-150)/50,0))</f>
        <v/>
      </c>
      <c r="E69" s="22" t="inlineStr">
        <is>
          <t>อัน</t>
        </is>
      </c>
      <c r="F69" s="25" t="inlineStr">
        <is>
          <t>2 + เฟรมล่าง&gt;150 เพิ่มทุก 50ซม.</t>
        </is>
      </c>
    </row>
    <row r="70">
      <c r="A70" s="22" t="n">
        <v>15</v>
      </c>
      <c r="B70" s="23" t="inlineStr">
        <is>
          <t>วาวรูน้ำออก</t>
        </is>
      </c>
      <c r="C70" s="20" t="inlineStr">
        <is>
          <t>JR00485</t>
        </is>
      </c>
      <c r="D70" s="24">
        <f>2+MAX(0,ROUNDUP((($B$3-$F$41)-150)/50,0))</f>
        <v/>
      </c>
      <c r="E70" s="22" t="inlineStr">
        <is>
          <t>อัน</t>
        </is>
      </c>
      <c r="F70" s="25" t="inlineStr">
        <is>
          <t>2 + เฟรมล่าง&gt;150 เพิ่มทุก 50ซม.</t>
        </is>
      </c>
    </row>
    <row r="71">
      <c r="A71" s="22" t="n">
        <v>16</v>
      </c>
      <c r="B71" s="23" t="inlineStr">
        <is>
          <t>ก้ามปูรับล็อค</t>
        </is>
      </c>
      <c r="C71" s="20" t="inlineStr">
        <is>
          <t>JR00477</t>
        </is>
      </c>
      <c r="D71" s="24">
        <f>D63</f>
        <v/>
      </c>
      <c r="E71" s="22" t="inlineStr">
        <is>
          <t>อัน</t>
        </is>
      </c>
      <c r="F71" s="25" t="inlineStr">
        <is>
          <t>เท่าปลายดำ</t>
        </is>
      </c>
    </row>
  </sheetData>
  <mergeCells count="3">
    <mergeCell ref="A8:F8"/>
    <mergeCell ref="A2:F2"/>
    <mergeCell ref="A1:F1"/>
  </mergeCells>
  <dataValidations count="7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  <dataValidation sqref="B52" showDropDown="0" showInputMessage="0" showErrorMessage="0" allowBlank="1" type="list">
      <formula1>"ประตู,หน้าต่าง"</formula1>
    </dataValidation>
    <dataValidation sqref="B53" showDropDown="0" showInputMessage="0" showErrorMessage="0" allowBlank="1" type="list">
      <formula1>=$Z$1:$Z$4</formula1>
    </dataValidation>
    <dataValidation sqref="B54" showDropDown="0" showInputMessage="0" showErrorMessage="0" allowBlank="1" type="list">
      <formula1>=$Z$1:$Z$4</formula1>
    </dataValidation>
    <dataValidation sqref="E52" showDropDown="0" showInputMessage="0" showErrorMessage="0" allowBlank="1" type="list">
      <formula1>"เมโทร,Align"</formula1>
    </dataValidation>
    <dataValidation sqref="E53" showDropDown="0" showInputMessage="0" showErrorMessage="0" allowBlank="1" type="list">
      <formula1>"อบขาว,ดำ"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JR — ใบตัด SMS ลากจูง (บานลากกองข้างเดียว · รวมราง+โหนก) · ซม.</t>
        </is>
      </c>
      <c r="B1" s="3" t="n"/>
      <c r="C1" s="3" t="n"/>
      <c r="D1" s="3" t="n"/>
      <c r="E1" s="3" t="n"/>
      <c r="F1" s="4" t="n"/>
      <c r="Z1">
        <f>IF($B$52="ประตู","กุญแจ+ล็อค","ล็อค")</f>
        <v/>
      </c>
      <c r="AA1" t="inlineStr">
        <is>
          <t>เมโทรกุญแจอบขาว</t>
        </is>
      </c>
      <c r="AB1" t="inlineStr">
        <is>
          <t>JR00368</t>
        </is>
      </c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  <c r="Z2">
        <f>IF($B$52="ประตู","ล็อค+ดัมมี่","ดัมมี่")</f>
        <v/>
      </c>
      <c r="AA2" t="inlineStr">
        <is>
          <t>เมโทรกุญแจดำ</t>
        </is>
      </c>
      <c r="AB2" t="inlineStr">
        <is>
          <t>JR00371</t>
        </is>
      </c>
    </row>
    <row r="3">
      <c r="A3" s="5" t="inlineStr">
        <is>
          <t>กว้างช่อง W →</t>
        </is>
      </c>
      <c r="B3" s="6" t="n">
        <v>200</v>
      </c>
      <c r="D3" t="inlineStr">
        <is>
          <t>N=3 ลากจูง · N=2 เลื่อนเดี่ยว</t>
        </is>
      </c>
      <c r="Z3">
        <f>IF($B$52="ประตู","ดัมมี่+ดัมมี่","")</f>
        <v/>
      </c>
      <c r="AA3" t="inlineStr">
        <is>
          <t>เมโทรล็อคอบขาว</t>
        </is>
      </c>
      <c r="AB3" t="inlineStr">
        <is>
          <t>JR00369</t>
        </is>
      </c>
    </row>
    <row r="4">
      <c r="A4" s="5" t="inlineStr">
        <is>
          <t>สูงช่อง H →</t>
        </is>
      </c>
      <c r="B4" s="6" t="n">
        <v>240</v>
      </c>
      <c r="D4" s="16" t="inlineStr">
        <is>
          <t>ขวางบน =(W−4.2N−11.2)/N</t>
        </is>
      </c>
      <c r="E4" s="17">
        <f>(B3-$F$46*B7-$F$47)/B7</f>
        <v/>
      </c>
      <c r="Z4">
        <f>IF($B$52="ประตู","Digital lock","")</f>
        <v/>
      </c>
      <c r="AA4" t="inlineStr">
        <is>
          <t>เมโทรล็อคดำ</t>
        </is>
      </c>
      <c r="AB4" t="inlineStr">
        <is>
          <t>JR00372</t>
        </is>
      </c>
    </row>
    <row r="5">
      <c r="A5" s="5" t="inlineStr">
        <is>
          <t>ราง →</t>
        </is>
      </c>
      <c r="B5" s="6" t="inlineStr">
        <is>
          <t>3รางเสียบ</t>
        </is>
      </c>
      <c r="AA5" t="inlineStr">
        <is>
          <t>เมโทรดัมมี่อบขาว</t>
        </is>
      </c>
      <c r="AB5" t="inlineStr">
        <is>
          <t>JR00370</t>
        </is>
      </c>
    </row>
    <row r="6">
      <c r="A6" s="5" t="inlineStr">
        <is>
          <t>โหนก →</t>
        </is>
      </c>
      <c r="B6" s="6" t="inlineStr">
        <is>
          <t>ไม่มี</t>
        </is>
      </c>
      <c r="AA6" t="inlineStr">
        <is>
          <t>เมโทรดัมมี่ดำ</t>
        </is>
      </c>
      <c r="AB6" t="inlineStr">
        <is>
          <t>JR00373</t>
        </is>
      </c>
    </row>
    <row r="7">
      <c r="A7" s="5" t="inlineStr">
        <is>
          <t>จำนวนบาน N →</t>
        </is>
      </c>
      <c r="B7" s="6" t="n">
        <v>3</v>
      </c>
      <c r="AA7" t="inlineStr">
        <is>
          <t>Alignกุญแจอบขาว</t>
        </is>
      </c>
      <c r="AB7" t="inlineStr">
        <is>
          <t>JR00377</t>
        </is>
      </c>
    </row>
    <row r="8">
      <c r="AA8" t="inlineStr">
        <is>
          <t>Alignล็อคอบขาว</t>
        </is>
      </c>
      <c r="AB8" t="inlineStr">
        <is>
          <t>JR00378</t>
        </is>
      </c>
    </row>
    <row r="9">
      <c r="A9" s="2" t="inlineStr">
        <is>
          <t>④ ใบตัดอลู · ยาว=ฐาน−⑦</t>
        </is>
      </c>
      <c r="B9" s="3" t="n"/>
      <c r="C9" s="3" t="n"/>
      <c r="D9" s="3" t="n"/>
      <c r="E9" s="3" t="n"/>
      <c r="F9" s="4" t="n"/>
      <c r="AA9" t="inlineStr">
        <is>
          <t>Alignดัมมี่อบขาว</t>
        </is>
      </c>
      <c r="AB9" t="inlineStr">
        <is>
          <t>JR00379</t>
        </is>
      </c>
    </row>
    <row r="10">
      <c r="A10" s="1" t="inlineStr">
        <is>
          <t>#</t>
        </is>
      </c>
      <c r="B10" s="1" t="inlineStr">
        <is>
          <t>โปรไฟล์</t>
        </is>
      </c>
      <c r="C10" s="1" t="inlineStr">
        <is>
          <t>รหัส</t>
        </is>
      </c>
      <c r="D10" s="1" t="inlineStr">
        <is>
          <t>ยาวตัด (ซม.)</t>
        </is>
      </c>
      <c r="E10" s="1" t="inlineStr">
        <is>
          <t>จำนวน</t>
        </is>
      </c>
      <c r="F10" s="1" t="inlineStr">
        <is>
          <t>เส้น6.4ม.</t>
        </is>
      </c>
      <c r="AA10" t="inlineStr">
        <is>
          <t>Alignกุญแจดำ</t>
        </is>
      </c>
      <c r="AB10" t="inlineStr">
        <is>
          <t>JR00374</t>
        </is>
      </c>
    </row>
    <row r="11">
      <c r="A11" s="9" t="n">
        <v>1</v>
      </c>
      <c r="B11" s="10" t="inlineStr">
        <is>
          <t>เฟรมล่าง</t>
        </is>
      </c>
      <c r="C11" s="9">
        <f>IF(B5="3รางเสียบ","B20041","B20046")</f>
        <v/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  <c r="AA11" t="inlineStr">
        <is>
          <t>Alignล็อคดำ</t>
        </is>
      </c>
      <c r="AB11" t="inlineStr">
        <is>
          <t>JR00375</t>
        </is>
      </c>
    </row>
    <row r="12">
      <c r="A12" s="9" t="n">
        <v>2</v>
      </c>
      <c r="B12" s="10" t="inlineStr">
        <is>
          <t>เฟรมบน</t>
        </is>
      </c>
      <c r="C12" s="9" t="inlineStr">
        <is>
          <t>B20001</t>
        </is>
      </c>
      <c r="D12" s="11">
        <f>B3-$F$41</f>
        <v/>
      </c>
      <c r="E12" s="12" t="inlineStr">
        <is>
          <t>1</t>
        </is>
      </c>
      <c r="F12" s="9">
        <f>IF(E12=0,"-",ROUNDUP(D12*E12/640,0))</f>
        <v/>
      </c>
      <c r="AA12" t="inlineStr">
        <is>
          <t>Alignดัมมี่ดำ</t>
        </is>
      </c>
      <c r="AB12" t="inlineStr">
        <is>
          <t>JR00376</t>
        </is>
      </c>
    </row>
    <row r="13">
      <c r="A13" s="9" t="n">
        <v>3</v>
      </c>
      <c r="B13" s="10" t="inlineStr">
        <is>
          <t>เฟรมข้าง</t>
        </is>
      </c>
      <c r="C13" s="9" t="inlineStr">
        <is>
          <t>B20003</t>
        </is>
      </c>
      <c r="D13" s="11">
        <f>B4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4</v>
      </c>
      <c r="B14" s="10" t="inlineStr">
        <is>
          <t>เสากุญแจ ML</t>
        </is>
      </c>
      <c r="C14" s="9" t="inlineStr">
        <is>
          <t>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5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IF(B6="มี",B7-1,2*(B7-1))</f>
        <v/>
      </c>
      <c r="F15" s="9">
        <f>IF(E15=0,"-",ROUNDUP(D15*E15/640,0))</f>
        <v/>
      </c>
    </row>
    <row r="16">
      <c r="A16" s="9" t="n">
        <v>6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IF(B6="มี",B7-1,0)</f>
        <v/>
      </c>
      <c r="F16" s="9">
        <f>IF(E16=0,"-",ROUNDUP(D16*E16/640,0))</f>
        <v/>
      </c>
    </row>
    <row r="17">
      <c r="A17" s="9" t="n">
        <v>7</v>
      </c>
      <c r="B17" s="10" t="inlineStr">
        <is>
          <t>ขวางบน</t>
        </is>
      </c>
      <c r="C17" s="9" t="inlineStr">
        <is>
          <t>B20054</t>
        </is>
      </c>
      <c r="D17" s="11">
        <f>(B3-$F$46*B7-$F$47)/B7</f>
        <v/>
      </c>
      <c r="E17" s="12">
        <f>B7</f>
        <v/>
      </c>
      <c r="F17" s="9">
        <f>IF(E17=0,"-",ROUNDUP(D17*E17/640,0))</f>
        <v/>
      </c>
    </row>
    <row r="18">
      <c r="A18" s="9" t="n">
        <v>8</v>
      </c>
      <c r="B18" s="10" t="inlineStr">
        <is>
          <t>ขวางล่าง</t>
        </is>
      </c>
      <c r="C18" s="9" t="inlineStr">
        <is>
          <t>B20054</t>
        </is>
      </c>
      <c r="D18" s="11">
        <f>(B3-$F$46*B7-$F$47)/B7</f>
        <v/>
      </c>
      <c r="E18" s="12">
        <f>B7</f>
        <v/>
      </c>
      <c r="F18" s="9">
        <f>IF(E18=0,"-",ROUNDUP(D18*E18/640,0))</f>
        <v/>
      </c>
    </row>
    <row r="19">
      <c r="A19" s="9" t="n">
        <v>9</v>
      </c>
      <c r="B19" s="10" t="inlineStr">
        <is>
          <t>ฝาปิดเฟรมข้าง</t>
        </is>
      </c>
      <c r="C19" s="9" t="inlineStr">
        <is>
          <t>B20019</t>
        </is>
      </c>
      <c r="D19" s="11">
        <f>B4-IF(B5="3รางเสียบ",$F$44,$F$45)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10</v>
      </c>
      <c r="B20" s="10" t="inlineStr">
        <is>
          <t>ตบร่องบานเลื่อน</t>
        </is>
      </c>
      <c r="C20" s="9" t="inlineStr">
        <is>
          <t>-</t>
        </is>
      </c>
      <c r="D20" s="11">
        <f>E4+$F$48</f>
        <v/>
      </c>
      <c r="E20" s="12" t="inlineStr">
        <is>
          <t>2</t>
        </is>
      </c>
      <c r="F20" s="9">
        <f>IF(E20=0,"-",ROUNDUP(D20*E20/640,0))</f>
        <v/>
      </c>
    </row>
    <row r="21">
      <c r="A21" s="9" t="n">
        <v>11</v>
      </c>
      <c r="B21" s="10" t="inlineStr">
        <is>
          <t>ตบร่องบานตาย</t>
        </is>
      </c>
      <c r="C21" s="9" t="inlineStr">
        <is>
          <t>-</t>
        </is>
      </c>
      <c r="D21" s="11">
        <f>(B3-$F$41)-E4-$F$49</f>
        <v/>
      </c>
      <c r="E21" s="12" t="inlineStr">
        <is>
          <t>2</t>
        </is>
      </c>
      <c r="F21" s="9">
        <f>IF(E21=0,"-",ROUNDUP(D21*E21/640,0))</f>
        <v/>
      </c>
    </row>
    <row r="22">
      <c r="A22" s="9" t="n">
        <v>12</v>
      </c>
      <c r="B22" s="10" t="inlineStr">
        <is>
          <t>เบรคบาน ธรณี</t>
        </is>
      </c>
      <c r="C22" s="9" t="inlineStr">
        <is>
          <t>B20050</t>
        </is>
      </c>
      <c r="D22" s="11">
        <f>B3-$F$41</f>
        <v/>
      </c>
      <c r="E22" s="12">
        <f>IF(B5="รางเตี้ย7มม",2,0)</f>
        <v/>
      </c>
      <c r="F22" s="9">
        <f>IF(E22=0,"-",ROUNDUP(D22*E22/640,0))</f>
        <v/>
      </c>
    </row>
    <row r="40">
      <c r="A40" s="2" t="inlineStr">
        <is>
          <t>⑦ แผงค่าหัก (เหลือง)</t>
        </is>
      </c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(3)</t>
        </is>
      </c>
      <c r="F43" s="15" t="n">
        <v>3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ขวางบน สปส.N (4.2)</t>
        </is>
      </c>
      <c r="F46" s="15" t="n">
        <v>4.2</v>
      </c>
    </row>
    <row r="47">
      <c r="B47" s="10" t="inlineStr">
        <is>
          <t>ขวางบน คงที่ (11.2)</t>
        </is>
      </c>
      <c r="F47" s="15" t="n">
        <v>11.2</v>
      </c>
    </row>
    <row r="48">
      <c r="B48" s="10" t="inlineStr">
        <is>
          <t>ตบร่องเลื่อน +4.7</t>
        </is>
      </c>
      <c r="F48" s="15" t="n">
        <v>4.7</v>
      </c>
    </row>
    <row r="49">
      <c r="B49" s="10" t="inlineStr">
        <is>
          <t>ตบร่องตาย −11</t>
        </is>
      </c>
      <c r="F49" s="15" t="n">
        <v>11</v>
      </c>
    </row>
    <row r="51">
      <c r="A51" s="18" t="inlineStr">
        <is>
          <t>⑤ อุปกรณ์ (รหัสเว้นว่าง รอพี่เติม · จำนวนลิงก์อัตโนมัติ)</t>
        </is>
      </c>
    </row>
    <row r="52">
      <c r="A52" s="19" t="inlineStr">
        <is>
          <t>ประเภทบาน →</t>
        </is>
      </c>
      <c r="B52" s="20" t="inlineStr">
        <is>
          <t>ประตู</t>
        </is>
      </c>
      <c r="D52" s="19" t="inlineStr">
        <is>
          <t>ยี่ห้อมือจับ →</t>
        </is>
      </c>
      <c r="E52" s="20" t="inlineStr">
        <is>
          <t>เมโทร</t>
        </is>
      </c>
    </row>
    <row r="53">
      <c r="A53" s="19" t="inlineStr">
        <is>
          <t>มือจับ (1 ชุด) →</t>
        </is>
      </c>
      <c r="B53" s="20" t="inlineStr">
        <is>
          <t>กุญแจ+ล็อค</t>
        </is>
      </c>
      <c r="D53" s="19" t="inlineStr">
        <is>
          <t>สีมือจับ →</t>
        </is>
      </c>
      <c r="E53" s="20" t="inlineStr">
        <is>
          <t>อบขาว</t>
        </is>
      </c>
    </row>
    <row r="55">
      <c r="A55" s="21" t="inlineStr">
        <is>
          <t>#</t>
        </is>
      </c>
      <c r="B55" s="21" t="inlineStr">
        <is>
          <t>อุปกรณ์</t>
        </is>
      </c>
      <c r="C55" s="21" t="inlineStr">
        <is>
          <t>รหัส SKU</t>
        </is>
      </c>
      <c r="D55" s="21" t="inlineStr">
        <is>
          <t>จำนวน</t>
        </is>
      </c>
      <c r="E55" s="21" t="inlineStr">
        <is>
          <t>หน่วย</t>
        </is>
      </c>
      <c r="F55" s="21" t="inlineStr">
        <is>
          <t>หมายเหตุ</t>
        </is>
      </c>
    </row>
    <row r="56">
      <c r="A56" s="22" t="n">
        <v>1</v>
      </c>
      <c r="B56" s="23" t="inlineStr">
        <is>
          <t>ล้อ 27</t>
        </is>
      </c>
      <c r="C56" s="20" t="inlineStr">
        <is>
          <t>JR00576</t>
        </is>
      </c>
      <c r="D56" s="24">
        <f>2*($B$7-1)</f>
        <v/>
      </c>
      <c r="E56" s="22" t="inlineStr">
        <is>
          <t>ตัว</t>
        </is>
      </c>
      <c r="F56" s="25" t="inlineStr"/>
    </row>
    <row r="57">
      <c r="A57" s="22" t="n">
        <v>2</v>
      </c>
      <c r="B57" s="23">
        <f>"มือจับ กุญแจ ("&amp;$E$52&amp;")"</f>
        <v/>
      </c>
      <c r="C57" s="32">
        <f>VLOOKUP($E$52&amp;"กุญแจ"&amp;$E$53,$AA$1:$AB$12,2,0)</f>
        <v/>
      </c>
      <c r="D57" s="24">
        <f>COUNTIF($B$53:$B$53,"กุญแจ+ล็อค")</f>
        <v/>
      </c>
      <c r="E57" s="22" t="inlineStr">
        <is>
          <t>ชุด</t>
        </is>
      </c>
      <c r="F57" s="25" t="inlineStr"/>
    </row>
    <row r="58">
      <c r="A58" s="22" t="n">
        <v>3</v>
      </c>
      <c r="B58" s="23">
        <f>"มือจับ ล็อค ("&amp;$E$52&amp;")"</f>
        <v/>
      </c>
      <c r="C58" s="32">
        <f>VLOOKUP($E$52&amp;"ล็อค"&amp;$E$53,$AA$1:$AB$12,2,0)</f>
        <v/>
      </c>
      <c r="D58" s="24">
        <f>(COUNTIF($B$53:$B$53,"กุญแจ+ล็อค")+COUNTIF($B$53:$B$53,"ล็อค+ดัมมี่")+COUNTIF($B$53:$B$53,"ล็อค"))</f>
        <v/>
      </c>
      <c r="E58" s="22" t="inlineStr">
        <is>
          <t>ชุด</t>
        </is>
      </c>
      <c r="F58" s="25" t="inlineStr"/>
    </row>
    <row r="59">
      <c r="A59" s="22" t="n">
        <v>4</v>
      </c>
      <c r="B59" s="23">
        <f>"มือจับ ดัมมี่ ("&amp;$E$52&amp;")"</f>
        <v/>
      </c>
      <c r="C59" s="32">
        <f>VLOOKUP($E$52&amp;"ดัมมี่"&amp;$E$53,$AA$1:$AB$12,2,0)</f>
        <v/>
      </c>
      <c r="D59" s="24">
        <f>(COUNTIF($B$53:$B$53,"ล็อค+ดัมมี่")+2*COUNTIF($B$53:$B$53,"ดัมมี่+ดัมมี่")+COUNTIF($B$53:$B$53,"ดัมมี่"))</f>
        <v/>
      </c>
      <c r="E59" s="22" t="inlineStr">
        <is>
          <t>ชุด</t>
        </is>
      </c>
      <c r="F59" s="25" t="inlineStr"/>
    </row>
    <row r="60">
      <c r="A60" s="22" t="n">
        <v>5</v>
      </c>
      <c r="B60" s="23" t="inlineStr">
        <is>
          <t>Digital lock (ซื้อแยก)</t>
        </is>
      </c>
      <c r="C60" s="20" t="n"/>
      <c r="D60" s="24">
        <f>COUNTIF($B$53:$B$53,"Digital lock")</f>
        <v/>
      </c>
      <c r="E60" s="22" t="inlineStr">
        <is>
          <t>ชุด</t>
        </is>
      </c>
      <c r="F60" s="25" t="inlineStr">
        <is>
          <t>ไม่ตัดสต็อก · ไม่มีมือจับ</t>
        </is>
      </c>
    </row>
    <row r="61">
      <c r="A61" s="22" t="n">
        <v>6</v>
      </c>
      <c r="B61" s="23" t="inlineStr">
        <is>
          <t>แกนมือจับ A</t>
        </is>
      </c>
      <c r="C61" s="20" t="inlineStr">
        <is>
          <t>JR00478</t>
        </is>
      </c>
      <c r="D61" s="24">
        <f>2*(COUNTIF($B$53:$B$53,"กุญแจ+ล็อค")+COUNTIF($B$53:$B$53,"ล็อค+ดัมมี่")+COUNTIF($B$53:$B$53,"ล็อค"))</f>
        <v/>
      </c>
      <c r="E61" s="22" t="inlineStr">
        <is>
          <t>อัน</t>
        </is>
      </c>
      <c r="F61" s="25" t="inlineStr"/>
    </row>
    <row r="62">
      <c r="A62" s="22" t="n">
        <v>7</v>
      </c>
      <c r="B62" s="23" t="inlineStr">
        <is>
          <t>แกนมือจับ B</t>
        </is>
      </c>
      <c r="C62" s="20" t="inlineStr">
        <is>
          <t>JR00479</t>
        </is>
      </c>
      <c r="D62" s="24">
        <f>IF($B$4&gt;280,2,IF($B$4&gt;140,1,0))*(COUNTIF($B$53:$B$53,"กุญแจ+ล็อค")+COUNTIF($B$53:$B$53,"ล็อค+ดัมมี่")+COUNTIF($B$53:$B$53,"ล็อค"))</f>
        <v/>
      </c>
      <c r="E62" s="22" t="inlineStr">
        <is>
          <t>อัน</t>
        </is>
      </c>
      <c r="F62" s="25" t="inlineStr">
        <is>
          <t>สูง&gt;140→1 &gt;280→2</t>
        </is>
      </c>
    </row>
    <row r="63">
      <c r="A63" s="22" t="n">
        <v>8</v>
      </c>
      <c r="B63" s="23" t="inlineStr">
        <is>
          <t>ปลายมือจับ ดำ</t>
        </is>
      </c>
      <c r="C63" s="20" t="inlineStr">
        <is>
          <t>JR00476</t>
        </is>
      </c>
      <c r="D63" s="24">
        <f>2*(COUNTIF($B$53:$B$53,"กุญแจ+ล็อค")+COUNTIF($B$53:$B$53,"ล็อค+ดัมมี่")+COUNTIF($B$53:$B$53,"ล็อค"))</f>
        <v/>
      </c>
      <c r="E63" s="22" t="inlineStr">
        <is>
          <t>อัน</t>
        </is>
      </c>
      <c r="F63" s="25" t="inlineStr"/>
    </row>
    <row r="64">
      <c r="A64" s="22" t="n">
        <v>9</v>
      </c>
      <c r="B64" s="23" t="inlineStr">
        <is>
          <t>ตัวที เงิน</t>
        </is>
      </c>
      <c r="C64" s="20" t="inlineStr">
        <is>
          <t>JR00475</t>
        </is>
      </c>
      <c r="D64" s="24">
        <f>1*(COUNTIF($B$53:$B$53,"กุญแจ+ล็อค")+COUNTIF($B$53:$B$53,"ล็อค+ดัมมี่")+COUNTIF($B$53:$B$53,"ล็อค"))</f>
        <v/>
      </c>
      <c r="E64" s="22" t="inlineStr">
        <is>
          <t>อัน</t>
        </is>
      </c>
      <c r="F64" s="25" t="inlineStr"/>
    </row>
    <row r="65">
      <c r="A65" s="22" t="n">
        <v>10</v>
      </c>
      <c r="B65" s="23" t="inlineStr">
        <is>
          <t>น็อต 1" (ประกอบบาน)</t>
        </is>
      </c>
      <c r="C65" s="20" t="inlineStr">
        <is>
          <t>JR00864</t>
        </is>
      </c>
      <c r="D65" s="24">
        <f>4*($B$7-1)</f>
        <v/>
      </c>
      <c r="E65" s="22" t="inlineStr">
        <is>
          <t>ตัว</t>
        </is>
      </c>
      <c r="F65" s="25" t="inlineStr"/>
    </row>
    <row r="66">
      <c r="A66" s="22" t="n">
        <v>11</v>
      </c>
      <c r="B66" s="23" t="inlineStr">
        <is>
          <t>น็อต 1" (ประกอบเฟรม)</t>
        </is>
      </c>
      <c r="C66" s="20" t="inlineStr">
        <is>
          <t>JR00864</t>
        </is>
      </c>
      <c r="D66" s="24">
        <f>8</f>
        <v/>
      </c>
      <c r="E66" s="22" t="inlineStr">
        <is>
          <t>ตัว</t>
        </is>
      </c>
      <c r="F66" s="25" t="inlineStr"/>
    </row>
    <row r="67">
      <c r="A67" s="22" t="n">
        <v>12</v>
      </c>
      <c r="B67" s="23" t="inlineStr">
        <is>
          <t>น็อต 6 หุน (ยึดล้อ)</t>
        </is>
      </c>
      <c r="C67" s="20" t="inlineStr">
        <is>
          <t>JR00863</t>
        </is>
      </c>
      <c r="D67" s="24">
        <f>4*($B$7-1)</f>
        <v/>
      </c>
      <c r="E67" s="22" t="inlineStr">
        <is>
          <t>ตัว</t>
        </is>
      </c>
      <c r="F67" s="25" t="inlineStr"/>
    </row>
    <row r="68">
      <c r="A68" s="22" t="n">
        <v>13</v>
      </c>
      <c r="B68" s="23" t="inlineStr">
        <is>
          <t>สักหลาด 5×3 (รวม)</t>
        </is>
      </c>
      <c r="C68" s="20" t="inlineStr">
        <is>
          <t>JR00794</t>
        </is>
      </c>
      <c r="D68" s="24">
        <f>ROUND((2*2*($E$4+$D$14)*($B$7-1) + 2*($B$7-1)*$D$12 + IF($B$5="รางเตี้ย7มม",0,2*($B$7-1)*$D$11) + $D$13)/100,1)</f>
        <v/>
      </c>
      <c r="E68" s="22" t="inlineStr">
        <is>
          <t>ม.</t>
        </is>
      </c>
      <c r="F68" s="25" t="inlineStr">
        <is>
          <t>ม้วนละ 250ม. · เก็บเป็นเมตร ระบบสะสมครบม้วนค่อยตัดสต็อก</t>
        </is>
      </c>
    </row>
    <row r="69">
      <c r="A69" s="22" t="n">
        <v>14</v>
      </c>
      <c r="B69" s="23" t="inlineStr">
        <is>
          <t>ยางรูน้ำลง</t>
        </is>
      </c>
      <c r="C69" s="20" t="inlineStr">
        <is>
          <t>JR00589</t>
        </is>
      </c>
      <c r="D69" s="24">
        <f>2+MAX(0,ROUNDUP((($B$3-$F$41)-150)/50,0))</f>
        <v/>
      </c>
      <c r="E69" s="22" t="inlineStr">
        <is>
          <t>อัน</t>
        </is>
      </c>
      <c r="F69" s="25" t="inlineStr">
        <is>
          <t>2 + เฟรมล่าง&gt;150 เพิ่มทุก 50ซม.</t>
        </is>
      </c>
    </row>
    <row r="70">
      <c r="A70" s="22" t="n">
        <v>15</v>
      </c>
      <c r="B70" s="23" t="inlineStr">
        <is>
          <t>วาวรูน้ำออก</t>
        </is>
      </c>
      <c r="C70" s="20" t="inlineStr">
        <is>
          <t>JR00485</t>
        </is>
      </c>
      <c r="D70" s="24">
        <f>2+MAX(0,ROUNDUP((($B$3-$F$41)-150)/50,0))</f>
        <v/>
      </c>
      <c r="E70" s="22" t="inlineStr">
        <is>
          <t>อัน</t>
        </is>
      </c>
      <c r="F70" s="25" t="inlineStr">
        <is>
          <t>2 + เฟรมล่าง&gt;150 เพิ่มทุก 50ซม.</t>
        </is>
      </c>
    </row>
    <row r="71">
      <c r="A71" s="22" t="n">
        <v>16</v>
      </c>
      <c r="B71" s="23" t="inlineStr">
        <is>
          <t>ก้ามปูรับล็อค</t>
        </is>
      </c>
      <c r="C71" s="20" t="inlineStr">
        <is>
          <t>JR00477</t>
        </is>
      </c>
      <c r="D71" s="24">
        <f>D63</f>
        <v/>
      </c>
      <c r="E71" s="22" t="inlineStr">
        <is>
          <t>อัน</t>
        </is>
      </c>
      <c r="F71" s="25" t="inlineStr">
        <is>
          <t>เท่าปลายดำ</t>
        </is>
      </c>
    </row>
  </sheetData>
  <mergeCells count="3">
    <mergeCell ref="A2:F2"/>
    <mergeCell ref="A1:F1"/>
    <mergeCell ref="A9:F9"/>
  </mergeCells>
  <dataValidations count="6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  <dataValidation sqref="B52" showDropDown="0" showInputMessage="0" showErrorMessage="0" allowBlank="1" type="list">
      <formula1>"ประตู,หน้าต่าง"</formula1>
    </dataValidation>
    <dataValidation sqref="B53" showDropDown="0" showInputMessage="0" showErrorMessage="0" allowBlank="1" type="list">
      <formula1>=$Z$1:$Z$4</formula1>
    </dataValidation>
    <dataValidation sqref="E52" showDropDown="0" showInputMessage="0" showErrorMessage="0" allowBlank="1" type="list">
      <formula1>"เมโทร,Align"</formula1>
    </dataValidation>
    <dataValidation sqref="E53" showDropDown="0" showInputMessage="0" showErrorMessage="0" allowBlank="1" type="list">
      <formula1>"อบขาว,ดำ"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2026-07-07T02:39:00Z</dcterms:created>
  <dcterms:modified xmlns:dcterms="http://purl.org/dc/terms/" xmlns:xsi="http://www.w3.org/2001/XMLSchema-instance" xsi:type="dcterms:W3CDTF">2026-07-21T07:16:05Z</dcterms:modified>
</cp:coreProperties>
</file>