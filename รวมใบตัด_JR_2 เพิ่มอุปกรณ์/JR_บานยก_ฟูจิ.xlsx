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JR คำนวณ" sheetId="1" state="visible" r:id="rId3"/>
    <sheet name="HUNG dies" sheetId="2" state="visible" r:id="rId4"/>
    <sheet name="HUNG Takeoff" sheetId="3" state="visible" r:id="rId5"/>
    <sheet name="FSA CORD calculate " sheetId="4" state="hidden" r:id="rId6"/>
  </sheets>
  <definedNames>
    <definedName function="false" hidden="false" localSheetId="1" name="_xlnm.Print_Area" vbProcedure="false">'HUNG dies'!$A$1:$I$18</definedName>
    <definedName function="false" hidden="false" localSheetId="2" name="_xlnm.Print_Area" vbProcedure="false">'HUNG Takeoff'!$A$1:$F$35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<sst xmlns="http://schemas.openxmlformats.org/spreadsheetml/2006/main" count="341" uniqueCount="247">
  <si>
    <t xml:space="preserve">JR ALUMINIUM &amp; GLASS   —   บานยก ฟูจิ (HUNG) · หน้าคำนวณ   ·   ซม.</t>
  </si>
  <si>
    <t xml:space="preserve">① กรอกข้อมูล (เหลือง)</t>
  </si>
  <si>
    <t xml:space="preserve">กว้างช่อง (W)</t>
  </si>
  <si>
    <t xml:space="preserve">สูงช่อง (H)</t>
  </si>
  <si>
    <t xml:space="preserve">จำนวนชุด</t>
  </si>
  <si>
    <t xml:space="preserve">สีมือจับ →</t>
  </si>
  <si>
    <t xml:space="preserve">ดำ</t>
  </si>
  <si>
    <t xml:space="preserve">#</t>
  </si>
  <si>
    <t xml:space="preserve">โปรไฟล์ (ไทย / EN)</t>
  </si>
  <si>
    <t xml:space="preserve">รหัส</t>
  </si>
  <si>
    <t xml:space="preserve">ยาวตัด (ซม.)</t>
  </si>
  <si>
    <t xml:space="preserve">จำนวน</t>
  </si>
  <si>
    <t xml:space="preserve">หมายเหตุ</t>
  </si>
  <si>
    <t xml:space="preserve">เฟรมบน (HEAD)</t>
  </si>
  <si>
    <t xml:space="preserve">B28009</t>
  </si>
  <si>
    <t xml:space="preserve">กว้าง−5</t>
  </si>
  <si>
    <t xml:space="preserve">ตบปิดเฟรมบน (COVER HEAD)</t>
  </si>
  <si>
    <t xml:space="preserve">B28010</t>
  </si>
  <si>
    <t xml:space="preserve">กว้าง−9.4</t>
  </si>
  <si>
    <t xml:space="preserve">กรอบบาน แนวนอน (SASH ↔)</t>
  </si>
  <si>
    <t xml:space="preserve">B28011</t>
  </si>
  <si>
    <t xml:space="preserve">กว้าง−15.4</t>
  </si>
  <si>
    <t xml:space="preserve">กรอบบาน แนวตั้ง (SASH ↕)</t>
  </si>
  <si>
    <t xml:space="preserve">(สูง−4.6)÷2−0.1</t>
  </si>
  <si>
    <t xml:space="preserve">คิ้วยึดเสาเกี่ยว (ADAPTOR)</t>
  </si>
  <si>
    <t xml:space="preserve">B28012</t>
  </si>
  <si>
    <t xml:space="preserve">กว้าง−13.2</t>
  </si>
  <si>
    <t xml:space="preserve">เสาเกี่ยว (INTERLOCK)</t>
  </si>
  <si>
    <t xml:space="preserve">B28013</t>
  </si>
  <si>
    <t xml:space="preserve">กว้าง−11.2</t>
  </si>
  <si>
    <t xml:space="preserve">เฟรมล่าง (SILL)</t>
  </si>
  <si>
    <t xml:space="preserve">B28014</t>
  </si>
  <si>
    <t xml:space="preserve">เสาเสริมเฟรมข้าง (JAMB ADAPTOR)</t>
  </si>
  <si>
    <t xml:space="preserve">B28015</t>
  </si>
  <si>
    <t xml:space="preserve">สูง−6.9</t>
  </si>
  <si>
    <t xml:space="preserve">เฟรมข้าง (NARROW FRAME)</t>
  </si>
  <si>
    <t xml:space="preserve">B10004</t>
  </si>
  <si>
    <t xml:space="preserve">สูง</t>
  </si>
  <si>
    <t xml:space="preserve">③ กระดานคำนวณ (แจกแจง) — ฐาน − ตัวลบ = ยาว</t>
  </si>
  <si>
    <t xml:space="preserve">โปรไฟล์</t>
  </si>
  <si>
    <t xml:space="preserve">ฐาน</t>
  </si>
  <si>
    <t xml:space="preserve">ค่า</t>
  </si>
  <si>
    <t xml:space="preserve">− ตัวลบ</t>
  </si>
  <si>
    <t xml:space="preserve">ยาวตัด</t>
  </si>
  <si>
    <t xml:space="preserve">เฟรมบน</t>
  </si>
  <si>
    <t xml:space="preserve">กว้าง</t>
  </si>
  <si>
    <t xml:space="preserve">ตบปิดเฟรมบน</t>
  </si>
  <si>
    <t xml:space="preserve">กรอบบานแนวนอน</t>
  </si>
  <si>
    <t xml:space="preserve">กรอบบานแนวตั้ง</t>
  </si>
  <si>
    <t xml:space="preserve">(สูง−4.6)÷2</t>
  </si>
  <si>
    <t xml:space="preserve">คิ้วยึดเสาเกี่ยว</t>
  </si>
  <si>
    <t xml:space="preserve">เสาเกี่ยว</t>
  </si>
  <si>
    <t xml:space="preserve">เฟรมล่าง</t>
  </si>
  <si>
    <t xml:space="preserve">เสาเสริมเฟรมข้าง</t>
  </si>
  <si>
    <t xml:space="preserve">เฟรมข้าง</t>
  </si>
  <si>
    <t xml:space="preserve">④ แผงแก้สูตร — ตัวหักลบ (เหลือง)</t>
  </si>
  <si>
    <t xml:space="preserve">เฟรมบน/ล่าง — หัก (5)</t>
  </si>
  <si>
    <t xml:space="preserve">ตบปิดเฟรมบน — หัก (9.4)</t>
  </si>
  <si>
    <t xml:space="preserve">กรอบบานแนวนอน — หัก (15.4)</t>
  </si>
  <si>
    <t xml:space="preserve">กรอบบานแนวตั้ง — หักสูง (4.6)</t>
  </si>
  <si>
    <t xml:space="preserve">กรอบบานแนวตั้ง — ลบท้าย (0.1)</t>
  </si>
  <si>
    <t xml:space="preserve">คิ้วยึดเสาเกี่ยว — หัก (13.2)</t>
  </si>
  <si>
    <t xml:space="preserve">เสาเกี่ยว — หัก (11.2)</t>
  </si>
  <si>
    <t xml:space="preserve">เสาเสริมเฟรมข้าง — หัก (6.9)</t>
  </si>
  <si>
    <t xml:space="preserve">⑤ อุปกรณ์ (ดึงสดจากชีท HUNG Takeoff · รหัส SKU JR เว้นว่างรอเติม)</t>
  </si>
  <si>
    <t xml:space="preserve">จำนวนไหลตามจำนวนชุด(C6)+ขนาดบานอัตโนมัติ · รหัสผู้ผลิต = Sup code เดิม</t>
  </si>
  <si>
    <t xml:space="preserve">อุปกรณ์</t>
  </si>
  <si>
    <t xml:space="preserve">รหัสผู้ผลิต</t>
  </si>
  <si>
    <t xml:space="preserve">รหัส SKU JR</t>
  </si>
  <si>
    <t xml:space="preserve">หน่วย</t>
  </si>
  <si>
    <t xml:space="preserve">① ฮาร์ดแวร์หลัก</t>
  </si>
  <si>
    <t xml:space="preserve">ไกด์ประคองกรอบบาน</t>
  </si>
  <si>
    <t xml:space="preserve">06-003</t>
  </si>
  <si>
    <t xml:space="preserve">PCS</t>
  </si>
  <si>
    <t xml:space="preserve">ตะขอเกี่ยวตลับเชือก</t>
  </si>
  <si>
    <t xml:space="preserve">06-002</t>
  </si>
  <si>
    <t xml:space="preserve">ตลับล้อพูเล่ย์</t>
  </si>
  <si>
    <t xml:space="preserve">06-004</t>
  </si>
  <si>
    <t xml:space="preserve">ตลับใส่เชือก (clutch)</t>
  </si>
  <si>
    <t xml:space="preserve">06-001</t>
  </si>
  <si>
    <t xml:space="preserve">เชือกไนล่อน 6มม. ดำ</t>
  </si>
  <si>
    <t xml:space="preserve">06-007</t>
  </si>
  <si>
    <t xml:space="preserve">M</t>
  </si>
  <si>
    <t xml:space="preserve">ฝาปิดมุมกรอบบาน 90°</t>
  </si>
  <si>
    <t xml:space="preserve">06-005</t>
  </si>
  <si>
    <t xml:space="preserve">ฝาปิดรูเสาเกี่ยว (ซ้าย+ขวา)</t>
  </si>
  <si>
    <t xml:space="preserve">06-006</t>
  </si>
  <si>
    <t xml:space="preserve">Pair</t>
  </si>
  <si>
    <t xml:space="preserve">ตัวเบรคบาน (stopper)</t>
  </si>
  <si>
    <t xml:space="preserve">06-011</t>
  </si>
  <si>
    <t xml:space="preserve">ประเก็นกันน้ำเฟรมบน</t>
  </si>
  <si>
    <t xml:space="preserve">06-012</t>
  </si>
  <si>
    <t xml:space="preserve">ประเก็นกันน้ำเฟรมล่าง</t>
  </si>
  <si>
    <t xml:space="preserve">06-010</t>
  </si>
  <si>
    <t xml:space="preserve">ยางกันลมบานยก</t>
  </si>
  <si>
    <t xml:space="preserve">06-013</t>
  </si>
  <si>
    <t xml:space="preserve">② มือจับ / ล็อค</t>
  </si>
  <si>
    <t xml:space="preserve">มือจับบานยก (ตามสี C7)</t>
  </si>
  <si>
    <t xml:space="preserve">ล็อคกลางบานยก (latch)</t>
  </si>
  <si>
    <t xml:space="preserve">06-019</t>
  </si>
  <si>
    <t xml:space="preserve">ขอล็อคกลางบานยก (keeper)</t>
  </si>
  <si>
    <t xml:space="preserve">06-020</t>
  </si>
  <si>
    <t xml:space="preserve">③ สกรู + ยาง (จิปาถะ)</t>
  </si>
  <si>
    <t xml:space="preserve">สกรูหัวจม #7x8</t>
  </si>
  <si>
    <t xml:space="preserve">06-014</t>
  </si>
  <si>
    <t xml:space="preserve">สกรูหัวจม #8x12</t>
  </si>
  <si>
    <t xml:space="preserve">06-015</t>
  </si>
  <si>
    <t xml:space="preserve">สกรูหัวนูน #8x10</t>
  </si>
  <si>
    <t xml:space="preserve">06-016</t>
  </si>
  <si>
    <t xml:space="preserve">สกรูหัวนูน #7x40</t>
  </si>
  <si>
    <t xml:space="preserve">06-017</t>
  </si>
  <si>
    <t xml:space="preserve">สกรูหัวนูน #8x38</t>
  </si>
  <si>
    <t xml:space="preserve">06-018</t>
  </si>
  <si>
    <t xml:space="preserve">สักหลาด 5มม. (mohair)</t>
  </si>
  <si>
    <t xml:space="preserve">02-067</t>
  </si>
  <si>
    <t xml:space="preserve">ยางเฟรมข้าง (jambliner)</t>
  </si>
  <si>
    <t xml:space="preserve">02-031</t>
  </si>
  <si>
    <t xml:space="preserve">ยางอัดกระจก 6มม. ใหญ่</t>
  </si>
  <si>
    <t xml:space="preserve">02-068</t>
  </si>
  <si>
    <t xml:space="preserve">ยางอัดกระจก 8มม. ใหญ่</t>
  </si>
  <si>
    <t xml:space="preserve">ยางอัดกระจก 8มม. เล็ก</t>
  </si>
  <si>
    <t xml:space="preserve">02-069</t>
  </si>
  <si>
    <t xml:space="preserve">HUNG PARTS LIST ชุดอุปกรณ์บานยก</t>
  </si>
  <si>
    <t xml:space="preserve">ตัวเลือก Standard กระจก</t>
  </si>
  <si>
    <t xml:space="preserve">H</t>
  </si>
  <si>
    <t xml:space="preserve">W</t>
  </si>
  <si>
    <t xml:space="preserve">QTY(SET)</t>
  </si>
  <si>
    <t xml:space="preserve">Rope cut length(mm)</t>
  </si>
  <si>
    <t xml:space="preserve">WINDOW SIZE(mm)=</t>
  </si>
  <si>
    <t xml:space="preserve">X</t>
  </si>
  <si>
    <t xml:space="preserve">GLASS SIZE(mm)=</t>
  </si>
  <si>
    <t xml:space="preserve">ตัดเชือกความยาวนี้อย่างละ 2 เส้น/ 1 ชุด</t>
  </si>
  <si>
    <t xml:space="preserve">ถอดจ.เส้นยาว</t>
  </si>
  <si>
    <t xml:space="preserve">ตัดได้กี่ท่อน</t>
  </si>
  <si>
    <t xml:space="preserve">เศษที่เหลือ/เส้น</t>
  </si>
  <si>
    <t xml:space="preserve">GROUP : EXTRUSION โปร์ไฟล์อลูมิเนียม</t>
  </si>
  <si>
    <t xml:space="preserve">(SQM)</t>
  </si>
  <si>
    <t xml:space="preserve">DxG</t>
  </si>
  <si>
    <t xml:space="preserve">LENGTH(mm)+5</t>
  </si>
  <si>
    <t xml:space="preserve">ITEM</t>
  </si>
  <si>
    <t xml:space="preserve">SMS CODE</t>
  </si>
  <si>
    <t xml:space="preserve">IMAGE</t>
  </si>
  <si>
    <t xml:space="preserve">DESCRIPTION </t>
  </si>
  <si>
    <t xml:space="preserve">EST.WT.</t>
  </si>
  <si>
    <t xml:space="preserve">จำนวนท่อนที่ใช้</t>
  </si>
  <si>
    <t xml:space="preserve">CUTTING FORMULA</t>
  </si>
  <si>
    <t xml:space="preserve">ระยะตัด LENGTH(mm)</t>
  </si>
  <si>
    <t xml:space="preserve">ถอดจำนวนเส้นเต็ม 6.4ม. (เส้น)</t>
  </si>
  <si>
    <t xml:space="preserve">TOTAL LENGTH</t>
  </si>
  <si>
    <t xml:space="preserve">QTY Take off AL (pcs)</t>
  </si>
  <si>
    <t xml:space="preserve">Summarize QTY</t>
  </si>
  <si>
    <t xml:space="preserve">QTY small piece/length</t>
  </si>
  <si>
    <t xml:space="preserve">remnant (mm.)/length</t>
  </si>
  <si>
    <t xml:space="preserve">B28009-12</t>
  </si>
  <si>
    <t xml:space="preserve">HEAD เฟรมบน</t>
  </si>
  <si>
    <t xml:space="preserve">FW-50</t>
  </si>
  <si>
    <t xml:space="preserve">B28010-12</t>
  </si>
  <si>
    <t xml:space="preserve">COVER HEAD ตบปิดเฟรมบน</t>
  </si>
  <si>
    <t xml:space="preserve">FW-94</t>
  </si>
  <si>
    <t xml:space="preserve">B28011-12</t>
  </si>
  <si>
    <t xml:space="preserve">SASH กรอบบาน</t>
  </si>
  <si>
    <t xml:space="preserve">FW-154</t>
  </si>
  <si>
    <t xml:space="preserve">#03/2568# ปรับสูตรให้ gap จาก 4.76mm เหลือ  4mm</t>
  </si>
  <si>
    <t xml:space="preserve">[(FH-46)/2]-1</t>
  </si>
  <si>
    <t xml:space="preserve">#02/2568# ปรับสูตรให้มีบานสั้นลง2mm.</t>
  </si>
  <si>
    <t xml:space="preserve">B28012-10</t>
  </si>
  <si>
    <t xml:space="preserve">ADAPTOR INTERLOCK คิ้วยึดเสาเกี่ยว</t>
  </si>
  <si>
    <t xml:space="preserve">FW-132</t>
  </si>
  <si>
    <t xml:space="preserve">B28013-12</t>
  </si>
  <si>
    <t xml:space="preserve">INTERLOCK เสาเกี่ยว</t>
  </si>
  <si>
    <t xml:space="preserve">FW-112</t>
  </si>
  <si>
    <t xml:space="preserve">B28014-12</t>
  </si>
  <si>
    <t xml:space="preserve">SILL เฟรมล่าง</t>
  </si>
  <si>
    <t xml:space="preserve">B28015-12</t>
  </si>
  <si>
    <t xml:space="preserve">JAMB ADAPTOR เสาเสริมเฟรมข้าง</t>
  </si>
  <si>
    <t xml:space="preserve">FH-69</t>
  </si>
  <si>
    <t xml:space="preserve">#02/2568# ปรับสูตรให้มีgap=2mm.</t>
  </si>
  <si>
    <t xml:space="preserve">B10004-12</t>
  </si>
  <si>
    <t xml:space="preserve">NARROW FRAME เฟรมข้าง</t>
  </si>
  <si>
    <t xml:space="preserve">FH</t>
  </si>
  <si>
    <t xml:space="preserve">Remark</t>
  </si>
  <si>
    <t xml:space="preserve">คนเบิก/วันที่เบิก</t>
  </si>
  <si>
    <t xml:space="preserve">DOUBLE HUNG HARDWARE  ฮาร์ดแวร์ชุดหน้าต่างบานยก</t>
  </si>
  <si>
    <t xml:space="preserve">No.</t>
  </si>
  <si>
    <t xml:space="preserve">Sup parts code</t>
  </si>
  <si>
    <t xml:space="preserve">Description </t>
  </si>
  <si>
    <t xml:space="preserve">Unit</t>
  </si>
  <si>
    <t xml:space="preserve">Qty</t>
  </si>
  <si>
    <t xml:space="preserve">DOUBLE HUNG STANDARD HARDWARE SET ชุดฮาร์ดแวร์สแตนดาร์ด</t>
  </si>
  <si>
    <t xml:space="preserve">COMPOSITE SASH GUIDE / ไกด์ประคองกรอบบานยก</t>
  </si>
  <si>
    <t xml:space="preserve">PIVOT PIN / ตะขอเกี่ยวตลับเชือกบานยก</t>
  </si>
  <si>
    <t xml:space="preserve">COUNTER BALANCE PULLEY MODULE / ตลับล้อพูเล่ย์บานยก</t>
  </si>
  <si>
    <t xml:space="preserve">COUNTER BALANCE CORD CLAMP &amp; CLUTCH / ตลับใส่เชือกบานยก</t>
  </si>
  <si>
    <t xml:space="preserve">6mm. NYLON CORD BLK -  เส้นเชือกไนล่อนสีดำหนา 6มม. สำหรับบานยก</t>
  </si>
  <si>
    <t xml:space="preserve">SASH CORNER ENDCAP / ฝาปิดมุมกรอบบานยกเข้า 90 องศา</t>
  </si>
  <si>
    <t xml:space="preserve">HUNG INTER LOCK(L&amp;R) END CAP / ฝาปิดรูเสาเกี่ยวหน้าต่างบานยก (ข้างซ้าย&amp;ข้างขวา)</t>
  </si>
  <si>
    <t xml:space="preserve">STOPPER / ตัวเบรคบาน</t>
  </si>
  <si>
    <t xml:space="preserve">JAMBLINER SEAL FOAM / ยางใส่เฟรมอะแดปเตอร์เฟรมข้าง</t>
  </si>
  <si>
    <t xml:space="preserve">5mm MOHAIR (ฐาน 5mm. ขนยาว 6mm.)</t>
  </si>
  <si>
    <t xml:space="preserve">DOUBLE HUNG HEAD SEAL PAD  แผ่นประเก็นกันน้ำเฟรมบนบานยก</t>
  </si>
  <si>
    <t xml:space="preserve">DOUBLE HUNG SILL SEAL PAD แผ่นประเก็นกันน้ำเฟรมล่างบานยก</t>
  </si>
  <si>
    <t xml:space="preserve">#7x8 mm. SS CSK SELF TAPPING SCREW  (สกรูหัวจม ใช้ใขันยึดร่วมกับ SASH GUIDE)</t>
  </si>
  <si>
    <t xml:space="preserve">#8x12 mm. SS CSK SELF TAPPING SCREW  (สกรูหัวจม ใช้ติดตั้ง JAMBLINER, Endcap Interlock, Stopper, Wind Breaker  และPivot Pin)</t>
  </si>
  <si>
    <t xml:space="preserve">#8x10 mm. SS PH SELF TAPPING SCREW  (สกรูเกลียวปล่อยหัวนูน ใช้ติดตั้งกับเส้นอะแดปเตอร์ตบเรียบเสาเกี่ยว ADAPTOR INTERLOCK)</t>
  </si>
  <si>
    <t xml:space="preserve">#7x40 mm. SS PH SELF TAPPING SCREW  (สกรูเกลียวปล่อยหัวนูน ใช้ติดตั้งกับกรอบบาน SASH)</t>
  </si>
  <si>
    <t xml:space="preserve">#8x38 mm. SS PH SELF TAPPING SCREW  (สกรูเกลียวปล่อยหัวนูน ใช้ติดตั้งกับโครงเฟรมนอก)</t>
  </si>
  <si>
    <t xml:space="preserve">6mm. GLASS GASKET/ ยางอัดกระจกสำหรับกระจก 6มม.</t>
  </si>
  <si>
    <t xml:space="preserve">ยางอัดกระจกตัวใหญ่</t>
  </si>
  <si>
    <t xml:space="preserve">8mm. GLASS GASKET/ ยางอัดกระจกสำหรับกระจก 8มม.</t>
  </si>
  <si>
    <t xml:space="preserve">ยางอัดกระจกตัวเล็ก</t>
  </si>
  <si>
    <t xml:space="preserve">ACCESSORY OPTION ชุดอุปกรณ์เสริม</t>
  </si>
  <si>
    <t xml:space="preserve">06-008-BL</t>
  </si>
  <si>
    <t xml:space="preserve">SASH LIFT HANDLE (BLACK) / มือจับหน้าต่างบานยกสีดำ</t>
  </si>
  <si>
    <t xml:space="preserve">06-008-WH</t>
  </si>
  <si>
    <t xml:space="preserve">SASH LIFT HANDLE (WHITE)  / มือจับหน้าต่างบานยกสีขาว</t>
  </si>
  <si>
    <t xml:space="preserve">06-008-GS</t>
  </si>
  <si>
    <t xml:space="preserve">SASH LIFT HANDLE (SAHARA GREY)   / มือจับหน้าต่างบานยกสีเทาซาฮาร่า</t>
  </si>
  <si>
    <t xml:space="preserve">06-008-WMH</t>
  </si>
  <si>
    <t xml:space="preserve">SASH LIFT HANDLE (WOODGRAIN MAHOGANY)/ มือจับหน้าต่างบานยกสีลายไม้มะฮอกกานี</t>
  </si>
  <si>
    <t xml:space="preserve">06-008-WGT</t>
  </si>
  <si>
    <t xml:space="preserve">SASH LIFT HANDLE (WOODGRAIN GOLDEN TEAK)  / มือจับหน้าต่างบานยกสีลายไม้สักทอง</t>
  </si>
  <si>
    <t xml:space="preserve">LATCH / ล็อคกลางบานยก</t>
  </si>
  <si>
    <t xml:space="preserve">KEEPER / ขอล็อคกลางบานยก</t>
  </si>
  <si>
    <t xml:space="preserve">คำนวณความยาวเชือก (ใส่ระยะความสูงรวม)</t>
  </si>
  <si>
    <t xml:space="preserve">Overall Frame Height (OFH)</t>
  </si>
  <si>
    <t xml:space="preserve">Internal Frame Height (IFH)
Dim "A"</t>
  </si>
  <si>
    <t xml:space="preserve">Overall Sash Height (OSH)</t>
  </si>
  <si>
    <t xml:space="preserve">Inside (I)</t>
  </si>
  <si>
    <t xml:space="preserve">Outside (O)</t>
  </si>
  <si>
    <t xml:space="preserve">Sash Height</t>
  </si>
  <si>
    <t xml:space="preserve">Pulley (PC)</t>
  </si>
  <si>
    <t xml:space="preserve">Cord Length (CL)</t>
  </si>
  <si>
    <t xml:space="preserve">Total Cord Length (TCL)</t>
  </si>
  <si>
    <t xml:space="preserve">Cord Cut Setting (CCS)</t>
  </si>
  <si>
    <t xml:space="preserve">ตัดความยาวนี้อย่างละ 2 เส้น</t>
  </si>
  <si>
    <t xml:space="preserve">Clutch</t>
  </si>
  <si>
    <t xml:space="preserve">overall length</t>
  </si>
  <si>
    <t xml:space="preserve">Pivot Pin Ctr</t>
  </si>
  <si>
    <t xml:space="preserve">from bottom of clutch</t>
  </si>
  <si>
    <t xml:space="preserve">distance from bottom of sash to bottom of clutch</t>
  </si>
  <si>
    <t xml:space="preserve">top of clutch from bottom of sash</t>
  </si>
  <si>
    <t xml:space="preserve">Cord</t>
  </si>
  <si>
    <t xml:space="preserve">approx additional for cord in clutch for holding</t>
  </si>
  <si>
    <t xml:space="preserve">MRH</t>
  </si>
  <si>
    <t xml:space="preserve">Meeting Rail Height</t>
  </si>
  <si>
    <t xml:space="preserve">amount of Cord in Pulley</t>
  </si>
  <si>
    <t xml:space="preserve"> 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</si>
</sst>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"/>
    <numFmt numFmtId="166" formatCode="0"/>
    <numFmt numFmtId="167" formatCode="0.00"/>
    <numFmt numFmtId="168" formatCode="General"/>
    <numFmt numFmtId="169" formatCode="0%"/>
    <numFmt numFmtId="170" formatCode="0.00%"/>
  </numFmts>
  <fonts count="37">
    <font>
      <sz val="10"/>
      <color theme="1"/>
      <name val="TradeGothic LT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222"/>
    </font>
    <font>
      <sz val="10"/>
      <name val="Arial"/>
      <family val="2"/>
      <charset val="1"/>
    </font>
    <font>
      <sz val="11"/>
      <color theme="1"/>
      <name val="Calibri"/>
      <family val="2"/>
      <charset val="1"/>
    </font>
    <font>
      <b val="true"/>
      <sz val="12"/>
      <color rgb="FFFFFFFF"/>
      <name val="Tahoma"/>
      <family val="0"/>
      <charset val="1"/>
    </font>
    <font>
      <b val="true"/>
      <sz val="10"/>
      <name val="Tahoma"/>
      <family val="0"/>
      <charset val="1"/>
    </font>
    <font>
      <b val="true"/>
      <sz val="11"/>
      <color rgb="FFFFFFFF"/>
      <name val="Tahoma"/>
      <family val="0"/>
      <charset val="1"/>
    </font>
    <font>
      <sz val="10"/>
      <name val="Tahoma"/>
      <family val="0"/>
      <charset val="1"/>
    </font>
    <font>
      <sz val="8"/>
      <color rgb="FF808080"/>
      <name val="Tahoma"/>
      <family val="0"/>
      <charset val="1"/>
    </font>
    <font>
      <sz val="9"/>
      <name val="Tahoma"/>
      <family val="0"/>
      <charset val="1"/>
    </font>
    <font>
      <sz val="10"/>
      <name val="Tahoma"/>
      <family val="2"/>
      <charset val="1"/>
    </font>
    <font>
      <b val="true"/>
      <u val="single"/>
      <sz val="15"/>
      <name val="Tahoma"/>
      <family val="2"/>
      <charset val="1"/>
    </font>
    <font>
      <b val="true"/>
      <sz val="10"/>
      <name val="Tahoma"/>
      <family val="2"/>
      <charset val="1"/>
    </font>
    <font>
      <b val="true"/>
      <sz val="13"/>
      <name val="Tahoma"/>
      <family val="2"/>
      <charset val="1"/>
    </font>
    <font>
      <b val="true"/>
      <sz val="18"/>
      <color theme="1"/>
      <name val="Browallia New"/>
      <family val="2"/>
      <charset val="1"/>
    </font>
    <font>
      <sz val="11"/>
      <color theme="1"/>
      <name val="Arial Unicode MS"/>
      <family val="2"/>
      <charset val="1"/>
    </font>
    <font>
      <b val="true"/>
      <sz val="11"/>
      <color theme="1"/>
      <name val="Arial Unicode MS"/>
      <family val="2"/>
      <charset val="1"/>
    </font>
    <font>
      <b val="true"/>
      <sz val="12"/>
      <color theme="1"/>
      <name val="Arial Unicode MS"/>
      <family val="2"/>
      <charset val="1"/>
    </font>
    <font>
      <b val="true"/>
      <sz val="14"/>
      <color theme="1"/>
      <name val="Arial Unicode MS"/>
      <family val="2"/>
      <charset val="1"/>
    </font>
    <font>
      <b val="true"/>
      <sz val="14"/>
      <name val="Tahoma"/>
      <family val="2"/>
      <charset val="1"/>
    </font>
    <font>
      <sz val="14"/>
      <name val="Tahoma"/>
      <family val="2"/>
      <charset val="1"/>
    </font>
    <font>
      <b val="true"/>
      <sz val="11"/>
      <color rgb="FFFF0000"/>
      <name val="Calibri"/>
      <family val="2"/>
      <charset val="1"/>
    </font>
    <font>
      <sz val="10"/>
      <color rgb="FF00B050"/>
      <name val="Tahoma"/>
      <family val="2"/>
      <charset val="1"/>
    </font>
    <font>
      <sz val="10"/>
      <color theme="9" tint="-0.25"/>
      <name val="Tahoma"/>
      <family val="2"/>
      <charset val="1"/>
    </font>
    <font>
      <b val="true"/>
      <sz val="14"/>
      <name val="Browallia New"/>
      <family val="2"/>
      <charset val="1"/>
    </font>
    <font>
      <sz val="14"/>
      <name val="Browallia New"/>
      <family val="2"/>
      <charset val="1"/>
    </font>
    <font>
      <b val="true"/>
      <sz val="11"/>
      <name val="Browallia New"/>
      <family val="2"/>
      <charset val="1"/>
    </font>
    <font>
      <sz val="10"/>
      <name val="Browallia New"/>
      <family val="2"/>
      <charset val="1"/>
    </font>
    <font>
      <sz val="9"/>
      <name val="Browallia New"/>
      <family val="2"/>
      <charset val="1"/>
    </font>
    <font>
      <sz val="10"/>
      <color theme="1"/>
      <name val="Browallia New"/>
      <family val="2"/>
      <charset val="1"/>
    </font>
    <font>
      <b val="true"/>
      <sz val="12"/>
      <color theme="1"/>
      <name val="TradeGothic LT"/>
      <family val="0"/>
      <charset val="222"/>
    </font>
    <font>
      <sz val="9"/>
      <color theme="1"/>
      <name val="TradeGothic LT"/>
      <family val="2"/>
      <charset val="1"/>
    </font>
    <font>
      <sz val="9"/>
      <color rgb="FFFF0000"/>
      <name val="TradeGothic LT"/>
      <family val="2"/>
      <charset val="1"/>
    </font>
    <font>
      <b val="true"/>
      <sz val="10"/>
      <color theme="1"/>
      <name val="TradeGothic LT"/>
      <family val="0"/>
      <charset val="222"/>
    </font>
  </fonts>
  <fills count="17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2F2F2"/>
        <bgColor rgb="FFEDEDED"/>
      </patternFill>
    </fill>
    <fill>
      <patternFill patternType="solid">
        <fgColor rgb="FF2E75B6"/>
        <bgColor rgb="FF0066CC"/>
      </patternFill>
    </fill>
    <fill>
      <patternFill patternType="solid">
        <fgColor rgb="FFFFE699"/>
        <bgColor rgb="FFF8CBAD"/>
      </patternFill>
    </fill>
    <fill>
      <patternFill patternType="solid">
        <fgColor rgb="FFF8CBAD"/>
        <bgColor rgb="FFFFE699"/>
      </patternFill>
    </fill>
    <fill>
      <patternFill patternType="solid">
        <fgColor rgb="FF548235"/>
        <bgColor rgb="FF808080"/>
      </patternFill>
    </fill>
    <fill>
      <patternFill patternType="solid">
        <fgColor rgb="FFEDEDED"/>
        <bgColor rgb="FFF2F2F2"/>
      </patternFill>
    </fill>
    <fill>
      <patternFill patternType="solid">
        <fgColor rgb="FFDEEBF7"/>
        <bgColor rgb="FFDDEBF7"/>
      </patternFill>
    </fill>
    <fill>
      <patternFill patternType="solid">
        <fgColor rgb="FFC6E0B4"/>
        <bgColor rgb="FFD9D9D9"/>
      </patternFill>
    </fill>
    <fill>
      <patternFill patternType="solid">
        <fgColor rgb="FF7F77DD"/>
        <bgColor rgb="FF808080"/>
      </patternFill>
    </fill>
    <fill>
      <patternFill patternType="solid">
        <fgColor rgb="FFDDEBF7"/>
        <bgColor rgb="FFDEEBF7"/>
      </patternFill>
    </fill>
    <fill>
      <patternFill patternType="solid">
        <fgColor theme="9" tint="0.7999"/>
        <bgColor rgb="FFEDEDED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rgb="FFFF9900"/>
      </patternFill>
    </fill>
    <fill>
      <patternFill patternType="solid">
        <fgColor theme="0" tint="-0.15"/>
        <bgColor rgb="FFC6E0B4"/>
      </patternFill>
    </fill>
  </fills>
  <borders count="36">
    <border diagonalUp="false" diagonalDown="false">
      <left/>
      <right/>
      <top/>
      <bottom/>
      <diagonal/>
    </border>
    <border diagonalUp="false" diagonalDown="false"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hair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hair"/>
      <top style="thin"/>
      <bottom/>
      <diagonal/>
    </border>
    <border diagonalUp="false" diagonalDown="false">
      <left style="hair"/>
      <right style="hair"/>
      <top/>
      <bottom style="hair"/>
      <diagonal/>
    </border>
    <border diagonalUp="false" diagonalDown="false">
      <left style="hair"/>
      <right style="hair"/>
      <top style="thin"/>
      <bottom/>
      <diagonal/>
    </border>
    <border diagonalUp="false" diagonalDown="false">
      <left style="hair"/>
      <right style="thin"/>
      <top/>
      <bottom style="hair"/>
      <diagonal/>
    </border>
    <border diagonalUp="false" diagonalDown="false">
      <left/>
      <right style="hair"/>
      <top/>
      <bottom style="hair"/>
      <diagonal/>
    </border>
    <border diagonalUp="false" diagonalDown="false">
      <left style="thin"/>
      <right style="hair"/>
      <top style="hair"/>
      <bottom style="hair"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hair"/>
      <right style="thin"/>
      <top style="hair"/>
      <bottom style="hair"/>
      <diagonal/>
    </border>
    <border diagonalUp="false" diagonalDown="false">
      <left/>
      <right style="hair"/>
      <top/>
      <bottom/>
      <diagonal/>
    </border>
    <border diagonalUp="false" diagonalDown="false">
      <left style="thin"/>
      <right style="hair"/>
      <top style="hair"/>
      <bottom/>
      <diagonal/>
    </border>
    <border diagonalUp="false" diagonalDown="false">
      <left style="thin"/>
      <right style="hair"/>
      <top style="hair"/>
      <bottom style="thin"/>
      <diagonal/>
    </border>
    <border diagonalUp="false" diagonalDown="false">
      <left style="hair"/>
      <right style="hair"/>
      <top style="hair"/>
      <bottom style="thin"/>
      <diagonal/>
    </border>
    <border diagonalUp="false" diagonalDown="false">
      <left style="hair"/>
      <right style="hair"/>
      <top/>
      <bottom style="thin"/>
      <diagonal/>
    </border>
    <border diagonalUp="false" diagonalDown="false">
      <left style="hair"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 style="thin"/>
      <bottom/>
      <diagonal/>
    </border>
  </borders>
  <cellStyleXfs count="25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9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4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8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8" fillId="5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8" fillId="6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8" fillId="6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9" fillId="7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8" fillId="9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8" fillId="1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8" fillId="8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11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9" fillId="11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9" fillId="4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2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8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0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0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5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0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3" fillId="0" borderId="0" xfId="2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3" fillId="0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xfId="2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3" fillId="0" borderId="0" xfId="2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5" fillId="0" borderId="0" xfId="2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6" fillId="0" borderId="0" xfId="2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7" fillId="0" borderId="0" xfId="24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8" fillId="0" borderId="0" xfId="22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xfId="22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18" fillId="0" borderId="0" xfId="22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9" fillId="0" borderId="3" xfId="22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9" fillId="0" borderId="4" xfId="22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8" fillId="0" borderId="4" xfId="22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9" fillId="0" borderId="4" xfId="22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9" fillId="0" borderId="5" xfId="22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0" fillId="0" borderId="6" xfId="22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9" fillId="0" borderId="6" xfId="22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8" fontId="21" fillId="3" borderId="7" xfId="22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8" fontId="21" fillId="13" borderId="7" xfId="22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8" fontId="22" fillId="14" borderId="8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9" fillId="0" borderId="9" xfId="22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8" fontId="21" fillId="0" borderId="10" xfId="22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8" fillId="0" borderId="10" xfId="22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21" fillId="0" borderId="11" xfId="22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3" fillId="0" borderId="0" xfId="2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6" fillId="0" borderId="0" xfId="2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6" fillId="0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12" xfId="22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13" fillId="0" borderId="0" xfId="20" applyFont="true" applyBorder="false" applyAlignment="true" applyProtection="true">
      <alignment horizontal="center" vertical="top" textRotation="0" wrapText="false" indent="0" shrinkToFit="false"/>
      <protection locked="true" hidden="false"/>
    </xf>
    <xf numFmtId="164" fontId="0" fillId="15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3" fillId="0" borderId="8" xfId="22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3" fillId="0" borderId="13" xfId="22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13" fillId="0" borderId="14" xfId="22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3" fillId="0" borderId="14" xfId="22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15" fillId="16" borderId="8" xfId="22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8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24" fillId="3" borderId="8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13" fillId="0" borderId="15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3" fillId="0" borderId="16" xfId="22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3" fillId="0" borderId="17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3" fillId="0" borderId="16" xfId="22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13" fillId="0" borderId="16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15" fillId="16" borderId="18" xfId="22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13" fillId="0" borderId="19" xfId="22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8" fontId="0" fillId="0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0" fillId="15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24" fillId="3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3" fillId="0" borderId="20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3" fillId="0" borderId="21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3" fillId="0" borderId="21" xfId="2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13" fillId="0" borderId="20" xfId="22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3" fillId="0" borderId="21" xfId="22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13" fillId="0" borderId="16" xfId="2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8" fontId="25" fillId="0" borderId="16" xfId="22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8" fontId="15" fillId="16" borderId="22" xfId="22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5" fillId="0" borderId="23" xfId="22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8" fontId="24" fillId="3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5" fillId="0" borderId="19" xfId="22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13" fillId="0" borderId="24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3" fillId="0" borderId="21" xfId="22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8" fontId="26" fillId="0" borderId="16" xfId="22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13" fillId="0" borderId="25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3" fillId="0" borderId="26" xfId="22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3" fillId="0" borderId="26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3" fillId="0" borderId="26" xfId="22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13" fillId="0" borderId="26" xfId="2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8" fontId="13" fillId="0" borderId="27" xfId="2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8" fontId="13" fillId="0" borderId="27" xfId="22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8" fontId="15" fillId="16" borderId="28" xfId="22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13" fillId="0" borderId="0" xfId="23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3" fillId="0" borderId="0" xfId="23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7" fillId="0" borderId="0" xfId="23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28" fillId="0" borderId="0" xfId="23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29" fillId="9" borderId="8" xfId="23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9" fillId="9" borderId="8" xfId="23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9" fillId="3" borderId="8" xfId="21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0" fillId="0" borderId="8" xfId="23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31" fillId="0" borderId="8" xfId="23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30" fillId="0" borderId="8" xfId="23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32" fillId="0" borderId="8" xfId="24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32" fillId="0" borderId="8" xfId="24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0" fillId="0" borderId="29" xfId="23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0" borderId="8" xfId="23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0" fillId="0" borderId="8" xfId="23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1" fillId="0" borderId="30" xfId="23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70" fontId="0" fillId="0" borderId="0" xfId="19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3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34" fillId="0" borderId="2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34" fillId="0" borderId="3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34" fillId="0" borderId="3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34" fillId="0" borderId="3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34" fillId="0" borderId="1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34" fillId="0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35" fillId="0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35" fillId="0" borderId="3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0" fillId="0" borderId="0" xfId="19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34" fillId="0" borderId="3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35" fillId="0" borderId="3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35" fillId="0" borderId="3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34" fillId="0" borderId="3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34" fillId="15" borderId="3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34" fillId="15" borderId="3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34" fillId="15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35" fillId="15" borderId="3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36" fillId="15" borderId="3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35" fillId="15" borderId="3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3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3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11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2 2 2 2" xfId="21"/>
    <cellStyle name="Normal 2 3" xfId="22"/>
    <cellStyle name="Normal 2 4" xfId="23"/>
    <cellStyle name="Normal 3" xfId="24"/>
  </cellStyles>
  <dxfs count="4">
    <dxf>
      <fill>
        <patternFill patternType="solid">
          <fgColor rgb="FFFFC00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808080"/>
      <rgbColor rgb="FF9999FF"/>
      <rgbColor rgb="FF993366"/>
      <rgbColor rgb="FFF2F2F2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EEBF7"/>
      <rgbColor rgb="FFE2F0D9"/>
      <rgbColor rgb="FFFFE699"/>
      <rgbColor rgb="FFC6E0B4"/>
      <rgbColor rgb="FFEDEDED"/>
      <rgbColor rgb="FFCC99FF"/>
      <rgbColor rgb="FFF8CBAD"/>
      <rgbColor rgb="FF2E75B6"/>
      <rgbColor rgb="FF33CCCC"/>
      <rgbColor rgb="FF99CC00"/>
      <rgbColor rgb="FFFFC000"/>
      <rgbColor rgb="FFFF9900"/>
      <rgbColor rgb="FFFF6600"/>
      <rgbColor rgb="FF7F77DD"/>
      <rgbColor rgb="FFB0B0B0"/>
      <rgbColor rgb="FF003366"/>
      <rgbColor rgb="FF00B050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EVOALU" displayName="EVOALU" ref="A2:J16" headerRowCount="1" totalsRowCount="0" totalsRowShown="0">
  <autoFilter ref="A2:J16"/>
  <tableColumns count="10">
    <tableColumn id="1" name="Overall Frame Height (OFH)"/>
    <tableColumn id="2" name="Internal Frame Height (IFH)&#10;Dim &quot;A&quot;"/>
    <tableColumn id="3" name="Overall Sash Height (OSH)"/>
    <tableColumn id="4" name="Inside (I)"/>
    <tableColumn id="5" name="Outside (O)"/>
    <tableColumn id="6" name="Sash Height"/>
    <tableColumn id="7" name="Pulley (PC)"/>
    <tableColumn id="8" name="Cord Length (CL)"/>
    <tableColumn id="9" name="Total Cord Length (TCL)"/>
    <tableColumn id="10" name="Cord Cut Setting (CCS)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3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4"/>
    <col collapsed="false" customWidth="true" hidden="false" outlineLevel="0" max="3" min="3" style="1" width="15"/>
    <col collapsed="false" customWidth="true" hidden="false" outlineLevel="0" max="4" min="4" style="1" width="13"/>
    <col collapsed="false" customWidth="true" hidden="false" outlineLevel="0" max="5" min="5" style="1" width="9"/>
    <col collapsed="false" customWidth="true" hidden="false" outlineLevel="0" max="6" min="6" style="1" width="26"/>
    <col collapsed="false" customWidth="true" hidden="false" outlineLevel="0" max="7" min="7" style="1" width="11"/>
  </cols>
  <sheetData>
    <row r="1" customFormat="false" ht="15" hidden="false" customHeight="fals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2" customFormat="false" ht="15" hidden="false" customHeight="false" outlineLevel="0" collapsed="false">
      <c r="A2" s="2"/>
      <c r="B2" s="2"/>
      <c r="C2" s="2"/>
      <c r="D2" s="2"/>
      <c r="E2" s="2"/>
      <c r="F2" s="2"/>
      <c r="G2" s="2"/>
      <c r="H2" s="2"/>
    </row>
    <row r="3" customFormat="false" ht="15" hidden="false" customHeight="true" outlineLevel="0" collapsed="false">
      <c r="B3" s="3" t="s">
        <v>1</v>
      </c>
      <c r="C3" s="3"/>
    </row>
    <row r="4" customFormat="false" ht="15" hidden="false" customHeight="false" outlineLevel="0" collapsed="false">
      <c r="B4" s="4" t="s">
        <v>2</v>
      </c>
      <c r="C4" s="5" t="n">
        <v>104.3</v>
      </c>
    </row>
    <row r="5" customFormat="false" ht="15" hidden="false" customHeight="false" outlineLevel="0" collapsed="false">
      <c r="B5" s="4" t="s">
        <v>3</v>
      </c>
      <c r="C5" s="5" t="n">
        <v>288.8</v>
      </c>
    </row>
    <row r="6" customFormat="false" ht="15" hidden="false" customHeight="false" outlineLevel="0" collapsed="false">
      <c r="B6" s="4" t="s">
        <v>4</v>
      </c>
      <c r="C6" s="6" t="n">
        <v>1</v>
      </c>
    </row>
    <row r="7" customFormat="false" ht="15" hidden="false" customHeight="false" outlineLevel="0" collapsed="false">
      <c r="B7" s="7" t="s">
        <v>5</v>
      </c>
      <c r="C7" s="8" t="s">
        <v>6</v>
      </c>
    </row>
    <row r="8" customFormat="false" ht="15" hidden="false" customHeight="false" outlineLevel="0" collapsed="false">
      <c r="A8" s="9" t="s">
        <v>7</v>
      </c>
      <c r="B8" s="9" t="s">
        <v>8</v>
      </c>
      <c r="C8" s="9" t="s">
        <v>9</v>
      </c>
      <c r="D8" s="9" t="s">
        <v>10</v>
      </c>
      <c r="E8" s="9" t="s">
        <v>11</v>
      </c>
      <c r="F8" s="9" t="s">
        <v>12</v>
      </c>
    </row>
    <row r="9" customFormat="false" ht="21.75" hidden="false" customHeight="true" outlineLevel="0" collapsed="false">
      <c r="A9" s="10" t="n">
        <v>1</v>
      </c>
      <c r="B9" s="11" t="s">
        <v>13</v>
      </c>
      <c r="C9" s="12" t="s">
        <v>14</v>
      </c>
      <c r="D9" s="13" t="n">
        <f aca="false">$C$4-$F$32</f>
        <v>99.3</v>
      </c>
      <c r="E9" s="14" t="n">
        <f aca="false">1*$C$6</f>
        <v>1</v>
      </c>
      <c r="F9" s="15" t="s">
        <v>15</v>
      </c>
    </row>
    <row r="10" customFormat="false" ht="21.75" hidden="false" customHeight="true" outlineLevel="0" collapsed="false">
      <c r="A10" s="10" t="n">
        <v>2</v>
      </c>
      <c r="B10" s="11" t="s">
        <v>16</v>
      </c>
      <c r="C10" s="12" t="s">
        <v>17</v>
      </c>
      <c r="D10" s="13" t="n">
        <f aca="false">$C$4-$F$33</f>
        <v>94.9</v>
      </c>
      <c r="E10" s="14" t="n">
        <f aca="false">1*$C$6</f>
        <v>1</v>
      </c>
      <c r="F10" s="15" t="s">
        <v>18</v>
      </c>
    </row>
    <row r="11" customFormat="false" ht="21.75" hidden="false" customHeight="true" outlineLevel="0" collapsed="false">
      <c r="A11" s="10" t="n">
        <v>3</v>
      </c>
      <c r="B11" s="11" t="s">
        <v>19</v>
      </c>
      <c r="C11" s="12" t="s">
        <v>20</v>
      </c>
      <c r="D11" s="13" t="n">
        <f aca="false">$C$4-$F$34</f>
        <v>88.9</v>
      </c>
      <c r="E11" s="14" t="n">
        <f aca="false">4*$C$6</f>
        <v>4</v>
      </c>
      <c r="F11" s="15" t="s">
        <v>21</v>
      </c>
    </row>
    <row r="12" customFormat="false" ht="21.75" hidden="false" customHeight="true" outlineLevel="0" collapsed="false">
      <c r="A12" s="10" t="n">
        <v>4</v>
      </c>
      <c r="B12" s="11" t="s">
        <v>22</v>
      </c>
      <c r="C12" s="12" t="s">
        <v>20</v>
      </c>
      <c r="D12" s="13" t="n">
        <f aca="false">($C$5-$F$35)/2-$F$36</f>
        <v>142</v>
      </c>
      <c r="E12" s="14" t="n">
        <f aca="false">4*$C$6</f>
        <v>4</v>
      </c>
      <c r="F12" s="15" t="s">
        <v>23</v>
      </c>
    </row>
    <row r="13" customFormat="false" ht="21.75" hidden="false" customHeight="true" outlineLevel="0" collapsed="false">
      <c r="A13" s="10" t="n">
        <v>5</v>
      </c>
      <c r="B13" s="11" t="s">
        <v>24</v>
      </c>
      <c r="C13" s="12" t="s">
        <v>25</v>
      </c>
      <c r="D13" s="13" t="n">
        <f aca="false">$C$4-$F$37</f>
        <v>91.1</v>
      </c>
      <c r="E13" s="14" t="n">
        <f aca="false">2*$C$6</f>
        <v>2</v>
      </c>
      <c r="F13" s="15" t="s">
        <v>26</v>
      </c>
    </row>
    <row r="14" customFormat="false" ht="21.75" hidden="false" customHeight="true" outlineLevel="0" collapsed="false">
      <c r="A14" s="10" t="n">
        <v>6</v>
      </c>
      <c r="B14" s="11" t="s">
        <v>27</v>
      </c>
      <c r="C14" s="12" t="s">
        <v>28</v>
      </c>
      <c r="D14" s="13" t="n">
        <f aca="false">$C$4-$F$38</f>
        <v>93.1</v>
      </c>
      <c r="E14" s="14" t="n">
        <f aca="false">2*$C$6</f>
        <v>2</v>
      </c>
      <c r="F14" s="15" t="s">
        <v>29</v>
      </c>
    </row>
    <row r="15" customFormat="false" ht="21.75" hidden="false" customHeight="true" outlineLevel="0" collapsed="false">
      <c r="A15" s="10" t="n">
        <v>7</v>
      </c>
      <c r="B15" s="11" t="s">
        <v>30</v>
      </c>
      <c r="C15" s="12" t="s">
        <v>31</v>
      </c>
      <c r="D15" s="13" t="n">
        <f aca="false">$C$4-$F$32</f>
        <v>99.3</v>
      </c>
      <c r="E15" s="14" t="n">
        <f aca="false">1*$C$6</f>
        <v>1</v>
      </c>
      <c r="F15" s="15" t="s">
        <v>15</v>
      </c>
    </row>
    <row r="16" customFormat="false" ht="21.75" hidden="false" customHeight="true" outlineLevel="0" collapsed="false">
      <c r="A16" s="10" t="n">
        <v>8</v>
      </c>
      <c r="B16" s="11" t="s">
        <v>32</v>
      </c>
      <c r="C16" s="12" t="s">
        <v>33</v>
      </c>
      <c r="D16" s="13" t="n">
        <f aca="false">$C$5-$F$39</f>
        <v>281.9</v>
      </c>
      <c r="E16" s="14" t="n">
        <f aca="false">2*$C$6</f>
        <v>2</v>
      </c>
      <c r="F16" s="15" t="s">
        <v>34</v>
      </c>
    </row>
    <row r="17" customFormat="false" ht="21.75" hidden="false" customHeight="true" outlineLevel="0" collapsed="false">
      <c r="A17" s="10" t="n">
        <v>9</v>
      </c>
      <c r="B17" s="11" t="s">
        <v>35</v>
      </c>
      <c r="C17" s="12" t="s">
        <v>36</v>
      </c>
      <c r="D17" s="13" t="n">
        <f aca="false">$C$5</f>
        <v>288.8</v>
      </c>
      <c r="E17" s="14" t="n">
        <f aca="false">2*$C$6</f>
        <v>2</v>
      </c>
      <c r="F17" s="15" t="s">
        <v>37</v>
      </c>
    </row>
    <row r="19" customFormat="false" ht="15" hidden="false" customHeight="true" outlineLevel="0" collapsed="false">
      <c r="B19" s="16" t="s">
        <v>38</v>
      </c>
      <c r="C19" s="16"/>
      <c r="D19" s="16"/>
      <c r="E19" s="16"/>
      <c r="F19" s="16"/>
      <c r="G19" s="16"/>
    </row>
    <row r="20" customFormat="false" ht="15" hidden="false" customHeight="false" outlineLevel="0" collapsed="false">
      <c r="B20" s="9" t="s">
        <v>39</v>
      </c>
      <c r="C20" s="9" t="s">
        <v>40</v>
      </c>
      <c r="D20" s="9" t="s">
        <v>41</v>
      </c>
      <c r="E20" s="9" t="s">
        <v>42</v>
      </c>
      <c r="F20" s="9" t="s">
        <v>43</v>
      </c>
      <c r="G20" s="9" t="s">
        <v>12</v>
      </c>
    </row>
    <row r="21" customFormat="false" ht="19.5" hidden="false" customHeight="true" outlineLevel="0" collapsed="false">
      <c r="B21" s="17" t="s">
        <v>44</v>
      </c>
      <c r="C21" s="18" t="s">
        <v>45</v>
      </c>
      <c r="D21" s="19" t="n">
        <f aca="false">$C$4</f>
        <v>104.3</v>
      </c>
      <c r="E21" s="19" t="n">
        <f aca="false">$F$32</f>
        <v>5</v>
      </c>
      <c r="F21" s="20" t="n">
        <f aca="false">$D$9</f>
        <v>99.3</v>
      </c>
    </row>
    <row r="22" customFormat="false" ht="19.5" hidden="false" customHeight="true" outlineLevel="0" collapsed="false">
      <c r="B22" s="17" t="s">
        <v>46</v>
      </c>
      <c r="C22" s="18" t="s">
        <v>45</v>
      </c>
      <c r="D22" s="19" t="n">
        <f aca="false">$C$4</f>
        <v>104.3</v>
      </c>
      <c r="E22" s="19" t="n">
        <f aca="false">$F$33</f>
        <v>9.4</v>
      </c>
      <c r="F22" s="20" t="n">
        <f aca="false">$D$10</f>
        <v>94.9</v>
      </c>
    </row>
    <row r="23" customFormat="false" ht="19.5" hidden="false" customHeight="true" outlineLevel="0" collapsed="false">
      <c r="B23" s="17" t="s">
        <v>47</v>
      </c>
      <c r="C23" s="18" t="s">
        <v>45</v>
      </c>
      <c r="D23" s="19" t="n">
        <f aca="false">$C$4</f>
        <v>104.3</v>
      </c>
      <c r="E23" s="19" t="n">
        <f aca="false">$F$34</f>
        <v>15.4</v>
      </c>
      <c r="F23" s="20" t="n">
        <f aca="false">$D$11</f>
        <v>88.9</v>
      </c>
    </row>
    <row r="24" customFormat="false" ht="19.5" hidden="false" customHeight="true" outlineLevel="0" collapsed="false">
      <c r="B24" s="17" t="s">
        <v>48</v>
      </c>
      <c r="C24" s="18" t="s">
        <v>49</v>
      </c>
      <c r="D24" s="19" t="n">
        <f aca="false">($C$5-$F$35)/2</f>
        <v>142.1</v>
      </c>
      <c r="E24" s="19" t="n">
        <f aca="false">$F$36</f>
        <v>0.1</v>
      </c>
      <c r="F24" s="20" t="n">
        <f aca="false">$D$12</f>
        <v>142</v>
      </c>
    </row>
    <row r="25" customFormat="false" ht="19.5" hidden="false" customHeight="true" outlineLevel="0" collapsed="false">
      <c r="B25" s="17" t="s">
        <v>50</v>
      </c>
      <c r="C25" s="18" t="s">
        <v>45</v>
      </c>
      <c r="D25" s="19" t="n">
        <f aca="false">$C$4</f>
        <v>104.3</v>
      </c>
      <c r="E25" s="19" t="n">
        <f aca="false">$F$37</f>
        <v>13.2</v>
      </c>
      <c r="F25" s="20" t="n">
        <f aca="false">$D$13</f>
        <v>91.1</v>
      </c>
    </row>
    <row r="26" customFormat="false" ht="19.5" hidden="false" customHeight="true" outlineLevel="0" collapsed="false">
      <c r="B26" s="17" t="s">
        <v>51</v>
      </c>
      <c r="C26" s="18" t="s">
        <v>45</v>
      </c>
      <c r="D26" s="19" t="n">
        <f aca="false">$C$4</f>
        <v>104.3</v>
      </c>
      <c r="E26" s="19" t="n">
        <f aca="false">$F$38</f>
        <v>11.2</v>
      </c>
      <c r="F26" s="20" t="n">
        <f aca="false">$D$14</f>
        <v>93.1</v>
      </c>
    </row>
    <row r="27" customFormat="false" ht="19.5" hidden="false" customHeight="true" outlineLevel="0" collapsed="false">
      <c r="B27" s="17" t="s">
        <v>52</v>
      </c>
      <c r="C27" s="18" t="s">
        <v>45</v>
      </c>
      <c r="D27" s="19" t="n">
        <f aca="false">$C$4</f>
        <v>104.3</v>
      </c>
      <c r="E27" s="19" t="n">
        <f aca="false">$F$32</f>
        <v>5</v>
      </c>
      <c r="F27" s="20" t="n">
        <f aca="false">$D$15</f>
        <v>99.3</v>
      </c>
    </row>
    <row r="28" customFormat="false" ht="19.5" hidden="false" customHeight="true" outlineLevel="0" collapsed="false">
      <c r="B28" s="17" t="s">
        <v>53</v>
      </c>
      <c r="C28" s="18" t="s">
        <v>37</v>
      </c>
      <c r="D28" s="19" t="n">
        <f aca="false">$C$5</f>
        <v>288.8</v>
      </c>
      <c r="E28" s="19" t="n">
        <f aca="false">$F$39</f>
        <v>6.9</v>
      </c>
      <c r="F28" s="20" t="n">
        <f aca="false">$D$16</f>
        <v>281.9</v>
      </c>
    </row>
    <row r="29" customFormat="false" ht="19.5" hidden="false" customHeight="true" outlineLevel="0" collapsed="false">
      <c r="B29" s="17" t="s">
        <v>54</v>
      </c>
      <c r="C29" s="18" t="s">
        <v>37</v>
      </c>
      <c r="D29" s="19" t="n">
        <f aca="false">$C$5</f>
        <v>288.8</v>
      </c>
      <c r="E29" s="21"/>
      <c r="F29" s="20" t="n">
        <f aca="false">$D$17</f>
        <v>288.8</v>
      </c>
    </row>
    <row r="31" customFormat="false" ht="15" hidden="false" customHeight="true" outlineLevel="0" collapsed="false">
      <c r="B31" s="22" t="s">
        <v>55</v>
      </c>
      <c r="C31" s="22"/>
      <c r="D31" s="22"/>
      <c r="E31" s="22"/>
      <c r="F31" s="22"/>
    </row>
    <row r="32" customFormat="false" ht="18.75" hidden="false" customHeight="true" outlineLevel="0" collapsed="false">
      <c r="B32" s="11" t="s">
        <v>56</v>
      </c>
      <c r="C32" s="11"/>
      <c r="D32" s="11"/>
      <c r="E32" s="11"/>
      <c r="F32" s="5" t="n">
        <v>5</v>
      </c>
    </row>
    <row r="33" customFormat="false" ht="18.75" hidden="false" customHeight="true" outlineLevel="0" collapsed="false">
      <c r="B33" s="11" t="s">
        <v>57</v>
      </c>
      <c r="C33" s="11"/>
      <c r="D33" s="11"/>
      <c r="E33" s="11"/>
      <c r="F33" s="5" t="n">
        <v>9.4</v>
      </c>
    </row>
    <row r="34" customFormat="false" ht="18.75" hidden="false" customHeight="true" outlineLevel="0" collapsed="false">
      <c r="B34" s="11" t="s">
        <v>58</v>
      </c>
      <c r="C34" s="11"/>
      <c r="D34" s="11"/>
      <c r="E34" s="11"/>
      <c r="F34" s="5" t="n">
        <v>15.4</v>
      </c>
    </row>
    <row r="35" customFormat="false" ht="18.75" hidden="false" customHeight="true" outlineLevel="0" collapsed="false">
      <c r="B35" s="11" t="s">
        <v>59</v>
      </c>
      <c r="C35" s="11"/>
      <c r="D35" s="11"/>
      <c r="E35" s="11"/>
      <c r="F35" s="5" t="n">
        <v>4.6</v>
      </c>
    </row>
    <row r="36" customFormat="false" ht="18.75" hidden="false" customHeight="true" outlineLevel="0" collapsed="false">
      <c r="B36" s="11" t="s">
        <v>60</v>
      </c>
      <c r="C36" s="11"/>
      <c r="D36" s="11"/>
      <c r="E36" s="11"/>
      <c r="F36" s="5" t="n">
        <v>0.1</v>
      </c>
    </row>
    <row r="37" customFormat="false" ht="18.75" hidden="false" customHeight="true" outlineLevel="0" collapsed="false">
      <c r="B37" s="11" t="s">
        <v>61</v>
      </c>
      <c r="C37" s="11"/>
      <c r="D37" s="11"/>
      <c r="E37" s="11"/>
      <c r="F37" s="5" t="n">
        <v>13.2</v>
      </c>
    </row>
    <row r="38" customFormat="false" ht="18.75" hidden="false" customHeight="true" outlineLevel="0" collapsed="false">
      <c r="B38" s="11" t="s">
        <v>62</v>
      </c>
      <c r="C38" s="11"/>
      <c r="D38" s="11"/>
      <c r="E38" s="11"/>
      <c r="F38" s="5" t="n">
        <v>11.2</v>
      </c>
    </row>
    <row r="39" customFormat="false" ht="18.75" hidden="false" customHeight="true" outlineLevel="0" collapsed="false">
      <c r="B39" s="11" t="s">
        <v>63</v>
      </c>
      <c r="C39" s="11"/>
      <c r="D39" s="11"/>
      <c r="E39" s="11"/>
      <c r="F39" s="5" t="n">
        <v>6.9</v>
      </c>
    </row>
    <row r="41" customFormat="false" ht="15" hidden="false" customHeight="false" outlineLevel="0" collapsed="false">
      <c r="B41" s="23" t="s">
        <v>64</v>
      </c>
    </row>
    <row r="42" customFormat="false" ht="15" hidden="false" customHeight="false" outlineLevel="0" collapsed="false">
      <c r="B42" s="24" t="s">
        <v>65</v>
      </c>
    </row>
    <row r="43" customFormat="false" ht="15" hidden="false" customHeight="false" outlineLevel="0" collapsed="false">
      <c r="A43" s="25" t="s">
        <v>7</v>
      </c>
      <c r="B43" s="25" t="s">
        <v>66</v>
      </c>
      <c r="C43" s="25" t="s">
        <v>67</v>
      </c>
      <c r="D43" s="25" t="s">
        <v>68</v>
      </c>
      <c r="E43" s="25" t="s">
        <v>11</v>
      </c>
      <c r="F43" s="25" t="s">
        <v>69</v>
      </c>
    </row>
    <row r="44" customFormat="false" ht="15" hidden="false" customHeight="false" outlineLevel="0" collapsed="false">
      <c r="A44" s="26"/>
      <c r="B44" s="27" t="s">
        <v>70</v>
      </c>
      <c r="C44" s="26"/>
      <c r="D44" s="26"/>
      <c r="E44" s="26"/>
      <c r="F44" s="26"/>
    </row>
    <row r="45" customFormat="false" ht="15" hidden="false" customHeight="false" outlineLevel="0" collapsed="false">
      <c r="A45" s="28" t="n">
        <v>1</v>
      </c>
      <c r="B45" s="29" t="s">
        <v>71</v>
      </c>
      <c r="C45" s="30" t="s">
        <v>72</v>
      </c>
      <c r="D45" s="31"/>
      <c r="E45" s="30" t="n">
        <f aca="false">'HUNG Takeoff'!F5</f>
        <v>4</v>
      </c>
      <c r="F45" s="30" t="s">
        <v>73</v>
      </c>
    </row>
    <row r="46" customFormat="false" ht="15" hidden="false" customHeight="false" outlineLevel="0" collapsed="false">
      <c r="A46" s="28" t="n">
        <v>2</v>
      </c>
      <c r="B46" s="29" t="s">
        <v>74</v>
      </c>
      <c r="C46" s="30" t="s">
        <v>75</v>
      </c>
      <c r="D46" s="31"/>
      <c r="E46" s="30" t="n">
        <f aca="false">'HUNG Takeoff'!F6</f>
        <v>4</v>
      </c>
      <c r="F46" s="30" t="s">
        <v>73</v>
      </c>
    </row>
    <row r="47" customFormat="false" ht="15" hidden="false" customHeight="false" outlineLevel="0" collapsed="false">
      <c r="A47" s="28" t="n">
        <v>3</v>
      </c>
      <c r="B47" s="29" t="s">
        <v>76</v>
      </c>
      <c r="C47" s="30" t="s">
        <v>77</v>
      </c>
      <c r="D47" s="31"/>
      <c r="E47" s="30" t="n">
        <f aca="false">'HUNG Takeoff'!F7</f>
        <v>2</v>
      </c>
      <c r="F47" s="30" t="s">
        <v>73</v>
      </c>
    </row>
    <row r="48" customFormat="false" ht="15" hidden="false" customHeight="false" outlineLevel="0" collapsed="false">
      <c r="A48" s="28" t="n">
        <v>4</v>
      </c>
      <c r="B48" s="29" t="s">
        <v>78</v>
      </c>
      <c r="C48" s="30" t="s">
        <v>79</v>
      </c>
      <c r="D48" s="31"/>
      <c r="E48" s="30" t="n">
        <f aca="false">'HUNG Takeoff'!F8</f>
        <v>4</v>
      </c>
      <c r="F48" s="30" t="s">
        <v>73</v>
      </c>
    </row>
    <row r="49" customFormat="false" ht="15" hidden="false" customHeight="false" outlineLevel="0" collapsed="false">
      <c r="A49" s="28" t="n">
        <v>5</v>
      </c>
      <c r="B49" s="29" t="s">
        <v>80</v>
      </c>
      <c r="C49" s="30" t="s">
        <v>81</v>
      </c>
      <c r="D49" s="31"/>
      <c r="E49" s="32" t="n">
        <f aca="false">'HUNG Takeoff'!F9</f>
        <v>8.327</v>
      </c>
      <c r="F49" s="30" t="s">
        <v>82</v>
      </c>
    </row>
    <row r="50" customFormat="false" ht="15" hidden="false" customHeight="false" outlineLevel="0" collapsed="false">
      <c r="A50" s="28" t="n">
        <v>6</v>
      </c>
      <c r="B50" s="29" t="s">
        <v>83</v>
      </c>
      <c r="C50" s="30" t="s">
        <v>84</v>
      </c>
      <c r="D50" s="31"/>
      <c r="E50" s="30" t="n">
        <f aca="false">'HUNG Takeoff'!F10</f>
        <v>8</v>
      </c>
      <c r="F50" s="30" t="s">
        <v>73</v>
      </c>
    </row>
    <row r="51" customFormat="false" ht="15" hidden="false" customHeight="false" outlineLevel="0" collapsed="false">
      <c r="A51" s="28" t="n">
        <v>7</v>
      </c>
      <c r="B51" s="29" t="s">
        <v>85</v>
      </c>
      <c r="C51" s="30" t="s">
        <v>86</v>
      </c>
      <c r="D51" s="31"/>
      <c r="E51" s="30" t="n">
        <f aca="false">'HUNG Takeoff'!F11</f>
        <v>2</v>
      </c>
      <c r="F51" s="30" t="s">
        <v>87</v>
      </c>
    </row>
    <row r="52" customFormat="false" ht="15" hidden="false" customHeight="false" outlineLevel="0" collapsed="false">
      <c r="A52" s="28" t="n">
        <v>8</v>
      </c>
      <c r="B52" s="29" t="s">
        <v>88</v>
      </c>
      <c r="C52" s="30" t="s">
        <v>89</v>
      </c>
      <c r="D52" s="31"/>
      <c r="E52" s="30" t="n">
        <f aca="false">'HUNG Takeoff'!F12</f>
        <v>2</v>
      </c>
      <c r="F52" s="30" t="s">
        <v>73</v>
      </c>
    </row>
    <row r="53" customFormat="false" ht="15" hidden="false" customHeight="false" outlineLevel="0" collapsed="false">
      <c r="A53" s="28" t="n">
        <v>9</v>
      </c>
      <c r="B53" s="29" t="s">
        <v>90</v>
      </c>
      <c r="C53" s="30" t="s">
        <v>91</v>
      </c>
      <c r="D53" s="31"/>
      <c r="E53" s="30" t="n">
        <f aca="false">'HUNG Takeoff'!F15</f>
        <v>1</v>
      </c>
      <c r="F53" s="30" t="s">
        <v>87</v>
      </c>
    </row>
    <row r="54" customFormat="false" ht="15" hidden="false" customHeight="false" outlineLevel="0" collapsed="false">
      <c r="A54" s="28" t="n">
        <v>10</v>
      </c>
      <c r="B54" s="29" t="s">
        <v>92</v>
      </c>
      <c r="C54" s="30" t="s">
        <v>93</v>
      </c>
      <c r="D54" s="31"/>
      <c r="E54" s="30" t="n">
        <f aca="false">'HUNG Takeoff'!F16</f>
        <v>1</v>
      </c>
      <c r="F54" s="30" t="s">
        <v>87</v>
      </c>
    </row>
    <row r="55" customFormat="false" ht="15" hidden="false" customHeight="false" outlineLevel="0" collapsed="false">
      <c r="A55" s="28" t="n">
        <v>11</v>
      </c>
      <c r="B55" s="29" t="s">
        <v>94</v>
      </c>
      <c r="C55" s="30" t="s">
        <v>95</v>
      </c>
      <c r="D55" s="31"/>
      <c r="E55" s="30" t="n">
        <f aca="false">'HUNG Takeoff'!F22</f>
        <v>2</v>
      </c>
      <c r="F55" s="30" t="s">
        <v>73</v>
      </c>
    </row>
    <row r="56" customFormat="false" ht="15" hidden="false" customHeight="false" outlineLevel="0" collapsed="false">
      <c r="A56" s="26"/>
      <c r="B56" s="27" t="s">
        <v>96</v>
      </c>
      <c r="C56" s="26"/>
      <c r="D56" s="26"/>
      <c r="E56" s="26"/>
      <c r="F56" s="26"/>
    </row>
    <row r="57" customFormat="false" ht="15" hidden="false" customHeight="false" outlineLevel="0" collapsed="false">
      <c r="A57" s="28" t="n">
        <v>12</v>
      </c>
      <c r="B57" s="29" t="s">
        <v>97</v>
      </c>
      <c r="C57" s="30" t="str">
        <f aca="false">"06-008-"&amp;IF($C$7="ดำ","BL",IF($C$7="ขาว","WH",IF($C$7="เทาซาฮาร่า","GS",IF($C$7="มะฮอกกานี","WMH","WGT"))))</f>
        <v>06-008-BL</v>
      </c>
      <c r="D57" s="31"/>
      <c r="E57" s="30" t="n">
        <f aca="false">'HUNG Takeoff'!F29</f>
        <v>1</v>
      </c>
      <c r="F57" s="30" t="s">
        <v>73</v>
      </c>
    </row>
    <row r="58" customFormat="false" ht="15" hidden="false" customHeight="false" outlineLevel="0" collapsed="false">
      <c r="A58" s="28" t="n">
        <v>13</v>
      </c>
      <c r="B58" s="29" t="s">
        <v>98</v>
      </c>
      <c r="C58" s="30" t="s">
        <v>99</v>
      </c>
      <c r="D58" s="31"/>
      <c r="E58" s="30" t="n">
        <f aca="false">'HUNG Takeoff'!F34</f>
        <v>1</v>
      </c>
      <c r="F58" s="30" t="s">
        <v>73</v>
      </c>
    </row>
    <row r="59" customFormat="false" ht="15" hidden="false" customHeight="false" outlineLevel="0" collapsed="false">
      <c r="A59" s="28" t="n">
        <v>14</v>
      </c>
      <c r="B59" s="29" t="s">
        <v>100</v>
      </c>
      <c r="C59" s="30" t="s">
        <v>101</v>
      </c>
      <c r="D59" s="31"/>
      <c r="E59" s="30" t="n">
        <f aca="false">'HUNG Takeoff'!F35</f>
        <v>1</v>
      </c>
      <c r="F59" s="30" t="s">
        <v>73</v>
      </c>
    </row>
    <row r="60" customFormat="false" ht="15" hidden="false" customHeight="false" outlineLevel="0" collapsed="false">
      <c r="A60" s="26"/>
      <c r="B60" s="27" t="s">
        <v>102</v>
      </c>
      <c r="C60" s="26"/>
      <c r="D60" s="26"/>
      <c r="E60" s="26"/>
      <c r="F60" s="26"/>
    </row>
    <row r="61" customFormat="false" ht="15" hidden="false" customHeight="false" outlineLevel="0" collapsed="false">
      <c r="A61" s="28" t="n">
        <v>15</v>
      </c>
      <c r="B61" s="29" t="s">
        <v>103</v>
      </c>
      <c r="C61" s="30" t="s">
        <v>104</v>
      </c>
      <c r="D61" s="31"/>
      <c r="E61" s="30" t="n">
        <f aca="false">'HUNG Takeoff'!F17</f>
        <v>4</v>
      </c>
      <c r="F61" s="30" t="s">
        <v>73</v>
      </c>
    </row>
    <row r="62" customFormat="false" ht="15" hidden="false" customHeight="false" outlineLevel="0" collapsed="false">
      <c r="A62" s="28" t="n">
        <v>16</v>
      </c>
      <c r="B62" s="29" t="s">
        <v>105</v>
      </c>
      <c r="C62" s="30" t="s">
        <v>106</v>
      </c>
      <c r="D62" s="31"/>
      <c r="E62" s="30" t="n">
        <f aca="false">'HUNG Takeoff'!F18</f>
        <v>32</v>
      </c>
      <c r="F62" s="30" t="s">
        <v>73</v>
      </c>
    </row>
    <row r="63" customFormat="false" ht="15" hidden="false" customHeight="false" outlineLevel="0" collapsed="false">
      <c r="A63" s="28" t="n">
        <v>17</v>
      </c>
      <c r="B63" s="29" t="s">
        <v>107</v>
      </c>
      <c r="C63" s="30" t="s">
        <v>108</v>
      </c>
      <c r="D63" s="31"/>
      <c r="E63" s="30" t="n">
        <f aca="false">'HUNG Takeoff'!F19</f>
        <v>8</v>
      </c>
      <c r="F63" s="30" t="s">
        <v>73</v>
      </c>
    </row>
    <row r="64" customFormat="false" ht="15" hidden="false" customHeight="false" outlineLevel="0" collapsed="false">
      <c r="A64" s="28" t="n">
        <v>18</v>
      </c>
      <c r="B64" s="29" t="s">
        <v>109</v>
      </c>
      <c r="C64" s="30" t="s">
        <v>110</v>
      </c>
      <c r="D64" s="31"/>
      <c r="E64" s="30" t="n">
        <f aca="false">'HUNG Takeoff'!F20</f>
        <v>8</v>
      </c>
      <c r="F64" s="30" t="s">
        <v>73</v>
      </c>
    </row>
    <row r="65" customFormat="false" ht="15" hidden="false" customHeight="false" outlineLevel="0" collapsed="false">
      <c r="A65" s="28" t="n">
        <v>19</v>
      </c>
      <c r="B65" s="29" t="s">
        <v>111</v>
      </c>
      <c r="C65" s="30" t="s">
        <v>112</v>
      </c>
      <c r="D65" s="31"/>
      <c r="E65" s="30" t="n">
        <f aca="false">'HUNG Takeoff'!F21</f>
        <v>8</v>
      </c>
      <c r="F65" s="30" t="s">
        <v>73</v>
      </c>
    </row>
    <row r="66" customFormat="false" ht="15" hidden="false" customHeight="false" outlineLevel="0" collapsed="false">
      <c r="A66" s="28" t="n">
        <v>20</v>
      </c>
      <c r="B66" s="29" t="s">
        <v>113</v>
      </c>
      <c r="C66" s="30" t="s">
        <v>114</v>
      </c>
      <c r="D66" s="31"/>
      <c r="E66" s="30" t="n">
        <f aca="false">'HUNG Takeoff'!F14</f>
        <v>16</v>
      </c>
      <c r="F66" s="30" t="s">
        <v>82</v>
      </c>
    </row>
    <row r="67" customFormat="false" ht="15" hidden="false" customHeight="false" outlineLevel="0" collapsed="false">
      <c r="A67" s="28" t="n">
        <v>21</v>
      </c>
      <c r="B67" s="29" t="s">
        <v>115</v>
      </c>
      <c r="C67" s="30" t="s">
        <v>116</v>
      </c>
      <c r="D67" s="31"/>
      <c r="E67" s="30" t="n">
        <f aca="false">'HUNG Takeoff'!F13</f>
        <v>12</v>
      </c>
      <c r="F67" s="30" t="s">
        <v>82</v>
      </c>
    </row>
    <row r="68" customFormat="false" ht="15" hidden="false" customHeight="false" outlineLevel="0" collapsed="false">
      <c r="A68" s="28" t="n">
        <v>22</v>
      </c>
      <c r="B68" s="29" t="s">
        <v>117</v>
      </c>
      <c r="C68" s="30" t="s">
        <v>118</v>
      </c>
      <c r="D68" s="31"/>
      <c r="E68" s="30" t="n">
        <f aca="false">'HUNG Takeoff'!F24</f>
        <v>19</v>
      </c>
      <c r="F68" s="30" t="s">
        <v>82</v>
      </c>
    </row>
    <row r="69" customFormat="false" ht="15" hidden="false" customHeight="false" outlineLevel="0" collapsed="false">
      <c r="A69" s="28" t="n">
        <v>23</v>
      </c>
      <c r="B69" s="29" t="s">
        <v>119</v>
      </c>
      <c r="C69" s="30" t="s">
        <v>118</v>
      </c>
      <c r="D69" s="31"/>
      <c r="E69" s="30" t="n">
        <f aca="false">'HUNG Takeoff'!F26</f>
        <v>10</v>
      </c>
      <c r="F69" s="30" t="s">
        <v>82</v>
      </c>
    </row>
    <row r="70" customFormat="false" ht="15" hidden="false" customHeight="false" outlineLevel="0" collapsed="false">
      <c r="A70" s="28" t="n">
        <v>24</v>
      </c>
      <c r="B70" s="29" t="s">
        <v>120</v>
      </c>
      <c r="C70" s="30" t="s">
        <v>121</v>
      </c>
      <c r="D70" s="31"/>
      <c r="E70" s="30" t="n">
        <f aca="false">'HUNG Takeoff'!F27</f>
        <v>10</v>
      </c>
      <c r="F70" s="30" t="s">
        <v>82</v>
      </c>
    </row>
  </sheetData>
  <mergeCells count="12">
    <mergeCell ref="A1:H2"/>
    <mergeCell ref="B3:C3"/>
    <mergeCell ref="B19:G19"/>
    <mergeCell ref="B31:F31"/>
    <mergeCell ref="B32:E32"/>
    <mergeCell ref="B33:E33"/>
    <mergeCell ref="B34:E34"/>
    <mergeCell ref="B35:E35"/>
    <mergeCell ref="B36:E36"/>
    <mergeCell ref="B37:E37"/>
    <mergeCell ref="B38:E38"/>
    <mergeCell ref="B39:E39"/>
  </mergeCells>
  <dataValidations count="1">
    <dataValidation allowBlank="false" errorStyle="stop" operator="between" showDropDown="false" showErrorMessage="false" showInputMessage="false" sqref="C7" type="list">
      <formula1>"ดำ,ขาว,เทาซาฮาร่า,มะฮอกกานี,สักทอง"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00"/>
    <pageSetUpPr fitToPage="true"/>
  </sheetPr>
  <dimension ref="A1:AR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U2" activeCellId="0" sqref="U2"/>
    </sheetView>
  </sheetViews>
  <sheetFormatPr defaultColWidth="9.14453125" defaultRowHeight="12.75" zeroHeight="false" outlineLevelRow="1" outlineLevelCol="1"/>
  <cols>
    <col collapsed="false" customWidth="false" hidden="false" outlineLevel="0" max="1" min="1" style="33" width="9.14"/>
    <col collapsed="false" customWidth="true" hidden="false" outlineLevel="0" max="2" min="2" style="34" width="12.57"/>
    <col collapsed="false" customWidth="true" hidden="false" outlineLevel="0" max="3" min="3" style="33" width="26.28"/>
    <col collapsed="false" customWidth="true" hidden="false" outlineLevel="0" max="4" min="4" style="33" width="20.71"/>
    <col collapsed="false" customWidth="true" hidden="false" outlineLevel="1" max="5" min="5" style="34" width="11.14"/>
    <col collapsed="false" customWidth="true" hidden="false" outlineLevel="1" max="6" min="6" style="34" width="20.71"/>
    <col collapsed="false" customWidth="true" hidden="false" outlineLevel="1" max="7" min="7" style="33" width="20.71"/>
    <col collapsed="false" customWidth="true" hidden="false" outlineLevel="1" max="8" min="8" style="34" width="26.43"/>
    <col collapsed="false" customWidth="true" hidden="false" outlineLevel="1" max="9" min="9" style="34" width="16.57"/>
    <col collapsed="false" customWidth="true" hidden="true" outlineLevel="0" max="10" min="10" style="34" width="4.42"/>
    <col collapsed="false" customWidth="true" hidden="true" outlineLevel="1" max="15" min="11" style="34" width="16.28"/>
    <col collapsed="false" customWidth="false" hidden="true" outlineLevel="0" max="16" min="16" style="34" width="9.14"/>
    <col collapsed="false" customWidth="true" hidden="true" outlineLevel="0" max="17" min="17" style="34" width="13"/>
    <col collapsed="false" customWidth="false" hidden="false" outlineLevel="0" max="16384" min="18" style="34" width="9.14"/>
  </cols>
  <sheetData>
    <row r="1" customFormat="false" ht="76.5" hidden="false" customHeight="true" outlineLevel="0" collapsed="false"/>
    <row r="2" customFormat="false" ht="39.75" hidden="false" customHeight="true" outlineLevel="0" collapsed="false">
      <c r="A2" s="35" t="s">
        <v>122</v>
      </c>
      <c r="C2" s="36"/>
      <c r="F2" s="37"/>
      <c r="K2" s="37"/>
      <c r="L2" s="37"/>
      <c r="M2" s="37"/>
      <c r="N2" s="37"/>
      <c r="O2" s="37"/>
    </row>
    <row r="3" customFormat="false" ht="39.75" hidden="false" customHeight="true" outlineLevel="0" collapsed="false">
      <c r="A3" s="34"/>
      <c r="C3" s="38" t="s">
        <v>123</v>
      </c>
      <c r="F3" s="37"/>
      <c r="K3" s="37"/>
      <c r="L3" s="37"/>
      <c r="M3" s="37"/>
      <c r="N3" s="37"/>
      <c r="O3" s="37"/>
    </row>
    <row r="4" s="40" customFormat="true" ht="128.25" hidden="false" customHeight="true" outlineLevel="0" collapsed="false">
      <c r="A4" s="39"/>
      <c r="B4" s="39"/>
      <c r="C4" s="39"/>
      <c r="D4" s="39"/>
      <c r="E4" s="39"/>
      <c r="G4" s="41"/>
      <c r="L4" s="41" t="n">
        <f aca="false">D6*F6/1000000</f>
        <v>3.012184</v>
      </c>
      <c r="U4" s="41"/>
      <c r="V4" s="41"/>
      <c r="W4" s="41"/>
      <c r="X4" s="41"/>
      <c r="Z4" s="41"/>
      <c r="AA4" s="41"/>
      <c r="AB4" s="41"/>
      <c r="AC4" s="41"/>
      <c r="AR4" s="42"/>
    </row>
    <row r="5" s="40" customFormat="true" ht="16.5" hidden="false" customHeight="true" outlineLevel="1" collapsed="false">
      <c r="B5" s="41"/>
      <c r="C5" s="43"/>
      <c r="D5" s="44" t="s">
        <v>124</v>
      </c>
      <c r="E5" s="45"/>
      <c r="F5" s="46" t="s">
        <v>125</v>
      </c>
      <c r="G5" s="47" t="s">
        <v>126</v>
      </c>
      <c r="H5" s="48" t="s">
        <v>127</v>
      </c>
      <c r="P5" s="41"/>
      <c r="Q5" s="41"/>
      <c r="R5" s="41"/>
      <c r="S5" s="41"/>
      <c r="U5" s="41"/>
      <c r="V5" s="41"/>
      <c r="W5" s="41"/>
      <c r="X5" s="41"/>
      <c r="AM5" s="42"/>
    </row>
    <row r="6" customFormat="false" ht="39.75" hidden="false" customHeight="true" outlineLevel="1" collapsed="false">
      <c r="A6" s="35"/>
      <c r="C6" s="49" t="s">
        <v>128</v>
      </c>
      <c r="D6" s="50" t="n">
        <f aca="false">'JR คำนวณ'!C5*10</f>
        <v>2888</v>
      </c>
      <c r="E6" s="41" t="s">
        <v>129</v>
      </c>
      <c r="F6" s="50" t="n">
        <f aca="false">'JR คำนวณ'!C4*10</f>
        <v>1043</v>
      </c>
      <c r="G6" s="51" t="n">
        <f aca="false">'JR คำนวณ'!C6</f>
        <v>1</v>
      </c>
      <c r="H6" s="52" t="n">
        <f aca="false">'FSA CORD calculate '!I16</f>
        <v>4163.5</v>
      </c>
    </row>
    <row r="7" customFormat="false" ht="39.75" hidden="false" customHeight="true" outlineLevel="1" collapsed="false">
      <c r="A7" s="35"/>
      <c r="C7" s="53" t="s">
        <v>130</v>
      </c>
      <c r="D7" s="54" t="n">
        <f aca="false">$H$13-24</f>
        <v>1396</v>
      </c>
      <c r="E7" s="55" t="s">
        <v>129</v>
      </c>
      <c r="F7" s="54" t="n">
        <f aca="false">$H$12+16</f>
        <v>905</v>
      </c>
      <c r="G7" s="56" t="n">
        <f aca="false">(D7*F7)/1000000</f>
        <v>1.26338</v>
      </c>
      <c r="H7" s="57" t="s">
        <v>131</v>
      </c>
      <c r="L7" s="58" t="s">
        <v>132</v>
      </c>
      <c r="M7" s="58"/>
      <c r="N7" s="59" t="s">
        <v>133</v>
      </c>
      <c r="O7" s="59" t="s">
        <v>134</v>
      </c>
    </row>
    <row r="8" customFormat="false" ht="36.75" hidden="false" customHeight="true" outlineLevel="0" collapsed="false">
      <c r="A8" s="60" t="s">
        <v>135</v>
      </c>
      <c r="B8" s="61"/>
      <c r="C8" s="36"/>
      <c r="F8" s="62"/>
      <c r="G8" s="63" t="s">
        <v>136</v>
      </c>
      <c r="K8" s="59" t="s">
        <v>137</v>
      </c>
      <c r="L8" s="64" t="n">
        <v>6400</v>
      </c>
      <c r="M8" s="59"/>
      <c r="N8" s="34" t="s">
        <v>138</v>
      </c>
    </row>
    <row r="9" customFormat="false" ht="25.5" hidden="false" customHeight="true" outlineLevel="0" collapsed="false">
      <c r="A9" s="65" t="s">
        <v>139</v>
      </c>
      <c r="B9" s="65" t="s">
        <v>140</v>
      </c>
      <c r="C9" s="65" t="s">
        <v>141</v>
      </c>
      <c r="D9" s="66" t="s">
        <v>142</v>
      </c>
      <c r="E9" s="67" t="s">
        <v>143</v>
      </c>
      <c r="F9" s="68" t="s">
        <v>144</v>
      </c>
      <c r="G9" s="66" t="s">
        <v>145</v>
      </c>
      <c r="H9" s="66" t="s">
        <v>146</v>
      </c>
      <c r="I9" s="69" t="s">
        <v>147</v>
      </c>
      <c r="J9" s="68"/>
      <c r="K9" s="70" t="s">
        <v>148</v>
      </c>
      <c r="L9" s="70" t="s">
        <v>149</v>
      </c>
      <c r="M9" s="71" t="s">
        <v>150</v>
      </c>
      <c r="N9" s="70" t="s">
        <v>151</v>
      </c>
      <c r="O9" s="70" t="s">
        <v>152</v>
      </c>
    </row>
    <row r="10" customFormat="false" ht="68.25" hidden="false" customHeight="true" outlineLevel="0" collapsed="false">
      <c r="A10" s="72" t="n">
        <v>1</v>
      </c>
      <c r="B10" s="73" t="s">
        <v>153</v>
      </c>
      <c r="C10" s="74"/>
      <c r="D10" s="75" t="s">
        <v>154</v>
      </c>
      <c r="E10" s="76" t="n">
        <v>0.897</v>
      </c>
      <c r="F10" s="76" t="n">
        <f aca="false">1*$G$6</f>
        <v>1</v>
      </c>
      <c r="G10" s="75" t="s">
        <v>155</v>
      </c>
      <c r="H10" s="75" t="n">
        <f aca="false">$F$6-50</f>
        <v>993</v>
      </c>
      <c r="I10" s="77" t="n">
        <f aca="false">M10</f>
        <v>1</v>
      </c>
      <c r="J10" s="78"/>
      <c r="K10" s="79" t="n">
        <f aca="false">F10*H10</f>
        <v>993</v>
      </c>
      <c r="L10" s="80" t="n">
        <f aca="false">IF(N10&gt;F10,ROUNDUP(F10/N10,0),IF(N10&lt;F10,ROUNDUP(F10/N10,0),IF(N10=F10,F10/N10)))</f>
        <v>1</v>
      </c>
      <c r="M10" s="81" t="n">
        <f aca="false">L10</f>
        <v>1</v>
      </c>
      <c r="N10" s="79" t="n">
        <f aca="false">ROUNDDOWN($L$8/(H10+5),0)</f>
        <v>6</v>
      </c>
      <c r="O10" s="79" t="n">
        <f aca="false">$L$8-((H10+5)*N10)</f>
        <v>412</v>
      </c>
    </row>
    <row r="11" customFormat="false" ht="90" hidden="false" customHeight="true" outlineLevel="0" collapsed="false">
      <c r="A11" s="82" t="n">
        <v>2</v>
      </c>
      <c r="B11" s="73" t="s">
        <v>156</v>
      </c>
      <c r="C11" s="83"/>
      <c r="D11" s="75" t="s">
        <v>157</v>
      </c>
      <c r="E11" s="84" t="n">
        <v>0.358</v>
      </c>
      <c r="F11" s="76" t="n">
        <f aca="false">1*$G$6</f>
        <v>1</v>
      </c>
      <c r="G11" s="75" t="s">
        <v>158</v>
      </c>
      <c r="H11" s="75" t="n">
        <f aca="false">$F$6-94</f>
        <v>949</v>
      </c>
      <c r="I11" s="77" t="n">
        <f aca="false">M11</f>
        <v>1</v>
      </c>
      <c r="J11" s="78"/>
      <c r="K11" s="79" t="n">
        <f aca="false">F11*H11</f>
        <v>949</v>
      </c>
      <c r="L11" s="80" t="n">
        <f aca="false">IF(N11&gt;F11,ROUNDUP(F11/N11,0),IF(N11&lt;F11,ROUNDUP(F11/N11,0),IF(N11=F11,F11/N11)))</f>
        <v>1</v>
      </c>
      <c r="M11" s="81" t="n">
        <f aca="false">L11</f>
        <v>1</v>
      </c>
      <c r="N11" s="79" t="n">
        <f aca="false">ROUNDDOWN($L$8/(H11+5),0)</f>
        <v>6</v>
      </c>
      <c r="O11" s="79" t="n">
        <f aca="false">$L$8-((H11+5)*N11)</f>
        <v>676</v>
      </c>
    </row>
    <row r="12" customFormat="false" ht="36.75" hidden="false" customHeight="true" outlineLevel="0" collapsed="false">
      <c r="A12" s="85" t="n">
        <v>3</v>
      </c>
      <c r="B12" s="86" t="s">
        <v>159</v>
      </c>
      <c r="C12" s="83"/>
      <c r="D12" s="86" t="s">
        <v>160</v>
      </c>
      <c r="E12" s="83" t="n">
        <v>0.528</v>
      </c>
      <c r="F12" s="87" t="n">
        <f aca="false">4*$G$6</f>
        <v>4</v>
      </c>
      <c r="G12" s="75" t="s">
        <v>161</v>
      </c>
      <c r="H12" s="88" t="n">
        <f aca="false">$F$6-154</f>
        <v>889</v>
      </c>
      <c r="I12" s="89" t="n">
        <f aca="false">M12</f>
        <v>2</v>
      </c>
      <c r="J12" s="90"/>
      <c r="K12" s="79" t="n">
        <f aca="false">F12*H12</f>
        <v>3556</v>
      </c>
      <c r="L12" s="80" t="n">
        <f aca="false">IF(N12&gt;F12,ROUNDUP(F12/N12,0),IF(N12&lt;F12,ROUNDUP(F12/N12,0),IF(N12=F12,F12/N12)))</f>
        <v>1</v>
      </c>
      <c r="M12" s="91" t="n">
        <f aca="false">L12+L13</f>
        <v>2</v>
      </c>
      <c r="N12" s="79" t="n">
        <f aca="false">ROUNDDOWN($L$8/(H12+5),0)</f>
        <v>7</v>
      </c>
      <c r="O12" s="79" t="n">
        <f aca="false">$L$8-((H12+5)*N12)</f>
        <v>142</v>
      </c>
      <c r="P12" s="88" t="s">
        <v>162</v>
      </c>
    </row>
    <row r="13" customFormat="false" ht="36" hidden="false" customHeight="true" outlineLevel="0" collapsed="false">
      <c r="A13" s="85"/>
      <c r="B13" s="86"/>
      <c r="C13" s="86"/>
      <c r="D13" s="86"/>
      <c r="E13" s="86"/>
      <c r="F13" s="87" t="n">
        <f aca="false">4*$G$6</f>
        <v>4</v>
      </c>
      <c r="G13" s="75" t="s">
        <v>163</v>
      </c>
      <c r="H13" s="88" t="n">
        <f aca="false">(($D$6-46)/2)-1</f>
        <v>1420</v>
      </c>
      <c r="I13" s="89"/>
      <c r="J13" s="92"/>
      <c r="K13" s="79" t="n">
        <f aca="false">F13*H13</f>
        <v>5680</v>
      </c>
      <c r="L13" s="80" t="n">
        <f aca="false">IF(N13&gt;F13,ROUNDUP(F13/N13,0),IF(N13&lt;F13,ROUNDUP(F13/N13,0),IF(N13=F13,F13/N13)))</f>
        <v>1</v>
      </c>
      <c r="M13" s="91"/>
      <c r="N13" s="79" t="n">
        <f aca="false">ROUNDDOWN($L$8/(H13+5),0)</f>
        <v>4</v>
      </c>
      <c r="O13" s="79" t="n">
        <f aca="false">$L$8-((H13+5)*N13)</f>
        <v>700</v>
      </c>
      <c r="P13" s="88" t="s">
        <v>164</v>
      </c>
    </row>
    <row r="14" customFormat="false" ht="90" hidden="false" customHeight="true" outlineLevel="0" collapsed="false">
      <c r="A14" s="93" t="n">
        <v>4</v>
      </c>
      <c r="B14" s="86" t="s">
        <v>165</v>
      </c>
      <c r="C14" s="83"/>
      <c r="D14" s="94" t="s">
        <v>166</v>
      </c>
      <c r="E14" s="84" t="n">
        <v>0.051</v>
      </c>
      <c r="F14" s="87" t="n">
        <f aca="false">2*$G$6</f>
        <v>2</v>
      </c>
      <c r="G14" s="94" t="s">
        <v>167</v>
      </c>
      <c r="H14" s="95" t="n">
        <f aca="false">$F$6-132</f>
        <v>911</v>
      </c>
      <c r="I14" s="77" t="n">
        <f aca="false">M14</f>
        <v>1</v>
      </c>
      <c r="J14" s="92"/>
      <c r="K14" s="79" t="n">
        <f aca="false">F14*H14</f>
        <v>1822</v>
      </c>
      <c r="L14" s="80" t="n">
        <f aca="false">IF(N14&gt;F14,ROUNDUP(F14/N14,0),IF(N14&lt;F14,ROUNDUP(F14/N14,0),IF(N14=F14,F14/N14)))</f>
        <v>1</v>
      </c>
      <c r="M14" s="81" t="n">
        <f aca="false">L14</f>
        <v>1</v>
      </c>
      <c r="N14" s="79" t="n">
        <f aca="false">ROUNDDOWN($L$8/(H14+5),0)</f>
        <v>6</v>
      </c>
      <c r="O14" s="79" t="n">
        <f aca="false">$L$8-((H14+5)*N14)</f>
        <v>904</v>
      </c>
      <c r="P14" s="88" t="s">
        <v>162</v>
      </c>
    </row>
    <row r="15" customFormat="false" ht="90" hidden="false" customHeight="true" outlineLevel="0" collapsed="false">
      <c r="A15" s="93" t="n">
        <v>5</v>
      </c>
      <c r="B15" s="86" t="s">
        <v>168</v>
      </c>
      <c r="C15" s="83"/>
      <c r="D15" s="94" t="s">
        <v>169</v>
      </c>
      <c r="E15" s="84" t="n">
        <v>0.167</v>
      </c>
      <c r="F15" s="87" t="n">
        <f aca="false">2*$G$6</f>
        <v>2</v>
      </c>
      <c r="G15" s="94" t="s">
        <v>170</v>
      </c>
      <c r="H15" s="95" t="n">
        <f aca="false">$F$6-112</f>
        <v>931</v>
      </c>
      <c r="I15" s="77" t="n">
        <f aca="false">M15</f>
        <v>1</v>
      </c>
      <c r="J15" s="92"/>
      <c r="K15" s="79" t="n">
        <f aca="false">F15*H15</f>
        <v>1862</v>
      </c>
      <c r="L15" s="80" t="n">
        <f aca="false">IF(N15&gt;F15,ROUNDUP(F15/N15,0),IF(N15&lt;F15,ROUNDUP(F15/N15,0),IF(N15=F15,F15/N15)))</f>
        <v>1</v>
      </c>
      <c r="M15" s="81" t="n">
        <f aca="false">L15</f>
        <v>1</v>
      </c>
      <c r="N15" s="79" t="n">
        <f aca="false">ROUNDDOWN($L$8/(H15+5),0)</f>
        <v>6</v>
      </c>
      <c r="O15" s="79" t="n">
        <f aca="false">$L$8-((H15+5)*N15)</f>
        <v>784</v>
      </c>
      <c r="P15" s="88" t="s">
        <v>162</v>
      </c>
    </row>
    <row r="16" customFormat="false" ht="90" hidden="false" customHeight="true" outlineLevel="0" collapsed="false">
      <c r="A16" s="82" t="n">
        <v>6</v>
      </c>
      <c r="B16" s="86" t="s">
        <v>171</v>
      </c>
      <c r="C16" s="83"/>
      <c r="D16" s="94" t="s">
        <v>172</v>
      </c>
      <c r="E16" s="84" t="n">
        <v>0.726</v>
      </c>
      <c r="F16" s="87" t="n">
        <f aca="false">1*$G$6</f>
        <v>1</v>
      </c>
      <c r="G16" s="94" t="s">
        <v>155</v>
      </c>
      <c r="H16" s="75" t="n">
        <f aca="false">$F$6-50</f>
        <v>993</v>
      </c>
      <c r="I16" s="77" t="n">
        <f aca="false">M16</f>
        <v>1</v>
      </c>
      <c r="J16" s="78"/>
      <c r="K16" s="79" t="n">
        <f aca="false">F16*H16</f>
        <v>993</v>
      </c>
      <c r="L16" s="80" t="n">
        <f aca="false">IF(N16&gt;F16,ROUNDUP(F16/N16,0),IF(N16&lt;F16,ROUNDUP(F16/N16,0),IF(N16=F16,F16/N16)))</f>
        <v>1</v>
      </c>
      <c r="M16" s="81" t="n">
        <f aca="false">L16</f>
        <v>1</v>
      </c>
      <c r="N16" s="79" t="n">
        <f aca="false">ROUNDDOWN($L$8/(H16+5),0)</f>
        <v>6</v>
      </c>
      <c r="O16" s="79" t="n">
        <f aca="false">$L$8-((H16+5)*N16)</f>
        <v>412</v>
      </c>
      <c r="P16" s="75"/>
    </row>
    <row r="17" customFormat="false" ht="90" hidden="false" customHeight="true" outlineLevel="0" collapsed="false">
      <c r="A17" s="82" t="n">
        <v>7</v>
      </c>
      <c r="B17" s="86" t="s">
        <v>173</v>
      </c>
      <c r="C17" s="83"/>
      <c r="D17" s="94" t="s">
        <v>174</v>
      </c>
      <c r="E17" s="84" t="n">
        <v>1.034</v>
      </c>
      <c r="F17" s="87" t="n">
        <f aca="false">2*$G$6</f>
        <v>2</v>
      </c>
      <c r="G17" s="94" t="s">
        <v>175</v>
      </c>
      <c r="H17" s="88" t="n">
        <f aca="false">$D$6-69</f>
        <v>2819</v>
      </c>
      <c r="I17" s="77" t="n">
        <f aca="false">M17</f>
        <v>1</v>
      </c>
      <c r="J17" s="92"/>
      <c r="K17" s="79" t="n">
        <f aca="false">F17*H17</f>
        <v>5638</v>
      </c>
      <c r="L17" s="80" t="n">
        <f aca="false">IF(N17&gt;F17,ROUNDUP(F17/N17,0),IF(N17&lt;F17,ROUNDUP(F17/N17,0),IF(N17=F17,F17/N17)))</f>
        <v>1</v>
      </c>
      <c r="M17" s="81" t="n">
        <f aca="false">L17</f>
        <v>1</v>
      </c>
      <c r="N17" s="79" t="n">
        <f aca="false">ROUNDDOWN($L$8/(H17+5),0)</f>
        <v>2</v>
      </c>
      <c r="O17" s="79" t="n">
        <f aca="false">$L$8-((H17+5)*N17)</f>
        <v>752</v>
      </c>
      <c r="P17" s="88" t="s">
        <v>176</v>
      </c>
    </row>
    <row r="18" customFormat="false" ht="90" hidden="false" customHeight="true" outlineLevel="0" collapsed="false">
      <c r="A18" s="96" t="n">
        <v>8</v>
      </c>
      <c r="B18" s="97" t="s">
        <v>177</v>
      </c>
      <c r="C18" s="98"/>
      <c r="D18" s="99" t="s">
        <v>178</v>
      </c>
      <c r="E18" s="100" t="n">
        <v>0.847</v>
      </c>
      <c r="F18" s="101" t="n">
        <f aca="false">2*$G$6</f>
        <v>2</v>
      </c>
      <c r="G18" s="99" t="s">
        <v>179</v>
      </c>
      <c r="H18" s="102" t="n">
        <f aca="false">$D$6</f>
        <v>2888</v>
      </c>
      <c r="I18" s="103" t="n">
        <f aca="false">M18</f>
        <v>1</v>
      </c>
      <c r="J18" s="78"/>
      <c r="K18" s="79" t="n">
        <f aca="false">F18*H18</f>
        <v>5776</v>
      </c>
      <c r="L18" s="80" t="n">
        <f aca="false">IF(N18&gt;F18,ROUNDUP(F18/N18,0),IF(N18&lt;F18,ROUNDUP(F18/N18,0),IF(N18=F18,F18/N18)))</f>
        <v>1</v>
      </c>
      <c r="M18" s="81" t="n">
        <f aca="false">L18</f>
        <v>1</v>
      </c>
      <c r="N18" s="79" t="n">
        <f aca="false">ROUNDDOWN($L$8/(H18+5),0)</f>
        <v>2</v>
      </c>
      <c r="O18" s="79" t="n">
        <f aca="false">$L$8-((H18+5)*N18)</f>
        <v>614</v>
      </c>
      <c r="P18" s="75"/>
    </row>
    <row r="19" customFormat="false" ht="90" hidden="true" customHeight="true" outlineLevel="0" collapsed="false">
      <c r="A19" s="76"/>
      <c r="B19" s="73" t="s">
        <v>180</v>
      </c>
      <c r="C19" s="76"/>
      <c r="D19" s="75"/>
      <c r="E19" s="87"/>
      <c r="F19" s="87"/>
      <c r="G19" s="75"/>
      <c r="H19" s="75"/>
      <c r="I19" s="75"/>
      <c r="J19" s="75"/>
      <c r="K19" s="87"/>
      <c r="L19" s="87"/>
      <c r="M19" s="87"/>
      <c r="N19" s="87"/>
      <c r="O19" s="87"/>
    </row>
    <row r="20" customFormat="false" ht="39.75" hidden="true" customHeight="true" outlineLevel="0" collapsed="false">
      <c r="A20" s="83"/>
      <c r="B20" s="86" t="s">
        <v>181</v>
      </c>
      <c r="C20" s="83"/>
      <c r="D20" s="94"/>
      <c r="E20" s="84"/>
      <c r="F20" s="87"/>
      <c r="G20" s="94"/>
      <c r="H20" s="75"/>
      <c r="I20" s="75"/>
      <c r="J20" s="75"/>
      <c r="K20" s="87"/>
      <c r="L20" s="87"/>
      <c r="M20" s="87"/>
      <c r="N20" s="87"/>
      <c r="O20" s="87"/>
    </row>
    <row r="22" customFormat="false" ht="26.25" hidden="false" customHeight="true" outlineLevel="0" collapsed="false">
      <c r="A22" s="39"/>
      <c r="B22" s="39"/>
      <c r="C22" s="39"/>
      <c r="D22" s="39"/>
      <c r="E22" s="39"/>
    </row>
  </sheetData>
  <mergeCells count="10">
    <mergeCell ref="A4:E4"/>
    <mergeCell ref="L7:M7"/>
    <mergeCell ref="A12:A13"/>
    <mergeCell ref="B12:B13"/>
    <mergeCell ref="C12:C13"/>
    <mergeCell ref="D12:D13"/>
    <mergeCell ref="E12:E13"/>
    <mergeCell ref="I12:I13"/>
    <mergeCell ref="M12:M13"/>
    <mergeCell ref="A22:E22"/>
  </mergeCells>
  <printOptions headings="false" gridLines="false" gridLinesSet="true" horizontalCentered="false" verticalCentered="false"/>
  <pageMargins left="0.118055555555556" right="0" top="0.157638888888889" bottom="0.157638888888889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00"/>
    <pageSetUpPr fitToPage="false"/>
  </sheetPr>
  <dimension ref="A1:F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F6" activeCellId="0" sqref="F6"/>
    </sheetView>
  </sheetViews>
  <sheetFormatPr defaultColWidth="9.14453125" defaultRowHeight="12.75" zeroHeight="false" outlineLevelRow="0" outlineLevelCol="0"/>
  <cols>
    <col collapsed="false" customWidth="true" hidden="false" outlineLevel="0" max="1" min="1" style="104" width="3.42"/>
    <col collapsed="false" customWidth="true" hidden="false" outlineLevel="0" max="2" min="2" style="104" width="8.71"/>
    <col collapsed="false" customWidth="true" hidden="false" outlineLevel="0" max="3" min="3" style="104" width="9.71"/>
    <col collapsed="false" customWidth="true" hidden="false" outlineLevel="0" max="4" min="4" style="105" width="34.28"/>
    <col collapsed="false" customWidth="true" hidden="false" outlineLevel="0" max="6" min="5" style="105" width="4.71"/>
    <col collapsed="false" customWidth="true" hidden="false" outlineLevel="0" max="8" min="7" style="105" width="8.57"/>
    <col collapsed="false" customWidth="true" hidden="false" outlineLevel="0" max="9" min="9" style="105" width="15.57"/>
    <col collapsed="false" customWidth="true" hidden="false" outlineLevel="0" max="12" min="10" style="105" width="16.28"/>
    <col collapsed="false" customWidth="false" hidden="false" outlineLevel="0" max="242" min="13" style="105" width="9.14"/>
    <col collapsed="false" customWidth="true" hidden="false" outlineLevel="0" max="244" min="243" style="105" width="13.28"/>
    <col collapsed="false" customWidth="true" hidden="false" outlineLevel="0" max="245" min="245" style="105" width="8.42"/>
    <col collapsed="false" customWidth="true" hidden="false" outlineLevel="0" max="246" min="246" style="105" width="9.71"/>
    <col collapsed="false" customWidth="true" hidden="false" outlineLevel="0" max="247" min="247" style="105" width="18.71"/>
    <col collapsed="false" customWidth="true" hidden="false" outlineLevel="0" max="249" min="248" style="105" width="4.71"/>
    <col collapsed="false" customWidth="true" hidden="true" outlineLevel="0" max="258" min="250" style="105" width="13"/>
    <col collapsed="false" customWidth="true" hidden="false" outlineLevel="0" max="261" min="259" style="105" width="10.29"/>
    <col collapsed="false" customWidth="true" hidden="false" outlineLevel="0" max="262" min="262" style="105" width="11"/>
    <col collapsed="false" customWidth="true" hidden="false" outlineLevel="0" max="263" min="263" style="105" width="36"/>
    <col collapsed="false" customWidth="true" hidden="false" outlineLevel="0" max="264" min="264" style="105" width="11.57"/>
    <col collapsed="false" customWidth="true" hidden="false" outlineLevel="0" max="265" min="265" style="105" width="15.57"/>
    <col collapsed="false" customWidth="true" hidden="false" outlineLevel="0" max="268" min="266" style="105" width="16.28"/>
    <col collapsed="false" customWidth="false" hidden="false" outlineLevel="0" max="498" min="269" style="105" width="9.14"/>
    <col collapsed="false" customWidth="true" hidden="false" outlineLevel="0" max="500" min="499" style="105" width="13.28"/>
    <col collapsed="false" customWidth="true" hidden="false" outlineLevel="0" max="501" min="501" style="105" width="8.42"/>
    <col collapsed="false" customWidth="true" hidden="false" outlineLevel="0" max="502" min="502" style="105" width="9.71"/>
    <col collapsed="false" customWidth="true" hidden="false" outlineLevel="0" max="503" min="503" style="105" width="18.71"/>
    <col collapsed="false" customWidth="true" hidden="false" outlineLevel="0" max="505" min="504" style="105" width="4.71"/>
    <col collapsed="false" customWidth="true" hidden="true" outlineLevel="0" max="514" min="506" style="105" width="13"/>
    <col collapsed="false" customWidth="true" hidden="false" outlineLevel="0" max="517" min="515" style="105" width="10.29"/>
    <col collapsed="false" customWidth="true" hidden="false" outlineLevel="0" max="518" min="518" style="105" width="11"/>
    <col collapsed="false" customWidth="true" hidden="false" outlineLevel="0" max="519" min="519" style="105" width="36"/>
    <col collapsed="false" customWidth="true" hidden="false" outlineLevel="0" max="520" min="520" style="105" width="11.57"/>
    <col collapsed="false" customWidth="true" hidden="false" outlineLevel="0" max="521" min="521" style="105" width="15.57"/>
    <col collapsed="false" customWidth="true" hidden="false" outlineLevel="0" max="524" min="522" style="105" width="16.28"/>
    <col collapsed="false" customWidth="false" hidden="false" outlineLevel="0" max="754" min="525" style="105" width="9.14"/>
    <col collapsed="false" customWidth="true" hidden="false" outlineLevel="0" max="756" min="755" style="105" width="13.28"/>
    <col collapsed="false" customWidth="true" hidden="false" outlineLevel="0" max="757" min="757" style="105" width="8.42"/>
    <col collapsed="false" customWidth="true" hidden="false" outlineLevel="0" max="758" min="758" style="105" width="9.71"/>
    <col collapsed="false" customWidth="true" hidden="false" outlineLevel="0" max="759" min="759" style="105" width="18.71"/>
    <col collapsed="false" customWidth="true" hidden="false" outlineLevel="0" max="761" min="760" style="105" width="4.71"/>
    <col collapsed="false" customWidth="true" hidden="true" outlineLevel="0" max="770" min="762" style="105" width="13"/>
    <col collapsed="false" customWidth="true" hidden="false" outlineLevel="0" max="773" min="771" style="105" width="10.29"/>
    <col collapsed="false" customWidth="true" hidden="false" outlineLevel="0" max="774" min="774" style="105" width="11"/>
    <col collapsed="false" customWidth="true" hidden="false" outlineLevel="0" max="775" min="775" style="105" width="36"/>
    <col collapsed="false" customWidth="true" hidden="false" outlineLevel="0" max="776" min="776" style="105" width="11.57"/>
    <col collapsed="false" customWidth="true" hidden="false" outlineLevel="0" max="777" min="777" style="105" width="15.57"/>
    <col collapsed="false" customWidth="true" hidden="false" outlineLevel="0" max="780" min="778" style="105" width="16.28"/>
    <col collapsed="false" customWidth="false" hidden="false" outlineLevel="0" max="1010" min="781" style="105" width="9.14"/>
    <col collapsed="false" customWidth="true" hidden="false" outlineLevel="0" max="1012" min="1011" style="105" width="13.28"/>
    <col collapsed="false" customWidth="true" hidden="false" outlineLevel="0" max="1013" min="1013" style="105" width="8.42"/>
    <col collapsed="false" customWidth="true" hidden="false" outlineLevel="0" max="1014" min="1014" style="105" width="9.71"/>
    <col collapsed="false" customWidth="true" hidden="false" outlineLevel="0" max="1015" min="1015" style="105" width="18.71"/>
    <col collapsed="false" customWidth="true" hidden="false" outlineLevel="0" max="1017" min="1016" style="105" width="4.71"/>
    <col collapsed="false" customWidth="true" hidden="true" outlineLevel="0" max="1026" min="1018" style="105" width="13"/>
    <col collapsed="false" customWidth="true" hidden="false" outlineLevel="0" max="1029" min="1027" style="105" width="10.29"/>
    <col collapsed="false" customWidth="true" hidden="false" outlineLevel="0" max="1030" min="1030" style="105" width="11"/>
    <col collapsed="false" customWidth="true" hidden="false" outlineLevel="0" max="1031" min="1031" style="105" width="36"/>
    <col collapsed="false" customWidth="true" hidden="false" outlineLevel="0" max="1032" min="1032" style="105" width="11.57"/>
    <col collapsed="false" customWidth="true" hidden="false" outlineLevel="0" max="1033" min="1033" style="105" width="15.57"/>
    <col collapsed="false" customWidth="true" hidden="false" outlineLevel="0" max="1036" min="1034" style="105" width="16.28"/>
    <col collapsed="false" customWidth="false" hidden="false" outlineLevel="0" max="1266" min="1037" style="105" width="9.14"/>
    <col collapsed="false" customWidth="true" hidden="false" outlineLevel="0" max="1268" min="1267" style="105" width="13.28"/>
    <col collapsed="false" customWidth="true" hidden="false" outlineLevel="0" max="1269" min="1269" style="105" width="8.42"/>
    <col collapsed="false" customWidth="true" hidden="false" outlineLevel="0" max="1270" min="1270" style="105" width="9.71"/>
    <col collapsed="false" customWidth="true" hidden="false" outlineLevel="0" max="1271" min="1271" style="105" width="18.71"/>
    <col collapsed="false" customWidth="true" hidden="false" outlineLevel="0" max="1273" min="1272" style="105" width="4.71"/>
    <col collapsed="false" customWidth="true" hidden="true" outlineLevel="0" max="1282" min="1274" style="105" width="13"/>
    <col collapsed="false" customWidth="true" hidden="false" outlineLevel="0" max="1285" min="1283" style="105" width="10.29"/>
    <col collapsed="false" customWidth="true" hidden="false" outlineLevel="0" max="1286" min="1286" style="105" width="11"/>
    <col collapsed="false" customWidth="true" hidden="false" outlineLevel="0" max="1287" min="1287" style="105" width="36"/>
    <col collapsed="false" customWidth="true" hidden="false" outlineLevel="0" max="1288" min="1288" style="105" width="11.57"/>
    <col collapsed="false" customWidth="true" hidden="false" outlineLevel="0" max="1289" min="1289" style="105" width="15.57"/>
    <col collapsed="false" customWidth="true" hidden="false" outlineLevel="0" max="1292" min="1290" style="105" width="16.28"/>
    <col collapsed="false" customWidth="false" hidden="false" outlineLevel="0" max="1522" min="1293" style="105" width="9.14"/>
    <col collapsed="false" customWidth="true" hidden="false" outlineLevel="0" max="1524" min="1523" style="105" width="13.28"/>
    <col collapsed="false" customWidth="true" hidden="false" outlineLevel="0" max="1525" min="1525" style="105" width="8.42"/>
    <col collapsed="false" customWidth="true" hidden="false" outlineLevel="0" max="1526" min="1526" style="105" width="9.71"/>
    <col collapsed="false" customWidth="true" hidden="false" outlineLevel="0" max="1527" min="1527" style="105" width="18.71"/>
    <col collapsed="false" customWidth="true" hidden="false" outlineLevel="0" max="1529" min="1528" style="105" width="4.71"/>
    <col collapsed="false" customWidth="true" hidden="true" outlineLevel="0" max="1538" min="1530" style="105" width="13"/>
    <col collapsed="false" customWidth="true" hidden="false" outlineLevel="0" max="1541" min="1539" style="105" width="10.29"/>
    <col collapsed="false" customWidth="true" hidden="false" outlineLevel="0" max="1542" min="1542" style="105" width="11"/>
    <col collapsed="false" customWidth="true" hidden="false" outlineLevel="0" max="1543" min="1543" style="105" width="36"/>
    <col collapsed="false" customWidth="true" hidden="false" outlineLevel="0" max="1544" min="1544" style="105" width="11.57"/>
    <col collapsed="false" customWidth="true" hidden="false" outlineLevel="0" max="1545" min="1545" style="105" width="15.57"/>
    <col collapsed="false" customWidth="true" hidden="false" outlineLevel="0" max="1548" min="1546" style="105" width="16.28"/>
    <col collapsed="false" customWidth="false" hidden="false" outlineLevel="0" max="1778" min="1549" style="105" width="9.14"/>
    <col collapsed="false" customWidth="true" hidden="false" outlineLevel="0" max="1780" min="1779" style="105" width="13.28"/>
    <col collapsed="false" customWidth="true" hidden="false" outlineLevel="0" max="1781" min="1781" style="105" width="8.42"/>
    <col collapsed="false" customWidth="true" hidden="false" outlineLevel="0" max="1782" min="1782" style="105" width="9.71"/>
    <col collapsed="false" customWidth="true" hidden="false" outlineLevel="0" max="1783" min="1783" style="105" width="18.71"/>
    <col collapsed="false" customWidth="true" hidden="false" outlineLevel="0" max="1785" min="1784" style="105" width="4.71"/>
    <col collapsed="false" customWidth="true" hidden="true" outlineLevel="0" max="1794" min="1786" style="105" width="13"/>
    <col collapsed="false" customWidth="true" hidden="false" outlineLevel="0" max="1797" min="1795" style="105" width="10.29"/>
    <col collapsed="false" customWidth="true" hidden="false" outlineLevel="0" max="1798" min="1798" style="105" width="11"/>
    <col collapsed="false" customWidth="true" hidden="false" outlineLevel="0" max="1799" min="1799" style="105" width="36"/>
    <col collapsed="false" customWidth="true" hidden="false" outlineLevel="0" max="1800" min="1800" style="105" width="11.57"/>
    <col collapsed="false" customWidth="true" hidden="false" outlineLevel="0" max="1801" min="1801" style="105" width="15.57"/>
    <col collapsed="false" customWidth="true" hidden="false" outlineLevel="0" max="1804" min="1802" style="105" width="16.28"/>
    <col collapsed="false" customWidth="false" hidden="false" outlineLevel="0" max="2034" min="1805" style="105" width="9.14"/>
    <col collapsed="false" customWidth="true" hidden="false" outlineLevel="0" max="2036" min="2035" style="105" width="13.28"/>
    <col collapsed="false" customWidth="true" hidden="false" outlineLevel="0" max="2037" min="2037" style="105" width="8.42"/>
    <col collapsed="false" customWidth="true" hidden="false" outlineLevel="0" max="2038" min="2038" style="105" width="9.71"/>
    <col collapsed="false" customWidth="true" hidden="false" outlineLevel="0" max="2039" min="2039" style="105" width="18.71"/>
    <col collapsed="false" customWidth="true" hidden="false" outlineLevel="0" max="2041" min="2040" style="105" width="4.71"/>
    <col collapsed="false" customWidth="true" hidden="true" outlineLevel="0" max="2050" min="2042" style="105" width="13"/>
    <col collapsed="false" customWidth="true" hidden="false" outlineLevel="0" max="2053" min="2051" style="105" width="10.29"/>
    <col collapsed="false" customWidth="true" hidden="false" outlineLevel="0" max="2054" min="2054" style="105" width="11"/>
    <col collapsed="false" customWidth="true" hidden="false" outlineLevel="0" max="2055" min="2055" style="105" width="36"/>
    <col collapsed="false" customWidth="true" hidden="false" outlineLevel="0" max="2056" min="2056" style="105" width="11.57"/>
    <col collapsed="false" customWidth="true" hidden="false" outlineLevel="0" max="2057" min="2057" style="105" width="15.57"/>
    <col collapsed="false" customWidth="true" hidden="false" outlineLevel="0" max="2060" min="2058" style="105" width="16.28"/>
    <col collapsed="false" customWidth="false" hidden="false" outlineLevel="0" max="2290" min="2061" style="105" width="9.14"/>
    <col collapsed="false" customWidth="true" hidden="false" outlineLevel="0" max="2292" min="2291" style="105" width="13.28"/>
    <col collapsed="false" customWidth="true" hidden="false" outlineLevel="0" max="2293" min="2293" style="105" width="8.42"/>
    <col collapsed="false" customWidth="true" hidden="false" outlineLevel="0" max="2294" min="2294" style="105" width="9.71"/>
    <col collapsed="false" customWidth="true" hidden="false" outlineLevel="0" max="2295" min="2295" style="105" width="18.71"/>
    <col collapsed="false" customWidth="true" hidden="false" outlineLevel="0" max="2297" min="2296" style="105" width="4.71"/>
    <col collapsed="false" customWidth="true" hidden="true" outlineLevel="0" max="2306" min="2298" style="105" width="13"/>
    <col collapsed="false" customWidth="true" hidden="false" outlineLevel="0" max="2309" min="2307" style="105" width="10.29"/>
    <col collapsed="false" customWidth="true" hidden="false" outlineLevel="0" max="2310" min="2310" style="105" width="11"/>
    <col collapsed="false" customWidth="true" hidden="false" outlineLevel="0" max="2311" min="2311" style="105" width="36"/>
    <col collapsed="false" customWidth="true" hidden="false" outlineLevel="0" max="2312" min="2312" style="105" width="11.57"/>
    <col collapsed="false" customWidth="true" hidden="false" outlineLevel="0" max="2313" min="2313" style="105" width="15.57"/>
    <col collapsed="false" customWidth="true" hidden="false" outlineLevel="0" max="2316" min="2314" style="105" width="16.28"/>
    <col collapsed="false" customWidth="false" hidden="false" outlineLevel="0" max="2546" min="2317" style="105" width="9.14"/>
    <col collapsed="false" customWidth="true" hidden="false" outlineLevel="0" max="2548" min="2547" style="105" width="13.28"/>
    <col collapsed="false" customWidth="true" hidden="false" outlineLevel="0" max="2549" min="2549" style="105" width="8.42"/>
    <col collapsed="false" customWidth="true" hidden="false" outlineLevel="0" max="2550" min="2550" style="105" width="9.71"/>
    <col collapsed="false" customWidth="true" hidden="false" outlineLevel="0" max="2551" min="2551" style="105" width="18.71"/>
    <col collapsed="false" customWidth="true" hidden="false" outlineLevel="0" max="2553" min="2552" style="105" width="4.71"/>
    <col collapsed="false" customWidth="true" hidden="true" outlineLevel="0" max="2562" min="2554" style="105" width="13"/>
    <col collapsed="false" customWidth="true" hidden="false" outlineLevel="0" max="2565" min="2563" style="105" width="10.29"/>
    <col collapsed="false" customWidth="true" hidden="false" outlineLevel="0" max="2566" min="2566" style="105" width="11"/>
    <col collapsed="false" customWidth="true" hidden="false" outlineLevel="0" max="2567" min="2567" style="105" width="36"/>
    <col collapsed="false" customWidth="true" hidden="false" outlineLevel="0" max="2568" min="2568" style="105" width="11.57"/>
    <col collapsed="false" customWidth="true" hidden="false" outlineLevel="0" max="2569" min="2569" style="105" width="15.57"/>
    <col collapsed="false" customWidth="true" hidden="false" outlineLevel="0" max="2572" min="2570" style="105" width="16.28"/>
    <col collapsed="false" customWidth="false" hidden="false" outlineLevel="0" max="2802" min="2573" style="105" width="9.14"/>
    <col collapsed="false" customWidth="true" hidden="false" outlineLevel="0" max="2804" min="2803" style="105" width="13.28"/>
    <col collapsed="false" customWidth="true" hidden="false" outlineLevel="0" max="2805" min="2805" style="105" width="8.42"/>
    <col collapsed="false" customWidth="true" hidden="false" outlineLevel="0" max="2806" min="2806" style="105" width="9.71"/>
    <col collapsed="false" customWidth="true" hidden="false" outlineLevel="0" max="2807" min="2807" style="105" width="18.71"/>
    <col collapsed="false" customWidth="true" hidden="false" outlineLevel="0" max="2809" min="2808" style="105" width="4.71"/>
    <col collapsed="false" customWidth="true" hidden="true" outlineLevel="0" max="2818" min="2810" style="105" width="13"/>
    <col collapsed="false" customWidth="true" hidden="false" outlineLevel="0" max="2821" min="2819" style="105" width="10.29"/>
    <col collapsed="false" customWidth="true" hidden="false" outlineLevel="0" max="2822" min="2822" style="105" width="11"/>
    <col collapsed="false" customWidth="true" hidden="false" outlineLevel="0" max="2823" min="2823" style="105" width="36"/>
    <col collapsed="false" customWidth="true" hidden="false" outlineLevel="0" max="2824" min="2824" style="105" width="11.57"/>
    <col collapsed="false" customWidth="true" hidden="false" outlineLevel="0" max="2825" min="2825" style="105" width="15.57"/>
    <col collapsed="false" customWidth="true" hidden="false" outlineLevel="0" max="2828" min="2826" style="105" width="16.28"/>
    <col collapsed="false" customWidth="false" hidden="false" outlineLevel="0" max="3058" min="2829" style="105" width="9.14"/>
    <col collapsed="false" customWidth="true" hidden="false" outlineLevel="0" max="3060" min="3059" style="105" width="13.28"/>
    <col collapsed="false" customWidth="true" hidden="false" outlineLevel="0" max="3061" min="3061" style="105" width="8.42"/>
    <col collapsed="false" customWidth="true" hidden="false" outlineLevel="0" max="3062" min="3062" style="105" width="9.71"/>
    <col collapsed="false" customWidth="true" hidden="false" outlineLevel="0" max="3063" min="3063" style="105" width="18.71"/>
    <col collapsed="false" customWidth="true" hidden="false" outlineLevel="0" max="3065" min="3064" style="105" width="4.71"/>
    <col collapsed="false" customWidth="true" hidden="true" outlineLevel="0" max="3074" min="3066" style="105" width="13"/>
    <col collapsed="false" customWidth="true" hidden="false" outlineLevel="0" max="3077" min="3075" style="105" width="10.29"/>
    <col collapsed="false" customWidth="true" hidden="false" outlineLevel="0" max="3078" min="3078" style="105" width="11"/>
    <col collapsed="false" customWidth="true" hidden="false" outlineLevel="0" max="3079" min="3079" style="105" width="36"/>
    <col collapsed="false" customWidth="true" hidden="false" outlineLevel="0" max="3080" min="3080" style="105" width="11.57"/>
    <col collapsed="false" customWidth="true" hidden="false" outlineLevel="0" max="3081" min="3081" style="105" width="15.57"/>
    <col collapsed="false" customWidth="true" hidden="false" outlineLevel="0" max="3084" min="3082" style="105" width="16.28"/>
    <col collapsed="false" customWidth="false" hidden="false" outlineLevel="0" max="3314" min="3085" style="105" width="9.14"/>
    <col collapsed="false" customWidth="true" hidden="false" outlineLevel="0" max="3316" min="3315" style="105" width="13.28"/>
    <col collapsed="false" customWidth="true" hidden="false" outlineLevel="0" max="3317" min="3317" style="105" width="8.42"/>
    <col collapsed="false" customWidth="true" hidden="false" outlineLevel="0" max="3318" min="3318" style="105" width="9.71"/>
    <col collapsed="false" customWidth="true" hidden="false" outlineLevel="0" max="3319" min="3319" style="105" width="18.71"/>
    <col collapsed="false" customWidth="true" hidden="false" outlineLevel="0" max="3321" min="3320" style="105" width="4.71"/>
    <col collapsed="false" customWidth="true" hidden="true" outlineLevel="0" max="3330" min="3322" style="105" width="13"/>
    <col collapsed="false" customWidth="true" hidden="false" outlineLevel="0" max="3333" min="3331" style="105" width="10.29"/>
    <col collapsed="false" customWidth="true" hidden="false" outlineLevel="0" max="3334" min="3334" style="105" width="11"/>
    <col collapsed="false" customWidth="true" hidden="false" outlineLevel="0" max="3335" min="3335" style="105" width="36"/>
    <col collapsed="false" customWidth="true" hidden="false" outlineLevel="0" max="3336" min="3336" style="105" width="11.57"/>
    <col collapsed="false" customWidth="true" hidden="false" outlineLevel="0" max="3337" min="3337" style="105" width="15.57"/>
    <col collapsed="false" customWidth="true" hidden="false" outlineLevel="0" max="3340" min="3338" style="105" width="16.28"/>
    <col collapsed="false" customWidth="false" hidden="false" outlineLevel="0" max="3570" min="3341" style="105" width="9.14"/>
    <col collapsed="false" customWidth="true" hidden="false" outlineLevel="0" max="3572" min="3571" style="105" width="13.28"/>
    <col collapsed="false" customWidth="true" hidden="false" outlineLevel="0" max="3573" min="3573" style="105" width="8.42"/>
    <col collapsed="false" customWidth="true" hidden="false" outlineLevel="0" max="3574" min="3574" style="105" width="9.71"/>
    <col collapsed="false" customWidth="true" hidden="false" outlineLevel="0" max="3575" min="3575" style="105" width="18.71"/>
    <col collapsed="false" customWidth="true" hidden="false" outlineLevel="0" max="3577" min="3576" style="105" width="4.71"/>
    <col collapsed="false" customWidth="true" hidden="true" outlineLevel="0" max="3586" min="3578" style="105" width="13"/>
    <col collapsed="false" customWidth="true" hidden="false" outlineLevel="0" max="3589" min="3587" style="105" width="10.29"/>
    <col collapsed="false" customWidth="true" hidden="false" outlineLevel="0" max="3590" min="3590" style="105" width="11"/>
    <col collapsed="false" customWidth="true" hidden="false" outlineLevel="0" max="3591" min="3591" style="105" width="36"/>
    <col collapsed="false" customWidth="true" hidden="false" outlineLevel="0" max="3592" min="3592" style="105" width="11.57"/>
    <col collapsed="false" customWidth="true" hidden="false" outlineLevel="0" max="3593" min="3593" style="105" width="15.57"/>
    <col collapsed="false" customWidth="true" hidden="false" outlineLevel="0" max="3596" min="3594" style="105" width="16.28"/>
    <col collapsed="false" customWidth="false" hidden="false" outlineLevel="0" max="3826" min="3597" style="105" width="9.14"/>
    <col collapsed="false" customWidth="true" hidden="false" outlineLevel="0" max="3828" min="3827" style="105" width="13.28"/>
    <col collapsed="false" customWidth="true" hidden="false" outlineLevel="0" max="3829" min="3829" style="105" width="8.42"/>
    <col collapsed="false" customWidth="true" hidden="false" outlineLevel="0" max="3830" min="3830" style="105" width="9.71"/>
    <col collapsed="false" customWidth="true" hidden="false" outlineLevel="0" max="3831" min="3831" style="105" width="18.71"/>
    <col collapsed="false" customWidth="true" hidden="false" outlineLevel="0" max="3833" min="3832" style="105" width="4.71"/>
    <col collapsed="false" customWidth="true" hidden="true" outlineLevel="0" max="3842" min="3834" style="105" width="13"/>
    <col collapsed="false" customWidth="true" hidden="false" outlineLevel="0" max="3845" min="3843" style="105" width="10.29"/>
    <col collapsed="false" customWidth="true" hidden="false" outlineLevel="0" max="3846" min="3846" style="105" width="11"/>
    <col collapsed="false" customWidth="true" hidden="false" outlineLevel="0" max="3847" min="3847" style="105" width="36"/>
    <col collapsed="false" customWidth="true" hidden="false" outlineLevel="0" max="3848" min="3848" style="105" width="11.57"/>
    <col collapsed="false" customWidth="true" hidden="false" outlineLevel="0" max="3849" min="3849" style="105" width="15.57"/>
    <col collapsed="false" customWidth="true" hidden="false" outlineLevel="0" max="3852" min="3850" style="105" width="16.28"/>
    <col collapsed="false" customWidth="false" hidden="false" outlineLevel="0" max="4082" min="3853" style="105" width="9.14"/>
    <col collapsed="false" customWidth="true" hidden="false" outlineLevel="0" max="4084" min="4083" style="105" width="13.28"/>
    <col collapsed="false" customWidth="true" hidden="false" outlineLevel="0" max="4085" min="4085" style="105" width="8.42"/>
    <col collapsed="false" customWidth="true" hidden="false" outlineLevel="0" max="4086" min="4086" style="105" width="9.71"/>
    <col collapsed="false" customWidth="true" hidden="false" outlineLevel="0" max="4087" min="4087" style="105" width="18.71"/>
    <col collapsed="false" customWidth="true" hidden="false" outlineLevel="0" max="4089" min="4088" style="105" width="4.71"/>
    <col collapsed="false" customWidth="true" hidden="true" outlineLevel="0" max="4098" min="4090" style="105" width="13"/>
    <col collapsed="false" customWidth="true" hidden="false" outlineLevel="0" max="4101" min="4099" style="105" width="10.29"/>
    <col collapsed="false" customWidth="true" hidden="false" outlineLevel="0" max="4102" min="4102" style="105" width="11"/>
    <col collapsed="false" customWidth="true" hidden="false" outlineLevel="0" max="4103" min="4103" style="105" width="36"/>
    <col collapsed="false" customWidth="true" hidden="false" outlineLevel="0" max="4104" min="4104" style="105" width="11.57"/>
    <col collapsed="false" customWidth="true" hidden="false" outlineLevel="0" max="4105" min="4105" style="105" width="15.57"/>
    <col collapsed="false" customWidth="true" hidden="false" outlineLevel="0" max="4108" min="4106" style="105" width="16.28"/>
    <col collapsed="false" customWidth="false" hidden="false" outlineLevel="0" max="4338" min="4109" style="105" width="9.14"/>
    <col collapsed="false" customWidth="true" hidden="false" outlineLevel="0" max="4340" min="4339" style="105" width="13.28"/>
    <col collapsed="false" customWidth="true" hidden="false" outlineLevel="0" max="4341" min="4341" style="105" width="8.42"/>
    <col collapsed="false" customWidth="true" hidden="false" outlineLevel="0" max="4342" min="4342" style="105" width="9.71"/>
    <col collapsed="false" customWidth="true" hidden="false" outlineLevel="0" max="4343" min="4343" style="105" width="18.71"/>
    <col collapsed="false" customWidth="true" hidden="false" outlineLevel="0" max="4345" min="4344" style="105" width="4.71"/>
    <col collapsed="false" customWidth="true" hidden="true" outlineLevel="0" max="4354" min="4346" style="105" width="13"/>
    <col collapsed="false" customWidth="true" hidden="false" outlineLevel="0" max="4357" min="4355" style="105" width="10.29"/>
    <col collapsed="false" customWidth="true" hidden="false" outlineLevel="0" max="4358" min="4358" style="105" width="11"/>
    <col collapsed="false" customWidth="true" hidden="false" outlineLevel="0" max="4359" min="4359" style="105" width="36"/>
    <col collapsed="false" customWidth="true" hidden="false" outlineLevel="0" max="4360" min="4360" style="105" width="11.57"/>
    <col collapsed="false" customWidth="true" hidden="false" outlineLevel="0" max="4361" min="4361" style="105" width="15.57"/>
    <col collapsed="false" customWidth="true" hidden="false" outlineLevel="0" max="4364" min="4362" style="105" width="16.28"/>
    <col collapsed="false" customWidth="false" hidden="false" outlineLevel="0" max="4594" min="4365" style="105" width="9.14"/>
    <col collapsed="false" customWidth="true" hidden="false" outlineLevel="0" max="4596" min="4595" style="105" width="13.28"/>
    <col collapsed="false" customWidth="true" hidden="false" outlineLevel="0" max="4597" min="4597" style="105" width="8.42"/>
    <col collapsed="false" customWidth="true" hidden="false" outlineLevel="0" max="4598" min="4598" style="105" width="9.71"/>
    <col collapsed="false" customWidth="true" hidden="false" outlineLevel="0" max="4599" min="4599" style="105" width="18.71"/>
    <col collapsed="false" customWidth="true" hidden="false" outlineLevel="0" max="4601" min="4600" style="105" width="4.71"/>
    <col collapsed="false" customWidth="true" hidden="true" outlineLevel="0" max="4610" min="4602" style="105" width="13"/>
    <col collapsed="false" customWidth="true" hidden="false" outlineLevel="0" max="4613" min="4611" style="105" width="10.29"/>
    <col collapsed="false" customWidth="true" hidden="false" outlineLevel="0" max="4614" min="4614" style="105" width="11"/>
    <col collapsed="false" customWidth="true" hidden="false" outlineLevel="0" max="4615" min="4615" style="105" width="36"/>
    <col collapsed="false" customWidth="true" hidden="false" outlineLevel="0" max="4616" min="4616" style="105" width="11.57"/>
    <col collapsed="false" customWidth="true" hidden="false" outlineLevel="0" max="4617" min="4617" style="105" width="15.57"/>
    <col collapsed="false" customWidth="true" hidden="false" outlineLevel="0" max="4620" min="4618" style="105" width="16.28"/>
    <col collapsed="false" customWidth="false" hidden="false" outlineLevel="0" max="4850" min="4621" style="105" width="9.14"/>
    <col collapsed="false" customWidth="true" hidden="false" outlineLevel="0" max="4852" min="4851" style="105" width="13.28"/>
    <col collapsed="false" customWidth="true" hidden="false" outlineLevel="0" max="4853" min="4853" style="105" width="8.42"/>
    <col collapsed="false" customWidth="true" hidden="false" outlineLevel="0" max="4854" min="4854" style="105" width="9.71"/>
    <col collapsed="false" customWidth="true" hidden="false" outlineLevel="0" max="4855" min="4855" style="105" width="18.71"/>
    <col collapsed="false" customWidth="true" hidden="false" outlineLevel="0" max="4857" min="4856" style="105" width="4.71"/>
    <col collapsed="false" customWidth="true" hidden="true" outlineLevel="0" max="4866" min="4858" style="105" width="13"/>
    <col collapsed="false" customWidth="true" hidden="false" outlineLevel="0" max="4869" min="4867" style="105" width="10.29"/>
    <col collapsed="false" customWidth="true" hidden="false" outlineLevel="0" max="4870" min="4870" style="105" width="11"/>
    <col collapsed="false" customWidth="true" hidden="false" outlineLevel="0" max="4871" min="4871" style="105" width="36"/>
    <col collapsed="false" customWidth="true" hidden="false" outlineLevel="0" max="4872" min="4872" style="105" width="11.57"/>
    <col collapsed="false" customWidth="true" hidden="false" outlineLevel="0" max="4873" min="4873" style="105" width="15.57"/>
    <col collapsed="false" customWidth="true" hidden="false" outlineLevel="0" max="4876" min="4874" style="105" width="16.28"/>
    <col collapsed="false" customWidth="false" hidden="false" outlineLevel="0" max="5106" min="4877" style="105" width="9.14"/>
    <col collapsed="false" customWidth="true" hidden="false" outlineLevel="0" max="5108" min="5107" style="105" width="13.28"/>
    <col collapsed="false" customWidth="true" hidden="false" outlineLevel="0" max="5109" min="5109" style="105" width="8.42"/>
    <col collapsed="false" customWidth="true" hidden="false" outlineLevel="0" max="5110" min="5110" style="105" width="9.71"/>
    <col collapsed="false" customWidth="true" hidden="false" outlineLevel="0" max="5111" min="5111" style="105" width="18.71"/>
    <col collapsed="false" customWidth="true" hidden="false" outlineLevel="0" max="5113" min="5112" style="105" width="4.71"/>
    <col collapsed="false" customWidth="true" hidden="true" outlineLevel="0" max="5122" min="5114" style="105" width="13"/>
    <col collapsed="false" customWidth="true" hidden="false" outlineLevel="0" max="5125" min="5123" style="105" width="10.29"/>
    <col collapsed="false" customWidth="true" hidden="false" outlineLevel="0" max="5126" min="5126" style="105" width="11"/>
    <col collapsed="false" customWidth="true" hidden="false" outlineLevel="0" max="5127" min="5127" style="105" width="36"/>
    <col collapsed="false" customWidth="true" hidden="false" outlineLevel="0" max="5128" min="5128" style="105" width="11.57"/>
    <col collapsed="false" customWidth="true" hidden="false" outlineLevel="0" max="5129" min="5129" style="105" width="15.57"/>
    <col collapsed="false" customWidth="true" hidden="false" outlineLevel="0" max="5132" min="5130" style="105" width="16.28"/>
    <col collapsed="false" customWidth="false" hidden="false" outlineLevel="0" max="5362" min="5133" style="105" width="9.14"/>
    <col collapsed="false" customWidth="true" hidden="false" outlineLevel="0" max="5364" min="5363" style="105" width="13.28"/>
    <col collapsed="false" customWidth="true" hidden="false" outlineLevel="0" max="5365" min="5365" style="105" width="8.42"/>
    <col collapsed="false" customWidth="true" hidden="false" outlineLevel="0" max="5366" min="5366" style="105" width="9.71"/>
    <col collapsed="false" customWidth="true" hidden="false" outlineLevel="0" max="5367" min="5367" style="105" width="18.71"/>
    <col collapsed="false" customWidth="true" hidden="false" outlineLevel="0" max="5369" min="5368" style="105" width="4.71"/>
    <col collapsed="false" customWidth="true" hidden="true" outlineLevel="0" max="5378" min="5370" style="105" width="13"/>
    <col collapsed="false" customWidth="true" hidden="false" outlineLevel="0" max="5381" min="5379" style="105" width="10.29"/>
    <col collapsed="false" customWidth="true" hidden="false" outlineLevel="0" max="5382" min="5382" style="105" width="11"/>
    <col collapsed="false" customWidth="true" hidden="false" outlineLevel="0" max="5383" min="5383" style="105" width="36"/>
    <col collapsed="false" customWidth="true" hidden="false" outlineLevel="0" max="5384" min="5384" style="105" width="11.57"/>
    <col collapsed="false" customWidth="true" hidden="false" outlineLevel="0" max="5385" min="5385" style="105" width="15.57"/>
    <col collapsed="false" customWidth="true" hidden="false" outlineLevel="0" max="5388" min="5386" style="105" width="16.28"/>
    <col collapsed="false" customWidth="false" hidden="false" outlineLevel="0" max="5618" min="5389" style="105" width="9.14"/>
    <col collapsed="false" customWidth="true" hidden="false" outlineLevel="0" max="5620" min="5619" style="105" width="13.28"/>
    <col collapsed="false" customWidth="true" hidden="false" outlineLevel="0" max="5621" min="5621" style="105" width="8.42"/>
    <col collapsed="false" customWidth="true" hidden="false" outlineLevel="0" max="5622" min="5622" style="105" width="9.71"/>
    <col collapsed="false" customWidth="true" hidden="false" outlineLevel="0" max="5623" min="5623" style="105" width="18.71"/>
    <col collapsed="false" customWidth="true" hidden="false" outlineLevel="0" max="5625" min="5624" style="105" width="4.71"/>
    <col collapsed="false" customWidth="true" hidden="true" outlineLevel="0" max="5634" min="5626" style="105" width="13"/>
    <col collapsed="false" customWidth="true" hidden="false" outlineLevel="0" max="5637" min="5635" style="105" width="10.29"/>
    <col collapsed="false" customWidth="true" hidden="false" outlineLevel="0" max="5638" min="5638" style="105" width="11"/>
    <col collapsed="false" customWidth="true" hidden="false" outlineLevel="0" max="5639" min="5639" style="105" width="36"/>
    <col collapsed="false" customWidth="true" hidden="false" outlineLevel="0" max="5640" min="5640" style="105" width="11.57"/>
    <col collapsed="false" customWidth="true" hidden="false" outlineLevel="0" max="5641" min="5641" style="105" width="15.57"/>
    <col collapsed="false" customWidth="true" hidden="false" outlineLevel="0" max="5644" min="5642" style="105" width="16.28"/>
    <col collapsed="false" customWidth="false" hidden="false" outlineLevel="0" max="5874" min="5645" style="105" width="9.14"/>
    <col collapsed="false" customWidth="true" hidden="false" outlineLevel="0" max="5876" min="5875" style="105" width="13.28"/>
    <col collapsed="false" customWidth="true" hidden="false" outlineLevel="0" max="5877" min="5877" style="105" width="8.42"/>
    <col collapsed="false" customWidth="true" hidden="false" outlineLevel="0" max="5878" min="5878" style="105" width="9.71"/>
    <col collapsed="false" customWidth="true" hidden="false" outlineLevel="0" max="5879" min="5879" style="105" width="18.71"/>
    <col collapsed="false" customWidth="true" hidden="false" outlineLevel="0" max="5881" min="5880" style="105" width="4.71"/>
    <col collapsed="false" customWidth="true" hidden="true" outlineLevel="0" max="5890" min="5882" style="105" width="13"/>
    <col collapsed="false" customWidth="true" hidden="false" outlineLevel="0" max="5893" min="5891" style="105" width="10.29"/>
    <col collapsed="false" customWidth="true" hidden="false" outlineLevel="0" max="5894" min="5894" style="105" width="11"/>
    <col collapsed="false" customWidth="true" hidden="false" outlineLevel="0" max="5895" min="5895" style="105" width="36"/>
    <col collapsed="false" customWidth="true" hidden="false" outlineLevel="0" max="5896" min="5896" style="105" width="11.57"/>
    <col collapsed="false" customWidth="true" hidden="false" outlineLevel="0" max="5897" min="5897" style="105" width="15.57"/>
    <col collapsed="false" customWidth="true" hidden="false" outlineLevel="0" max="5900" min="5898" style="105" width="16.28"/>
    <col collapsed="false" customWidth="false" hidden="false" outlineLevel="0" max="6130" min="5901" style="105" width="9.14"/>
    <col collapsed="false" customWidth="true" hidden="false" outlineLevel="0" max="6132" min="6131" style="105" width="13.28"/>
    <col collapsed="false" customWidth="true" hidden="false" outlineLevel="0" max="6133" min="6133" style="105" width="8.42"/>
    <col collapsed="false" customWidth="true" hidden="false" outlineLevel="0" max="6134" min="6134" style="105" width="9.71"/>
    <col collapsed="false" customWidth="true" hidden="false" outlineLevel="0" max="6135" min="6135" style="105" width="18.71"/>
    <col collapsed="false" customWidth="true" hidden="false" outlineLevel="0" max="6137" min="6136" style="105" width="4.71"/>
    <col collapsed="false" customWidth="true" hidden="true" outlineLevel="0" max="6146" min="6138" style="105" width="13"/>
    <col collapsed="false" customWidth="true" hidden="false" outlineLevel="0" max="6149" min="6147" style="105" width="10.29"/>
    <col collapsed="false" customWidth="true" hidden="false" outlineLevel="0" max="6150" min="6150" style="105" width="11"/>
    <col collapsed="false" customWidth="true" hidden="false" outlineLevel="0" max="6151" min="6151" style="105" width="36"/>
    <col collapsed="false" customWidth="true" hidden="false" outlineLevel="0" max="6152" min="6152" style="105" width="11.57"/>
    <col collapsed="false" customWidth="true" hidden="false" outlineLevel="0" max="6153" min="6153" style="105" width="15.57"/>
    <col collapsed="false" customWidth="true" hidden="false" outlineLevel="0" max="6156" min="6154" style="105" width="16.28"/>
    <col collapsed="false" customWidth="false" hidden="false" outlineLevel="0" max="6386" min="6157" style="105" width="9.14"/>
    <col collapsed="false" customWidth="true" hidden="false" outlineLevel="0" max="6388" min="6387" style="105" width="13.28"/>
    <col collapsed="false" customWidth="true" hidden="false" outlineLevel="0" max="6389" min="6389" style="105" width="8.42"/>
    <col collapsed="false" customWidth="true" hidden="false" outlineLevel="0" max="6390" min="6390" style="105" width="9.71"/>
    <col collapsed="false" customWidth="true" hidden="false" outlineLevel="0" max="6391" min="6391" style="105" width="18.71"/>
    <col collapsed="false" customWidth="true" hidden="false" outlineLevel="0" max="6393" min="6392" style="105" width="4.71"/>
    <col collapsed="false" customWidth="true" hidden="true" outlineLevel="0" max="6402" min="6394" style="105" width="13"/>
    <col collapsed="false" customWidth="true" hidden="false" outlineLevel="0" max="6405" min="6403" style="105" width="10.29"/>
    <col collapsed="false" customWidth="true" hidden="false" outlineLevel="0" max="6406" min="6406" style="105" width="11"/>
    <col collapsed="false" customWidth="true" hidden="false" outlineLevel="0" max="6407" min="6407" style="105" width="36"/>
    <col collapsed="false" customWidth="true" hidden="false" outlineLevel="0" max="6408" min="6408" style="105" width="11.57"/>
    <col collapsed="false" customWidth="true" hidden="false" outlineLevel="0" max="6409" min="6409" style="105" width="15.57"/>
    <col collapsed="false" customWidth="true" hidden="false" outlineLevel="0" max="6412" min="6410" style="105" width="16.28"/>
    <col collapsed="false" customWidth="false" hidden="false" outlineLevel="0" max="6642" min="6413" style="105" width="9.14"/>
    <col collapsed="false" customWidth="true" hidden="false" outlineLevel="0" max="6644" min="6643" style="105" width="13.28"/>
    <col collapsed="false" customWidth="true" hidden="false" outlineLevel="0" max="6645" min="6645" style="105" width="8.42"/>
    <col collapsed="false" customWidth="true" hidden="false" outlineLevel="0" max="6646" min="6646" style="105" width="9.71"/>
    <col collapsed="false" customWidth="true" hidden="false" outlineLevel="0" max="6647" min="6647" style="105" width="18.71"/>
    <col collapsed="false" customWidth="true" hidden="false" outlineLevel="0" max="6649" min="6648" style="105" width="4.71"/>
    <col collapsed="false" customWidth="true" hidden="true" outlineLevel="0" max="6658" min="6650" style="105" width="13"/>
    <col collapsed="false" customWidth="true" hidden="false" outlineLevel="0" max="6661" min="6659" style="105" width="10.29"/>
    <col collapsed="false" customWidth="true" hidden="false" outlineLevel="0" max="6662" min="6662" style="105" width="11"/>
    <col collapsed="false" customWidth="true" hidden="false" outlineLevel="0" max="6663" min="6663" style="105" width="36"/>
    <col collapsed="false" customWidth="true" hidden="false" outlineLevel="0" max="6664" min="6664" style="105" width="11.57"/>
    <col collapsed="false" customWidth="true" hidden="false" outlineLevel="0" max="6665" min="6665" style="105" width="15.57"/>
    <col collapsed="false" customWidth="true" hidden="false" outlineLevel="0" max="6668" min="6666" style="105" width="16.28"/>
    <col collapsed="false" customWidth="false" hidden="false" outlineLevel="0" max="6898" min="6669" style="105" width="9.14"/>
    <col collapsed="false" customWidth="true" hidden="false" outlineLevel="0" max="6900" min="6899" style="105" width="13.28"/>
    <col collapsed="false" customWidth="true" hidden="false" outlineLevel="0" max="6901" min="6901" style="105" width="8.42"/>
    <col collapsed="false" customWidth="true" hidden="false" outlineLevel="0" max="6902" min="6902" style="105" width="9.71"/>
    <col collapsed="false" customWidth="true" hidden="false" outlineLevel="0" max="6903" min="6903" style="105" width="18.71"/>
    <col collapsed="false" customWidth="true" hidden="false" outlineLevel="0" max="6905" min="6904" style="105" width="4.71"/>
    <col collapsed="false" customWidth="true" hidden="true" outlineLevel="0" max="6914" min="6906" style="105" width="13"/>
    <col collapsed="false" customWidth="true" hidden="false" outlineLevel="0" max="6917" min="6915" style="105" width="10.29"/>
    <col collapsed="false" customWidth="true" hidden="false" outlineLevel="0" max="6918" min="6918" style="105" width="11"/>
    <col collapsed="false" customWidth="true" hidden="false" outlineLevel="0" max="6919" min="6919" style="105" width="36"/>
    <col collapsed="false" customWidth="true" hidden="false" outlineLevel="0" max="6920" min="6920" style="105" width="11.57"/>
    <col collapsed="false" customWidth="true" hidden="false" outlineLevel="0" max="6921" min="6921" style="105" width="15.57"/>
    <col collapsed="false" customWidth="true" hidden="false" outlineLevel="0" max="6924" min="6922" style="105" width="16.28"/>
    <col collapsed="false" customWidth="false" hidden="false" outlineLevel="0" max="7154" min="6925" style="105" width="9.14"/>
    <col collapsed="false" customWidth="true" hidden="false" outlineLevel="0" max="7156" min="7155" style="105" width="13.28"/>
    <col collapsed="false" customWidth="true" hidden="false" outlineLevel="0" max="7157" min="7157" style="105" width="8.42"/>
    <col collapsed="false" customWidth="true" hidden="false" outlineLevel="0" max="7158" min="7158" style="105" width="9.71"/>
    <col collapsed="false" customWidth="true" hidden="false" outlineLevel="0" max="7159" min="7159" style="105" width="18.71"/>
    <col collapsed="false" customWidth="true" hidden="false" outlineLevel="0" max="7161" min="7160" style="105" width="4.71"/>
    <col collapsed="false" customWidth="true" hidden="true" outlineLevel="0" max="7170" min="7162" style="105" width="13"/>
    <col collapsed="false" customWidth="true" hidden="false" outlineLevel="0" max="7173" min="7171" style="105" width="10.29"/>
    <col collapsed="false" customWidth="true" hidden="false" outlineLevel="0" max="7174" min="7174" style="105" width="11"/>
    <col collapsed="false" customWidth="true" hidden="false" outlineLevel="0" max="7175" min="7175" style="105" width="36"/>
    <col collapsed="false" customWidth="true" hidden="false" outlineLevel="0" max="7176" min="7176" style="105" width="11.57"/>
    <col collapsed="false" customWidth="true" hidden="false" outlineLevel="0" max="7177" min="7177" style="105" width="15.57"/>
    <col collapsed="false" customWidth="true" hidden="false" outlineLevel="0" max="7180" min="7178" style="105" width="16.28"/>
    <col collapsed="false" customWidth="false" hidden="false" outlineLevel="0" max="7410" min="7181" style="105" width="9.14"/>
    <col collapsed="false" customWidth="true" hidden="false" outlineLevel="0" max="7412" min="7411" style="105" width="13.28"/>
    <col collapsed="false" customWidth="true" hidden="false" outlineLevel="0" max="7413" min="7413" style="105" width="8.42"/>
    <col collapsed="false" customWidth="true" hidden="false" outlineLevel="0" max="7414" min="7414" style="105" width="9.71"/>
    <col collapsed="false" customWidth="true" hidden="false" outlineLevel="0" max="7415" min="7415" style="105" width="18.71"/>
    <col collapsed="false" customWidth="true" hidden="false" outlineLevel="0" max="7417" min="7416" style="105" width="4.71"/>
    <col collapsed="false" customWidth="true" hidden="true" outlineLevel="0" max="7426" min="7418" style="105" width="13"/>
    <col collapsed="false" customWidth="true" hidden="false" outlineLevel="0" max="7429" min="7427" style="105" width="10.29"/>
    <col collapsed="false" customWidth="true" hidden="false" outlineLevel="0" max="7430" min="7430" style="105" width="11"/>
    <col collapsed="false" customWidth="true" hidden="false" outlineLevel="0" max="7431" min="7431" style="105" width="36"/>
    <col collapsed="false" customWidth="true" hidden="false" outlineLevel="0" max="7432" min="7432" style="105" width="11.57"/>
    <col collapsed="false" customWidth="true" hidden="false" outlineLevel="0" max="7433" min="7433" style="105" width="15.57"/>
    <col collapsed="false" customWidth="true" hidden="false" outlineLevel="0" max="7436" min="7434" style="105" width="16.28"/>
    <col collapsed="false" customWidth="false" hidden="false" outlineLevel="0" max="7666" min="7437" style="105" width="9.14"/>
    <col collapsed="false" customWidth="true" hidden="false" outlineLevel="0" max="7668" min="7667" style="105" width="13.28"/>
    <col collapsed="false" customWidth="true" hidden="false" outlineLevel="0" max="7669" min="7669" style="105" width="8.42"/>
    <col collapsed="false" customWidth="true" hidden="false" outlineLevel="0" max="7670" min="7670" style="105" width="9.71"/>
    <col collapsed="false" customWidth="true" hidden="false" outlineLevel="0" max="7671" min="7671" style="105" width="18.71"/>
    <col collapsed="false" customWidth="true" hidden="false" outlineLevel="0" max="7673" min="7672" style="105" width="4.71"/>
    <col collapsed="false" customWidth="true" hidden="true" outlineLevel="0" max="7682" min="7674" style="105" width="13"/>
    <col collapsed="false" customWidth="true" hidden="false" outlineLevel="0" max="7685" min="7683" style="105" width="10.29"/>
    <col collapsed="false" customWidth="true" hidden="false" outlineLevel="0" max="7686" min="7686" style="105" width="11"/>
    <col collapsed="false" customWidth="true" hidden="false" outlineLevel="0" max="7687" min="7687" style="105" width="36"/>
    <col collapsed="false" customWidth="true" hidden="false" outlineLevel="0" max="7688" min="7688" style="105" width="11.57"/>
    <col collapsed="false" customWidth="true" hidden="false" outlineLevel="0" max="7689" min="7689" style="105" width="15.57"/>
    <col collapsed="false" customWidth="true" hidden="false" outlineLevel="0" max="7692" min="7690" style="105" width="16.28"/>
    <col collapsed="false" customWidth="false" hidden="false" outlineLevel="0" max="7922" min="7693" style="105" width="9.14"/>
    <col collapsed="false" customWidth="true" hidden="false" outlineLevel="0" max="7924" min="7923" style="105" width="13.28"/>
    <col collapsed="false" customWidth="true" hidden="false" outlineLevel="0" max="7925" min="7925" style="105" width="8.42"/>
    <col collapsed="false" customWidth="true" hidden="false" outlineLevel="0" max="7926" min="7926" style="105" width="9.71"/>
    <col collapsed="false" customWidth="true" hidden="false" outlineLevel="0" max="7927" min="7927" style="105" width="18.71"/>
    <col collapsed="false" customWidth="true" hidden="false" outlineLevel="0" max="7929" min="7928" style="105" width="4.71"/>
    <col collapsed="false" customWidth="true" hidden="true" outlineLevel="0" max="7938" min="7930" style="105" width="13"/>
    <col collapsed="false" customWidth="true" hidden="false" outlineLevel="0" max="7941" min="7939" style="105" width="10.29"/>
    <col collapsed="false" customWidth="true" hidden="false" outlineLevel="0" max="7942" min="7942" style="105" width="11"/>
    <col collapsed="false" customWidth="true" hidden="false" outlineLevel="0" max="7943" min="7943" style="105" width="36"/>
    <col collapsed="false" customWidth="true" hidden="false" outlineLevel="0" max="7944" min="7944" style="105" width="11.57"/>
    <col collapsed="false" customWidth="true" hidden="false" outlineLevel="0" max="7945" min="7945" style="105" width="15.57"/>
    <col collapsed="false" customWidth="true" hidden="false" outlineLevel="0" max="7948" min="7946" style="105" width="16.28"/>
    <col collapsed="false" customWidth="false" hidden="false" outlineLevel="0" max="8178" min="7949" style="105" width="9.14"/>
    <col collapsed="false" customWidth="true" hidden="false" outlineLevel="0" max="8180" min="8179" style="105" width="13.28"/>
    <col collapsed="false" customWidth="true" hidden="false" outlineLevel="0" max="8181" min="8181" style="105" width="8.42"/>
    <col collapsed="false" customWidth="true" hidden="false" outlineLevel="0" max="8182" min="8182" style="105" width="9.71"/>
    <col collapsed="false" customWidth="true" hidden="false" outlineLevel="0" max="8183" min="8183" style="105" width="18.71"/>
    <col collapsed="false" customWidth="true" hidden="false" outlineLevel="0" max="8185" min="8184" style="105" width="4.71"/>
    <col collapsed="false" customWidth="true" hidden="true" outlineLevel="0" max="8194" min="8186" style="105" width="13"/>
    <col collapsed="false" customWidth="true" hidden="false" outlineLevel="0" max="8197" min="8195" style="105" width="10.29"/>
    <col collapsed="false" customWidth="true" hidden="false" outlineLevel="0" max="8198" min="8198" style="105" width="11"/>
    <col collapsed="false" customWidth="true" hidden="false" outlineLevel="0" max="8199" min="8199" style="105" width="36"/>
    <col collapsed="false" customWidth="true" hidden="false" outlineLevel="0" max="8200" min="8200" style="105" width="11.57"/>
    <col collapsed="false" customWidth="true" hidden="false" outlineLevel="0" max="8201" min="8201" style="105" width="15.57"/>
    <col collapsed="false" customWidth="true" hidden="false" outlineLevel="0" max="8204" min="8202" style="105" width="16.28"/>
    <col collapsed="false" customWidth="false" hidden="false" outlineLevel="0" max="8434" min="8205" style="105" width="9.14"/>
    <col collapsed="false" customWidth="true" hidden="false" outlineLevel="0" max="8436" min="8435" style="105" width="13.28"/>
    <col collapsed="false" customWidth="true" hidden="false" outlineLevel="0" max="8437" min="8437" style="105" width="8.42"/>
    <col collapsed="false" customWidth="true" hidden="false" outlineLevel="0" max="8438" min="8438" style="105" width="9.71"/>
    <col collapsed="false" customWidth="true" hidden="false" outlineLevel="0" max="8439" min="8439" style="105" width="18.71"/>
    <col collapsed="false" customWidth="true" hidden="false" outlineLevel="0" max="8441" min="8440" style="105" width="4.71"/>
    <col collapsed="false" customWidth="true" hidden="true" outlineLevel="0" max="8450" min="8442" style="105" width="13"/>
    <col collapsed="false" customWidth="true" hidden="false" outlineLevel="0" max="8453" min="8451" style="105" width="10.29"/>
    <col collapsed="false" customWidth="true" hidden="false" outlineLevel="0" max="8454" min="8454" style="105" width="11"/>
    <col collapsed="false" customWidth="true" hidden="false" outlineLevel="0" max="8455" min="8455" style="105" width="36"/>
    <col collapsed="false" customWidth="true" hidden="false" outlineLevel="0" max="8456" min="8456" style="105" width="11.57"/>
    <col collapsed="false" customWidth="true" hidden="false" outlineLevel="0" max="8457" min="8457" style="105" width="15.57"/>
    <col collapsed="false" customWidth="true" hidden="false" outlineLevel="0" max="8460" min="8458" style="105" width="16.28"/>
    <col collapsed="false" customWidth="false" hidden="false" outlineLevel="0" max="8690" min="8461" style="105" width="9.14"/>
    <col collapsed="false" customWidth="true" hidden="false" outlineLevel="0" max="8692" min="8691" style="105" width="13.28"/>
    <col collapsed="false" customWidth="true" hidden="false" outlineLevel="0" max="8693" min="8693" style="105" width="8.42"/>
    <col collapsed="false" customWidth="true" hidden="false" outlineLevel="0" max="8694" min="8694" style="105" width="9.71"/>
    <col collapsed="false" customWidth="true" hidden="false" outlineLevel="0" max="8695" min="8695" style="105" width="18.71"/>
    <col collapsed="false" customWidth="true" hidden="false" outlineLevel="0" max="8697" min="8696" style="105" width="4.71"/>
    <col collapsed="false" customWidth="true" hidden="true" outlineLevel="0" max="8706" min="8698" style="105" width="13"/>
    <col collapsed="false" customWidth="true" hidden="false" outlineLevel="0" max="8709" min="8707" style="105" width="10.29"/>
    <col collapsed="false" customWidth="true" hidden="false" outlineLevel="0" max="8710" min="8710" style="105" width="11"/>
    <col collapsed="false" customWidth="true" hidden="false" outlineLevel="0" max="8711" min="8711" style="105" width="36"/>
    <col collapsed="false" customWidth="true" hidden="false" outlineLevel="0" max="8712" min="8712" style="105" width="11.57"/>
    <col collapsed="false" customWidth="true" hidden="false" outlineLevel="0" max="8713" min="8713" style="105" width="15.57"/>
    <col collapsed="false" customWidth="true" hidden="false" outlineLevel="0" max="8716" min="8714" style="105" width="16.28"/>
    <col collapsed="false" customWidth="false" hidden="false" outlineLevel="0" max="8946" min="8717" style="105" width="9.14"/>
    <col collapsed="false" customWidth="true" hidden="false" outlineLevel="0" max="8948" min="8947" style="105" width="13.28"/>
    <col collapsed="false" customWidth="true" hidden="false" outlineLevel="0" max="8949" min="8949" style="105" width="8.42"/>
    <col collapsed="false" customWidth="true" hidden="false" outlineLevel="0" max="8950" min="8950" style="105" width="9.71"/>
    <col collapsed="false" customWidth="true" hidden="false" outlineLevel="0" max="8951" min="8951" style="105" width="18.71"/>
    <col collapsed="false" customWidth="true" hidden="false" outlineLevel="0" max="8953" min="8952" style="105" width="4.71"/>
    <col collapsed="false" customWidth="true" hidden="true" outlineLevel="0" max="8962" min="8954" style="105" width="13"/>
    <col collapsed="false" customWidth="true" hidden="false" outlineLevel="0" max="8965" min="8963" style="105" width="10.29"/>
    <col collapsed="false" customWidth="true" hidden="false" outlineLevel="0" max="8966" min="8966" style="105" width="11"/>
    <col collapsed="false" customWidth="true" hidden="false" outlineLevel="0" max="8967" min="8967" style="105" width="36"/>
    <col collapsed="false" customWidth="true" hidden="false" outlineLevel="0" max="8968" min="8968" style="105" width="11.57"/>
    <col collapsed="false" customWidth="true" hidden="false" outlineLevel="0" max="8969" min="8969" style="105" width="15.57"/>
    <col collapsed="false" customWidth="true" hidden="false" outlineLevel="0" max="8972" min="8970" style="105" width="16.28"/>
    <col collapsed="false" customWidth="false" hidden="false" outlineLevel="0" max="9202" min="8973" style="105" width="9.14"/>
    <col collapsed="false" customWidth="true" hidden="false" outlineLevel="0" max="9204" min="9203" style="105" width="13.28"/>
    <col collapsed="false" customWidth="true" hidden="false" outlineLevel="0" max="9205" min="9205" style="105" width="8.42"/>
    <col collapsed="false" customWidth="true" hidden="false" outlineLevel="0" max="9206" min="9206" style="105" width="9.71"/>
    <col collapsed="false" customWidth="true" hidden="false" outlineLevel="0" max="9207" min="9207" style="105" width="18.71"/>
    <col collapsed="false" customWidth="true" hidden="false" outlineLevel="0" max="9209" min="9208" style="105" width="4.71"/>
    <col collapsed="false" customWidth="true" hidden="true" outlineLevel="0" max="9218" min="9210" style="105" width="13"/>
    <col collapsed="false" customWidth="true" hidden="false" outlineLevel="0" max="9221" min="9219" style="105" width="10.29"/>
    <col collapsed="false" customWidth="true" hidden="false" outlineLevel="0" max="9222" min="9222" style="105" width="11"/>
    <col collapsed="false" customWidth="true" hidden="false" outlineLevel="0" max="9223" min="9223" style="105" width="36"/>
    <col collapsed="false" customWidth="true" hidden="false" outlineLevel="0" max="9224" min="9224" style="105" width="11.57"/>
    <col collapsed="false" customWidth="true" hidden="false" outlineLevel="0" max="9225" min="9225" style="105" width="15.57"/>
    <col collapsed="false" customWidth="true" hidden="false" outlineLevel="0" max="9228" min="9226" style="105" width="16.28"/>
    <col collapsed="false" customWidth="false" hidden="false" outlineLevel="0" max="9458" min="9229" style="105" width="9.14"/>
    <col collapsed="false" customWidth="true" hidden="false" outlineLevel="0" max="9460" min="9459" style="105" width="13.28"/>
    <col collapsed="false" customWidth="true" hidden="false" outlineLevel="0" max="9461" min="9461" style="105" width="8.42"/>
    <col collapsed="false" customWidth="true" hidden="false" outlineLevel="0" max="9462" min="9462" style="105" width="9.71"/>
    <col collapsed="false" customWidth="true" hidden="false" outlineLevel="0" max="9463" min="9463" style="105" width="18.71"/>
    <col collapsed="false" customWidth="true" hidden="false" outlineLevel="0" max="9465" min="9464" style="105" width="4.71"/>
    <col collapsed="false" customWidth="true" hidden="true" outlineLevel="0" max="9474" min="9466" style="105" width="13"/>
    <col collapsed="false" customWidth="true" hidden="false" outlineLevel="0" max="9477" min="9475" style="105" width="10.29"/>
    <col collapsed="false" customWidth="true" hidden="false" outlineLevel="0" max="9478" min="9478" style="105" width="11"/>
    <col collapsed="false" customWidth="true" hidden="false" outlineLevel="0" max="9479" min="9479" style="105" width="36"/>
    <col collapsed="false" customWidth="true" hidden="false" outlineLevel="0" max="9480" min="9480" style="105" width="11.57"/>
    <col collapsed="false" customWidth="true" hidden="false" outlineLevel="0" max="9481" min="9481" style="105" width="15.57"/>
    <col collapsed="false" customWidth="true" hidden="false" outlineLevel="0" max="9484" min="9482" style="105" width="16.28"/>
    <col collapsed="false" customWidth="false" hidden="false" outlineLevel="0" max="9714" min="9485" style="105" width="9.14"/>
    <col collapsed="false" customWidth="true" hidden="false" outlineLevel="0" max="9716" min="9715" style="105" width="13.28"/>
    <col collapsed="false" customWidth="true" hidden="false" outlineLevel="0" max="9717" min="9717" style="105" width="8.42"/>
    <col collapsed="false" customWidth="true" hidden="false" outlineLevel="0" max="9718" min="9718" style="105" width="9.71"/>
    <col collapsed="false" customWidth="true" hidden="false" outlineLevel="0" max="9719" min="9719" style="105" width="18.71"/>
    <col collapsed="false" customWidth="true" hidden="false" outlineLevel="0" max="9721" min="9720" style="105" width="4.71"/>
    <col collapsed="false" customWidth="true" hidden="true" outlineLevel="0" max="9730" min="9722" style="105" width="13"/>
    <col collapsed="false" customWidth="true" hidden="false" outlineLevel="0" max="9733" min="9731" style="105" width="10.29"/>
    <col collapsed="false" customWidth="true" hidden="false" outlineLevel="0" max="9734" min="9734" style="105" width="11"/>
    <col collapsed="false" customWidth="true" hidden="false" outlineLevel="0" max="9735" min="9735" style="105" width="36"/>
    <col collapsed="false" customWidth="true" hidden="false" outlineLevel="0" max="9736" min="9736" style="105" width="11.57"/>
    <col collapsed="false" customWidth="true" hidden="false" outlineLevel="0" max="9737" min="9737" style="105" width="15.57"/>
    <col collapsed="false" customWidth="true" hidden="false" outlineLevel="0" max="9740" min="9738" style="105" width="16.28"/>
    <col collapsed="false" customWidth="false" hidden="false" outlineLevel="0" max="9970" min="9741" style="105" width="9.14"/>
    <col collapsed="false" customWidth="true" hidden="false" outlineLevel="0" max="9972" min="9971" style="105" width="13.28"/>
    <col collapsed="false" customWidth="true" hidden="false" outlineLevel="0" max="9973" min="9973" style="105" width="8.42"/>
    <col collapsed="false" customWidth="true" hidden="false" outlineLevel="0" max="9974" min="9974" style="105" width="9.71"/>
    <col collapsed="false" customWidth="true" hidden="false" outlineLevel="0" max="9975" min="9975" style="105" width="18.71"/>
    <col collapsed="false" customWidth="true" hidden="false" outlineLevel="0" max="9977" min="9976" style="105" width="4.71"/>
    <col collapsed="false" customWidth="true" hidden="true" outlineLevel="0" max="9986" min="9978" style="105" width="13"/>
    <col collapsed="false" customWidth="true" hidden="false" outlineLevel="0" max="9989" min="9987" style="105" width="10.29"/>
    <col collapsed="false" customWidth="true" hidden="false" outlineLevel="0" max="9990" min="9990" style="105" width="11"/>
    <col collapsed="false" customWidth="true" hidden="false" outlineLevel="0" max="9991" min="9991" style="105" width="36"/>
    <col collapsed="false" customWidth="true" hidden="false" outlineLevel="0" max="9992" min="9992" style="105" width="11.57"/>
    <col collapsed="false" customWidth="true" hidden="false" outlineLevel="0" max="9993" min="9993" style="105" width="15.57"/>
    <col collapsed="false" customWidth="true" hidden="false" outlineLevel="0" max="9996" min="9994" style="105" width="16.28"/>
    <col collapsed="false" customWidth="false" hidden="false" outlineLevel="0" max="10226" min="9997" style="105" width="9.14"/>
    <col collapsed="false" customWidth="true" hidden="false" outlineLevel="0" max="10228" min="10227" style="105" width="13.28"/>
    <col collapsed="false" customWidth="true" hidden="false" outlineLevel="0" max="10229" min="10229" style="105" width="8.42"/>
    <col collapsed="false" customWidth="true" hidden="false" outlineLevel="0" max="10230" min="10230" style="105" width="9.71"/>
    <col collapsed="false" customWidth="true" hidden="false" outlineLevel="0" max="10231" min="10231" style="105" width="18.71"/>
    <col collapsed="false" customWidth="true" hidden="false" outlineLevel="0" max="10233" min="10232" style="105" width="4.71"/>
    <col collapsed="false" customWidth="true" hidden="true" outlineLevel="0" max="10242" min="10234" style="105" width="13"/>
    <col collapsed="false" customWidth="true" hidden="false" outlineLevel="0" max="10245" min="10243" style="105" width="10.29"/>
    <col collapsed="false" customWidth="true" hidden="false" outlineLevel="0" max="10246" min="10246" style="105" width="11"/>
    <col collapsed="false" customWidth="true" hidden="false" outlineLevel="0" max="10247" min="10247" style="105" width="36"/>
    <col collapsed="false" customWidth="true" hidden="false" outlineLevel="0" max="10248" min="10248" style="105" width="11.57"/>
    <col collapsed="false" customWidth="true" hidden="false" outlineLevel="0" max="10249" min="10249" style="105" width="15.57"/>
    <col collapsed="false" customWidth="true" hidden="false" outlineLevel="0" max="10252" min="10250" style="105" width="16.28"/>
    <col collapsed="false" customWidth="false" hidden="false" outlineLevel="0" max="10482" min="10253" style="105" width="9.14"/>
    <col collapsed="false" customWidth="true" hidden="false" outlineLevel="0" max="10484" min="10483" style="105" width="13.28"/>
    <col collapsed="false" customWidth="true" hidden="false" outlineLevel="0" max="10485" min="10485" style="105" width="8.42"/>
    <col collapsed="false" customWidth="true" hidden="false" outlineLevel="0" max="10486" min="10486" style="105" width="9.71"/>
    <col collapsed="false" customWidth="true" hidden="false" outlineLevel="0" max="10487" min="10487" style="105" width="18.71"/>
    <col collapsed="false" customWidth="true" hidden="false" outlineLevel="0" max="10489" min="10488" style="105" width="4.71"/>
    <col collapsed="false" customWidth="true" hidden="true" outlineLevel="0" max="10498" min="10490" style="105" width="13"/>
    <col collapsed="false" customWidth="true" hidden="false" outlineLevel="0" max="10501" min="10499" style="105" width="10.29"/>
    <col collapsed="false" customWidth="true" hidden="false" outlineLevel="0" max="10502" min="10502" style="105" width="11"/>
    <col collapsed="false" customWidth="true" hidden="false" outlineLevel="0" max="10503" min="10503" style="105" width="36"/>
    <col collapsed="false" customWidth="true" hidden="false" outlineLevel="0" max="10504" min="10504" style="105" width="11.57"/>
    <col collapsed="false" customWidth="true" hidden="false" outlineLevel="0" max="10505" min="10505" style="105" width="15.57"/>
    <col collapsed="false" customWidth="true" hidden="false" outlineLevel="0" max="10508" min="10506" style="105" width="16.28"/>
    <col collapsed="false" customWidth="false" hidden="false" outlineLevel="0" max="10738" min="10509" style="105" width="9.14"/>
    <col collapsed="false" customWidth="true" hidden="false" outlineLevel="0" max="10740" min="10739" style="105" width="13.28"/>
    <col collapsed="false" customWidth="true" hidden="false" outlineLevel="0" max="10741" min="10741" style="105" width="8.42"/>
    <col collapsed="false" customWidth="true" hidden="false" outlineLevel="0" max="10742" min="10742" style="105" width="9.71"/>
    <col collapsed="false" customWidth="true" hidden="false" outlineLevel="0" max="10743" min="10743" style="105" width="18.71"/>
    <col collapsed="false" customWidth="true" hidden="false" outlineLevel="0" max="10745" min="10744" style="105" width="4.71"/>
    <col collapsed="false" customWidth="true" hidden="true" outlineLevel="0" max="10754" min="10746" style="105" width="13"/>
    <col collapsed="false" customWidth="true" hidden="false" outlineLevel="0" max="10757" min="10755" style="105" width="10.29"/>
    <col collapsed="false" customWidth="true" hidden="false" outlineLevel="0" max="10758" min="10758" style="105" width="11"/>
    <col collapsed="false" customWidth="true" hidden="false" outlineLevel="0" max="10759" min="10759" style="105" width="36"/>
    <col collapsed="false" customWidth="true" hidden="false" outlineLevel="0" max="10760" min="10760" style="105" width="11.57"/>
    <col collapsed="false" customWidth="true" hidden="false" outlineLevel="0" max="10761" min="10761" style="105" width="15.57"/>
    <col collapsed="false" customWidth="true" hidden="false" outlineLevel="0" max="10764" min="10762" style="105" width="16.28"/>
    <col collapsed="false" customWidth="false" hidden="false" outlineLevel="0" max="10994" min="10765" style="105" width="9.14"/>
    <col collapsed="false" customWidth="true" hidden="false" outlineLevel="0" max="10996" min="10995" style="105" width="13.28"/>
    <col collapsed="false" customWidth="true" hidden="false" outlineLevel="0" max="10997" min="10997" style="105" width="8.42"/>
    <col collapsed="false" customWidth="true" hidden="false" outlineLevel="0" max="10998" min="10998" style="105" width="9.71"/>
    <col collapsed="false" customWidth="true" hidden="false" outlineLevel="0" max="10999" min="10999" style="105" width="18.71"/>
    <col collapsed="false" customWidth="true" hidden="false" outlineLevel="0" max="11001" min="11000" style="105" width="4.71"/>
    <col collapsed="false" customWidth="true" hidden="true" outlineLevel="0" max="11010" min="11002" style="105" width="13"/>
    <col collapsed="false" customWidth="true" hidden="false" outlineLevel="0" max="11013" min="11011" style="105" width="10.29"/>
    <col collapsed="false" customWidth="true" hidden="false" outlineLevel="0" max="11014" min="11014" style="105" width="11"/>
    <col collapsed="false" customWidth="true" hidden="false" outlineLevel="0" max="11015" min="11015" style="105" width="36"/>
    <col collapsed="false" customWidth="true" hidden="false" outlineLevel="0" max="11016" min="11016" style="105" width="11.57"/>
    <col collapsed="false" customWidth="true" hidden="false" outlineLevel="0" max="11017" min="11017" style="105" width="15.57"/>
    <col collapsed="false" customWidth="true" hidden="false" outlineLevel="0" max="11020" min="11018" style="105" width="16.28"/>
    <col collapsed="false" customWidth="false" hidden="false" outlineLevel="0" max="11250" min="11021" style="105" width="9.14"/>
    <col collapsed="false" customWidth="true" hidden="false" outlineLevel="0" max="11252" min="11251" style="105" width="13.28"/>
    <col collapsed="false" customWidth="true" hidden="false" outlineLevel="0" max="11253" min="11253" style="105" width="8.42"/>
    <col collapsed="false" customWidth="true" hidden="false" outlineLevel="0" max="11254" min="11254" style="105" width="9.71"/>
    <col collapsed="false" customWidth="true" hidden="false" outlineLevel="0" max="11255" min="11255" style="105" width="18.71"/>
    <col collapsed="false" customWidth="true" hidden="false" outlineLevel="0" max="11257" min="11256" style="105" width="4.71"/>
    <col collapsed="false" customWidth="true" hidden="true" outlineLevel="0" max="11266" min="11258" style="105" width="13"/>
    <col collapsed="false" customWidth="true" hidden="false" outlineLevel="0" max="11269" min="11267" style="105" width="10.29"/>
    <col collapsed="false" customWidth="true" hidden="false" outlineLevel="0" max="11270" min="11270" style="105" width="11"/>
    <col collapsed="false" customWidth="true" hidden="false" outlineLevel="0" max="11271" min="11271" style="105" width="36"/>
    <col collapsed="false" customWidth="true" hidden="false" outlineLevel="0" max="11272" min="11272" style="105" width="11.57"/>
    <col collapsed="false" customWidth="true" hidden="false" outlineLevel="0" max="11273" min="11273" style="105" width="15.57"/>
    <col collapsed="false" customWidth="true" hidden="false" outlineLevel="0" max="11276" min="11274" style="105" width="16.28"/>
    <col collapsed="false" customWidth="false" hidden="false" outlineLevel="0" max="11506" min="11277" style="105" width="9.14"/>
    <col collapsed="false" customWidth="true" hidden="false" outlineLevel="0" max="11508" min="11507" style="105" width="13.28"/>
    <col collapsed="false" customWidth="true" hidden="false" outlineLevel="0" max="11509" min="11509" style="105" width="8.42"/>
    <col collapsed="false" customWidth="true" hidden="false" outlineLevel="0" max="11510" min="11510" style="105" width="9.71"/>
    <col collapsed="false" customWidth="true" hidden="false" outlineLevel="0" max="11511" min="11511" style="105" width="18.71"/>
    <col collapsed="false" customWidth="true" hidden="false" outlineLevel="0" max="11513" min="11512" style="105" width="4.71"/>
    <col collapsed="false" customWidth="true" hidden="true" outlineLevel="0" max="11522" min="11514" style="105" width="13"/>
    <col collapsed="false" customWidth="true" hidden="false" outlineLevel="0" max="11525" min="11523" style="105" width="10.29"/>
    <col collapsed="false" customWidth="true" hidden="false" outlineLevel="0" max="11526" min="11526" style="105" width="11"/>
    <col collapsed="false" customWidth="true" hidden="false" outlineLevel="0" max="11527" min="11527" style="105" width="36"/>
    <col collapsed="false" customWidth="true" hidden="false" outlineLevel="0" max="11528" min="11528" style="105" width="11.57"/>
    <col collapsed="false" customWidth="true" hidden="false" outlineLevel="0" max="11529" min="11529" style="105" width="15.57"/>
    <col collapsed="false" customWidth="true" hidden="false" outlineLevel="0" max="11532" min="11530" style="105" width="16.28"/>
    <col collapsed="false" customWidth="false" hidden="false" outlineLevel="0" max="11762" min="11533" style="105" width="9.14"/>
    <col collapsed="false" customWidth="true" hidden="false" outlineLevel="0" max="11764" min="11763" style="105" width="13.28"/>
    <col collapsed="false" customWidth="true" hidden="false" outlineLevel="0" max="11765" min="11765" style="105" width="8.42"/>
    <col collapsed="false" customWidth="true" hidden="false" outlineLevel="0" max="11766" min="11766" style="105" width="9.71"/>
    <col collapsed="false" customWidth="true" hidden="false" outlineLevel="0" max="11767" min="11767" style="105" width="18.71"/>
    <col collapsed="false" customWidth="true" hidden="false" outlineLevel="0" max="11769" min="11768" style="105" width="4.71"/>
    <col collapsed="false" customWidth="true" hidden="true" outlineLevel="0" max="11778" min="11770" style="105" width="13"/>
    <col collapsed="false" customWidth="true" hidden="false" outlineLevel="0" max="11781" min="11779" style="105" width="10.29"/>
    <col collapsed="false" customWidth="true" hidden="false" outlineLevel="0" max="11782" min="11782" style="105" width="11"/>
    <col collapsed="false" customWidth="true" hidden="false" outlineLevel="0" max="11783" min="11783" style="105" width="36"/>
    <col collapsed="false" customWidth="true" hidden="false" outlineLevel="0" max="11784" min="11784" style="105" width="11.57"/>
    <col collapsed="false" customWidth="true" hidden="false" outlineLevel="0" max="11785" min="11785" style="105" width="15.57"/>
    <col collapsed="false" customWidth="true" hidden="false" outlineLevel="0" max="11788" min="11786" style="105" width="16.28"/>
    <col collapsed="false" customWidth="false" hidden="false" outlineLevel="0" max="12018" min="11789" style="105" width="9.14"/>
    <col collapsed="false" customWidth="true" hidden="false" outlineLevel="0" max="12020" min="12019" style="105" width="13.28"/>
    <col collapsed="false" customWidth="true" hidden="false" outlineLevel="0" max="12021" min="12021" style="105" width="8.42"/>
    <col collapsed="false" customWidth="true" hidden="false" outlineLevel="0" max="12022" min="12022" style="105" width="9.71"/>
    <col collapsed="false" customWidth="true" hidden="false" outlineLevel="0" max="12023" min="12023" style="105" width="18.71"/>
    <col collapsed="false" customWidth="true" hidden="false" outlineLevel="0" max="12025" min="12024" style="105" width="4.71"/>
    <col collapsed="false" customWidth="true" hidden="true" outlineLevel="0" max="12034" min="12026" style="105" width="13"/>
    <col collapsed="false" customWidth="true" hidden="false" outlineLevel="0" max="12037" min="12035" style="105" width="10.29"/>
    <col collapsed="false" customWidth="true" hidden="false" outlineLevel="0" max="12038" min="12038" style="105" width="11"/>
    <col collapsed="false" customWidth="true" hidden="false" outlineLevel="0" max="12039" min="12039" style="105" width="36"/>
    <col collapsed="false" customWidth="true" hidden="false" outlineLevel="0" max="12040" min="12040" style="105" width="11.57"/>
    <col collapsed="false" customWidth="true" hidden="false" outlineLevel="0" max="12041" min="12041" style="105" width="15.57"/>
    <col collapsed="false" customWidth="true" hidden="false" outlineLevel="0" max="12044" min="12042" style="105" width="16.28"/>
    <col collapsed="false" customWidth="false" hidden="false" outlineLevel="0" max="12274" min="12045" style="105" width="9.14"/>
    <col collapsed="false" customWidth="true" hidden="false" outlineLevel="0" max="12276" min="12275" style="105" width="13.28"/>
    <col collapsed="false" customWidth="true" hidden="false" outlineLevel="0" max="12277" min="12277" style="105" width="8.42"/>
    <col collapsed="false" customWidth="true" hidden="false" outlineLevel="0" max="12278" min="12278" style="105" width="9.71"/>
    <col collapsed="false" customWidth="true" hidden="false" outlineLevel="0" max="12279" min="12279" style="105" width="18.71"/>
    <col collapsed="false" customWidth="true" hidden="false" outlineLevel="0" max="12281" min="12280" style="105" width="4.71"/>
    <col collapsed="false" customWidth="true" hidden="true" outlineLevel="0" max="12290" min="12282" style="105" width="13"/>
    <col collapsed="false" customWidth="true" hidden="false" outlineLevel="0" max="12293" min="12291" style="105" width="10.29"/>
    <col collapsed="false" customWidth="true" hidden="false" outlineLevel="0" max="12294" min="12294" style="105" width="11"/>
    <col collapsed="false" customWidth="true" hidden="false" outlineLevel="0" max="12295" min="12295" style="105" width="36"/>
    <col collapsed="false" customWidth="true" hidden="false" outlineLevel="0" max="12296" min="12296" style="105" width="11.57"/>
    <col collapsed="false" customWidth="true" hidden="false" outlineLevel="0" max="12297" min="12297" style="105" width="15.57"/>
    <col collapsed="false" customWidth="true" hidden="false" outlineLevel="0" max="12300" min="12298" style="105" width="16.28"/>
    <col collapsed="false" customWidth="false" hidden="false" outlineLevel="0" max="12530" min="12301" style="105" width="9.14"/>
    <col collapsed="false" customWidth="true" hidden="false" outlineLevel="0" max="12532" min="12531" style="105" width="13.28"/>
    <col collapsed="false" customWidth="true" hidden="false" outlineLevel="0" max="12533" min="12533" style="105" width="8.42"/>
    <col collapsed="false" customWidth="true" hidden="false" outlineLevel="0" max="12534" min="12534" style="105" width="9.71"/>
    <col collapsed="false" customWidth="true" hidden="false" outlineLevel="0" max="12535" min="12535" style="105" width="18.71"/>
    <col collapsed="false" customWidth="true" hidden="false" outlineLevel="0" max="12537" min="12536" style="105" width="4.71"/>
    <col collapsed="false" customWidth="true" hidden="true" outlineLevel="0" max="12546" min="12538" style="105" width="13"/>
    <col collapsed="false" customWidth="true" hidden="false" outlineLevel="0" max="12549" min="12547" style="105" width="10.29"/>
    <col collapsed="false" customWidth="true" hidden="false" outlineLevel="0" max="12550" min="12550" style="105" width="11"/>
    <col collapsed="false" customWidth="true" hidden="false" outlineLevel="0" max="12551" min="12551" style="105" width="36"/>
    <col collapsed="false" customWidth="true" hidden="false" outlineLevel="0" max="12552" min="12552" style="105" width="11.57"/>
    <col collapsed="false" customWidth="true" hidden="false" outlineLevel="0" max="12553" min="12553" style="105" width="15.57"/>
    <col collapsed="false" customWidth="true" hidden="false" outlineLevel="0" max="12556" min="12554" style="105" width="16.28"/>
    <col collapsed="false" customWidth="false" hidden="false" outlineLevel="0" max="12786" min="12557" style="105" width="9.14"/>
    <col collapsed="false" customWidth="true" hidden="false" outlineLevel="0" max="12788" min="12787" style="105" width="13.28"/>
    <col collapsed="false" customWidth="true" hidden="false" outlineLevel="0" max="12789" min="12789" style="105" width="8.42"/>
    <col collapsed="false" customWidth="true" hidden="false" outlineLevel="0" max="12790" min="12790" style="105" width="9.71"/>
    <col collapsed="false" customWidth="true" hidden="false" outlineLevel="0" max="12791" min="12791" style="105" width="18.71"/>
    <col collapsed="false" customWidth="true" hidden="false" outlineLevel="0" max="12793" min="12792" style="105" width="4.71"/>
    <col collapsed="false" customWidth="true" hidden="true" outlineLevel="0" max="12802" min="12794" style="105" width="13"/>
    <col collapsed="false" customWidth="true" hidden="false" outlineLevel="0" max="12805" min="12803" style="105" width="10.29"/>
    <col collapsed="false" customWidth="true" hidden="false" outlineLevel="0" max="12806" min="12806" style="105" width="11"/>
    <col collapsed="false" customWidth="true" hidden="false" outlineLevel="0" max="12807" min="12807" style="105" width="36"/>
    <col collapsed="false" customWidth="true" hidden="false" outlineLevel="0" max="12808" min="12808" style="105" width="11.57"/>
    <col collapsed="false" customWidth="true" hidden="false" outlineLevel="0" max="12809" min="12809" style="105" width="15.57"/>
    <col collapsed="false" customWidth="true" hidden="false" outlineLevel="0" max="12812" min="12810" style="105" width="16.28"/>
    <col collapsed="false" customWidth="false" hidden="false" outlineLevel="0" max="13042" min="12813" style="105" width="9.14"/>
    <col collapsed="false" customWidth="true" hidden="false" outlineLevel="0" max="13044" min="13043" style="105" width="13.28"/>
    <col collapsed="false" customWidth="true" hidden="false" outlineLevel="0" max="13045" min="13045" style="105" width="8.42"/>
    <col collapsed="false" customWidth="true" hidden="false" outlineLevel="0" max="13046" min="13046" style="105" width="9.71"/>
    <col collapsed="false" customWidth="true" hidden="false" outlineLevel="0" max="13047" min="13047" style="105" width="18.71"/>
    <col collapsed="false" customWidth="true" hidden="false" outlineLevel="0" max="13049" min="13048" style="105" width="4.71"/>
    <col collapsed="false" customWidth="true" hidden="true" outlineLevel="0" max="13058" min="13050" style="105" width="13"/>
    <col collapsed="false" customWidth="true" hidden="false" outlineLevel="0" max="13061" min="13059" style="105" width="10.29"/>
    <col collapsed="false" customWidth="true" hidden="false" outlineLevel="0" max="13062" min="13062" style="105" width="11"/>
    <col collapsed="false" customWidth="true" hidden="false" outlineLevel="0" max="13063" min="13063" style="105" width="36"/>
    <col collapsed="false" customWidth="true" hidden="false" outlineLevel="0" max="13064" min="13064" style="105" width="11.57"/>
    <col collapsed="false" customWidth="true" hidden="false" outlineLevel="0" max="13065" min="13065" style="105" width="15.57"/>
    <col collapsed="false" customWidth="true" hidden="false" outlineLevel="0" max="13068" min="13066" style="105" width="16.28"/>
    <col collapsed="false" customWidth="false" hidden="false" outlineLevel="0" max="13298" min="13069" style="105" width="9.14"/>
    <col collapsed="false" customWidth="true" hidden="false" outlineLevel="0" max="13300" min="13299" style="105" width="13.28"/>
    <col collapsed="false" customWidth="true" hidden="false" outlineLevel="0" max="13301" min="13301" style="105" width="8.42"/>
    <col collapsed="false" customWidth="true" hidden="false" outlineLevel="0" max="13302" min="13302" style="105" width="9.71"/>
    <col collapsed="false" customWidth="true" hidden="false" outlineLevel="0" max="13303" min="13303" style="105" width="18.71"/>
    <col collapsed="false" customWidth="true" hidden="false" outlineLevel="0" max="13305" min="13304" style="105" width="4.71"/>
    <col collapsed="false" customWidth="true" hidden="true" outlineLevel="0" max="13314" min="13306" style="105" width="13"/>
    <col collapsed="false" customWidth="true" hidden="false" outlineLevel="0" max="13317" min="13315" style="105" width="10.29"/>
    <col collapsed="false" customWidth="true" hidden="false" outlineLevel="0" max="13318" min="13318" style="105" width="11"/>
    <col collapsed="false" customWidth="true" hidden="false" outlineLevel="0" max="13319" min="13319" style="105" width="36"/>
    <col collapsed="false" customWidth="true" hidden="false" outlineLevel="0" max="13320" min="13320" style="105" width="11.57"/>
    <col collapsed="false" customWidth="true" hidden="false" outlineLevel="0" max="13321" min="13321" style="105" width="15.57"/>
    <col collapsed="false" customWidth="true" hidden="false" outlineLevel="0" max="13324" min="13322" style="105" width="16.28"/>
    <col collapsed="false" customWidth="false" hidden="false" outlineLevel="0" max="13554" min="13325" style="105" width="9.14"/>
    <col collapsed="false" customWidth="true" hidden="false" outlineLevel="0" max="13556" min="13555" style="105" width="13.28"/>
    <col collapsed="false" customWidth="true" hidden="false" outlineLevel="0" max="13557" min="13557" style="105" width="8.42"/>
    <col collapsed="false" customWidth="true" hidden="false" outlineLevel="0" max="13558" min="13558" style="105" width="9.71"/>
    <col collapsed="false" customWidth="true" hidden="false" outlineLevel="0" max="13559" min="13559" style="105" width="18.71"/>
    <col collapsed="false" customWidth="true" hidden="false" outlineLevel="0" max="13561" min="13560" style="105" width="4.71"/>
    <col collapsed="false" customWidth="true" hidden="true" outlineLevel="0" max="13570" min="13562" style="105" width="13"/>
    <col collapsed="false" customWidth="true" hidden="false" outlineLevel="0" max="13573" min="13571" style="105" width="10.29"/>
    <col collapsed="false" customWidth="true" hidden="false" outlineLevel="0" max="13574" min="13574" style="105" width="11"/>
    <col collapsed="false" customWidth="true" hidden="false" outlineLevel="0" max="13575" min="13575" style="105" width="36"/>
    <col collapsed="false" customWidth="true" hidden="false" outlineLevel="0" max="13576" min="13576" style="105" width="11.57"/>
    <col collapsed="false" customWidth="true" hidden="false" outlineLevel="0" max="13577" min="13577" style="105" width="15.57"/>
    <col collapsed="false" customWidth="true" hidden="false" outlineLevel="0" max="13580" min="13578" style="105" width="16.28"/>
    <col collapsed="false" customWidth="false" hidden="false" outlineLevel="0" max="13810" min="13581" style="105" width="9.14"/>
    <col collapsed="false" customWidth="true" hidden="false" outlineLevel="0" max="13812" min="13811" style="105" width="13.28"/>
    <col collapsed="false" customWidth="true" hidden="false" outlineLevel="0" max="13813" min="13813" style="105" width="8.42"/>
    <col collapsed="false" customWidth="true" hidden="false" outlineLevel="0" max="13814" min="13814" style="105" width="9.71"/>
    <col collapsed="false" customWidth="true" hidden="false" outlineLevel="0" max="13815" min="13815" style="105" width="18.71"/>
    <col collapsed="false" customWidth="true" hidden="false" outlineLevel="0" max="13817" min="13816" style="105" width="4.71"/>
    <col collapsed="false" customWidth="true" hidden="true" outlineLevel="0" max="13826" min="13818" style="105" width="13"/>
    <col collapsed="false" customWidth="true" hidden="false" outlineLevel="0" max="13829" min="13827" style="105" width="10.29"/>
    <col collapsed="false" customWidth="true" hidden="false" outlineLevel="0" max="13830" min="13830" style="105" width="11"/>
    <col collapsed="false" customWidth="true" hidden="false" outlineLevel="0" max="13831" min="13831" style="105" width="36"/>
    <col collapsed="false" customWidth="true" hidden="false" outlineLevel="0" max="13832" min="13832" style="105" width="11.57"/>
    <col collapsed="false" customWidth="true" hidden="false" outlineLevel="0" max="13833" min="13833" style="105" width="15.57"/>
    <col collapsed="false" customWidth="true" hidden="false" outlineLevel="0" max="13836" min="13834" style="105" width="16.28"/>
    <col collapsed="false" customWidth="false" hidden="false" outlineLevel="0" max="14066" min="13837" style="105" width="9.14"/>
    <col collapsed="false" customWidth="true" hidden="false" outlineLevel="0" max="14068" min="14067" style="105" width="13.28"/>
    <col collapsed="false" customWidth="true" hidden="false" outlineLevel="0" max="14069" min="14069" style="105" width="8.42"/>
    <col collapsed="false" customWidth="true" hidden="false" outlineLevel="0" max="14070" min="14070" style="105" width="9.71"/>
    <col collapsed="false" customWidth="true" hidden="false" outlineLevel="0" max="14071" min="14071" style="105" width="18.71"/>
    <col collapsed="false" customWidth="true" hidden="false" outlineLevel="0" max="14073" min="14072" style="105" width="4.71"/>
    <col collapsed="false" customWidth="true" hidden="true" outlineLevel="0" max="14082" min="14074" style="105" width="13"/>
    <col collapsed="false" customWidth="true" hidden="false" outlineLevel="0" max="14085" min="14083" style="105" width="10.29"/>
    <col collapsed="false" customWidth="true" hidden="false" outlineLevel="0" max="14086" min="14086" style="105" width="11"/>
    <col collapsed="false" customWidth="true" hidden="false" outlineLevel="0" max="14087" min="14087" style="105" width="36"/>
    <col collapsed="false" customWidth="true" hidden="false" outlineLevel="0" max="14088" min="14088" style="105" width="11.57"/>
    <col collapsed="false" customWidth="true" hidden="false" outlineLevel="0" max="14089" min="14089" style="105" width="15.57"/>
    <col collapsed="false" customWidth="true" hidden="false" outlineLevel="0" max="14092" min="14090" style="105" width="16.28"/>
    <col collapsed="false" customWidth="false" hidden="false" outlineLevel="0" max="14322" min="14093" style="105" width="9.14"/>
    <col collapsed="false" customWidth="true" hidden="false" outlineLevel="0" max="14324" min="14323" style="105" width="13.28"/>
    <col collapsed="false" customWidth="true" hidden="false" outlineLevel="0" max="14325" min="14325" style="105" width="8.42"/>
    <col collapsed="false" customWidth="true" hidden="false" outlineLevel="0" max="14326" min="14326" style="105" width="9.71"/>
    <col collapsed="false" customWidth="true" hidden="false" outlineLevel="0" max="14327" min="14327" style="105" width="18.71"/>
    <col collapsed="false" customWidth="true" hidden="false" outlineLevel="0" max="14329" min="14328" style="105" width="4.71"/>
    <col collapsed="false" customWidth="true" hidden="true" outlineLevel="0" max="14338" min="14330" style="105" width="13"/>
    <col collapsed="false" customWidth="true" hidden="false" outlineLevel="0" max="14341" min="14339" style="105" width="10.29"/>
    <col collapsed="false" customWidth="true" hidden="false" outlineLevel="0" max="14342" min="14342" style="105" width="11"/>
    <col collapsed="false" customWidth="true" hidden="false" outlineLevel="0" max="14343" min="14343" style="105" width="36"/>
    <col collapsed="false" customWidth="true" hidden="false" outlineLevel="0" max="14344" min="14344" style="105" width="11.57"/>
    <col collapsed="false" customWidth="true" hidden="false" outlineLevel="0" max="14345" min="14345" style="105" width="15.57"/>
    <col collapsed="false" customWidth="true" hidden="false" outlineLevel="0" max="14348" min="14346" style="105" width="16.28"/>
    <col collapsed="false" customWidth="false" hidden="false" outlineLevel="0" max="14578" min="14349" style="105" width="9.14"/>
    <col collapsed="false" customWidth="true" hidden="false" outlineLevel="0" max="14580" min="14579" style="105" width="13.28"/>
    <col collapsed="false" customWidth="true" hidden="false" outlineLevel="0" max="14581" min="14581" style="105" width="8.42"/>
    <col collapsed="false" customWidth="true" hidden="false" outlineLevel="0" max="14582" min="14582" style="105" width="9.71"/>
    <col collapsed="false" customWidth="true" hidden="false" outlineLevel="0" max="14583" min="14583" style="105" width="18.71"/>
    <col collapsed="false" customWidth="true" hidden="false" outlineLevel="0" max="14585" min="14584" style="105" width="4.71"/>
    <col collapsed="false" customWidth="true" hidden="true" outlineLevel="0" max="14594" min="14586" style="105" width="13"/>
    <col collapsed="false" customWidth="true" hidden="false" outlineLevel="0" max="14597" min="14595" style="105" width="10.29"/>
    <col collapsed="false" customWidth="true" hidden="false" outlineLevel="0" max="14598" min="14598" style="105" width="11"/>
    <col collapsed="false" customWidth="true" hidden="false" outlineLevel="0" max="14599" min="14599" style="105" width="36"/>
    <col collapsed="false" customWidth="true" hidden="false" outlineLevel="0" max="14600" min="14600" style="105" width="11.57"/>
    <col collapsed="false" customWidth="true" hidden="false" outlineLevel="0" max="14601" min="14601" style="105" width="15.57"/>
    <col collapsed="false" customWidth="true" hidden="false" outlineLevel="0" max="14604" min="14602" style="105" width="16.28"/>
    <col collapsed="false" customWidth="false" hidden="false" outlineLevel="0" max="14834" min="14605" style="105" width="9.14"/>
    <col collapsed="false" customWidth="true" hidden="false" outlineLevel="0" max="14836" min="14835" style="105" width="13.28"/>
    <col collapsed="false" customWidth="true" hidden="false" outlineLevel="0" max="14837" min="14837" style="105" width="8.42"/>
    <col collapsed="false" customWidth="true" hidden="false" outlineLevel="0" max="14838" min="14838" style="105" width="9.71"/>
    <col collapsed="false" customWidth="true" hidden="false" outlineLevel="0" max="14839" min="14839" style="105" width="18.71"/>
    <col collapsed="false" customWidth="true" hidden="false" outlineLevel="0" max="14841" min="14840" style="105" width="4.71"/>
    <col collapsed="false" customWidth="true" hidden="true" outlineLevel="0" max="14850" min="14842" style="105" width="13"/>
    <col collapsed="false" customWidth="true" hidden="false" outlineLevel="0" max="14853" min="14851" style="105" width="10.29"/>
    <col collapsed="false" customWidth="true" hidden="false" outlineLevel="0" max="14854" min="14854" style="105" width="11"/>
    <col collapsed="false" customWidth="true" hidden="false" outlineLevel="0" max="14855" min="14855" style="105" width="36"/>
    <col collapsed="false" customWidth="true" hidden="false" outlineLevel="0" max="14856" min="14856" style="105" width="11.57"/>
    <col collapsed="false" customWidth="true" hidden="false" outlineLevel="0" max="14857" min="14857" style="105" width="15.57"/>
    <col collapsed="false" customWidth="true" hidden="false" outlineLevel="0" max="14860" min="14858" style="105" width="16.28"/>
    <col collapsed="false" customWidth="false" hidden="false" outlineLevel="0" max="15090" min="14861" style="105" width="9.14"/>
    <col collapsed="false" customWidth="true" hidden="false" outlineLevel="0" max="15092" min="15091" style="105" width="13.28"/>
    <col collapsed="false" customWidth="true" hidden="false" outlineLevel="0" max="15093" min="15093" style="105" width="8.42"/>
    <col collapsed="false" customWidth="true" hidden="false" outlineLevel="0" max="15094" min="15094" style="105" width="9.71"/>
    <col collapsed="false" customWidth="true" hidden="false" outlineLevel="0" max="15095" min="15095" style="105" width="18.71"/>
    <col collapsed="false" customWidth="true" hidden="false" outlineLevel="0" max="15097" min="15096" style="105" width="4.71"/>
    <col collapsed="false" customWidth="true" hidden="true" outlineLevel="0" max="15106" min="15098" style="105" width="13"/>
    <col collapsed="false" customWidth="true" hidden="false" outlineLevel="0" max="15109" min="15107" style="105" width="10.29"/>
    <col collapsed="false" customWidth="true" hidden="false" outlineLevel="0" max="15110" min="15110" style="105" width="11"/>
    <col collapsed="false" customWidth="true" hidden="false" outlineLevel="0" max="15111" min="15111" style="105" width="36"/>
    <col collapsed="false" customWidth="true" hidden="false" outlineLevel="0" max="15112" min="15112" style="105" width="11.57"/>
    <col collapsed="false" customWidth="true" hidden="false" outlineLevel="0" max="15113" min="15113" style="105" width="15.57"/>
    <col collapsed="false" customWidth="true" hidden="false" outlineLevel="0" max="15116" min="15114" style="105" width="16.28"/>
    <col collapsed="false" customWidth="false" hidden="false" outlineLevel="0" max="15346" min="15117" style="105" width="9.14"/>
    <col collapsed="false" customWidth="true" hidden="false" outlineLevel="0" max="15348" min="15347" style="105" width="13.28"/>
    <col collapsed="false" customWidth="true" hidden="false" outlineLevel="0" max="15349" min="15349" style="105" width="8.42"/>
    <col collapsed="false" customWidth="true" hidden="false" outlineLevel="0" max="15350" min="15350" style="105" width="9.71"/>
    <col collapsed="false" customWidth="true" hidden="false" outlineLevel="0" max="15351" min="15351" style="105" width="18.71"/>
    <col collapsed="false" customWidth="true" hidden="false" outlineLevel="0" max="15353" min="15352" style="105" width="4.71"/>
    <col collapsed="false" customWidth="true" hidden="true" outlineLevel="0" max="15362" min="15354" style="105" width="13"/>
    <col collapsed="false" customWidth="true" hidden="false" outlineLevel="0" max="15365" min="15363" style="105" width="10.29"/>
    <col collapsed="false" customWidth="true" hidden="false" outlineLevel="0" max="15366" min="15366" style="105" width="11"/>
    <col collapsed="false" customWidth="true" hidden="false" outlineLevel="0" max="15367" min="15367" style="105" width="36"/>
    <col collapsed="false" customWidth="true" hidden="false" outlineLevel="0" max="15368" min="15368" style="105" width="11.57"/>
    <col collapsed="false" customWidth="true" hidden="false" outlineLevel="0" max="15369" min="15369" style="105" width="15.57"/>
    <col collapsed="false" customWidth="true" hidden="false" outlineLevel="0" max="15372" min="15370" style="105" width="16.28"/>
    <col collapsed="false" customWidth="false" hidden="false" outlineLevel="0" max="15602" min="15373" style="105" width="9.14"/>
    <col collapsed="false" customWidth="true" hidden="false" outlineLevel="0" max="15604" min="15603" style="105" width="13.28"/>
    <col collapsed="false" customWidth="true" hidden="false" outlineLevel="0" max="15605" min="15605" style="105" width="8.42"/>
    <col collapsed="false" customWidth="true" hidden="false" outlineLevel="0" max="15606" min="15606" style="105" width="9.71"/>
    <col collapsed="false" customWidth="true" hidden="false" outlineLevel="0" max="15607" min="15607" style="105" width="18.71"/>
    <col collapsed="false" customWidth="true" hidden="false" outlineLevel="0" max="15609" min="15608" style="105" width="4.71"/>
    <col collapsed="false" customWidth="true" hidden="true" outlineLevel="0" max="15618" min="15610" style="105" width="13"/>
    <col collapsed="false" customWidth="true" hidden="false" outlineLevel="0" max="15621" min="15619" style="105" width="10.29"/>
    <col collapsed="false" customWidth="true" hidden="false" outlineLevel="0" max="15622" min="15622" style="105" width="11"/>
    <col collapsed="false" customWidth="true" hidden="false" outlineLevel="0" max="15623" min="15623" style="105" width="36"/>
    <col collapsed="false" customWidth="true" hidden="false" outlineLevel="0" max="15624" min="15624" style="105" width="11.57"/>
    <col collapsed="false" customWidth="true" hidden="false" outlineLevel="0" max="15625" min="15625" style="105" width="15.57"/>
    <col collapsed="false" customWidth="true" hidden="false" outlineLevel="0" max="15628" min="15626" style="105" width="16.28"/>
    <col collapsed="false" customWidth="false" hidden="false" outlineLevel="0" max="15858" min="15629" style="105" width="9.14"/>
    <col collapsed="false" customWidth="true" hidden="false" outlineLevel="0" max="15860" min="15859" style="105" width="13.28"/>
    <col collapsed="false" customWidth="true" hidden="false" outlineLevel="0" max="15861" min="15861" style="105" width="8.42"/>
    <col collapsed="false" customWidth="true" hidden="false" outlineLevel="0" max="15862" min="15862" style="105" width="9.71"/>
    <col collapsed="false" customWidth="true" hidden="false" outlineLevel="0" max="15863" min="15863" style="105" width="18.71"/>
    <col collapsed="false" customWidth="true" hidden="false" outlineLevel="0" max="15865" min="15864" style="105" width="4.71"/>
    <col collapsed="false" customWidth="true" hidden="true" outlineLevel="0" max="15874" min="15866" style="105" width="13"/>
    <col collapsed="false" customWidth="true" hidden="false" outlineLevel="0" max="15877" min="15875" style="105" width="10.29"/>
    <col collapsed="false" customWidth="true" hidden="false" outlineLevel="0" max="15878" min="15878" style="105" width="11"/>
    <col collapsed="false" customWidth="true" hidden="false" outlineLevel="0" max="15879" min="15879" style="105" width="36"/>
    <col collapsed="false" customWidth="true" hidden="false" outlineLevel="0" max="15880" min="15880" style="105" width="11.57"/>
    <col collapsed="false" customWidth="true" hidden="false" outlineLevel="0" max="15881" min="15881" style="105" width="15.57"/>
    <col collapsed="false" customWidth="true" hidden="false" outlineLevel="0" max="15884" min="15882" style="105" width="16.28"/>
    <col collapsed="false" customWidth="false" hidden="false" outlineLevel="0" max="16114" min="15885" style="105" width="9.14"/>
    <col collapsed="false" customWidth="true" hidden="false" outlineLevel="0" max="16116" min="16115" style="105" width="13.28"/>
    <col collapsed="false" customWidth="true" hidden="false" outlineLevel="0" max="16117" min="16117" style="105" width="8.42"/>
    <col collapsed="false" customWidth="true" hidden="false" outlineLevel="0" max="16118" min="16118" style="105" width="9.71"/>
    <col collapsed="false" customWidth="true" hidden="false" outlineLevel="0" max="16119" min="16119" style="105" width="18.71"/>
    <col collapsed="false" customWidth="true" hidden="false" outlineLevel="0" max="16121" min="16120" style="105" width="4.71"/>
    <col collapsed="false" customWidth="true" hidden="true" outlineLevel="0" max="16130" min="16122" style="105" width="13"/>
    <col collapsed="false" customWidth="true" hidden="false" outlineLevel="0" max="16133" min="16131" style="105" width="10.29"/>
    <col collapsed="false" customWidth="true" hidden="false" outlineLevel="0" max="16134" min="16134" style="105" width="11"/>
    <col collapsed="false" customWidth="true" hidden="false" outlineLevel="0" max="16135" min="16135" style="105" width="36"/>
    <col collapsed="false" customWidth="true" hidden="false" outlineLevel="0" max="16136" min="16136" style="105" width="11.57"/>
    <col collapsed="false" customWidth="true" hidden="false" outlineLevel="0" max="16137" min="16137" style="105" width="15.57"/>
    <col collapsed="false" customWidth="true" hidden="false" outlineLevel="0" max="16140" min="16138" style="105" width="16.28"/>
    <col collapsed="false" customWidth="false" hidden="false" outlineLevel="0" max="16384" min="16141" style="105" width="9.14"/>
  </cols>
  <sheetData>
    <row r="1" customFormat="false" ht="44.25" hidden="false" customHeight="true" outlineLevel="0" collapsed="false">
      <c r="D1" s="104"/>
    </row>
    <row r="2" customFormat="false" ht="21" hidden="false" customHeight="true" outlineLevel="0" collapsed="false">
      <c r="A2" s="106" t="s">
        <v>182</v>
      </c>
      <c r="C2" s="107"/>
      <c r="D2" s="107"/>
      <c r="E2" s="107"/>
      <c r="F2" s="107"/>
    </row>
    <row r="3" customFormat="false" ht="33" hidden="false" customHeight="true" outlineLevel="0" collapsed="false">
      <c r="A3" s="108" t="s">
        <v>183</v>
      </c>
      <c r="B3" s="108" t="s">
        <v>184</v>
      </c>
      <c r="C3" s="109" t="s">
        <v>185</v>
      </c>
      <c r="D3" s="109"/>
      <c r="E3" s="108" t="s">
        <v>186</v>
      </c>
      <c r="F3" s="108" t="s">
        <v>187</v>
      </c>
    </row>
    <row r="4" customFormat="false" ht="15" hidden="false" customHeight="true" outlineLevel="0" collapsed="false">
      <c r="A4" s="110" t="s">
        <v>188</v>
      </c>
      <c r="B4" s="110"/>
      <c r="C4" s="110"/>
      <c r="D4" s="110"/>
      <c r="E4" s="110"/>
      <c r="F4" s="110"/>
    </row>
    <row r="5" customFormat="false" ht="39.75" hidden="false" customHeight="true" outlineLevel="0" collapsed="false">
      <c r="A5" s="111" t="n">
        <v>1</v>
      </c>
      <c r="B5" s="111" t="s">
        <v>72</v>
      </c>
      <c r="C5" s="112"/>
      <c r="D5" s="113" t="s">
        <v>189</v>
      </c>
      <c r="E5" s="114" t="s">
        <v>73</v>
      </c>
      <c r="F5" s="114" t="n">
        <f aca="false">4*'HUNG dies'!$G$6</f>
        <v>4</v>
      </c>
    </row>
    <row r="6" customFormat="false" ht="39.75" hidden="false" customHeight="true" outlineLevel="0" collapsed="false">
      <c r="A6" s="111" t="n">
        <v>2</v>
      </c>
      <c r="B6" s="111" t="s">
        <v>75</v>
      </c>
      <c r="C6" s="112"/>
      <c r="D6" s="113" t="s">
        <v>190</v>
      </c>
      <c r="E6" s="114" t="s">
        <v>73</v>
      </c>
      <c r="F6" s="114" t="n">
        <f aca="false">4*'HUNG dies'!$G$6</f>
        <v>4</v>
      </c>
    </row>
    <row r="7" customFormat="false" ht="39.75" hidden="false" customHeight="true" outlineLevel="0" collapsed="false">
      <c r="A7" s="111" t="n">
        <v>3</v>
      </c>
      <c r="B7" s="111" t="s">
        <v>77</v>
      </c>
      <c r="C7" s="112"/>
      <c r="D7" s="113" t="s">
        <v>191</v>
      </c>
      <c r="E7" s="114" t="s">
        <v>73</v>
      </c>
      <c r="F7" s="114" t="n">
        <f aca="false">2*'HUNG dies'!$G$6</f>
        <v>2</v>
      </c>
    </row>
    <row r="8" customFormat="false" ht="39.75" hidden="false" customHeight="true" outlineLevel="0" collapsed="false">
      <c r="A8" s="111" t="n">
        <v>4</v>
      </c>
      <c r="B8" s="111" t="s">
        <v>79</v>
      </c>
      <c r="C8" s="112"/>
      <c r="D8" s="113" t="s">
        <v>192</v>
      </c>
      <c r="E8" s="114" t="s">
        <v>73</v>
      </c>
      <c r="F8" s="114" t="n">
        <f aca="false">4*'HUNG dies'!$G$6</f>
        <v>4</v>
      </c>
    </row>
    <row r="9" customFormat="false" ht="39.75" hidden="false" customHeight="true" outlineLevel="0" collapsed="false">
      <c r="A9" s="111" t="n">
        <v>5</v>
      </c>
      <c r="B9" s="111" t="s">
        <v>81</v>
      </c>
      <c r="C9" s="112"/>
      <c r="D9" s="113" t="s">
        <v>193</v>
      </c>
      <c r="E9" s="114" t="s">
        <v>82</v>
      </c>
      <c r="F9" s="115" t="n">
        <f aca="false">('FSA CORD calculate '!$I$16*2)/1000</f>
        <v>8.327</v>
      </c>
    </row>
    <row r="10" customFormat="false" ht="39.75" hidden="false" customHeight="true" outlineLevel="0" collapsed="false">
      <c r="A10" s="111" t="n">
        <v>6</v>
      </c>
      <c r="B10" s="111" t="s">
        <v>84</v>
      </c>
      <c r="C10" s="112"/>
      <c r="D10" s="113" t="s">
        <v>194</v>
      </c>
      <c r="E10" s="114" t="s">
        <v>73</v>
      </c>
      <c r="F10" s="114" t="n">
        <f aca="false">8*'HUNG dies'!$G$6</f>
        <v>8</v>
      </c>
    </row>
    <row r="11" customFormat="false" ht="39.75" hidden="false" customHeight="true" outlineLevel="0" collapsed="false">
      <c r="A11" s="111" t="n">
        <v>7</v>
      </c>
      <c r="B11" s="111" t="s">
        <v>86</v>
      </c>
      <c r="C11" s="112"/>
      <c r="D11" s="113" t="s">
        <v>195</v>
      </c>
      <c r="E11" s="114" t="s">
        <v>87</v>
      </c>
      <c r="F11" s="114" t="n">
        <f aca="false">2*'HUNG dies'!$G$6</f>
        <v>2</v>
      </c>
    </row>
    <row r="12" customFormat="false" ht="39.75" hidden="false" customHeight="true" outlineLevel="0" collapsed="false">
      <c r="A12" s="111" t="n">
        <v>8</v>
      </c>
      <c r="B12" s="111" t="s">
        <v>89</v>
      </c>
      <c r="C12" s="112"/>
      <c r="D12" s="113" t="s">
        <v>196</v>
      </c>
      <c r="E12" s="114" t="s">
        <v>73</v>
      </c>
      <c r="F12" s="114" t="n">
        <f aca="false">2*'HUNG dies'!$G$6</f>
        <v>2</v>
      </c>
    </row>
    <row r="13" customFormat="false" ht="39.75" hidden="false" customHeight="true" outlineLevel="0" collapsed="false">
      <c r="A13" s="111" t="n">
        <v>9</v>
      </c>
      <c r="B13" s="116" t="s">
        <v>116</v>
      </c>
      <c r="C13" s="112"/>
      <c r="D13" s="113" t="s">
        <v>197</v>
      </c>
      <c r="E13" s="114" t="s">
        <v>82</v>
      </c>
      <c r="F13" s="114" t="n">
        <f aca="false">ROUNDUP(('HUNG dies'!$H$17*4)/1000,0)*'HUNG dies'!$G$6</f>
        <v>12</v>
      </c>
    </row>
    <row r="14" customFormat="false" ht="39.75" hidden="false" customHeight="true" outlineLevel="0" collapsed="false">
      <c r="A14" s="111" t="n">
        <v>10</v>
      </c>
      <c r="B14" s="116" t="s">
        <v>114</v>
      </c>
      <c r="C14" s="112"/>
      <c r="D14" s="113" t="s">
        <v>198</v>
      </c>
      <c r="E14" s="114" t="s">
        <v>82</v>
      </c>
      <c r="F14" s="114" t="n">
        <f aca="false">ROUNDUP((('HUNG dies'!$H$17*4)+('HUNG dies'!$H$11*1)+('HUNG dies'!$H$16*1)+('HUNG dies'!$H$15*2))/1000,0)*'HUNG dies'!$G$6</f>
        <v>16</v>
      </c>
    </row>
    <row r="15" customFormat="false" ht="39.75" hidden="false" customHeight="true" outlineLevel="0" collapsed="false">
      <c r="A15" s="111" t="n">
        <v>11</v>
      </c>
      <c r="B15" s="116" t="s">
        <v>91</v>
      </c>
      <c r="C15" s="112"/>
      <c r="D15" s="113" t="s">
        <v>199</v>
      </c>
      <c r="E15" s="114" t="s">
        <v>87</v>
      </c>
      <c r="F15" s="114" t="n">
        <f aca="false">1*'HUNG dies'!$G$6</f>
        <v>1</v>
      </c>
    </row>
    <row r="16" customFormat="false" ht="39.75" hidden="false" customHeight="true" outlineLevel="0" collapsed="false">
      <c r="A16" s="111" t="n">
        <v>12</v>
      </c>
      <c r="B16" s="116" t="s">
        <v>93</v>
      </c>
      <c r="C16" s="112"/>
      <c r="D16" s="113" t="s">
        <v>200</v>
      </c>
      <c r="E16" s="114" t="s">
        <v>87</v>
      </c>
      <c r="F16" s="114" t="n">
        <f aca="false">1*'HUNG dies'!$G$6</f>
        <v>1</v>
      </c>
    </row>
    <row r="17" customFormat="false" ht="39.75" hidden="false" customHeight="true" outlineLevel="0" collapsed="false">
      <c r="A17" s="111" t="n">
        <v>13</v>
      </c>
      <c r="B17" s="116" t="s">
        <v>104</v>
      </c>
      <c r="C17" s="117"/>
      <c r="D17" s="113" t="s">
        <v>201</v>
      </c>
      <c r="E17" s="114" t="s">
        <v>73</v>
      </c>
      <c r="F17" s="114" t="n">
        <f aca="false">4*'HUNG dies'!$G$6</f>
        <v>4</v>
      </c>
    </row>
    <row r="18" customFormat="false" ht="39.75" hidden="false" customHeight="true" outlineLevel="0" collapsed="false">
      <c r="A18" s="111" t="n">
        <v>14</v>
      </c>
      <c r="B18" s="116" t="s">
        <v>106</v>
      </c>
      <c r="C18" s="117"/>
      <c r="D18" s="113" t="s">
        <v>202</v>
      </c>
      <c r="E18" s="114" t="s">
        <v>73</v>
      </c>
      <c r="F18" s="114" t="n">
        <f aca="false">32*'HUNG dies'!$G$6</f>
        <v>32</v>
      </c>
    </row>
    <row r="19" customFormat="false" ht="39.75" hidden="false" customHeight="true" outlineLevel="0" collapsed="false">
      <c r="A19" s="111" t="n">
        <v>15</v>
      </c>
      <c r="B19" s="116" t="s">
        <v>108</v>
      </c>
      <c r="C19" s="117"/>
      <c r="D19" s="113" t="s">
        <v>203</v>
      </c>
      <c r="E19" s="114" t="s">
        <v>73</v>
      </c>
      <c r="F19" s="114" t="n">
        <f aca="false">8*'HUNG dies'!$G$6</f>
        <v>8</v>
      </c>
    </row>
    <row r="20" customFormat="false" ht="39.75" hidden="false" customHeight="true" outlineLevel="0" collapsed="false">
      <c r="A20" s="111" t="n">
        <v>16</v>
      </c>
      <c r="B20" s="116" t="s">
        <v>110</v>
      </c>
      <c r="C20" s="117"/>
      <c r="D20" s="113" t="s">
        <v>204</v>
      </c>
      <c r="E20" s="114" t="s">
        <v>73</v>
      </c>
      <c r="F20" s="114" t="n">
        <f aca="false">8*'HUNG dies'!$G$6</f>
        <v>8</v>
      </c>
    </row>
    <row r="21" customFormat="false" ht="39.75" hidden="false" customHeight="true" outlineLevel="0" collapsed="false">
      <c r="A21" s="111" t="n">
        <v>17</v>
      </c>
      <c r="B21" s="116" t="s">
        <v>112</v>
      </c>
      <c r="C21" s="117"/>
      <c r="D21" s="113" t="s">
        <v>205</v>
      </c>
      <c r="E21" s="114" t="s">
        <v>73</v>
      </c>
      <c r="F21" s="114" t="n">
        <f aca="false">8*'HUNG dies'!$G$6</f>
        <v>8</v>
      </c>
    </row>
    <row r="22" customFormat="false" ht="39.75" hidden="false" customHeight="true" outlineLevel="0" collapsed="false">
      <c r="A22" s="111" t="n">
        <v>18</v>
      </c>
      <c r="B22" s="116" t="s">
        <v>95</v>
      </c>
      <c r="C22" s="117"/>
      <c r="D22" s="113" t="s">
        <v>94</v>
      </c>
      <c r="E22" s="114" t="s">
        <v>73</v>
      </c>
      <c r="F22" s="114" t="n">
        <f aca="false">2*'HUNG dies'!$G$6</f>
        <v>2</v>
      </c>
    </row>
    <row r="23" customFormat="false" ht="15" hidden="false" customHeight="true" outlineLevel="0" collapsed="false">
      <c r="A23" s="110" t="s">
        <v>206</v>
      </c>
      <c r="B23" s="110"/>
      <c r="C23" s="110"/>
      <c r="D23" s="110"/>
      <c r="E23" s="110"/>
      <c r="F23" s="110"/>
    </row>
    <row r="24" customFormat="false" ht="39.75" hidden="false" customHeight="true" outlineLevel="0" collapsed="false">
      <c r="A24" s="111" t="n">
        <v>19</v>
      </c>
      <c r="B24" s="116" t="s">
        <v>118</v>
      </c>
      <c r="C24" s="117"/>
      <c r="D24" s="113" t="s">
        <v>207</v>
      </c>
      <c r="E24" s="114" t="s">
        <v>82</v>
      </c>
      <c r="F24" s="114" t="n">
        <f aca="false">ROUNDUP((((('HUNG dies'!$H$12*'HUNG dies'!$F$12)+('HUNG dies'!$H$13*'HUNG dies'!$F$13))*2)/1000)*'HUNG dies'!$G$6,0)</f>
        <v>19</v>
      </c>
    </row>
    <row r="25" customFormat="false" ht="15" hidden="false" customHeight="true" outlineLevel="0" collapsed="false">
      <c r="A25" s="110" t="s">
        <v>208</v>
      </c>
      <c r="B25" s="110"/>
      <c r="C25" s="110"/>
      <c r="D25" s="110"/>
      <c r="E25" s="110"/>
      <c r="F25" s="110"/>
    </row>
    <row r="26" customFormat="false" ht="39.75" hidden="false" customHeight="true" outlineLevel="0" collapsed="false">
      <c r="A26" s="111" t="n">
        <v>19</v>
      </c>
      <c r="B26" s="116" t="s">
        <v>118</v>
      </c>
      <c r="C26" s="117"/>
      <c r="D26" s="113" t="s">
        <v>207</v>
      </c>
      <c r="E26" s="114" t="s">
        <v>82</v>
      </c>
      <c r="F26" s="114" t="n">
        <f aca="false">ROUNDUP(((('HUNG dies'!$H$12*'HUNG dies'!$F$12)+('HUNG dies'!$H$13*'HUNG dies'!$F$13))/1000)*'HUNG dies'!$G$6,0)</f>
        <v>10</v>
      </c>
    </row>
    <row r="27" customFormat="false" ht="39.75" hidden="false" customHeight="true" outlineLevel="0" collapsed="false">
      <c r="A27" s="111" t="n">
        <v>20</v>
      </c>
      <c r="B27" s="116" t="s">
        <v>121</v>
      </c>
      <c r="C27" s="117"/>
      <c r="D27" s="113" t="s">
        <v>209</v>
      </c>
      <c r="E27" s="114" t="s">
        <v>82</v>
      </c>
      <c r="F27" s="114" t="n">
        <f aca="false">ROUNDUP(((('HUNG dies'!$H$12*'HUNG dies'!$F$12)+('HUNG dies'!$H$13*'HUNG dies'!$F$13))/1000)*'HUNG dies'!$G$6,0)</f>
        <v>10</v>
      </c>
    </row>
    <row r="28" customFormat="false" ht="15" hidden="false" customHeight="true" outlineLevel="0" collapsed="false">
      <c r="A28" s="110" t="s">
        <v>210</v>
      </c>
      <c r="B28" s="110"/>
      <c r="C28" s="110"/>
      <c r="D28" s="110"/>
      <c r="E28" s="110"/>
      <c r="F28" s="110"/>
    </row>
    <row r="29" customFormat="false" ht="39.75" hidden="false" customHeight="true" outlineLevel="0" collapsed="false">
      <c r="A29" s="118" t="n">
        <v>1</v>
      </c>
      <c r="B29" s="111" t="s">
        <v>211</v>
      </c>
      <c r="C29" s="119"/>
      <c r="D29" s="112" t="s">
        <v>212</v>
      </c>
      <c r="E29" s="114" t="s">
        <v>73</v>
      </c>
      <c r="F29" s="114" t="n">
        <f aca="false">1*'HUNG dies'!$G$6</f>
        <v>1</v>
      </c>
    </row>
    <row r="30" customFormat="false" ht="39.75" hidden="false" customHeight="true" outlineLevel="0" collapsed="false">
      <c r="A30" s="118"/>
      <c r="B30" s="111" t="s">
        <v>213</v>
      </c>
      <c r="C30" s="112"/>
      <c r="D30" s="112" t="s">
        <v>214</v>
      </c>
      <c r="E30" s="114" t="s">
        <v>73</v>
      </c>
      <c r="F30" s="114" t="n">
        <f aca="false">1*'HUNG dies'!$G$6</f>
        <v>1</v>
      </c>
    </row>
    <row r="31" customFormat="false" ht="39.75" hidden="false" customHeight="true" outlineLevel="0" collapsed="false">
      <c r="A31" s="118"/>
      <c r="B31" s="111" t="s">
        <v>215</v>
      </c>
      <c r="C31" s="112"/>
      <c r="D31" s="113" t="s">
        <v>216</v>
      </c>
      <c r="E31" s="114" t="s">
        <v>73</v>
      </c>
      <c r="F31" s="114" t="n">
        <f aca="false">1*'HUNG dies'!$G$6</f>
        <v>1</v>
      </c>
    </row>
    <row r="32" customFormat="false" ht="39.75" hidden="false" customHeight="true" outlineLevel="0" collapsed="false">
      <c r="A32" s="118"/>
      <c r="B32" s="111" t="s">
        <v>217</v>
      </c>
      <c r="C32" s="112"/>
      <c r="D32" s="112" t="s">
        <v>218</v>
      </c>
      <c r="E32" s="114" t="s">
        <v>73</v>
      </c>
      <c r="F32" s="114" t="n">
        <f aca="false">1*'HUNG dies'!$G$6</f>
        <v>1</v>
      </c>
    </row>
    <row r="33" customFormat="false" ht="39.75" hidden="false" customHeight="true" outlineLevel="0" collapsed="false">
      <c r="A33" s="118"/>
      <c r="B33" s="111" t="s">
        <v>219</v>
      </c>
      <c r="C33" s="112"/>
      <c r="D33" s="112" t="s">
        <v>220</v>
      </c>
      <c r="E33" s="114" t="s">
        <v>73</v>
      </c>
      <c r="F33" s="114" t="n">
        <f aca="false">1*'HUNG dies'!$G$6</f>
        <v>1</v>
      </c>
    </row>
    <row r="34" customFormat="false" ht="30" hidden="false" customHeight="true" outlineLevel="0" collapsed="false">
      <c r="A34" s="111" t="n">
        <v>2</v>
      </c>
      <c r="B34" s="116" t="s">
        <v>99</v>
      </c>
      <c r="C34" s="112"/>
      <c r="D34" s="113" t="s">
        <v>221</v>
      </c>
      <c r="E34" s="114" t="s">
        <v>73</v>
      </c>
      <c r="F34" s="114" t="n">
        <f aca="false">1*'HUNG dies'!$G$6</f>
        <v>1</v>
      </c>
    </row>
    <row r="35" customFormat="false" ht="30" hidden="false" customHeight="true" outlineLevel="0" collapsed="false">
      <c r="A35" s="111" t="n">
        <v>3</v>
      </c>
      <c r="B35" s="116" t="s">
        <v>101</v>
      </c>
      <c r="C35" s="112"/>
      <c r="D35" s="113" t="s">
        <v>222</v>
      </c>
      <c r="E35" s="114" t="s">
        <v>73</v>
      </c>
      <c r="F35" s="114" t="n">
        <f aca="false">1*'HUNG dies'!$G$6</f>
        <v>1</v>
      </c>
    </row>
  </sheetData>
  <mergeCells count="6">
    <mergeCell ref="C3:D3"/>
    <mergeCell ref="A4:F4"/>
    <mergeCell ref="A23:F23"/>
    <mergeCell ref="A25:F25"/>
    <mergeCell ref="A28:F28"/>
    <mergeCell ref="A29:A33"/>
  </mergeCells>
  <printOptions headings="false" gridLines="false" gridLinesSet="true" horizontalCentered="false" verticalCentered="false"/>
  <pageMargins left="0.315277777777778" right="0.118055555555556" top="0.196527777777778" bottom="0" header="0.511811023622047" footer="0.511811023622047"/>
  <pageSetup paperSize="9" scale="13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4"/>
  <sheetViews>
    <sheetView showFormulas="false" showGridLines="true" showRowColHeaders="true" showZeros="true" rightToLeft="false" tabSelected="false" showOutlineSymbols="true" defaultGridColor="true" view="normal" topLeftCell="A1" colorId="64" zoomScale="160" zoomScaleNormal="160" zoomScalePageLayoutView="100" workbookViewId="0">
      <selection pane="topLeft" activeCell="J32" activeCellId="0" sqref="J32"/>
    </sheetView>
  </sheetViews>
  <sheetFormatPr defaultColWidth="8.59375" defaultRowHeight="12.75" zeroHeight="false" outlineLevelRow="0" outlineLevelCol="0"/>
  <cols>
    <col collapsed="false" customWidth="true" hidden="false" outlineLevel="0" max="1" min="1" style="59" width="11.71"/>
    <col collapsed="false" customWidth="true" hidden="true" outlineLevel="0" max="2" min="2" style="59" width="13"/>
    <col collapsed="false" customWidth="true" hidden="true" outlineLevel="0" max="3" min="3" style="59" width="12.14"/>
    <col collapsed="false" customWidth="true" hidden="true" outlineLevel="0" max="4" min="4" style="59" width="12"/>
    <col collapsed="false" customWidth="true" hidden="true" outlineLevel="0" max="5" min="5" style="1" width="14.28"/>
    <col collapsed="false" customWidth="true" hidden="true" outlineLevel="0" max="6" min="6" style="1" width="14.71"/>
    <col collapsed="false" customWidth="true" hidden="true" outlineLevel="0" max="7" min="7" style="59" width="13.86"/>
    <col collapsed="false" customWidth="true" hidden="false" outlineLevel="0" max="8" min="8" style="59" width="8.71"/>
    <col collapsed="false" customWidth="true" hidden="false" outlineLevel="0" max="9" min="9" style="59" width="9.86"/>
    <col collapsed="false" customWidth="true" hidden="false" outlineLevel="0" max="10" min="10" style="59" width="10.42"/>
    <col collapsed="false" customWidth="true" hidden="false" outlineLevel="0" max="11" min="11" style="59" width="10.86"/>
    <col collapsed="false" customWidth="true" hidden="true" outlineLevel="0" max="12" min="12" style="120" width="11.29"/>
    <col collapsed="false" customWidth="true" hidden="true" outlineLevel="0" max="13" min="13" style="1" width="13"/>
  </cols>
  <sheetData>
    <row r="1" customFormat="false" ht="30.75" hidden="false" customHeight="true" outlineLevel="0" collapsed="false">
      <c r="B1" s="121" t="s">
        <v>223</v>
      </c>
    </row>
    <row r="2" customFormat="false" ht="36" hidden="false" customHeight="true" outlineLevel="0" collapsed="false">
      <c r="A2" s="122" t="s">
        <v>224</v>
      </c>
      <c r="B2" s="123" t="s">
        <v>225</v>
      </c>
      <c r="C2" s="123" t="s">
        <v>226</v>
      </c>
      <c r="D2" s="122" t="s">
        <v>227</v>
      </c>
      <c r="E2" s="122" t="s">
        <v>228</v>
      </c>
      <c r="F2" s="122" t="s">
        <v>229</v>
      </c>
      <c r="G2" s="122" t="s">
        <v>230</v>
      </c>
      <c r="H2" s="122" t="s">
        <v>231</v>
      </c>
      <c r="I2" s="122" t="s">
        <v>232</v>
      </c>
      <c r="J2" s="124" t="s">
        <v>233</v>
      </c>
    </row>
    <row r="3" customFormat="false" ht="12.75" hidden="false" customHeight="false" outlineLevel="0" collapsed="false">
      <c r="A3" s="125" t="n">
        <v>1025</v>
      </c>
      <c r="B3" s="126" t="n">
        <f aca="false">EVOALU[[#This Row],[Overall Frame Height (OFH)]]-12-17</f>
        <v>996</v>
      </c>
      <c r="C3" s="126" t="n">
        <f aca="false">EVOALU[[#This Row],[Internal Frame Height (IFH)
Dim "A"]]-15-2</f>
        <v>979</v>
      </c>
      <c r="D3" s="127" t="n">
        <f aca="false">(EVOALU[[#This Row],[Internal Frame Height (IFH)
Dim "A"]])-150-38</f>
        <v>808</v>
      </c>
      <c r="E3" s="127" t="n">
        <f aca="false">(EVOALU[[#This Row],[Internal Frame Height (IFH)
Dim "A"]]/2)-137-38</f>
        <v>323</v>
      </c>
      <c r="F3" s="127" t="n">
        <f aca="false">EVOALU[[#This Row],[Overall Sash Height (OSH)]]/2+13</f>
        <v>502.5</v>
      </c>
      <c r="G3" s="127" t="n">
        <v>108</v>
      </c>
      <c r="H3" s="128" t="n">
        <f aca="false">G3+E3+D3</f>
        <v>1239</v>
      </c>
      <c r="I3" s="127" t="n">
        <f aca="false">EVOALU[[#This Row],[Cord Length (CL)]]+65+65</f>
        <v>1369</v>
      </c>
      <c r="J3" s="129" t="n">
        <f aca="false">(EVOALU[[#This Row],[Cord Length (CL)]]-EVOALU[[#This Row],[Pulley (PC)]])/2</f>
        <v>565.5</v>
      </c>
      <c r="L3" s="130" t="n">
        <f aca="false">EVOALU[[#This Row],[Internal Frame Height (IFH)
Dim "A"]]*1.5</f>
        <v>1494</v>
      </c>
      <c r="M3" s="1" t="n">
        <f aca="false">L3-245+65+65</f>
        <v>1379</v>
      </c>
    </row>
    <row r="4" customFormat="false" ht="12.75" hidden="false" customHeight="false" outlineLevel="0" collapsed="false">
      <c r="A4" s="125" t="n">
        <v>1200</v>
      </c>
      <c r="B4" s="126" t="n">
        <f aca="false">EVOALU[[#This Row],[Overall Frame Height (OFH)]]-12-17</f>
        <v>1171</v>
      </c>
      <c r="C4" s="126" t="n">
        <f aca="false">EVOALU[[#This Row],[Internal Frame Height (IFH)
Dim "A"]]-15-2</f>
        <v>1154</v>
      </c>
      <c r="D4" s="127" t="n">
        <f aca="false">(EVOALU[[#This Row],[Internal Frame Height (IFH)
Dim "A"]])-150-38</f>
        <v>983</v>
      </c>
      <c r="E4" s="127" t="n">
        <f aca="false">(EVOALU[[#This Row],[Internal Frame Height (IFH)
Dim "A"]]/2)-137-38</f>
        <v>410.5</v>
      </c>
      <c r="F4" s="127" t="n">
        <f aca="false">EVOALU[[#This Row],[Overall Sash Height (OSH)]]/2+13</f>
        <v>590</v>
      </c>
      <c r="G4" s="127" t="n">
        <v>108</v>
      </c>
      <c r="H4" s="128" t="n">
        <f aca="false">G4+E4+D4</f>
        <v>1501.5</v>
      </c>
      <c r="I4" s="127" t="n">
        <f aca="false">EVOALU[[#This Row],[Cord Length (CL)]]+65+65</f>
        <v>1631.5</v>
      </c>
      <c r="J4" s="129" t="n">
        <f aca="false">(EVOALU[[#This Row],[Cord Length (CL)]]-EVOALU[[#This Row],[Pulley (PC)]])/2</f>
        <v>696.75</v>
      </c>
      <c r="L4" s="130" t="n">
        <f aca="false">EVOALU[[#This Row],[Internal Frame Height (IFH)
Dim "A"]]*1.5</f>
        <v>1756.5</v>
      </c>
      <c r="M4" s="1" t="n">
        <f aca="false">L4-245+65+65</f>
        <v>1641.5</v>
      </c>
    </row>
    <row r="5" customFormat="false" ht="12.75" hidden="false" customHeight="false" outlineLevel="0" collapsed="false">
      <c r="A5" s="125" t="n">
        <v>1300</v>
      </c>
      <c r="B5" s="126" t="n">
        <f aca="false">EVOALU[[#This Row],[Overall Frame Height (OFH)]]-12-17</f>
        <v>1271</v>
      </c>
      <c r="C5" s="126" t="n">
        <f aca="false">EVOALU[[#This Row],[Internal Frame Height (IFH)
Dim "A"]]-15-2</f>
        <v>1254</v>
      </c>
      <c r="D5" s="127" t="n">
        <f aca="false">(EVOALU[[#This Row],[Internal Frame Height (IFH)
Dim "A"]])-150-38</f>
        <v>1083</v>
      </c>
      <c r="E5" s="127" t="n">
        <f aca="false">(EVOALU[[#This Row],[Internal Frame Height (IFH)
Dim "A"]]/2)-137-38</f>
        <v>460.5</v>
      </c>
      <c r="F5" s="127" t="n">
        <f aca="false">EVOALU[[#This Row],[Overall Sash Height (OSH)]]/2+13</f>
        <v>640</v>
      </c>
      <c r="G5" s="127" t="n">
        <v>108</v>
      </c>
      <c r="H5" s="128" t="n">
        <f aca="false">G5+E5+D5</f>
        <v>1651.5</v>
      </c>
      <c r="I5" s="127" t="n">
        <f aca="false">EVOALU[[#This Row],[Cord Length (CL)]]+65+65</f>
        <v>1781.5</v>
      </c>
      <c r="J5" s="129" t="n">
        <f aca="false">(EVOALU[[#This Row],[Cord Length (CL)]]-EVOALU[[#This Row],[Pulley (PC)]])/2</f>
        <v>771.75</v>
      </c>
      <c r="L5" s="130" t="n">
        <f aca="false">EVOALU[[#This Row],[Internal Frame Height (IFH)
Dim "A"]]*1.5</f>
        <v>1906.5</v>
      </c>
      <c r="M5" s="1" t="n">
        <f aca="false">L5-245+65+65</f>
        <v>1791.5</v>
      </c>
    </row>
    <row r="6" customFormat="false" ht="12.75" hidden="false" customHeight="false" outlineLevel="0" collapsed="false">
      <c r="A6" s="125" t="n">
        <v>1400</v>
      </c>
      <c r="B6" s="126" t="n">
        <f aca="false">EVOALU[[#This Row],[Overall Frame Height (OFH)]]-12-17</f>
        <v>1371</v>
      </c>
      <c r="C6" s="126" t="n">
        <f aca="false">EVOALU[[#This Row],[Internal Frame Height (IFH)
Dim "A"]]-15-2</f>
        <v>1354</v>
      </c>
      <c r="D6" s="127" t="n">
        <f aca="false">(EVOALU[[#This Row],[Internal Frame Height (IFH)
Dim "A"]])-150-38</f>
        <v>1183</v>
      </c>
      <c r="E6" s="127" t="n">
        <f aca="false">(EVOALU[[#This Row],[Internal Frame Height (IFH)
Dim "A"]]/2)-137-38</f>
        <v>510.5</v>
      </c>
      <c r="F6" s="127" t="n">
        <f aca="false">EVOALU[[#This Row],[Overall Sash Height (OSH)]]/2+13</f>
        <v>690</v>
      </c>
      <c r="G6" s="127" t="n">
        <v>108</v>
      </c>
      <c r="H6" s="128" t="n">
        <f aca="false">G6+E6+D6</f>
        <v>1801.5</v>
      </c>
      <c r="I6" s="127" t="n">
        <f aca="false">EVOALU[[#This Row],[Cord Length (CL)]]+65+65</f>
        <v>1931.5</v>
      </c>
      <c r="J6" s="129" t="n">
        <f aca="false">(EVOALU[[#This Row],[Cord Length (CL)]]-EVOALU[[#This Row],[Pulley (PC)]])/2</f>
        <v>846.75</v>
      </c>
      <c r="L6" s="130" t="n">
        <f aca="false">EVOALU[[#This Row],[Internal Frame Height (IFH)
Dim "A"]]*1.5</f>
        <v>2056.5</v>
      </c>
      <c r="M6" s="1" t="n">
        <f aca="false">L6-245+65+65</f>
        <v>1941.5</v>
      </c>
    </row>
    <row r="7" customFormat="false" ht="12.75" hidden="false" customHeight="false" outlineLevel="0" collapsed="false">
      <c r="A7" s="125" t="n">
        <v>1500</v>
      </c>
      <c r="B7" s="126" t="n">
        <f aca="false">EVOALU[[#This Row],[Overall Frame Height (OFH)]]-12-17</f>
        <v>1471</v>
      </c>
      <c r="C7" s="126" t="n">
        <f aca="false">EVOALU[[#This Row],[Internal Frame Height (IFH)
Dim "A"]]-15-2</f>
        <v>1454</v>
      </c>
      <c r="D7" s="127" t="n">
        <f aca="false">(EVOALU[[#This Row],[Internal Frame Height (IFH)
Dim "A"]])-150-38</f>
        <v>1283</v>
      </c>
      <c r="E7" s="127" t="n">
        <f aca="false">(EVOALU[[#This Row],[Internal Frame Height (IFH)
Dim "A"]]/2)-137-38</f>
        <v>560.5</v>
      </c>
      <c r="F7" s="127" t="n">
        <f aca="false">EVOALU[[#This Row],[Overall Sash Height (OSH)]]/2+13</f>
        <v>740</v>
      </c>
      <c r="G7" s="127" t="n">
        <v>108</v>
      </c>
      <c r="H7" s="128" t="n">
        <f aca="false">G7+E7+D7</f>
        <v>1951.5</v>
      </c>
      <c r="I7" s="127" t="n">
        <f aca="false">EVOALU[[#This Row],[Cord Length (CL)]]+65+65</f>
        <v>2081.5</v>
      </c>
      <c r="J7" s="129" t="n">
        <f aca="false">(EVOALU[[#This Row],[Cord Length (CL)]]-EVOALU[[#This Row],[Pulley (PC)]])/2</f>
        <v>921.75</v>
      </c>
      <c r="L7" s="130" t="n">
        <f aca="false">EVOALU[[#This Row],[Internal Frame Height (IFH)
Dim "A"]]*1.5</f>
        <v>2206.5</v>
      </c>
      <c r="M7" s="1" t="n">
        <f aca="false">L7-245+65+65</f>
        <v>2091.5</v>
      </c>
    </row>
    <row r="8" customFormat="false" ht="12.75" hidden="false" customHeight="false" outlineLevel="0" collapsed="false">
      <c r="A8" s="125" t="n">
        <v>1600</v>
      </c>
      <c r="B8" s="126" t="n">
        <f aca="false">EVOALU[[#This Row],[Overall Frame Height (OFH)]]-12-17</f>
        <v>1571</v>
      </c>
      <c r="C8" s="126" t="n">
        <f aca="false">EVOALU[[#This Row],[Internal Frame Height (IFH)
Dim "A"]]-15-2</f>
        <v>1554</v>
      </c>
      <c r="D8" s="127" t="n">
        <f aca="false">(EVOALU[[#This Row],[Internal Frame Height (IFH)
Dim "A"]])-150-38</f>
        <v>1383</v>
      </c>
      <c r="E8" s="127" t="n">
        <f aca="false">(EVOALU[[#This Row],[Internal Frame Height (IFH)
Dim "A"]]/2)-137-38</f>
        <v>610.5</v>
      </c>
      <c r="F8" s="131" t="n">
        <f aca="false">EVOALU[[#This Row],[Overall Sash Height (OSH)]]/2+13</f>
        <v>790</v>
      </c>
      <c r="G8" s="131" t="n">
        <v>108</v>
      </c>
      <c r="H8" s="132" t="n">
        <f aca="false">G8+E8+D8</f>
        <v>2101.5</v>
      </c>
      <c r="I8" s="131" t="n">
        <f aca="false">EVOALU[[#This Row],[Cord Length (CL)]]+65+65</f>
        <v>2231.5</v>
      </c>
      <c r="J8" s="133" t="n">
        <f aca="false">(EVOALU[[#This Row],[Cord Length (CL)]]-EVOALU[[#This Row],[Pulley (PC)]])/2</f>
        <v>996.75</v>
      </c>
      <c r="L8" s="130" t="n">
        <f aca="false">EVOALU[[#This Row],[Internal Frame Height (IFH)
Dim "A"]]*1.5</f>
        <v>2356.5</v>
      </c>
      <c r="M8" s="1" t="n">
        <f aca="false">L8-245+65+65</f>
        <v>2241.5</v>
      </c>
    </row>
    <row r="9" customFormat="false" ht="12.75" hidden="false" customHeight="false" outlineLevel="0" collapsed="false">
      <c r="A9" s="125" t="n">
        <v>1700</v>
      </c>
      <c r="B9" s="134" t="n">
        <f aca="false">EVOALU[[#This Row],[Overall Frame Height (OFH)]]-12-17</f>
        <v>1671</v>
      </c>
      <c r="C9" s="134" t="n">
        <f aca="false">EVOALU[[#This Row],[Internal Frame Height (IFH)
Dim "A"]]-15-2</f>
        <v>1654</v>
      </c>
      <c r="D9" s="127" t="n">
        <f aca="false">(EVOALU[[#This Row],[Internal Frame Height (IFH)
Dim "A"]])-150-38</f>
        <v>1483</v>
      </c>
      <c r="E9" s="127" t="n">
        <f aca="false">(EVOALU[[#This Row],[Internal Frame Height (IFH)
Dim "A"]]/2)-137-38</f>
        <v>660.5</v>
      </c>
      <c r="F9" s="131" t="n">
        <f aca="false">EVOALU[[#This Row],[Overall Sash Height (OSH)]]/2+13</f>
        <v>840</v>
      </c>
      <c r="G9" s="131" t="n">
        <v>108</v>
      </c>
      <c r="H9" s="132" t="n">
        <f aca="false">G9+E9+D9</f>
        <v>2251.5</v>
      </c>
      <c r="I9" s="131" t="n">
        <f aca="false">EVOALU[[#This Row],[Cord Length (CL)]]+65+65</f>
        <v>2381.5</v>
      </c>
      <c r="J9" s="133" t="n">
        <f aca="false">(EVOALU[[#This Row],[Cord Length (CL)]]-EVOALU[[#This Row],[Pulley (PC)]])/2</f>
        <v>1071.75</v>
      </c>
      <c r="L9" s="130" t="n">
        <f aca="false">EVOALU[[#This Row],[Internal Frame Height (IFH)
Dim "A"]]*1.5</f>
        <v>2506.5</v>
      </c>
      <c r="M9" s="1" t="n">
        <f aca="false">L9-245+65+65</f>
        <v>2391.5</v>
      </c>
    </row>
    <row r="10" customFormat="false" ht="12.75" hidden="false" customHeight="false" outlineLevel="0" collapsed="false">
      <c r="A10" s="125" t="n">
        <v>1800</v>
      </c>
      <c r="B10" s="134" t="n">
        <f aca="false">EVOALU[[#This Row],[Overall Frame Height (OFH)]]-12-17</f>
        <v>1771</v>
      </c>
      <c r="C10" s="134" t="n">
        <f aca="false">EVOALU[[#This Row],[Internal Frame Height (IFH)
Dim "A"]]-15-2</f>
        <v>1754</v>
      </c>
      <c r="D10" s="127" t="n">
        <f aca="false">(EVOALU[[#This Row],[Internal Frame Height (IFH)
Dim "A"]])-150-38</f>
        <v>1583</v>
      </c>
      <c r="E10" s="127" t="n">
        <f aca="false">(EVOALU[[#This Row],[Internal Frame Height (IFH)
Dim "A"]]/2)-137-38</f>
        <v>710.5</v>
      </c>
      <c r="F10" s="127" t="n">
        <f aca="false">EVOALU[[#This Row],[Overall Sash Height (OSH)]]/2+13</f>
        <v>890</v>
      </c>
      <c r="G10" s="127" t="n">
        <v>108</v>
      </c>
      <c r="H10" s="132" t="n">
        <f aca="false">G10+E10+D10</f>
        <v>2401.5</v>
      </c>
      <c r="I10" s="131" t="n">
        <f aca="false">EVOALU[[#This Row],[Cord Length (CL)]]+65+65</f>
        <v>2531.5</v>
      </c>
      <c r="J10" s="133" t="n">
        <f aca="false">(EVOALU[[#This Row],[Cord Length (CL)]]-EVOALU[[#This Row],[Pulley (PC)]])/2</f>
        <v>1146.75</v>
      </c>
      <c r="L10" s="130" t="n">
        <f aca="false">EVOALU[[#This Row],[Internal Frame Height (IFH)
Dim "A"]]*1.5</f>
        <v>2656.5</v>
      </c>
      <c r="M10" s="1" t="n">
        <f aca="false">L10-245+65+65</f>
        <v>2541.5</v>
      </c>
    </row>
    <row r="11" customFormat="false" ht="12.75" hidden="false" customHeight="false" outlineLevel="0" collapsed="false">
      <c r="A11" s="125" t="n">
        <v>2000</v>
      </c>
      <c r="B11" s="134" t="n">
        <f aca="false">EVOALU[[#This Row],[Overall Frame Height (OFH)]]-12-17</f>
        <v>1971</v>
      </c>
      <c r="C11" s="134" t="n">
        <f aca="false">EVOALU[[#This Row],[Internal Frame Height (IFH)
Dim "A"]]-15-2</f>
        <v>1954</v>
      </c>
      <c r="D11" s="127" t="n">
        <f aca="false">(EVOALU[[#This Row],[Internal Frame Height (IFH)
Dim "A"]])-150-38</f>
        <v>1783</v>
      </c>
      <c r="E11" s="127" t="n">
        <f aca="false">(EVOALU[[#This Row],[Internal Frame Height (IFH)
Dim "A"]]/2)-137-38</f>
        <v>810.5</v>
      </c>
      <c r="F11" s="127" t="n">
        <f aca="false">EVOALU[[#This Row],[Overall Sash Height (OSH)]]/2+13</f>
        <v>990</v>
      </c>
      <c r="G11" s="127" t="n">
        <v>108</v>
      </c>
      <c r="H11" s="132" t="n">
        <f aca="false">G11+E11+D11</f>
        <v>2701.5</v>
      </c>
      <c r="I11" s="131" t="n">
        <f aca="false">EVOALU[[#This Row],[Cord Length (CL)]]+65+65</f>
        <v>2831.5</v>
      </c>
      <c r="J11" s="133" t="n">
        <f aca="false">(EVOALU[[#This Row],[Cord Length (CL)]]-EVOALU[[#This Row],[Pulley (PC)]])/2</f>
        <v>1296.75</v>
      </c>
      <c r="L11" s="130" t="n">
        <f aca="false">EVOALU[[#This Row],[Internal Frame Height (IFH)
Dim "A"]]*1.5</f>
        <v>2956.5</v>
      </c>
      <c r="M11" s="1" t="n">
        <f aca="false">L11-245+65+65</f>
        <v>2841.5</v>
      </c>
    </row>
    <row r="12" customFormat="false" ht="12.75" hidden="false" customHeight="false" outlineLevel="0" collapsed="false">
      <c r="A12" s="125" t="n">
        <v>2100</v>
      </c>
      <c r="B12" s="134" t="n">
        <f aca="false">EVOALU[[#This Row],[Overall Frame Height (OFH)]]-12-17</f>
        <v>2071</v>
      </c>
      <c r="C12" s="134" t="n">
        <f aca="false">EVOALU[[#This Row],[Internal Frame Height (IFH)
Dim "A"]]-15-2</f>
        <v>2054</v>
      </c>
      <c r="D12" s="127" t="n">
        <f aca="false">(EVOALU[[#This Row],[Internal Frame Height (IFH)
Dim "A"]])-150-38</f>
        <v>1883</v>
      </c>
      <c r="E12" s="127" t="n">
        <f aca="false">(EVOALU[[#This Row],[Internal Frame Height (IFH)
Dim "A"]]/2)-137-38</f>
        <v>860.5</v>
      </c>
      <c r="F12" s="127" t="n">
        <f aca="false">EVOALU[[#This Row],[Overall Sash Height (OSH)]]/2+13</f>
        <v>1040</v>
      </c>
      <c r="G12" s="127" t="n">
        <v>108</v>
      </c>
      <c r="H12" s="132" t="n">
        <f aca="false">G12+E12+D12</f>
        <v>2851.5</v>
      </c>
      <c r="I12" s="131" t="n">
        <f aca="false">EVOALU[[#This Row],[Cord Length (CL)]]+65+65</f>
        <v>2981.5</v>
      </c>
      <c r="J12" s="133" t="n">
        <f aca="false">(EVOALU[[#This Row],[Cord Length (CL)]]-EVOALU[[#This Row],[Pulley (PC)]])/2</f>
        <v>1371.75</v>
      </c>
      <c r="L12" s="130" t="n">
        <f aca="false">EVOALU[[#This Row],[Internal Frame Height (IFH)
Dim "A"]]*1.5</f>
        <v>3106.5</v>
      </c>
      <c r="M12" s="1" t="n">
        <f aca="false">L12-245+65+65</f>
        <v>2991.5</v>
      </c>
    </row>
    <row r="13" customFormat="false" ht="12.75" hidden="false" customHeight="false" outlineLevel="0" collapsed="false">
      <c r="A13" s="125" t="n">
        <v>2400</v>
      </c>
      <c r="B13" s="134" t="n">
        <f aca="false">EVOALU[[#This Row],[Overall Frame Height (OFH)]]-12-17</f>
        <v>2371</v>
      </c>
      <c r="C13" s="134" t="n">
        <f aca="false">EVOALU[[#This Row],[Internal Frame Height (IFH)
Dim "A"]]-15-2</f>
        <v>2354</v>
      </c>
      <c r="D13" s="127" t="n">
        <f aca="false">(EVOALU[[#This Row],[Internal Frame Height (IFH)
Dim "A"]])-150-38</f>
        <v>2183</v>
      </c>
      <c r="E13" s="127" t="n">
        <f aca="false">(EVOALU[[#This Row],[Internal Frame Height (IFH)
Dim "A"]]/2)-137-38</f>
        <v>1010.5</v>
      </c>
      <c r="F13" s="127" t="n">
        <f aca="false">EVOALU[[#This Row],[Overall Sash Height (OSH)]]/2+13</f>
        <v>1190</v>
      </c>
      <c r="G13" s="127" t="n">
        <v>108</v>
      </c>
      <c r="H13" s="132" t="n">
        <f aca="false">G13+E13+D13</f>
        <v>3301.5</v>
      </c>
      <c r="I13" s="131" t="n">
        <f aca="false">EVOALU[[#This Row],[Cord Length (CL)]]+65+65</f>
        <v>3431.5</v>
      </c>
      <c r="J13" s="133" t="n">
        <f aca="false">(EVOALU[[#This Row],[Cord Length (CL)]]-EVOALU[[#This Row],[Pulley (PC)]])/2</f>
        <v>1596.75</v>
      </c>
      <c r="L13" s="130" t="n">
        <f aca="false">EVOALU[[#This Row],[Internal Frame Height (IFH)
Dim "A"]]*1.5</f>
        <v>3556.5</v>
      </c>
      <c r="M13" s="1" t="n">
        <f aca="false">L13-245+65+65</f>
        <v>3441.5</v>
      </c>
    </row>
    <row r="14" customFormat="false" ht="12.75" hidden="false" customHeight="false" outlineLevel="0" collapsed="false">
      <c r="A14" s="125" t="n">
        <v>2700</v>
      </c>
      <c r="B14" s="134" t="n">
        <f aca="false">EVOALU[[#This Row],[Overall Frame Height (OFH)]]-12-17</f>
        <v>2671</v>
      </c>
      <c r="C14" s="134" t="n">
        <f aca="false">EVOALU[[#This Row],[Internal Frame Height (IFH)
Dim "A"]]-15-2</f>
        <v>2654</v>
      </c>
      <c r="D14" s="127" t="n">
        <f aca="false">(EVOALU[[#This Row],[Internal Frame Height (IFH)
Dim "A"]])-150-38</f>
        <v>2483</v>
      </c>
      <c r="E14" s="127" t="n">
        <f aca="false">(EVOALU[[#This Row],[Internal Frame Height (IFH)
Dim "A"]]/2)-137-38</f>
        <v>1160.5</v>
      </c>
      <c r="F14" s="127" t="n">
        <f aca="false">EVOALU[[#This Row],[Overall Sash Height (OSH)]]/2+13</f>
        <v>1340</v>
      </c>
      <c r="G14" s="127" t="n">
        <v>108</v>
      </c>
      <c r="H14" s="132" t="n">
        <f aca="false">G14+E14+D14</f>
        <v>3751.5</v>
      </c>
      <c r="I14" s="131" t="n">
        <f aca="false">EVOALU[[#This Row],[Cord Length (CL)]]+65+65</f>
        <v>3881.5</v>
      </c>
      <c r="J14" s="133" t="n">
        <f aca="false">(EVOALU[[#This Row],[Cord Length (CL)]]-EVOALU[[#This Row],[Pulley (PC)]])/2</f>
        <v>1821.75</v>
      </c>
      <c r="L14" s="130" t="n">
        <f aca="false">EVOALU[[#This Row],[Internal Frame Height (IFH)
Dim "A"]]*1.5</f>
        <v>4006.5</v>
      </c>
      <c r="M14" s="1" t="n">
        <f aca="false">L14-245+65+65</f>
        <v>3891.5</v>
      </c>
    </row>
    <row r="15" customFormat="false" ht="12.75" hidden="false" customHeight="false" outlineLevel="0" collapsed="false">
      <c r="A15" s="125" t="n">
        <v>3000</v>
      </c>
      <c r="B15" s="134" t="n">
        <f aca="false">EVOALU[[#This Row],[Overall Frame Height (OFH)]]-12-17</f>
        <v>2971</v>
      </c>
      <c r="C15" s="134" t="n">
        <f aca="false">EVOALU[[#This Row],[Internal Frame Height (IFH)
Dim "A"]]-15-2</f>
        <v>2954</v>
      </c>
      <c r="D15" s="127" t="n">
        <f aca="false">(EVOALU[[#This Row],[Internal Frame Height (IFH)
Dim "A"]])-150-38</f>
        <v>2783</v>
      </c>
      <c r="E15" s="127" t="n">
        <f aca="false">(EVOALU[[#This Row],[Internal Frame Height (IFH)
Dim "A"]]/2)-137-38</f>
        <v>1310.5</v>
      </c>
      <c r="F15" s="127" t="n">
        <f aca="false">EVOALU[[#This Row],[Overall Sash Height (OSH)]]/2+13</f>
        <v>1490</v>
      </c>
      <c r="G15" s="127" t="n">
        <v>108</v>
      </c>
      <c r="H15" s="132" t="n">
        <f aca="false">G15+E15+D15</f>
        <v>4201.5</v>
      </c>
      <c r="I15" s="131" t="n">
        <f aca="false">EVOALU[[#This Row],[Cord Length (CL)]]+65+65</f>
        <v>4331.5</v>
      </c>
      <c r="J15" s="133" t="n">
        <f aca="false">(EVOALU[[#This Row],[Cord Length (CL)]]-EVOALU[[#This Row],[Pulley (PC)]])/2</f>
        <v>2046.75</v>
      </c>
      <c r="L15" s="130" t="n">
        <f aca="false">EVOALU[[#This Row],[Internal Frame Height (IFH)
Dim "A"]]*1.5</f>
        <v>4456.5</v>
      </c>
      <c r="M15" s="1" t="n">
        <f aca="false">L15-245+65+65</f>
        <v>4341.5</v>
      </c>
    </row>
    <row r="16" customFormat="false" ht="14.25" hidden="false" customHeight="true" outlineLevel="0" collapsed="false">
      <c r="A16" s="135" t="n">
        <f aca="false">'HUNG dies'!$D$6</f>
        <v>2888</v>
      </c>
      <c r="B16" s="136" t="n">
        <f aca="false">EVOALU[[#This Row],[Overall Frame Height (OFH)]]-12-17</f>
        <v>2859</v>
      </c>
      <c r="C16" s="136" t="n">
        <f aca="false">EVOALU[[#This Row],[Internal Frame Height (IFH)
Dim "A"]]-15-2</f>
        <v>2842</v>
      </c>
      <c r="D16" s="137" t="n">
        <f aca="false">(EVOALU[[#This Row],[Internal Frame Height (IFH)
Dim "A"]])-150-38</f>
        <v>2671</v>
      </c>
      <c r="E16" s="137" t="n">
        <f aca="false">(EVOALU[[#This Row],[Internal Frame Height (IFH)
Dim "A"]]/2)-137-38</f>
        <v>1254.5</v>
      </c>
      <c r="F16" s="137" t="n">
        <f aca="false">EVOALU[[#This Row],[Overall Sash Height (OSH)]]/2+13</f>
        <v>1434</v>
      </c>
      <c r="G16" s="137" t="n">
        <v>108</v>
      </c>
      <c r="H16" s="138" t="n">
        <f aca="false">G16+E16+D16</f>
        <v>4033.5</v>
      </c>
      <c r="I16" s="139" t="n">
        <f aca="false">EVOALU[[#This Row],[Cord Length (CL)]]+65+65</f>
        <v>4163.5</v>
      </c>
      <c r="J16" s="140" t="n">
        <f aca="false">(EVOALU[[#This Row],[Cord Length (CL)]]-EVOALU[[#This Row],[Pulley (PC)]])/2</f>
        <v>1962.75</v>
      </c>
    </row>
    <row r="18" customFormat="false" ht="12.75" hidden="false" customHeight="false" outlineLevel="0" collapsed="false">
      <c r="J18" s="141" t="s">
        <v>234</v>
      </c>
    </row>
    <row r="19" customFormat="false" ht="12.75" hidden="true" customHeight="false" outlineLevel="0" collapsed="false">
      <c r="A19" s="142" t="s">
        <v>235</v>
      </c>
      <c r="B19" s="143" t="n">
        <v>148</v>
      </c>
      <c r="C19" s="142" t="s">
        <v>236</v>
      </c>
    </row>
    <row r="20" customFormat="false" ht="12.75" hidden="true" customHeight="false" outlineLevel="0" collapsed="false">
      <c r="A20" s="142" t="s">
        <v>237</v>
      </c>
      <c r="B20" s="143" t="n">
        <v>10</v>
      </c>
      <c r="C20" s="142" t="s">
        <v>238</v>
      </c>
    </row>
    <row r="21" customFormat="false" ht="12.75" hidden="true" customHeight="false" outlineLevel="0" collapsed="false">
      <c r="A21" s="142" t="s">
        <v>235</v>
      </c>
      <c r="B21" s="143" t="n">
        <v>1</v>
      </c>
      <c r="C21" s="142" t="s">
        <v>239</v>
      </c>
    </row>
    <row r="22" customFormat="false" ht="12.75" hidden="true" customHeight="false" outlineLevel="0" collapsed="false">
      <c r="A22" s="142" t="s">
        <v>235</v>
      </c>
      <c r="B22" s="143" t="n">
        <v>150</v>
      </c>
      <c r="C22" s="142" t="s">
        <v>240</v>
      </c>
    </row>
    <row r="23" customFormat="false" ht="12.75" hidden="true" customHeight="false" outlineLevel="0" collapsed="false">
      <c r="A23" s="142" t="s">
        <v>241</v>
      </c>
      <c r="B23" s="143" t="n">
        <v>65</v>
      </c>
      <c r="C23" s="142" t="s">
        <v>242</v>
      </c>
    </row>
    <row r="24" customFormat="false" ht="12.75" hidden="true" customHeight="false" outlineLevel="0" collapsed="false">
      <c r="A24" s="142" t="s">
        <v>243</v>
      </c>
      <c r="B24" s="143" t="n">
        <v>26</v>
      </c>
      <c r="C24" s="142" t="s">
        <v>244</v>
      </c>
    </row>
    <row r="25" customFormat="false" ht="12.75" hidden="true" customHeight="false" outlineLevel="0" collapsed="false">
      <c r="A25" s="142" t="s">
        <v>230</v>
      </c>
      <c r="B25" s="143" t="n">
        <v>108</v>
      </c>
      <c r="C25" s="142" t="s">
        <v>245</v>
      </c>
    </row>
    <row r="26" customFormat="false" ht="12.75" hidden="true" customHeight="false" outlineLevel="0" collapsed="false"/>
    <row r="27" customFormat="false" ht="12.75" hidden="true" customHeight="false" outlineLevel="0" collapsed="false"/>
    <row r="28" customFormat="false" ht="12.75" hidden="true" customHeight="false" outlineLevel="0" collapsed="false"/>
    <row r="29" customFormat="false" ht="12.75" hidden="true" customHeight="false" outlineLevel="0" collapsed="false"/>
    <row r="34" customFormat="false" ht="12.75" hidden="false" customHeight="false" outlineLevel="0" collapsed="false">
      <c r="J34" s="59" t="s">
        <v>246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2020-04-14T07:01:27Z</dcterms:created>
  <dc:creator>Shane McDuff</dc:creator>
  <dc:description/>
  <dc:language>en-US</dc:language>
  <cp:lastModifiedBy/>
  <cp:lastPrinted>2025-12-09T09:22:13Z</cp:lastPrinted>
  <dcterms:modified xsi:type="dcterms:W3CDTF">2026-07-22T01:08:40Z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0x010100F933AB25A4C59644AD1B5DEA69BD7E75</vt:lpwstr>
  </property>
</Properties>
</file>