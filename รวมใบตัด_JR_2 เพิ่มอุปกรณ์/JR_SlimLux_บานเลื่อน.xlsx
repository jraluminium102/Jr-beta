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ralu\JR-beta\รวมใบตัด_JR_2 เพิ่มอุปกรณ์\"/>
    </mc:Choice>
  </mc:AlternateContent>
  <xr:revisionPtr revIDLastSave="0" documentId="13_ncr:1_{061B9E62-B4D9-4010-9EBF-8D8998871E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limLux เลื่อน" sheetId="1" r:id="rId1"/>
  </sheets>
  <calcPr calcId="191029"/>
</workbook>
</file>

<file path=xl/calcChain.xml><?xml version="1.0" encoding="utf-8"?>
<calcChain xmlns="http://schemas.openxmlformats.org/spreadsheetml/2006/main">
  <c r="D54" i="1" l="1"/>
  <c r="D52" i="1"/>
  <c r="D51" i="1"/>
  <c r="D50" i="1"/>
  <c r="D49" i="1"/>
  <c r="H48" i="1"/>
  <c r="D48" i="1"/>
  <c r="H47" i="1"/>
  <c r="D47" i="1"/>
  <c r="D45" i="1"/>
  <c r="J44" i="1"/>
  <c r="D44" i="1"/>
  <c r="J43" i="1"/>
  <c r="D43" i="1"/>
  <c r="D37" i="1"/>
  <c r="D36" i="1"/>
  <c r="D35" i="1"/>
  <c r="F29" i="1"/>
  <c r="F28" i="1"/>
  <c r="E28" i="1"/>
  <c r="J54" i="1" s="1"/>
  <c r="F27" i="1"/>
  <c r="C27" i="1"/>
  <c r="F25" i="1"/>
  <c r="F24" i="1"/>
  <c r="F23" i="1"/>
  <c r="F22" i="1"/>
  <c r="E22" i="1"/>
  <c r="J47" i="1" s="1"/>
  <c r="F21" i="1"/>
  <c r="F20" i="1"/>
  <c r="C20" i="1"/>
  <c r="E19" i="1"/>
  <c r="D55" i="1" s="1"/>
  <c r="F18" i="1"/>
  <c r="E18" i="1"/>
  <c r="C15" i="1"/>
  <c r="C13" i="1"/>
  <c r="C12" i="1"/>
  <c r="E52" i="1" s="1"/>
  <c r="E20" i="1" l="1"/>
  <c r="D46" i="1" s="1"/>
  <c r="E23" i="1"/>
  <c r="D53" i="1" s="1"/>
  <c r="E21" i="1"/>
  <c r="J46" i="1" s="1"/>
  <c r="E24" i="1"/>
  <c r="J50" i="1" s="1"/>
  <c r="E49" i="1"/>
  <c r="E50" i="1"/>
  <c r="E29" i="1"/>
  <c r="J55" i="1" s="1"/>
  <c r="E30" i="1"/>
  <c r="J56" i="1" s="1"/>
  <c r="J48" i="1"/>
  <c r="D56" i="1"/>
  <c r="F26" i="1"/>
  <c r="F19" i="1"/>
  <c r="F30" i="1"/>
  <c r="D38" i="1"/>
  <c r="E26" i="1"/>
  <c r="J52" i="1" s="1"/>
  <c r="J45" i="1"/>
  <c r="E45" i="1"/>
  <c r="E51" i="1"/>
  <c r="E25" i="1"/>
  <c r="J51" i="1" s="1"/>
  <c r="E27" i="1" l="1"/>
  <c r="J53" i="1" s="1"/>
  <c r="J49" i="1"/>
</calcChain>
</file>

<file path=xl/sharedStrings.xml><?xml version="1.0" encoding="utf-8"?>
<sst xmlns="http://schemas.openxmlformats.org/spreadsheetml/2006/main" count="167" uniqueCount="135">
  <si>
    <t>JR ALUMINIUM &amp; GLASS   —   ใบตัดบาน SlimLux (บานเลื่อนรางบน)   ·   หน่วย: ซม.</t>
  </si>
  <si>
    <t>① กรอกข้อมูลช่อง (ช่องเหลือง)</t>
  </si>
  <si>
    <t>กว้างช่องปูน (ช่อง)</t>
  </si>
  <si>
    <t>สูงช่องปูน</t>
  </si>
  <si>
    <t>จำนวนบาน</t>
  </si>
  <si>
    <t>คาน (เลือกกล่อง)</t>
  </si>
  <si>
    <t>1×4</t>
  </si>
  <si>
    <t>รูปแบบช่องปูน</t>
  </si>
  <si>
    <t>ยัดในช่อง</t>
  </si>
  <si>
    <t>รูปแบบบาน</t>
  </si>
  <si>
    <t>อิสระ</t>
  </si>
  <si>
    <t>มือจับ</t>
  </si>
  <si>
    <t>X-J</t>
  </si>
  <si>
    <t>② ค่าที่คำนวณอัตโนมัติ (ห้ามแก้)</t>
  </si>
  <si>
    <t>ขนาดคานที่หัก (ซม.)</t>
  </si>
  <si>
    <t>บานตาย</t>
  </si>
  <si>
    <t>บานเลื่อน</t>
  </si>
  <si>
    <t>จำนวนเสารับ (ฝั่ง)</t>
  </si>
  <si>
    <t>#</t>
  </si>
  <si>
    <t>โปรไฟล์</t>
  </si>
  <si>
    <t>รหัส</t>
  </si>
  <si>
    <t>รูป</t>
  </si>
  <si>
    <t>ยาวตัด (ซม.)</t>
  </si>
  <si>
    <t>จำนวน</t>
  </si>
  <si>
    <t>หมายเหตุ</t>
  </si>
  <si>
    <t>คาน</t>
  </si>
  <si>
    <t>กล่องคาน</t>
  </si>
  <si>
    <t>ยัด=ช่อง / แปะนอก=ช่อง×2</t>
  </si>
  <si>
    <t>รางบน (รางแขวน)</t>
  </si>
  <si>
    <t>XSW40008</t>
  </si>
  <si>
    <t>จำนวน=บานเลื่อน</t>
  </si>
  <si>
    <t>เสารับบาน</t>
  </si>
  <si>
    <t>จำนวน=ฝั่ง</t>
  </si>
  <si>
    <t>บังใบ 4 หุน</t>
  </si>
  <si>
    <t>—</t>
  </si>
  <si>
    <t>เสารับ−3.6</t>
  </si>
  <si>
    <t>ขวางบน-ล่าง</t>
  </si>
  <si>
    <t>OPK-A201</t>
  </si>
  <si>
    <t>บานละ 2</t>
  </si>
  <si>
    <t>เสากุญแจ</t>
  </si>
  <si>
    <t>OPK-A202</t>
  </si>
  <si>
    <t>บานละ 2 ท่อน</t>
  </si>
  <si>
    <t>ตบเรียบหน้าเสากุญแจ (บานเลื่อน)</t>
  </si>
  <si>
    <t>OPK-A203</t>
  </si>
  <si>
    <t>แปะนอก−1</t>
  </si>
  <si>
    <t>ตบเรียบหน้าเสากุญแจ (บานตาย)</t>
  </si>
  <si>
    <t>ถ้ามีบานตาย</t>
  </si>
  <si>
    <t>ตบเกี่ยวใส่สักหลาด</t>
  </si>
  <si>
    <t>OPK-A204</t>
  </si>
  <si>
    <t>บานเลื่อน+1</t>
  </si>
  <si>
    <t>มือจับ X-J</t>
  </si>
  <si>
    <t>เท่าเสากุญแจ</t>
  </si>
  <si>
    <t>ฉากปิดราง 2"</t>
  </si>
  <si>
    <t>ฉากปิดราง</t>
  </si>
  <si>
    <t>เท่าช่องปูน</t>
  </si>
  <si>
    <t>ตบปิดใต้รางริม</t>
  </si>
  <si>
    <t>เท่ารางบน</t>
  </si>
  <si>
    <t>ตบปิดใต้รางกลาง</t>
  </si>
  <si>
    <t>ราง−1</t>
  </si>
  <si>
    <t>⑥ อุปกรณ์ (กล่อง+ล้อ ต่อบาน · จำนวนลิงก์อัตโนมัติ)</t>
  </si>
  <si>
    <t>กล่องสั้น (บานกลาง) ด้าน →</t>
  </si>
  <si>
    <t>ซ้าย</t>
  </si>
  <si>
    <t>เลือกทั้งชุด ซ้ายหมด/ขวาหมด</t>
  </si>
  <si>
    <t>อุปกรณ์</t>
  </si>
  <si>
    <t>รหัส SKU</t>
  </si>
  <si>
    <t>หน่วย</t>
  </si>
  <si>
    <t>กล่องยาว (หัว+ท้ายบาน)</t>
  </si>
  <si>
    <t>JR00573</t>
  </si>
  <si>
    <t>กล่อง</t>
  </si>
  <si>
    <t>บานแรก + บานสุดท้าย</t>
  </si>
  <si>
    <t>กล่องสั้น ซ้าย (บานกลาง)</t>
  </si>
  <si>
    <t>JR00575</t>
  </si>
  <si>
    <t>ใช้เมื่อเลือกด้าน=ซ้าย</t>
  </si>
  <si>
    <t>กล่องสั้น ขวา (บานกลาง)</t>
  </si>
  <si>
    <t>JR00574</t>
  </si>
  <si>
    <t>ใช้เมื่อเลือกด้าน=ขวา</t>
  </si>
  <si>
    <t>ล้อล่าง</t>
  </si>
  <si>
    <t>JR00572</t>
  </si>
  <si>
    <t>ตัว</t>
  </si>
  <si>
    <t>บานเลื่อนละ 2 ตัวเสมอ</t>
  </si>
  <si>
    <t>③ กระดานคำนวณความยาว (แตกทีละขั้น) — อ่านซ้าย→ขวา · ช่องเหลือง=แก้ได้ · ช่องฟ้า=ค่าคำนวณสด</t>
  </si>
  <si>
    <t>ฐาน (จาก)</t>
  </si>
  <si>
    <t>ค่า</t>
  </si>
  <si>
    <t>− ขนาดคาน</t>
  </si>
  <si>
    <t>− ตัวลบ</t>
  </si>
  <si>
    <t>+ ปรับ</t>
  </si>
  <si>
    <t>÷ จำนวนบาน</t>
  </si>
  <si>
    <t>× ตัวคูณ</t>
  </si>
  <si>
    <t>หมายเหตุ / เงื่อนไข</t>
  </si>
  <si>
    <t>ความกว้างช่อง</t>
  </si>
  <si>
    <t>ยัด=ฐาน / แปะนอก=ฐาน×ตัวคูณ · 1 เส้น</t>
  </si>
  <si>
    <t>ยัด=ฐาน−ตัวลบ / แปะนอก=ฐาน×ตัวคูณ · จำนวน=บานเลื่อน</t>
  </si>
  <si>
    <t>ความสูงช่อง</t>
  </si>
  <si>
    <t>จำนวน=ฝั่ง(แปะนอก1/ยัด2)</t>
  </si>
  <si>
    <t>ความยาวเสารับ</t>
  </si>
  <si>
    <t>ใช้ 2 อัน</t>
  </si>
  <si>
    <t>ขวางบน-ล่าง (ยัดในช่อง)</t>
  </si>
  <si>
    <t>แบบยัดในช่อง: (ฐาน−ตัวลบ)÷บาน + บาน×ตัวคูณ</t>
  </si>
  <si>
    <t>ขวางบน-ล่าง (แปะนอก)</t>
  </si>
  <si>
    <t>แบบแปะนอก: (ฐาน+ปรับ−ตัวลบ)÷บาน + บาน×ตัวคูณ</t>
  </si>
  <si>
    <t>ตบเรียบ (บานเลื่อน)</t>
  </si>
  <si>
    <t>ตบเรียบ (บานตาย)</t>
  </si>
  <si>
    <t>ไม่ลบตัวลบ</t>
  </si>
  <si>
    <t>ตบเกี่ยวสักหลาด</t>
  </si>
  <si>
    <t>จำนวน=บานเลื่อน+1</t>
  </si>
  <si>
    <t>1 ชุด 2 อัน (คู่กลาง 4)</t>
  </si>
  <si>
    <t>เท่าความกว้างช่องปูน</t>
  </si>
  <si>
    <t>1 ชุด 2 อัน</t>
  </si>
  <si>
    <t>จำนวน = ราง − 1</t>
  </si>
  <si>
    <t>④ ตัวเลข 'จำนวน' ที่แก้ได้ — จำนวนชิ้นต่อบาน/ต่องาน</t>
  </si>
  <si>
    <t>ความหมาย (จำนวนของโปรไฟล์อะไร)</t>
  </si>
  <si>
    <t>คาน — จำนวนเส้น</t>
  </si>
  <si>
    <t>บังใบ 4 หุน — จำนวนอัน</t>
  </si>
  <si>
    <t>ขวางบน-ล่าง — จำนวนต่อบาน (บน+ล่าง)</t>
  </si>
  <si>
    <t>เสากุญแจ — จำนวนท่อนต่อบาน</t>
  </si>
  <si>
    <t>ตบเรียบหน้าเสากุญแจ — จำนวน (แบบ 'ยัดในช่อง')</t>
  </si>
  <si>
    <t>ตบเรียบหน้าเสากุญแจ — จำนวน (แบบ 'แปะนอก')</t>
  </si>
  <si>
    <t>ตบเรียบ (บานตาย) — จำนวน</t>
  </si>
  <si>
    <t>ตบเกี่ยวสักหลาด — บวกเพิ่มเสมอ</t>
  </si>
  <si>
    <t>ตบเกี่ยวสักหลาด — บวกเพิ่มถ้า 'แปะนอก'</t>
  </si>
  <si>
    <t>มือจับ X-J — จำนวนปกติ (1 ชุด)</t>
  </si>
  <si>
    <t>มือจับ X-J — จำนวนเมื่อ 'เปิดคู่กลาง'</t>
  </si>
  <si>
    <t>ฉากปิดราง 2" — จำนวนอัน</t>
  </si>
  <si>
    <t>ตบปิดใต้รางริม — จำนวนอัน</t>
  </si>
  <si>
    <t>ตบปิดใต้รางกลาง — เอา 'ราง' ลบด้วย</t>
  </si>
  <si>
    <t>⑤ ตารางคาน (ดรอปดาว) — แก้ขนาดที่หักของแต่ละกล่อง</t>
  </si>
  <si>
    <t>ลบความสูง (ซม.)</t>
  </si>
  <si>
    <t>1×2</t>
  </si>
  <si>
    <t>2×2</t>
  </si>
  <si>
    <t>2×4</t>
  </si>
  <si>
    <t>1×4+1×1.6</t>
  </si>
  <si>
    <t>2×4+4×4</t>
  </si>
  <si>
    <t>4×4</t>
  </si>
  <si>
    <t xml:space="preserve">
XSW400023-ฝากปิดล่าง ใหญ่</t>
  </si>
  <si>
    <t xml:space="preserve">
XSW400013-ฝากปิดล่าง เล็ก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</si>
</sst>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"/>
  </numFmts>
  <fonts count="11" x14ac:knownFonts="1">
    <font>
      <sz val="11"/>
      <color theme="1"/>
      <name val="Calibri"/>
      <family val="2"/>
      <charset val="1"/>
    </font>
    <font>
      <b/>
      <sz val="13"/>
      <color rgb="FFFFFFFF"/>
      <name val="Tahoma"/>
      <charset val="1"/>
    </font>
    <font>
      <b/>
      <sz val="10"/>
      <name val="Tahoma"/>
      <charset val="1"/>
    </font>
    <font>
      <b/>
      <sz val="11"/>
      <color rgb="FFFFFFFF"/>
      <name val="Tahoma"/>
      <charset val="1"/>
    </font>
    <font>
      <sz val="10"/>
      <name val="Tahoma"/>
      <charset val="1"/>
    </font>
    <font>
      <sz val="8"/>
      <color rgb="FF808080"/>
      <name val="Tahoma"/>
      <charset val="1"/>
    </font>
    <font>
      <sz val="9"/>
      <name val="Tahoma"/>
      <charset val="1"/>
    </font>
    <font>
      <b/>
      <sz val="11"/>
      <color rgb="FFFFFFFF"/>
      <name val="Tahoma"/>
    </font>
    <font>
      <b/>
      <sz val="10"/>
      <name val="Tahoma"/>
    </font>
    <font>
      <sz val="8"/>
      <color rgb="FF808080"/>
      <name val="Tahoma"/>
    </font>
    <font>
      <sz val="10"/>
      <name val="Tahoma"/>
    </font>
  </fonts>
  <fills count="1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EDEDED"/>
      </patternFill>
    </fill>
    <fill>
      <patternFill patternType="solid">
        <fgColor rgb="FF2E75B6"/>
        <bgColor rgb="FF0066CC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DEEBF7"/>
      </patternFill>
    </fill>
    <fill>
      <patternFill patternType="solid">
        <fgColor rgb="FFF8CBAD"/>
        <bgColor rgb="FFFFE699"/>
      </patternFill>
    </fill>
    <fill>
      <patternFill patternType="solid">
        <fgColor rgb="FF548235"/>
        <bgColor rgb="FF339966"/>
      </patternFill>
    </fill>
    <fill>
      <patternFill patternType="solid">
        <fgColor rgb="FFEDEDED"/>
        <bgColor rgb="FFF2F2F2"/>
      </patternFill>
    </fill>
    <fill>
      <patternFill patternType="solid">
        <fgColor rgb="FFDEEBF7"/>
        <bgColor rgb="FFEDEDED"/>
      </patternFill>
    </fill>
    <fill>
      <patternFill patternType="solid">
        <fgColor rgb="FF7F77DD"/>
        <bgColor rgb="FF808080"/>
      </patternFill>
    </fill>
    <fill>
      <patternFill patternType="solid">
        <fgColor rgb="FF7F77DD"/>
      </patternFill>
    </fill>
    <fill>
      <patternFill patternType="solid">
        <fgColor rgb="FFFFE699"/>
      </patternFill>
    </fill>
    <fill>
      <patternFill patternType="solid">
        <fgColor rgb="FF2E75B6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187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87" fontId="2" fillId="7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187" fontId="2" fillId="10" borderId="1" xfId="0" applyNumberFormat="1" applyFont="1" applyFill="1" applyBorder="1" applyAlignment="1">
      <alignment horizontal="center" vertical="center" wrapText="1"/>
    </xf>
    <xf numFmtId="187" fontId="2" fillId="9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187" fontId="2" fillId="5" borderId="1" xfId="0" applyNumberFormat="1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13" borderId="4" xfId="0" applyFont="1" applyFill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7" fillId="14" borderId="4" xfId="0" applyFont="1" applyFill="1" applyBorder="1" applyAlignment="1">
      <alignment horizontal="center"/>
    </xf>
    <xf numFmtId="187" fontId="7" fillId="14" borderId="4" xfId="0" applyNumberFormat="1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10" fillId="0" borderId="4" xfId="0" applyFont="1" applyBorder="1" applyAlignment="1">
      <alignment horizontal="center"/>
    </xf>
    <xf numFmtId="187" fontId="10" fillId="7" borderId="4" xfId="0" applyNumberFormat="1" applyFont="1" applyFill="1" applyBorder="1" applyAlignment="1">
      <alignment horizontal="center"/>
    </xf>
    <xf numFmtId="0" fontId="9" fillId="7" borderId="4" xfId="0" applyFont="1" applyFill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2" fillId="5" borderId="1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11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</cellXfs>
  <cellStyles count="1">
    <cellStyle name="ปกติ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0B0B0"/>
      <rgbColor rgb="FF808080"/>
      <rgbColor rgb="FF9999FF"/>
      <rgbColor rgb="FF993366"/>
      <rgbColor rgb="FFF2F2F2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0B4"/>
      <rgbColor rgb="FFFFE699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7F77D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18</xdr:row>
      <xdr:rowOff>0</xdr:rowOff>
    </xdr:from>
    <xdr:to>
      <xdr:col>3</xdr:col>
      <xdr:colOff>875880</xdr:colOff>
      <xdr:row>18</xdr:row>
      <xdr:rowOff>437760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5160" y="3989160"/>
          <a:ext cx="875880" cy="43776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875880</xdr:colOff>
      <xdr:row>19</xdr:row>
      <xdr:rowOff>437760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65160" y="4598640"/>
          <a:ext cx="875880" cy="43776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875880</xdr:colOff>
      <xdr:row>21</xdr:row>
      <xdr:rowOff>437760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65160" y="5817960"/>
          <a:ext cx="875880" cy="43776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875880</xdr:colOff>
      <xdr:row>22</xdr:row>
      <xdr:rowOff>437760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65160" y="6427440"/>
          <a:ext cx="875880" cy="43776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875880</xdr:colOff>
      <xdr:row>23</xdr:row>
      <xdr:rowOff>437760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65160" y="7036920"/>
          <a:ext cx="875880" cy="43776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875880</xdr:colOff>
      <xdr:row>24</xdr:row>
      <xdr:rowOff>437760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65160" y="7646760"/>
          <a:ext cx="875880" cy="43776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875880</xdr:colOff>
      <xdr:row>25</xdr:row>
      <xdr:rowOff>437760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65160" y="8256240"/>
          <a:ext cx="875880" cy="43776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875880</xdr:colOff>
      <xdr:row>28</xdr:row>
      <xdr:rowOff>437760</xdr:rowOff>
    </xdr:to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65160" y="10085040"/>
          <a:ext cx="875880" cy="43776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875880</xdr:colOff>
      <xdr:row>29</xdr:row>
      <xdr:rowOff>437760</xdr:rowOff>
    </xdr:to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65160" y="10694520"/>
          <a:ext cx="875880" cy="43776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3"/>
  <sheetViews>
    <sheetView showGridLines="0" tabSelected="1" topLeftCell="A7" zoomScaleNormal="100" workbookViewId="0">
      <selection activeCell="C15" sqref="C15"/>
    </sheetView>
  </sheetViews>
  <sheetFormatPr defaultColWidth="8.6640625" defaultRowHeight="14.4" x14ac:dyDescent="0.3"/>
  <cols>
    <col min="1" max="1" width="4" customWidth="1"/>
    <col min="2" max="2" width="30" customWidth="1"/>
    <col min="3" max="3" width="18" customWidth="1"/>
    <col min="4" max="4" width="15" customWidth="1"/>
    <col min="5" max="5" width="11" customWidth="1"/>
    <col min="6" max="6" width="9" customWidth="1"/>
    <col min="7" max="7" width="8" customWidth="1"/>
    <col min="8" max="8" width="11" customWidth="1"/>
    <col min="9" max="9" width="9" customWidth="1"/>
    <col min="10" max="10" width="11" customWidth="1"/>
    <col min="11" max="11" width="30" customWidth="1"/>
  </cols>
  <sheetData>
    <row r="1" spans="1:11" ht="15" customHeight="1" x14ac:dyDescent="0.3">
      <c r="A1" s="42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15" customHeight="1" x14ac:dyDescent="0.3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11" ht="15" customHeight="1" x14ac:dyDescent="0.3">
      <c r="B3" s="35" t="s">
        <v>1</v>
      </c>
      <c r="C3" s="36"/>
    </row>
    <row r="4" spans="1:11" ht="15" customHeight="1" x14ac:dyDescent="0.3">
      <c r="B4" s="1" t="s">
        <v>2</v>
      </c>
      <c r="C4" s="2">
        <v>300</v>
      </c>
    </row>
    <row r="5" spans="1:11" ht="15" customHeight="1" x14ac:dyDescent="0.3">
      <c r="B5" s="1" t="s">
        <v>3</v>
      </c>
      <c r="C5" s="2">
        <v>240</v>
      </c>
    </row>
    <row r="6" spans="1:11" ht="15" customHeight="1" x14ac:dyDescent="0.3">
      <c r="B6" s="1" t="s">
        <v>4</v>
      </c>
      <c r="C6" s="2">
        <v>3</v>
      </c>
    </row>
    <row r="7" spans="1:11" ht="15" customHeight="1" x14ac:dyDescent="0.3">
      <c r="B7" s="1" t="s">
        <v>5</v>
      </c>
      <c r="C7" s="2" t="s">
        <v>6</v>
      </c>
    </row>
    <row r="8" spans="1:11" ht="15" customHeight="1" x14ac:dyDescent="0.3">
      <c r="B8" s="1" t="s">
        <v>7</v>
      </c>
      <c r="C8" s="2" t="s">
        <v>8</v>
      </c>
    </row>
    <row r="9" spans="1:11" ht="15" customHeight="1" x14ac:dyDescent="0.3">
      <c r="B9" s="1" t="s">
        <v>9</v>
      </c>
      <c r="C9" s="2" t="s">
        <v>10</v>
      </c>
    </row>
    <row r="10" spans="1:11" ht="15" customHeight="1" x14ac:dyDescent="0.3">
      <c r="B10" s="1" t="s">
        <v>11</v>
      </c>
      <c r="C10" s="2" t="s">
        <v>12</v>
      </c>
    </row>
    <row r="11" spans="1:11" ht="15" customHeight="1" x14ac:dyDescent="0.3">
      <c r="B11" s="35" t="s">
        <v>13</v>
      </c>
      <c r="C11" s="36"/>
    </row>
    <row r="12" spans="1:11" ht="15" customHeight="1" x14ac:dyDescent="0.3">
      <c r="B12" s="3" t="s">
        <v>14</v>
      </c>
      <c r="C12" s="4">
        <f>VLOOKUP($C$7,$B$77:$C$83,2,FALSE())</f>
        <v>2.5</v>
      </c>
    </row>
    <row r="13" spans="1:11" ht="15" customHeight="1" x14ac:dyDescent="0.3">
      <c r="B13" s="3" t="s">
        <v>15</v>
      </c>
      <c r="C13" s="5">
        <f>IF($C$9="อิสระ",0,IF($C$9="ลากจูง",1,2))</f>
        <v>0</v>
      </c>
    </row>
    <row r="14" spans="1:11" ht="15" customHeight="1" x14ac:dyDescent="0.3">
      <c r="B14" s="3" t="s">
        <v>16</v>
      </c>
      <c r="C14" s="5">
        <v>1</v>
      </c>
    </row>
    <row r="15" spans="1:11" ht="15" customHeight="1" x14ac:dyDescent="0.3">
      <c r="B15" s="3" t="s">
        <v>17</v>
      </c>
      <c r="C15" s="5">
        <f>IF($C$8="แปะนอก",1,2)</f>
        <v>2</v>
      </c>
    </row>
    <row r="17" spans="1:7" ht="26.1" customHeight="1" x14ac:dyDescent="0.3">
      <c r="A17" s="6" t="s">
        <v>18</v>
      </c>
      <c r="B17" s="6" t="s">
        <v>19</v>
      </c>
      <c r="C17" s="6" t="s">
        <v>20</v>
      </c>
      <c r="D17" s="6" t="s">
        <v>21</v>
      </c>
      <c r="E17" s="6" t="s">
        <v>22</v>
      </c>
      <c r="F17" s="6" t="s">
        <v>23</v>
      </c>
      <c r="G17" s="6" t="s">
        <v>24</v>
      </c>
    </row>
    <row r="18" spans="1:7" ht="48" customHeight="1" x14ac:dyDescent="0.3">
      <c r="A18" s="7">
        <v>1</v>
      </c>
      <c r="B18" s="8" t="s">
        <v>25</v>
      </c>
      <c r="C18" s="9" t="s">
        <v>26</v>
      </c>
      <c r="D18" s="9"/>
      <c r="E18" s="10">
        <f>IF($C$8="ยัดในช่อง",$C$4,$C$4*$I$43)</f>
        <v>300</v>
      </c>
      <c r="F18" s="11">
        <f>$F$60</f>
        <v>1</v>
      </c>
      <c r="G18" s="12" t="s">
        <v>27</v>
      </c>
    </row>
    <row r="19" spans="1:7" ht="48" customHeight="1" x14ac:dyDescent="0.3">
      <c r="A19" s="7">
        <v>2</v>
      </c>
      <c r="B19" s="8" t="s">
        <v>28</v>
      </c>
      <c r="C19" s="9" t="s">
        <v>29</v>
      </c>
      <c r="D19" s="9"/>
      <c r="E19" s="10">
        <f>IF($C$8="ยัดในช่อง",$C$4-$F$44,$C$4*$I$44)</f>
        <v>295</v>
      </c>
      <c r="F19" s="11">
        <f>$C$14</f>
        <v>1</v>
      </c>
      <c r="G19" s="12" t="s">
        <v>30</v>
      </c>
    </row>
    <row r="20" spans="1:7" ht="48" customHeight="1" x14ac:dyDescent="0.3">
      <c r="A20" s="7">
        <v>3</v>
      </c>
      <c r="B20" s="8" t="s">
        <v>31</v>
      </c>
      <c r="C20" s="9" t="str">
        <f>IF($C$6=1,"1×2",IF($C$6=2,"1×4","1×3"))</f>
        <v>1×3</v>
      </c>
      <c r="D20" s="9"/>
      <c r="E20" s="10">
        <f>$C$5-$C$12</f>
        <v>237.5</v>
      </c>
      <c r="F20" s="11">
        <f>$C$15</f>
        <v>2</v>
      </c>
      <c r="G20" s="12" t="s">
        <v>32</v>
      </c>
    </row>
    <row r="21" spans="1:7" ht="48" customHeight="1" x14ac:dyDescent="0.3">
      <c r="A21" s="7">
        <v>4</v>
      </c>
      <c r="B21" s="8" t="s">
        <v>33</v>
      </c>
      <c r="C21" s="9" t="s">
        <v>34</v>
      </c>
      <c r="D21" s="9"/>
      <c r="E21" s="10">
        <f>($C$5-$C$12)-$F$46</f>
        <v>233.9</v>
      </c>
      <c r="F21" s="11">
        <f>$F$61</f>
        <v>2</v>
      </c>
      <c r="G21" s="12" t="s">
        <v>35</v>
      </c>
    </row>
    <row r="22" spans="1:7" ht="48" customHeight="1" x14ac:dyDescent="0.3">
      <c r="A22" s="7">
        <v>5</v>
      </c>
      <c r="B22" s="8" t="s">
        <v>36</v>
      </c>
      <c r="C22" s="9" t="s">
        <v>37</v>
      </c>
      <c r="D22" s="9"/>
      <c r="E22" s="10">
        <f>IF($C$8="ยัดในช่อง",($C$4-$F$47)/$C$6+$C$6*$I$47,(($C$4+$G$48-$F$48)/$C$6)+$C$6*$I$48)</f>
        <v>98.933333333333323</v>
      </c>
      <c r="F22" s="11">
        <f>$F$62*$C$6</f>
        <v>6</v>
      </c>
      <c r="G22" s="12" t="s">
        <v>38</v>
      </c>
    </row>
    <row r="23" spans="1:7" ht="48" customHeight="1" x14ac:dyDescent="0.3">
      <c r="A23" s="7">
        <v>6</v>
      </c>
      <c r="B23" s="8" t="s">
        <v>39</v>
      </c>
      <c r="C23" s="9" t="s">
        <v>40</v>
      </c>
      <c r="D23" s="9"/>
      <c r="E23" s="10">
        <f>($C$5-$C$12)-$F$49</f>
        <v>225.4</v>
      </c>
      <c r="F23" s="11">
        <f>$F$63*$C$6</f>
        <v>6</v>
      </c>
      <c r="G23" s="12" t="s">
        <v>41</v>
      </c>
    </row>
    <row r="24" spans="1:7" ht="48" customHeight="1" x14ac:dyDescent="0.3">
      <c r="A24" s="7">
        <v>7</v>
      </c>
      <c r="B24" s="8" t="s">
        <v>42</v>
      </c>
      <c r="C24" s="9" t="s">
        <v>43</v>
      </c>
      <c r="D24" s="9"/>
      <c r="E24" s="10">
        <f>($C$5-$C$12)-$F$50</f>
        <v>232.4</v>
      </c>
      <c r="F24" s="11">
        <f>IF($C$8="แปะนอก",$F$65,$F$64)</f>
        <v>2</v>
      </c>
      <c r="G24" s="12" t="s">
        <v>44</v>
      </c>
    </row>
    <row r="25" spans="1:7" ht="48" customHeight="1" x14ac:dyDescent="0.3">
      <c r="A25" s="7">
        <v>8</v>
      </c>
      <c r="B25" s="8" t="s">
        <v>45</v>
      </c>
      <c r="C25" s="9" t="s">
        <v>43</v>
      </c>
      <c r="D25" s="9"/>
      <c r="E25" s="10">
        <f>($C$5-$C$12)</f>
        <v>237.5</v>
      </c>
      <c r="F25" s="11">
        <f>$F$66</f>
        <v>0</v>
      </c>
      <c r="G25" s="12" t="s">
        <v>46</v>
      </c>
    </row>
    <row r="26" spans="1:7" ht="48" customHeight="1" x14ac:dyDescent="0.3">
      <c r="A26" s="7">
        <v>9</v>
      </c>
      <c r="B26" s="8" t="s">
        <v>47</v>
      </c>
      <c r="C26" s="9" t="s">
        <v>48</v>
      </c>
      <c r="D26" s="9"/>
      <c r="E26" s="10">
        <f>($C$5-$C$12)-$F$52</f>
        <v>232.4</v>
      </c>
      <c r="F26" s="11">
        <f>$C$14+$F$67+IF($C$8="แปะนอก",$F$68,0)</f>
        <v>2</v>
      </c>
      <c r="G26" s="12" t="s">
        <v>49</v>
      </c>
    </row>
    <row r="27" spans="1:7" ht="48" customHeight="1" x14ac:dyDescent="0.3">
      <c r="A27" s="7">
        <v>10</v>
      </c>
      <c r="B27" s="8" t="s">
        <v>50</v>
      </c>
      <c r="C27" s="9" t="str">
        <f>IF($C$10="X-J","เสามือจับ","")</f>
        <v>เสามือจับ</v>
      </c>
      <c r="D27" s="9"/>
      <c r="E27" s="10">
        <f>IF($C$10="X-J",$E$23,"")</f>
        <v>225.4</v>
      </c>
      <c r="F27" s="11">
        <f>IF($C$10="X-J",IF($C$9="เปิดคู่กลาง",$F$70,$F$69),"")</f>
        <v>2</v>
      </c>
      <c r="G27" s="12" t="s">
        <v>51</v>
      </c>
    </row>
    <row r="28" spans="1:7" ht="48" customHeight="1" x14ac:dyDescent="0.3">
      <c r="A28" s="7">
        <v>11</v>
      </c>
      <c r="B28" s="8" t="s">
        <v>52</v>
      </c>
      <c r="C28" s="9" t="s">
        <v>53</v>
      </c>
      <c r="D28" s="9"/>
      <c r="E28" s="10">
        <f>$C$4</f>
        <v>300</v>
      </c>
      <c r="F28" s="11">
        <f>$F$71</f>
        <v>2</v>
      </c>
      <c r="G28" s="12" t="s">
        <v>54</v>
      </c>
    </row>
    <row r="29" spans="1:7" ht="48" customHeight="1" x14ac:dyDescent="0.3">
      <c r="A29" s="7">
        <v>12</v>
      </c>
      <c r="B29" s="8" t="s">
        <v>55</v>
      </c>
      <c r="C29" s="9" t="s">
        <v>134</v>
      </c>
      <c r="D29" s="9"/>
      <c r="E29" s="10">
        <f>$E$19</f>
        <v>295</v>
      </c>
      <c r="F29" s="11">
        <f>$F$72</f>
        <v>2</v>
      </c>
      <c r="G29" s="12" t="s">
        <v>56</v>
      </c>
    </row>
    <row r="30" spans="1:7" ht="48" customHeight="1" x14ac:dyDescent="0.3">
      <c r="A30" s="7">
        <v>13</v>
      </c>
      <c r="B30" s="8" t="s">
        <v>57</v>
      </c>
      <c r="C30" s="9" t="s">
        <v>133</v>
      </c>
      <c r="D30" s="9"/>
      <c r="E30" s="10">
        <f>$E$19</f>
        <v>295</v>
      </c>
      <c r="F30" s="11">
        <f>$C$14-$F$73</f>
        <v>0</v>
      </c>
      <c r="G30" s="12" t="s">
        <v>58</v>
      </c>
    </row>
    <row r="31" spans="1:7" ht="48" customHeight="1" x14ac:dyDescent="0.3">
      <c r="A31" s="7"/>
      <c r="B31" s="8"/>
      <c r="C31" s="9"/>
      <c r="D31" s="9"/>
      <c r="E31" s="10"/>
      <c r="F31" s="11"/>
      <c r="G31" s="12"/>
    </row>
    <row r="32" spans="1:7" ht="48" customHeight="1" x14ac:dyDescent="0.3">
      <c r="A32" s="7"/>
      <c r="B32" s="21" t="s">
        <v>59</v>
      </c>
      <c r="C32" s="9"/>
      <c r="D32" s="9"/>
      <c r="E32" s="10"/>
      <c r="F32" s="11"/>
      <c r="G32" s="12"/>
    </row>
    <row r="33" spans="1:11" ht="48" customHeight="1" x14ac:dyDescent="0.3">
      <c r="A33" s="7"/>
      <c r="B33" s="22" t="s">
        <v>60</v>
      </c>
      <c r="C33" s="23" t="s">
        <v>61</v>
      </c>
      <c r="D33" s="24" t="s">
        <v>62</v>
      </c>
      <c r="E33" s="10"/>
      <c r="F33" s="11"/>
      <c r="G33" s="12"/>
    </row>
    <row r="34" spans="1:11" ht="48" customHeight="1" x14ac:dyDescent="0.3">
      <c r="A34" s="25" t="s">
        <v>18</v>
      </c>
      <c r="B34" s="25" t="s">
        <v>63</v>
      </c>
      <c r="C34" s="25" t="s">
        <v>64</v>
      </c>
      <c r="D34" s="25" t="s">
        <v>23</v>
      </c>
      <c r="E34" s="26" t="s">
        <v>65</v>
      </c>
      <c r="F34" s="25" t="s">
        <v>24</v>
      </c>
      <c r="G34" s="12"/>
    </row>
    <row r="35" spans="1:11" ht="48" customHeight="1" x14ac:dyDescent="0.3">
      <c r="A35" s="27">
        <v>1</v>
      </c>
      <c r="B35" s="28" t="s">
        <v>66</v>
      </c>
      <c r="C35" s="29" t="s">
        <v>67</v>
      </c>
      <c r="D35" s="29">
        <f>IF($C$6&lt;=1,1,2)</f>
        <v>2</v>
      </c>
      <c r="E35" s="30" t="s">
        <v>68</v>
      </c>
      <c r="F35" s="31" t="s">
        <v>69</v>
      </c>
      <c r="G35" s="12"/>
    </row>
    <row r="36" spans="1:11" ht="48" customHeight="1" x14ac:dyDescent="0.3">
      <c r="A36" s="27">
        <v>2</v>
      </c>
      <c r="B36" s="28" t="s">
        <v>70</v>
      </c>
      <c r="C36" s="29" t="s">
        <v>71</v>
      </c>
      <c r="D36" s="29">
        <f>IF($C$33="ซ้าย",MAX($C$6-2,0),0)</f>
        <v>1</v>
      </c>
      <c r="E36" s="30" t="s">
        <v>68</v>
      </c>
      <c r="F36" s="31" t="s">
        <v>72</v>
      </c>
      <c r="G36" s="12"/>
    </row>
    <row r="37" spans="1:11" ht="48" customHeight="1" x14ac:dyDescent="0.3">
      <c r="A37" s="27">
        <v>3</v>
      </c>
      <c r="B37" s="28" t="s">
        <v>73</v>
      </c>
      <c r="C37" s="29" t="s">
        <v>74</v>
      </c>
      <c r="D37" s="29">
        <f>IF($C$33="ขวา",MAX($C$6-2,0),0)</f>
        <v>0</v>
      </c>
      <c r="E37" s="30" t="s">
        <v>68</v>
      </c>
      <c r="F37" s="31" t="s">
        <v>75</v>
      </c>
      <c r="G37" s="12"/>
    </row>
    <row r="38" spans="1:11" ht="48" customHeight="1" x14ac:dyDescent="0.3">
      <c r="A38" s="27">
        <v>4</v>
      </c>
      <c r="B38" s="28" t="s">
        <v>76</v>
      </c>
      <c r="C38" s="29" t="s">
        <v>77</v>
      </c>
      <c r="D38" s="29">
        <f>2*$C$14</f>
        <v>2</v>
      </c>
      <c r="E38" s="30" t="s">
        <v>78</v>
      </c>
      <c r="F38" s="31" t="s">
        <v>79</v>
      </c>
      <c r="G38" s="12"/>
    </row>
    <row r="39" spans="1:11" ht="48" customHeight="1" x14ac:dyDescent="0.3">
      <c r="A39" s="7"/>
      <c r="B39" s="8"/>
      <c r="C39" s="9"/>
      <c r="D39" s="9"/>
      <c r="E39" s="10"/>
      <c r="F39" s="11"/>
      <c r="G39" s="12"/>
    </row>
    <row r="41" spans="1:11" ht="15" customHeight="1" x14ac:dyDescent="0.3">
      <c r="B41" s="38" t="s">
        <v>80</v>
      </c>
      <c r="C41" s="36"/>
      <c r="D41" s="36"/>
      <c r="E41" s="36"/>
      <c r="F41" s="36"/>
      <c r="G41" s="36"/>
      <c r="H41" s="36"/>
      <c r="I41" s="36"/>
      <c r="J41" s="36"/>
      <c r="K41" s="36"/>
    </row>
    <row r="42" spans="1:11" ht="26.1" customHeight="1" x14ac:dyDescent="0.3">
      <c r="B42" s="6" t="s">
        <v>19</v>
      </c>
      <c r="C42" s="6" t="s">
        <v>81</v>
      </c>
      <c r="D42" s="6" t="s">
        <v>82</v>
      </c>
      <c r="E42" s="6" t="s">
        <v>83</v>
      </c>
      <c r="F42" s="6" t="s">
        <v>84</v>
      </c>
      <c r="G42" s="6" t="s">
        <v>85</v>
      </c>
      <c r="H42" s="6" t="s">
        <v>86</v>
      </c>
      <c r="I42" s="6" t="s">
        <v>87</v>
      </c>
      <c r="J42" s="6" t="s">
        <v>22</v>
      </c>
      <c r="K42" s="6" t="s">
        <v>88</v>
      </c>
    </row>
    <row r="43" spans="1:11" ht="24" customHeight="1" x14ac:dyDescent="0.3">
      <c r="B43" s="13" t="s">
        <v>25</v>
      </c>
      <c r="C43" s="14" t="s">
        <v>89</v>
      </c>
      <c r="D43" s="15">
        <f>$C$4</f>
        <v>300</v>
      </c>
      <c r="E43" s="16"/>
      <c r="F43" s="17"/>
      <c r="G43" s="17"/>
      <c r="H43" s="18"/>
      <c r="I43" s="19">
        <v>2</v>
      </c>
      <c r="J43" s="4">
        <f>$E$18</f>
        <v>300</v>
      </c>
      <c r="K43" s="12" t="s">
        <v>90</v>
      </c>
    </row>
    <row r="44" spans="1:11" ht="24" customHeight="1" x14ac:dyDescent="0.3">
      <c r="B44" s="13" t="s">
        <v>28</v>
      </c>
      <c r="C44" s="14" t="s">
        <v>89</v>
      </c>
      <c r="D44" s="15">
        <f>$C$4</f>
        <v>300</v>
      </c>
      <c r="E44" s="16"/>
      <c r="F44" s="19">
        <v>5</v>
      </c>
      <c r="G44" s="17"/>
      <c r="H44" s="18"/>
      <c r="I44" s="19">
        <v>2</v>
      </c>
      <c r="J44" s="4">
        <f>$E$19</f>
        <v>295</v>
      </c>
      <c r="K44" s="12" t="s">
        <v>91</v>
      </c>
    </row>
    <row r="45" spans="1:11" ht="24" customHeight="1" x14ac:dyDescent="0.3">
      <c r="B45" s="13" t="s">
        <v>31</v>
      </c>
      <c r="C45" s="14" t="s">
        <v>92</v>
      </c>
      <c r="D45" s="15">
        <f>$C$5</f>
        <v>240</v>
      </c>
      <c r="E45" s="15">
        <f>$C$12</f>
        <v>2.5</v>
      </c>
      <c r="F45" s="17"/>
      <c r="G45" s="17"/>
      <c r="H45" s="18"/>
      <c r="I45" s="17"/>
      <c r="J45" s="4">
        <f>$E$20</f>
        <v>237.5</v>
      </c>
      <c r="K45" s="12" t="s">
        <v>93</v>
      </c>
    </row>
    <row r="46" spans="1:11" ht="24" customHeight="1" x14ac:dyDescent="0.3">
      <c r="B46" s="13" t="s">
        <v>33</v>
      </c>
      <c r="C46" s="14" t="s">
        <v>94</v>
      </c>
      <c r="D46" s="15">
        <f>$E$20</f>
        <v>237.5</v>
      </c>
      <c r="E46" s="16"/>
      <c r="F46" s="19">
        <v>3.6</v>
      </c>
      <c r="G46" s="17"/>
      <c r="H46" s="18"/>
      <c r="I46" s="17"/>
      <c r="J46" s="4">
        <f>$E$21</f>
        <v>233.9</v>
      </c>
      <c r="K46" s="12" t="s">
        <v>95</v>
      </c>
    </row>
    <row r="47" spans="1:11" ht="24" customHeight="1" x14ac:dyDescent="0.3">
      <c r="B47" s="13" t="s">
        <v>96</v>
      </c>
      <c r="C47" s="14" t="s">
        <v>89</v>
      </c>
      <c r="D47" s="15">
        <f>$C$4</f>
        <v>300</v>
      </c>
      <c r="E47" s="16"/>
      <c r="F47" s="19">
        <v>5</v>
      </c>
      <c r="G47" s="17"/>
      <c r="H47" s="20">
        <f>$C$6</f>
        <v>3</v>
      </c>
      <c r="I47" s="19">
        <v>0.2</v>
      </c>
      <c r="J47" s="4">
        <f>$E$22</f>
        <v>98.933333333333323</v>
      </c>
      <c r="K47" s="12" t="s">
        <v>97</v>
      </c>
    </row>
    <row r="48" spans="1:11" ht="24" customHeight="1" x14ac:dyDescent="0.3">
      <c r="B48" s="13" t="s">
        <v>98</v>
      </c>
      <c r="C48" s="14" t="s">
        <v>89</v>
      </c>
      <c r="D48" s="15">
        <f>$C$4</f>
        <v>300</v>
      </c>
      <c r="E48" s="16"/>
      <c r="F48" s="19">
        <v>2.5</v>
      </c>
      <c r="G48" s="19">
        <v>1.7</v>
      </c>
      <c r="H48" s="20">
        <f>$C$6</f>
        <v>3</v>
      </c>
      <c r="I48" s="19">
        <v>0.2</v>
      </c>
      <c r="J48" s="4">
        <f>$E$22</f>
        <v>98.933333333333323</v>
      </c>
      <c r="K48" s="12" t="s">
        <v>99</v>
      </c>
    </row>
    <row r="49" spans="2:11" ht="24" customHeight="1" x14ac:dyDescent="0.3">
      <c r="B49" s="13" t="s">
        <v>39</v>
      </c>
      <c r="C49" s="14" t="s">
        <v>92</v>
      </c>
      <c r="D49" s="15">
        <f>$C$5</f>
        <v>240</v>
      </c>
      <c r="E49" s="15">
        <f>$C$12</f>
        <v>2.5</v>
      </c>
      <c r="F49" s="19">
        <v>12.1</v>
      </c>
      <c r="G49" s="17"/>
      <c r="H49" s="18"/>
      <c r="I49" s="17"/>
      <c r="J49" s="4">
        <f>$E$23</f>
        <v>225.4</v>
      </c>
      <c r="K49" s="12" t="s">
        <v>41</v>
      </c>
    </row>
    <row r="50" spans="2:11" ht="24" customHeight="1" x14ac:dyDescent="0.3">
      <c r="B50" s="13" t="s">
        <v>100</v>
      </c>
      <c r="C50" s="14" t="s">
        <v>92</v>
      </c>
      <c r="D50" s="15">
        <f>$C$5</f>
        <v>240</v>
      </c>
      <c r="E50" s="15">
        <f>$C$12</f>
        <v>2.5</v>
      </c>
      <c r="F50" s="19">
        <v>5.0999999999999996</v>
      </c>
      <c r="G50" s="17"/>
      <c r="H50" s="18"/>
      <c r="I50" s="17"/>
      <c r="J50" s="4">
        <f>$E$24</f>
        <v>232.4</v>
      </c>
      <c r="K50" s="12"/>
    </row>
    <row r="51" spans="2:11" ht="24" customHeight="1" x14ac:dyDescent="0.3">
      <c r="B51" s="13" t="s">
        <v>101</v>
      </c>
      <c r="C51" s="14" t="s">
        <v>92</v>
      </c>
      <c r="D51" s="15">
        <f>$C$5</f>
        <v>240</v>
      </c>
      <c r="E51" s="15">
        <f>$C$12</f>
        <v>2.5</v>
      </c>
      <c r="F51" s="17"/>
      <c r="G51" s="17"/>
      <c r="H51" s="18"/>
      <c r="I51" s="17"/>
      <c r="J51" s="4">
        <f>$E$25</f>
        <v>237.5</v>
      </c>
      <c r="K51" s="12" t="s">
        <v>102</v>
      </c>
    </row>
    <row r="52" spans="2:11" ht="24" customHeight="1" x14ac:dyDescent="0.3">
      <c r="B52" s="13" t="s">
        <v>103</v>
      </c>
      <c r="C52" s="14" t="s">
        <v>92</v>
      </c>
      <c r="D52" s="15">
        <f>$C$5</f>
        <v>240</v>
      </c>
      <c r="E52" s="15">
        <f>$C$12</f>
        <v>2.5</v>
      </c>
      <c r="F52" s="19">
        <v>5.0999999999999996</v>
      </c>
      <c r="G52" s="17"/>
      <c r="H52" s="18"/>
      <c r="I52" s="17"/>
      <c r="J52" s="4">
        <f>$E$26</f>
        <v>232.4</v>
      </c>
      <c r="K52" s="12" t="s">
        <v>104</v>
      </c>
    </row>
    <row r="53" spans="2:11" ht="24" customHeight="1" x14ac:dyDescent="0.3">
      <c r="B53" s="13" t="s">
        <v>50</v>
      </c>
      <c r="C53" s="14" t="s">
        <v>51</v>
      </c>
      <c r="D53" s="15">
        <f>$E$23</f>
        <v>225.4</v>
      </c>
      <c r="E53" s="16"/>
      <c r="F53" s="17"/>
      <c r="G53" s="17"/>
      <c r="H53" s="18"/>
      <c r="I53" s="17"/>
      <c r="J53" s="4">
        <f>$E$27</f>
        <v>225.4</v>
      </c>
      <c r="K53" s="12" t="s">
        <v>105</v>
      </c>
    </row>
    <row r="54" spans="2:11" ht="24" customHeight="1" x14ac:dyDescent="0.3">
      <c r="B54" s="13" t="s">
        <v>52</v>
      </c>
      <c r="C54" s="14" t="s">
        <v>106</v>
      </c>
      <c r="D54" s="15">
        <f>$C$4</f>
        <v>300</v>
      </c>
      <c r="E54" s="16"/>
      <c r="F54" s="17"/>
      <c r="G54" s="17"/>
      <c r="H54" s="18"/>
      <c r="I54" s="17"/>
      <c r="J54" s="4">
        <f>$E$28</f>
        <v>300</v>
      </c>
      <c r="K54" s="12" t="s">
        <v>107</v>
      </c>
    </row>
    <row r="55" spans="2:11" ht="24" customHeight="1" x14ac:dyDescent="0.3">
      <c r="B55" s="13" t="s">
        <v>55</v>
      </c>
      <c r="C55" s="14" t="s">
        <v>56</v>
      </c>
      <c r="D55" s="15">
        <f>$E$19</f>
        <v>295</v>
      </c>
      <c r="E55" s="16"/>
      <c r="F55" s="17"/>
      <c r="G55" s="17"/>
      <c r="H55" s="18"/>
      <c r="I55" s="17"/>
      <c r="J55" s="4">
        <f>$E$29</f>
        <v>295</v>
      </c>
      <c r="K55" s="12" t="s">
        <v>107</v>
      </c>
    </row>
    <row r="56" spans="2:11" ht="24" customHeight="1" x14ac:dyDescent="0.3">
      <c r="B56" s="13" t="s">
        <v>57</v>
      </c>
      <c r="C56" s="14" t="s">
        <v>56</v>
      </c>
      <c r="D56" s="15">
        <f>$E$19</f>
        <v>295</v>
      </c>
      <c r="E56" s="16"/>
      <c r="F56" s="17"/>
      <c r="G56" s="17"/>
      <c r="H56" s="18"/>
      <c r="I56" s="17"/>
      <c r="J56" s="4">
        <f>$E$30</f>
        <v>295</v>
      </c>
      <c r="K56" s="12" t="s">
        <v>108</v>
      </c>
    </row>
    <row r="58" spans="2:11" ht="15" customHeight="1" x14ac:dyDescent="0.3">
      <c r="B58" s="41" t="s">
        <v>109</v>
      </c>
      <c r="C58" s="36"/>
      <c r="D58" s="36"/>
      <c r="E58" s="36"/>
      <c r="F58" s="36"/>
      <c r="G58" s="36"/>
      <c r="H58" s="36"/>
      <c r="I58" s="36"/>
      <c r="J58" s="36"/>
      <c r="K58" s="36"/>
    </row>
    <row r="59" spans="2:11" ht="15" customHeight="1" x14ac:dyDescent="0.3">
      <c r="B59" s="39" t="s">
        <v>110</v>
      </c>
      <c r="C59" s="33"/>
      <c r="D59" s="33"/>
      <c r="E59" s="34"/>
      <c r="F59" s="40" t="s">
        <v>82</v>
      </c>
      <c r="G59" s="33"/>
      <c r="H59" s="33"/>
      <c r="I59" s="33"/>
      <c r="J59" s="33"/>
      <c r="K59" s="34"/>
    </row>
    <row r="60" spans="2:11" ht="18.75" customHeight="1" x14ac:dyDescent="0.3">
      <c r="B60" s="32" t="s">
        <v>111</v>
      </c>
      <c r="C60" s="33"/>
      <c r="D60" s="33"/>
      <c r="E60" s="34"/>
      <c r="F60" s="37">
        <v>1</v>
      </c>
      <c r="G60" s="33"/>
      <c r="H60" s="33"/>
      <c r="I60" s="33"/>
      <c r="J60" s="33"/>
      <c r="K60" s="34"/>
    </row>
    <row r="61" spans="2:11" ht="18.75" customHeight="1" x14ac:dyDescent="0.3">
      <c r="B61" s="32" t="s">
        <v>112</v>
      </c>
      <c r="C61" s="33"/>
      <c r="D61" s="33"/>
      <c r="E61" s="34"/>
      <c r="F61" s="37">
        <v>2</v>
      </c>
      <c r="G61" s="33"/>
      <c r="H61" s="33"/>
      <c r="I61" s="33"/>
      <c r="J61" s="33"/>
      <c r="K61" s="34"/>
    </row>
    <row r="62" spans="2:11" ht="18.75" customHeight="1" x14ac:dyDescent="0.3">
      <c r="B62" s="32" t="s">
        <v>113</v>
      </c>
      <c r="C62" s="33"/>
      <c r="D62" s="33"/>
      <c r="E62" s="34"/>
      <c r="F62" s="37">
        <v>2</v>
      </c>
      <c r="G62" s="33"/>
      <c r="H62" s="33"/>
      <c r="I62" s="33"/>
      <c r="J62" s="33"/>
      <c r="K62" s="34"/>
    </row>
    <row r="63" spans="2:11" ht="18.75" customHeight="1" x14ac:dyDescent="0.3">
      <c r="B63" s="32" t="s">
        <v>114</v>
      </c>
      <c r="C63" s="33"/>
      <c r="D63" s="33"/>
      <c r="E63" s="34"/>
      <c r="F63" s="37">
        <v>2</v>
      </c>
      <c r="G63" s="33"/>
      <c r="H63" s="33"/>
      <c r="I63" s="33"/>
      <c r="J63" s="33"/>
      <c r="K63" s="34"/>
    </row>
    <row r="64" spans="2:11" ht="18.75" customHeight="1" x14ac:dyDescent="0.3">
      <c r="B64" s="32" t="s">
        <v>115</v>
      </c>
      <c r="C64" s="33"/>
      <c r="D64" s="33"/>
      <c r="E64" s="34"/>
      <c r="F64" s="37">
        <v>2</v>
      </c>
      <c r="G64" s="33"/>
      <c r="H64" s="33"/>
      <c r="I64" s="33"/>
      <c r="J64" s="33"/>
      <c r="K64" s="34"/>
    </row>
    <row r="65" spans="2:11" ht="18.75" customHeight="1" x14ac:dyDescent="0.3">
      <c r="B65" s="32" t="s">
        <v>116</v>
      </c>
      <c r="C65" s="33"/>
      <c r="D65" s="33"/>
      <c r="E65" s="34"/>
      <c r="F65" s="37">
        <v>1</v>
      </c>
      <c r="G65" s="33"/>
      <c r="H65" s="33"/>
      <c r="I65" s="33"/>
      <c r="J65" s="33"/>
      <c r="K65" s="34"/>
    </row>
    <row r="66" spans="2:11" ht="18.75" customHeight="1" x14ac:dyDescent="0.3">
      <c r="B66" s="32" t="s">
        <v>117</v>
      </c>
      <c r="C66" s="33"/>
      <c r="D66" s="33"/>
      <c r="E66" s="34"/>
      <c r="F66" s="37">
        <v>0</v>
      </c>
      <c r="G66" s="33"/>
      <c r="H66" s="33"/>
      <c r="I66" s="33"/>
      <c r="J66" s="33"/>
      <c r="K66" s="34"/>
    </row>
    <row r="67" spans="2:11" ht="18.75" customHeight="1" x14ac:dyDescent="0.3">
      <c r="B67" s="32" t="s">
        <v>118</v>
      </c>
      <c r="C67" s="33"/>
      <c r="D67" s="33"/>
      <c r="E67" s="34"/>
      <c r="F67" s="37">
        <v>1</v>
      </c>
      <c r="G67" s="33"/>
      <c r="H67" s="33"/>
      <c r="I67" s="33"/>
      <c r="J67" s="33"/>
      <c r="K67" s="34"/>
    </row>
    <row r="68" spans="2:11" ht="18.75" customHeight="1" x14ac:dyDescent="0.3">
      <c r="B68" s="32" t="s">
        <v>119</v>
      </c>
      <c r="C68" s="33"/>
      <c r="D68" s="33"/>
      <c r="E68" s="34"/>
      <c r="F68" s="37">
        <v>1</v>
      </c>
      <c r="G68" s="33"/>
      <c r="H68" s="33"/>
      <c r="I68" s="33"/>
      <c r="J68" s="33"/>
      <c r="K68" s="34"/>
    </row>
    <row r="69" spans="2:11" ht="18.75" customHeight="1" x14ac:dyDescent="0.3">
      <c r="B69" s="32" t="s">
        <v>120</v>
      </c>
      <c r="C69" s="33"/>
      <c r="D69" s="33"/>
      <c r="E69" s="34"/>
      <c r="F69" s="37">
        <v>2</v>
      </c>
      <c r="G69" s="33"/>
      <c r="H69" s="33"/>
      <c r="I69" s="33"/>
      <c r="J69" s="33"/>
      <c r="K69" s="34"/>
    </row>
    <row r="70" spans="2:11" ht="18.75" customHeight="1" x14ac:dyDescent="0.3">
      <c r="B70" s="32" t="s">
        <v>121</v>
      </c>
      <c r="C70" s="33"/>
      <c r="D70" s="33"/>
      <c r="E70" s="34"/>
      <c r="F70" s="37">
        <v>4</v>
      </c>
      <c r="G70" s="33"/>
      <c r="H70" s="33"/>
      <c r="I70" s="33"/>
      <c r="J70" s="33"/>
      <c r="K70" s="34"/>
    </row>
    <row r="71" spans="2:11" ht="18.75" customHeight="1" x14ac:dyDescent="0.3">
      <c r="B71" s="32" t="s">
        <v>122</v>
      </c>
      <c r="C71" s="33"/>
      <c r="D71" s="33"/>
      <c r="E71" s="34"/>
      <c r="F71" s="37">
        <v>2</v>
      </c>
      <c r="G71" s="33"/>
      <c r="H71" s="33"/>
      <c r="I71" s="33"/>
      <c r="J71" s="33"/>
      <c r="K71" s="34"/>
    </row>
    <row r="72" spans="2:11" ht="18.75" customHeight="1" x14ac:dyDescent="0.3">
      <c r="B72" s="32" t="s">
        <v>123</v>
      </c>
      <c r="C72" s="33"/>
      <c r="D72" s="33"/>
      <c r="E72" s="34"/>
      <c r="F72" s="37">
        <v>2</v>
      </c>
      <c r="G72" s="33"/>
      <c r="H72" s="33"/>
      <c r="I72" s="33"/>
      <c r="J72" s="33"/>
      <c r="K72" s="34"/>
    </row>
    <row r="73" spans="2:11" ht="18.75" customHeight="1" x14ac:dyDescent="0.3">
      <c r="B73" s="32" t="s">
        <v>124</v>
      </c>
      <c r="C73" s="33"/>
      <c r="D73" s="33"/>
      <c r="E73" s="34"/>
      <c r="F73" s="37">
        <v>1</v>
      </c>
      <c r="G73" s="33"/>
      <c r="H73" s="33"/>
      <c r="I73" s="33"/>
      <c r="J73" s="33"/>
      <c r="K73" s="34"/>
    </row>
    <row r="75" spans="2:11" ht="26.1" customHeight="1" x14ac:dyDescent="0.3">
      <c r="B75" s="41" t="s">
        <v>125</v>
      </c>
      <c r="C75" s="36"/>
    </row>
    <row r="76" spans="2:11" ht="15" customHeight="1" x14ac:dyDescent="0.3">
      <c r="B76" s="6" t="s">
        <v>25</v>
      </c>
      <c r="C76" s="6" t="s">
        <v>126</v>
      </c>
    </row>
    <row r="77" spans="2:11" ht="15" customHeight="1" x14ac:dyDescent="0.3">
      <c r="B77" s="7" t="s">
        <v>127</v>
      </c>
      <c r="C77" s="19">
        <v>2.5</v>
      </c>
    </row>
    <row r="78" spans="2:11" ht="15" customHeight="1" x14ac:dyDescent="0.3">
      <c r="B78" s="7" t="s">
        <v>128</v>
      </c>
      <c r="C78" s="19">
        <v>5</v>
      </c>
    </row>
    <row r="79" spans="2:11" ht="15" customHeight="1" x14ac:dyDescent="0.3">
      <c r="B79" s="7" t="s">
        <v>6</v>
      </c>
      <c r="C79" s="19">
        <v>2.5</v>
      </c>
    </row>
    <row r="80" spans="2:11" ht="15" customHeight="1" x14ac:dyDescent="0.3">
      <c r="B80" s="7" t="s">
        <v>129</v>
      </c>
      <c r="C80" s="19">
        <v>5</v>
      </c>
    </row>
    <row r="81" spans="2:3" ht="15" customHeight="1" x14ac:dyDescent="0.3">
      <c r="B81" s="7" t="s">
        <v>130</v>
      </c>
      <c r="C81" s="19">
        <v>2.5</v>
      </c>
    </row>
    <row r="82" spans="2:3" ht="15" customHeight="1" x14ac:dyDescent="0.3">
      <c r="B82" s="7" t="s">
        <v>131</v>
      </c>
      <c r="C82" s="19">
        <v>10.199999999999999</v>
      </c>
    </row>
    <row r="83" spans="2:3" ht="15" customHeight="1" x14ac:dyDescent="0.3">
      <c r="B83" s="7" t="s">
        <v>132</v>
      </c>
      <c r="C83" s="19">
        <v>10.199999999999999</v>
      </c>
    </row>
  </sheetData>
  <mergeCells count="36">
    <mergeCell ref="B75:C75"/>
    <mergeCell ref="F73:K73"/>
    <mergeCell ref="F69:K69"/>
    <mergeCell ref="F64:K64"/>
    <mergeCell ref="A1:K2"/>
    <mergeCell ref="B60:E60"/>
    <mergeCell ref="B67:E67"/>
    <mergeCell ref="B61:E61"/>
    <mergeCell ref="F63:K63"/>
    <mergeCell ref="F65:K65"/>
    <mergeCell ref="F68:K68"/>
    <mergeCell ref="B73:E73"/>
    <mergeCell ref="B69:E69"/>
    <mergeCell ref="F72:K72"/>
    <mergeCell ref="B63:E63"/>
    <mergeCell ref="B41:K41"/>
    <mergeCell ref="B11:C11"/>
    <mergeCell ref="B62:E62"/>
    <mergeCell ref="F71:K71"/>
    <mergeCell ref="B72:E72"/>
    <mergeCell ref="F67:K67"/>
    <mergeCell ref="B59:E59"/>
    <mergeCell ref="F61:K61"/>
    <mergeCell ref="B66:E66"/>
    <mergeCell ref="B71:E71"/>
    <mergeCell ref="F59:K59"/>
    <mergeCell ref="B58:K58"/>
    <mergeCell ref="F60:K60"/>
    <mergeCell ref="B70:E70"/>
    <mergeCell ref="B65:E65"/>
    <mergeCell ref="B3:C3"/>
    <mergeCell ref="B68:E68"/>
    <mergeCell ref="B64:E64"/>
    <mergeCell ref="F70:K70"/>
    <mergeCell ref="F66:K66"/>
    <mergeCell ref="F62:K62"/>
  </mergeCells>
  <dataValidations count="1">
    <dataValidation type="list" sqref="C33" xr:uid="{00000000-0002-0000-0000-000000000000}">
      <formula1>"ซ้าย,ขวา"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SlimLux เลื่อน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JR Aluminium</cp:lastModifiedBy>
  <cp:revision>1</cp:revision>
  <dcterms:created xsi:type="dcterms:W3CDTF">2026-07-01T03:07:17Z</dcterms:created>
  <dcterms:modified xsi:type="dcterms:W3CDTF">2026-08-21T10:19:12Z</dcterms:modified>
  <dc:language>en-US</dc:language>
</cp:coreProperties>
</file>