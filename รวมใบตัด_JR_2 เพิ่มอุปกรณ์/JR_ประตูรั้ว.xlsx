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ประตูรั้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<sst xmlns="http://schemas.openxmlformats.org/spreadsheetml/2006/main" count="159" uniqueCount="129">
  <si>
    <t xml:space="preserve">JR — ใบตัดประตูรั้วบานเลื่อน · กล่อง 2×4 (มุม 45°) + หางเสือ +30</t>
  </si>
  <si>
    <t xml:space="preserve">idx</t>
  </si>
  <si>
    <t xml:space="preserve">A/B</t>
  </si>
  <si>
    <t xml:space="preserve">หน้า</t>
  </si>
  <si>
    <t xml:space="preserve">สะสม</t>
  </si>
  <si>
    <t xml:space="preserve">ตำแหน่ง</t>
  </si>
  <si>
    <t xml:space="preserve">A</t>
  </si>
  <si>
    <t xml:space="preserve">B</t>
  </si>
  <si>
    <t xml:space="preserve">นับ</t>
  </si>
  <si>
    <t xml:space="preserve">กล่อง→หน้า</t>
  </si>
  <si>
    <t xml:space="preserve">หน้า A / B</t>
  </si>
  <si>
    <t xml:space="preserve">① กรอก (ช่องเหลือง)</t>
  </si>
  <si>
    <t xml:space="preserve">② คำนวณ</t>
  </si>
  <si>
    <t xml:space="preserve">② สลับ</t>
  </si>
  <si>
    <t xml:space="preserve">ด้านโชว์</t>
  </si>
  <si>
    <t xml:space="preserve">ซม.</t>
  </si>
  <si>
    <t xml:space="preserve">กล่อง 1×5 cm</t>
  </si>
  <si>
    <t xml:space="preserve">1 cm</t>
  </si>
  <si>
    <t xml:space="preserve">5 cm</t>
  </si>
  <si>
    <t xml:space="preserve">แบบประกอบ →</t>
  </si>
  <si>
    <t xml:space="preserve">ยัดใน</t>
  </si>
  <si>
    <t xml:space="preserve">เสาตั้ง (ยัดใน H−15.5/แปะนอก H−17.5)</t>
  </si>
  <si>
    <t xml:space="preserve">โชว์ B (ซม.)</t>
  </si>
  <si>
    <t xml:space="preserve">กล่อง 1"×1"</t>
  </si>
  <si>
    <t xml:space="preserve">1"</t>
  </si>
  <si>
    <t xml:space="preserve">กว้างช่อง W (ซม.) →</t>
  </si>
  <si>
    <t xml:space="preserve">เสานอน / ช่องกว้าง (W)</t>
  </si>
  <si>
    <t xml:space="preserve">ท่อนรวม (สลับ)</t>
  </si>
  <si>
    <t xml:space="preserve">กล่อง 1"×1½"</t>
  </si>
  <si>
    <t xml:space="preserve">1½"</t>
  </si>
  <si>
    <t xml:space="preserve">สูงช่อง H (ซม.) →</t>
  </si>
  <si>
    <t xml:space="preserve">โชว์ A (ซม.)</t>
  </si>
  <si>
    <t xml:space="preserve">ท่อน A</t>
  </si>
  <si>
    <t xml:space="preserve">กล่อง 1"×1.6"</t>
  </si>
  <si>
    <t xml:space="preserve">1.6"</t>
  </si>
  <si>
    <t xml:space="preserve">แนวระแนง →</t>
  </si>
  <si>
    <t xml:space="preserve">ตั้ง</t>
  </si>
  <si>
    <t xml:space="preserve">pitch A = โชว์A+ห่าง</t>
  </si>
  <si>
    <t xml:space="preserve">ท่อน B</t>
  </si>
  <si>
    <t xml:space="preserve">กล่อง 1"×4"</t>
  </si>
  <si>
    <t xml:space="preserve">4"</t>
  </si>
  <si>
    <t xml:space="preserve">ชนิดใบ →</t>
  </si>
  <si>
    <t xml:space="preserve">ระแนง</t>
  </si>
  <si>
    <t xml:space="preserve">ช่วงกระจาย (ตั้ง=เสานอน/นอน=เสาตั้ง)</t>
  </si>
  <si>
    <t xml:space="preserve">หน้ารวม (ซม.)</t>
  </si>
  <si>
    <t xml:space="preserve">กล่อง 1.6"×1.6"</t>
  </si>
  <si>
    <t xml:space="preserve">กล่องใบระแนง (A) →</t>
  </si>
  <si>
    <t xml:space="preserve">ยาว/ใบระแนง</t>
  </si>
  <si>
    <t xml:space="preserve">ห่างจริง (สลับ)</t>
  </si>
  <si>
    <t xml:space="preserve">กล่อง 1.6"×4"</t>
  </si>
  <si>
    <t xml:space="preserve">ด้านโชว์ (A) →</t>
  </si>
  <si>
    <t xml:space="preserve">nf เดี่ยว</t>
  </si>
  <si>
    <t xml:space="preserve">ช่องห่างที่ต้องการ (ซม.) →</t>
  </si>
  <si>
    <t xml:space="preserve">ใบ (เดี่ยว)</t>
  </si>
  <si>
    <t xml:space="preserve">▶ จำนวนใบใช้งาน</t>
  </si>
  <si>
    <t xml:space="preserve">รุ่นกล่อง</t>
  </si>
  <si>
    <t xml:space="preserve">[สลับ] กล่อง B →</t>
  </si>
  <si>
    <t xml:space="preserve">ห่างจริง (เดี่ยว)</t>
  </si>
  <si>
    <t xml:space="preserve">▶ ระยะห่างจริงใช้งาน</t>
  </si>
  <si>
    <t xml:space="preserve">[สลับ] ด้านโชว์ B →</t>
  </si>
  <si>
    <t xml:space="preserve">เส้นทแยงค้ำหาง</t>
  </si>
  <si>
    <t xml:space="preserve">[สลับ] A กี่ท่อน/ชุด →</t>
  </si>
  <si>
    <t xml:space="preserve">⑥ แผงแก้ค่า (แก้ที่เดียว)</t>
  </si>
  <si>
    <t xml:space="preserve">[สลับ] B กี่ท่อน/ชุด →</t>
  </si>
  <si>
    <t xml:space="preserve">หักเสาตั้ง ยัดใน</t>
  </si>
  <si>
    <t xml:space="preserve">③ ใบตัด — โครง 2×4 (45°) + หาง + ระแนง</t>
  </si>
  <si>
    <t xml:space="preserve">หักเสาตั้ง แปะนอก</t>
  </si>
  <si>
    <t xml:space="preserve">#</t>
  </si>
  <si>
    <t xml:space="preserve">รายการ</t>
  </si>
  <si>
    <t xml:space="preserve">ยาวตัด(ซม.)</t>
  </si>
  <si>
    <t xml:space="preserve">จำนวน</t>
  </si>
  <si>
    <t xml:space="preserve">ยาวรวม(ซม.)</t>
  </si>
  <si>
    <t xml:space="preserve">หมายเหตุ</t>
  </si>
  <si>
    <t xml:space="preserve">หักใบระแนง ยัดใน</t>
  </si>
  <si>
    <t xml:space="preserve">เสาตั้งข้าง (2×4)</t>
  </si>
  <si>
    <t xml:space="preserve">ยัดใน H−15.5 / แปะนอก H−17.5</t>
  </si>
  <si>
    <t xml:space="preserve">บวกใบระแนง แปะนอก</t>
  </si>
  <si>
    <t xml:space="preserve">เสานอนบน (2×4, รวมหาง)</t>
  </si>
  <si>
    <t xml:space="preserve">W+30</t>
  </si>
  <si>
    <t xml:space="preserve">หางยื่น</t>
  </si>
  <si>
    <t xml:space="preserve">เสานอนล่าง (2×4, รวมหาง)</t>
  </si>
  <si>
    <t xml:space="preserve">W+30 (เหมือนบน)</t>
  </si>
  <si>
    <t xml:space="preserve">หางหน้าลง</t>
  </si>
  <si>
    <t xml:space="preserve">เสาตั้งท้ายหาง (2×4)</t>
  </si>
  <si>
    <t xml:space="preserve">เท่าเสาตั้ง</t>
  </si>
  <si>
    <t xml:space="preserve">หางท้ายลง</t>
  </si>
  <si>
    <t xml:space="preserve">เส้นทแยงค้ำมุมบน (2×4)</t>
  </si>
  <si>
    <t xml:space="preserve">√(30²+25²) หน้า40→ท้าย15</t>
  </si>
  <si>
    <t xml:space="preserve">บวกเสารับ แปะนอก</t>
  </si>
  <si>
    <t xml:space="preserve">แนว=B6 · คิดแค่ช่อง</t>
  </si>
  <si>
    <t xml:space="preserve">หักราง</t>
  </si>
  <si>
    <t xml:space="preserve">เฉพาะระแนงสลับ · ยาวเท่า A</t>
  </si>
  <si>
    <t xml:space="preserve">ยาวเส้นสต็อก(ซม.)</t>
  </si>
  <si>
    <t xml:space="preserve">ฉากข้อ 2" (เฉพาะแปะนอก)</t>
  </si>
  <si>
    <t xml:space="preserve">ยาว=เสานอน(W)</t>
  </si>
  <si>
    <t xml:space="preserve">เสารับไกด์ (4×4) — เสาแยก</t>
  </si>
  <si>
    <t xml:space="preserve">ยัดใน H / แปะนอก H+5</t>
  </si>
  <si>
    <t xml:space="preserve">ราง ฉากเหล็ก 1.5"+เพลา 4หุน</t>
  </si>
  <si>
    <t xml:space="preserve">ยาว=กว้าง×2−50</t>
  </si>
  <si>
    <t xml:space="preserve">④ สรุปจำนวนเส้น (ท่อน 6 ม.)</t>
  </si>
  <si>
    <t xml:space="preserve">โปรไฟล์</t>
  </si>
  <si>
    <t xml:space="preserve">เส้น/ชุด</t>
  </si>
  <si>
    <t xml:space="preserve">ที่มา</t>
  </si>
  <si>
    <t xml:space="preserve">กล่อง 2×4 (โครง+หาง)</t>
  </si>
  <si>
    <t xml:space="preserve">เสาตั้ง+นอน+ท้าย+ทแยง</t>
  </si>
  <si>
    <t xml:space="preserve">ใบระแนง A</t>
  </si>
  <si>
    <t xml:space="preserve">ยาวใบ×จำนวน A</t>
  </si>
  <si>
    <t xml:space="preserve">ใบระแนง B (สลับ)</t>
  </si>
  <si>
    <t xml:space="preserve">เฉพาะระแนงสลับ</t>
  </si>
  <si>
    <t xml:space="preserve">ฉากข้อ 2" (แปะนอก)</t>
  </si>
  <si>
    <t xml:space="preserve">เฉพาะแปะนอก</t>
  </si>
  <si>
    <t xml:space="preserve">เสารับไกด์ 4×4</t>
  </si>
  <si>
    <t xml:space="preserve">เสาแยก</t>
  </si>
  <si>
    <t xml:space="preserve">ราง (ชุด 6 ม.)</t>
  </si>
  <si>
    <t xml:space="preserve">กว้าง×2−50</t>
  </si>
  <si>
    <t xml:space="preserve">⑤ อุปกรณ์ (ต่อ 1 ประตู) — ไม่สต็อก ซื้อต่อออเดอร์ เว้นรหัส</t>
  </si>
  <si>
    <t xml:space="preserve">อุปกรณ์</t>
  </si>
  <si>
    <t xml:space="preserve">รหัส SKU</t>
  </si>
  <si>
    <t xml:space="preserve">หน่วย</t>
  </si>
  <si>
    <t xml:space="preserve">ล้อวิ่ง 3"</t>
  </si>
  <si>
    <t xml:space="preserve">2</t>
  </si>
  <si>
    <t xml:space="preserve">ตัว</t>
  </si>
  <si>
    <t xml:space="preserve">ล้อไกด์ประคองหลัง</t>
  </si>
  <si>
    <t xml:space="preserve">4</t>
  </si>
  <si>
    <t xml:space="preserve">มอเตอร์</t>
  </si>
  <si>
    <t xml:space="preserve">ชุด</t>
  </si>
  <si>
    <t xml:space="preserve">ออปชั่น · ดูคิดทุน</t>
  </si>
  <si>
    <t xml:space="preserve">รีโมท</t>
  </si>
  <si>
    <t xml:space="preserve">ออปชั่น · ตามจำนวน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</si>
</sst>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ahoma"/>
      <family val="0"/>
      <charset val="1"/>
    </font>
    <font>
      <sz val="10"/>
      <name val="Tahoma"/>
      <family val="0"/>
      <charset val="1"/>
    </font>
    <font>
      <b val="true"/>
      <sz val="11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0000"/>
      <name val="Tahom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1F4E78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BBBB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true" outlineLevel="0" max="20" min="13" style="0" width="13"/>
    <col collapsed="false" customWidth="true" hidden="false" outlineLevel="0" max="23" min="22" style="0" width="13"/>
    <col collapsed="false" customWidth="true" hidden="false" outlineLevel="0" max="25" min="25" style="0" width="13"/>
    <col collapsed="false" customWidth="true" hidden="false" outlineLevel="0" max="29" min="27" style="0" width="13"/>
    <col collapsed="false" customWidth="true" hidden="false" outlineLevel="0" max="31" min="31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AA1" s="3" t="s">
        <v>9</v>
      </c>
      <c r="AE1" s="3" t="s">
        <v>10</v>
      </c>
    </row>
    <row r="2" customFormat="false" ht="15" hidden="false" customHeight="false" outlineLevel="0" collapsed="false">
      <c r="A2" s="3" t="s">
        <v>11</v>
      </c>
      <c r="D2" s="3" t="s">
        <v>12</v>
      </c>
      <c r="G2" s="3" t="s">
        <v>13</v>
      </c>
      <c r="M2" s="0" t="n">
        <v>1</v>
      </c>
      <c r="N2" s="0" t="str">
        <f aca="false">IF(MOD(M2-1,$B$13+$B$14)&lt;$B$13,"A","B")</f>
        <v>A</v>
      </c>
      <c r="O2" s="4" t="n">
        <f aca="false">IF(N2="A",$E$5,$H$3)</f>
        <v>4.06</v>
      </c>
      <c r="P2" s="4" t="n">
        <f aca="false">O2</f>
        <v>4.06</v>
      </c>
      <c r="Q2" s="4" t="n">
        <f aca="false">P2+(M2-1)*$B$10</f>
        <v>4.06</v>
      </c>
      <c r="R2" s="4" t="n">
        <f aca="false">IF(AND(Q2&lt;=$E$7,N2="A"),1,0)</f>
        <v>1</v>
      </c>
      <c r="S2" s="4" t="n">
        <f aca="false">IF(AND(Q2&lt;=$E$7,N2="B"),1,0)</f>
        <v>0</v>
      </c>
      <c r="T2" s="4" t="n">
        <f aca="false">IF(Q2&lt;=$E$7,1,0)</f>
        <v>1</v>
      </c>
      <c r="V2" s="3" t="s">
        <v>14</v>
      </c>
      <c r="W2" s="3" t="s">
        <v>15</v>
      </c>
      <c r="AA2" s="5" t="s">
        <v>16</v>
      </c>
      <c r="AB2" s="6" t="s">
        <v>17</v>
      </c>
      <c r="AC2" s="6" t="s">
        <v>18</v>
      </c>
      <c r="AE2" s="6" t="str">
        <f aca="false">VLOOKUP(B8,$AA$2:$AC$8,2,0)</f>
        <v>1"</v>
      </c>
    </row>
    <row r="3" customFormat="false" ht="15" hidden="false" customHeight="false" outlineLevel="0" collapsed="false">
      <c r="A3" s="7" t="s">
        <v>19</v>
      </c>
      <c r="B3" s="8" t="s">
        <v>20</v>
      </c>
      <c r="D3" s="5" t="s">
        <v>21</v>
      </c>
      <c r="E3" s="9" t="n">
        <f aca="false">IF(B3="ยัดใน",B5-$H$14,B5-$H$15)</f>
        <v>164.5</v>
      </c>
      <c r="G3" s="5" t="s">
        <v>22</v>
      </c>
      <c r="H3" s="9" t="n">
        <f aca="false">VLOOKUP(B12,$V$3:$W$8,2,0)</f>
        <v>4.06</v>
      </c>
      <c r="M3" s="0" t="n">
        <v>2</v>
      </c>
      <c r="N3" s="0" t="str">
        <f aca="false">IF(MOD(M3-1,$B$13+$B$14)&lt;$B$13,"A","B")</f>
        <v>A</v>
      </c>
      <c r="O3" s="4" t="n">
        <f aca="false">IF(N3="A",$E$5,$H$3)</f>
        <v>4.06</v>
      </c>
      <c r="P3" s="4" t="n">
        <f aca="false">P2+O3</f>
        <v>8.12</v>
      </c>
      <c r="Q3" s="4" t="n">
        <f aca="false">P3+(M3-1)*$B$10</f>
        <v>13.12</v>
      </c>
      <c r="R3" s="4" t="n">
        <f aca="false">IF(AND(Q3&lt;=$E$7,N3="A"),1,0)</f>
        <v>1</v>
      </c>
      <c r="S3" s="4" t="n">
        <f aca="false">IF(AND(Q3&lt;=$E$7,N3="B"),1,0)</f>
        <v>0</v>
      </c>
      <c r="T3" s="4" t="n">
        <f aca="false">IF(Q3&lt;=$E$7,1,0)</f>
        <v>1</v>
      </c>
      <c r="V3" s="5" t="s">
        <v>17</v>
      </c>
      <c r="W3" s="6" t="n">
        <v>1</v>
      </c>
      <c r="AA3" s="5" t="s">
        <v>23</v>
      </c>
      <c r="AB3" s="6" t="s">
        <v>24</v>
      </c>
      <c r="AC3" s="6" t="s">
        <v>24</v>
      </c>
      <c r="AE3" s="6" t="str">
        <f aca="false">VLOOKUP(B8,$AA$2:$AC$8,3,0)</f>
        <v>1.6"</v>
      </c>
    </row>
    <row r="4" customFormat="false" ht="15" hidden="false" customHeight="false" outlineLevel="0" collapsed="false">
      <c r="A4" s="7" t="s">
        <v>25</v>
      </c>
      <c r="B4" s="8" t="n">
        <v>350</v>
      </c>
      <c r="D4" s="5" t="s">
        <v>26</v>
      </c>
      <c r="E4" s="9" t="n">
        <f aca="false">B4</f>
        <v>350</v>
      </c>
      <c r="G4" s="5" t="s">
        <v>27</v>
      </c>
      <c r="H4" s="9" t="n">
        <f aca="false">SUM(T2:T201)</f>
        <v>39</v>
      </c>
      <c r="M4" s="0" t="n">
        <v>3</v>
      </c>
      <c r="N4" s="0" t="str">
        <f aca="false">IF(MOD(M4-1,$B$13+$B$14)&lt;$B$13,"A","B")</f>
        <v>A</v>
      </c>
      <c r="O4" s="4" t="n">
        <f aca="false">IF(N4="A",$E$5,$H$3)</f>
        <v>4.06</v>
      </c>
      <c r="P4" s="4" t="n">
        <f aca="false">P3+O4</f>
        <v>12.18</v>
      </c>
      <c r="Q4" s="4" t="n">
        <f aca="false">P4+(M4-1)*$B$10</f>
        <v>22.18</v>
      </c>
      <c r="R4" s="4" t="n">
        <f aca="false">IF(AND(Q4&lt;=$E$7,N4="A"),1,0)</f>
        <v>1</v>
      </c>
      <c r="S4" s="4" t="n">
        <f aca="false">IF(AND(Q4&lt;=$E$7,N4="B"),1,0)</f>
        <v>0</v>
      </c>
      <c r="T4" s="4" t="n">
        <f aca="false">IF(Q4&lt;=$E$7,1,0)</f>
        <v>1</v>
      </c>
      <c r="V4" s="5" t="s">
        <v>18</v>
      </c>
      <c r="W4" s="6" t="n">
        <v>5</v>
      </c>
      <c r="AA4" s="5" t="s">
        <v>28</v>
      </c>
      <c r="AB4" s="6" t="s">
        <v>24</v>
      </c>
      <c r="AC4" s="6" t="s">
        <v>29</v>
      </c>
    </row>
    <row r="5" customFormat="false" ht="15" hidden="false" customHeight="false" outlineLevel="0" collapsed="false">
      <c r="A5" s="7" t="s">
        <v>30</v>
      </c>
      <c r="B5" s="8" t="n">
        <v>180</v>
      </c>
      <c r="D5" s="5" t="s">
        <v>31</v>
      </c>
      <c r="E5" s="9" t="n">
        <f aca="false">VLOOKUP(B9,$V$3:$W$8,2,0)</f>
        <v>4.06</v>
      </c>
      <c r="G5" s="5" t="s">
        <v>32</v>
      </c>
      <c r="H5" s="9" t="n">
        <f aca="false">SUM(R2:R201)</f>
        <v>15</v>
      </c>
      <c r="M5" s="0" t="n">
        <v>4</v>
      </c>
      <c r="N5" s="0" t="str">
        <f aca="false">IF(MOD(M5-1,$B$13+$B$14)&lt;$B$13,"A","B")</f>
        <v>B</v>
      </c>
      <c r="O5" s="4" t="n">
        <f aca="false">IF(N5="A",$E$5,$H$3)</f>
        <v>4.06</v>
      </c>
      <c r="P5" s="4" t="n">
        <f aca="false">P4+O5</f>
        <v>16.24</v>
      </c>
      <c r="Q5" s="4" t="n">
        <f aca="false">P5+(M5-1)*$B$10</f>
        <v>31.24</v>
      </c>
      <c r="R5" s="4" t="n">
        <f aca="false">IF(AND(Q5&lt;=$E$7,N5="A"),1,0)</f>
        <v>0</v>
      </c>
      <c r="S5" s="4" t="n">
        <f aca="false">IF(AND(Q5&lt;=$E$7,N5="B"),1,0)</f>
        <v>1</v>
      </c>
      <c r="T5" s="4" t="n">
        <f aca="false">IF(Q5&lt;=$E$7,1,0)</f>
        <v>1</v>
      </c>
      <c r="V5" s="5" t="s">
        <v>24</v>
      </c>
      <c r="W5" s="6" t="n">
        <v>2.54</v>
      </c>
      <c r="AA5" s="5" t="s">
        <v>33</v>
      </c>
      <c r="AB5" s="6" t="s">
        <v>24</v>
      </c>
      <c r="AC5" s="6" t="s">
        <v>34</v>
      </c>
      <c r="AE5" s="6" t="str">
        <f aca="false">VLOOKUP(B11,$AA$2:$AC$8,2,0)</f>
        <v>1"</v>
      </c>
    </row>
    <row r="6" customFormat="false" ht="15" hidden="false" customHeight="false" outlineLevel="0" collapsed="false">
      <c r="A6" s="7" t="s">
        <v>35</v>
      </c>
      <c r="B6" s="8" t="s">
        <v>36</v>
      </c>
      <c r="D6" s="5" t="s">
        <v>37</v>
      </c>
      <c r="E6" s="9" t="n">
        <f aca="false">E5+B10</f>
        <v>9.06</v>
      </c>
      <c r="G6" s="5" t="s">
        <v>38</v>
      </c>
      <c r="H6" s="9" t="n">
        <f aca="false">SUM(S2:S201)</f>
        <v>24</v>
      </c>
      <c r="M6" s="0" t="n">
        <v>5</v>
      </c>
      <c r="N6" s="0" t="str">
        <f aca="false">IF(MOD(M6-1,$B$13+$B$14)&lt;$B$13,"A","B")</f>
        <v>B</v>
      </c>
      <c r="O6" s="4" t="n">
        <f aca="false">IF(N6="A",$E$5,$H$3)</f>
        <v>4.06</v>
      </c>
      <c r="P6" s="4" t="n">
        <f aca="false">P5+O6</f>
        <v>20.3</v>
      </c>
      <c r="Q6" s="4" t="n">
        <f aca="false">P6+(M6-1)*$B$10</f>
        <v>40.3</v>
      </c>
      <c r="R6" s="4" t="n">
        <f aca="false">IF(AND(Q6&lt;=$E$7,N6="A"),1,0)</f>
        <v>0</v>
      </c>
      <c r="S6" s="4" t="n">
        <f aca="false">IF(AND(Q6&lt;=$E$7,N6="B"),1,0)</f>
        <v>1</v>
      </c>
      <c r="T6" s="4" t="n">
        <f aca="false">IF(Q6&lt;=$E$7,1,0)</f>
        <v>1</v>
      </c>
      <c r="V6" s="5" t="s">
        <v>29</v>
      </c>
      <c r="W6" s="6" t="n">
        <v>3.81</v>
      </c>
      <c r="AA6" s="5" t="s">
        <v>39</v>
      </c>
      <c r="AB6" s="6" t="s">
        <v>24</v>
      </c>
      <c r="AC6" s="6" t="s">
        <v>40</v>
      </c>
      <c r="AE6" s="6" t="str">
        <f aca="false">VLOOKUP(B11,$AA$2:$AC$8,3,0)</f>
        <v>1.6"</v>
      </c>
    </row>
    <row r="7" customFormat="false" ht="15" hidden="false" customHeight="false" outlineLevel="0" collapsed="false">
      <c r="A7" s="7" t="s">
        <v>41</v>
      </c>
      <c r="B7" s="8" t="s">
        <v>42</v>
      </c>
      <c r="D7" s="5" t="s">
        <v>43</v>
      </c>
      <c r="E7" s="9" t="n">
        <f aca="false">IF(B6="ตั้ง",E4,E3)</f>
        <v>350</v>
      </c>
      <c r="G7" s="5" t="s">
        <v>44</v>
      </c>
      <c r="H7" s="9" t="n">
        <f aca="false">SUMPRODUCT($T$2:$T$201,$O$2:$O$201)</f>
        <v>158.34</v>
      </c>
      <c r="M7" s="0" t="n">
        <v>6</v>
      </c>
      <c r="N7" s="0" t="str">
        <f aca="false">IF(MOD(M7-1,$B$13+$B$14)&lt;$B$13,"A","B")</f>
        <v>B</v>
      </c>
      <c r="O7" s="4" t="n">
        <f aca="false">IF(N7="A",$E$5,$H$3)</f>
        <v>4.06</v>
      </c>
      <c r="P7" s="4" t="n">
        <f aca="false">P6+O7</f>
        <v>24.36</v>
      </c>
      <c r="Q7" s="4" t="n">
        <f aca="false">P7+(M7-1)*$B$10</f>
        <v>49.36</v>
      </c>
      <c r="R7" s="4" t="n">
        <f aca="false">IF(AND(Q7&lt;=$E$7,N7="A"),1,0)</f>
        <v>0</v>
      </c>
      <c r="S7" s="4" t="n">
        <f aca="false">IF(AND(Q7&lt;=$E$7,N7="B"),1,0)</f>
        <v>1</v>
      </c>
      <c r="T7" s="4" t="n">
        <f aca="false">IF(Q7&lt;=$E$7,1,0)</f>
        <v>1</v>
      </c>
      <c r="V7" s="5" t="s">
        <v>34</v>
      </c>
      <c r="W7" s="6" t="n">
        <v>4.06</v>
      </c>
      <c r="AA7" s="5" t="s">
        <v>45</v>
      </c>
      <c r="AB7" s="6" t="s">
        <v>34</v>
      </c>
      <c r="AC7" s="6" t="s">
        <v>34</v>
      </c>
    </row>
    <row r="8" customFormat="false" ht="15" hidden="false" customHeight="false" outlineLevel="0" collapsed="false">
      <c r="A8" s="7" t="s">
        <v>46</v>
      </c>
      <c r="B8" s="8" t="s">
        <v>33</v>
      </c>
      <c r="D8" s="5" t="s">
        <v>47</v>
      </c>
      <c r="E8" s="9" t="n">
        <f aca="false">IF(B6="ตั้ง",IF(B3="ยัดใน",E3-$H$16,E3+$H$17),IF(B3="ยัดใน",E4-$H$16,E4))</f>
        <v>144.1</v>
      </c>
      <c r="G8" s="5" t="s">
        <v>48</v>
      </c>
      <c r="H8" s="9" t="n">
        <f aca="false">ROUND((E7-H7)/(H4-1),2)</f>
        <v>5.04</v>
      </c>
      <c r="M8" s="0" t="n">
        <v>7</v>
      </c>
      <c r="N8" s="0" t="str">
        <f aca="false">IF(MOD(M8-1,$B$13+$B$14)&lt;$B$13,"A","B")</f>
        <v>B</v>
      </c>
      <c r="O8" s="4" t="n">
        <f aca="false">IF(N8="A",$E$5,$H$3)</f>
        <v>4.06</v>
      </c>
      <c r="P8" s="4" t="n">
        <f aca="false">P7+O8</f>
        <v>28.42</v>
      </c>
      <c r="Q8" s="4" t="n">
        <f aca="false">P8+(M8-1)*$B$10</f>
        <v>58.42</v>
      </c>
      <c r="R8" s="4" t="n">
        <f aca="false">IF(AND(Q8&lt;=$E$7,N8="A"),1,0)</f>
        <v>0</v>
      </c>
      <c r="S8" s="4" t="n">
        <f aca="false">IF(AND(Q8&lt;=$E$7,N8="B"),1,0)</f>
        <v>1</v>
      </c>
      <c r="T8" s="4" t="n">
        <f aca="false">IF(Q8&lt;=$E$7,1,0)</f>
        <v>1</v>
      </c>
      <c r="V8" s="5" t="s">
        <v>40</v>
      </c>
      <c r="W8" s="6" t="n">
        <v>10.16</v>
      </c>
      <c r="AA8" s="5" t="s">
        <v>49</v>
      </c>
      <c r="AB8" s="6" t="s">
        <v>34</v>
      </c>
      <c r="AC8" s="6" t="s">
        <v>40</v>
      </c>
    </row>
    <row r="9" customFormat="false" ht="15" hidden="false" customHeight="false" outlineLevel="0" collapsed="false">
      <c r="A9" s="7" t="s">
        <v>50</v>
      </c>
      <c r="B9" s="8" t="s">
        <v>34</v>
      </c>
      <c r="D9" s="5" t="s">
        <v>51</v>
      </c>
      <c r="E9" s="9" t="n">
        <f aca="false">MAX(INT((E7+B10)/E6),2)</f>
        <v>39</v>
      </c>
      <c r="M9" s="0" t="n">
        <v>8</v>
      </c>
      <c r="N9" s="0" t="str">
        <f aca="false">IF(MOD(M9-1,$B$13+$B$14)&lt;$B$13,"A","B")</f>
        <v>B</v>
      </c>
      <c r="O9" s="4" t="n">
        <f aca="false">IF(N9="A",$E$5,$H$3)</f>
        <v>4.06</v>
      </c>
      <c r="P9" s="4" t="n">
        <f aca="false">P8+O9</f>
        <v>32.48</v>
      </c>
      <c r="Q9" s="4" t="n">
        <f aca="false">P9+(M9-1)*$B$10</f>
        <v>67.48</v>
      </c>
      <c r="R9" s="4" t="n">
        <f aca="false">IF(AND(Q9&lt;=$E$7,N9="A"),1,0)</f>
        <v>0</v>
      </c>
      <c r="S9" s="4" t="n">
        <f aca="false">IF(AND(Q9&lt;=$E$7,N9="B"),1,0)</f>
        <v>1</v>
      </c>
      <c r="T9" s="4" t="n">
        <f aca="false">IF(Q9&lt;=$E$7,1,0)</f>
        <v>1</v>
      </c>
    </row>
    <row r="10" customFormat="false" ht="15" hidden="false" customHeight="false" outlineLevel="0" collapsed="false">
      <c r="A10" s="7" t="s">
        <v>52</v>
      </c>
      <c r="B10" s="8" t="n">
        <v>5</v>
      </c>
      <c r="D10" s="5" t="s">
        <v>53</v>
      </c>
      <c r="E10" s="9" t="n">
        <f aca="false">IF(ABS((E7-E9*E5)/(E9-1)-B10)&lt;=ABS((E7-(E9+1)*E5)/E9-B10),E9,E9+1)</f>
        <v>39</v>
      </c>
      <c r="G10" s="3" t="s">
        <v>54</v>
      </c>
      <c r="H10" s="10" t="n">
        <f aca="false">IF(B7="ระแนงสลับ",H4,E10)</f>
        <v>39</v>
      </c>
      <c r="M10" s="0" t="n">
        <v>9</v>
      </c>
      <c r="N10" s="0" t="str">
        <f aca="false">IF(MOD(M10-1,$B$13+$B$14)&lt;$B$13,"A","B")</f>
        <v>A</v>
      </c>
      <c r="O10" s="4" t="n">
        <f aca="false">IF(N10="A",$E$5,$H$3)</f>
        <v>4.06</v>
      </c>
      <c r="P10" s="4" t="n">
        <f aca="false">P9+O10</f>
        <v>36.54</v>
      </c>
      <c r="Q10" s="4" t="n">
        <f aca="false">P10+(M10-1)*$B$10</f>
        <v>76.54</v>
      </c>
      <c r="R10" s="4" t="n">
        <f aca="false">IF(AND(Q10&lt;=$E$7,N10="A"),1,0)</f>
        <v>1</v>
      </c>
      <c r="S10" s="4" t="n">
        <f aca="false">IF(AND(Q10&lt;=$E$7,N10="B"),1,0)</f>
        <v>0</v>
      </c>
      <c r="T10" s="4" t="n">
        <f aca="false">IF(Q10&lt;=$E$7,1,0)</f>
        <v>1</v>
      </c>
      <c r="Y10" s="3" t="s">
        <v>55</v>
      </c>
    </row>
    <row r="11" customFormat="false" ht="15" hidden="false" customHeight="false" outlineLevel="0" collapsed="false">
      <c r="A11" s="7" t="s">
        <v>56</v>
      </c>
      <c r="B11" s="8" t="s">
        <v>33</v>
      </c>
      <c r="D11" s="5" t="s">
        <v>57</v>
      </c>
      <c r="E11" s="9" t="n">
        <f aca="false">ROUND((E7-E10*E5)/(E10-1),2)</f>
        <v>5.04</v>
      </c>
      <c r="G11" s="3" t="s">
        <v>58</v>
      </c>
      <c r="H11" s="11" t="n">
        <f aca="false">IF(B7="ระแนงสลับ",H8,E11)</f>
        <v>5.04</v>
      </c>
      <c r="M11" s="0" t="n">
        <v>10</v>
      </c>
      <c r="N11" s="0" t="str">
        <f aca="false">IF(MOD(M11-1,$B$13+$B$14)&lt;$B$13,"A","B")</f>
        <v>A</v>
      </c>
      <c r="O11" s="4" t="n">
        <f aca="false">IF(N11="A",$E$5,$H$3)</f>
        <v>4.06</v>
      </c>
      <c r="P11" s="4" t="n">
        <f aca="false">P10+O11</f>
        <v>40.6</v>
      </c>
      <c r="Q11" s="4" t="n">
        <f aca="false">P11+(M11-1)*$B$10</f>
        <v>85.6</v>
      </c>
      <c r="R11" s="4" t="n">
        <f aca="false">IF(AND(Q11&lt;=$E$7,N11="A"),1,0)</f>
        <v>1</v>
      </c>
      <c r="S11" s="4" t="n">
        <f aca="false">IF(AND(Q11&lt;=$E$7,N11="B"),1,0)</f>
        <v>0</v>
      </c>
      <c r="T11" s="4" t="n">
        <f aca="false">IF(Q11&lt;=$E$7,1,0)</f>
        <v>1</v>
      </c>
      <c r="Y11" s="5" t="s">
        <v>16</v>
      </c>
    </row>
    <row r="12" customFormat="false" ht="15" hidden="false" customHeight="false" outlineLevel="0" collapsed="false">
      <c r="A12" s="7" t="s">
        <v>59</v>
      </c>
      <c r="B12" s="8" t="s">
        <v>34</v>
      </c>
      <c r="D12" s="5" t="s">
        <v>60</v>
      </c>
      <c r="E12" s="9" t="n">
        <f aca="false">ROUND(SQRT($H$18^2+($H$19-$H$20)^2),1)</f>
        <v>39.1</v>
      </c>
      <c r="M12" s="0" t="n">
        <v>11</v>
      </c>
      <c r="N12" s="0" t="str">
        <f aca="false">IF(MOD(M12-1,$B$13+$B$14)&lt;$B$13,"A","B")</f>
        <v>A</v>
      </c>
      <c r="O12" s="4" t="n">
        <f aca="false">IF(N12="A",$E$5,$H$3)</f>
        <v>4.06</v>
      </c>
      <c r="P12" s="4" t="n">
        <f aca="false">P11+O12</f>
        <v>44.66</v>
      </c>
      <c r="Q12" s="4" t="n">
        <f aca="false">P12+(M12-1)*$B$10</f>
        <v>94.66</v>
      </c>
      <c r="R12" s="4" t="n">
        <f aca="false">IF(AND(Q12&lt;=$E$7,N12="A"),1,0)</f>
        <v>1</v>
      </c>
      <c r="S12" s="4" t="n">
        <f aca="false">IF(AND(Q12&lt;=$E$7,N12="B"),1,0)</f>
        <v>0</v>
      </c>
      <c r="T12" s="4" t="n">
        <f aca="false">IF(Q12&lt;=$E$7,1,0)</f>
        <v>1</v>
      </c>
      <c r="Y12" s="5" t="s">
        <v>23</v>
      </c>
    </row>
    <row r="13" customFormat="false" ht="15" hidden="false" customHeight="false" outlineLevel="0" collapsed="false">
      <c r="A13" s="7" t="s">
        <v>61</v>
      </c>
      <c r="B13" s="8" t="n">
        <v>3</v>
      </c>
      <c r="G13" s="3" t="s">
        <v>62</v>
      </c>
      <c r="M13" s="0" t="n">
        <v>12</v>
      </c>
      <c r="N13" s="0" t="str">
        <f aca="false">IF(MOD(M13-1,$B$13+$B$14)&lt;$B$13,"A","B")</f>
        <v>B</v>
      </c>
      <c r="O13" s="4" t="n">
        <f aca="false">IF(N13="A",$E$5,$H$3)</f>
        <v>4.06</v>
      </c>
      <c r="P13" s="4" t="n">
        <f aca="false">P12+O13</f>
        <v>48.72</v>
      </c>
      <c r="Q13" s="4" t="n">
        <f aca="false">P13+(M13-1)*$B$10</f>
        <v>103.72</v>
      </c>
      <c r="R13" s="4" t="n">
        <f aca="false">IF(AND(Q13&lt;=$E$7,N13="A"),1,0)</f>
        <v>0</v>
      </c>
      <c r="S13" s="4" t="n">
        <f aca="false">IF(AND(Q13&lt;=$E$7,N13="B"),1,0)</f>
        <v>1</v>
      </c>
      <c r="T13" s="4" t="n">
        <f aca="false">IF(Q13&lt;=$E$7,1,0)</f>
        <v>1</v>
      </c>
      <c r="Y13" s="5" t="s">
        <v>28</v>
      </c>
    </row>
    <row r="14" customFormat="false" ht="15" hidden="false" customHeight="false" outlineLevel="0" collapsed="false">
      <c r="A14" s="7" t="s">
        <v>63</v>
      </c>
      <c r="B14" s="8" t="n">
        <v>5</v>
      </c>
      <c r="G14" s="5" t="s">
        <v>64</v>
      </c>
      <c r="H14" s="12" t="n">
        <v>15.5</v>
      </c>
      <c r="M14" s="0" t="n">
        <v>13</v>
      </c>
      <c r="N14" s="0" t="str">
        <f aca="false">IF(MOD(M14-1,$B$13+$B$14)&lt;$B$13,"A","B")</f>
        <v>B</v>
      </c>
      <c r="O14" s="4" t="n">
        <f aca="false">IF(N14="A",$E$5,$H$3)</f>
        <v>4.06</v>
      </c>
      <c r="P14" s="4" t="n">
        <f aca="false">P13+O14</f>
        <v>52.78</v>
      </c>
      <c r="Q14" s="4" t="n">
        <f aca="false">P14+(M14-1)*$B$10</f>
        <v>112.78</v>
      </c>
      <c r="R14" s="4" t="n">
        <f aca="false">IF(AND(Q14&lt;=$E$7,N14="A"),1,0)</f>
        <v>0</v>
      </c>
      <c r="S14" s="4" t="n">
        <f aca="false">IF(AND(Q14&lt;=$E$7,N14="B"),1,0)</f>
        <v>1</v>
      </c>
      <c r="T14" s="4" t="n">
        <f aca="false">IF(Q14&lt;=$E$7,1,0)</f>
        <v>1</v>
      </c>
      <c r="Y14" s="5" t="s">
        <v>33</v>
      </c>
    </row>
    <row r="15" customFormat="false" ht="15" hidden="false" customHeight="false" outlineLevel="0" collapsed="false">
      <c r="A15" s="3" t="s">
        <v>65</v>
      </c>
      <c r="G15" s="5" t="s">
        <v>66</v>
      </c>
      <c r="H15" s="12" t="n">
        <v>17.5</v>
      </c>
      <c r="M15" s="0" t="n">
        <v>14</v>
      </c>
      <c r="N15" s="0" t="str">
        <f aca="false">IF(MOD(M15-1,$B$13+$B$14)&lt;$B$13,"A","B")</f>
        <v>B</v>
      </c>
      <c r="O15" s="4" t="n">
        <f aca="false">IF(N15="A",$E$5,$H$3)</f>
        <v>4.06</v>
      </c>
      <c r="P15" s="4" t="n">
        <f aca="false">P14+O15</f>
        <v>56.84</v>
      </c>
      <c r="Q15" s="4" t="n">
        <f aca="false">P15+(M15-1)*$B$10</f>
        <v>121.84</v>
      </c>
      <c r="R15" s="4" t="n">
        <f aca="false">IF(AND(Q15&lt;=$E$7,N15="A"),1,0)</f>
        <v>0</v>
      </c>
      <c r="S15" s="4" t="n">
        <f aca="false">IF(AND(Q15&lt;=$E$7,N15="B"),1,0)</f>
        <v>1</v>
      </c>
      <c r="T15" s="4" t="n">
        <f aca="false">IF(Q15&lt;=$E$7,1,0)</f>
        <v>1</v>
      </c>
      <c r="Y15" s="5" t="s">
        <v>39</v>
      </c>
    </row>
    <row r="16" customFormat="false" ht="15" hidden="false" customHeight="false" outlineLevel="0" collapsed="false">
      <c r="A16" s="13" t="s">
        <v>67</v>
      </c>
      <c r="B16" s="13" t="s">
        <v>68</v>
      </c>
      <c r="C16" s="13" t="s">
        <v>69</v>
      </c>
      <c r="D16" s="13" t="s">
        <v>70</v>
      </c>
      <c r="E16" s="13" t="s">
        <v>71</v>
      </c>
      <c r="F16" s="13" t="s">
        <v>72</v>
      </c>
      <c r="G16" s="5" t="s">
        <v>73</v>
      </c>
      <c r="H16" s="12" t="n">
        <v>20.4</v>
      </c>
      <c r="M16" s="0" t="n">
        <v>15</v>
      </c>
      <c r="N16" s="0" t="str">
        <f aca="false">IF(MOD(M16-1,$B$13+$B$14)&lt;$B$13,"A","B")</f>
        <v>B</v>
      </c>
      <c r="O16" s="4" t="n">
        <f aca="false">IF(N16="A",$E$5,$H$3)</f>
        <v>4.06</v>
      </c>
      <c r="P16" s="4" t="n">
        <f aca="false">P15+O16</f>
        <v>60.9</v>
      </c>
      <c r="Q16" s="4" t="n">
        <f aca="false">P16+(M16-1)*$B$10</f>
        <v>130.9</v>
      </c>
      <c r="R16" s="4" t="n">
        <f aca="false">IF(AND(Q16&lt;=$E$7,N16="A"),1,0)</f>
        <v>0</v>
      </c>
      <c r="S16" s="4" t="n">
        <f aca="false">IF(AND(Q16&lt;=$E$7,N16="B"),1,0)</f>
        <v>1</v>
      </c>
      <c r="T16" s="4" t="n">
        <f aca="false">IF(Q16&lt;=$E$7,1,0)</f>
        <v>1</v>
      </c>
      <c r="Y16" s="5" t="s">
        <v>45</v>
      </c>
    </row>
    <row r="17" customFormat="false" ht="15" hidden="false" customHeight="false" outlineLevel="0" collapsed="false">
      <c r="A17" s="14" t="n">
        <v>1</v>
      </c>
      <c r="B17" s="15" t="s">
        <v>74</v>
      </c>
      <c r="C17" s="14" t="n">
        <f aca="false">E3</f>
        <v>164.5</v>
      </c>
      <c r="D17" s="14" t="n">
        <v>2</v>
      </c>
      <c r="E17" s="14" t="n">
        <f aca="false">C17*D17</f>
        <v>329</v>
      </c>
      <c r="F17" s="15" t="s">
        <v>75</v>
      </c>
      <c r="G17" s="5" t="s">
        <v>76</v>
      </c>
      <c r="H17" s="12" t="n">
        <v>5</v>
      </c>
      <c r="M17" s="0" t="n">
        <v>16</v>
      </c>
      <c r="N17" s="0" t="str">
        <f aca="false">IF(MOD(M17-1,$B$13+$B$14)&lt;$B$13,"A","B")</f>
        <v>B</v>
      </c>
      <c r="O17" s="4" t="n">
        <f aca="false">IF(N17="A",$E$5,$H$3)</f>
        <v>4.06</v>
      </c>
      <c r="P17" s="4" t="n">
        <f aca="false">P16+O17</f>
        <v>64.96</v>
      </c>
      <c r="Q17" s="4" t="n">
        <f aca="false">P17+(M17-1)*$B$10</f>
        <v>139.96</v>
      </c>
      <c r="R17" s="4" t="n">
        <f aca="false">IF(AND(Q17&lt;=$E$7,N17="A"),1,0)</f>
        <v>0</v>
      </c>
      <c r="S17" s="4" t="n">
        <f aca="false">IF(AND(Q17&lt;=$E$7,N17="B"),1,0)</f>
        <v>1</v>
      </c>
      <c r="T17" s="4" t="n">
        <f aca="false">IF(Q17&lt;=$E$7,1,0)</f>
        <v>1</v>
      </c>
      <c r="Y17" s="5" t="s">
        <v>49</v>
      </c>
    </row>
    <row r="18" customFormat="false" ht="15" hidden="false" customHeight="false" outlineLevel="0" collapsed="false">
      <c r="A18" s="14" t="n">
        <v>2</v>
      </c>
      <c r="B18" s="15" t="s">
        <v>77</v>
      </c>
      <c r="C18" s="14" t="n">
        <f aca="false">B4+$H$18</f>
        <v>380</v>
      </c>
      <c r="D18" s="14" t="n">
        <v>1</v>
      </c>
      <c r="E18" s="14" t="n">
        <f aca="false">C18*D18</f>
        <v>380</v>
      </c>
      <c r="F18" s="15" t="s">
        <v>78</v>
      </c>
      <c r="G18" s="5" t="s">
        <v>79</v>
      </c>
      <c r="H18" s="12" t="n">
        <v>30</v>
      </c>
      <c r="M18" s="0" t="n">
        <v>17</v>
      </c>
      <c r="N18" s="0" t="str">
        <f aca="false">IF(MOD(M18-1,$B$13+$B$14)&lt;$B$13,"A","B")</f>
        <v>A</v>
      </c>
      <c r="O18" s="4" t="n">
        <f aca="false">IF(N18="A",$E$5,$H$3)</f>
        <v>4.06</v>
      </c>
      <c r="P18" s="4" t="n">
        <f aca="false">P17+O18</f>
        <v>69.02</v>
      </c>
      <c r="Q18" s="4" t="n">
        <f aca="false">P18+(M18-1)*$B$10</f>
        <v>149.02</v>
      </c>
      <c r="R18" s="4" t="n">
        <f aca="false">IF(AND(Q18&lt;=$E$7,N18="A"),1,0)</f>
        <v>1</v>
      </c>
      <c r="S18" s="4" t="n">
        <f aca="false">IF(AND(Q18&lt;=$E$7,N18="B"),1,0)</f>
        <v>0</v>
      </c>
      <c r="T18" s="4" t="n">
        <f aca="false">IF(Q18&lt;=$E$7,1,0)</f>
        <v>1</v>
      </c>
    </row>
    <row r="19" customFormat="false" ht="15" hidden="false" customHeight="false" outlineLevel="0" collapsed="false">
      <c r="A19" s="14" t="n">
        <v>3</v>
      </c>
      <c r="B19" s="15" t="s">
        <v>80</v>
      </c>
      <c r="C19" s="14" t="n">
        <f aca="false">B4+$H$18</f>
        <v>380</v>
      </c>
      <c r="D19" s="14" t="n">
        <v>1</v>
      </c>
      <c r="E19" s="14" t="n">
        <f aca="false">C19*D19</f>
        <v>380</v>
      </c>
      <c r="F19" s="15" t="s">
        <v>81</v>
      </c>
      <c r="G19" s="5" t="s">
        <v>82</v>
      </c>
      <c r="H19" s="12" t="n">
        <v>40</v>
      </c>
      <c r="M19" s="0" t="n">
        <v>18</v>
      </c>
      <c r="N19" s="0" t="str">
        <f aca="false">IF(MOD(M19-1,$B$13+$B$14)&lt;$B$13,"A","B")</f>
        <v>A</v>
      </c>
      <c r="O19" s="4" t="n">
        <f aca="false">IF(N19="A",$E$5,$H$3)</f>
        <v>4.06</v>
      </c>
      <c r="P19" s="4" t="n">
        <f aca="false">P18+O19</f>
        <v>73.08</v>
      </c>
      <c r="Q19" s="4" t="n">
        <f aca="false">P19+(M19-1)*$B$10</f>
        <v>158.08</v>
      </c>
      <c r="R19" s="4" t="n">
        <f aca="false">IF(AND(Q19&lt;=$E$7,N19="A"),1,0)</f>
        <v>1</v>
      </c>
      <c r="S19" s="4" t="n">
        <f aca="false">IF(AND(Q19&lt;=$E$7,N19="B"),1,0)</f>
        <v>0</v>
      </c>
      <c r="T19" s="4" t="n">
        <f aca="false">IF(Q19&lt;=$E$7,1,0)</f>
        <v>1</v>
      </c>
    </row>
    <row r="20" customFormat="false" ht="15" hidden="false" customHeight="false" outlineLevel="0" collapsed="false">
      <c r="A20" s="14" t="n">
        <v>4</v>
      </c>
      <c r="B20" s="15" t="s">
        <v>83</v>
      </c>
      <c r="C20" s="14" t="n">
        <f aca="false">E3</f>
        <v>164.5</v>
      </c>
      <c r="D20" s="14" t="n">
        <v>1</v>
      </c>
      <c r="E20" s="14" t="n">
        <f aca="false">C20*D20</f>
        <v>164.5</v>
      </c>
      <c r="F20" s="15" t="s">
        <v>84</v>
      </c>
      <c r="G20" s="5" t="s">
        <v>85</v>
      </c>
      <c r="H20" s="12" t="n">
        <v>15</v>
      </c>
      <c r="M20" s="0" t="n">
        <v>19</v>
      </c>
      <c r="N20" s="0" t="str">
        <f aca="false">IF(MOD(M20-1,$B$13+$B$14)&lt;$B$13,"A","B")</f>
        <v>A</v>
      </c>
      <c r="O20" s="4" t="n">
        <f aca="false">IF(N20="A",$E$5,$H$3)</f>
        <v>4.06</v>
      </c>
      <c r="P20" s="4" t="n">
        <f aca="false">P19+O20</f>
        <v>77.14</v>
      </c>
      <c r="Q20" s="4" t="n">
        <f aca="false">P20+(M20-1)*$B$10</f>
        <v>167.14</v>
      </c>
      <c r="R20" s="4" t="n">
        <f aca="false">IF(AND(Q20&lt;=$E$7,N20="A"),1,0)</f>
        <v>1</v>
      </c>
      <c r="S20" s="4" t="n">
        <f aca="false">IF(AND(Q20&lt;=$E$7,N20="B"),1,0)</f>
        <v>0</v>
      </c>
      <c r="T20" s="4" t="n">
        <f aca="false">IF(Q20&lt;=$E$7,1,0)</f>
        <v>1</v>
      </c>
    </row>
    <row r="21" customFormat="false" ht="15" hidden="false" customHeight="false" outlineLevel="0" collapsed="false">
      <c r="A21" s="14" t="n">
        <v>5</v>
      </c>
      <c r="B21" s="15" t="s">
        <v>86</v>
      </c>
      <c r="C21" s="14" t="n">
        <f aca="false">E12</f>
        <v>39.1</v>
      </c>
      <c r="D21" s="14" t="n">
        <v>1</v>
      </c>
      <c r="E21" s="14" t="n">
        <f aca="false">C21*D21</f>
        <v>39.1</v>
      </c>
      <c r="F21" s="15" t="s">
        <v>87</v>
      </c>
      <c r="G21" s="5" t="s">
        <v>88</v>
      </c>
      <c r="H21" s="12" t="n">
        <v>5</v>
      </c>
      <c r="M21" s="0" t="n">
        <v>20</v>
      </c>
      <c r="N21" s="0" t="str">
        <f aca="false">IF(MOD(M21-1,$B$13+$B$14)&lt;$B$13,"A","B")</f>
        <v>B</v>
      </c>
      <c r="O21" s="4" t="n">
        <f aca="false">IF(N21="A",$E$5,$H$3)</f>
        <v>4.06</v>
      </c>
      <c r="P21" s="4" t="n">
        <f aca="false">P20+O21</f>
        <v>81.2</v>
      </c>
      <c r="Q21" s="4" t="n">
        <f aca="false">P21+(M21-1)*$B$10</f>
        <v>176.2</v>
      </c>
      <c r="R21" s="4" t="n">
        <f aca="false">IF(AND(Q21&lt;=$E$7,N21="A"),1,0)</f>
        <v>0</v>
      </c>
      <c r="S21" s="4" t="n">
        <f aca="false">IF(AND(Q21&lt;=$E$7,N21="B"),1,0)</f>
        <v>1</v>
      </c>
      <c r="T21" s="4" t="n">
        <f aca="false">IF(Q21&lt;=$E$7,1,0)</f>
        <v>1</v>
      </c>
    </row>
    <row r="22" customFormat="false" ht="15" hidden="false" customHeight="false" outlineLevel="0" collapsed="false">
      <c r="A22" s="14" t="n">
        <v>6</v>
      </c>
      <c r="B22" s="15" t="str">
        <f aca="false">IF(B7="ระแนงสลับ",B8&amp;" — A (สลับ)",B8&amp;" (ใบระแนง)")</f>
        <v>กล่อง 1"×1.6" (ใบระแนง)</v>
      </c>
      <c r="C22" s="14" t="n">
        <f aca="false">E8</f>
        <v>144.1</v>
      </c>
      <c r="D22" s="14" t="n">
        <f aca="false">IF(B7="ระแนงสลับ",H5,E10)</f>
        <v>39</v>
      </c>
      <c r="E22" s="14" t="n">
        <f aca="false">C22*D22</f>
        <v>5619.9</v>
      </c>
      <c r="F22" s="15" t="s">
        <v>89</v>
      </c>
      <c r="G22" s="5" t="s">
        <v>90</v>
      </c>
      <c r="H22" s="12" t="n">
        <v>50</v>
      </c>
      <c r="M22" s="0" t="n">
        <v>21</v>
      </c>
      <c r="N22" s="0" t="str">
        <f aca="false">IF(MOD(M22-1,$B$13+$B$14)&lt;$B$13,"A","B")</f>
        <v>B</v>
      </c>
      <c r="O22" s="4" t="n">
        <f aca="false">IF(N22="A",$E$5,$H$3)</f>
        <v>4.06</v>
      </c>
      <c r="P22" s="4" t="n">
        <f aca="false">P21+O22</f>
        <v>85.26</v>
      </c>
      <c r="Q22" s="4" t="n">
        <f aca="false">P22+(M22-1)*$B$10</f>
        <v>185.26</v>
      </c>
      <c r="R22" s="4" t="n">
        <f aca="false">IF(AND(Q22&lt;=$E$7,N22="A"),1,0)</f>
        <v>0</v>
      </c>
      <c r="S22" s="4" t="n">
        <f aca="false">IF(AND(Q22&lt;=$E$7,N22="B"),1,0)</f>
        <v>1</v>
      </c>
      <c r="T22" s="4" t="n">
        <f aca="false">IF(Q22&lt;=$E$7,1,0)</f>
        <v>1</v>
      </c>
    </row>
    <row r="23" customFormat="false" ht="15" hidden="false" customHeight="false" outlineLevel="0" collapsed="false">
      <c r="A23" s="14" t="n">
        <v>7</v>
      </c>
      <c r="B23" s="15" t="str">
        <f aca="false">B11&amp;" — B (สลับ)"</f>
        <v>กล่อง 1"×1.6" — B (สลับ)</v>
      </c>
      <c r="C23" s="14" t="n">
        <f aca="false">IF(B7="ระแนงสลับ",E8,0)</f>
        <v>0</v>
      </c>
      <c r="D23" s="14" t="n">
        <f aca="false">IF(B7="ระแนงสลับ",H6,0)</f>
        <v>0</v>
      </c>
      <c r="E23" s="14" t="n">
        <f aca="false">C23*D23</f>
        <v>0</v>
      </c>
      <c r="F23" s="15" t="s">
        <v>91</v>
      </c>
      <c r="G23" s="5" t="s">
        <v>92</v>
      </c>
      <c r="H23" s="12" t="n">
        <v>600</v>
      </c>
      <c r="M23" s="0" t="n">
        <v>22</v>
      </c>
      <c r="N23" s="0" t="str">
        <f aca="false">IF(MOD(M23-1,$B$13+$B$14)&lt;$B$13,"A","B")</f>
        <v>B</v>
      </c>
      <c r="O23" s="4" t="n">
        <f aca="false">IF(N23="A",$E$5,$H$3)</f>
        <v>4.06</v>
      </c>
      <c r="P23" s="4" t="n">
        <f aca="false">P22+O23</f>
        <v>89.32</v>
      </c>
      <c r="Q23" s="4" t="n">
        <f aca="false">P23+(M23-1)*$B$10</f>
        <v>194.32</v>
      </c>
      <c r="R23" s="4" t="n">
        <f aca="false">IF(AND(Q23&lt;=$E$7,N23="A"),1,0)</f>
        <v>0</v>
      </c>
      <c r="S23" s="4" t="n">
        <f aca="false">IF(AND(Q23&lt;=$E$7,N23="B"),1,0)</f>
        <v>1</v>
      </c>
      <c r="T23" s="4" t="n">
        <f aca="false">IF(Q23&lt;=$E$7,1,0)</f>
        <v>1</v>
      </c>
    </row>
    <row r="24" customFormat="false" ht="15" hidden="false" customHeight="false" outlineLevel="0" collapsed="false">
      <c r="A24" s="14" t="n">
        <v>8</v>
      </c>
      <c r="B24" s="15" t="s">
        <v>93</v>
      </c>
      <c r="C24" s="14" t="n">
        <f aca="false">E4</f>
        <v>350</v>
      </c>
      <c r="D24" s="14" t="n">
        <f aca="false">IF(B3="แปะนอก",1,0)</f>
        <v>0</v>
      </c>
      <c r="E24" s="14" t="n">
        <f aca="false">C24*D24</f>
        <v>0</v>
      </c>
      <c r="F24" s="15" t="s">
        <v>94</v>
      </c>
      <c r="M24" s="0" t="n">
        <v>23</v>
      </c>
      <c r="N24" s="0" t="str">
        <f aca="false">IF(MOD(M24-1,$B$13+$B$14)&lt;$B$13,"A","B")</f>
        <v>B</v>
      </c>
      <c r="O24" s="4" t="n">
        <f aca="false">IF(N24="A",$E$5,$H$3)</f>
        <v>4.06</v>
      </c>
      <c r="P24" s="4" t="n">
        <f aca="false">P23+O24</f>
        <v>93.38</v>
      </c>
      <c r="Q24" s="4" t="n">
        <f aca="false">P24+(M24-1)*$B$10</f>
        <v>203.38</v>
      </c>
      <c r="R24" s="4" t="n">
        <f aca="false">IF(AND(Q24&lt;=$E$7,N24="A"),1,0)</f>
        <v>0</v>
      </c>
      <c r="S24" s="4" t="n">
        <f aca="false">IF(AND(Q24&lt;=$E$7,N24="B"),1,0)</f>
        <v>1</v>
      </c>
      <c r="T24" s="4" t="n">
        <f aca="false">IF(Q24&lt;=$E$7,1,0)</f>
        <v>1</v>
      </c>
    </row>
    <row r="25" customFormat="false" ht="15" hidden="false" customHeight="false" outlineLevel="0" collapsed="false">
      <c r="A25" s="14" t="n">
        <v>9</v>
      </c>
      <c r="B25" s="15" t="s">
        <v>95</v>
      </c>
      <c r="C25" s="14" t="n">
        <f aca="false">IF(B3="ยัดใน",B5,B5+$H$21)</f>
        <v>180</v>
      </c>
      <c r="D25" s="14" t="n">
        <v>1</v>
      </c>
      <c r="E25" s="14" t="n">
        <f aca="false">C25*D25</f>
        <v>180</v>
      </c>
      <c r="F25" s="15" t="s">
        <v>96</v>
      </c>
      <c r="M25" s="0" t="n">
        <v>24</v>
      </c>
      <c r="N25" s="0" t="str">
        <f aca="false">IF(MOD(M25-1,$B$13+$B$14)&lt;$B$13,"A","B")</f>
        <v>B</v>
      </c>
      <c r="O25" s="4" t="n">
        <f aca="false">IF(N25="A",$E$5,$H$3)</f>
        <v>4.06</v>
      </c>
      <c r="P25" s="4" t="n">
        <f aca="false">P24+O25</f>
        <v>97.44</v>
      </c>
      <c r="Q25" s="4" t="n">
        <f aca="false">P25+(M25-1)*$B$10</f>
        <v>212.44</v>
      </c>
      <c r="R25" s="4" t="n">
        <f aca="false">IF(AND(Q25&lt;=$E$7,N25="A"),1,0)</f>
        <v>0</v>
      </c>
      <c r="S25" s="4" t="n">
        <f aca="false">IF(AND(Q25&lt;=$E$7,N25="B"),1,0)</f>
        <v>1</v>
      </c>
      <c r="T25" s="4" t="n">
        <f aca="false">IF(Q25&lt;=$E$7,1,0)</f>
        <v>1</v>
      </c>
    </row>
    <row r="26" customFormat="false" ht="15" hidden="false" customHeight="false" outlineLevel="0" collapsed="false">
      <c r="A26" s="14" t="n">
        <v>10</v>
      </c>
      <c r="B26" s="15" t="s">
        <v>97</v>
      </c>
      <c r="C26" s="14" t="n">
        <f aca="false">B4*2-$H$22</f>
        <v>650</v>
      </c>
      <c r="D26" s="14" t="n">
        <v>1</v>
      </c>
      <c r="E26" s="14" t="n">
        <f aca="false">C26*D26</f>
        <v>650</v>
      </c>
      <c r="F26" s="15" t="s">
        <v>98</v>
      </c>
      <c r="M26" s="0" t="n">
        <v>25</v>
      </c>
      <c r="N26" s="0" t="str">
        <f aca="false">IF(MOD(M26-1,$B$13+$B$14)&lt;$B$13,"A","B")</f>
        <v>A</v>
      </c>
      <c r="O26" s="4" t="n">
        <f aca="false">IF(N26="A",$E$5,$H$3)</f>
        <v>4.06</v>
      </c>
      <c r="P26" s="4" t="n">
        <f aca="false">P25+O26</f>
        <v>101.5</v>
      </c>
      <c r="Q26" s="4" t="n">
        <f aca="false">P26+(M26-1)*$B$10</f>
        <v>221.5</v>
      </c>
      <c r="R26" s="4" t="n">
        <f aca="false">IF(AND(Q26&lt;=$E$7,N26="A"),1,0)</f>
        <v>1</v>
      </c>
      <c r="S26" s="4" t="n">
        <f aca="false">IF(AND(Q26&lt;=$E$7,N26="B"),1,0)</f>
        <v>0</v>
      </c>
      <c r="T26" s="4" t="n">
        <f aca="false">IF(Q26&lt;=$E$7,1,0)</f>
        <v>1</v>
      </c>
    </row>
    <row r="27" customFormat="false" ht="15" hidden="false" customHeight="false" outlineLevel="0" collapsed="false">
      <c r="M27" s="0" t="n">
        <v>26</v>
      </c>
      <c r="N27" s="0" t="str">
        <f aca="false">IF(MOD(M27-1,$B$13+$B$14)&lt;$B$13,"A","B")</f>
        <v>A</v>
      </c>
      <c r="O27" s="0" t="n">
        <f aca="false">IF(N27="A",$E$5,$H$3)</f>
        <v>4.06</v>
      </c>
      <c r="P27" s="0" t="n">
        <f aca="false">P26+O27</f>
        <v>105.56</v>
      </c>
      <c r="Q27" s="0" t="n">
        <f aca="false">P27+(M27-1)*$B$10</f>
        <v>230.56</v>
      </c>
      <c r="R27" s="0" t="n">
        <f aca="false">IF(AND(Q27&lt;=$E$7,N27="A"),1,0)</f>
        <v>1</v>
      </c>
      <c r="S27" s="0" t="n">
        <f aca="false">IF(AND(Q27&lt;=$E$7,N27="B"),1,0)</f>
        <v>0</v>
      </c>
      <c r="T27" s="0" t="n">
        <f aca="false">IF(Q27&lt;=$E$7,1,0)</f>
        <v>1</v>
      </c>
    </row>
    <row r="28" customFormat="false" ht="15" hidden="false" customHeight="false" outlineLevel="0" collapsed="false">
      <c r="A28" s="3" t="s">
        <v>99</v>
      </c>
      <c r="M28" s="0" t="n">
        <v>27</v>
      </c>
      <c r="N28" s="0" t="str">
        <f aca="false">IF(MOD(M28-1,$B$13+$B$14)&lt;$B$13,"A","B")</f>
        <v>A</v>
      </c>
      <c r="O28" s="4" t="n">
        <f aca="false">IF(N28="A",$E$5,$H$3)</f>
        <v>4.06</v>
      </c>
      <c r="P28" s="4" t="n">
        <f aca="false">P27+O28</f>
        <v>109.62</v>
      </c>
      <c r="Q28" s="4" t="n">
        <f aca="false">P28+(M28-1)*$B$10</f>
        <v>239.62</v>
      </c>
      <c r="R28" s="4" t="n">
        <f aca="false">IF(AND(Q28&lt;=$E$7,N28="A"),1,0)</f>
        <v>1</v>
      </c>
      <c r="S28" s="4" t="n">
        <f aca="false">IF(AND(Q28&lt;=$E$7,N28="B"),1,0)</f>
        <v>0</v>
      </c>
      <c r="T28" s="4" t="n">
        <f aca="false">IF(Q28&lt;=$E$7,1,0)</f>
        <v>1</v>
      </c>
    </row>
    <row r="29" customFormat="false" ht="15" hidden="false" customHeight="false" outlineLevel="0" collapsed="false">
      <c r="A29" s="13" t="s">
        <v>100</v>
      </c>
      <c r="B29" s="13" t="s">
        <v>101</v>
      </c>
      <c r="C29" s="13" t="s">
        <v>102</v>
      </c>
      <c r="M29" s="0" t="n">
        <v>28</v>
      </c>
      <c r="N29" s="0" t="str">
        <f aca="false">IF(MOD(M29-1,$B$13+$B$14)&lt;$B$13,"A","B")</f>
        <v>B</v>
      </c>
      <c r="O29" s="4" t="n">
        <f aca="false">IF(N29="A",$E$5,$H$3)</f>
        <v>4.06</v>
      </c>
      <c r="P29" s="4" t="n">
        <f aca="false">P28+O29</f>
        <v>113.68</v>
      </c>
      <c r="Q29" s="4" t="n">
        <f aca="false">P29+(M29-1)*$B$10</f>
        <v>248.68</v>
      </c>
      <c r="R29" s="4" t="n">
        <f aca="false">IF(AND(Q29&lt;=$E$7,N29="A"),1,0)</f>
        <v>0</v>
      </c>
      <c r="S29" s="4" t="n">
        <f aca="false">IF(AND(Q29&lt;=$E$7,N29="B"),1,0)</f>
        <v>1</v>
      </c>
      <c r="T29" s="4" t="n">
        <f aca="false">IF(Q29&lt;=$E$7,1,0)</f>
        <v>1</v>
      </c>
    </row>
    <row r="30" customFormat="false" ht="15" hidden="false" customHeight="false" outlineLevel="0" collapsed="false">
      <c r="A30" s="15" t="s">
        <v>103</v>
      </c>
      <c r="B30" s="16" t="n">
        <f aca="false">ROUNDUP(SUM(E17:E21)/$H$23,0)</f>
        <v>3</v>
      </c>
      <c r="C30" s="15" t="s">
        <v>104</v>
      </c>
      <c r="M30" s="0" t="n">
        <v>29</v>
      </c>
      <c r="N30" s="0" t="str">
        <f aca="false">IF(MOD(M30-1,$B$13+$B$14)&lt;$B$13,"A","B")</f>
        <v>B</v>
      </c>
      <c r="O30" s="4" t="n">
        <f aca="false">IF(N30="A",$E$5,$H$3)</f>
        <v>4.06</v>
      </c>
      <c r="P30" s="4" t="n">
        <f aca="false">P29+O30</f>
        <v>117.74</v>
      </c>
      <c r="Q30" s="4" t="n">
        <f aca="false">P30+(M30-1)*$B$10</f>
        <v>257.74</v>
      </c>
      <c r="R30" s="4" t="n">
        <f aca="false">IF(AND(Q30&lt;=$E$7,N30="A"),1,0)</f>
        <v>0</v>
      </c>
      <c r="S30" s="4" t="n">
        <f aca="false">IF(AND(Q30&lt;=$E$7,N30="B"),1,0)</f>
        <v>1</v>
      </c>
      <c r="T30" s="4" t="n">
        <f aca="false">IF(Q30&lt;=$E$7,1,0)</f>
        <v>1</v>
      </c>
    </row>
    <row r="31" customFormat="false" ht="15" hidden="false" customHeight="false" outlineLevel="0" collapsed="false">
      <c r="A31" s="15" t="s">
        <v>105</v>
      </c>
      <c r="B31" s="16" t="n">
        <f aca="false">ROUNDUP(E22/$H$23,0)</f>
        <v>10</v>
      </c>
      <c r="C31" s="15" t="s">
        <v>106</v>
      </c>
      <c r="M31" s="0" t="n">
        <v>30</v>
      </c>
      <c r="N31" s="0" t="str">
        <f aca="false">IF(MOD(M31-1,$B$13+$B$14)&lt;$B$13,"A","B")</f>
        <v>B</v>
      </c>
      <c r="O31" s="4" t="n">
        <f aca="false">IF(N31="A",$E$5,$H$3)</f>
        <v>4.06</v>
      </c>
      <c r="P31" s="4" t="n">
        <f aca="false">P30+O31</f>
        <v>121.8</v>
      </c>
      <c r="Q31" s="4" t="n">
        <f aca="false">P31+(M31-1)*$B$10</f>
        <v>266.8</v>
      </c>
      <c r="R31" s="4" t="n">
        <f aca="false">IF(AND(Q31&lt;=$E$7,N31="A"),1,0)</f>
        <v>0</v>
      </c>
      <c r="S31" s="4" t="n">
        <f aca="false">IF(AND(Q31&lt;=$E$7,N31="B"),1,0)</f>
        <v>1</v>
      </c>
      <c r="T31" s="4" t="n">
        <f aca="false">IF(Q31&lt;=$E$7,1,0)</f>
        <v>1</v>
      </c>
    </row>
    <row r="32" customFormat="false" ht="15" hidden="false" customHeight="false" outlineLevel="0" collapsed="false">
      <c r="A32" s="15" t="s">
        <v>107</v>
      </c>
      <c r="B32" s="16" t="n">
        <f aca="false">ROUNDUP(E23/$H$23,0)</f>
        <v>0</v>
      </c>
      <c r="C32" s="15" t="s">
        <v>108</v>
      </c>
      <c r="M32" s="0" t="n">
        <v>31</v>
      </c>
      <c r="N32" s="0" t="str">
        <f aca="false">IF(MOD(M32-1,$B$13+$B$14)&lt;$B$13,"A","B")</f>
        <v>B</v>
      </c>
      <c r="O32" s="4" t="n">
        <f aca="false">IF(N32="A",$E$5,$H$3)</f>
        <v>4.06</v>
      </c>
      <c r="P32" s="4" t="n">
        <f aca="false">P31+O32</f>
        <v>125.86</v>
      </c>
      <c r="Q32" s="4" t="n">
        <f aca="false">P32+(M32-1)*$B$10</f>
        <v>275.86</v>
      </c>
      <c r="R32" s="4" t="n">
        <f aca="false">IF(AND(Q32&lt;=$E$7,N32="A"),1,0)</f>
        <v>0</v>
      </c>
      <c r="S32" s="4" t="n">
        <f aca="false">IF(AND(Q32&lt;=$E$7,N32="B"),1,0)</f>
        <v>1</v>
      </c>
      <c r="T32" s="4" t="n">
        <f aca="false">IF(Q32&lt;=$E$7,1,0)</f>
        <v>1</v>
      </c>
    </row>
    <row r="33" customFormat="false" ht="15" hidden="false" customHeight="false" outlineLevel="0" collapsed="false">
      <c r="A33" s="15" t="s">
        <v>109</v>
      </c>
      <c r="B33" s="16" t="n">
        <f aca="false">ROUNDUP(E24/$H$23,0)</f>
        <v>0</v>
      </c>
      <c r="C33" s="15" t="s">
        <v>110</v>
      </c>
      <c r="M33" s="0" t="n">
        <v>32</v>
      </c>
      <c r="N33" s="0" t="str">
        <f aca="false">IF(MOD(M33-1,$B$13+$B$14)&lt;$B$13,"A","B")</f>
        <v>B</v>
      </c>
      <c r="O33" s="4" t="n">
        <f aca="false">IF(N33="A",$E$5,$H$3)</f>
        <v>4.06</v>
      </c>
      <c r="P33" s="4" t="n">
        <f aca="false">P32+O33</f>
        <v>129.92</v>
      </c>
      <c r="Q33" s="4" t="n">
        <f aca="false">P33+(M33-1)*$B$10</f>
        <v>284.92</v>
      </c>
      <c r="R33" s="4" t="n">
        <f aca="false">IF(AND(Q33&lt;=$E$7,N33="A"),1,0)</f>
        <v>0</v>
      </c>
      <c r="S33" s="4" t="n">
        <f aca="false">IF(AND(Q33&lt;=$E$7,N33="B"),1,0)</f>
        <v>1</v>
      </c>
      <c r="T33" s="4" t="n">
        <f aca="false">IF(Q33&lt;=$E$7,1,0)</f>
        <v>1</v>
      </c>
    </row>
    <row r="34" customFormat="false" ht="15" hidden="false" customHeight="false" outlineLevel="0" collapsed="false">
      <c r="A34" s="15" t="s">
        <v>111</v>
      </c>
      <c r="B34" s="16" t="n">
        <f aca="false">ROUNDUP(E25/$H$23,0)</f>
        <v>1</v>
      </c>
      <c r="C34" s="15" t="s">
        <v>112</v>
      </c>
      <c r="M34" s="0" t="n">
        <v>33</v>
      </c>
      <c r="N34" s="0" t="str">
        <f aca="false">IF(MOD(M34-1,$B$13+$B$14)&lt;$B$13,"A","B")</f>
        <v>A</v>
      </c>
      <c r="O34" s="4" t="n">
        <f aca="false">IF(N34="A",$E$5,$H$3)</f>
        <v>4.06</v>
      </c>
      <c r="P34" s="4" t="n">
        <f aca="false">P33+O34</f>
        <v>133.98</v>
      </c>
      <c r="Q34" s="4" t="n">
        <f aca="false">P34+(M34-1)*$B$10</f>
        <v>293.98</v>
      </c>
      <c r="R34" s="4" t="n">
        <f aca="false">IF(AND(Q34&lt;=$E$7,N34="A"),1,0)</f>
        <v>1</v>
      </c>
      <c r="S34" s="4" t="n">
        <f aca="false">IF(AND(Q34&lt;=$E$7,N34="B"),1,0)</f>
        <v>0</v>
      </c>
      <c r="T34" s="4" t="n">
        <f aca="false">IF(Q34&lt;=$E$7,1,0)</f>
        <v>1</v>
      </c>
    </row>
    <row r="35" customFormat="false" ht="15" hidden="false" customHeight="false" outlineLevel="0" collapsed="false">
      <c r="A35" s="15" t="s">
        <v>113</v>
      </c>
      <c r="B35" s="16" t="n">
        <f aca="false">ROUNDUP(E26/$H$23,0)</f>
        <v>2</v>
      </c>
      <c r="C35" s="15" t="s">
        <v>114</v>
      </c>
      <c r="M35" s="0" t="n">
        <v>34</v>
      </c>
      <c r="N35" s="0" t="str">
        <f aca="false">IF(MOD(M35-1,$B$13+$B$14)&lt;$B$13,"A","B")</f>
        <v>A</v>
      </c>
      <c r="O35" s="4" t="n">
        <f aca="false">IF(N35="A",$E$5,$H$3)</f>
        <v>4.06</v>
      </c>
      <c r="P35" s="4" t="n">
        <f aca="false">P34+O35</f>
        <v>138.04</v>
      </c>
      <c r="Q35" s="4" t="n">
        <f aca="false">P35+(M35-1)*$B$10</f>
        <v>303.04</v>
      </c>
      <c r="R35" s="4" t="n">
        <f aca="false">IF(AND(Q35&lt;=$E$7,N35="A"),1,0)</f>
        <v>1</v>
      </c>
      <c r="S35" s="4" t="n">
        <f aca="false">IF(AND(Q35&lt;=$E$7,N35="B"),1,0)</f>
        <v>0</v>
      </c>
      <c r="T35" s="4" t="n">
        <f aca="false">IF(Q35&lt;=$E$7,1,0)</f>
        <v>1</v>
      </c>
    </row>
    <row r="36" customFormat="false" ht="15" hidden="false" customHeight="false" outlineLevel="0" collapsed="false">
      <c r="M36" s="0" t="n">
        <v>35</v>
      </c>
      <c r="N36" s="0" t="str">
        <f aca="false">IF(MOD(M36-1,$B$13+$B$14)&lt;$B$13,"A","B")</f>
        <v>A</v>
      </c>
      <c r="O36" s="0" t="n">
        <f aca="false">IF(N36="A",$E$5,$H$3)</f>
        <v>4.06</v>
      </c>
      <c r="P36" s="0" t="n">
        <f aca="false">P35+O36</f>
        <v>142.1</v>
      </c>
      <c r="Q36" s="0" t="n">
        <f aca="false">P36+(M36-1)*$B$10</f>
        <v>312.1</v>
      </c>
      <c r="R36" s="0" t="n">
        <f aca="false">IF(AND(Q36&lt;=$E$7,N36="A"),1,0)</f>
        <v>1</v>
      </c>
      <c r="S36" s="0" t="n">
        <f aca="false">IF(AND(Q36&lt;=$E$7,N36="B"),1,0)</f>
        <v>0</v>
      </c>
      <c r="T36" s="0" t="n">
        <f aca="false">IF(Q36&lt;=$E$7,1,0)</f>
        <v>1</v>
      </c>
    </row>
    <row r="37" customFormat="false" ht="15" hidden="false" customHeight="false" outlineLevel="0" collapsed="false">
      <c r="A37" s="17" t="s">
        <v>115</v>
      </c>
      <c r="B37" s="17"/>
      <c r="C37" s="17"/>
      <c r="D37" s="17"/>
      <c r="E37" s="17"/>
      <c r="F37" s="17"/>
      <c r="M37" s="0" t="n">
        <v>36</v>
      </c>
      <c r="N37" s="0" t="str">
        <f aca="false">IF(MOD(M37-1,$B$13+$B$14)&lt;$B$13,"A","B")</f>
        <v>B</v>
      </c>
      <c r="O37" s="4" t="n">
        <f aca="false">IF(N37="A",$E$5,$H$3)</f>
        <v>4.06</v>
      </c>
      <c r="P37" s="4" t="n">
        <f aca="false">P36+O37</f>
        <v>146.16</v>
      </c>
      <c r="Q37" s="4" t="n">
        <f aca="false">P37+(M37-1)*$B$10</f>
        <v>321.16</v>
      </c>
      <c r="R37" s="4" t="n">
        <f aca="false">IF(AND(Q37&lt;=$E$7,N37="A"),1,0)</f>
        <v>0</v>
      </c>
      <c r="S37" s="4" t="n">
        <f aca="false">IF(AND(Q37&lt;=$E$7,N37="B"),1,0)</f>
        <v>1</v>
      </c>
      <c r="T37" s="4" t="n">
        <f aca="false">IF(Q37&lt;=$E$7,1,0)</f>
        <v>1</v>
      </c>
    </row>
    <row r="38" customFormat="false" ht="15" hidden="false" customHeight="false" outlineLevel="0" collapsed="false">
      <c r="A38" s="18" t="s">
        <v>67</v>
      </c>
      <c r="B38" s="17" t="s">
        <v>116</v>
      </c>
      <c r="C38" s="18" t="s">
        <v>117</v>
      </c>
      <c r="D38" s="19" t="s">
        <v>70</v>
      </c>
      <c r="E38" s="18" t="s">
        <v>118</v>
      </c>
      <c r="F38" s="18" t="s">
        <v>72</v>
      </c>
      <c r="M38" s="0" t="n">
        <v>37</v>
      </c>
      <c r="N38" s="0" t="str">
        <f aca="false">IF(MOD(M38-1,$B$13+$B$14)&lt;$B$13,"A","B")</f>
        <v>B</v>
      </c>
      <c r="O38" s="4" t="n">
        <f aca="false">IF(N38="A",$E$5,$H$3)</f>
        <v>4.06</v>
      </c>
      <c r="P38" s="4" t="n">
        <f aca="false">P37+O38</f>
        <v>150.22</v>
      </c>
      <c r="Q38" s="4" t="n">
        <f aca="false">P38+(M38-1)*$B$10</f>
        <v>330.22</v>
      </c>
      <c r="R38" s="4" t="n">
        <f aca="false">IF(AND(Q38&lt;=$E$7,N38="A"),1,0)</f>
        <v>0</v>
      </c>
      <c r="S38" s="4" t="n">
        <f aca="false">IF(AND(Q38&lt;=$E$7,N38="B"),1,0)</f>
        <v>1</v>
      </c>
      <c r="T38" s="4" t="n">
        <f aca="false">IF(Q38&lt;=$E$7,1,0)</f>
        <v>1</v>
      </c>
    </row>
    <row r="39" customFormat="false" ht="15" hidden="false" customHeight="false" outlineLevel="0" collapsed="false">
      <c r="A39" s="20" t="n">
        <v>1</v>
      </c>
      <c r="B39" s="21" t="s">
        <v>119</v>
      </c>
      <c r="C39" s="22"/>
      <c r="D39" s="23" t="s">
        <v>120</v>
      </c>
      <c r="E39" s="20" t="s">
        <v>121</v>
      </c>
      <c r="F39" s="20"/>
      <c r="M39" s="0" t="n">
        <v>38</v>
      </c>
      <c r="N39" s="0" t="str">
        <f aca="false">IF(MOD(M39-1,$B$13+$B$14)&lt;$B$13,"A","B")</f>
        <v>B</v>
      </c>
      <c r="O39" s="4" t="n">
        <f aca="false">IF(N39="A",$E$5,$H$3)</f>
        <v>4.06</v>
      </c>
      <c r="P39" s="4" t="n">
        <f aca="false">P38+O39</f>
        <v>154.28</v>
      </c>
      <c r="Q39" s="4" t="n">
        <f aca="false">P39+(M39-1)*$B$10</f>
        <v>339.28</v>
      </c>
      <c r="R39" s="4" t="n">
        <f aca="false">IF(AND(Q39&lt;=$E$7,N39="A"),1,0)</f>
        <v>0</v>
      </c>
      <c r="S39" s="4" t="n">
        <f aca="false">IF(AND(Q39&lt;=$E$7,N39="B"),1,0)</f>
        <v>1</v>
      </c>
      <c r="T39" s="4" t="n">
        <f aca="false">IF(Q39&lt;=$E$7,1,0)</f>
        <v>1</v>
      </c>
    </row>
    <row r="40" customFormat="false" ht="15" hidden="false" customHeight="false" outlineLevel="0" collapsed="false">
      <c r="A40" s="20" t="n">
        <v>2</v>
      </c>
      <c r="B40" s="21" t="s">
        <v>122</v>
      </c>
      <c r="C40" s="22"/>
      <c r="D40" s="23" t="s">
        <v>123</v>
      </c>
      <c r="E40" s="20" t="s">
        <v>121</v>
      </c>
      <c r="F40" s="20"/>
      <c r="M40" s="0" t="n">
        <v>39</v>
      </c>
      <c r="N40" s="0" t="str">
        <f aca="false">IF(MOD(M40-1,$B$13+$B$14)&lt;$B$13,"A","B")</f>
        <v>B</v>
      </c>
      <c r="O40" s="4" t="n">
        <f aca="false">IF(N40="A",$E$5,$H$3)</f>
        <v>4.06</v>
      </c>
      <c r="P40" s="4" t="n">
        <f aca="false">P39+O40</f>
        <v>158.34</v>
      </c>
      <c r="Q40" s="4" t="n">
        <f aca="false">P40+(M40-1)*$B$10</f>
        <v>348.34</v>
      </c>
      <c r="R40" s="4" t="n">
        <f aca="false">IF(AND(Q40&lt;=$E$7,N40="A"),1,0)</f>
        <v>0</v>
      </c>
      <c r="S40" s="4" t="n">
        <f aca="false">IF(AND(Q40&lt;=$E$7,N40="B"),1,0)</f>
        <v>1</v>
      </c>
      <c r="T40" s="4" t="n">
        <f aca="false">IF(Q40&lt;=$E$7,1,0)</f>
        <v>1</v>
      </c>
    </row>
    <row r="41" customFormat="false" ht="15" hidden="false" customHeight="false" outlineLevel="0" collapsed="false">
      <c r="A41" s="20" t="n">
        <v>3</v>
      </c>
      <c r="B41" s="21" t="s">
        <v>124</v>
      </c>
      <c r="C41" s="22"/>
      <c r="D41" s="23"/>
      <c r="E41" s="20" t="s">
        <v>125</v>
      </c>
      <c r="F41" s="20" t="s">
        <v>126</v>
      </c>
      <c r="M41" s="0" t="n">
        <v>40</v>
      </c>
      <c r="N41" s="0" t="str">
        <f aca="false">IF(MOD(M41-1,$B$13+$B$14)&lt;$B$13,"A","B")</f>
        <v>B</v>
      </c>
      <c r="O41" s="4" t="n">
        <f aca="false">IF(N41="A",$E$5,$H$3)</f>
        <v>4.06</v>
      </c>
      <c r="P41" s="4" t="n">
        <f aca="false">P40+O41</f>
        <v>162.4</v>
      </c>
      <c r="Q41" s="4" t="n">
        <f aca="false">P41+(M41-1)*$B$10</f>
        <v>357.4</v>
      </c>
      <c r="R41" s="4" t="n">
        <f aca="false">IF(AND(Q41&lt;=$E$7,N41="A"),1,0)</f>
        <v>0</v>
      </c>
      <c r="S41" s="4" t="n">
        <f aca="false">IF(AND(Q41&lt;=$E$7,N41="B"),1,0)</f>
        <v>0</v>
      </c>
      <c r="T41" s="4" t="n">
        <f aca="false">IF(Q41&lt;=$E$7,1,0)</f>
        <v>0</v>
      </c>
    </row>
    <row r="42" customFormat="false" ht="15" hidden="false" customHeight="false" outlineLevel="0" collapsed="false">
      <c r="A42" s="20" t="n">
        <v>4</v>
      </c>
      <c r="B42" s="20" t="s">
        <v>127</v>
      </c>
      <c r="C42" s="22"/>
      <c r="D42" s="24"/>
      <c r="E42" s="20" t="s">
        <v>121</v>
      </c>
      <c r="F42" s="20" t="s">
        <v>128</v>
      </c>
      <c r="M42" s="0" t="n">
        <v>41</v>
      </c>
      <c r="N42" s="0" t="str">
        <f aca="false">IF(MOD(M42-1,$B$13+$B$14)&lt;$B$13,"A","B")</f>
        <v>A</v>
      </c>
      <c r="O42" s="4" t="n">
        <f aca="false">IF(N42="A",$E$5,$H$3)</f>
        <v>4.06</v>
      </c>
      <c r="P42" s="4" t="n">
        <f aca="false">P41+O42</f>
        <v>166.46</v>
      </c>
      <c r="Q42" s="4" t="n">
        <f aca="false">P42+(M42-1)*$B$10</f>
        <v>366.46</v>
      </c>
      <c r="R42" s="4" t="n">
        <f aca="false">IF(AND(Q42&lt;=$E$7,N42="A"),1,0)</f>
        <v>0</v>
      </c>
      <c r="S42" s="4" t="n">
        <f aca="false">IF(AND(Q42&lt;=$E$7,N42="B"),1,0)</f>
        <v>0</v>
      </c>
      <c r="T42" s="4" t="n">
        <f aca="false">IF(Q42&lt;=$E$7,1,0)</f>
        <v>0</v>
      </c>
    </row>
    <row r="43" customFormat="false" ht="15" hidden="false" customHeight="false" outlineLevel="0" collapsed="false">
      <c r="A43" s="25"/>
      <c r="M43" s="0" t="n">
        <v>42</v>
      </c>
      <c r="N43" s="0" t="str">
        <f aca="false">IF(MOD(M43-1,$B$13+$B$14)&lt;$B$13,"A","B")</f>
        <v>A</v>
      </c>
      <c r="O43" s="4" t="n">
        <f aca="false">IF(N43="A",$E$5,$H$3)</f>
        <v>4.06</v>
      </c>
      <c r="P43" s="4" t="n">
        <f aca="false">P42+O43</f>
        <v>170.52</v>
      </c>
      <c r="Q43" s="4" t="n">
        <f aca="false">P43+(M43-1)*$B$10</f>
        <v>375.52</v>
      </c>
      <c r="R43" s="4" t="n">
        <f aca="false">IF(AND(Q43&lt;=$E$7,N43="A"),1,0)</f>
        <v>0</v>
      </c>
      <c r="S43" s="4" t="n">
        <f aca="false">IF(AND(Q43&lt;=$E$7,N43="B"),1,0)</f>
        <v>0</v>
      </c>
      <c r="T43" s="4" t="n">
        <f aca="false">IF(Q43&lt;=$E$7,1,0)</f>
        <v>0</v>
      </c>
    </row>
    <row r="44" customFormat="false" ht="15" hidden="false" customHeight="false" outlineLevel="0" collapsed="false">
      <c r="M44" s="0" t="n">
        <v>43</v>
      </c>
      <c r="N44" s="0" t="str">
        <f aca="false">IF(MOD(M44-1,$B$13+$B$14)&lt;$B$13,"A","B")</f>
        <v>A</v>
      </c>
      <c r="O44" s="0" t="n">
        <f aca="false">IF(N44="A",$E$5,$H$3)</f>
        <v>4.06</v>
      </c>
      <c r="P44" s="0" t="n">
        <f aca="false">P43+O44</f>
        <v>174.58</v>
      </c>
      <c r="Q44" s="0" t="n">
        <f aca="false">P44+(M44-1)*$B$10</f>
        <v>384.58</v>
      </c>
      <c r="R44" s="0" t="n">
        <f aca="false">IF(AND(Q44&lt;=$E$7,N44="A"),1,0)</f>
        <v>0</v>
      </c>
      <c r="S44" s="0" t="n">
        <f aca="false">IF(AND(Q44&lt;=$E$7,N44="B"),1,0)</f>
        <v>0</v>
      </c>
      <c r="T44" s="0" t="n">
        <f aca="false">IF(Q44&lt;=$E$7,1,0)</f>
        <v>0</v>
      </c>
    </row>
    <row r="45" customFormat="false" ht="15" hidden="false" customHeight="false" outlineLevel="0" collapsed="false">
      <c r="M45" s="0" t="n">
        <v>44</v>
      </c>
      <c r="N45" s="0" t="str">
        <f aca="false">IF(MOD(M45-1,$B$13+$B$14)&lt;$B$13,"A","B")</f>
        <v>B</v>
      </c>
      <c r="O45" s="0" t="n">
        <f aca="false">IF(N45="A",$E$5,$H$3)</f>
        <v>4.06</v>
      </c>
      <c r="P45" s="0" t="n">
        <f aca="false">P44+O45</f>
        <v>178.64</v>
      </c>
      <c r="Q45" s="0" t="n">
        <f aca="false">P45+(M45-1)*$B$10</f>
        <v>393.64</v>
      </c>
      <c r="R45" s="0" t="n">
        <f aca="false">IF(AND(Q45&lt;=$E$7,N45="A"),1,0)</f>
        <v>0</v>
      </c>
      <c r="S45" s="0" t="n">
        <f aca="false">IF(AND(Q45&lt;=$E$7,N45="B"),1,0)</f>
        <v>0</v>
      </c>
      <c r="T45" s="0" t="n">
        <f aca="false">IF(Q45&lt;=$E$7,1,0)</f>
        <v>0</v>
      </c>
    </row>
    <row r="46" customFormat="false" ht="15" hidden="false" customHeight="false" outlineLevel="0" collapsed="false">
      <c r="M46" s="0" t="n">
        <v>45</v>
      </c>
      <c r="N46" s="0" t="str">
        <f aca="false">IF(MOD(M46-1,$B$13+$B$14)&lt;$B$13,"A","B")</f>
        <v>B</v>
      </c>
      <c r="O46" s="0" t="n">
        <f aca="false">IF(N46="A",$E$5,$H$3)</f>
        <v>4.06</v>
      </c>
      <c r="P46" s="0" t="n">
        <f aca="false">P45+O46</f>
        <v>182.7</v>
      </c>
      <c r="Q46" s="0" t="n">
        <f aca="false">P46+(M46-1)*$B$10</f>
        <v>402.7</v>
      </c>
      <c r="R46" s="0" t="n">
        <f aca="false">IF(AND(Q46&lt;=$E$7,N46="A"),1,0)</f>
        <v>0</v>
      </c>
      <c r="S46" s="0" t="n">
        <f aca="false">IF(AND(Q46&lt;=$E$7,N46="B"),1,0)</f>
        <v>0</v>
      </c>
      <c r="T46" s="0" t="n">
        <f aca="false">IF(Q46&lt;=$E$7,1,0)</f>
        <v>0</v>
      </c>
    </row>
    <row r="47" customFormat="false" ht="15" hidden="false" customHeight="false" outlineLevel="0" collapsed="false">
      <c r="M47" s="0" t="n">
        <v>46</v>
      </c>
      <c r="N47" s="0" t="str">
        <f aca="false">IF(MOD(M47-1,$B$13+$B$14)&lt;$B$13,"A","B")</f>
        <v>B</v>
      </c>
      <c r="O47" s="0" t="n">
        <f aca="false">IF(N47="A",$E$5,$H$3)</f>
        <v>4.06</v>
      </c>
      <c r="P47" s="0" t="n">
        <f aca="false">P46+O47</f>
        <v>186.76</v>
      </c>
      <c r="Q47" s="0" t="n">
        <f aca="false">P47+(M47-1)*$B$10</f>
        <v>411.76</v>
      </c>
      <c r="R47" s="0" t="n">
        <f aca="false">IF(AND(Q47&lt;=$E$7,N47="A"),1,0)</f>
        <v>0</v>
      </c>
      <c r="S47" s="0" t="n">
        <f aca="false">IF(AND(Q47&lt;=$E$7,N47="B"),1,0)</f>
        <v>0</v>
      </c>
      <c r="T47" s="0" t="n">
        <f aca="false">IF(Q47&lt;=$E$7,1,0)</f>
        <v>0</v>
      </c>
    </row>
    <row r="48" customFormat="false" ht="15" hidden="false" customHeight="false" outlineLevel="0" collapsed="false">
      <c r="M48" s="0" t="n">
        <v>47</v>
      </c>
      <c r="N48" s="0" t="str">
        <f aca="false">IF(MOD(M48-1,$B$13+$B$14)&lt;$B$13,"A","B")</f>
        <v>B</v>
      </c>
      <c r="O48" s="0" t="n">
        <f aca="false">IF(N48="A",$E$5,$H$3)</f>
        <v>4.06</v>
      </c>
      <c r="P48" s="0" t="n">
        <f aca="false">P47+O48</f>
        <v>190.82</v>
      </c>
      <c r="Q48" s="0" t="n">
        <f aca="false">P48+(M48-1)*$B$10</f>
        <v>420.82</v>
      </c>
      <c r="R48" s="0" t="n">
        <f aca="false">IF(AND(Q48&lt;=$E$7,N48="A"),1,0)</f>
        <v>0</v>
      </c>
      <c r="S48" s="0" t="n">
        <f aca="false">IF(AND(Q48&lt;=$E$7,N48="B"),1,0)</f>
        <v>0</v>
      </c>
      <c r="T48" s="0" t="n">
        <f aca="false">IF(Q48&lt;=$E$7,1,0)</f>
        <v>0</v>
      </c>
    </row>
    <row r="49" customFormat="false" ht="15" hidden="false" customHeight="false" outlineLevel="0" collapsed="false">
      <c r="M49" s="0" t="n">
        <v>48</v>
      </c>
      <c r="N49" s="0" t="str">
        <f aca="false">IF(MOD(M49-1,$B$13+$B$14)&lt;$B$13,"A","B")</f>
        <v>B</v>
      </c>
      <c r="O49" s="0" t="n">
        <f aca="false">IF(N49="A",$E$5,$H$3)</f>
        <v>4.06</v>
      </c>
      <c r="P49" s="0" t="n">
        <f aca="false">P48+O49</f>
        <v>194.88</v>
      </c>
      <c r="Q49" s="0" t="n">
        <f aca="false">P49+(M49-1)*$B$10</f>
        <v>429.88</v>
      </c>
      <c r="R49" s="0" t="n">
        <f aca="false">IF(AND(Q49&lt;=$E$7,N49="A"),1,0)</f>
        <v>0</v>
      </c>
      <c r="S49" s="0" t="n">
        <f aca="false">IF(AND(Q49&lt;=$E$7,N49="B"),1,0)</f>
        <v>0</v>
      </c>
      <c r="T49" s="0" t="n">
        <f aca="false">IF(Q49&lt;=$E$7,1,0)</f>
        <v>0</v>
      </c>
    </row>
    <row r="50" customFormat="false" ht="15" hidden="false" customHeight="false" outlineLevel="0" collapsed="false">
      <c r="M50" s="0" t="n">
        <v>49</v>
      </c>
      <c r="N50" s="0" t="str">
        <f aca="false">IF(MOD(M50-1,$B$13+$B$14)&lt;$B$13,"A","B")</f>
        <v>A</v>
      </c>
      <c r="O50" s="0" t="n">
        <f aca="false">IF(N50="A",$E$5,$H$3)</f>
        <v>4.06</v>
      </c>
      <c r="P50" s="0" t="n">
        <f aca="false">P49+O50</f>
        <v>198.94</v>
      </c>
      <c r="Q50" s="0" t="n">
        <f aca="false">P50+(M50-1)*$B$10</f>
        <v>438.94</v>
      </c>
      <c r="R50" s="0" t="n">
        <f aca="false">IF(AND(Q50&lt;=$E$7,N50="A"),1,0)</f>
        <v>0</v>
      </c>
      <c r="S50" s="0" t="n">
        <f aca="false">IF(AND(Q50&lt;=$E$7,N50="B"),1,0)</f>
        <v>0</v>
      </c>
      <c r="T50" s="0" t="n">
        <f aca="false">IF(Q50&lt;=$E$7,1,0)</f>
        <v>0</v>
      </c>
    </row>
    <row r="51" customFormat="false" ht="15" hidden="false" customHeight="false" outlineLevel="0" collapsed="false">
      <c r="M51" s="0" t="n">
        <v>50</v>
      </c>
      <c r="N51" s="0" t="str">
        <f aca="false">IF(MOD(M51-1,$B$13+$B$14)&lt;$B$13,"A","B")</f>
        <v>A</v>
      </c>
      <c r="O51" s="0" t="n">
        <f aca="false">IF(N51="A",$E$5,$H$3)</f>
        <v>4.06</v>
      </c>
      <c r="P51" s="0" t="n">
        <f aca="false">P50+O51</f>
        <v>203</v>
      </c>
      <c r="Q51" s="0" t="n">
        <f aca="false">P51+(M51-1)*$B$10</f>
        <v>448</v>
      </c>
      <c r="R51" s="0" t="n">
        <f aca="false">IF(AND(Q51&lt;=$E$7,N51="A"),1,0)</f>
        <v>0</v>
      </c>
      <c r="S51" s="0" t="n">
        <f aca="false">IF(AND(Q51&lt;=$E$7,N51="B"),1,0)</f>
        <v>0</v>
      </c>
      <c r="T51" s="0" t="n">
        <f aca="false">IF(Q51&lt;=$E$7,1,0)</f>
        <v>0</v>
      </c>
    </row>
    <row r="52" customFormat="false" ht="15" hidden="false" customHeight="false" outlineLevel="0" collapsed="false">
      <c r="M52" s="0" t="n">
        <v>51</v>
      </c>
      <c r="N52" s="0" t="str">
        <f aca="false">IF(MOD(M52-1,$B$13+$B$14)&lt;$B$13,"A","B")</f>
        <v>A</v>
      </c>
      <c r="O52" s="0" t="n">
        <f aca="false">IF(N52="A",$E$5,$H$3)</f>
        <v>4.06</v>
      </c>
      <c r="P52" s="0" t="n">
        <f aca="false">P51+O52</f>
        <v>207.06</v>
      </c>
      <c r="Q52" s="0" t="n">
        <f aca="false">P52+(M52-1)*$B$10</f>
        <v>457.06</v>
      </c>
      <c r="R52" s="0" t="n">
        <f aca="false">IF(AND(Q52&lt;=$E$7,N52="A"),1,0)</f>
        <v>0</v>
      </c>
      <c r="S52" s="0" t="n">
        <f aca="false">IF(AND(Q52&lt;=$E$7,N52="B"),1,0)</f>
        <v>0</v>
      </c>
      <c r="T52" s="0" t="n">
        <f aca="false">IF(Q52&lt;=$E$7,1,0)</f>
        <v>0</v>
      </c>
    </row>
    <row r="53" customFormat="false" ht="15" hidden="false" customHeight="false" outlineLevel="0" collapsed="false">
      <c r="M53" s="0" t="n">
        <v>52</v>
      </c>
      <c r="N53" s="0" t="str">
        <f aca="false">IF(MOD(M53-1,$B$13+$B$14)&lt;$B$13,"A","B")</f>
        <v>B</v>
      </c>
      <c r="O53" s="0" t="n">
        <f aca="false">IF(N53="A",$E$5,$H$3)</f>
        <v>4.06</v>
      </c>
      <c r="P53" s="0" t="n">
        <f aca="false">P52+O53</f>
        <v>211.12</v>
      </c>
      <c r="Q53" s="0" t="n">
        <f aca="false">P53+(M53-1)*$B$10</f>
        <v>466.12</v>
      </c>
      <c r="R53" s="0" t="n">
        <f aca="false">IF(AND(Q53&lt;=$E$7,N53="A"),1,0)</f>
        <v>0</v>
      </c>
      <c r="S53" s="0" t="n">
        <f aca="false">IF(AND(Q53&lt;=$E$7,N53="B"),1,0)</f>
        <v>0</v>
      </c>
      <c r="T53" s="0" t="n">
        <f aca="false">IF(Q53&lt;=$E$7,1,0)</f>
        <v>0</v>
      </c>
    </row>
    <row r="54" customFormat="false" ht="15" hidden="false" customHeight="false" outlineLevel="0" collapsed="false">
      <c r="M54" s="0" t="n">
        <v>53</v>
      </c>
      <c r="N54" s="0" t="str">
        <f aca="false">IF(MOD(M54-1,$B$13+$B$14)&lt;$B$13,"A","B")</f>
        <v>B</v>
      </c>
      <c r="O54" s="0" t="n">
        <f aca="false">IF(N54="A",$E$5,$H$3)</f>
        <v>4.06</v>
      </c>
      <c r="P54" s="0" t="n">
        <f aca="false">P53+O54</f>
        <v>215.18</v>
      </c>
      <c r="Q54" s="0" t="n">
        <f aca="false">P54+(M54-1)*$B$10</f>
        <v>475.18</v>
      </c>
      <c r="R54" s="0" t="n">
        <f aca="false">IF(AND(Q54&lt;=$E$7,N54="A"),1,0)</f>
        <v>0</v>
      </c>
      <c r="S54" s="0" t="n">
        <f aca="false">IF(AND(Q54&lt;=$E$7,N54="B"),1,0)</f>
        <v>0</v>
      </c>
      <c r="T54" s="0" t="n">
        <f aca="false">IF(Q54&lt;=$E$7,1,0)</f>
        <v>0</v>
      </c>
    </row>
    <row r="55" customFormat="false" ht="15" hidden="false" customHeight="false" outlineLevel="0" collapsed="false">
      <c r="M55" s="0" t="n">
        <v>54</v>
      </c>
      <c r="N55" s="0" t="str">
        <f aca="false">IF(MOD(M55-1,$B$13+$B$14)&lt;$B$13,"A","B")</f>
        <v>B</v>
      </c>
      <c r="O55" s="0" t="n">
        <f aca="false">IF(N55="A",$E$5,$H$3)</f>
        <v>4.06</v>
      </c>
      <c r="P55" s="0" t="n">
        <f aca="false">P54+O55</f>
        <v>219.24</v>
      </c>
      <c r="Q55" s="0" t="n">
        <f aca="false">P55+(M55-1)*$B$10</f>
        <v>484.24</v>
      </c>
      <c r="R55" s="0" t="n">
        <f aca="false">IF(AND(Q55&lt;=$E$7,N55="A"),1,0)</f>
        <v>0</v>
      </c>
      <c r="S55" s="0" t="n">
        <f aca="false">IF(AND(Q55&lt;=$E$7,N55="B"),1,0)</f>
        <v>0</v>
      </c>
      <c r="T55" s="0" t="n">
        <f aca="false">IF(Q55&lt;=$E$7,1,0)</f>
        <v>0</v>
      </c>
    </row>
    <row r="56" customFormat="false" ht="15" hidden="false" customHeight="false" outlineLevel="0" collapsed="false">
      <c r="M56" s="0" t="n">
        <v>55</v>
      </c>
      <c r="N56" s="0" t="str">
        <f aca="false">IF(MOD(M56-1,$B$13+$B$14)&lt;$B$13,"A","B")</f>
        <v>B</v>
      </c>
      <c r="O56" s="0" t="n">
        <f aca="false">IF(N56="A",$E$5,$H$3)</f>
        <v>4.06</v>
      </c>
      <c r="P56" s="0" t="n">
        <f aca="false">P55+O56</f>
        <v>223.3</v>
      </c>
      <c r="Q56" s="0" t="n">
        <f aca="false">P56+(M56-1)*$B$10</f>
        <v>493.3</v>
      </c>
      <c r="R56" s="0" t="n">
        <f aca="false">IF(AND(Q56&lt;=$E$7,N56="A"),1,0)</f>
        <v>0</v>
      </c>
      <c r="S56" s="0" t="n">
        <f aca="false">IF(AND(Q56&lt;=$E$7,N56="B"),1,0)</f>
        <v>0</v>
      </c>
      <c r="T56" s="0" t="n">
        <f aca="false">IF(Q56&lt;=$E$7,1,0)</f>
        <v>0</v>
      </c>
    </row>
    <row r="57" customFormat="false" ht="15" hidden="false" customHeight="false" outlineLevel="0" collapsed="false">
      <c r="M57" s="0" t="n">
        <v>56</v>
      </c>
      <c r="N57" s="0" t="str">
        <f aca="false">IF(MOD(M57-1,$B$13+$B$14)&lt;$B$13,"A","B")</f>
        <v>B</v>
      </c>
      <c r="O57" s="0" t="n">
        <f aca="false">IF(N57="A",$E$5,$H$3)</f>
        <v>4.06</v>
      </c>
      <c r="P57" s="0" t="n">
        <f aca="false">P56+O57</f>
        <v>227.36</v>
      </c>
      <c r="Q57" s="0" t="n">
        <f aca="false">P57+(M57-1)*$B$10</f>
        <v>502.36</v>
      </c>
      <c r="R57" s="0" t="n">
        <f aca="false">IF(AND(Q57&lt;=$E$7,N57="A"),1,0)</f>
        <v>0</v>
      </c>
      <c r="S57" s="0" t="n">
        <f aca="false">IF(AND(Q57&lt;=$E$7,N57="B"),1,0)</f>
        <v>0</v>
      </c>
      <c r="T57" s="0" t="n">
        <f aca="false">IF(Q57&lt;=$E$7,1,0)</f>
        <v>0</v>
      </c>
    </row>
    <row r="58" customFormat="false" ht="15" hidden="false" customHeight="false" outlineLevel="0" collapsed="false">
      <c r="M58" s="0" t="n">
        <v>57</v>
      </c>
      <c r="N58" s="0" t="str">
        <f aca="false">IF(MOD(M58-1,$B$13+$B$14)&lt;$B$13,"A","B")</f>
        <v>A</v>
      </c>
      <c r="O58" s="0" t="n">
        <f aca="false">IF(N58="A",$E$5,$H$3)</f>
        <v>4.06</v>
      </c>
      <c r="P58" s="0" t="n">
        <f aca="false">P57+O58</f>
        <v>231.42</v>
      </c>
      <c r="Q58" s="0" t="n">
        <f aca="false">P58+(M58-1)*$B$10</f>
        <v>511.42</v>
      </c>
      <c r="R58" s="0" t="n">
        <f aca="false">IF(AND(Q58&lt;=$E$7,N58="A"),1,0)</f>
        <v>0</v>
      </c>
      <c r="S58" s="0" t="n">
        <f aca="false">IF(AND(Q58&lt;=$E$7,N58="B"),1,0)</f>
        <v>0</v>
      </c>
      <c r="T58" s="0" t="n">
        <f aca="false">IF(Q58&lt;=$E$7,1,0)</f>
        <v>0</v>
      </c>
    </row>
    <row r="59" customFormat="false" ht="15" hidden="false" customHeight="false" outlineLevel="0" collapsed="false">
      <c r="M59" s="0" t="n">
        <v>58</v>
      </c>
      <c r="N59" s="0" t="str">
        <f aca="false">IF(MOD(M59-1,$B$13+$B$14)&lt;$B$13,"A","B")</f>
        <v>A</v>
      </c>
      <c r="O59" s="0" t="n">
        <f aca="false">IF(N59="A",$E$5,$H$3)</f>
        <v>4.06</v>
      </c>
      <c r="P59" s="0" t="n">
        <f aca="false">P58+O59</f>
        <v>235.48</v>
      </c>
      <c r="Q59" s="0" t="n">
        <f aca="false">P59+(M59-1)*$B$10</f>
        <v>520.48</v>
      </c>
      <c r="R59" s="0" t="n">
        <f aca="false">IF(AND(Q59&lt;=$E$7,N59="A"),1,0)</f>
        <v>0</v>
      </c>
      <c r="S59" s="0" t="n">
        <f aca="false">IF(AND(Q59&lt;=$E$7,N59="B"),1,0)</f>
        <v>0</v>
      </c>
      <c r="T59" s="0" t="n">
        <f aca="false">IF(Q59&lt;=$E$7,1,0)</f>
        <v>0</v>
      </c>
    </row>
    <row r="60" customFormat="false" ht="15" hidden="false" customHeight="false" outlineLevel="0" collapsed="false">
      <c r="M60" s="0" t="n">
        <v>59</v>
      </c>
      <c r="N60" s="0" t="str">
        <f aca="false">IF(MOD(M60-1,$B$13+$B$14)&lt;$B$13,"A","B")</f>
        <v>A</v>
      </c>
      <c r="O60" s="0" t="n">
        <f aca="false">IF(N60="A",$E$5,$H$3)</f>
        <v>4.06</v>
      </c>
      <c r="P60" s="0" t="n">
        <f aca="false">P59+O60</f>
        <v>239.54</v>
      </c>
      <c r="Q60" s="0" t="n">
        <f aca="false">P60+(M60-1)*$B$10</f>
        <v>529.54</v>
      </c>
      <c r="R60" s="0" t="n">
        <f aca="false">IF(AND(Q60&lt;=$E$7,N60="A"),1,0)</f>
        <v>0</v>
      </c>
      <c r="S60" s="0" t="n">
        <f aca="false">IF(AND(Q60&lt;=$E$7,N60="B"),1,0)</f>
        <v>0</v>
      </c>
      <c r="T60" s="0" t="n">
        <f aca="false">IF(Q60&lt;=$E$7,1,0)</f>
        <v>0</v>
      </c>
    </row>
    <row r="61" customFormat="false" ht="15" hidden="false" customHeight="false" outlineLevel="0" collapsed="false">
      <c r="M61" s="0" t="n">
        <v>60</v>
      </c>
      <c r="N61" s="0" t="str">
        <f aca="false">IF(MOD(M61-1,$B$13+$B$14)&lt;$B$13,"A","B")</f>
        <v>B</v>
      </c>
      <c r="O61" s="0" t="n">
        <f aca="false">IF(N61="A",$E$5,$H$3)</f>
        <v>4.06</v>
      </c>
      <c r="P61" s="0" t="n">
        <f aca="false">P60+O61</f>
        <v>243.6</v>
      </c>
      <c r="Q61" s="0" t="n">
        <f aca="false">P61+(M61-1)*$B$10</f>
        <v>538.6</v>
      </c>
      <c r="R61" s="0" t="n">
        <f aca="false">IF(AND(Q61&lt;=$E$7,N61="A"),1,0)</f>
        <v>0</v>
      </c>
      <c r="S61" s="0" t="n">
        <f aca="false">IF(AND(Q61&lt;=$E$7,N61="B"),1,0)</f>
        <v>0</v>
      </c>
      <c r="T61" s="0" t="n">
        <f aca="false">IF(Q61&lt;=$E$7,1,0)</f>
        <v>0</v>
      </c>
    </row>
    <row r="62" customFormat="false" ht="15" hidden="false" customHeight="false" outlineLevel="0" collapsed="false">
      <c r="M62" s="0" t="n">
        <v>61</v>
      </c>
      <c r="N62" s="0" t="str">
        <f aca="false">IF(MOD(M62-1,$B$13+$B$14)&lt;$B$13,"A","B")</f>
        <v>B</v>
      </c>
      <c r="O62" s="0" t="n">
        <f aca="false">IF(N62="A",$E$5,$H$3)</f>
        <v>4.06</v>
      </c>
      <c r="P62" s="0" t="n">
        <f aca="false">P61+O62</f>
        <v>247.66</v>
      </c>
      <c r="Q62" s="0" t="n">
        <f aca="false">P62+(M62-1)*$B$10</f>
        <v>547.66</v>
      </c>
      <c r="R62" s="0" t="n">
        <f aca="false">IF(AND(Q62&lt;=$E$7,N62="A"),1,0)</f>
        <v>0</v>
      </c>
      <c r="S62" s="0" t="n">
        <f aca="false">IF(AND(Q62&lt;=$E$7,N62="B"),1,0)</f>
        <v>0</v>
      </c>
      <c r="T62" s="0" t="n">
        <f aca="false">IF(Q62&lt;=$E$7,1,0)</f>
        <v>0</v>
      </c>
    </row>
    <row r="63" customFormat="false" ht="15" hidden="false" customHeight="false" outlineLevel="0" collapsed="false">
      <c r="M63" s="0" t="n">
        <v>62</v>
      </c>
      <c r="N63" s="0" t="str">
        <f aca="false">IF(MOD(M63-1,$B$13+$B$14)&lt;$B$13,"A","B")</f>
        <v>B</v>
      </c>
      <c r="O63" s="0" t="n">
        <f aca="false">IF(N63="A",$E$5,$H$3)</f>
        <v>4.06</v>
      </c>
      <c r="P63" s="0" t="n">
        <f aca="false">P62+O63</f>
        <v>251.72</v>
      </c>
      <c r="Q63" s="0" t="n">
        <f aca="false">P63+(M63-1)*$B$10</f>
        <v>556.72</v>
      </c>
      <c r="R63" s="0" t="n">
        <f aca="false">IF(AND(Q63&lt;=$E$7,N63="A"),1,0)</f>
        <v>0</v>
      </c>
      <c r="S63" s="0" t="n">
        <f aca="false">IF(AND(Q63&lt;=$E$7,N63="B"),1,0)</f>
        <v>0</v>
      </c>
      <c r="T63" s="0" t="n">
        <f aca="false">IF(Q63&lt;=$E$7,1,0)</f>
        <v>0</v>
      </c>
    </row>
    <row r="64" customFormat="false" ht="15" hidden="false" customHeight="false" outlineLevel="0" collapsed="false">
      <c r="M64" s="0" t="n">
        <v>63</v>
      </c>
      <c r="N64" s="0" t="str">
        <f aca="false">IF(MOD(M64-1,$B$13+$B$14)&lt;$B$13,"A","B")</f>
        <v>B</v>
      </c>
      <c r="O64" s="0" t="n">
        <f aca="false">IF(N64="A",$E$5,$H$3)</f>
        <v>4.06</v>
      </c>
      <c r="P64" s="0" t="n">
        <f aca="false">P63+O64</f>
        <v>255.78</v>
      </c>
      <c r="Q64" s="0" t="n">
        <f aca="false">P64+(M64-1)*$B$10</f>
        <v>565.78</v>
      </c>
      <c r="R64" s="0" t="n">
        <f aca="false">IF(AND(Q64&lt;=$E$7,N64="A"),1,0)</f>
        <v>0</v>
      </c>
      <c r="S64" s="0" t="n">
        <f aca="false">IF(AND(Q64&lt;=$E$7,N64="B"),1,0)</f>
        <v>0</v>
      </c>
      <c r="T64" s="0" t="n">
        <f aca="false">IF(Q64&lt;=$E$7,1,0)</f>
        <v>0</v>
      </c>
    </row>
    <row r="65" customFormat="false" ht="15" hidden="false" customHeight="false" outlineLevel="0" collapsed="false">
      <c r="M65" s="0" t="n">
        <v>64</v>
      </c>
      <c r="N65" s="0" t="str">
        <f aca="false">IF(MOD(M65-1,$B$13+$B$14)&lt;$B$13,"A","B")</f>
        <v>B</v>
      </c>
      <c r="O65" s="0" t="n">
        <f aca="false">IF(N65="A",$E$5,$H$3)</f>
        <v>4.06</v>
      </c>
      <c r="P65" s="0" t="n">
        <f aca="false">P64+O65</f>
        <v>259.84</v>
      </c>
      <c r="Q65" s="0" t="n">
        <f aca="false">P65+(M65-1)*$B$10</f>
        <v>574.84</v>
      </c>
      <c r="R65" s="0" t="n">
        <f aca="false">IF(AND(Q65&lt;=$E$7,N65="A"),1,0)</f>
        <v>0</v>
      </c>
      <c r="S65" s="0" t="n">
        <f aca="false">IF(AND(Q65&lt;=$E$7,N65="B"),1,0)</f>
        <v>0</v>
      </c>
      <c r="T65" s="0" t="n">
        <f aca="false">IF(Q65&lt;=$E$7,1,0)</f>
        <v>0</v>
      </c>
    </row>
    <row r="66" customFormat="false" ht="15" hidden="false" customHeight="false" outlineLevel="0" collapsed="false">
      <c r="M66" s="0" t="n">
        <v>65</v>
      </c>
      <c r="N66" s="0" t="str">
        <f aca="false">IF(MOD(M66-1,$B$13+$B$14)&lt;$B$13,"A","B")</f>
        <v>A</v>
      </c>
      <c r="O66" s="0" t="n">
        <f aca="false">IF(N66="A",$E$5,$H$3)</f>
        <v>4.06</v>
      </c>
      <c r="P66" s="0" t="n">
        <f aca="false">P65+O66</f>
        <v>263.9</v>
      </c>
      <c r="Q66" s="0" t="n">
        <f aca="false">P66+(M66-1)*$B$10</f>
        <v>583.9</v>
      </c>
      <c r="R66" s="0" t="n">
        <f aca="false">IF(AND(Q66&lt;=$E$7,N66="A"),1,0)</f>
        <v>0</v>
      </c>
      <c r="S66" s="0" t="n">
        <f aca="false">IF(AND(Q66&lt;=$E$7,N66="B"),1,0)</f>
        <v>0</v>
      </c>
      <c r="T66" s="0" t="n">
        <f aca="false">IF(Q66&lt;=$E$7,1,0)</f>
        <v>0</v>
      </c>
    </row>
    <row r="67" customFormat="false" ht="15" hidden="false" customHeight="false" outlineLevel="0" collapsed="false">
      <c r="M67" s="0" t="n">
        <v>66</v>
      </c>
      <c r="N67" s="0" t="str">
        <f aca="false">IF(MOD(M67-1,$B$13+$B$14)&lt;$B$13,"A","B")</f>
        <v>A</v>
      </c>
      <c r="O67" s="0" t="n">
        <f aca="false">IF(N67="A",$E$5,$H$3)</f>
        <v>4.06</v>
      </c>
      <c r="P67" s="0" t="n">
        <f aca="false">P66+O67</f>
        <v>267.96</v>
      </c>
      <c r="Q67" s="0" t="n">
        <f aca="false">P67+(M67-1)*$B$10</f>
        <v>592.96</v>
      </c>
      <c r="R67" s="0" t="n">
        <f aca="false">IF(AND(Q67&lt;=$E$7,N67="A"),1,0)</f>
        <v>0</v>
      </c>
      <c r="S67" s="0" t="n">
        <f aca="false">IF(AND(Q67&lt;=$E$7,N67="B"),1,0)</f>
        <v>0</v>
      </c>
      <c r="T67" s="0" t="n">
        <f aca="false">IF(Q67&lt;=$E$7,1,0)</f>
        <v>0</v>
      </c>
    </row>
    <row r="68" customFormat="false" ht="15" hidden="false" customHeight="false" outlineLevel="0" collapsed="false">
      <c r="M68" s="0" t="n">
        <v>67</v>
      </c>
      <c r="N68" s="0" t="str">
        <f aca="false">IF(MOD(M68-1,$B$13+$B$14)&lt;$B$13,"A","B")</f>
        <v>A</v>
      </c>
      <c r="O68" s="0" t="n">
        <f aca="false">IF(N68="A",$E$5,$H$3)</f>
        <v>4.06</v>
      </c>
      <c r="P68" s="0" t="n">
        <f aca="false">P67+O68</f>
        <v>272.02</v>
      </c>
      <c r="Q68" s="0" t="n">
        <f aca="false">P68+(M68-1)*$B$10</f>
        <v>602.02</v>
      </c>
      <c r="R68" s="0" t="n">
        <f aca="false">IF(AND(Q68&lt;=$E$7,N68="A"),1,0)</f>
        <v>0</v>
      </c>
      <c r="S68" s="0" t="n">
        <f aca="false">IF(AND(Q68&lt;=$E$7,N68="B"),1,0)</f>
        <v>0</v>
      </c>
      <c r="T68" s="0" t="n">
        <f aca="false">IF(Q68&lt;=$E$7,1,0)</f>
        <v>0</v>
      </c>
    </row>
    <row r="69" customFormat="false" ht="15" hidden="false" customHeight="false" outlineLevel="0" collapsed="false">
      <c r="M69" s="0" t="n">
        <v>68</v>
      </c>
      <c r="N69" s="0" t="str">
        <f aca="false">IF(MOD(M69-1,$B$13+$B$14)&lt;$B$13,"A","B")</f>
        <v>B</v>
      </c>
      <c r="O69" s="0" t="n">
        <f aca="false">IF(N69="A",$E$5,$H$3)</f>
        <v>4.06</v>
      </c>
      <c r="P69" s="0" t="n">
        <f aca="false">P68+O69</f>
        <v>276.08</v>
      </c>
      <c r="Q69" s="0" t="n">
        <f aca="false">P69+(M69-1)*$B$10</f>
        <v>611.08</v>
      </c>
      <c r="R69" s="0" t="n">
        <f aca="false">IF(AND(Q69&lt;=$E$7,N69="A"),1,0)</f>
        <v>0</v>
      </c>
      <c r="S69" s="0" t="n">
        <f aca="false">IF(AND(Q69&lt;=$E$7,N69="B"),1,0)</f>
        <v>0</v>
      </c>
      <c r="T69" s="0" t="n">
        <f aca="false">IF(Q69&lt;=$E$7,1,0)</f>
        <v>0</v>
      </c>
    </row>
    <row r="70" customFormat="false" ht="15" hidden="false" customHeight="false" outlineLevel="0" collapsed="false">
      <c r="M70" s="0" t="n">
        <v>69</v>
      </c>
      <c r="N70" s="0" t="str">
        <f aca="false">IF(MOD(M70-1,$B$13+$B$14)&lt;$B$13,"A","B")</f>
        <v>B</v>
      </c>
      <c r="O70" s="0" t="n">
        <f aca="false">IF(N70="A",$E$5,$H$3)</f>
        <v>4.06</v>
      </c>
      <c r="P70" s="0" t="n">
        <f aca="false">P69+O70</f>
        <v>280.14</v>
      </c>
      <c r="Q70" s="0" t="n">
        <f aca="false">P70+(M70-1)*$B$10</f>
        <v>620.14</v>
      </c>
      <c r="R70" s="0" t="n">
        <f aca="false">IF(AND(Q70&lt;=$E$7,N70="A"),1,0)</f>
        <v>0</v>
      </c>
      <c r="S70" s="0" t="n">
        <f aca="false">IF(AND(Q70&lt;=$E$7,N70="B"),1,0)</f>
        <v>0</v>
      </c>
      <c r="T70" s="0" t="n">
        <f aca="false">IF(Q70&lt;=$E$7,1,0)</f>
        <v>0</v>
      </c>
    </row>
    <row r="71" customFormat="false" ht="15" hidden="false" customHeight="false" outlineLevel="0" collapsed="false">
      <c r="M71" s="0" t="n">
        <v>70</v>
      </c>
      <c r="N71" s="0" t="str">
        <f aca="false">IF(MOD(M71-1,$B$13+$B$14)&lt;$B$13,"A","B")</f>
        <v>B</v>
      </c>
      <c r="O71" s="0" t="n">
        <f aca="false">IF(N71="A",$E$5,$H$3)</f>
        <v>4.06</v>
      </c>
      <c r="P71" s="0" t="n">
        <f aca="false">P70+O71</f>
        <v>284.2</v>
      </c>
      <c r="Q71" s="0" t="n">
        <f aca="false">P71+(M71-1)*$B$10</f>
        <v>629.2</v>
      </c>
      <c r="R71" s="0" t="n">
        <f aca="false">IF(AND(Q71&lt;=$E$7,N71="A"),1,0)</f>
        <v>0</v>
      </c>
      <c r="S71" s="0" t="n">
        <f aca="false">IF(AND(Q71&lt;=$E$7,N71="B"),1,0)</f>
        <v>0</v>
      </c>
      <c r="T71" s="0" t="n">
        <f aca="false">IF(Q71&lt;=$E$7,1,0)</f>
        <v>0</v>
      </c>
    </row>
    <row r="72" customFormat="false" ht="15" hidden="false" customHeight="false" outlineLevel="0" collapsed="false">
      <c r="M72" s="0" t="n">
        <v>71</v>
      </c>
      <c r="N72" s="0" t="str">
        <f aca="false">IF(MOD(M72-1,$B$13+$B$14)&lt;$B$13,"A","B")</f>
        <v>B</v>
      </c>
      <c r="O72" s="0" t="n">
        <f aca="false">IF(N72="A",$E$5,$H$3)</f>
        <v>4.06</v>
      </c>
      <c r="P72" s="0" t="n">
        <f aca="false">P71+O72</f>
        <v>288.26</v>
      </c>
      <c r="Q72" s="0" t="n">
        <f aca="false">P72+(M72-1)*$B$10</f>
        <v>638.26</v>
      </c>
      <c r="R72" s="0" t="n">
        <f aca="false">IF(AND(Q72&lt;=$E$7,N72="A"),1,0)</f>
        <v>0</v>
      </c>
      <c r="S72" s="0" t="n">
        <f aca="false">IF(AND(Q72&lt;=$E$7,N72="B"),1,0)</f>
        <v>0</v>
      </c>
      <c r="T72" s="0" t="n">
        <f aca="false">IF(Q72&lt;=$E$7,1,0)</f>
        <v>0</v>
      </c>
    </row>
    <row r="73" customFormat="false" ht="15" hidden="false" customHeight="false" outlineLevel="0" collapsed="false">
      <c r="M73" s="0" t="n">
        <v>72</v>
      </c>
      <c r="N73" s="0" t="str">
        <f aca="false">IF(MOD(M73-1,$B$13+$B$14)&lt;$B$13,"A","B")</f>
        <v>B</v>
      </c>
      <c r="O73" s="0" t="n">
        <f aca="false">IF(N73="A",$E$5,$H$3)</f>
        <v>4.06</v>
      </c>
      <c r="P73" s="0" t="n">
        <f aca="false">P72+O73</f>
        <v>292.32</v>
      </c>
      <c r="Q73" s="0" t="n">
        <f aca="false">P73+(M73-1)*$B$10</f>
        <v>647.32</v>
      </c>
      <c r="R73" s="0" t="n">
        <f aca="false">IF(AND(Q73&lt;=$E$7,N73="A"),1,0)</f>
        <v>0</v>
      </c>
      <c r="S73" s="0" t="n">
        <f aca="false">IF(AND(Q73&lt;=$E$7,N73="B"),1,0)</f>
        <v>0</v>
      </c>
      <c r="T73" s="0" t="n">
        <f aca="false">IF(Q73&lt;=$E$7,1,0)</f>
        <v>0</v>
      </c>
    </row>
    <row r="74" customFormat="false" ht="15" hidden="false" customHeight="false" outlineLevel="0" collapsed="false">
      <c r="M74" s="0" t="n">
        <v>73</v>
      </c>
      <c r="N74" s="0" t="str">
        <f aca="false">IF(MOD(M74-1,$B$13+$B$14)&lt;$B$13,"A","B")</f>
        <v>A</v>
      </c>
      <c r="O74" s="0" t="n">
        <f aca="false">IF(N74="A",$E$5,$H$3)</f>
        <v>4.06</v>
      </c>
      <c r="P74" s="0" t="n">
        <f aca="false">P73+O74</f>
        <v>296.38</v>
      </c>
      <c r="Q74" s="0" t="n">
        <f aca="false">P74+(M74-1)*$B$10</f>
        <v>656.38</v>
      </c>
      <c r="R74" s="0" t="n">
        <f aca="false">IF(AND(Q74&lt;=$E$7,N74="A"),1,0)</f>
        <v>0</v>
      </c>
      <c r="S74" s="0" t="n">
        <f aca="false">IF(AND(Q74&lt;=$E$7,N74="B"),1,0)</f>
        <v>0</v>
      </c>
      <c r="T74" s="0" t="n">
        <f aca="false">IF(Q74&lt;=$E$7,1,0)</f>
        <v>0</v>
      </c>
    </row>
    <row r="75" customFormat="false" ht="15" hidden="false" customHeight="false" outlineLevel="0" collapsed="false">
      <c r="M75" s="0" t="n">
        <v>74</v>
      </c>
      <c r="N75" s="0" t="str">
        <f aca="false">IF(MOD(M75-1,$B$13+$B$14)&lt;$B$13,"A","B")</f>
        <v>A</v>
      </c>
      <c r="O75" s="0" t="n">
        <f aca="false">IF(N75="A",$E$5,$H$3)</f>
        <v>4.06</v>
      </c>
      <c r="P75" s="0" t="n">
        <f aca="false">P74+O75</f>
        <v>300.44</v>
      </c>
      <c r="Q75" s="0" t="n">
        <f aca="false">P75+(M75-1)*$B$10</f>
        <v>665.44</v>
      </c>
      <c r="R75" s="0" t="n">
        <f aca="false">IF(AND(Q75&lt;=$E$7,N75="A"),1,0)</f>
        <v>0</v>
      </c>
      <c r="S75" s="0" t="n">
        <f aca="false">IF(AND(Q75&lt;=$E$7,N75="B"),1,0)</f>
        <v>0</v>
      </c>
      <c r="T75" s="0" t="n">
        <f aca="false">IF(Q75&lt;=$E$7,1,0)</f>
        <v>0</v>
      </c>
    </row>
    <row r="76" customFormat="false" ht="15" hidden="false" customHeight="false" outlineLevel="0" collapsed="false">
      <c r="M76" s="0" t="n">
        <v>75</v>
      </c>
      <c r="N76" s="0" t="str">
        <f aca="false">IF(MOD(M76-1,$B$13+$B$14)&lt;$B$13,"A","B")</f>
        <v>A</v>
      </c>
      <c r="O76" s="0" t="n">
        <f aca="false">IF(N76="A",$E$5,$H$3)</f>
        <v>4.06</v>
      </c>
      <c r="P76" s="0" t="n">
        <f aca="false">P75+O76</f>
        <v>304.5</v>
      </c>
      <c r="Q76" s="0" t="n">
        <f aca="false">P76+(M76-1)*$B$10</f>
        <v>674.5</v>
      </c>
      <c r="R76" s="0" t="n">
        <f aca="false">IF(AND(Q76&lt;=$E$7,N76="A"),1,0)</f>
        <v>0</v>
      </c>
      <c r="S76" s="0" t="n">
        <f aca="false">IF(AND(Q76&lt;=$E$7,N76="B"),1,0)</f>
        <v>0</v>
      </c>
      <c r="T76" s="0" t="n">
        <f aca="false">IF(Q76&lt;=$E$7,1,0)</f>
        <v>0</v>
      </c>
    </row>
    <row r="77" customFormat="false" ht="15" hidden="false" customHeight="false" outlineLevel="0" collapsed="false">
      <c r="M77" s="0" t="n">
        <v>76</v>
      </c>
      <c r="N77" s="0" t="str">
        <f aca="false">IF(MOD(M77-1,$B$13+$B$14)&lt;$B$13,"A","B")</f>
        <v>B</v>
      </c>
      <c r="O77" s="0" t="n">
        <f aca="false">IF(N77="A",$E$5,$H$3)</f>
        <v>4.06</v>
      </c>
      <c r="P77" s="0" t="n">
        <f aca="false">P76+O77</f>
        <v>308.56</v>
      </c>
      <c r="Q77" s="0" t="n">
        <f aca="false">P77+(M77-1)*$B$10</f>
        <v>683.56</v>
      </c>
      <c r="R77" s="0" t="n">
        <f aca="false">IF(AND(Q77&lt;=$E$7,N77="A"),1,0)</f>
        <v>0</v>
      </c>
      <c r="S77" s="0" t="n">
        <f aca="false">IF(AND(Q77&lt;=$E$7,N77="B"),1,0)</f>
        <v>0</v>
      </c>
      <c r="T77" s="0" t="n">
        <f aca="false">IF(Q77&lt;=$E$7,1,0)</f>
        <v>0</v>
      </c>
    </row>
    <row r="78" customFormat="false" ht="15" hidden="false" customHeight="false" outlineLevel="0" collapsed="false">
      <c r="M78" s="0" t="n">
        <v>77</v>
      </c>
      <c r="N78" s="0" t="str">
        <f aca="false">IF(MOD(M78-1,$B$13+$B$14)&lt;$B$13,"A","B")</f>
        <v>B</v>
      </c>
      <c r="O78" s="0" t="n">
        <f aca="false">IF(N78="A",$E$5,$H$3)</f>
        <v>4.06</v>
      </c>
      <c r="P78" s="0" t="n">
        <f aca="false">P77+O78</f>
        <v>312.62</v>
      </c>
      <c r="Q78" s="0" t="n">
        <f aca="false">P78+(M78-1)*$B$10</f>
        <v>692.62</v>
      </c>
      <c r="R78" s="0" t="n">
        <f aca="false">IF(AND(Q78&lt;=$E$7,N78="A"),1,0)</f>
        <v>0</v>
      </c>
      <c r="S78" s="0" t="n">
        <f aca="false">IF(AND(Q78&lt;=$E$7,N78="B"),1,0)</f>
        <v>0</v>
      </c>
      <c r="T78" s="0" t="n">
        <f aca="false">IF(Q78&lt;=$E$7,1,0)</f>
        <v>0</v>
      </c>
    </row>
    <row r="79" customFormat="false" ht="15" hidden="false" customHeight="false" outlineLevel="0" collapsed="false">
      <c r="M79" s="0" t="n">
        <v>78</v>
      </c>
      <c r="N79" s="0" t="str">
        <f aca="false">IF(MOD(M79-1,$B$13+$B$14)&lt;$B$13,"A","B")</f>
        <v>B</v>
      </c>
      <c r="O79" s="0" t="n">
        <f aca="false">IF(N79="A",$E$5,$H$3)</f>
        <v>4.06</v>
      </c>
      <c r="P79" s="0" t="n">
        <f aca="false">P78+O79</f>
        <v>316.68</v>
      </c>
      <c r="Q79" s="0" t="n">
        <f aca="false">P79+(M79-1)*$B$10</f>
        <v>701.68</v>
      </c>
      <c r="R79" s="0" t="n">
        <f aca="false">IF(AND(Q79&lt;=$E$7,N79="A"),1,0)</f>
        <v>0</v>
      </c>
      <c r="S79" s="0" t="n">
        <f aca="false">IF(AND(Q79&lt;=$E$7,N79="B"),1,0)</f>
        <v>0</v>
      </c>
      <c r="T79" s="0" t="n">
        <f aca="false">IF(Q79&lt;=$E$7,1,0)</f>
        <v>0</v>
      </c>
    </row>
    <row r="80" customFormat="false" ht="15" hidden="false" customHeight="false" outlineLevel="0" collapsed="false">
      <c r="M80" s="0" t="n">
        <v>79</v>
      </c>
      <c r="N80" s="0" t="str">
        <f aca="false">IF(MOD(M80-1,$B$13+$B$14)&lt;$B$13,"A","B")</f>
        <v>B</v>
      </c>
      <c r="O80" s="0" t="n">
        <f aca="false">IF(N80="A",$E$5,$H$3)</f>
        <v>4.06</v>
      </c>
      <c r="P80" s="0" t="n">
        <f aca="false">P79+O80</f>
        <v>320.74</v>
      </c>
      <c r="Q80" s="0" t="n">
        <f aca="false">P80+(M80-1)*$B$10</f>
        <v>710.74</v>
      </c>
      <c r="R80" s="0" t="n">
        <f aca="false">IF(AND(Q80&lt;=$E$7,N80="A"),1,0)</f>
        <v>0</v>
      </c>
      <c r="S80" s="0" t="n">
        <f aca="false">IF(AND(Q80&lt;=$E$7,N80="B"),1,0)</f>
        <v>0</v>
      </c>
      <c r="T80" s="0" t="n">
        <f aca="false">IF(Q80&lt;=$E$7,1,0)</f>
        <v>0</v>
      </c>
    </row>
    <row r="81" customFormat="false" ht="15" hidden="false" customHeight="false" outlineLevel="0" collapsed="false">
      <c r="M81" s="0" t="n">
        <v>80</v>
      </c>
      <c r="N81" s="0" t="str">
        <f aca="false">IF(MOD(M81-1,$B$13+$B$14)&lt;$B$13,"A","B")</f>
        <v>B</v>
      </c>
      <c r="O81" s="0" t="n">
        <f aca="false">IF(N81="A",$E$5,$H$3)</f>
        <v>4.06</v>
      </c>
      <c r="P81" s="0" t="n">
        <f aca="false">P80+O81</f>
        <v>324.8</v>
      </c>
      <c r="Q81" s="0" t="n">
        <f aca="false">P81+(M81-1)*$B$10</f>
        <v>719.8</v>
      </c>
      <c r="R81" s="0" t="n">
        <f aca="false">IF(AND(Q81&lt;=$E$7,N81="A"),1,0)</f>
        <v>0</v>
      </c>
      <c r="S81" s="0" t="n">
        <f aca="false">IF(AND(Q81&lt;=$E$7,N81="B"),1,0)</f>
        <v>0</v>
      </c>
      <c r="T81" s="0" t="n">
        <f aca="false">IF(Q81&lt;=$E$7,1,0)</f>
        <v>0</v>
      </c>
    </row>
    <row r="82" customFormat="false" ht="15" hidden="false" customHeight="false" outlineLevel="0" collapsed="false">
      <c r="M82" s="0" t="n">
        <v>81</v>
      </c>
      <c r="N82" s="0" t="str">
        <f aca="false">IF(MOD(M82-1,$B$13+$B$14)&lt;$B$13,"A","B")</f>
        <v>A</v>
      </c>
      <c r="O82" s="0" t="n">
        <f aca="false">IF(N82="A",$E$5,$H$3)</f>
        <v>4.06</v>
      </c>
      <c r="P82" s="0" t="n">
        <f aca="false">P81+O82</f>
        <v>328.86</v>
      </c>
      <c r="Q82" s="0" t="n">
        <f aca="false">P82+(M82-1)*$B$10</f>
        <v>728.86</v>
      </c>
      <c r="R82" s="0" t="n">
        <f aca="false">IF(AND(Q82&lt;=$E$7,N82="A"),1,0)</f>
        <v>0</v>
      </c>
      <c r="S82" s="0" t="n">
        <f aca="false">IF(AND(Q82&lt;=$E$7,N82="B"),1,0)</f>
        <v>0</v>
      </c>
      <c r="T82" s="0" t="n">
        <f aca="false">IF(Q82&lt;=$E$7,1,0)</f>
        <v>0</v>
      </c>
    </row>
    <row r="83" customFormat="false" ht="15" hidden="false" customHeight="false" outlineLevel="0" collapsed="false">
      <c r="M83" s="0" t="n">
        <v>82</v>
      </c>
      <c r="N83" s="0" t="str">
        <f aca="false">IF(MOD(M83-1,$B$13+$B$14)&lt;$B$13,"A","B")</f>
        <v>A</v>
      </c>
      <c r="O83" s="0" t="n">
        <f aca="false">IF(N83="A",$E$5,$H$3)</f>
        <v>4.06</v>
      </c>
      <c r="P83" s="0" t="n">
        <f aca="false">P82+O83</f>
        <v>332.92</v>
      </c>
      <c r="Q83" s="0" t="n">
        <f aca="false">P83+(M83-1)*$B$10</f>
        <v>737.92</v>
      </c>
      <c r="R83" s="0" t="n">
        <f aca="false">IF(AND(Q83&lt;=$E$7,N83="A"),1,0)</f>
        <v>0</v>
      </c>
      <c r="S83" s="0" t="n">
        <f aca="false">IF(AND(Q83&lt;=$E$7,N83="B"),1,0)</f>
        <v>0</v>
      </c>
      <c r="T83" s="0" t="n">
        <f aca="false">IF(Q83&lt;=$E$7,1,0)</f>
        <v>0</v>
      </c>
    </row>
    <row r="84" customFormat="false" ht="15" hidden="false" customHeight="false" outlineLevel="0" collapsed="false">
      <c r="M84" s="0" t="n">
        <v>83</v>
      </c>
      <c r="N84" s="0" t="str">
        <f aca="false">IF(MOD(M84-1,$B$13+$B$14)&lt;$B$13,"A","B")</f>
        <v>A</v>
      </c>
      <c r="O84" s="0" t="n">
        <f aca="false">IF(N84="A",$E$5,$H$3)</f>
        <v>4.06</v>
      </c>
      <c r="P84" s="0" t="n">
        <f aca="false">P83+O84</f>
        <v>336.98</v>
      </c>
      <c r="Q84" s="0" t="n">
        <f aca="false">P84+(M84-1)*$B$10</f>
        <v>746.98</v>
      </c>
      <c r="R84" s="0" t="n">
        <f aca="false">IF(AND(Q84&lt;=$E$7,N84="A"),1,0)</f>
        <v>0</v>
      </c>
      <c r="S84" s="0" t="n">
        <f aca="false">IF(AND(Q84&lt;=$E$7,N84="B"),1,0)</f>
        <v>0</v>
      </c>
      <c r="T84" s="0" t="n">
        <f aca="false">IF(Q84&lt;=$E$7,1,0)</f>
        <v>0</v>
      </c>
    </row>
    <row r="85" customFormat="false" ht="15" hidden="false" customHeight="false" outlineLevel="0" collapsed="false">
      <c r="M85" s="0" t="n">
        <v>84</v>
      </c>
      <c r="N85" s="0" t="str">
        <f aca="false">IF(MOD(M85-1,$B$13+$B$14)&lt;$B$13,"A","B")</f>
        <v>B</v>
      </c>
      <c r="O85" s="0" t="n">
        <f aca="false">IF(N85="A",$E$5,$H$3)</f>
        <v>4.06</v>
      </c>
      <c r="P85" s="0" t="n">
        <f aca="false">P84+O85</f>
        <v>341.04</v>
      </c>
      <c r="Q85" s="0" t="n">
        <f aca="false">P85+(M85-1)*$B$10</f>
        <v>756.04</v>
      </c>
      <c r="R85" s="0" t="n">
        <f aca="false">IF(AND(Q85&lt;=$E$7,N85="A"),1,0)</f>
        <v>0</v>
      </c>
      <c r="S85" s="0" t="n">
        <f aca="false">IF(AND(Q85&lt;=$E$7,N85="B"),1,0)</f>
        <v>0</v>
      </c>
      <c r="T85" s="0" t="n">
        <f aca="false">IF(Q85&lt;=$E$7,1,0)</f>
        <v>0</v>
      </c>
    </row>
    <row r="86" customFormat="false" ht="15" hidden="false" customHeight="false" outlineLevel="0" collapsed="false">
      <c r="M86" s="0" t="n">
        <v>85</v>
      </c>
      <c r="N86" s="0" t="str">
        <f aca="false">IF(MOD(M86-1,$B$13+$B$14)&lt;$B$13,"A","B")</f>
        <v>B</v>
      </c>
      <c r="O86" s="0" t="n">
        <f aca="false">IF(N86="A",$E$5,$H$3)</f>
        <v>4.06</v>
      </c>
      <c r="P86" s="0" t="n">
        <f aca="false">P85+O86</f>
        <v>345.1</v>
      </c>
      <c r="Q86" s="0" t="n">
        <f aca="false">P86+(M86-1)*$B$10</f>
        <v>765.1</v>
      </c>
      <c r="R86" s="0" t="n">
        <f aca="false">IF(AND(Q86&lt;=$E$7,N86="A"),1,0)</f>
        <v>0</v>
      </c>
      <c r="S86" s="0" t="n">
        <f aca="false">IF(AND(Q86&lt;=$E$7,N86="B"),1,0)</f>
        <v>0</v>
      </c>
      <c r="T86" s="0" t="n">
        <f aca="false">IF(Q86&lt;=$E$7,1,0)</f>
        <v>0</v>
      </c>
    </row>
    <row r="87" customFormat="false" ht="15" hidden="false" customHeight="false" outlineLevel="0" collapsed="false">
      <c r="M87" s="0" t="n">
        <v>86</v>
      </c>
      <c r="N87" s="0" t="str">
        <f aca="false">IF(MOD(M87-1,$B$13+$B$14)&lt;$B$13,"A","B")</f>
        <v>B</v>
      </c>
      <c r="O87" s="0" t="n">
        <f aca="false">IF(N87="A",$E$5,$H$3)</f>
        <v>4.06</v>
      </c>
      <c r="P87" s="0" t="n">
        <f aca="false">P86+O87</f>
        <v>349.16</v>
      </c>
      <c r="Q87" s="0" t="n">
        <f aca="false">P87+(M87-1)*$B$10</f>
        <v>774.16</v>
      </c>
      <c r="R87" s="0" t="n">
        <f aca="false">IF(AND(Q87&lt;=$E$7,N87="A"),1,0)</f>
        <v>0</v>
      </c>
      <c r="S87" s="0" t="n">
        <f aca="false">IF(AND(Q87&lt;=$E$7,N87="B"),1,0)</f>
        <v>0</v>
      </c>
      <c r="T87" s="0" t="n">
        <f aca="false">IF(Q87&lt;=$E$7,1,0)</f>
        <v>0</v>
      </c>
    </row>
    <row r="88" customFormat="false" ht="15" hidden="false" customHeight="false" outlineLevel="0" collapsed="false">
      <c r="M88" s="0" t="n">
        <v>87</v>
      </c>
      <c r="N88" s="0" t="str">
        <f aca="false">IF(MOD(M88-1,$B$13+$B$14)&lt;$B$13,"A","B")</f>
        <v>B</v>
      </c>
      <c r="O88" s="0" t="n">
        <f aca="false">IF(N88="A",$E$5,$H$3)</f>
        <v>4.06</v>
      </c>
      <c r="P88" s="0" t="n">
        <f aca="false">P87+O88</f>
        <v>353.22</v>
      </c>
      <c r="Q88" s="0" t="n">
        <f aca="false">P88+(M88-1)*$B$10</f>
        <v>783.22</v>
      </c>
      <c r="R88" s="0" t="n">
        <f aca="false">IF(AND(Q88&lt;=$E$7,N88="A"),1,0)</f>
        <v>0</v>
      </c>
      <c r="S88" s="0" t="n">
        <f aca="false">IF(AND(Q88&lt;=$E$7,N88="B"),1,0)</f>
        <v>0</v>
      </c>
      <c r="T88" s="0" t="n">
        <f aca="false">IF(Q88&lt;=$E$7,1,0)</f>
        <v>0</v>
      </c>
    </row>
    <row r="89" customFormat="false" ht="15" hidden="false" customHeight="false" outlineLevel="0" collapsed="false">
      <c r="M89" s="0" t="n">
        <v>88</v>
      </c>
      <c r="N89" s="0" t="str">
        <f aca="false">IF(MOD(M89-1,$B$13+$B$14)&lt;$B$13,"A","B")</f>
        <v>B</v>
      </c>
      <c r="O89" s="0" t="n">
        <f aca="false">IF(N89="A",$E$5,$H$3)</f>
        <v>4.06</v>
      </c>
      <c r="P89" s="0" t="n">
        <f aca="false">P88+O89</f>
        <v>357.28</v>
      </c>
      <c r="Q89" s="0" t="n">
        <f aca="false">P89+(M89-1)*$B$10</f>
        <v>792.28</v>
      </c>
      <c r="R89" s="0" t="n">
        <f aca="false">IF(AND(Q89&lt;=$E$7,N89="A"),1,0)</f>
        <v>0</v>
      </c>
      <c r="S89" s="0" t="n">
        <f aca="false">IF(AND(Q89&lt;=$E$7,N89="B"),1,0)</f>
        <v>0</v>
      </c>
      <c r="T89" s="0" t="n">
        <f aca="false">IF(Q89&lt;=$E$7,1,0)</f>
        <v>0</v>
      </c>
    </row>
    <row r="90" customFormat="false" ht="15" hidden="false" customHeight="false" outlineLevel="0" collapsed="false">
      <c r="M90" s="0" t="n">
        <v>89</v>
      </c>
      <c r="N90" s="0" t="str">
        <f aca="false">IF(MOD(M90-1,$B$13+$B$14)&lt;$B$13,"A","B")</f>
        <v>A</v>
      </c>
      <c r="O90" s="0" t="n">
        <f aca="false">IF(N90="A",$E$5,$H$3)</f>
        <v>4.06</v>
      </c>
      <c r="P90" s="0" t="n">
        <f aca="false">P89+O90</f>
        <v>361.34</v>
      </c>
      <c r="Q90" s="0" t="n">
        <f aca="false">P90+(M90-1)*$B$10</f>
        <v>801.34</v>
      </c>
      <c r="R90" s="0" t="n">
        <f aca="false">IF(AND(Q90&lt;=$E$7,N90="A"),1,0)</f>
        <v>0</v>
      </c>
      <c r="S90" s="0" t="n">
        <f aca="false">IF(AND(Q90&lt;=$E$7,N90="B"),1,0)</f>
        <v>0</v>
      </c>
      <c r="T90" s="0" t="n">
        <f aca="false">IF(Q90&lt;=$E$7,1,0)</f>
        <v>0</v>
      </c>
    </row>
    <row r="91" customFormat="false" ht="15" hidden="false" customHeight="false" outlineLevel="0" collapsed="false">
      <c r="M91" s="0" t="n">
        <v>90</v>
      </c>
      <c r="N91" s="0" t="str">
        <f aca="false">IF(MOD(M91-1,$B$13+$B$14)&lt;$B$13,"A","B")</f>
        <v>A</v>
      </c>
      <c r="O91" s="0" t="n">
        <f aca="false">IF(N91="A",$E$5,$H$3)</f>
        <v>4.06</v>
      </c>
      <c r="P91" s="0" t="n">
        <f aca="false">P90+O91</f>
        <v>365.4</v>
      </c>
      <c r="Q91" s="0" t="n">
        <f aca="false">P91+(M91-1)*$B$10</f>
        <v>810.4</v>
      </c>
      <c r="R91" s="0" t="n">
        <f aca="false">IF(AND(Q91&lt;=$E$7,N91="A"),1,0)</f>
        <v>0</v>
      </c>
      <c r="S91" s="0" t="n">
        <f aca="false">IF(AND(Q91&lt;=$E$7,N91="B"),1,0)</f>
        <v>0</v>
      </c>
      <c r="T91" s="0" t="n">
        <f aca="false">IF(Q91&lt;=$E$7,1,0)</f>
        <v>0</v>
      </c>
    </row>
    <row r="92" customFormat="false" ht="15" hidden="false" customHeight="false" outlineLevel="0" collapsed="false">
      <c r="M92" s="0" t="n">
        <v>91</v>
      </c>
      <c r="N92" s="0" t="str">
        <f aca="false">IF(MOD(M92-1,$B$13+$B$14)&lt;$B$13,"A","B")</f>
        <v>A</v>
      </c>
      <c r="O92" s="0" t="n">
        <f aca="false">IF(N92="A",$E$5,$H$3)</f>
        <v>4.06</v>
      </c>
      <c r="P92" s="0" t="n">
        <f aca="false">P91+O92</f>
        <v>369.46</v>
      </c>
      <c r="Q92" s="0" t="n">
        <f aca="false">P92+(M92-1)*$B$10</f>
        <v>819.46</v>
      </c>
      <c r="R92" s="0" t="n">
        <f aca="false">IF(AND(Q92&lt;=$E$7,N92="A"),1,0)</f>
        <v>0</v>
      </c>
      <c r="S92" s="0" t="n">
        <f aca="false">IF(AND(Q92&lt;=$E$7,N92="B"),1,0)</f>
        <v>0</v>
      </c>
      <c r="T92" s="0" t="n">
        <f aca="false">IF(Q92&lt;=$E$7,1,0)</f>
        <v>0</v>
      </c>
    </row>
    <row r="93" customFormat="false" ht="15" hidden="false" customHeight="false" outlineLevel="0" collapsed="false">
      <c r="M93" s="0" t="n">
        <v>92</v>
      </c>
      <c r="N93" s="0" t="str">
        <f aca="false">IF(MOD(M93-1,$B$13+$B$14)&lt;$B$13,"A","B")</f>
        <v>B</v>
      </c>
      <c r="O93" s="0" t="n">
        <f aca="false">IF(N93="A",$E$5,$H$3)</f>
        <v>4.06</v>
      </c>
      <c r="P93" s="0" t="n">
        <f aca="false">P92+O93</f>
        <v>373.52</v>
      </c>
      <c r="Q93" s="0" t="n">
        <f aca="false">P93+(M93-1)*$B$10</f>
        <v>828.52</v>
      </c>
      <c r="R93" s="0" t="n">
        <f aca="false">IF(AND(Q93&lt;=$E$7,N93="A"),1,0)</f>
        <v>0</v>
      </c>
      <c r="S93" s="0" t="n">
        <f aca="false">IF(AND(Q93&lt;=$E$7,N93="B"),1,0)</f>
        <v>0</v>
      </c>
      <c r="T93" s="0" t="n">
        <f aca="false">IF(Q93&lt;=$E$7,1,0)</f>
        <v>0</v>
      </c>
    </row>
    <row r="94" customFormat="false" ht="15" hidden="false" customHeight="false" outlineLevel="0" collapsed="false">
      <c r="M94" s="0" t="n">
        <v>93</v>
      </c>
      <c r="N94" s="0" t="str">
        <f aca="false">IF(MOD(M94-1,$B$13+$B$14)&lt;$B$13,"A","B")</f>
        <v>B</v>
      </c>
      <c r="O94" s="0" t="n">
        <f aca="false">IF(N94="A",$E$5,$H$3)</f>
        <v>4.06</v>
      </c>
      <c r="P94" s="0" t="n">
        <f aca="false">P93+O94</f>
        <v>377.58</v>
      </c>
      <c r="Q94" s="0" t="n">
        <f aca="false">P94+(M94-1)*$B$10</f>
        <v>837.58</v>
      </c>
      <c r="R94" s="0" t="n">
        <f aca="false">IF(AND(Q94&lt;=$E$7,N94="A"),1,0)</f>
        <v>0</v>
      </c>
      <c r="S94" s="0" t="n">
        <f aca="false">IF(AND(Q94&lt;=$E$7,N94="B"),1,0)</f>
        <v>0</v>
      </c>
      <c r="T94" s="0" t="n">
        <f aca="false">IF(Q94&lt;=$E$7,1,0)</f>
        <v>0</v>
      </c>
    </row>
    <row r="95" customFormat="false" ht="15" hidden="false" customHeight="false" outlineLevel="0" collapsed="false">
      <c r="M95" s="0" t="n">
        <v>94</v>
      </c>
      <c r="N95" s="0" t="str">
        <f aca="false">IF(MOD(M95-1,$B$13+$B$14)&lt;$B$13,"A","B")</f>
        <v>B</v>
      </c>
      <c r="O95" s="0" t="n">
        <f aca="false">IF(N95="A",$E$5,$H$3)</f>
        <v>4.06</v>
      </c>
      <c r="P95" s="0" t="n">
        <f aca="false">P94+O95</f>
        <v>381.64</v>
      </c>
      <c r="Q95" s="0" t="n">
        <f aca="false">P95+(M95-1)*$B$10</f>
        <v>846.64</v>
      </c>
      <c r="R95" s="0" t="n">
        <f aca="false">IF(AND(Q95&lt;=$E$7,N95="A"),1,0)</f>
        <v>0</v>
      </c>
      <c r="S95" s="0" t="n">
        <f aca="false">IF(AND(Q95&lt;=$E$7,N95="B"),1,0)</f>
        <v>0</v>
      </c>
      <c r="T95" s="0" t="n">
        <f aca="false">IF(Q95&lt;=$E$7,1,0)</f>
        <v>0</v>
      </c>
    </row>
    <row r="96" customFormat="false" ht="15" hidden="false" customHeight="false" outlineLevel="0" collapsed="false">
      <c r="M96" s="0" t="n">
        <v>95</v>
      </c>
      <c r="N96" s="0" t="str">
        <f aca="false">IF(MOD(M96-1,$B$13+$B$14)&lt;$B$13,"A","B")</f>
        <v>B</v>
      </c>
      <c r="O96" s="0" t="n">
        <f aca="false">IF(N96="A",$E$5,$H$3)</f>
        <v>4.06</v>
      </c>
      <c r="P96" s="0" t="n">
        <f aca="false">P95+O96</f>
        <v>385.7</v>
      </c>
      <c r="Q96" s="0" t="n">
        <f aca="false">P96+(M96-1)*$B$10</f>
        <v>855.7</v>
      </c>
      <c r="R96" s="0" t="n">
        <f aca="false">IF(AND(Q96&lt;=$E$7,N96="A"),1,0)</f>
        <v>0</v>
      </c>
      <c r="S96" s="0" t="n">
        <f aca="false">IF(AND(Q96&lt;=$E$7,N96="B"),1,0)</f>
        <v>0</v>
      </c>
      <c r="T96" s="0" t="n">
        <f aca="false">IF(Q96&lt;=$E$7,1,0)</f>
        <v>0</v>
      </c>
    </row>
    <row r="97" customFormat="false" ht="15" hidden="false" customHeight="false" outlineLevel="0" collapsed="false">
      <c r="M97" s="0" t="n">
        <v>96</v>
      </c>
      <c r="N97" s="0" t="str">
        <f aca="false">IF(MOD(M97-1,$B$13+$B$14)&lt;$B$13,"A","B")</f>
        <v>B</v>
      </c>
      <c r="O97" s="0" t="n">
        <f aca="false">IF(N97="A",$E$5,$H$3)</f>
        <v>4.06</v>
      </c>
      <c r="P97" s="0" t="n">
        <f aca="false">P96+O97</f>
        <v>389.76</v>
      </c>
      <c r="Q97" s="0" t="n">
        <f aca="false">P97+(M97-1)*$B$10</f>
        <v>864.76</v>
      </c>
      <c r="R97" s="0" t="n">
        <f aca="false">IF(AND(Q97&lt;=$E$7,N97="A"),1,0)</f>
        <v>0</v>
      </c>
      <c r="S97" s="0" t="n">
        <f aca="false">IF(AND(Q97&lt;=$E$7,N97="B"),1,0)</f>
        <v>0</v>
      </c>
      <c r="T97" s="0" t="n">
        <f aca="false">IF(Q97&lt;=$E$7,1,0)</f>
        <v>0</v>
      </c>
    </row>
    <row r="98" customFormat="false" ht="15" hidden="false" customHeight="false" outlineLevel="0" collapsed="false">
      <c r="M98" s="0" t="n">
        <v>97</v>
      </c>
      <c r="N98" s="0" t="str">
        <f aca="false">IF(MOD(M98-1,$B$13+$B$14)&lt;$B$13,"A","B")</f>
        <v>A</v>
      </c>
      <c r="O98" s="0" t="n">
        <f aca="false">IF(N98="A",$E$5,$H$3)</f>
        <v>4.06</v>
      </c>
      <c r="P98" s="0" t="n">
        <f aca="false">P97+O98</f>
        <v>393.82</v>
      </c>
      <c r="Q98" s="0" t="n">
        <f aca="false">P98+(M98-1)*$B$10</f>
        <v>873.82</v>
      </c>
      <c r="R98" s="0" t="n">
        <f aca="false">IF(AND(Q98&lt;=$E$7,N98="A"),1,0)</f>
        <v>0</v>
      </c>
      <c r="S98" s="0" t="n">
        <f aca="false">IF(AND(Q98&lt;=$E$7,N98="B"),1,0)</f>
        <v>0</v>
      </c>
      <c r="T98" s="0" t="n">
        <f aca="false">IF(Q98&lt;=$E$7,1,0)</f>
        <v>0</v>
      </c>
    </row>
    <row r="99" customFormat="false" ht="15" hidden="false" customHeight="false" outlineLevel="0" collapsed="false">
      <c r="M99" s="0" t="n">
        <v>98</v>
      </c>
      <c r="N99" s="0" t="str">
        <f aca="false">IF(MOD(M99-1,$B$13+$B$14)&lt;$B$13,"A","B")</f>
        <v>A</v>
      </c>
      <c r="O99" s="0" t="n">
        <f aca="false">IF(N99="A",$E$5,$H$3)</f>
        <v>4.06</v>
      </c>
      <c r="P99" s="0" t="n">
        <f aca="false">P98+O99</f>
        <v>397.88</v>
      </c>
      <c r="Q99" s="0" t="n">
        <f aca="false">P99+(M99-1)*$B$10</f>
        <v>882.88</v>
      </c>
      <c r="R99" s="0" t="n">
        <f aca="false">IF(AND(Q99&lt;=$E$7,N99="A"),1,0)</f>
        <v>0</v>
      </c>
      <c r="S99" s="0" t="n">
        <f aca="false">IF(AND(Q99&lt;=$E$7,N99="B"),1,0)</f>
        <v>0</v>
      </c>
      <c r="T99" s="0" t="n">
        <f aca="false">IF(Q99&lt;=$E$7,1,0)</f>
        <v>0</v>
      </c>
    </row>
    <row r="100" customFormat="false" ht="15" hidden="false" customHeight="false" outlineLevel="0" collapsed="false">
      <c r="M100" s="0" t="n">
        <v>99</v>
      </c>
      <c r="N100" s="0" t="str">
        <f aca="false">IF(MOD(M100-1,$B$13+$B$14)&lt;$B$13,"A","B")</f>
        <v>A</v>
      </c>
      <c r="O100" s="0" t="n">
        <f aca="false">IF(N100="A",$E$5,$H$3)</f>
        <v>4.06</v>
      </c>
      <c r="P100" s="0" t="n">
        <f aca="false">P99+O100</f>
        <v>401.94</v>
      </c>
      <c r="Q100" s="0" t="n">
        <f aca="false">P100+(M100-1)*$B$10</f>
        <v>891.94</v>
      </c>
      <c r="R100" s="0" t="n">
        <f aca="false">IF(AND(Q100&lt;=$E$7,N100="A"),1,0)</f>
        <v>0</v>
      </c>
      <c r="S100" s="0" t="n">
        <f aca="false">IF(AND(Q100&lt;=$E$7,N100="B"),1,0)</f>
        <v>0</v>
      </c>
      <c r="T100" s="0" t="n">
        <f aca="false">IF(Q100&lt;=$E$7,1,0)</f>
        <v>0</v>
      </c>
    </row>
    <row r="101" customFormat="false" ht="15" hidden="false" customHeight="false" outlineLevel="0" collapsed="false">
      <c r="M101" s="0" t="n">
        <v>100</v>
      </c>
      <c r="N101" s="0" t="str">
        <f aca="false">IF(MOD(M101-1,$B$13+$B$14)&lt;$B$13,"A","B")</f>
        <v>B</v>
      </c>
      <c r="O101" s="0" t="n">
        <f aca="false">IF(N101="A",$E$5,$H$3)</f>
        <v>4.06</v>
      </c>
      <c r="P101" s="0" t="n">
        <f aca="false">P100+O101</f>
        <v>406</v>
      </c>
      <c r="Q101" s="0" t="n">
        <f aca="false">P101+(M101-1)*$B$10</f>
        <v>901</v>
      </c>
      <c r="R101" s="0" t="n">
        <f aca="false">IF(AND(Q101&lt;=$E$7,N101="A"),1,0)</f>
        <v>0</v>
      </c>
      <c r="S101" s="0" t="n">
        <f aca="false">IF(AND(Q101&lt;=$E$7,N101="B"),1,0)</f>
        <v>0</v>
      </c>
      <c r="T101" s="0" t="n">
        <f aca="false">IF(Q101&lt;=$E$7,1,0)</f>
        <v>0</v>
      </c>
    </row>
    <row r="102" customFormat="false" ht="15" hidden="false" customHeight="false" outlineLevel="0" collapsed="false">
      <c r="M102" s="0" t="n">
        <v>101</v>
      </c>
      <c r="N102" s="0" t="str">
        <f aca="false">IF(MOD(M102-1,$B$13+$B$14)&lt;$B$13,"A","B")</f>
        <v>B</v>
      </c>
      <c r="O102" s="0" t="n">
        <f aca="false">IF(N102="A",$E$5,$H$3)</f>
        <v>4.06</v>
      </c>
      <c r="P102" s="0" t="n">
        <f aca="false">P101+O102</f>
        <v>410.06</v>
      </c>
      <c r="Q102" s="0" t="n">
        <f aca="false">P102+(M102-1)*$B$10</f>
        <v>910.06</v>
      </c>
      <c r="R102" s="0" t="n">
        <f aca="false">IF(AND(Q102&lt;=$E$7,N102="A"),1,0)</f>
        <v>0</v>
      </c>
      <c r="S102" s="0" t="n">
        <f aca="false">IF(AND(Q102&lt;=$E$7,N102="B"),1,0)</f>
        <v>0</v>
      </c>
      <c r="T102" s="0" t="n">
        <f aca="false">IF(Q102&lt;=$E$7,1,0)</f>
        <v>0</v>
      </c>
    </row>
    <row r="103" customFormat="false" ht="15" hidden="false" customHeight="false" outlineLevel="0" collapsed="false">
      <c r="M103" s="0" t="n">
        <v>102</v>
      </c>
      <c r="N103" s="0" t="str">
        <f aca="false">IF(MOD(M103-1,$B$13+$B$14)&lt;$B$13,"A","B")</f>
        <v>B</v>
      </c>
      <c r="O103" s="0" t="n">
        <f aca="false">IF(N103="A",$E$5,$H$3)</f>
        <v>4.06</v>
      </c>
      <c r="P103" s="0" t="n">
        <f aca="false">P102+O103</f>
        <v>414.12</v>
      </c>
      <c r="Q103" s="0" t="n">
        <f aca="false">P103+(M103-1)*$B$10</f>
        <v>919.12</v>
      </c>
      <c r="R103" s="0" t="n">
        <f aca="false">IF(AND(Q103&lt;=$E$7,N103="A"),1,0)</f>
        <v>0</v>
      </c>
      <c r="S103" s="0" t="n">
        <f aca="false">IF(AND(Q103&lt;=$E$7,N103="B"),1,0)</f>
        <v>0</v>
      </c>
      <c r="T103" s="0" t="n">
        <f aca="false">IF(Q103&lt;=$E$7,1,0)</f>
        <v>0</v>
      </c>
    </row>
    <row r="104" customFormat="false" ht="15" hidden="false" customHeight="false" outlineLevel="0" collapsed="false">
      <c r="M104" s="0" t="n">
        <v>103</v>
      </c>
      <c r="N104" s="0" t="str">
        <f aca="false">IF(MOD(M104-1,$B$13+$B$14)&lt;$B$13,"A","B")</f>
        <v>B</v>
      </c>
      <c r="O104" s="0" t="n">
        <f aca="false">IF(N104="A",$E$5,$H$3)</f>
        <v>4.06</v>
      </c>
      <c r="P104" s="0" t="n">
        <f aca="false">P103+O104</f>
        <v>418.18</v>
      </c>
      <c r="Q104" s="0" t="n">
        <f aca="false">P104+(M104-1)*$B$10</f>
        <v>928.18</v>
      </c>
      <c r="R104" s="0" t="n">
        <f aca="false">IF(AND(Q104&lt;=$E$7,N104="A"),1,0)</f>
        <v>0</v>
      </c>
      <c r="S104" s="0" t="n">
        <f aca="false">IF(AND(Q104&lt;=$E$7,N104="B"),1,0)</f>
        <v>0</v>
      </c>
      <c r="T104" s="0" t="n">
        <f aca="false">IF(Q104&lt;=$E$7,1,0)</f>
        <v>0</v>
      </c>
    </row>
    <row r="105" customFormat="false" ht="15" hidden="false" customHeight="false" outlineLevel="0" collapsed="false">
      <c r="M105" s="0" t="n">
        <v>104</v>
      </c>
      <c r="N105" s="0" t="str">
        <f aca="false">IF(MOD(M105-1,$B$13+$B$14)&lt;$B$13,"A","B")</f>
        <v>B</v>
      </c>
      <c r="O105" s="0" t="n">
        <f aca="false">IF(N105="A",$E$5,$H$3)</f>
        <v>4.06</v>
      </c>
      <c r="P105" s="0" t="n">
        <f aca="false">P104+O105</f>
        <v>422.24</v>
      </c>
      <c r="Q105" s="0" t="n">
        <f aca="false">P105+(M105-1)*$B$10</f>
        <v>937.24</v>
      </c>
      <c r="R105" s="0" t="n">
        <f aca="false">IF(AND(Q105&lt;=$E$7,N105="A"),1,0)</f>
        <v>0</v>
      </c>
      <c r="S105" s="0" t="n">
        <f aca="false">IF(AND(Q105&lt;=$E$7,N105="B"),1,0)</f>
        <v>0</v>
      </c>
      <c r="T105" s="0" t="n">
        <f aca="false">IF(Q105&lt;=$E$7,1,0)</f>
        <v>0</v>
      </c>
    </row>
    <row r="106" customFormat="false" ht="15" hidden="false" customHeight="false" outlineLevel="0" collapsed="false">
      <c r="M106" s="0" t="n">
        <v>105</v>
      </c>
      <c r="N106" s="0" t="str">
        <f aca="false">IF(MOD(M106-1,$B$13+$B$14)&lt;$B$13,"A","B")</f>
        <v>A</v>
      </c>
      <c r="O106" s="0" t="n">
        <f aca="false">IF(N106="A",$E$5,$H$3)</f>
        <v>4.06</v>
      </c>
      <c r="P106" s="0" t="n">
        <f aca="false">P105+O106</f>
        <v>426.3</v>
      </c>
      <c r="Q106" s="0" t="n">
        <f aca="false">P106+(M106-1)*$B$10</f>
        <v>946.3</v>
      </c>
      <c r="R106" s="0" t="n">
        <f aca="false">IF(AND(Q106&lt;=$E$7,N106="A"),1,0)</f>
        <v>0</v>
      </c>
      <c r="S106" s="0" t="n">
        <f aca="false">IF(AND(Q106&lt;=$E$7,N106="B"),1,0)</f>
        <v>0</v>
      </c>
      <c r="T106" s="0" t="n">
        <f aca="false">IF(Q106&lt;=$E$7,1,0)</f>
        <v>0</v>
      </c>
    </row>
    <row r="107" customFormat="false" ht="15" hidden="false" customHeight="false" outlineLevel="0" collapsed="false">
      <c r="M107" s="0" t="n">
        <v>106</v>
      </c>
      <c r="N107" s="0" t="str">
        <f aca="false">IF(MOD(M107-1,$B$13+$B$14)&lt;$B$13,"A","B")</f>
        <v>A</v>
      </c>
      <c r="O107" s="0" t="n">
        <f aca="false">IF(N107="A",$E$5,$H$3)</f>
        <v>4.06</v>
      </c>
      <c r="P107" s="0" t="n">
        <f aca="false">P106+O107</f>
        <v>430.36</v>
      </c>
      <c r="Q107" s="0" t="n">
        <f aca="false">P107+(M107-1)*$B$10</f>
        <v>955.36</v>
      </c>
      <c r="R107" s="0" t="n">
        <f aca="false">IF(AND(Q107&lt;=$E$7,N107="A"),1,0)</f>
        <v>0</v>
      </c>
      <c r="S107" s="0" t="n">
        <f aca="false">IF(AND(Q107&lt;=$E$7,N107="B"),1,0)</f>
        <v>0</v>
      </c>
      <c r="T107" s="0" t="n">
        <f aca="false">IF(Q107&lt;=$E$7,1,0)</f>
        <v>0</v>
      </c>
    </row>
    <row r="108" customFormat="false" ht="15" hidden="false" customHeight="false" outlineLevel="0" collapsed="false">
      <c r="M108" s="0" t="n">
        <v>107</v>
      </c>
      <c r="N108" s="0" t="str">
        <f aca="false">IF(MOD(M108-1,$B$13+$B$14)&lt;$B$13,"A","B")</f>
        <v>A</v>
      </c>
      <c r="O108" s="0" t="n">
        <f aca="false">IF(N108="A",$E$5,$H$3)</f>
        <v>4.06</v>
      </c>
      <c r="P108" s="0" t="n">
        <f aca="false">P107+O108</f>
        <v>434.42</v>
      </c>
      <c r="Q108" s="0" t="n">
        <f aca="false">P108+(M108-1)*$B$10</f>
        <v>964.42</v>
      </c>
      <c r="R108" s="0" t="n">
        <f aca="false">IF(AND(Q108&lt;=$E$7,N108="A"),1,0)</f>
        <v>0</v>
      </c>
      <c r="S108" s="0" t="n">
        <f aca="false">IF(AND(Q108&lt;=$E$7,N108="B"),1,0)</f>
        <v>0</v>
      </c>
      <c r="T108" s="0" t="n">
        <f aca="false">IF(Q108&lt;=$E$7,1,0)</f>
        <v>0</v>
      </c>
    </row>
    <row r="109" customFormat="false" ht="15" hidden="false" customHeight="false" outlineLevel="0" collapsed="false">
      <c r="M109" s="0" t="n">
        <v>108</v>
      </c>
      <c r="N109" s="0" t="str">
        <f aca="false">IF(MOD(M109-1,$B$13+$B$14)&lt;$B$13,"A","B")</f>
        <v>B</v>
      </c>
      <c r="O109" s="0" t="n">
        <f aca="false">IF(N109="A",$E$5,$H$3)</f>
        <v>4.06</v>
      </c>
      <c r="P109" s="0" t="n">
        <f aca="false">P108+O109</f>
        <v>438.48</v>
      </c>
      <c r="Q109" s="0" t="n">
        <f aca="false">P109+(M109-1)*$B$10</f>
        <v>973.48</v>
      </c>
      <c r="R109" s="0" t="n">
        <f aca="false">IF(AND(Q109&lt;=$E$7,N109="A"),1,0)</f>
        <v>0</v>
      </c>
      <c r="S109" s="0" t="n">
        <f aca="false">IF(AND(Q109&lt;=$E$7,N109="B"),1,0)</f>
        <v>0</v>
      </c>
      <c r="T109" s="0" t="n">
        <f aca="false">IF(Q109&lt;=$E$7,1,0)</f>
        <v>0</v>
      </c>
    </row>
    <row r="110" customFormat="false" ht="15" hidden="false" customHeight="false" outlineLevel="0" collapsed="false">
      <c r="M110" s="0" t="n">
        <v>109</v>
      </c>
      <c r="N110" s="0" t="str">
        <f aca="false">IF(MOD(M110-1,$B$13+$B$14)&lt;$B$13,"A","B")</f>
        <v>B</v>
      </c>
      <c r="O110" s="0" t="n">
        <f aca="false">IF(N110="A",$E$5,$H$3)</f>
        <v>4.06</v>
      </c>
      <c r="P110" s="0" t="n">
        <f aca="false">P109+O110</f>
        <v>442.54</v>
      </c>
      <c r="Q110" s="0" t="n">
        <f aca="false">P110+(M110-1)*$B$10</f>
        <v>982.54</v>
      </c>
      <c r="R110" s="0" t="n">
        <f aca="false">IF(AND(Q110&lt;=$E$7,N110="A"),1,0)</f>
        <v>0</v>
      </c>
      <c r="S110" s="0" t="n">
        <f aca="false">IF(AND(Q110&lt;=$E$7,N110="B"),1,0)</f>
        <v>0</v>
      </c>
      <c r="T110" s="0" t="n">
        <f aca="false">IF(Q110&lt;=$E$7,1,0)</f>
        <v>0</v>
      </c>
    </row>
    <row r="111" customFormat="false" ht="15" hidden="false" customHeight="false" outlineLevel="0" collapsed="false">
      <c r="M111" s="0" t="n">
        <v>110</v>
      </c>
      <c r="N111" s="0" t="str">
        <f aca="false">IF(MOD(M111-1,$B$13+$B$14)&lt;$B$13,"A","B")</f>
        <v>B</v>
      </c>
      <c r="O111" s="0" t="n">
        <f aca="false">IF(N111="A",$E$5,$H$3)</f>
        <v>4.06</v>
      </c>
      <c r="P111" s="0" t="n">
        <f aca="false">P110+O111</f>
        <v>446.6</v>
      </c>
      <c r="Q111" s="0" t="n">
        <f aca="false">P111+(M111-1)*$B$10</f>
        <v>991.6</v>
      </c>
      <c r="R111" s="0" t="n">
        <f aca="false">IF(AND(Q111&lt;=$E$7,N111="A"),1,0)</f>
        <v>0</v>
      </c>
      <c r="S111" s="0" t="n">
        <f aca="false">IF(AND(Q111&lt;=$E$7,N111="B"),1,0)</f>
        <v>0</v>
      </c>
      <c r="T111" s="0" t="n">
        <f aca="false">IF(Q111&lt;=$E$7,1,0)</f>
        <v>0</v>
      </c>
    </row>
    <row r="112" customFormat="false" ht="15" hidden="false" customHeight="false" outlineLevel="0" collapsed="false">
      <c r="M112" s="0" t="n">
        <v>111</v>
      </c>
      <c r="N112" s="0" t="str">
        <f aca="false">IF(MOD(M112-1,$B$13+$B$14)&lt;$B$13,"A","B")</f>
        <v>B</v>
      </c>
      <c r="O112" s="0" t="n">
        <f aca="false">IF(N112="A",$E$5,$H$3)</f>
        <v>4.06</v>
      </c>
      <c r="P112" s="0" t="n">
        <f aca="false">P111+O112</f>
        <v>450.66</v>
      </c>
      <c r="Q112" s="0" t="n">
        <f aca="false">P112+(M112-1)*$B$10</f>
        <v>1000.66</v>
      </c>
      <c r="R112" s="0" t="n">
        <f aca="false">IF(AND(Q112&lt;=$E$7,N112="A"),1,0)</f>
        <v>0</v>
      </c>
      <c r="S112" s="0" t="n">
        <f aca="false">IF(AND(Q112&lt;=$E$7,N112="B"),1,0)</f>
        <v>0</v>
      </c>
      <c r="T112" s="0" t="n">
        <f aca="false">IF(Q112&lt;=$E$7,1,0)</f>
        <v>0</v>
      </c>
    </row>
    <row r="113" customFormat="false" ht="15" hidden="false" customHeight="false" outlineLevel="0" collapsed="false">
      <c r="M113" s="0" t="n">
        <v>112</v>
      </c>
      <c r="N113" s="0" t="str">
        <f aca="false">IF(MOD(M113-1,$B$13+$B$14)&lt;$B$13,"A","B")</f>
        <v>B</v>
      </c>
      <c r="O113" s="0" t="n">
        <f aca="false">IF(N113="A",$E$5,$H$3)</f>
        <v>4.06</v>
      </c>
      <c r="P113" s="0" t="n">
        <f aca="false">P112+O113</f>
        <v>454.72</v>
      </c>
      <c r="Q113" s="0" t="n">
        <f aca="false">P113+(M113-1)*$B$10</f>
        <v>1009.72</v>
      </c>
      <c r="R113" s="0" t="n">
        <f aca="false">IF(AND(Q113&lt;=$E$7,N113="A"),1,0)</f>
        <v>0</v>
      </c>
      <c r="S113" s="0" t="n">
        <f aca="false">IF(AND(Q113&lt;=$E$7,N113="B"),1,0)</f>
        <v>0</v>
      </c>
      <c r="T113" s="0" t="n">
        <f aca="false">IF(Q113&lt;=$E$7,1,0)</f>
        <v>0</v>
      </c>
    </row>
    <row r="114" customFormat="false" ht="15" hidden="false" customHeight="false" outlineLevel="0" collapsed="false">
      <c r="M114" s="0" t="n">
        <v>113</v>
      </c>
      <c r="N114" s="0" t="str">
        <f aca="false">IF(MOD(M114-1,$B$13+$B$14)&lt;$B$13,"A","B")</f>
        <v>A</v>
      </c>
      <c r="O114" s="0" t="n">
        <f aca="false">IF(N114="A",$E$5,$H$3)</f>
        <v>4.06</v>
      </c>
      <c r="P114" s="0" t="n">
        <f aca="false">P113+O114</f>
        <v>458.78</v>
      </c>
      <c r="Q114" s="0" t="n">
        <f aca="false">P114+(M114-1)*$B$10</f>
        <v>1018.78</v>
      </c>
      <c r="R114" s="0" t="n">
        <f aca="false">IF(AND(Q114&lt;=$E$7,N114="A"),1,0)</f>
        <v>0</v>
      </c>
      <c r="S114" s="0" t="n">
        <f aca="false">IF(AND(Q114&lt;=$E$7,N114="B"),1,0)</f>
        <v>0</v>
      </c>
      <c r="T114" s="0" t="n">
        <f aca="false">IF(Q114&lt;=$E$7,1,0)</f>
        <v>0</v>
      </c>
    </row>
    <row r="115" customFormat="false" ht="15" hidden="false" customHeight="false" outlineLevel="0" collapsed="false">
      <c r="M115" s="0" t="n">
        <v>114</v>
      </c>
      <c r="N115" s="0" t="str">
        <f aca="false">IF(MOD(M115-1,$B$13+$B$14)&lt;$B$13,"A","B")</f>
        <v>A</v>
      </c>
      <c r="O115" s="0" t="n">
        <f aca="false">IF(N115="A",$E$5,$H$3)</f>
        <v>4.06</v>
      </c>
      <c r="P115" s="0" t="n">
        <f aca="false">P114+O115</f>
        <v>462.84</v>
      </c>
      <c r="Q115" s="0" t="n">
        <f aca="false">P115+(M115-1)*$B$10</f>
        <v>1027.84</v>
      </c>
      <c r="R115" s="0" t="n">
        <f aca="false">IF(AND(Q115&lt;=$E$7,N115="A"),1,0)</f>
        <v>0</v>
      </c>
      <c r="S115" s="0" t="n">
        <f aca="false">IF(AND(Q115&lt;=$E$7,N115="B"),1,0)</f>
        <v>0</v>
      </c>
      <c r="T115" s="0" t="n">
        <f aca="false">IF(Q115&lt;=$E$7,1,0)</f>
        <v>0</v>
      </c>
    </row>
    <row r="116" customFormat="false" ht="15" hidden="false" customHeight="false" outlineLevel="0" collapsed="false">
      <c r="M116" s="0" t="n">
        <v>115</v>
      </c>
      <c r="N116" s="0" t="str">
        <f aca="false">IF(MOD(M116-1,$B$13+$B$14)&lt;$B$13,"A","B")</f>
        <v>A</v>
      </c>
      <c r="O116" s="0" t="n">
        <f aca="false">IF(N116="A",$E$5,$H$3)</f>
        <v>4.06</v>
      </c>
      <c r="P116" s="0" t="n">
        <f aca="false">P115+O116</f>
        <v>466.9</v>
      </c>
      <c r="Q116" s="0" t="n">
        <f aca="false">P116+(M116-1)*$B$10</f>
        <v>1036.9</v>
      </c>
      <c r="R116" s="0" t="n">
        <f aca="false">IF(AND(Q116&lt;=$E$7,N116="A"),1,0)</f>
        <v>0</v>
      </c>
      <c r="S116" s="0" t="n">
        <f aca="false">IF(AND(Q116&lt;=$E$7,N116="B"),1,0)</f>
        <v>0</v>
      </c>
      <c r="T116" s="0" t="n">
        <f aca="false">IF(Q116&lt;=$E$7,1,0)</f>
        <v>0</v>
      </c>
    </row>
    <row r="117" customFormat="false" ht="15" hidden="false" customHeight="false" outlineLevel="0" collapsed="false">
      <c r="M117" s="0" t="n">
        <v>116</v>
      </c>
      <c r="N117" s="0" t="str">
        <f aca="false">IF(MOD(M117-1,$B$13+$B$14)&lt;$B$13,"A","B")</f>
        <v>B</v>
      </c>
      <c r="O117" s="0" t="n">
        <f aca="false">IF(N117="A",$E$5,$H$3)</f>
        <v>4.06</v>
      </c>
      <c r="P117" s="0" t="n">
        <f aca="false">P116+O117</f>
        <v>470.96</v>
      </c>
      <c r="Q117" s="0" t="n">
        <f aca="false">P117+(M117-1)*$B$10</f>
        <v>1045.96</v>
      </c>
      <c r="R117" s="0" t="n">
        <f aca="false">IF(AND(Q117&lt;=$E$7,N117="A"),1,0)</f>
        <v>0</v>
      </c>
      <c r="S117" s="0" t="n">
        <f aca="false">IF(AND(Q117&lt;=$E$7,N117="B"),1,0)</f>
        <v>0</v>
      </c>
      <c r="T117" s="0" t="n">
        <f aca="false">IF(Q117&lt;=$E$7,1,0)</f>
        <v>0</v>
      </c>
    </row>
    <row r="118" customFormat="false" ht="15" hidden="false" customHeight="false" outlineLevel="0" collapsed="false">
      <c r="M118" s="0" t="n">
        <v>117</v>
      </c>
      <c r="N118" s="0" t="str">
        <f aca="false">IF(MOD(M118-1,$B$13+$B$14)&lt;$B$13,"A","B")</f>
        <v>B</v>
      </c>
      <c r="O118" s="0" t="n">
        <f aca="false">IF(N118="A",$E$5,$H$3)</f>
        <v>4.06</v>
      </c>
      <c r="P118" s="0" t="n">
        <f aca="false">P117+O118</f>
        <v>475.02</v>
      </c>
      <c r="Q118" s="0" t="n">
        <f aca="false">P118+(M118-1)*$B$10</f>
        <v>1055.02</v>
      </c>
      <c r="R118" s="0" t="n">
        <f aca="false">IF(AND(Q118&lt;=$E$7,N118="A"),1,0)</f>
        <v>0</v>
      </c>
      <c r="S118" s="0" t="n">
        <f aca="false">IF(AND(Q118&lt;=$E$7,N118="B"),1,0)</f>
        <v>0</v>
      </c>
      <c r="T118" s="0" t="n">
        <f aca="false">IF(Q118&lt;=$E$7,1,0)</f>
        <v>0</v>
      </c>
    </row>
    <row r="119" customFormat="false" ht="15" hidden="false" customHeight="false" outlineLevel="0" collapsed="false">
      <c r="M119" s="0" t="n">
        <v>118</v>
      </c>
      <c r="N119" s="0" t="str">
        <f aca="false">IF(MOD(M119-1,$B$13+$B$14)&lt;$B$13,"A","B")</f>
        <v>B</v>
      </c>
      <c r="O119" s="0" t="n">
        <f aca="false">IF(N119="A",$E$5,$H$3)</f>
        <v>4.06</v>
      </c>
      <c r="P119" s="0" t="n">
        <f aca="false">P118+O119</f>
        <v>479.08</v>
      </c>
      <c r="Q119" s="0" t="n">
        <f aca="false">P119+(M119-1)*$B$10</f>
        <v>1064.08</v>
      </c>
      <c r="R119" s="0" t="n">
        <f aca="false">IF(AND(Q119&lt;=$E$7,N119="A"),1,0)</f>
        <v>0</v>
      </c>
      <c r="S119" s="0" t="n">
        <f aca="false">IF(AND(Q119&lt;=$E$7,N119="B"),1,0)</f>
        <v>0</v>
      </c>
      <c r="T119" s="0" t="n">
        <f aca="false">IF(Q119&lt;=$E$7,1,0)</f>
        <v>0</v>
      </c>
    </row>
    <row r="120" customFormat="false" ht="15" hidden="false" customHeight="false" outlineLevel="0" collapsed="false">
      <c r="M120" s="0" t="n">
        <v>119</v>
      </c>
      <c r="N120" s="0" t="str">
        <f aca="false">IF(MOD(M120-1,$B$13+$B$14)&lt;$B$13,"A","B")</f>
        <v>B</v>
      </c>
      <c r="O120" s="0" t="n">
        <f aca="false">IF(N120="A",$E$5,$H$3)</f>
        <v>4.06</v>
      </c>
      <c r="P120" s="0" t="n">
        <f aca="false">P119+O120</f>
        <v>483.14</v>
      </c>
      <c r="Q120" s="0" t="n">
        <f aca="false">P120+(M120-1)*$B$10</f>
        <v>1073.14</v>
      </c>
      <c r="R120" s="0" t="n">
        <f aca="false">IF(AND(Q120&lt;=$E$7,N120="A"),1,0)</f>
        <v>0</v>
      </c>
      <c r="S120" s="0" t="n">
        <f aca="false">IF(AND(Q120&lt;=$E$7,N120="B"),1,0)</f>
        <v>0</v>
      </c>
      <c r="T120" s="0" t="n">
        <f aca="false">IF(Q120&lt;=$E$7,1,0)</f>
        <v>0</v>
      </c>
    </row>
    <row r="121" customFormat="false" ht="15" hidden="false" customHeight="false" outlineLevel="0" collapsed="false">
      <c r="M121" s="0" t="n">
        <v>120</v>
      </c>
      <c r="N121" s="0" t="str">
        <f aca="false">IF(MOD(M121-1,$B$13+$B$14)&lt;$B$13,"A","B")</f>
        <v>B</v>
      </c>
      <c r="O121" s="0" t="n">
        <f aca="false">IF(N121="A",$E$5,$H$3)</f>
        <v>4.06</v>
      </c>
      <c r="P121" s="0" t="n">
        <f aca="false">P120+O121</f>
        <v>487.2</v>
      </c>
      <c r="Q121" s="0" t="n">
        <f aca="false">P121+(M121-1)*$B$10</f>
        <v>1082.2</v>
      </c>
      <c r="R121" s="0" t="n">
        <f aca="false">IF(AND(Q121&lt;=$E$7,N121="A"),1,0)</f>
        <v>0</v>
      </c>
      <c r="S121" s="0" t="n">
        <f aca="false">IF(AND(Q121&lt;=$E$7,N121="B"),1,0)</f>
        <v>0</v>
      </c>
      <c r="T121" s="0" t="n">
        <f aca="false">IF(Q121&lt;=$E$7,1,0)</f>
        <v>0</v>
      </c>
    </row>
    <row r="122" customFormat="false" ht="15" hidden="false" customHeight="false" outlineLevel="0" collapsed="false">
      <c r="M122" s="0" t="n">
        <v>121</v>
      </c>
      <c r="N122" s="0" t="str">
        <f aca="false">IF(MOD(M122-1,$B$13+$B$14)&lt;$B$13,"A","B")</f>
        <v>A</v>
      </c>
      <c r="O122" s="0" t="n">
        <f aca="false">IF(N122="A",$E$5,$H$3)</f>
        <v>4.06</v>
      </c>
      <c r="P122" s="0" t="n">
        <f aca="false">P121+O122</f>
        <v>491.26</v>
      </c>
      <c r="Q122" s="0" t="n">
        <f aca="false">P122+(M122-1)*$B$10</f>
        <v>1091.26</v>
      </c>
      <c r="R122" s="0" t="n">
        <f aca="false">IF(AND(Q122&lt;=$E$7,N122="A"),1,0)</f>
        <v>0</v>
      </c>
      <c r="S122" s="0" t="n">
        <f aca="false">IF(AND(Q122&lt;=$E$7,N122="B"),1,0)</f>
        <v>0</v>
      </c>
      <c r="T122" s="0" t="n">
        <f aca="false">IF(Q122&lt;=$E$7,1,0)</f>
        <v>0</v>
      </c>
    </row>
    <row r="123" customFormat="false" ht="15" hidden="false" customHeight="false" outlineLevel="0" collapsed="false">
      <c r="M123" s="0" t="n">
        <v>122</v>
      </c>
      <c r="N123" s="0" t="str">
        <f aca="false">IF(MOD(M123-1,$B$13+$B$14)&lt;$B$13,"A","B")</f>
        <v>A</v>
      </c>
      <c r="O123" s="0" t="n">
        <f aca="false">IF(N123="A",$E$5,$H$3)</f>
        <v>4.06</v>
      </c>
      <c r="P123" s="0" t="n">
        <f aca="false">P122+O123</f>
        <v>495.32</v>
      </c>
      <c r="Q123" s="0" t="n">
        <f aca="false">P123+(M123-1)*$B$10</f>
        <v>1100.32</v>
      </c>
      <c r="R123" s="0" t="n">
        <f aca="false">IF(AND(Q123&lt;=$E$7,N123="A"),1,0)</f>
        <v>0</v>
      </c>
      <c r="S123" s="0" t="n">
        <f aca="false">IF(AND(Q123&lt;=$E$7,N123="B"),1,0)</f>
        <v>0</v>
      </c>
      <c r="T123" s="0" t="n">
        <f aca="false">IF(Q123&lt;=$E$7,1,0)</f>
        <v>0</v>
      </c>
    </row>
    <row r="124" customFormat="false" ht="15" hidden="false" customHeight="false" outlineLevel="0" collapsed="false">
      <c r="M124" s="0" t="n">
        <v>123</v>
      </c>
      <c r="N124" s="0" t="str">
        <f aca="false">IF(MOD(M124-1,$B$13+$B$14)&lt;$B$13,"A","B")</f>
        <v>A</v>
      </c>
      <c r="O124" s="0" t="n">
        <f aca="false">IF(N124="A",$E$5,$H$3)</f>
        <v>4.06</v>
      </c>
      <c r="P124" s="0" t="n">
        <f aca="false">P123+O124</f>
        <v>499.38</v>
      </c>
      <c r="Q124" s="0" t="n">
        <f aca="false">P124+(M124-1)*$B$10</f>
        <v>1109.38</v>
      </c>
      <c r="R124" s="0" t="n">
        <f aca="false">IF(AND(Q124&lt;=$E$7,N124="A"),1,0)</f>
        <v>0</v>
      </c>
      <c r="S124" s="0" t="n">
        <f aca="false">IF(AND(Q124&lt;=$E$7,N124="B"),1,0)</f>
        <v>0</v>
      </c>
      <c r="T124" s="0" t="n">
        <f aca="false">IF(Q124&lt;=$E$7,1,0)</f>
        <v>0</v>
      </c>
    </row>
    <row r="125" customFormat="false" ht="15" hidden="false" customHeight="false" outlineLevel="0" collapsed="false">
      <c r="M125" s="0" t="n">
        <v>124</v>
      </c>
      <c r="N125" s="0" t="str">
        <f aca="false">IF(MOD(M125-1,$B$13+$B$14)&lt;$B$13,"A","B")</f>
        <v>B</v>
      </c>
      <c r="O125" s="0" t="n">
        <f aca="false">IF(N125="A",$E$5,$H$3)</f>
        <v>4.06</v>
      </c>
      <c r="P125" s="0" t="n">
        <f aca="false">P124+O125</f>
        <v>503.44</v>
      </c>
      <c r="Q125" s="0" t="n">
        <f aca="false">P125+(M125-1)*$B$10</f>
        <v>1118.44</v>
      </c>
      <c r="R125" s="0" t="n">
        <f aca="false">IF(AND(Q125&lt;=$E$7,N125="A"),1,0)</f>
        <v>0</v>
      </c>
      <c r="S125" s="0" t="n">
        <f aca="false">IF(AND(Q125&lt;=$E$7,N125="B"),1,0)</f>
        <v>0</v>
      </c>
      <c r="T125" s="0" t="n">
        <f aca="false">IF(Q125&lt;=$E$7,1,0)</f>
        <v>0</v>
      </c>
    </row>
    <row r="126" customFormat="false" ht="15" hidden="false" customHeight="false" outlineLevel="0" collapsed="false">
      <c r="M126" s="0" t="n">
        <v>125</v>
      </c>
      <c r="N126" s="0" t="str">
        <f aca="false">IF(MOD(M126-1,$B$13+$B$14)&lt;$B$13,"A","B")</f>
        <v>B</v>
      </c>
      <c r="O126" s="0" t="n">
        <f aca="false">IF(N126="A",$E$5,$H$3)</f>
        <v>4.06</v>
      </c>
      <c r="P126" s="0" t="n">
        <f aca="false">P125+O126</f>
        <v>507.5</v>
      </c>
      <c r="Q126" s="0" t="n">
        <f aca="false">P126+(M126-1)*$B$10</f>
        <v>1127.5</v>
      </c>
      <c r="R126" s="0" t="n">
        <f aca="false">IF(AND(Q126&lt;=$E$7,N126="A"),1,0)</f>
        <v>0</v>
      </c>
      <c r="S126" s="0" t="n">
        <f aca="false">IF(AND(Q126&lt;=$E$7,N126="B"),1,0)</f>
        <v>0</v>
      </c>
      <c r="T126" s="0" t="n">
        <f aca="false">IF(Q126&lt;=$E$7,1,0)</f>
        <v>0</v>
      </c>
    </row>
    <row r="127" customFormat="false" ht="15" hidden="false" customHeight="false" outlineLevel="0" collapsed="false">
      <c r="M127" s="0" t="n">
        <v>126</v>
      </c>
      <c r="N127" s="0" t="str">
        <f aca="false">IF(MOD(M127-1,$B$13+$B$14)&lt;$B$13,"A","B")</f>
        <v>B</v>
      </c>
      <c r="O127" s="0" t="n">
        <f aca="false">IF(N127="A",$E$5,$H$3)</f>
        <v>4.06</v>
      </c>
      <c r="P127" s="0" t="n">
        <f aca="false">P126+O127</f>
        <v>511.56</v>
      </c>
      <c r="Q127" s="0" t="n">
        <f aca="false">P127+(M127-1)*$B$10</f>
        <v>1136.56</v>
      </c>
      <c r="R127" s="0" t="n">
        <f aca="false">IF(AND(Q127&lt;=$E$7,N127="A"),1,0)</f>
        <v>0</v>
      </c>
      <c r="S127" s="0" t="n">
        <f aca="false">IF(AND(Q127&lt;=$E$7,N127="B"),1,0)</f>
        <v>0</v>
      </c>
      <c r="T127" s="0" t="n">
        <f aca="false">IF(Q127&lt;=$E$7,1,0)</f>
        <v>0</v>
      </c>
    </row>
    <row r="128" customFormat="false" ht="15" hidden="false" customHeight="false" outlineLevel="0" collapsed="false">
      <c r="M128" s="0" t="n">
        <v>127</v>
      </c>
      <c r="N128" s="0" t="str">
        <f aca="false">IF(MOD(M128-1,$B$13+$B$14)&lt;$B$13,"A","B")</f>
        <v>B</v>
      </c>
      <c r="O128" s="0" t="n">
        <f aca="false">IF(N128="A",$E$5,$H$3)</f>
        <v>4.06</v>
      </c>
      <c r="P128" s="0" t="n">
        <f aca="false">P127+O128</f>
        <v>515.62</v>
      </c>
      <c r="Q128" s="0" t="n">
        <f aca="false">P128+(M128-1)*$B$10</f>
        <v>1145.62</v>
      </c>
      <c r="R128" s="0" t="n">
        <f aca="false">IF(AND(Q128&lt;=$E$7,N128="A"),1,0)</f>
        <v>0</v>
      </c>
      <c r="S128" s="0" t="n">
        <f aca="false">IF(AND(Q128&lt;=$E$7,N128="B"),1,0)</f>
        <v>0</v>
      </c>
      <c r="T128" s="0" t="n">
        <f aca="false">IF(Q128&lt;=$E$7,1,0)</f>
        <v>0</v>
      </c>
    </row>
    <row r="129" customFormat="false" ht="15" hidden="false" customHeight="false" outlineLevel="0" collapsed="false">
      <c r="M129" s="0" t="n">
        <v>128</v>
      </c>
      <c r="N129" s="0" t="str">
        <f aca="false">IF(MOD(M129-1,$B$13+$B$14)&lt;$B$13,"A","B")</f>
        <v>B</v>
      </c>
      <c r="O129" s="0" t="n">
        <f aca="false">IF(N129="A",$E$5,$H$3)</f>
        <v>4.06</v>
      </c>
      <c r="P129" s="0" t="n">
        <f aca="false">P128+O129</f>
        <v>519.68</v>
      </c>
      <c r="Q129" s="0" t="n">
        <f aca="false">P129+(M129-1)*$B$10</f>
        <v>1154.68</v>
      </c>
      <c r="R129" s="0" t="n">
        <f aca="false">IF(AND(Q129&lt;=$E$7,N129="A"),1,0)</f>
        <v>0</v>
      </c>
      <c r="S129" s="0" t="n">
        <f aca="false">IF(AND(Q129&lt;=$E$7,N129="B"),1,0)</f>
        <v>0</v>
      </c>
      <c r="T129" s="0" t="n">
        <f aca="false">IF(Q129&lt;=$E$7,1,0)</f>
        <v>0</v>
      </c>
    </row>
    <row r="130" customFormat="false" ht="15" hidden="false" customHeight="false" outlineLevel="0" collapsed="false">
      <c r="M130" s="0" t="n">
        <v>129</v>
      </c>
      <c r="N130" s="0" t="str">
        <f aca="false">IF(MOD(M130-1,$B$13+$B$14)&lt;$B$13,"A","B")</f>
        <v>A</v>
      </c>
      <c r="O130" s="0" t="n">
        <f aca="false">IF(N130="A",$E$5,$H$3)</f>
        <v>4.06</v>
      </c>
      <c r="P130" s="0" t="n">
        <f aca="false">P129+O130</f>
        <v>523.74</v>
      </c>
      <c r="Q130" s="0" t="n">
        <f aca="false">P130+(M130-1)*$B$10</f>
        <v>1163.74</v>
      </c>
      <c r="R130" s="0" t="n">
        <f aca="false">IF(AND(Q130&lt;=$E$7,N130="A"),1,0)</f>
        <v>0</v>
      </c>
      <c r="S130" s="0" t="n">
        <f aca="false">IF(AND(Q130&lt;=$E$7,N130="B"),1,0)</f>
        <v>0</v>
      </c>
      <c r="T130" s="0" t="n">
        <f aca="false">IF(Q130&lt;=$E$7,1,0)</f>
        <v>0</v>
      </c>
    </row>
    <row r="131" customFormat="false" ht="15" hidden="false" customHeight="false" outlineLevel="0" collapsed="false">
      <c r="M131" s="0" t="n">
        <v>130</v>
      </c>
      <c r="N131" s="0" t="str">
        <f aca="false">IF(MOD(M131-1,$B$13+$B$14)&lt;$B$13,"A","B")</f>
        <v>A</v>
      </c>
      <c r="O131" s="0" t="n">
        <f aca="false">IF(N131="A",$E$5,$H$3)</f>
        <v>4.06</v>
      </c>
      <c r="P131" s="0" t="n">
        <f aca="false">P130+O131</f>
        <v>527.8</v>
      </c>
      <c r="Q131" s="0" t="n">
        <f aca="false">P131+(M131-1)*$B$10</f>
        <v>1172.8</v>
      </c>
      <c r="R131" s="0" t="n">
        <f aca="false">IF(AND(Q131&lt;=$E$7,N131="A"),1,0)</f>
        <v>0</v>
      </c>
      <c r="S131" s="0" t="n">
        <f aca="false">IF(AND(Q131&lt;=$E$7,N131="B"),1,0)</f>
        <v>0</v>
      </c>
      <c r="T131" s="0" t="n">
        <f aca="false">IF(Q131&lt;=$E$7,1,0)</f>
        <v>0</v>
      </c>
    </row>
    <row r="132" customFormat="false" ht="15" hidden="false" customHeight="false" outlineLevel="0" collapsed="false">
      <c r="M132" s="0" t="n">
        <v>131</v>
      </c>
      <c r="N132" s="0" t="str">
        <f aca="false">IF(MOD(M132-1,$B$13+$B$14)&lt;$B$13,"A","B")</f>
        <v>A</v>
      </c>
      <c r="O132" s="0" t="n">
        <f aca="false">IF(N132="A",$E$5,$H$3)</f>
        <v>4.06</v>
      </c>
      <c r="P132" s="0" t="n">
        <f aca="false">P131+O132</f>
        <v>531.86</v>
      </c>
      <c r="Q132" s="0" t="n">
        <f aca="false">P132+(M132-1)*$B$10</f>
        <v>1181.86</v>
      </c>
      <c r="R132" s="0" t="n">
        <f aca="false">IF(AND(Q132&lt;=$E$7,N132="A"),1,0)</f>
        <v>0</v>
      </c>
      <c r="S132" s="0" t="n">
        <f aca="false">IF(AND(Q132&lt;=$E$7,N132="B"),1,0)</f>
        <v>0</v>
      </c>
      <c r="T132" s="0" t="n">
        <f aca="false">IF(Q132&lt;=$E$7,1,0)</f>
        <v>0</v>
      </c>
    </row>
    <row r="133" customFormat="false" ht="15" hidden="false" customHeight="false" outlineLevel="0" collapsed="false">
      <c r="M133" s="0" t="n">
        <v>132</v>
      </c>
      <c r="N133" s="0" t="str">
        <f aca="false">IF(MOD(M133-1,$B$13+$B$14)&lt;$B$13,"A","B")</f>
        <v>B</v>
      </c>
      <c r="O133" s="0" t="n">
        <f aca="false">IF(N133="A",$E$5,$H$3)</f>
        <v>4.06</v>
      </c>
      <c r="P133" s="0" t="n">
        <f aca="false">P132+O133</f>
        <v>535.92</v>
      </c>
      <c r="Q133" s="0" t="n">
        <f aca="false">P133+(M133-1)*$B$10</f>
        <v>1190.92</v>
      </c>
      <c r="R133" s="0" t="n">
        <f aca="false">IF(AND(Q133&lt;=$E$7,N133="A"),1,0)</f>
        <v>0</v>
      </c>
      <c r="S133" s="0" t="n">
        <f aca="false">IF(AND(Q133&lt;=$E$7,N133="B"),1,0)</f>
        <v>0</v>
      </c>
      <c r="T133" s="0" t="n">
        <f aca="false">IF(Q133&lt;=$E$7,1,0)</f>
        <v>0</v>
      </c>
    </row>
    <row r="134" customFormat="false" ht="15" hidden="false" customHeight="false" outlineLevel="0" collapsed="false">
      <c r="M134" s="0" t="n">
        <v>133</v>
      </c>
      <c r="N134" s="0" t="str">
        <f aca="false">IF(MOD(M134-1,$B$13+$B$14)&lt;$B$13,"A","B")</f>
        <v>B</v>
      </c>
      <c r="O134" s="0" t="n">
        <f aca="false">IF(N134="A",$E$5,$H$3)</f>
        <v>4.06</v>
      </c>
      <c r="P134" s="0" t="n">
        <f aca="false">P133+O134</f>
        <v>539.98</v>
      </c>
      <c r="Q134" s="0" t="n">
        <f aca="false">P134+(M134-1)*$B$10</f>
        <v>1199.98</v>
      </c>
      <c r="R134" s="0" t="n">
        <f aca="false">IF(AND(Q134&lt;=$E$7,N134="A"),1,0)</f>
        <v>0</v>
      </c>
      <c r="S134" s="0" t="n">
        <f aca="false">IF(AND(Q134&lt;=$E$7,N134="B"),1,0)</f>
        <v>0</v>
      </c>
      <c r="T134" s="0" t="n">
        <f aca="false">IF(Q134&lt;=$E$7,1,0)</f>
        <v>0</v>
      </c>
    </row>
    <row r="135" customFormat="false" ht="15" hidden="false" customHeight="false" outlineLevel="0" collapsed="false">
      <c r="M135" s="0" t="n">
        <v>134</v>
      </c>
      <c r="N135" s="0" t="str">
        <f aca="false">IF(MOD(M135-1,$B$13+$B$14)&lt;$B$13,"A","B")</f>
        <v>B</v>
      </c>
      <c r="O135" s="0" t="n">
        <f aca="false">IF(N135="A",$E$5,$H$3)</f>
        <v>4.06</v>
      </c>
      <c r="P135" s="0" t="n">
        <f aca="false">P134+O135</f>
        <v>544.04</v>
      </c>
      <c r="Q135" s="0" t="n">
        <f aca="false">P135+(M135-1)*$B$10</f>
        <v>1209.04</v>
      </c>
      <c r="R135" s="0" t="n">
        <f aca="false">IF(AND(Q135&lt;=$E$7,N135="A"),1,0)</f>
        <v>0</v>
      </c>
      <c r="S135" s="0" t="n">
        <f aca="false">IF(AND(Q135&lt;=$E$7,N135="B"),1,0)</f>
        <v>0</v>
      </c>
      <c r="T135" s="0" t="n">
        <f aca="false">IF(Q135&lt;=$E$7,1,0)</f>
        <v>0</v>
      </c>
    </row>
    <row r="136" customFormat="false" ht="15" hidden="false" customHeight="false" outlineLevel="0" collapsed="false">
      <c r="M136" s="0" t="n">
        <v>135</v>
      </c>
      <c r="N136" s="0" t="str">
        <f aca="false">IF(MOD(M136-1,$B$13+$B$14)&lt;$B$13,"A","B")</f>
        <v>B</v>
      </c>
      <c r="O136" s="0" t="n">
        <f aca="false">IF(N136="A",$E$5,$H$3)</f>
        <v>4.06</v>
      </c>
      <c r="P136" s="0" t="n">
        <f aca="false">P135+O136</f>
        <v>548.1</v>
      </c>
      <c r="Q136" s="0" t="n">
        <f aca="false">P136+(M136-1)*$B$10</f>
        <v>1218.1</v>
      </c>
      <c r="R136" s="0" t="n">
        <f aca="false">IF(AND(Q136&lt;=$E$7,N136="A"),1,0)</f>
        <v>0</v>
      </c>
      <c r="S136" s="0" t="n">
        <f aca="false">IF(AND(Q136&lt;=$E$7,N136="B"),1,0)</f>
        <v>0</v>
      </c>
      <c r="T136" s="0" t="n">
        <f aca="false">IF(Q136&lt;=$E$7,1,0)</f>
        <v>0</v>
      </c>
    </row>
    <row r="137" customFormat="false" ht="15" hidden="false" customHeight="false" outlineLevel="0" collapsed="false">
      <c r="M137" s="0" t="n">
        <v>136</v>
      </c>
      <c r="N137" s="0" t="str">
        <f aca="false">IF(MOD(M137-1,$B$13+$B$14)&lt;$B$13,"A","B")</f>
        <v>B</v>
      </c>
      <c r="O137" s="0" t="n">
        <f aca="false">IF(N137="A",$E$5,$H$3)</f>
        <v>4.06</v>
      </c>
      <c r="P137" s="0" t="n">
        <f aca="false">P136+O137</f>
        <v>552.16</v>
      </c>
      <c r="Q137" s="0" t="n">
        <f aca="false">P137+(M137-1)*$B$10</f>
        <v>1227.16</v>
      </c>
      <c r="R137" s="0" t="n">
        <f aca="false">IF(AND(Q137&lt;=$E$7,N137="A"),1,0)</f>
        <v>0</v>
      </c>
      <c r="S137" s="0" t="n">
        <f aca="false">IF(AND(Q137&lt;=$E$7,N137="B"),1,0)</f>
        <v>0</v>
      </c>
      <c r="T137" s="0" t="n">
        <f aca="false">IF(Q137&lt;=$E$7,1,0)</f>
        <v>0</v>
      </c>
    </row>
    <row r="138" customFormat="false" ht="15" hidden="false" customHeight="false" outlineLevel="0" collapsed="false">
      <c r="M138" s="0" t="n">
        <v>137</v>
      </c>
      <c r="N138" s="0" t="str">
        <f aca="false">IF(MOD(M138-1,$B$13+$B$14)&lt;$B$13,"A","B")</f>
        <v>A</v>
      </c>
      <c r="O138" s="0" t="n">
        <f aca="false">IF(N138="A",$E$5,$H$3)</f>
        <v>4.06</v>
      </c>
      <c r="P138" s="0" t="n">
        <f aca="false">P137+O138</f>
        <v>556.22</v>
      </c>
      <c r="Q138" s="0" t="n">
        <f aca="false">P138+(M138-1)*$B$10</f>
        <v>1236.22</v>
      </c>
      <c r="R138" s="0" t="n">
        <f aca="false">IF(AND(Q138&lt;=$E$7,N138="A"),1,0)</f>
        <v>0</v>
      </c>
      <c r="S138" s="0" t="n">
        <f aca="false">IF(AND(Q138&lt;=$E$7,N138="B"),1,0)</f>
        <v>0</v>
      </c>
      <c r="T138" s="0" t="n">
        <f aca="false">IF(Q138&lt;=$E$7,1,0)</f>
        <v>0</v>
      </c>
    </row>
    <row r="139" customFormat="false" ht="15" hidden="false" customHeight="false" outlineLevel="0" collapsed="false">
      <c r="M139" s="0" t="n">
        <v>138</v>
      </c>
      <c r="N139" s="0" t="str">
        <f aca="false">IF(MOD(M139-1,$B$13+$B$14)&lt;$B$13,"A","B")</f>
        <v>A</v>
      </c>
      <c r="O139" s="0" t="n">
        <f aca="false">IF(N139="A",$E$5,$H$3)</f>
        <v>4.06</v>
      </c>
      <c r="P139" s="0" t="n">
        <f aca="false">P138+O139</f>
        <v>560.28</v>
      </c>
      <c r="Q139" s="0" t="n">
        <f aca="false">P139+(M139-1)*$B$10</f>
        <v>1245.28</v>
      </c>
      <c r="R139" s="0" t="n">
        <f aca="false">IF(AND(Q139&lt;=$E$7,N139="A"),1,0)</f>
        <v>0</v>
      </c>
      <c r="S139" s="0" t="n">
        <f aca="false">IF(AND(Q139&lt;=$E$7,N139="B"),1,0)</f>
        <v>0</v>
      </c>
      <c r="T139" s="0" t="n">
        <f aca="false">IF(Q139&lt;=$E$7,1,0)</f>
        <v>0</v>
      </c>
    </row>
    <row r="140" customFormat="false" ht="15" hidden="false" customHeight="false" outlineLevel="0" collapsed="false">
      <c r="M140" s="0" t="n">
        <v>139</v>
      </c>
      <c r="N140" s="0" t="str">
        <f aca="false">IF(MOD(M140-1,$B$13+$B$14)&lt;$B$13,"A","B")</f>
        <v>A</v>
      </c>
      <c r="O140" s="0" t="n">
        <f aca="false">IF(N140="A",$E$5,$H$3)</f>
        <v>4.06</v>
      </c>
      <c r="P140" s="0" t="n">
        <f aca="false">P139+O140</f>
        <v>564.34</v>
      </c>
      <c r="Q140" s="0" t="n">
        <f aca="false">P140+(M140-1)*$B$10</f>
        <v>1254.34</v>
      </c>
      <c r="R140" s="0" t="n">
        <f aca="false">IF(AND(Q140&lt;=$E$7,N140="A"),1,0)</f>
        <v>0</v>
      </c>
      <c r="S140" s="0" t="n">
        <f aca="false">IF(AND(Q140&lt;=$E$7,N140="B"),1,0)</f>
        <v>0</v>
      </c>
      <c r="T140" s="0" t="n">
        <f aca="false">IF(Q140&lt;=$E$7,1,0)</f>
        <v>0</v>
      </c>
    </row>
    <row r="141" customFormat="false" ht="15" hidden="false" customHeight="false" outlineLevel="0" collapsed="false">
      <c r="M141" s="0" t="n">
        <v>140</v>
      </c>
      <c r="N141" s="0" t="str">
        <f aca="false">IF(MOD(M141-1,$B$13+$B$14)&lt;$B$13,"A","B")</f>
        <v>B</v>
      </c>
      <c r="O141" s="0" t="n">
        <f aca="false">IF(N141="A",$E$5,$H$3)</f>
        <v>4.06</v>
      </c>
      <c r="P141" s="0" t="n">
        <f aca="false">P140+O141</f>
        <v>568.4</v>
      </c>
      <c r="Q141" s="0" t="n">
        <f aca="false">P141+(M141-1)*$B$10</f>
        <v>1263.4</v>
      </c>
      <c r="R141" s="0" t="n">
        <f aca="false">IF(AND(Q141&lt;=$E$7,N141="A"),1,0)</f>
        <v>0</v>
      </c>
      <c r="S141" s="0" t="n">
        <f aca="false">IF(AND(Q141&lt;=$E$7,N141="B"),1,0)</f>
        <v>0</v>
      </c>
      <c r="T141" s="0" t="n">
        <f aca="false">IF(Q141&lt;=$E$7,1,0)</f>
        <v>0</v>
      </c>
    </row>
    <row r="142" customFormat="false" ht="15" hidden="false" customHeight="false" outlineLevel="0" collapsed="false">
      <c r="M142" s="0" t="n">
        <v>141</v>
      </c>
      <c r="N142" s="0" t="str">
        <f aca="false">IF(MOD(M142-1,$B$13+$B$14)&lt;$B$13,"A","B")</f>
        <v>B</v>
      </c>
      <c r="O142" s="0" t="n">
        <f aca="false">IF(N142="A",$E$5,$H$3)</f>
        <v>4.06</v>
      </c>
      <c r="P142" s="0" t="n">
        <f aca="false">P141+O142</f>
        <v>572.46</v>
      </c>
      <c r="Q142" s="0" t="n">
        <f aca="false">P142+(M142-1)*$B$10</f>
        <v>1272.46</v>
      </c>
      <c r="R142" s="0" t="n">
        <f aca="false">IF(AND(Q142&lt;=$E$7,N142="A"),1,0)</f>
        <v>0</v>
      </c>
      <c r="S142" s="0" t="n">
        <f aca="false">IF(AND(Q142&lt;=$E$7,N142="B"),1,0)</f>
        <v>0</v>
      </c>
      <c r="T142" s="0" t="n">
        <f aca="false">IF(Q142&lt;=$E$7,1,0)</f>
        <v>0</v>
      </c>
    </row>
    <row r="143" customFormat="false" ht="15" hidden="false" customHeight="false" outlineLevel="0" collapsed="false">
      <c r="M143" s="0" t="n">
        <v>142</v>
      </c>
      <c r="N143" s="0" t="str">
        <f aca="false">IF(MOD(M143-1,$B$13+$B$14)&lt;$B$13,"A","B")</f>
        <v>B</v>
      </c>
      <c r="O143" s="0" t="n">
        <f aca="false">IF(N143="A",$E$5,$H$3)</f>
        <v>4.06</v>
      </c>
      <c r="P143" s="0" t="n">
        <f aca="false">P142+O143</f>
        <v>576.519999999999</v>
      </c>
      <c r="Q143" s="0" t="n">
        <f aca="false">P143+(M143-1)*$B$10</f>
        <v>1281.52</v>
      </c>
      <c r="R143" s="0" t="n">
        <f aca="false">IF(AND(Q143&lt;=$E$7,N143="A"),1,0)</f>
        <v>0</v>
      </c>
      <c r="S143" s="0" t="n">
        <f aca="false">IF(AND(Q143&lt;=$E$7,N143="B"),1,0)</f>
        <v>0</v>
      </c>
      <c r="T143" s="0" t="n">
        <f aca="false">IF(Q143&lt;=$E$7,1,0)</f>
        <v>0</v>
      </c>
    </row>
    <row r="144" customFormat="false" ht="15" hidden="false" customHeight="false" outlineLevel="0" collapsed="false">
      <c r="M144" s="0" t="n">
        <v>143</v>
      </c>
      <c r="N144" s="0" t="str">
        <f aca="false">IF(MOD(M144-1,$B$13+$B$14)&lt;$B$13,"A","B")</f>
        <v>B</v>
      </c>
      <c r="O144" s="0" t="n">
        <f aca="false">IF(N144="A",$E$5,$H$3)</f>
        <v>4.06</v>
      </c>
      <c r="P144" s="0" t="n">
        <f aca="false">P143+O144</f>
        <v>580.579999999999</v>
      </c>
      <c r="Q144" s="0" t="n">
        <f aca="false">P144+(M144-1)*$B$10</f>
        <v>1290.58</v>
      </c>
      <c r="R144" s="0" t="n">
        <f aca="false">IF(AND(Q144&lt;=$E$7,N144="A"),1,0)</f>
        <v>0</v>
      </c>
      <c r="S144" s="0" t="n">
        <f aca="false">IF(AND(Q144&lt;=$E$7,N144="B"),1,0)</f>
        <v>0</v>
      </c>
      <c r="T144" s="0" t="n">
        <f aca="false">IF(Q144&lt;=$E$7,1,0)</f>
        <v>0</v>
      </c>
    </row>
    <row r="145" customFormat="false" ht="15" hidden="false" customHeight="false" outlineLevel="0" collapsed="false">
      <c r="M145" s="0" t="n">
        <v>144</v>
      </c>
      <c r="N145" s="0" t="str">
        <f aca="false">IF(MOD(M145-1,$B$13+$B$14)&lt;$B$13,"A","B")</f>
        <v>B</v>
      </c>
      <c r="O145" s="0" t="n">
        <f aca="false">IF(N145="A",$E$5,$H$3)</f>
        <v>4.06</v>
      </c>
      <c r="P145" s="0" t="n">
        <f aca="false">P144+O145</f>
        <v>584.639999999999</v>
      </c>
      <c r="Q145" s="0" t="n">
        <f aca="false">P145+(M145-1)*$B$10</f>
        <v>1299.64</v>
      </c>
      <c r="R145" s="0" t="n">
        <f aca="false">IF(AND(Q145&lt;=$E$7,N145="A"),1,0)</f>
        <v>0</v>
      </c>
      <c r="S145" s="0" t="n">
        <f aca="false">IF(AND(Q145&lt;=$E$7,N145="B"),1,0)</f>
        <v>0</v>
      </c>
      <c r="T145" s="0" t="n">
        <f aca="false">IF(Q145&lt;=$E$7,1,0)</f>
        <v>0</v>
      </c>
    </row>
    <row r="146" customFormat="false" ht="15" hidden="false" customHeight="false" outlineLevel="0" collapsed="false">
      <c r="M146" s="0" t="n">
        <v>145</v>
      </c>
      <c r="N146" s="0" t="str">
        <f aca="false">IF(MOD(M146-1,$B$13+$B$14)&lt;$B$13,"A","B")</f>
        <v>A</v>
      </c>
      <c r="O146" s="0" t="n">
        <f aca="false">IF(N146="A",$E$5,$H$3)</f>
        <v>4.06</v>
      </c>
      <c r="P146" s="0" t="n">
        <f aca="false">P145+O146</f>
        <v>588.699999999999</v>
      </c>
      <c r="Q146" s="0" t="n">
        <f aca="false">P146+(M146-1)*$B$10</f>
        <v>1308.7</v>
      </c>
      <c r="R146" s="0" t="n">
        <f aca="false">IF(AND(Q146&lt;=$E$7,N146="A"),1,0)</f>
        <v>0</v>
      </c>
      <c r="S146" s="0" t="n">
        <f aca="false">IF(AND(Q146&lt;=$E$7,N146="B"),1,0)</f>
        <v>0</v>
      </c>
      <c r="T146" s="0" t="n">
        <f aca="false">IF(Q146&lt;=$E$7,1,0)</f>
        <v>0</v>
      </c>
    </row>
    <row r="147" customFormat="false" ht="15" hidden="false" customHeight="false" outlineLevel="0" collapsed="false">
      <c r="M147" s="0" t="n">
        <v>146</v>
      </c>
      <c r="N147" s="0" t="str">
        <f aca="false">IF(MOD(M147-1,$B$13+$B$14)&lt;$B$13,"A","B")</f>
        <v>A</v>
      </c>
      <c r="O147" s="0" t="n">
        <f aca="false">IF(N147="A",$E$5,$H$3)</f>
        <v>4.06</v>
      </c>
      <c r="P147" s="0" t="n">
        <f aca="false">P146+O147</f>
        <v>592.759999999999</v>
      </c>
      <c r="Q147" s="0" t="n">
        <f aca="false">P147+(M147-1)*$B$10</f>
        <v>1317.76</v>
      </c>
      <c r="R147" s="0" t="n">
        <f aca="false">IF(AND(Q147&lt;=$E$7,N147="A"),1,0)</f>
        <v>0</v>
      </c>
      <c r="S147" s="0" t="n">
        <f aca="false">IF(AND(Q147&lt;=$E$7,N147="B"),1,0)</f>
        <v>0</v>
      </c>
      <c r="T147" s="0" t="n">
        <f aca="false">IF(Q147&lt;=$E$7,1,0)</f>
        <v>0</v>
      </c>
    </row>
    <row r="148" customFormat="false" ht="15" hidden="false" customHeight="false" outlineLevel="0" collapsed="false">
      <c r="M148" s="0" t="n">
        <v>147</v>
      </c>
      <c r="N148" s="0" t="str">
        <f aca="false">IF(MOD(M148-1,$B$13+$B$14)&lt;$B$13,"A","B")</f>
        <v>A</v>
      </c>
      <c r="O148" s="0" t="n">
        <f aca="false">IF(N148="A",$E$5,$H$3)</f>
        <v>4.06</v>
      </c>
      <c r="P148" s="0" t="n">
        <f aca="false">P147+O148</f>
        <v>596.819999999999</v>
      </c>
      <c r="Q148" s="0" t="n">
        <f aca="false">P148+(M148-1)*$B$10</f>
        <v>1326.82</v>
      </c>
      <c r="R148" s="0" t="n">
        <f aca="false">IF(AND(Q148&lt;=$E$7,N148="A"),1,0)</f>
        <v>0</v>
      </c>
      <c r="S148" s="0" t="n">
        <f aca="false">IF(AND(Q148&lt;=$E$7,N148="B"),1,0)</f>
        <v>0</v>
      </c>
      <c r="T148" s="0" t="n">
        <f aca="false">IF(Q148&lt;=$E$7,1,0)</f>
        <v>0</v>
      </c>
    </row>
    <row r="149" customFormat="false" ht="15" hidden="false" customHeight="false" outlineLevel="0" collapsed="false">
      <c r="M149" s="0" t="n">
        <v>148</v>
      </c>
      <c r="N149" s="0" t="str">
        <f aca="false">IF(MOD(M149-1,$B$13+$B$14)&lt;$B$13,"A","B")</f>
        <v>B</v>
      </c>
      <c r="O149" s="0" t="n">
        <f aca="false">IF(N149="A",$E$5,$H$3)</f>
        <v>4.06</v>
      </c>
      <c r="P149" s="0" t="n">
        <f aca="false">P148+O149</f>
        <v>600.879999999999</v>
      </c>
      <c r="Q149" s="0" t="n">
        <f aca="false">P149+(M149-1)*$B$10</f>
        <v>1335.88</v>
      </c>
      <c r="R149" s="0" t="n">
        <f aca="false">IF(AND(Q149&lt;=$E$7,N149="A"),1,0)</f>
        <v>0</v>
      </c>
      <c r="S149" s="0" t="n">
        <f aca="false">IF(AND(Q149&lt;=$E$7,N149="B"),1,0)</f>
        <v>0</v>
      </c>
      <c r="T149" s="0" t="n">
        <f aca="false">IF(Q149&lt;=$E$7,1,0)</f>
        <v>0</v>
      </c>
    </row>
    <row r="150" customFormat="false" ht="15" hidden="false" customHeight="false" outlineLevel="0" collapsed="false">
      <c r="M150" s="0" t="n">
        <v>149</v>
      </c>
      <c r="N150" s="0" t="str">
        <f aca="false">IF(MOD(M150-1,$B$13+$B$14)&lt;$B$13,"A","B")</f>
        <v>B</v>
      </c>
      <c r="O150" s="0" t="n">
        <f aca="false">IF(N150="A",$E$5,$H$3)</f>
        <v>4.06</v>
      </c>
      <c r="P150" s="0" t="n">
        <f aca="false">P149+O150</f>
        <v>604.939999999999</v>
      </c>
      <c r="Q150" s="0" t="n">
        <f aca="false">P150+(M150-1)*$B$10</f>
        <v>1344.94</v>
      </c>
      <c r="R150" s="0" t="n">
        <f aca="false">IF(AND(Q150&lt;=$E$7,N150="A"),1,0)</f>
        <v>0</v>
      </c>
      <c r="S150" s="0" t="n">
        <f aca="false">IF(AND(Q150&lt;=$E$7,N150="B"),1,0)</f>
        <v>0</v>
      </c>
      <c r="T150" s="0" t="n">
        <f aca="false">IF(Q150&lt;=$E$7,1,0)</f>
        <v>0</v>
      </c>
    </row>
    <row r="151" customFormat="false" ht="15" hidden="false" customHeight="false" outlineLevel="0" collapsed="false">
      <c r="M151" s="0" t="n">
        <v>150</v>
      </c>
      <c r="N151" s="0" t="str">
        <f aca="false">IF(MOD(M151-1,$B$13+$B$14)&lt;$B$13,"A","B")</f>
        <v>B</v>
      </c>
      <c r="O151" s="0" t="n">
        <f aca="false">IF(N151="A",$E$5,$H$3)</f>
        <v>4.06</v>
      </c>
      <c r="P151" s="0" t="n">
        <f aca="false">P150+O151</f>
        <v>608.999999999999</v>
      </c>
      <c r="Q151" s="0" t="n">
        <f aca="false">P151+(M151-1)*$B$10</f>
        <v>1354</v>
      </c>
      <c r="R151" s="0" t="n">
        <f aca="false">IF(AND(Q151&lt;=$E$7,N151="A"),1,0)</f>
        <v>0</v>
      </c>
      <c r="S151" s="0" t="n">
        <f aca="false">IF(AND(Q151&lt;=$E$7,N151="B"),1,0)</f>
        <v>0</v>
      </c>
      <c r="T151" s="0" t="n">
        <f aca="false">IF(Q151&lt;=$E$7,1,0)</f>
        <v>0</v>
      </c>
    </row>
    <row r="152" customFormat="false" ht="15" hidden="false" customHeight="false" outlineLevel="0" collapsed="false">
      <c r="M152" s="0" t="n">
        <v>151</v>
      </c>
      <c r="N152" s="0" t="str">
        <f aca="false">IF(MOD(M152-1,$B$13+$B$14)&lt;$B$13,"A","B")</f>
        <v>B</v>
      </c>
      <c r="O152" s="0" t="n">
        <f aca="false">IF(N152="A",$E$5,$H$3)</f>
        <v>4.06</v>
      </c>
      <c r="P152" s="0" t="n">
        <f aca="false">P151+O152</f>
        <v>613.059999999999</v>
      </c>
      <c r="Q152" s="0" t="n">
        <f aca="false">P152+(M152-1)*$B$10</f>
        <v>1363.06</v>
      </c>
      <c r="R152" s="0" t="n">
        <f aca="false">IF(AND(Q152&lt;=$E$7,N152="A"),1,0)</f>
        <v>0</v>
      </c>
      <c r="S152" s="0" t="n">
        <f aca="false">IF(AND(Q152&lt;=$E$7,N152="B"),1,0)</f>
        <v>0</v>
      </c>
      <c r="T152" s="0" t="n">
        <f aca="false">IF(Q152&lt;=$E$7,1,0)</f>
        <v>0</v>
      </c>
    </row>
    <row r="153" customFormat="false" ht="15" hidden="false" customHeight="false" outlineLevel="0" collapsed="false">
      <c r="M153" s="0" t="n">
        <v>152</v>
      </c>
      <c r="N153" s="0" t="str">
        <f aca="false">IF(MOD(M153-1,$B$13+$B$14)&lt;$B$13,"A","B")</f>
        <v>B</v>
      </c>
      <c r="O153" s="0" t="n">
        <f aca="false">IF(N153="A",$E$5,$H$3)</f>
        <v>4.06</v>
      </c>
      <c r="P153" s="0" t="n">
        <f aca="false">P152+O153</f>
        <v>617.119999999999</v>
      </c>
      <c r="Q153" s="0" t="n">
        <f aca="false">P153+(M153-1)*$B$10</f>
        <v>1372.12</v>
      </c>
      <c r="R153" s="0" t="n">
        <f aca="false">IF(AND(Q153&lt;=$E$7,N153="A"),1,0)</f>
        <v>0</v>
      </c>
      <c r="S153" s="0" t="n">
        <f aca="false">IF(AND(Q153&lt;=$E$7,N153="B"),1,0)</f>
        <v>0</v>
      </c>
      <c r="T153" s="0" t="n">
        <f aca="false">IF(Q153&lt;=$E$7,1,0)</f>
        <v>0</v>
      </c>
    </row>
    <row r="154" customFormat="false" ht="15" hidden="false" customHeight="false" outlineLevel="0" collapsed="false">
      <c r="M154" s="0" t="n">
        <v>153</v>
      </c>
      <c r="N154" s="0" t="str">
        <f aca="false">IF(MOD(M154-1,$B$13+$B$14)&lt;$B$13,"A","B")</f>
        <v>A</v>
      </c>
      <c r="O154" s="0" t="n">
        <f aca="false">IF(N154="A",$E$5,$H$3)</f>
        <v>4.06</v>
      </c>
      <c r="P154" s="0" t="n">
        <f aca="false">P153+O154</f>
        <v>621.179999999999</v>
      </c>
      <c r="Q154" s="0" t="n">
        <f aca="false">P154+(M154-1)*$B$10</f>
        <v>1381.18</v>
      </c>
      <c r="R154" s="0" t="n">
        <f aca="false">IF(AND(Q154&lt;=$E$7,N154="A"),1,0)</f>
        <v>0</v>
      </c>
      <c r="S154" s="0" t="n">
        <f aca="false">IF(AND(Q154&lt;=$E$7,N154="B"),1,0)</f>
        <v>0</v>
      </c>
      <c r="T154" s="0" t="n">
        <f aca="false">IF(Q154&lt;=$E$7,1,0)</f>
        <v>0</v>
      </c>
    </row>
    <row r="155" customFormat="false" ht="15" hidden="false" customHeight="false" outlineLevel="0" collapsed="false">
      <c r="M155" s="0" t="n">
        <v>154</v>
      </c>
      <c r="N155" s="0" t="str">
        <f aca="false">IF(MOD(M155-1,$B$13+$B$14)&lt;$B$13,"A","B")</f>
        <v>A</v>
      </c>
      <c r="O155" s="0" t="n">
        <f aca="false">IF(N155="A",$E$5,$H$3)</f>
        <v>4.06</v>
      </c>
      <c r="P155" s="0" t="n">
        <f aca="false">P154+O155</f>
        <v>625.239999999999</v>
      </c>
      <c r="Q155" s="0" t="n">
        <f aca="false">P155+(M155-1)*$B$10</f>
        <v>1390.24</v>
      </c>
      <c r="R155" s="0" t="n">
        <f aca="false">IF(AND(Q155&lt;=$E$7,N155="A"),1,0)</f>
        <v>0</v>
      </c>
      <c r="S155" s="0" t="n">
        <f aca="false">IF(AND(Q155&lt;=$E$7,N155="B"),1,0)</f>
        <v>0</v>
      </c>
      <c r="T155" s="0" t="n">
        <f aca="false">IF(Q155&lt;=$E$7,1,0)</f>
        <v>0</v>
      </c>
    </row>
    <row r="156" customFormat="false" ht="15" hidden="false" customHeight="false" outlineLevel="0" collapsed="false">
      <c r="M156" s="0" t="n">
        <v>155</v>
      </c>
      <c r="N156" s="0" t="str">
        <f aca="false">IF(MOD(M156-1,$B$13+$B$14)&lt;$B$13,"A","B")</f>
        <v>A</v>
      </c>
      <c r="O156" s="0" t="n">
        <f aca="false">IF(N156="A",$E$5,$H$3)</f>
        <v>4.06</v>
      </c>
      <c r="P156" s="0" t="n">
        <f aca="false">P155+O156</f>
        <v>629.299999999999</v>
      </c>
      <c r="Q156" s="0" t="n">
        <f aca="false">P156+(M156-1)*$B$10</f>
        <v>1399.3</v>
      </c>
      <c r="R156" s="0" t="n">
        <f aca="false">IF(AND(Q156&lt;=$E$7,N156="A"),1,0)</f>
        <v>0</v>
      </c>
      <c r="S156" s="0" t="n">
        <f aca="false">IF(AND(Q156&lt;=$E$7,N156="B"),1,0)</f>
        <v>0</v>
      </c>
      <c r="T156" s="0" t="n">
        <f aca="false">IF(Q156&lt;=$E$7,1,0)</f>
        <v>0</v>
      </c>
    </row>
    <row r="157" customFormat="false" ht="15" hidden="false" customHeight="false" outlineLevel="0" collapsed="false">
      <c r="M157" s="0" t="n">
        <v>156</v>
      </c>
      <c r="N157" s="0" t="str">
        <f aca="false">IF(MOD(M157-1,$B$13+$B$14)&lt;$B$13,"A","B")</f>
        <v>B</v>
      </c>
      <c r="O157" s="0" t="n">
        <f aca="false">IF(N157="A",$E$5,$H$3)</f>
        <v>4.06</v>
      </c>
      <c r="P157" s="0" t="n">
        <f aca="false">P156+O157</f>
        <v>633.359999999999</v>
      </c>
      <c r="Q157" s="0" t="n">
        <f aca="false">P157+(M157-1)*$B$10</f>
        <v>1408.36</v>
      </c>
      <c r="R157" s="0" t="n">
        <f aca="false">IF(AND(Q157&lt;=$E$7,N157="A"),1,0)</f>
        <v>0</v>
      </c>
      <c r="S157" s="0" t="n">
        <f aca="false">IF(AND(Q157&lt;=$E$7,N157="B"),1,0)</f>
        <v>0</v>
      </c>
      <c r="T157" s="0" t="n">
        <f aca="false">IF(Q157&lt;=$E$7,1,0)</f>
        <v>0</v>
      </c>
    </row>
    <row r="158" customFormat="false" ht="15" hidden="false" customHeight="false" outlineLevel="0" collapsed="false">
      <c r="M158" s="0" t="n">
        <v>157</v>
      </c>
      <c r="N158" s="0" t="str">
        <f aca="false">IF(MOD(M158-1,$B$13+$B$14)&lt;$B$13,"A","B")</f>
        <v>B</v>
      </c>
      <c r="O158" s="0" t="n">
        <f aca="false">IF(N158="A",$E$5,$H$3)</f>
        <v>4.06</v>
      </c>
      <c r="P158" s="0" t="n">
        <f aca="false">P157+O158</f>
        <v>637.419999999999</v>
      </c>
      <c r="Q158" s="0" t="n">
        <f aca="false">P158+(M158-1)*$B$10</f>
        <v>1417.42</v>
      </c>
      <c r="R158" s="0" t="n">
        <f aca="false">IF(AND(Q158&lt;=$E$7,N158="A"),1,0)</f>
        <v>0</v>
      </c>
      <c r="S158" s="0" t="n">
        <f aca="false">IF(AND(Q158&lt;=$E$7,N158="B"),1,0)</f>
        <v>0</v>
      </c>
      <c r="T158" s="0" t="n">
        <f aca="false">IF(Q158&lt;=$E$7,1,0)</f>
        <v>0</v>
      </c>
    </row>
    <row r="159" customFormat="false" ht="15" hidden="false" customHeight="false" outlineLevel="0" collapsed="false">
      <c r="M159" s="0" t="n">
        <v>158</v>
      </c>
      <c r="N159" s="0" t="str">
        <f aca="false">IF(MOD(M159-1,$B$13+$B$14)&lt;$B$13,"A","B")</f>
        <v>B</v>
      </c>
      <c r="O159" s="0" t="n">
        <f aca="false">IF(N159="A",$E$5,$H$3)</f>
        <v>4.06</v>
      </c>
      <c r="P159" s="0" t="n">
        <f aca="false">P158+O159</f>
        <v>641.479999999999</v>
      </c>
      <c r="Q159" s="0" t="n">
        <f aca="false">P159+(M159-1)*$B$10</f>
        <v>1426.48</v>
      </c>
      <c r="R159" s="0" t="n">
        <f aca="false">IF(AND(Q159&lt;=$E$7,N159="A"),1,0)</f>
        <v>0</v>
      </c>
      <c r="S159" s="0" t="n">
        <f aca="false">IF(AND(Q159&lt;=$E$7,N159="B"),1,0)</f>
        <v>0</v>
      </c>
      <c r="T159" s="0" t="n">
        <f aca="false">IF(Q159&lt;=$E$7,1,0)</f>
        <v>0</v>
      </c>
    </row>
    <row r="160" customFormat="false" ht="15" hidden="false" customHeight="false" outlineLevel="0" collapsed="false">
      <c r="M160" s="0" t="n">
        <v>159</v>
      </c>
      <c r="N160" s="0" t="str">
        <f aca="false">IF(MOD(M160-1,$B$13+$B$14)&lt;$B$13,"A","B")</f>
        <v>B</v>
      </c>
      <c r="O160" s="0" t="n">
        <f aca="false">IF(N160="A",$E$5,$H$3)</f>
        <v>4.06</v>
      </c>
      <c r="P160" s="0" t="n">
        <f aca="false">P159+O160</f>
        <v>645.539999999999</v>
      </c>
      <c r="Q160" s="0" t="n">
        <f aca="false">P160+(M160-1)*$B$10</f>
        <v>1435.54</v>
      </c>
      <c r="R160" s="0" t="n">
        <f aca="false">IF(AND(Q160&lt;=$E$7,N160="A"),1,0)</f>
        <v>0</v>
      </c>
      <c r="S160" s="0" t="n">
        <f aca="false">IF(AND(Q160&lt;=$E$7,N160="B"),1,0)</f>
        <v>0</v>
      </c>
      <c r="T160" s="0" t="n">
        <f aca="false">IF(Q160&lt;=$E$7,1,0)</f>
        <v>0</v>
      </c>
    </row>
    <row r="161" customFormat="false" ht="15" hidden="false" customHeight="false" outlineLevel="0" collapsed="false">
      <c r="M161" s="0" t="n">
        <v>160</v>
      </c>
      <c r="N161" s="0" t="str">
        <f aca="false">IF(MOD(M161-1,$B$13+$B$14)&lt;$B$13,"A","B")</f>
        <v>B</v>
      </c>
      <c r="O161" s="0" t="n">
        <f aca="false">IF(N161="A",$E$5,$H$3)</f>
        <v>4.06</v>
      </c>
      <c r="P161" s="0" t="n">
        <f aca="false">P160+O161</f>
        <v>649.599999999998</v>
      </c>
      <c r="Q161" s="0" t="n">
        <f aca="false">P161+(M161-1)*$B$10</f>
        <v>1444.6</v>
      </c>
      <c r="R161" s="0" t="n">
        <f aca="false">IF(AND(Q161&lt;=$E$7,N161="A"),1,0)</f>
        <v>0</v>
      </c>
      <c r="S161" s="0" t="n">
        <f aca="false">IF(AND(Q161&lt;=$E$7,N161="B"),1,0)</f>
        <v>0</v>
      </c>
      <c r="T161" s="0" t="n">
        <f aca="false">IF(Q161&lt;=$E$7,1,0)</f>
        <v>0</v>
      </c>
    </row>
    <row r="162" customFormat="false" ht="15" hidden="false" customHeight="false" outlineLevel="0" collapsed="false">
      <c r="M162" s="0" t="n">
        <v>161</v>
      </c>
      <c r="N162" s="0" t="str">
        <f aca="false">IF(MOD(M162-1,$B$13+$B$14)&lt;$B$13,"A","B")</f>
        <v>A</v>
      </c>
      <c r="O162" s="0" t="n">
        <f aca="false">IF(N162="A",$E$5,$H$3)</f>
        <v>4.06</v>
      </c>
      <c r="P162" s="0" t="n">
        <f aca="false">P161+O162</f>
        <v>653.659999999998</v>
      </c>
      <c r="Q162" s="0" t="n">
        <f aca="false">P162+(M162-1)*$B$10</f>
        <v>1453.66</v>
      </c>
      <c r="R162" s="0" t="n">
        <f aca="false">IF(AND(Q162&lt;=$E$7,N162="A"),1,0)</f>
        <v>0</v>
      </c>
      <c r="S162" s="0" t="n">
        <f aca="false">IF(AND(Q162&lt;=$E$7,N162="B"),1,0)</f>
        <v>0</v>
      </c>
      <c r="T162" s="0" t="n">
        <f aca="false">IF(Q162&lt;=$E$7,1,0)</f>
        <v>0</v>
      </c>
    </row>
    <row r="163" customFormat="false" ht="15" hidden="false" customHeight="false" outlineLevel="0" collapsed="false">
      <c r="M163" s="0" t="n">
        <v>162</v>
      </c>
      <c r="N163" s="0" t="str">
        <f aca="false">IF(MOD(M163-1,$B$13+$B$14)&lt;$B$13,"A","B")</f>
        <v>A</v>
      </c>
      <c r="O163" s="0" t="n">
        <f aca="false">IF(N163="A",$E$5,$H$3)</f>
        <v>4.06</v>
      </c>
      <c r="P163" s="0" t="n">
        <f aca="false">P162+O163</f>
        <v>657.719999999998</v>
      </c>
      <c r="Q163" s="0" t="n">
        <f aca="false">P163+(M163-1)*$B$10</f>
        <v>1462.72</v>
      </c>
      <c r="R163" s="0" t="n">
        <f aca="false">IF(AND(Q163&lt;=$E$7,N163="A"),1,0)</f>
        <v>0</v>
      </c>
      <c r="S163" s="0" t="n">
        <f aca="false">IF(AND(Q163&lt;=$E$7,N163="B"),1,0)</f>
        <v>0</v>
      </c>
      <c r="T163" s="0" t="n">
        <f aca="false">IF(Q163&lt;=$E$7,1,0)</f>
        <v>0</v>
      </c>
    </row>
    <row r="164" customFormat="false" ht="15" hidden="false" customHeight="false" outlineLevel="0" collapsed="false">
      <c r="M164" s="0" t="n">
        <v>163</v>
      </c>
      <c r="N164" s="0" t="str">
        <f aca="false">IF(MOD(M164-1,$B$13+$B$14)&lt;$B$13,"A","B")</f>
        <v>A</v>
      </c>
      <c r="O164" s="0" t="n">
        <f aca="false">IF(N164="A",$E$5,$H$3)</f>
        <v>4.06</v>
      </c>
      <c r="P164" s="0" t="n">
        <f aca="false">P163+O164</f>
        <v>661.779999999998</v>
      </c>
      <c r="Q164" s="0" t="n">
        <f aca="false">P164+(M164-1)*$B$10</f>
        <v>1471.78</v>
      </c>
      <c r="R164" s="0" t="n">
        <f aca="false">IF(AND(Q164&lt;=$E$7,N164="A"),1,0)</f>
        <v>0</v>
      </c>
      <c r="S164" s="0" t="n">
        <f aca="false">IF(AND(Q164&lt;=$E$7,N164="B"),1,0)</f>
        <v>0</v>
      </c>
      <c r="T164" s="0" t="n">
        <f aca="false">IF(Q164&lt;=$E$7,1,0)</f>
        <v>0</v>
      </c>
    </row>
    <row r="165" customFormat="false" ht="15" hidden="false" customHeight="false" outlineLevel="0" collapsed="false">
      <c r="M165" s="0" t="n">
        <v>164</v>
      </c>
      <c r="N165" s="0" t="str">
        <f aca="false">IF(MOD(M165-1,$B$13+$B$14)&lt;$B$13,"A","B")</f>
        <v>B</v>
      </c>
      <c r="O165" s="0" t="n">
        <f aca="false">IF(N165="A",$E$5,$H$3)</f>
        <v>4.06</v>
      </c>
      <c r="P165" s="0" t="n">
        <f aca="false">P164+O165</f>
        <v>665.839999999998</v>
      </c>
      <c r="Q165" s="0" t="n">
        <f aca="false">P165+(M165-1)*$B$10</f>
        <v>1480.84</v>
      </c>
      <c r="R165" s="0" t="n">
        <f aca="false">IF(AND(Q165&lt;=$E$7,N165="A"),1,0)</f>
        <v>0</v>
      </c>
      <c r="S165" s="0" t="n">
        <f aca="false">IF(AND(Q165&lt;=$E$7,N165="B"),1,0)</f>
        <v>0</v>
      </c>
      <c r="T165" s="0" t="n">
        <f aca="false">IF(Q165&lt;=$E$7,1,0)</f>
        <v>0</v>
      </c>
    </row>
    <row r="166" customFormat="false" ht="15" hidden="false" customHeight="false" outlineLevel="0" collapsed="false">
      <c r="M166" s="0" t="n">
        <v>165</v>
      </c>
      <c r="N166" s="0" t="str">
        <f aca="false">IF(MOD(M166-1,$B$13+$B$14)&lt;$B$13,"A","B")</f>
        <v>B</v>
      </c>
      <c r="O166" s="0" t="n">
        <f aca="false">IF(N166="A",$E$5,$H$3)</f>
        <v>4.06</v>
      </c>
      <c r="P166" s="0" t="n">
        <f aca="false">P165+O166</f>
        <v>669.899999999998</v>
      </c>
      <c r="Q166" s="0" t="n">
        <f aca="false">P166+(M166-1)*$B$10</f>
        <v>1489.9</v>
      </c>
      <c r="R166" s="0" t="n">
        <f aca="false">IF(AND(Q166&lt;=$E$7,N166="A"),1,0)</f>
        <v>0</v>
      </c>
      <c r="S166" s="0" t="n">
        <f aca="false">IF(AND(Q166&lt;=$E$7,N166="B"),1,0)</f>
        <v>0</v>
      </c>
      <c r="T166" s="0" t="n">
        <f aca="false">IF(Q166&lt;=$E$7,1,0)</f>
        <v>0</v>
      </c>
    </row>
    <row r="167" customFormat="false" ht="15" hidden="false" customHeight="false" outlineLevel="0" collapsed="false">
      <c r="M167" s="0" t="n">
        <v>166</v>
      </c>
      <c r="N167" s="0" t="str">
        <f aca="false">IF(MOD(M167-1,$B$13+$B$14)&lt;$B$13,"A","B")</f>
        <v>B</v>
      </c>
      <c r="O167" s="0" t="n">
        <f aca="false">IF(N167="A",$E$5,$H$3)</f>
        <v>4.06</v>
      </c>
      <c r="P167" s="0" t="n">
        <f aca="false">P166+O167</f>
        <v>673.959999999998</v>
      </c>
      <c r="Q167" s="0" t="n">
        <f aca="false">P167+(M167-1)*$B$10</f>
        <v>1498.96</v>
      </c>
      <c r="R167" s="0" t="n">
        <f aca="false">IF(AND(Q167&lt;=$E$7,N167="A"),1,0)</f>
        <v>0</v>
      </c>
      <c r="S167" s="0" t="n">
        <f aca="false">IF(AND(Q167&lt;=$E$7,N167="B"),1,0)</f>
        <v>0</v>
      </c>
      <c r="T167" s="0" t="n">
        <f aca="false">IF(Q167&lt;=$E$7,1,0)</f>
        <v>0</v>
      </c>
    </row>
    <row r="168" customFormat="false" ht="15" hidden="false" customHeight="false" outlineLevel="0" collapsed="false">
      <c r="M168" s="0" t="n">
        <v>167</v>
      </c>
      <c r="N168" s="0" t="str">
        <f aca="false">IF(MOD(M168-1,$B$13+$B$14)&lt;$B$13,"A","B")</f>
        <v>B</v>
      </c>
      <c r="O168" s="0" t="n">
        <f aca="false">IF(N168="A",$E$5,$H$3)</f>
        <v>4.06</v>
      </c>
      <c r="P168" s="0" t="n">
        <f aca="false">P167+O168</f>
        <v>678.019999999998</v>
      </c>
      <c r="Q168" s="0" t="n">
        <f aca="false">P168+(M168-1)*$B$10</f>
        <v>1508.02</v>
      </c>
      <c r="R168" s="0" t="n">
        <f aca="false">IF(AND(Q168&lt;=$E$7,N168="A"),1,0)</f>
        <v>0</v>
      </c>
      <c r="S168" s="0" t="n">
        <f aca="false">IF(AND(Q168&lt;=$E$7,N168="B"),1,0)</f>
        <v>0</v>
      </c>
      <c r="T168" s="0" t="n">
        <f aca="false">IF(Q168&lt;=$E$7,1,0)</f>
        <v>0</v>
      </c>
    </row>
    <row r="169" customFormat="false" ht="15" hidden="false" customHeight="false" outlineLevel="0" collapsed="false">
      <c r="M169" s="0" t="n">
        <v>168</v>
      </c>
      <c r="N169" s="0" t="str">
        <f aca="false">IF(MOD(M169-1,$B$13+$B$14)&lt;$B$13,"A","B")</f>
        <v>B</v>
      </c>
      <c r="O169" s="0" t="n">
        <f aca="false">IF(N169="A",$E$5,$H$3)</f>
        <v>4.06</v>
      </c>
      <c r="P169" s="0" t="n">
        <f aca="false">P168+O169</f>
        <v>682.079999999998</v>
      </c>
      <c r="Q169" s="0" t="n">
        <f aca="false">P169+(M169-1)*$B$10</f>
        <v>1517.08</v>
      </c>
      <c r="R169" s="0" t="n">
        <f aca="false">IF(AND(Q169&lt;=$E$7,N169="A"),1,0)</f>
        <v>0</v>
      </c>
      <c r="S169" s="0" t="n">
        <f aca="false">IF(AND(Q169&lt;=$E$7,N169="B"),1,0)</f>
        <v>0</v>
      </c>
      <c r="T169" s="0" t="n">
        <f aca="false">IF(Q169&lt;=$E$7,1,0)</f>
        <v>0</v>
      </c>
    </row>
    <row r="170" customFormat="false" ht="15" hidden="false" customHeight="false" outlineLevel="0" collapsed="false">
      <c r="M170" s="0" t="n">
        <v>169</v>
      </c>
      <c r="N170" s="0" t="str">
        <f aca="false">IF(MOD(M170-1,$B$13+$B$14)&lt;$B$13,"A","B")</f>
        <v>A</v>
      </c>
      <c r="O170" s="0" t="n">
        <f aca="false">IF(N170="A",$E$5,$H$3)</f>
        <v>4.06</v>
      </c>
      <c r="P170" s="0" t="n">
        <f aca="false">P169+O170</f>
        <v>686.139999999998</v>
      </c>
      <c r="Q170" s="0" t="n">
        <f aca="false">P170+(M170-1)*$B$10</f>
        <v>1526.14</v>
      </c>
      <c r="R170" s="0" t="n">
        <f aca="false">IF(AND(Q170&lt;=$E$7,N170="A"),1,0)</f>
        <v>0</v>
      </c>
      <c r="S170" s="0" t="n">
        <f aca="false">IF(AND(Q170&lt;=$E$7,N170="B"),1,0)</f>
        <v>0</v>
      </c>
      <c r="T170" s="0" t="n">
        <f aca="false">IF(Q170&lt;=$E$7,1,0)</f>
        <v>0</v>
      </c>
    </row>
    <row r="171" customFormat="false" ht="15" hidden="false" customHeight="false" outlineLevel="0" collapsed="false">
      <c r="M171" s="0" t="n">
        <v>170</v>
      </c>
      <c r="N171" s="0" t="str">
        <f aca="false">IF(MOD(M171-1,$B$13+$B$14)&lt;$B$13,"A","B")</f>
        <v>A</v>
      </c>
      <c r="O171" s="0" t="n">
        <f aca="false">IF(N171="A",$E$5,$H$3)</f>
        <v>4.06</v>
      </c>
      <c r="P171" s="0" t="n">
        <f aca="false">P170+O171</f>
        <v>690.199999999998</v>
      </c>
      <c r="Q171" s="0" t="n">
        <f aca="false">P171+(M171-1)*$B$10</f>
        <v>1535.2</v>
      </c>
      <c r="R171" s="0" t="n">
        <f aca="false">IF(AND(Q171&lt;=$E$7,N171="A"),1,0)</f>
        <v>0</v>
      </c>
      <c r="S171" s="0" t="n">
        <f aca="false">IF(AND(Q171&lt;=$E$7,N171="B"),1,0)</f>
        <v>0</v>
      </c>
      <c r="T171" s="0" t="n">
        <f aca="false">IF(Q171&lt;=$E$7,1,0)</f>
        <v>0</v>
      </c>
    </row>
    <row r="172" customFormat="false" ht="15" hidden="false" customHeight="false" outlineLevel="0" collapsed="false">
      <c r="M172" s="0" t="n">
        <v>171</v>
      </c>
      <c r="N172" s="0" t="str">
        <f aca="false">IF(MOD(M172-1,$B$13+$B$14)&lt;$B$13,"A","B")</f>
        <v>A</v>
      </c>
      <c r="O172" s="0" t="n">
        <f aca="false">IF(N172="A",$E$5,$H$3)</f>
        <v>4.06</v>
      </c>
      <c r="P172" s="0" t="n">
        <f aca="false">P171+O172</f>
        <v>694.259999999998</v>
      </c>
      <c r="Q172" s="0" t="n">
        <f aca="false">P172+(M172-1)*$B$10</f>
        <v>1544.26</v>
      </c>
      <c r="R172" s="0" t="n">
        <f aca="false">IF(AND(Q172&lt;=$E$7,N172="A"),1,0)</f>
        <v>0</v>
      </c>
      <c r="S172" s="0" t="n">
        <f aca="false">IF(AND(Q172&lt;=$E$7,N172="B"),1,0)</f>
        <v>0</v>
      </c>
      <c r="T172" s="0" t="n">
        <f aca="false">IF(Q172&lt;=$E$7,1,0)</f>
        <v>0</v>
      </c>
    </row>
    <row r="173" customFormat="false" ht="15" hidden="false" customHeight="false" outlineLevel="0" collapsed="false">
      <c r="M173" s="0" t="n">
        <v>172</v>
      </c>
      <c r="N173" s="0" t="str">
        <f aca="false">IF(MOD(M173-1,$B$13+$B$14)&lt;$B$13,"A","B")</f>
        <v>B</v>
      </c>
      <c r="O173" s="0" t="n">
        <f aca="false">IF(N173="A",$E$5,$H$3)</f>
        <v>4.06</v>
      </c>
      <c r="P173" s="0" t="n">
        <f aca="false">P172+O173</f>
        <v>698.319999999998</v>
      </c>
      <c r="Q173" s="0" t="n">
        <f aca="false">P173+(M173-1)*$B$10</f>
        <v>1553.32</v>
      </c>
      <c r="R173" s="0" t="n">
        <f aca="false">IF(AND(Q173&lt;=$E$7,N173="A"),1,0)</f>
        <v>0</v>
      </c>
      <c r="S173" s="0" t="n">
        <f aca="false">IF(AND(Q173&lt;=$E$7,N173="B"),1,0)</f>
        <v>0</v>
      </c>
      <c r="T173" s="0" t="n">
        <f aca="false">IF(Q173&lt;=$E$7,1,0)</f>
        <v>0</v>
      </c>
    </row>
    <row r="174" customFormat="false" ht="15" hidden="false" customHeight="false" outlineLevel="0" collapsed="false">
      <c r="M174" s="0" t="n">
        <v>173</v>
      </c>
      <c r="N174" s="0" t="str">
        <f aca="false">IF(MOD(M174-1,$B$13+$B$14)&lt;$B$13,"A","B")</f>
        <v>B</v>
      </c>
      <c r="O174" s="0" t="n">
        <f aca="false">IF(N174="A",$E$5,$H$3)</f>
        <v>4.06</v>
      </c>
      <c r="P174" s="0" t="n">
        <f aca="false">P173+O174</f>
        <v>702.379999999998</v>
      </c>
      <c r="Q174" s="0" t="n">
        <f aca="false">P174+(M174-1)*$B$10</f>
        <v>1562.38</v>
      </c>
      <c r="R174" s="0" t="n">
        <f aca="false">IF(AND(Q174&lt;=$E$7,N174="A"),1,0)</f>
        <v>0</v>
      </c>
      <c r="S174" s="0" t="n">
        <f aca="false">IF(AND(Q174&lt;=$E$7,N174="B"),1,0)</f>
        <v>0</v>
      </c>
      <c r="T174" s="0" t="n">
        <f aca="false">IF(Q174&lt;=$E$7,1,0)</f>
        <v>0</v>
      </c>
    </row>
    <row r="175" customFormat="false" ht="15" hidden="false" customHeight="false" outlineLevel="0" collapsed="false">
      <c r="M175" s="0" t="n">
        <v>174</v>
      </c>
      <c r="N175" s="0" t="str">
        <f aca="false">IF(MOD(M175-1,$B$13+$B$14)&lt;$B$13,"A","B")</f>
        <v>B</v>
      </c>
      <c r="O175" s="0" t="n">
        <f aca="false">IF(N175="A",$E$5,$H$3)</f>
        <v>4.06</v>
      </c>
      <c r="P175" s="0" t="n">
        <f aca="false">P174+O175</f>
        <v>706.439999999998</v>
      </c>
      <c r="Q175" s="0" t="n">
        <f aca="false">P175+(M175-1)*$B$10</f>
        <v>1571.44</v>
      </c>
      <c r="R175" s="0" t="n">
        <f aca="false">IF(AND(Q175&lt;=$E$7,N175="A"),1,0)</f>
        <v>0</v>
      </c>
      <c r="S175" s="0" t="n">
        <f aca="false">IF(AND(Q175&lt;=$E$7,N175="B"),1,0)</f>
        <v>0</v>
      </c>
      <c r="T175" s="0" t="n">
        <f aca="false">IF(Q175&lt;=$E$7,1,0)</f>
        <v>0</v>
      </c>
    </row>
    <row r="176" customFormat="false" ht="15" hidden="false" customHeight="false" outlineLevel="0" collapsed="false">
      <c r="M176" s="0" t="n">
        <v>175</v>
      </c>
      <c r="N176" s="0" t="str">
        <f aca="false">IF(MOD(M176-1,$B$13+$B$14)&lt;$B$13,"A","B")</f>
        <v>B</v>
      </c>
      <c r="O176" s="0" t="n">
        <f aca="false">IF(N176="A",$E$5,$H$3)</f>
        <v>4.06</v>
      </c>
      <c r="P176" s="0" t="n">
        <f aca="false">P175+O176</f>
        <v>710.499999999998</v>
      </c>
      <c r="Q176" s="0" t="n">
        <f aca="false">P176+(M176-1)*$B$10</f>
        <v>1580.5</v>
      </c>
      <c r="R176" s="0" t="n">
        <f aca="false">IF(AND(Q176&lt;=$E$7,N176="A"),1,0)</f>
        <v>0</v>
      </c>
      <c r="S176" s="0" t="n">
        <f aca="false">IF(AND(Q176&lt;=$E$7,N176="B"),1,0)</f>
        <v>0</v>
      </c>
      <c r="T176" s="0" t="n">
        <f aca="false">IF(Q176&lt;=$E$7,1,0)</f>
        <v>0</v>
      </c>
    </row>
    <row r="177" customFormat="false" ht="15" hidden="false" customHeight="false" outlineLevel="0" collapsed="false">
      <c r="M177" s="0" t="n">
        <v>176</v>
      </c>
      <c r="N177" s="0" t="str">
        <f aca="false">IF(MOD(M177-1,$B$13+$B$14)&lt;$B$13,"A","B")</f>
        <v>B</v>
      </c>
      <c r="O177" s="0" t="n">
        <f aca="false">IF(N177="A",$E$5,$H$3)</f>
        <v>4.06</v>
      </c>
      <c r="P177" s="0" t="n">
        <f aca="false">P176+O177</f>
        <v>714.559999999998</v>
      </c>
      <c r="Q177" s="0" t="n">
        <f aca="false">P177+(M177-1)*$B$10</f>
        <v>1589.56</v>
      </c>
      <c r="R177" s="0" t="n">
        <f aca="false">IF(AND(Q177&lt;=$E$7,N177="A"),1,0)</f>
        <v>0</v>
      </c>
      <c r="S177" s="0" t="n">
        <f aca="false">IF(AND(Q177&lt;=$E$7,N177="B"),1,0)</f>
        <v>0</v>
      </c>
      <c r="T177" s="0" t="n">
        <f aca="false">IF(Q177&lt;=$E$7,1,0)</f>
        <v>0</v>
      </c>
    </row>
    <row r="178" customFormat="false" ht="15" hidden="false" customHeight="false" outlineLevel="0" collapsed="false">
      <c r="M178" s="0" t="n">
        <v>177</v>
      </c>
      <c r="N178" s="0" t="str">
        <f aca="false">IF(MOD(M178-1,$B$13+$B$14)&lt;$B$13,"A","B")</f>
        <v>A</v>
      </c>
      <c r="O178" s="0" t="n">
        <f aca="false">IF(N178="A",$E$5,$H$3)</f>
        <v>4.06</v>
      </c>
      <c r="P178" s="0" t="n">
        <f aca="false">P177+O178</f>
        <v>718.619999999998</v>
      </c>
      <c r="Q178" s="0" t="n">
        <f aca="false">P178+(M178-1)*$B$10</f>
        <v>1598.62</v>
      </c>
      <c r="R178" s="0" t="n">
        <f aca="false">IF(AND(Q178&lt;=$E$7,N178="A"),1,0)</f>
        <v>0</v>
      </c>
      <c r="S178" s="0" t="n">
        <f aca="false">IF(AND(Q178&lt;=$E$7,N178="B"),1,0)</f>
        <v>0</v>
      </c>
      <c r="T178" s="0" t="n">
        <f aca="false">IF(Q178&lt;=$E$7,1,0)</f>
        <v>0</v>
      </c>
    </row>
    <row r="179" customFormat="false" ht="15" hidden="false" customHeight="false" outlineLevel="0" collapsed="false">
      <c r="M179" s="0" t="n">
        <v>178</v>
      </c>
      <c r="N179" s="0" t="str">
        <f aca="false">IF(MOD(M179-1,$B$13+$B$14)&lt;$B$13,"A","B")</f>
        <v>A</v>
      </c>
      <c r="O179" s="0" t="n">
        <f aca="false">IF(N179="A",$E$5,$H$3)</f>
        <v>4.06</v>
      </c>
      <c r="P179" s="0" t="n">
        <f aca="false">P178+O179</f>
        <v>722.679999999997</v>
      </c>
      <c r="Q179" s="0" t="n">
        <f aca="false">P179+(M179-1)*$B$10</f>
        <v>1607.68</v>
      </c>
      <c r="R179" s="0" t="n">
        <f aca="false">IF(AND(Q179&lt;=$E$7,N179="A"),1,0)</f>
        <v>0</v>
      </c>
      <c r="S179" s="0" t="n">
        <f aca="false">IF(AND(Q179&lt;=$E$7,N179="B"),1,0)</f>
        <v>0</v>
      </c>
      <c r="T179" s="0" t="n">
        <f aca="false">IF(Q179&lt;=$E$7,1,0)</f>
        <v>0</v>
      </c>
    </row>
    <row r="180" customFormat="false" ht="15" hidden="false" customHeight="false" outlineLevel="0" collapsed="false">
      <c r="M180" s="0" t="n">
        <v>179</v>
      </c>
      <c r="N180" s="0" t="str">
        <f aca="false">IF(MOD(M180-1,$B$13+$B$14)&lt;$B$13,"A","B")</f>
        <v>A</v>
      </c>
      <c r="O180" s="0" t="n">
        <f aca="false">IF(N180="A",$E$5,$H$3)</f>
        <v>4.06</v>
      </c>
      <c r="P180" s="0" t="n">
        <f aca="false">P179+O180</f>
        <v>726.739999999997</v>
      </c>
      <c r="Q180" s="0" t="n">
        <f aca="false">P180+(M180-1)*$B$10</f>
        <v>1616.74</v>
      </c>
      <c r="R180" s="0" t="n">
        <f aca="false">IF(AND(Q180&lt;=$E$7,N180="A"),1,0)</f>
        <v>0</v>
      </c>
      <c r="S180" s="0" t="n">
        <f aca="false">IF(AND(Q180&lt;=$E$7,N180="B"),1,0)</f>
        <v>0</v>
      </c>
      <c r="T180" s="0" t="n">
        <f aca="false">IF(Q180&lt;=$E$7,1,0)</f>
        <v>0</v>
      </c>
    </row>
    <row r="181" customFormat="false" ht="15" hidden="false" customHeight="false" outlineLevel="0" collapsed="false">
      <c r="M181" s="0" t="n">
        <v>180</v>
      </c>
      <c r="N181" s="0" t="str">
        <f aca="false">IF(MOD(M181-1,$B$13+$B$14)&lt;$B$13,"A","B")</f>
        <v>B</v>
      </c>
      <c r="O181" s="0" t="n">
        <f aca="false">IF(N181="A",$E$5,$H$3)</f>
        <v>4.06</v>
      </c>
      <c r="P181" s="0" t="n">
        <f aca="false">P180+O181</f>
        <v>730.799999999997</v>
      </c>
      <c r="Q181" s="0" t="n">
        <f aca="false">P181+(M181-1)*$B$10</f>
        <v>1625.8</v>
      </c>
      <c r="R181" s="0" t="n">
        <f aca="false">IF(AND(Q181&lt;=$E$7,N181="A"),1,0)</f>
        <v>0</v>
      </c>
      <c r="S181" s="0" t="n">
        <f aca="false">IF(AND(Q181&lt;=$E$7,N181="B"),1,0)</f>
        <v>0</v>
      </c>
      <c r="T181" s="0" t="n">
        <f aca="false">IF(Q181&lt;=$E$7,1,0)</f>
        <v>0</v>
      </c>
    </row>
    <row r="182" customFormat="false" ht="15" hidden="false" customHeight="false" outlineLevel="0" collapsed="false">
      <c r="M182" s="0" t="n">
        <v>181</v>
      </c>
      <c r="N182" s="0" t="str">
        <f aca="false">IF(MOD(M182-1,$B$13+$B$14)&lt;$B$13,"A","B")</f>
        <v>B</v>
      </c>
      <c r="O182" s="0" t="n">
        <f aca="false">IF(N182="A",$E$5,$H$3)</f>
        <v>4.06</v>
      </c>
      <c r="P182" s="0" t="n">
        <f aca="false">P181+O182</f>
        <v>734.859999999997</v>
      </c>
      <c r="Q182" s="0" t="n">
        <f aca="false">P182+(M182-1)*$B$10</f>
        <v>1634.86</v>
      </c>
      <c r="R182" s="0" t="n">
        <f aca="false">IF(AND(Q182&lt;=$E$7,N182="A"),1,0)</f>
        <v>0</v>
      </c>
      <c r="S182" s="0" t="n">
        <f aca="false">IF(AND(Q182&lt;=$E$7,N182="B"),1,0)</f>
        <v>0</v>
      </c>
      <c r="T182" s="0" t="n">
        <f aca="false">IF(Q182&lt;=$E$7,1,0)</f>
        <v>0</v>
      </c>
    </row>
    <row r="183" customFormat="false" ht="15" hidden="false" customHeight="false" outlineLevel="0" collapsed="false">
      <c r="M183" s="0" t="n">
        <v>182</v>
      </c>
      <c r="N183" s="0" t="str">
        <f aca="false">IF(MOD(M183-1,$B$13+$B$14)&lt;$B$13,"A","B")</f>
        <v>B</v>
      </c>
      <c r="O183" s="0" t="n">
        <f aca="false">IF(N183="A",$E$5,$H$3)</f>
        <v>4.06</v>
      </c>
      <c r="P183" s="0" t="n">
        <f aca="false">P182+O183</f>
        <v>738.919999999997</v>
      </c>
      <c r="Q183" s="0" t="n">
        <f aca="false">P183+(M183-1)*$B$10</f>
        <v>1643.92</v>
      </c>
      <c r="R183" s="0" t="n">
        <f aca="false">IF(AND(Q183&lt;=$E$7,N183="A"),1,0)</f>
        <v>0</v>
      </c>
      <c r="S183" s="0" t="n">
        <f aca="false">IF(AND(Q183&lt;=$E$7,N183="B"),1,0)</f>
        <v>0</v>
      </c>
      <c r="T183" s="0" t="n">
        <f aca="false">IF(Q183&lt;=$E$7,1,0)</f>
        <v>0</v>
      </c>
    </row>
    <row r="184" customFormat="false" ht="15" hidden="false" customHeight="false" outlineLevel="0" collapsed="false">
      <c r="M184" s="0" t="n">
        <v>183</v>
      </c>
      <c r="N184" s="0" t="str">
        <f aca="false">IF(MOD(M184-1,$B$13+$B$14)&lt;$B$13,"A","B")</f>
        <v>B</v>
      </c>
      <c r="O184" s="0" t="n">
        <f aca="false">IF(N184="A",$E$5,$H$3)</f>
        <v>4.06</v>
      </c>
      <c r="P184" s="0" t="n">
        <f aca="false">P183+O184</f>
        <v>742.979999999997</v>
      </c>
      <c r="Q184" s="0" t="n">
        <f aca="false">P184+(M184-1)*$B$10</f>
        <v>1652.98</v>
      </c>
      <c r="R184" s="0" t="n">
        <f aca="false">IF(AND(Q184&lt;=$E$7,N184="A"),1,0)</f>
        <v>0</v>
      </c>
      <c r="S184" s="0" t="n">
        <f aca="false">IF(AND(Q184&lt;=$E$7,N184="B"),1,0)</f>
        <v>0</v>
      </c>
      <c r="T184" s="0" t="n">
        <f aca="false">IF(Q184&lt;=$E$7,1,0)</f>
        <v>0</v>
      </c>
    </row>
    <row r="185" customFormat="false" ht="15" hidden="false" customHeight="false" outlineLevel="0" collapsed="false">
      <c r="M185" s="0" t="n">
        <v>184</v>
      </c>
      <c r="N185" s="0" t="str">
        <f aca="false">IF(MOD(M185-1,$B$13+$B$14)&lt;$B$13,"A","B")</f>
        <v>B</v>
      </c>
      <c r="O185" s="0" t="n">
        <f aca="false">IF(N185="A",$E$5,$H$3)</f>
        <v>4.06</v>
      </c>
      <c r="P185" s="0" t="n">
        <f aca="false">P184+O185</f>
        <v>747.039999999997</v>
      </c>
      <c r="Q185" s="0" t="n">
        <f aca="false">P185+(M185-1)*$B$10</f>
        <v>1662.04</v>
      </c>
      <c r="R185" s="0" t="n">
        <f aca="false">IF(AND(Q185&lt;=$E$7,N185="A"),1,0)</f>
        <v>0</v>
      </c>
      <c r="S185" s="0" t="n">
        <f aca="false">IF(AND(Q185&lt;=$E$7,N185="B"),1,0)</f>
        <v>0</v>
      </c>
      <c r="T185" s="0" t="n">
        <f aca="false">IF(Q185&lt;=$E$7,1,0)</f>
        <v>0</v>
      </c>
    </row>
    <row r="186" customFormat="false" ht="15" hidden="false" customHeight="false" outlineLevel="0" collapsed="false">
      <c r="M186" s="0" t="n">
        <v>185</v>
      </c>
      <c r="N186" s="0" t="str">
        <f aca="false">IF(MOD(M186-1,$B$13+$B$14)&lt;$B$13,"A","B")</f>
        <v>A</v>
      </c>
      <c r="O186" s="0" t="n">
        <f aca="false">IF(N186="A",$E$5,$H$3)</f>
        <v>4.06</v>
      </c>
      <c r="P186" s="0" t="n">
        <f aca="false">P185+O186</f>
        <v>751.099999999997</v>
      </c>
      <c r="Q186" s="0" t="n">
        <f aca="false">P186+(M186-1)*$B$10</f>
        <v>1671.1</v>
      </c>
      <c r="R186" s="0" t="n">
        <f aca="false">IF(AND(Q186&lt;=$E$7,N186="A"),1,0)</f>
        <v>0</v>
      </c>
      <c r="S186" s="0" t="n">
        <f aca="false">IF(AND(Q186&lt;=$E$7,N186="B"),1,0)</f>
        <v>0</v>
      </c>
      <c r="T186" s="0" t="n">
        <f aca="false">IF(Q186&lt;=$E$7,1,0)</f>
        <v>0</v>
      </c>
    </row>
    <row r="187" customFormat="false" ht="15" hidden="false" customHeight="false" outlineLevel="0" collapsed="false">
      <c r="M187" s="0" t="n">
        <v>186</v>
      </c>
      <c r="N187" s="0" t="str">
        <f aca="false">IF(MOD(M187-1,$B$13+$B$14)&lt;$B$13,"A","B")</f>
        <v>A</v>
      </c>
      <c r="O187" s="0" t="n">
        <f aca="false">IF(N187="A",$E$5,$H$3)</f>
        <v>4.06</v>
      </c>
      <c r="P187" s="0" t="n">
        <f aca="false">P186+O187</f>
        <v>755.159999999997</v>
      </c>
      <c r="Q187" s="0" t="n">
        <f aca="false">P187+(M187-1)*$B$10</f>
        <v>1680.16</v>
      </c>
      <c r="R187" s="0" t="n">
        <f aca="false">IF(AND(Q187&lt;=$E$7,N187="A"),1,0)</f>
        <v>0</v>
      </c>
      <c r="S187" s="0" t="n">
        <f aca="false">IF(AND(Q187&lt;=$E$7,N187="B"),1,0)</f>
        <v>0</v>
      </c>
      <c r="T187" s="0" t="n">
        <f aca="false">IF(Q187&lt;=$E$7,1,0)</f>
        <v>0</v>
      </c>
    </row>
    <row r="188" customFormat="false" ht="15" hidden="false" customHeight="false" outlineLevel="0" collapsed="false">
      <c r="M188" s="0" t="n">
        <v>187</v>
      </c>
      <c r="N188" s="0" t="str">
        <f aca="false">IF(MOD(M188-1,$B$13+$B$14)&lt;$B$13,"A","B")</f>
        <v>A</v>
      </c>
      <c r="O188" s="0" t="n">
        <f aca="false">IF(N188="A",$E$5,$H$3)</f>
        <v>4.06</v>
      </c>
      <c r="P188" s="0" t="n">
        <f aca="false">P187+O188</f>
        <v>759.219999999997</v>
      </c>
      <c r="Q188" s="0" t="n">
        <f aca="false">P188+(M188-1)*$B$10</f>
        <v>1689.22</v>
      </c>
      <c r="R188" s="0" t="n">
        <f aca="false">IF(AND(Q188&lt;=$E$7,N188="A"),1,0)</f>
        <v>0</v>
      </c>
      <c r="S188" s="0" t="n">
        <f aca="false">IF(AND(Q188&lt;=$E$7,N188="B"),1,0)</f>
        <v>0</v>
      </c>
      <c r="T188" s="0" t="n">
        <f aca="false">IF(Q188&lt;=$E$7,1,0)</f>
        <v>0</v>
      </c>
    </row>
    <row r="189" customFormat="false" ht="15" hidden="false" customHeight="false" outlineLevel="0" collapsed="false">
      <c r="M189" s="0" t="n">
        <v>188</v>
      </c>
      <c r="N189" s="0" t="str">
        <f aca="false">IF(MOD(M189-1,$B$13+$B$14)&lt;$B$13,"A","B")</f>
        <v>B</v>
      </c>
      <c r="O189" s="0" t="n">
        <f aca="false">IF(N189="A",$E$5,$H$3)</f>
        <v>4.06</v>
      </c>
      <c r="P189" s="0" t="n">
        <f aca="false">P188+O189</f>
        <v>763.279999999997</v>
      </c>
      <c r="Q189" s="0" t="n">
        <f aca="false">P189+(M189-1)*$B$10</f>
        <v>1698.28</v>
      </c>
      <c r="R189" s="0" t="n">
        <f aca="false">IF(AND(Q189&lt;=$E$7,N189="A"),1,0)</f>
        <v>0</v>
      </c>
      <c r="S189" s="0" t="n">
        <f aca="false">IF(AND(Q189&lt;=$E$7,N189="B"),1,0)</f>
        <v>0</v>
      </c>
      <c r="T189" s="0" t="n">
        <f aca="false">IF(Q189&lt;=$E$7,1,0)</f>
        <v>0</v>
      </c>
    </row>
    <row r="190" customFormat="false" ht="15" hidden="false" customHeight="false" outlineLevel="0" collapsed="false">
      <c r="M190" s="0" t="n">
        <v>189</v>
      </c>
      <c r="N190" s="0" t="str">
        <f aca="false">IF(MOD(M190-1,$B$13+$B$14)&lt;$B$13,"A","B")</f>
        <v>B</v>
      </c>
      <c r="O190" s="0" t="n">
        <f aca="false">IF(N190="A",$E$5,$H$3)</f>
        <v>4.06</v>
      </c>
      <c r="P190" s="0" t="n">
        <f aca="false">P189+O190</f>
        <v>767.339999999997</v>
      </c>
      <c r="Q190" s="0" t="n">
        <f aca="false">P190+(M190-1)*$B$10</f>
        <v>1707.34</v>
      </c>
      <c r="R190" s="0" t="n">
        <f aca="false">IF(AND(Q190&lt;=$E$7,N190="A"),1,0)</f>
        <v>0</v>
      </c>
      <c r="S190" s="0" t="n">
        <f aca="false">IF(AND(Q190&lt;=$E$7,N190="B"),1,0)</f>
        <v>0</v>
      </c>
      <c r="T190" s="0" t="n">
        <f aca="false">IF(Q190&lt;=$E$7,1,0)</f>
        <v>0</v>
      </c>
    </row>
    <row r="191" customFormat="false" ht="15" hidden="false" customHeight="false" outlineLevel="0" collapsed="false">
      <c r="M191" s="0" t="n">
        <v>190</v>
      </c>
      <c r="N191" s="0" t="str">
        <f aca="false">IF(MOD(M191-1,$B$13+$B$14)&lt;$B$13,"A","B")</f>
        <v>B</v>
      </c>
      <c r="O191" s="0" t="n">
        <f aca="false">IF(N191="A",$E$5,$H$3)</f>
        <v>4.06</v>
      </c>
      <c r="P191" s="0" t="n">
        <f aca="false">P190+O191</f>
        <v>771.399999999997</v>
      </c>
      <c r="Q191" s="0" t="n">
        <f aca="false">P191+(M191-1)*$B$10</f>
        <v>1716.4</v>
      </c>
      <c r="R191" s="0" t="n">
        <f aca="false">IF(AND(Q191&lt;=$E$7,N191="A"),1,0)</f>
        <v>0</v>
      </c>
      <c r="S191" s="0" t="n">
        <f aca="false">IF(AND(Q191&lt;=$E$7,N191="B"),1,0)</f>
        <v>0</v>
      </c>
      <c r="T191" s="0" t="n">
        <f aca="false">IF(Q191&lt;=$E$7,1,0)</f>
        <v>0</v>
      </c>
    </row>
    <row r="192" customFormat="false" ht="15" hidden="false" customHeight="false" outlineLevel="0" collapsed="false">
      <c r="M192" s="0" t="n">
        <v>191</v>
      </c>
      <c r="N192" s="0" t="str">
        <f aca="false">IF(MOD(M192-1,$B$13+$B$14)&lt;$B$13,"A","B")</f>
        <v>B</v>
      </c>
      <c r="O192" s="0" t="n">
        <f aca="false">IF(N192="A",$E$5,$H$3)</f>
        <v>4.06</v>
      </c>
      <c r="P192" s="0" t="n">
        <f aca="false">P191+O192</f>
        <v>775.459999999997</v>
      </c>
      <c r="Q192" s="0" t="n">
        <f aca="false">P192+(M192-1)*$B$10</f>
        <v>1725.46</v>
      </c>
      <c r="R192" s="0" t="n">
        <f aca="false">IF(AND(Q192&lt;=$E$7,N192="A"),1,0)</f>
        <v>0</v>
      </c>
      <c r="S192" s="0" t="n">
        <f aca="false">IF(AND(Q192&lt;=$E$7,N192="B"),1,0)</f>
        <v>0</v>
      </c>
      <c r="T192" s="0" t="n">
        <f aca="false">IF(Q192&lt;=$E$7,1,0)</f>
        <v>0</v>
      </c>
    </row>
    <row r="193" customFormat="false" ht="15" hidden="false" customHeight="false" outlineLevel="0" collapsed="false">
      <c r="M193" s="0" t="n">
        <v>192</v>
      </c>
      <c r="N193" s="0" t="str">
        <f aca="false">IF(MOD(M193-1,$B$13+$B$14)&lt;$B$13,"A","B")</f>
        <v>B</v>
      </c>
      <c r="O193" s="0" t="n">
        <f aca="false">IF(N193="A",$E$5,$H$3)</f>
        <v>4.06</v>
      </c>
      <c r="P193" s="0" t="n">
        <f aca="false">P192+O193</f>
        <v>779.519999999997</v>
      </c>
      <c r="Q193" s="0" t="n">
        <f aca="false">P193+(M193-1)*$B$10</f>
        <v>1734.52</v>
      </c>
      <c r="R193" s="0" t="n">
        <f aca="false">IF(AND(Q193&lt;=$E$7,N193="A"),1,0)</f>
        <v>0</v>
      </c>
      <c r="S193" s="0" t="n">
        <f aca="false">IF(AND(Q193&lt;=$E$7,N193="B"),1,0)</f>
        <v>0</v>
      </c>
      <c r="T193" s="0" t="n">
        <f aca="false">IF(Q193&lt;=$E$7,1,0)</f>
        <v>0</v>
      </c>
    </row>
    <row r="194" customFormat="false" ht="15" hidden="false" customHeight="false" outlineLevel="0" collapsed="false">
      <c r="M194" s="0" t="n">
        <v>193</v>
      </c>
      <c r="N194" s="0" t="str">
        <f aca="false">IF(MOD(M194-1,$B$13+$B$14)&lt;$B$13,"A","B")</f>
        <v>A</v>
      </c>
      <c r="O194" s="0" t="n">
        <f aca="false">IF(N194="A",$E$5,$H$3)</f>
        <v>4.06</v>
      </c>
      <c r="P194" s="0" t="n">
        <f aca="false">P193+O194</f>
        <v>783.579999999997</v>
      </c>
      <c r="Q194" s="0" t="n">
        <f aca="false">P194+(M194-1)*$B$10</f>
        <v>1743.58</v>
      </c>
      <c r="R194" s="0" t="n">
        <f aca="false">IF(AND(Q194&lt;=$E$7,N194="A"),1,0)</f>
        <v>0</v>
      </c>
      <c r="S194" s="0" t="n">
        <f aca="false">IF(AND(Q194&lt;=$E$7,N194="B"),1,0)</f>
        <v>0</v>
      </c>
      <c r="T194" s="0" t="n">
        <f aca="false">IF(Q194&lt;=$E$7,1,0)</f>
        <v>0</v>
      </c>
    </row>
    <row r="195" customFormat="false" ht="15" hidden="false" customHeight="false" outlineLevel="0" collapsed="false">
      <c r="M195" s="0" t="n">
        <v>194</v>
      </c>
      <c r="N195" s="0" t="str">
        <f aca="false">IF(MOD(M195-1,$B$13+$B$14)&lt;$B$13,"A","B")</f>
        <v>A</v>
      </c>
      <c r="O195" s="0" t="n">
        <f aca="false">IF(N195="A",$E$5,$H$3)</f>
        <v>4.06</v>
      </c>
      <c r="P195" s="0" t="n">
        <f aca="false">P194+O195</f>
        <v>787.639999999997</v>
      </c>
      <c r="Q195" s="0" t="n">
        <f aca="false">P195+(M195-1)*$B$10</f>
        <v>1752.64</v>
      </c>
      <c r="R195" s="0" t="n">
        <f aca="false">IF(AND(Q195&lt;=$E$7,N195="A"),1,0)</f>
        <v>0</v>
      </c>
      <c r="S195" s="0" t="n">
        <f aca="false">IF(AND(Q195&lt;=$E$7,N195="B"),1,0)</f>
        <v>0</v>
      </c>
      <c r="T195" s="0" t="n">
        <f aca="false">IF(Q195&lt;=$E$7,1,0)</f>
        <v>0</v>
      </c>
    </row>
    <row r="196" customFormat="false" ht="15" hidden="false" customHeight="false" outlineLevel="0" collapsed="false">
      <c r="M196" s="0" t="n">
        <v>195</v>
      </c>
      <c r="N196" s="0" t="str">
        <f aca="false">IF(MOD(M196-1,$B$13+$B$14)&lt;$B$13,"A","B")</f>
        <v>A</v>
      </c>
      <c r="O196" s="0" t="n">
        <f aca="false">IF(N196="A",$E$5,$H$3)</f>
        <v>4.06</v>
      </c>
      <c r="P196" s="0" t="n">
        <f aca="false">P195+O196</f>
        <v>791.699999999997</v>
      </c>
      <c r="Q196" s="0" t="n">
        <f aca="false">P196+(M196-1)*$B$10</f>
        <v>1761.7</v>
      </c>
      <c r="R196" s="0" t="n">
        <f aca="false">IF(AND(Q196&lt;=$E$7,N196="A"),1,0)</f>
        <v>0</v>
      </c>
      <c r="S196" s="0" t="n">
        <f aca="false">IF(AND(Q196&lt;=$E$7,N196="B"),1,0)</f>
        <v>0</v>
      </c>
      <c r="T196" s="0" t="n">
        <f aca="false">IF(Q196&lt;=$E$7,1,0)</f>
        <v>0</v>
      </c>
    </row>
    <row r="197" customFormat="false" ht="15" hidden="false" customHeight="false" outlineLevel="0" collapsed="false">
      <c r="M197" s="0" t="n">
        <v>196</v>
      </c>
      <c r="N197" s="0" t="str">
        <f aca="false">IF(MOD(M197-1,$B$13+$B$14)&lt;$B$13,"A","B")</f>
        <v>B</v>
      </c>
      <c r="O197" s="0" t="n">
        <f aca="false">IF(N197="A",$E$5,$H$3)</f>
        <v>4.06</v>
      </c>
      <c r="P197" s="0" t="n">
        <f aca="false">P196+O197</f>
        <v>795.759999999997</v>
      </c>
      <c r="Q197" s="0" t="n">
        <f aca="false">P197+(M197-1)*$B$10</f>
        <v>1770.76</v>
      </c>
      <c r="R197" s="0" t="n">
        <f aca="false">IF(AND(Q197&lt;=$E$7,N197="A"),1,0)</f>
        <v>0</v>
      </c>
      <c r="S197" s="0" t="n">
        <f aca="false">IF(AND(Q197&lt;=$E$7,N197="B"),1,0)</f>
        <v>0</v>
      </c>
      <c r="T197" s="0" t="n">
        <f aca="false">IF(Q197&lt;=$E$7,1,0)</f>
        <v>0</v>
      </c>
    </row>
    <row r="198" customFormat="false" ht="15" hidden="false" customHeight="false" outlineLevel="0" collapsed="false">
      <c r="M198" s="0" t="n">
        <v>197</v>
      </c>
      <c r="N198" s="0" t="str">
        <f aca="false">IF(MOD(M198-1,$B$13+$B$14)&lt;$B$13,"A","B")</f>
        <v>B</v>
      </c>
      <c r="O198" s="0" t="n">
        <f aca="false">IF(N198="A",$E$5,$H$3)</f>
        <v>4.06</v>
      </c>
      <c r="P198" s="0" t="n">
        <f aca="false">P197+O198</f>
        <v>799.819999999996</v>
      </c>
      <c r="Q198" s="0" t="n">
        <f aca="false">P198+(M198-1)*$B$10</f>
        <v>1779.82</v>
      </c>
      <c r="R198" s="0" t="n">
        <f aca="false">IF(AND(Q198&lt;=$E$7,N198="A"),1,0)</f>
        <v>0</v>
      </c>
      <c r="S198" s="0" t="n">
        <f aca="false">IF(AND(Q198&lt;=$E$7,N198="B"),1,0)</f>
        <v>0</v>
      </c>
      <c r="T198" s="0" t="n">
        <f aca="false">IF(Q198&lt;=$E$7,1,0)</f>
        <v>0</v>
      </c>
    </row>
    <row r="199" customFormat="false" ht="15" hidden="false" customHeight="false" outlineLevel="0" collapsed="false">
      <c r="M199" s="0" t="n">
        <v>198</v>
      </c>
      <c r="N199" s="0" t="str">
        <f aca="false">IF(MOD(M199-1,$B$13+$B$14)&lt;$B$13,"A","B")</f>
        <v>B</v>
      </c>
      <c r="O199" s="0" t="n">
        <f aca="false">IF(N199="A",$E$5,$H$3)</f>
        <v>4.06</v>
      </c>
      <c r="P199" s="0" t="n">
        <f aca="false">P198+O199</f>
        <v>803.879999999996</v>
      </c>
      <c r="Q199" s="0" t="n">
        <f aca="false">P199+(M199-1)*$B$10</f>
        <v>1788.88</v>
      </c>
      <c r="R199" s="0" t="n">
        <f aca="false">IF(AND(Q199&lt;=$E$7,N199="A"),1,0)</f>
        <v>0</v>
      </c>
      <c r="S199" s="0" t="n">
        <f aca="false">IF(AND(Q199&lt;=$E$7,N199="B"),1,0)</f>
        <v>0</v>
      </c>
      <c r="T199" s="0" t="n">
        <f aca="false">IF(Q199&lt;=$E$7,1,0)</f>
        <v>0</v>
      </c>
    </row>
    <row r="200" customFormat="false" ht="15" hidden="false" customHeight="false" outlineLevel="0" collapsed="false">
      <c r="M200" s="0" t="n">
        <v>199</v>
      </c>
      <c r="N200" s="0" t="str">
        <f aca="false">IF(MOD(M200-1,$B$13+$B$14)&lt;$B$13,"A","B")</f>
        <v>B</v>
      </c>
      <c r="O200" s="0" t="n">
        <f aca="false">IF(N200="A",$E$5,$H$3)</f>
        <v>4.06</v>
      </c>
      <c r="P200" s="0" t="n">
        <f aca="false">P199+O200</f>
        <v>807.939999999996</v>
      </c>
      <c r="Q200" s="0" t="n">
        <f aca="false">P200+(M200-1)*$B$10</f>
        <v>1797.94</v>
      </c>
      <c r="R200" s="0" t="n">
        <f aca="false">IF(AND(Q200&lt;=$E$7,N200="A"),1,0)</f>
        <v>0</v>
      </c>
      <c r="S200" s="0" t="n">
        <f aca="false">IF(AND(Q200&lt;=$E$7,N200="B"),1,0)</f>
        <v>0</v>
      </c>
      <c r="T200" s="0" t="n">
        <f aca="false">IF(Q200&lt;=$E$7,1,0)</f>
        <v>0</v>
      </c>
    </row>
    <row r="201" customFormat="false" ht="15" hidden="false" customHeight="false" outlineLevel="0" collapsed="false">
      <c r="M201" s="0" t="n">
        <v>200</v>
      </c>
      <c r="N201" s="0" t="str">
        <f aca="false">IF(MOD(M201-1,$B$13+$B$14)&lt;$B$13,"A","B")</f>
        <v>B</v>
      </c>
      <c r="O201" s="0" t="n">
        <f aca="false">IF(N201="A",$E$5,$H$3)</f>
        <v>4.06</v>
      </c>
      <c r="P201" s="0" t="n">
        <f aca="false">P200+O201</f>
        <v>811.999999999996</v>
      </c>
      <c r="Q201" s="0" t="n">
        <f aca="false">P201+(M201-1)*$B$10</f>
        <v>1807</v>
      </c>
      <c r="R201" s="0" t="n">
        <f aca="false">IF(AND(Q201&lt;=$E$7,N201="A"),1,0)</f>
        <v>0</v>
      </c>
      <c r="S201" s="0" t="n">
        <f aca="false">IF(AND(Q201&lt;=$E$7,N201="B"),1,0)</f>
        <v>0</v>
      </c>
      <c r="T201" s="0" t="n">
        <f aca="false">IF(Q201&lt;=$E$7,1,0)</f>
        <v>0</v>
      </c>
    </row>
  </sheetData>
  <mergeCells count="2">
    <mergeCell ref="A1:F1"/>
    <mergeCell ref="A37:F37"/>
  </mergeCells>
  <dataValidations count="7">
    <dataValidation allowBlank="false" errorStyle="stop" operator="between" showDropDown="false" showErrorMessage="false" showInputMessage="false" sqref="B3" type="list">
      <formula1>"ยัดใน,แปะนอก"</formula1>
      <formula2>0</formula2>
    </dataValidation>
    <dataValidation allowBlank="false" errorStyle="stop" operator="between" showDropDown="false" showErrorMessage="false" showInputMessage="false" sqref="B6" type="list">
      <formula1>"ตั้ง,นอน"</formula1>
      <formula2>0</formula2>
    </dataValidation>
    <dataValidation allowBlank="false" errorStyle="stop" operator="between" showDropDown="false" showErrorMessage="false" showInputMessage="false" sqref="B7" type="list">
      <formula1>"ระแนง,ระแนงสลับ"</formula1>
      <formula2>0</formula2>
    </dataValidation>
    <dataValidation allowBlank="false" errorStyle="stop" operator="between" showDropDown="false" showErrorMessage="false" showInputMessage="false" sqref="B8" type="list">
      <formula1>$Y$11:$Y$17</formula1>
      <formula2>0</formula2>
    </dataValidation>
    <dataValidation allowBlank="false" errorStyle="stop" operator="between" showDropDown="false" showErrorMessage="false" showInputMessage="false" sqref="B9" type="list">
      <formula1>$AE$2:$AE$3</formula1>
      <formula2>0</formula2>
    </dataValidation>
    <dataValidation allowBlank="false" errorStyle="stop" operator="between" showDropDown="false" showErrorMessage="false" showInputMessage="false" sqref="B11" type="list">
      <formula1>$Y$11:$Y$17</formula1>
      <formula2>0</formula2>
    </dataValidation>
    <dataValidation allowBlank="false" errorStyle="stop" operator="between" showDropDown="false" showErrorMessage="false" showInputMessage="false" sqref="B12" type="list">
      <formula1>$AE$5:$AE$6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2026-07-08T01:14:54Z</dcterms:created>
  <dc:creator>openpyxl</dc:creator>
  <dc:description/>
  <dc:language>en-US</dc:language>
  <cp:lastModifiedBy/>
  <dcterms:modified xsi:type="dcterms:W3CDTF">2026-07-22T07:14:54Z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