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R คำนว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">
    <font>
      <name val="Calibri"/>
      <family val="2"/>
      <color theme="1"/>
      <sz val="11"/>
      <scheme val="minor"/>
    </font>
    <font>
      <name val="Tahoma"/>
      <b val="1"/>
      <color rgb="00FFFFFF"/>
    </font>
    <font>
      <name val="Tahoma"/>
    </font>
    <font>
      <name val="Tahoma"/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2" fontId="3" fillId="7" borderId="1" applyAlignment="1" pivotButton="0" quotePrefix="0" xfId="0">
      <alignment horizontal="center" vertical="center"/>
    </xf>
    <xf numFmtId="165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11" customWidth="1" min="3" max="3"/>
    <col width="9" customWidth="1" min="4" max="4"/>
    <col width="13" customWidth="1" min="5" max="5"/>
    <col width="11" customWidth="1" min="6" max="6"/>
    <col width="11" customWidth="1" min="7" max="7"/>
    <col width="10" customWidth="1" min="8" max="8"/>
  </cols>
  <sheetData>
    <row r="1">
      <c r="A1" s="1" t="inlineStr">
        <is>
          <t>JR ALUMINIUM &amp; GLASS — เฟี้ยมยก (2 บาน) · ใบขนาดตัด + ประกอบ · หน่วย ซม.</t>
        </is>
      </c>
    </row>
    <row r="2">
      <c r="A2" s="2" t="inlineStr">
        <is>
          <t>เฟี้ยมยูโรหมุน 90° (พับขึ้น) · โปรไฟล์+อุปกรณ์เท่าเฟี้ยมยูโร เปลี่ยนเฉพาะระยะตัด · N คงที่ 2 บาน</t>
        </is>
      </c>
    </row>
    <row r="4">
      <c r="A4" s="3" t="inlineStr">
        <is>
          <t>① กรอกข้อมูล (เหลือง = แก้ได้)</t>
        </is>
      </c>
      <c r="B4" s="4" t="n"/>
      <c r="C4" s="4" t="n"/>
      <c r="D4" s="4" t="n"/>
      <c r="E4" s="4" t="n"/>
      <c r="F4" s="4" t="n"/>
      <c r="G4" s="4" t="n"/>
      <c r="H4" s="5" t="n"/>
    </row>
    <row r="5">
      <c r="B5" s="6" t="inlineStr">
        <is>
          <t>กว้างช่องปูน W (ซม.)</t>
        </is>
      </c>
      <c r="C5" s="7" t="n">
        <v>200</v>
      </c>
    </row>
    <row r="6">
      <c r="B6" s="6" t="inlineStr">
        <is>
          <t>สูงช่องปูน H (ซม.)</t>
        </is>
      </c>
      <c r="C6" s="7" t="n">
        <v>120</v>
      </c>
    </row>
    <row r="7">
      <c r="B7" s="6" t="inlineStr">
        <is>
          <t>จำนวนบาน N</t>
        </is>
      </c>
      <c r="C7" s="8" t="n">
        <v>2</v>
      </c>
    </row>
    <row r="8">
      <c r="B8" s="6" t="inlineStr">
        <is>
          <t>กระจก (มิล)</t>
        </is>
      </c>
      <c r="C8" s="7" t="n">
        <v>6</v>
      </c>
    </row>
    <row r="9">
      <c r="B9" s="6" t="inlineStr">
        <is>
          <t>จำนวนชุด</t>
        </is>
      </c>
      <c r="C9" s="7" t="n">
        <v>1</v>
      </c>
    </row>
    <row r="10">
      <c r="B10" s="6" t="inlineStr">
        <is>
          <t>สีฮาร์ดแวร์</t>
        </is>
      </c>
      <c r="C10" s="7" t="inlineStr">
        <is>
          <t>ดำ</t>
        </is>
      </c>
    </row>
    <row r="12">
      <c r="A12" s="3" t="inlineStr">
        <is>
          <t>④ ตารางโปรไฟล์อลูมิเนียม (10 ตัว)</t>
        </is>
      </c>
      <c r="B12" s="4" t="n"/>
      <c r="C12" s="4" t="n"/>
      <c r="D12" s="4" t="n"/>
      <c r="E12" s="4" t="n"/>
      <c r="F12" s="4" t="n"/>
      <c r="G12" s="4" t="n"/>
      <c r="H12" s="5" t="n"/>
    </row>
    <row r="13">
      <c r="A13" s="1" t="inlineStr">
        <is>
          <t>#</t>
        </is>
      </c>
      <c r="B13" s="1" t="inlineStr">
        <is>
          <t>โปรไฟล์</t>
        </is>
      </c>
      <c r="C13" s="1" t="inlineStr">
        <is>
          <t>รหัสดาย</t>
        </is>
      </c>
      <c r="D13" s="1" t="inlineStr">
        <is>
          <t>กก./ม.</t>
        </is>
      </c>
      <c r="E13" s="1" t="inlineStr">
        <is>
          <t>ยาวตัด (ซม.)</t>
        </is>
      </c>
      <c r="F13" s="1" t="inlineStr">
        <is>
          <t>จำนวน/ชุด</t>
        </is>
      </c>
      <c r="G13" s="1" t="inlineStr">
        <is>
          <t>จำนวนรวม</t>
        </is>
      </c>
      <c r="H13" s="1" t="inlineStr">
        <is>
          <t>เส้น 6.4 ม.</t>
        </is>
      </c>
    </row>
    <row r="14">
      <c r="A14" s="9" t="n">
        <v>1</v>
      </c>
      <c r="B14" s="10" t="inlineStr">
        <is>
          <t>เฟรมข้าง (เดิมเฟรมบน)</t>
        </is>
      </c>
      <c r="C14" s="9" t="inlineStr">
        <is>
          <t>F7968</t>
        </is>
      </c>
      <c r="D14" s="11" t="n">
        <v>2.767</v>
      </c>
      <c r="E14" s="12">
        <f>$C$6-$F$32</f>
        <v/>
      </c>
      <c r="F14" s="9" t="n">
        <v>2</v>
      </c>
      <c r="G14" s="9">
        <f>F14*$C$9</f>
        <v/>
      </c>
      <c r="H14" s="9">
        <f>ROUNDUP(E14*G14/$F$42,0)</f>
        <v/>
      </c>
    </row>
    <row r="15">
      <c r="A15" s="9" t="n">
        <v>2</v>
      </c>
      <c r="B15" s="10" t="inlineStr">
        <is>
          <t>เฟรมล่าง</t>
        </is>
      </c>
      <c r="C15" s="9" t="inlineStr">
        <is>
          <t>F7969</t>
        </is>
      </c>
      <c r="D15" s="11" t="n">
        <v>1.533</v>
      </c>
      <c r="E15" s="12">
        <f>$C$5-$F$33</f>
        <v/>
      </c>
      <c r="F15" s="9" t="n">
        <v>1</v>
      </c>
      <c r="G15" s="9">
        <f>F15*$C$9</f>
        <v/>
      </c>
      <c r="H15" s="9">
        <f>ROUNDUP(E15*G15/$F$42,0)</f>
        <v/>
      </c>
    </row>
    <row r="16">
      <c r="A16" s="9" t="n">
        <v>3</v>
      </c>
      <c r="B16" s="10" t="inlineStr">
        <is>
          <t>เฟรมบน (เดิมเฟรมข้าง)</t>
        </is>
      </c>
      <c r="C16" s="9" t="inlineStr">
        <is>
          <t>F7970</t>
        </is>
      </c>
      <c r="D16" s="11" t="n">
        <v>0.9340000000000001</v>
      </c>
      <c r="E16" s="12">
        <f>$C$5-$F$34</f>
        <v/>
      </c>
      <c r="F16" s="9" t="n">
        <v>1</v>
      </c>
      <c r="G16" s="9">
        <f>F16*$C$9</f>
        <v/>
      </c>
      <c r="H16" s="9">
        <f>ROUNDUP(E16*G16/$F$42,0)</f>
        <v/>
      </c>
    </row>
    <row r="17">
      <c r="A17" s="9" t="n">
        <v>4</v>
      </c>
      <c r="B17" s="10" t="inlineStr">
        <is>
          <t>คิ้วเฟรมบน</t>
        </is>
      </c>
      <c r="C17" s="9" t="inlineStr">
        <is>
          <t>F7971</t>
        </is>
      </c>
      <c r="D17" s="11" t="n">
        <v>0.4</v>
      </c>
      <c r="E17" s="12">
        <f>$C$5-$F$35</f>
        <v/>
      </c>
      <c r="F17" s="9" t="n">
        <v>1</v>
      </c>
      <c r="G17" s="9">
        <f>F17*$C$9</f>
        <v/>
      </c>
      <c r="H17" s="9">
        <f>ROUNDUP(E17*G17/$F$42,0)</f>
        <v/>
      </c>
    </row>
    <row r="18">
      <c r="A18" s="9" t="n">
        <v>5</v>
      </c>
      <c r="B18" s="10" t="inlineStr">
        <is>
          <t>ตบปิดเฟรม ตั้ง (ข้าง)</t>
        </is>
      </c>
      <c r="C18" s="9" t="inlineStr">
        <is>
          <t>F7973</t>
        </is>
      </c>
      <c r="D18" s="11" t="n">
        <v>0.19</v>
      </c>
      <c r="E18" s="12">
        <f>$C$6-$F$36</f>
        <v/>
      </c>
      <c r="F18" s="9" t="n">
        <v>2</v>
      </c>
      <c r="G18" s="9">
        <f>F18*$C$9</f>
        <v/>
      </c>
      <c r="H18" s="9">
        <f>ROUNDUP(E18*G18/$F$42,0)</f>
        <v/>
      </c>
    </row>
    <row r="19">
      <c r="A19" s="9" t="n">
        <v>6</v>
      </c>
      <c r="B19" s="10" t="inlineStr">
        <is>
          <t>ตบปิดเฟรม นอน (ล่าง)</t>
        </is>
      </c>
      <c r="C19" s="9" t="inlineStr">
        <is>
          <t>F7973</t>
        </is>
      </c>
      <c r="D19" s="11" t="n">
        <v>0.19</v>
      </c>
      <c r="E19" s="12">
        <f>$C$5-$F$37</f>
        <v/>
      </c>
      <c r="F19" s="9" t="n">
        <v>1</v>
      </c>
      <c r="G19" s="9">
        <f>F19*$C$9</f>
        <v/>
      </c>
      <c r="H19" s="9">
        <f>ROUNDUP(E19*G19/$F$42,0)</f>
        <v/>
      </c>
    </row>
    <row r="20">
      <c r="A20" s="9" t="n">
        <v>7</v>
      </c>
      <c r="B20" s="10" t="inlineStr">
        <is>
          <t>กรอบบาน ตั้ง</t>
        </is>
      </c>
      <c r="C20" s="9" t="inlineStr">
        <is>
          <t>F7972</t>
        </is>
      </c>
      <c r="D20" s="11" t="n">
        <v>1.466</v>
      </c>
      <c r="E20" s="12">
        <f>($C$6-$F$38)/2</f>
        <v/>
      </c>
      <c r="F20" s="9" t="n">
        <v>4</v>
      </c>
      <c r="G20" s="9">
        <f>F20*$C$9</f>
        <v/>
      </c>
      <c r="H20" s="9">
        <f>ROUNDUP(E20*G20/$F$42,0)</f>
        <v/>
      </c>
    </row>
    <row r="21">
      <c r="A21" s="9" t="n">
        <v>8</v>
      </c>
      <c r="B21" s="10" t="inlineStr">
        <is>
          <t>กรอบบาน นอน</t>
        </is>
      </c>
      <c r="C21" s="9" t="inlineStr">
        <is>
          <t>F7972</t>
        </is>
      </c>
      <c r="D21" s="11" t="n">
        <v>1.466</v>
      </c>
      <c r="E21" s="12">
        <f>$C$5-$F$39</f>
        <v/>
      </c>
      <c r="F21" s="9" t="n">
        <v>4</v>
      </c>
      <c r="G21" s="9">
        <f>F21*$C$9</f>
        <v/>
      </c>
      <c r="H21" s="9">
        <f>ROUNDUP(E21*G21/$F$42,0)</f>
        <v/>
      </c>
    </row>
    <row r="22">
      <c r="A22" s="9" t="n">
        <v>9</v>
      </c>
      <c r="B22" s="10" t="inlineStr">
        <is>
          <t>คิ้วกระจก ตั้ง</t>
        </is>
      </c>
      <c r="C22" s="9" t="inlineStr">
        <is>
          <t>F7935</t>
        </is>
      </c>
      <c r="D22" s="11" t="n">
        <v>0.285</v>
      </c>
      <c r="E22" s="12">
        <f>($C$6-$F$40)/2</f>
        <v/>
      </c>
      <c r="F22" s="9" t="n">
        <v>4</v>
      </c>
      <c r="G22" s="9">
        <f>F22*$C$9</f>
        <v/>
      </c>
      <c r="H22" s="9">
        <f>ROUNDUP(E22*G22/$F$42,0)</f>
        <v/>
      </c>
    </row>
    <row r="23">
      <c r="A23" s="9" t="n">
        <v>10</v>
      </c>
      <c r="B23" s="10" t="inlineStr">
        <is>
          <t>คิ้วกระจก นอน</t>
        </is>
      </c>
      <c r="C23" s="9" t="inlineStr">
        <is>
          <t>F7935</t>
        </is>
      </c>
      <c r="D23" s="11" t="n">
        <v>0.285</v>
      </c>
      <c r="E23" s="12">
        <f>$C$5-$F$41</f>
        <v/>
      </c>
      <c r="F23" s="9" t="n">
        <v>4</v>
      </c>
      <c r="G23" s="9">
        <f>F23*$C$9</f>
        <v/>
      </c>
      <c r="H23" s="9">
        <f>ROUNDUP(E23*G23/$F$42,0)</f>
        <v/>
      </c>
    </row>
    <row r="24">
      <c r="B24" s="13" t="inlineStr">
        <is>
          <t>น้ำหนักอลูรวม / ชุด (กก.)</t>
        </is>
      </c>
      <c r="E24" s="14">
        <f>ROUND(SUMPRODUCT(E14:E23,F14:F23,D14:D23)/100,2)</f>
        <v/>
      </c>
    </row>
    <row r="26">
      <c r="A26" s="3" t="inlineStr">
        <is>
          <t>⑥ กระจก (2 แผ่น/ชุด)</t>
        </is>
      </c>
      <c r="B26" s="4" t="n"/>
      <c r="C26" s="4" t="n"/>
      <c r="D26" s="4" t="n"/>
      <c r="E26" s="4" t="n"/>
      <c r="F26" s="4" t="n"/>
      <c r="G26" s="4" t="n"/>
      <c r="H26" s="5" t="n"/>
    </row>
    <row r="27">
      <c r="B27" s="6" t="inlineStr">
        <is>
          <t>กว้างกระจก (กรอบนอน − หัก)</t>
        </is>
      </c>
      <c r="C27" s="12">
        <f>$C$5-$F$39-$F$43</f>
        <v/>
      </c>
      <c r="D27" s="6" t="inlineStr">
        <is>
          <t>สูงกระจก (กรอบตั้ง − หัก)</t>
        </is>
      </c>
      <c r="E27" s="12">
        <f>($C$6-$F$38)/2-$F$43</f>
        <v/>
      </c>
    </row>
    <row r="28">
      <c r="B28" s="6" t="inlineStr">
        <is>
          <t>จำนวนแผ่น (2 × ชุด)</t>
        </is>
      </c>
      <c r="C28" s="9">
        <f>2*$C$9</f>
        <v/>
      </c>
      <c r="D28" s="6" t="inlineStr">
        <is>
          <t>น้ำหนักกระจกรวม (กก.)</t>
        </is>
      </c>
      <c r="E28" s="15">
        <f>ROUND(C27*E27*$C$8*2.5/10000*2*$C$9,1)</f>
        <v/>
      </c>
    </row>
    <row r="30">
      <c r="A30" s="3" t="inlineStr">
        <is>
          <t>⑦ แผงแก้สูตร (เหลือง = แก้ที่เดียว ทั้งใบเปลี่ยน)</t>
        </is>
      </c>
      <c r="B30" s="4" t="n"/>
      <c r="C30" s="4" t="n"/>
      <c r="D30" s="4" t="n"/>
      <c r="E30" s="4" t="n"/>
      <c r="F30" s="4" t="n"/>
      <c r="G30" s="4" t="n"/>
      <c r="H30" s="5" t="n"/>
    </row>
    <row r="32">
      <c r="B32" s="10" t="inlineStr">
        <is>
          <t>เฟรมข้าง — หัก (2)</t>
        </is>
      </c>
      <c r="F32" s="7" t="n">
        <v>2</v>
      </c>
    </row>
    <row r="33">
      <c r="B33" s="10" t="inlineStr">
        <is>
          <t>เฟรมล่าง — หัก (11)</t>
        </is>
      </c>
      <c r="F33" s="7" t="n">
        <v>11</v>
      </c>
    </row>
    <row r="34">
      <c r="B34" s="10" t="inlineStr">
        <is>
          <t>เฟรมบน — หัก (0)</t>
        </is>
      </c>
      <c r="F34" s="7" t="n">
        <v>0</v>
      </c>
    </row>
    <row r="35">
      <c r="B35" s="10" t="inlineStr">
        <is>
          <t>คิ้วเฟรมบน — หัก (15)</t>
        </is>
      </c>
      <c r="F35" s="7" t="n">
        <v>15</v>
      </c>
    </row>
    <row r="36">
      <c r="B36" s="10" t="inlineStr">
        <is>
          <t>ตบปิดตั้ง — หัก (2+4.5=6.5)</t>
        </is>
      </c>
      <c r="F36" s="7" t="n">
        <v>6.5</v>
      </c>
    </row>
    <row r="37">
      <c r="B37" s="10" t="inlineStr">
        <is>
          <t>ตบปิดนอน — หัก (11)</t>
        </is>
      </c>
      <c r="F37" s="7" t="n">
        <v>11</v>
      </c>
    </row>
    <row r="38">
      <c r="B38" s="10" t="inlineStr">
        <is>
          <t>กรอบตั้ง — หัก (2.5+2+3.7=8.2) แล้ว ÷2</t>
        </is>
      </c>
      <c r="F38" s="7" t="n">
        <v>8.199999999999999</v>
      </c>
    </row>
    <row r="39">
      <c r="B39" s="10" t="inlineStr">
        <is>
          <t>กรอบนอน — หัก (11+1.4=12.4)</t>
        </is>
      </c>
      <c r="F39" s="7" t="n">
        <v>12.4</v>
      </c>
    </row>
    <row r="40">
      <c r="B40" s="10" t="inlineStr">
        <is>
          <t>คิ้วกระจกตั้ง — หัก (39.5) แล้ว ÷2</t>
        </is>
      </c>
      <c r="F40" s="7" t="n">
        <v>39.5</v>
      </c>
    </row>
    <row r="41">
      <c r="B41" s="10" t="inlineStr">
        <is>
          <t>คิ้วกระจกนอน — หัก (24)</t>
        </is>
      </c>
      <c r="F41" s="7" t="n">
        <v>24</v>
      </c>
    </row>
    <row r="42">
      <c r="B42" s="10" t="inlineStr">
        <is>
          <t>เส้นสต็อก (ซม.)</t>
        </is>
      </c>
      <c r="F42" s="7" t="n">
        <v>640</v>
      </c>
    </row>
    <row r="43">
      <c r="B43" s="10" t="inlineStr">
        <is>
          <t>กระจก — หักจากกรอบ (13, ยืนยันพี่ JR)</t>
        </is>
      </c>
      <c r="F43" s="7" t="n">
        <v>13</v>
      </c>
    </row>
  </sheetData>
  <mergeCells count="6">
    <mergeCell ref="A12:H12"/>
    <mergeCell ref="A4:H4"/>
    <mergeCell ref="A26:H26"/>
    <mergeCell ref="A30:H30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2026-07-03T08:28:02Z</dcterms:created>
  <dcterms:modified xmlns:dcterms="http://purl.org/dc/terms/" xmlns:xsi="http://www.w3.org/2001/XMLSchema-instance" xsi:type="dcterms:W3CDTF">2026-07-03T08:28:02Z</dcterms:modified>
</cp:coreProperties>
</file>