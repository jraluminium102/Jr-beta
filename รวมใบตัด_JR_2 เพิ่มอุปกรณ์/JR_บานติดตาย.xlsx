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านติดต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</font>
    <font>
      <name val="Tahoma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164" fontId="2" fillId="0" borderId="6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1" customWidth="1" min="3" max="3"/>
    <col width="11" customWidth="1" min="4" max="4"/>
    <col width="11" customWidth="1" min="5" max="5"/>
    <col width="17" customWidth="1" min="6" max="6"/>
  </cols>
  <sheetData>
    <row r="1">
      <c r="A1" s="1" t="inlineStr">
        <is>
          <t>JR — ใบตัดบานติดตาย (เลือกชนิดกล่อง · หลายช่อง=เสากลางร่วม) · หน่วย ซม.</t>
        </is>
      </c>
      <c r="B1" s="3" t="n"/>
      <c r="C1" s="3" t="n"/>
      <c r="D1" s="3" t="n"/>
      <c r="E1" s="3" t="n"/>
      <c r="F1" s="4" t="n"/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</row>
    <row r="3">
      <c r="A3" s="5" t="inlineStr">
        <is>
          <t>ความกว้างช่อง →</t>
        </is>
      </c>
      <c r="B3" s="6" t="n">
        <v>150</v>
      </c>
    </row>
    <row r="4">
      <c r="A4" s="5" t="inlineStr">
        <is>
          <t>ความสูงช่อง →</t>
        </is>
      </c>
      <c r="B4" s="6" t="n">
        <v>200</v>
      </c>
    </row>
    <row r="5">
      <c r="A5" s="5" t="inlineStr">
        <is>
          <t>จำนวนช่อง n →</t>
        </is>
      </c>
      <c r="B5" s="6" t="n">
        <v>1</v>
      </c>
    </row>
    <row r="6">
      <c r="A6" s="5" t="inlineStr">
        <is>
          <t>ชนิดกล่อง →</t>
        </is>
      </c>
      <c r="B6" s="6" t="inlineStr">
        <is>
          <t>กล่อง 1.6×3 + 9014</t>
        </is>
      </c>
      <c r="D6" s="14" t="inlineStr">
        <is>
          <t>เสาตั้ง=n+1 (ร่วม) · นอน=ต่อช่อง×n</t>
        </is>
      </c>
    </row>
    <row r="8">
      <c r="A8" s="2" t="inlineStr">
        <is>
          <t>④ ใบตัด (จำนวน=0 = ไม่ใช้ในชนิดนี้)</t>
        </is>
      </c>
      <c r="B8" s="3" t="n"/>
      <c r="C8" s="3" t="n"/>
      <c r="D8" s="3" t="n"/>
      <c r="E8" s="3" t="n"/>
      <c r="F8" s="4" t="n"/>
    </row>
    <row r="9">
      <c r="A9" s="1" t="inlineStr">
        <is>
          <t>ชนิดกล่อง</t>
        </is>
      </c>
      <c r="B9" s="1" t="inlineStr">
        <is>
          <t>โปรไฟล์ / ทิศ</t>
        </is>
      </c>
      <c r="C9" s="1" t="inlineStr">
        <is>
          <t>ยาวตัด (ซม.)</t>
        </is>
      </c>
      <c r="D9" s="1" t="inlineStr">
        <is>
          <t>จำนวน</t>
        </is>
      </c>
      <c r="E9" s="1" t="inlineStr">
        <is>
          <t>เส้น 6ม.</t>
        </is>
      </c>
      <c r="F9" s="1" t="inlineStr">
        <is>
          <t>ฐาน / หมายเหตุ</t>
        </is>
      </c>
    </row>
    <row r="10">
      <c r="A10" s="10" t="inlineStr">
        <is>
          <t>กล่อง 1.6×3 + 9014</t>
        </is>
      </c>
      <c r="B10" s="10" t="inlineStr">
        <is>
          <t>กล่อง 1.6×3 — ตั้ง</t>
        </is>
      </c>
      <c r="C10" s="11">
        <f>B4</f>
        <v/>
      </c>
      <c r="D10" s="12">
        <f>IF($B$6="กล่อง 1.6×3 + 9014",(B5+1),0)</f>
        <v/>
      </c>
      <c r="E10" s="9">
        <f>IF(D10=0,"-",ROUNDUP(C10*D10/600,0))</f>
        <v/>
      </c>
      <c r="F10" s="10" t="inlineStr">
        <is>
          <t>สูง</t>
        </is>
      </c>
    </row>
    <row r="11">
      <c r="A11" s="10" t="inlineStr">
        <is>
          <t>กล่อง 1.6×3 + 9014</t>
        </is>
      </c>
      <c r="B11" s="10" t="inlineStr">
        <is>
          <t>กล่อง 1.6×3 — นอน</t>
        </is>
      </c>
      <c r="C11" s="11">
        <f>B3-$F$30</f>
        <v/>
      </c>
      <c r="D11" s="12">
        <f>IF($B$6="กล่อง 1.6×3 + 9014",2*B5,0)</f>
        <v/>
      </c>
      <c r="E11" s="9">
        <f>IF(D11=0,"-",ROUNDUP(C11*D11/600,0))</f>
        <v/>
      </c>
      <c r="F11" s="10" t="inlineStr">
        <is>
          <t>กว้าง−9</t>
        </is>
      </c>
    </row>
    <row r="12">
      <c r="A12" s="10" t="inlineStr">
        <is>
          <t>กล่อง 1.6×3 + 9014</t>
        </is>
      </c>
      <c r="B12" s="10" t="inlineStr">
        <is>
          <t>9014 คัลเทิลวอล — ตั้ง</t>
        </is>
      </c>
      <c r="C12" s="11">
        <f>B4</f>
        <v/>
      </c>
      <c r="D12" s="12">
        <f>IF($B$6="กล่อง 1.6×3 + 9014",(B5+1),0)</f>
        <v/>
      </c>
      <c r="E12" s="9">
        <f>IF(D12=0,"-",ROUNDUP(C12*D12/600,0))</f>
        <v/>
      </c>
      <c r="F12" s="10" t="inlineStr">
        <is>
          <t>สูง</t>
        </is>
      </c>
    </row>
    <row r="13">
      <c r="A13" s="10" t="inlineStr">
        <is>
          <t>กล่อง 1.6×3 + 9014</t>
        </is>
      </c>
      <c r="B13" s="10" t="inlineStr">
        <is>
          <t>9014 คัลเทิลวอล — นอน</t>
        </is>
      </c>
      <c r="C13" s="11">
        <f>B3-$F$30</f>
        <v/>
      </c>
      <c r="D13" s="12">
        <f>IF($B$6="กล่อง 1.6×3 + 9014",2*B5,0)</f>
        <v/>
      </c>
      <c r="E13" s="9">
        <f>IF(D13=0,"-",ROUNDUP(C13*D13/600,0))</f>
        <v/>
      </c>
      <c r="F13" s="10" t="inlineStr">
        <is>
          <t>กว้าง−9</t>
        </is>
      </c>
    </row>
    <row r="14">
      <c r="A14" s="10" t="inlineStr">
        <is>
          <t>กล่อง 1.6×4 + ฉาก</t>
        </is>
      </c>
      <c r="B14" s="10" t="inlineStr">
        <is>
          <t>กล่อง 1.6×4 — ตั้ง</t>
        </is>
      </c>
      <c r="C14" s="11">
        <f>B4</f>
        <v/>
      </c>
      <c r="D14" s="12">
        <f>IF($B$6="กล่อง 1.6×4 + ฉาก",(B5+1),0)</f>
        <v/>
      </c>
      <c r="E14" s="9">
        <f>IF(D14=0,"-",ROUNDUP(C14*D14/600,0))</f>
        <v/>
      </c>
      <c r="F14" s="10" t="inlineStr">
        <is>
          <t>สูง</t>
        </is>
      </c>
    </row>
    <row r="15">
      <c r="A15" s="10" t="inlineStr">
        <is>
          <t>กล่อง 1.6×4 + ฉาก</t>
        </is>
      </c>
      <c r="B15" s="10" t="inlineStr">
        <is>
          <t>กล่อง 1.6×4 — นอน</t>
        </is>
      </c>
      <c r="C15" s="11">
        <f>B3-$F$30</f>
        <v/>
      </c>
      <c r="D15" s="12">
        <f>IF($B$6="กล่อง 1.6×4 + ฉาก",2*B5,0)</f>
        <v/>
      </c>
      <c r="E15" s="9">
        <f>IF(D15=0,"-",ROUNDUP(C15*D15/600,0))</f>
        <v/>
      </c>
      <c r="F15" s="10" t="inlineStr">
        <is>
          <t>กว้าง−9</t>
        </is>
      </c>
    </row>
    <row r="16">
      <c r="A16" s="10" t="inlineStr">
        <is>
          <t>กล่อง 1.6×4 + ฉาก</t>
        </is>
      </c>
      <c r="B16" s="10" t="inlineStr">
        <is>
          <t>กล่อง 4หุน — ตั้ง</t>
        </is>
      </c>
      <c r="C16" s="11">
        <f>B4-$F$30-$F$31</f>
        <v/>
      </c>
      <c r="D16" s="12">
        <f>IF($B$6="กล่อง 1.6×4 + ฉาก",(B5+1),0)</f>
        <v/>
      </c>
      <c r="E16" s="9">
        <f>IF(D16=0,"-",ROUNDUP(C16*D16/600,0))</f>
        <v/>
      </c>
      <c r="F16" s="10" t="inlineStr">
        <is>
          <t>สูง−9−2.4</t>
        </is>
      </c>
    </row>
    <row r="17">
      <c r="A17" s="10" t="inlineStr">
        <is>
          <t>กล่อง 1.6×4 + ฉาก</t>
        </is>
      </c>
      <c r="B17" s="10" t="inlineStr">
        <is>
          <t>กล่อง 4หุน — นอน</t>
        </is>
      </c>
      <c r="C17" s="11">
        <f>B3-$F$30</f>
        <v/>
      </c>
      <c r="D17" s="12">
        <f>IF($B$6="กล่อง 1.6×4 + ฉาก",2*B5,0)</f>
        <v/>
      </c>
      <c r="E17" s="9">
        <f>IF(D17=0,"-",ROUNDUP(C17*D17/600,0))</f>
        <v/>
      </c>
      <c r="F17" s="10" t="inlineStr">
        <is>
          <t>กว้าง−9</t>
        </is>
      </c>
    </row>
    <row r="18">
      <c r="A18" s="10" t="inlineStr">
        <is>
          <t>กล่อง 1.6×4 + ฉาก</t>
        </is>
      </c>
      <c r="B18" s="10" t="inlineStr">
        <is>
          <t>ฉาก 4หุน — ตั้ง</t>
        </is>
      </c>
      <c r="C18" s="11">
        <f>B4-$F$30-$F$31</f>
        <v/>
      </c>
      <c r="D18" s="12">
        <f>IF($B$6="กล่อง 1.6×4 + ฉาก",(B5+1),0)</f>
        <v/>
      </c>
      <c r="E18" s="9">
        <f>IF(D18=0,"-",ROUNDUP(C18*D18/600,0))</f>
        <v/>
      </c>
      <c r="F18" s="10" t="inlineStr">
        <is>
          <t>สูง−9−2.4</t>
        </is>
      </c>
    </row>
    <row r="19">
      <c r="A19" s="10" t="inlineStr">
        <is>
          <t>กล่อง 1.6×4 + ฉาก</t>
        </is>
      </c>
      <c r="B19" s="10" t="inlineStr">
        <is>
          <t>ฉาก 4หุน — นอน</t>
        </is>
      </c>
      <c r="C19" s="11">
        <f>B3-$F$30</f>
        <v/>
      </c>
      <c r="D19" s="12">
        <f>IF($B$6="กล่อง 1.6×4 + ฉาก",2*B5,0)</f>
        <v/>
      </c>
      <c r="E19" s="9">
        <f>IF(D19=0,"-",ROUNDUP(C19*D19/600,0))</f>
        <v/>
      </c>
      <c r="F19" s="10" t="inlineStr">
        <is>
          <t>กว้าง−9</t>
        </is>
      </c>
    </row>
    <row r="20">
      <c r="A20" s="10" t="inlineStr">
        <is>
          <t>กล่องร่อง</t>
        </is>
      </c>
      <c r="B20" s="10" t="inlineStr">
        <is>
          <t>กล่องร่อง — ตั้ง</t>
        </is>
      </c>
      <c r="C20" s="11">
        <f>B4</f>
        <v/>
      </c>
      <c r="D20" s="12">
        <f>IF($B$6="กล่องร่อง",(B5+1),0)</f>
        <v/>
      </c>
      <c r="E20" s="9">
        <f>IF(D20=0,"-",ROUNDUP(C20*D20/600,0))</f>
        <v/>
      </c>
      <c r="F20" s="10" t="inlineStr">
        <is>
          <t>สูง</t>
        </is>
      </c>
    </row>
    <row r="21">
      <c r="A21" s="10" t="inlineStr">
        <is>
          <t>กล่องร่อง</t>
        </is>
      </c>
      <c r="B21" s="10" t="inlineStr">
        <is>
          <t>กล่องร่อง — นอน</t>
        </is>
      </c>
      <c r="C21" s="11">
        <f>B3-$F$30</f>
        <v/>
      </c>
      <c r="D21" s="12">
        <f>IF($B$6="กล่องร่อง",1*B5,0)</f>
        <v/>
      </c>
      <c r="E21" s="9">
        <f>IF(D21=0,"-",ROUNDUP(C21*D21/600,0))</f>
        <v/>
      </c>
      <c r="F21" s="10" t="inlineStr">
        <is>
          <t>กว้าง−9</t>
        </is>
      </c>
    </row>
    <row r="22">
      <c r="A22" s="10" t="inlineStr">
        <is>
          <t>กล่องร่อง</t>
        </is>
      </c>
      <c r="B22" s="10" t="inlineStr">
        <is>
          <t>กล่องเปิด — นอน</t>
        </is>
      </c>
      <c r="C22" s="11">
        <f>B3-$F$30</f>
        <v/>
      </c>
      <c r="D22" s="12">
        <f>IF($B$6="กล่องร่อง",1*B5,0)</f>
        <v/>
      </c>
      <c r="E22" s="9">
        <f>IF(D22=0,"-",ROUNDUP(C22*D22/600,0))</f>
        <v/>
      </c>
      <c r="F22" s="10" t="inlineStr">
        <is>
          <t>กว้าง−9</t>
        </is>
      </c>
    </row>
    <row r="23">
      <c r="A23" s="10" t="inlineStr">
        <is>
          <t>กล่องร่อง</t>
        </is>
      </c>
      <c r="B23" s="10" t="inlineStr">
        <is>
          <t>ตบปิดกล่องเปิด — นอน</t>
        </is>
      </c>
      <c r="C23" s="11">
        <f>B3-$F$30</f>
        <v/>
      </c>
      <c r="D23" s="12">
        <f>IF($B$6="กล่องร่อง",1*B5,0)</f>
        <v/>
      </c>
      <c r="E23" s="9">
        <f>IF(D23=0,"-",ROUNDUP(C23*D23/600,0))</f>
        <v/>
      </c>
      <c r="F23" s="10" t="inlineStr">
        <is>
          <t>กว้าง−9</t>
        </is>
      </c>
    </row>
    <row r="24">
      <c r="A24" s="10" t="inlineStr">
        <is>
          <t>กล่องร่อง</t>
        </is>
      </c>
      <c r="B24" s="10" t="inlineStr">
        <is>
          <t>ตบร่อง — ตั้ง (ทุกเสากลาง)</t>
        </is>
      </c>
      <c r="C24" s="11">
        <f>B4</f>
        <v/>
      </c>
      <c r="D24" s="12">
        <f>IF($B$6="กล่องร่อง",MAX(B5-1,0),0)</f>
        <v/>
      </c>
      <c r="E24" s="9">
        <f>IF(D24=0,"-",ROUNDUP(C24*D24/600,0))</f>
        <v/>
      </c>
      <c r="F24" s="10" t="inlineStr">
        <is>
          <t>สูง · 700/เส้น</t>
        </is>
      </c>
    </row>
    <row r="25">
      <c r="A25" s="9" t="inlineStr">
        <is>
          <t>ทุกชนิด</t>
        </is>
      </c>
      <c r="B25" s="5" t="inlineStr">
        <is>
          <t>เทปหนุนกระจก (ม.)</t>
        </is>
      </c>
      <c r="C25" s="11">
        <f>ROUND((2*B3+2*B4)*B5/100,1)</f>
        <v/>
      </c>
      <c r="D25" s="20" t="inlineStr">
        <is>
          <t>-</t>
        </is>
      </c>
      <c r="E25" s="9" t="inlineStr">
        <is>
          <t>-</t>
        </is>
      </c>
      <c r="F25" s="10" t="inlineStr">
        <is>
          <t>รอบกระจก</t>
        </is>
      </c>
    </row>
    <row r="26">
      <c r="A26" s="18" t="n"/>
      <c r="B26" s="21" t="n"/>
      <c r="C26" s="19" t="n"/>
      <c r="D26" s="22" t="n"/>
      <c r="E26" s="22" t="n"/>
      <c r="F26" s="18" t="n"/>
    </row>
    <row r="29">
      <c r="A29" s="2" t="inlineStr">
        <is>
          <t>⑦ แผงค่าหัก (เหลือง = แก้ที่เดียว)</t>
        </is>
      </c>
      <c r="B29" s="3" t="n"/>
      <c r="C29" s="3" t="n"/>
      <c r="D29" s="3" t="n"/>
      <c r="E29" s="3" t="n"/>
      <c r="F29" s="4" t="n"/>
    </row>
    <row r="30">
      <c r="B30" s="10" t="inlineStr">
        <is>
          <t>หักนอน (ความกว้างช่อง −)</t>
        </is>
      </c>
      <c r="F30" s="15" t="n">
        <v>9</v>
      </c>
    </row>
    <row r="31">
      <c r="B31" s="10" t="inlineStr">
        <is>
          <t>หักตั้ง 4หุน เพิ่ม (−)</t>
        </is>
      </c>
      <c r="F31" s="15" t="n">
        <v>2.4</v>
      </c>
    </row>
    <row r="32">
      <c r="B32" s="18" t="n"/>
      <c r="F32" s="19" t="n"/>
    </row>
  </sheetData>
  <mergeCells count="4">
    <mergeCell ref="A8:F8"/>
    <mergeCell ref="A2:F2"/>
    <mergeCell ref="A1:F1"/>
    <mergeCell ref="A29:F29"/>
  </mergeCells>
  <dataValidations count="1">
    <dataValidation sqref="B6" showDropDown="0" showInputMessage="0" showErrorMessage="0" allowBlank="0" type="list">
      <formula1>"กล่อง 1.6×3 + 9014,กล่อง 1.6×4 + ฉาก,กล่องร่อง"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2026-07-06T07:53:43Z</dcterms:created>
  <dcterms:modified xmlns:dcterms="http://purl.org/dc/terms/" xmlns:xsi="http://www.w3.org/2001/XMLSchema-instance" xsi:type="dcterms:W3CDTF">2026-07-06T08:50:29Z</dcterms:modified>
</cp:coreProperties>
</file>