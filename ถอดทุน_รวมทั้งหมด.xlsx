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สารบัญ" sheetId="1" state="visible" r:id="rId1"/>
    <sheet xmlns:r="http://schemas.openxmlformats.org/officeDocument/2006/relationships" name="อัปเดตราคาอลู" sheetId="2" state="visible" r:id="rId2"/>
    <sheet xmlns:r="http://schemas.openxmlformats.org/officeDocument/2006/relationships" name="ราคาสี" sheetId="3" state="visible" r:id="rId3"/>
    <sheet xmlns:r="http://schemas.openxmlformats.org/officeDocument/2006/relationships" name="บันทึกราคาขึ้น" sheetId="4" state="visible" r:id="rId4"/>
    <sheet xmlns:r="http://schemas.openxmlformats.org/officeDocument/2006/relationships" name="ราคางานเสริม" sheetId="5" state="visible" r:id="rId5"/>
    <sheet xmlns:r="http://schemas.openxmlformats.org/officeDocument/2006/relationships" name="ราคาออโต้" sheetId="6" state="visible" r:id="rId6"/>
    <sheet xmlns:r="http://schemas.openxmlformats.org/officeDocument/2006/relationships" name="ราคาวัสดุ" sheetId="7" state="visible" r:id="rId7"/>
    <sheet xmlns:r="http://schemas.openxmlformats.org/officeDocument/2006/relationships" name="ราคาเหล็ก" sheetId="8" state="visible" r:id="rId8"/>
    <sheet xmlns:r="http://schemas.openxmlformats.org/officeDocument/2006/relationships" name="ค่าแรง" sheetId="9" state="visible" r:id="rId9"/>
    <sheet xmlns:r="http://schemas.openxmlformats.org/officeDocument/2006/relationships" name="ราคามุ้ง" sheetId="10" state="visible" r:id="rId10"/>
    <sheet xmlns:r="http://schemas.openxmlformats.org/officeDocument/2006/relationships" name="log กระจก" sheetId="11" state="visible" r:id="rId11"/>
    <sheet xmlns:r="http://schemas.openxmlformats.org/officeDocument/2006/relationships" name="LUT_ฝ้าไม้เทียม" sheetId="12" state="visible" r:id="rId12"/>
    <sheet xmlns:r="http://schemas.openxmlformats.org/officeDocument/2006/relationships" name="น้ำหนักโปรไฟล์" sheetId="13" state="visible" r:id="rId13"/>
    <sheet xmlns:r="http://schemas.openxmlformats.org/officeDocument/2006/relationships" name="ราคาวัสดุกลาง" sheetId="14" state="visible" r:id="rId14"/>
    <sheet xmlns:r="http://schemas.openxmlformats.org/officeDocument/2006/relationships" name="คิดทุน SMS" sheetId="15" state="visible" r:id="rId15"/>
    <sheet xmlns:r="http://schemas.openxmlformats.org/officeDocument/2006/relationships" name="คิดทุน ยูโร" sheetId="16" state="visible" r:id="rId16"/>
    <sheet xmlns:r="http://schemas.openxmlformats.org/officeDocument/2006/relationships" name="คิดทุน SlimLux" sheetId="17" state="visible" r:id="rId17"/>
    <sheet xmlns:r="http://schemas.openxmlformats.org/officeDocument/2006/relationships" name="คิดทุน บานเลื่อนรางบน" sheetId="18" state="visible" r:id="rId18"/>
    <sheet xmlns:r="http://schemas.openxmlformats.org/officeDocument/2006/relationships" name="คิดทุน บานเปิด" sheetId="19" state="visible" r:id="rId19"/>
    <sheet xmlns:r="http://schemas.openxmlformats.org/officeDocument/2006/relationships" name="คิดทุน บานหมุน" sheetId="20" state="visible" r:id="rId20"/>
    <sheet xmlns:r="http://schemas.openxmlformats.org/officeDocument/2006/relationships" name="คิดทุน กระทุ้ง" sheetId="21" state="visible" r:id="rId21"/>
    <sheet xmlns:r="http://schemas.openxmlformats.org/officeDocument/2006/relationships" name="คิดทุน เฟี้ยม" sheetId="22" state="visible" r:id="rId22"/>
    <sheet xmlns:r="http://schemas.openxmlformats.org/officeDocument/2006/relationships" name="คิดทุน ติดตาย" sheetId="23" state="visible" r:id="rId23"/>
    <sheet xmlns:r="http://schemas.openxmlformats.org/officeDocument/2006/relationships" name="คิดทุน Velora" sheetId="24" state="visible" r:id="rId24"/>
    <sheet xmlns:r="http://schemas.openxmlformats.org/officeDocument/2006/relationships" name="คิดทุน E-series" sheetId="25" state="visible" r:id="rId25"/>
    <sheet xmlns:r="http://schemas.openxmlformats.org/officeDocument/2006/relationships" name="คิดทุน PC Door" sheetId="26" state="visible" r:id="rId26"/>
    <sheet xmlns:r="http://schemas.openxmlformats.org/officeDocument/2006/relationships" name="คิดทุน บานยก" sheetId="27" state="visible" r:id="rId27"/>
    <sheet xmlns:r="http://schemas.openxmlformats.org/officeDocument/2006/relationships" name="คิดทุน เฟี้ยมยูโร" sheetId="28" state="visible" r:id="rId28"/>
    <sheet xmlns:r="http://schemas.openxmlformats.org/officeDocument/2006/relationships" name="คิดทุน ตายดัดโค้ง" sheetId="29" state="visible" r:id="rId29"/>
    <sheet xmlns:r="http://schemas.openxmlformats.org/officeDocument/2006/relationships" name="คิดทุน เปิดดัดโค้ง" sheetId="30" state="visible" r:id="rId30"/>
    <sheet xmlns:r="http://schemas.openxmlformats.org/officeDocument/2006/relationships" name="คิดทุน ระแนง" sheetId="31" state="visible" r:id="rId31"/>
    <sheet xmlns:r="http://schemas.openxmlformats.org/officeDocument/2006/relationships" name="คิดทุน ระแนงสลับ" sheetId="32" state="visible" r:id="rId32"/>
    <sheet xmlns:r="http://schemas.openxmlformats.org/officeDocument/2006/relationships" name="คิดทุน ประตูรั้ว" sheetId="33" state="visible" r:id="rId33"/>
    <sheet xmlns:r="http://schemas.openxmlformats.org/officeDocument/2006/relationships" name="คิดทุน บานเกล็ด" sheetId="34" state="visible" r:id="rId34"/>
    <sheet xmlns:r="http://schemas.openxmlformats.org/officeDocument/2006/relationships" name="คิดทุน ระแนงหมุน" sheetId="35" state="visible" r:id="rId35"/>
    <sheet xmlns:r="http://schemas.openxmlformats.org/officeDocument/2006/relationships" name="คิดทุน หลังคา (รวม)" sheetId="36" state="visible" r:id="rId36"/>
    <sheet xmlns:r="http://schemas.openxmlformats.org/officeDocument/2006/relationships" name="ฝ้ายิปซัม" sheetId="37" state="visible" r:id="rId37"/>
    <sheet xmlns:r="http://schemas.openxmlformats.org/officeDocument/2006/relationships" name="งานไฟ" sheetId="38" state="visible" r:id="rId38"/>
    <sheet xmlns:r="http://schemas.openxmlformats.org/officeDocument/2006/relationships" name="สมาร์ทบอร์ด" sheetId="39" state="visible" r:id="rId39"/>
    <sheet xmlns:r="http://schemas.openxmlformats.org/officeDocument/2006/relationships" name="ไอโซวอล" sheetId="40" state="visible" r:id="rId40"/>
    <sheet xmlns:r="http://schemas.openxmlformats.org/officeDocument/2006/relationships" name="คิดทุนฝ้าไม้เทียม" sheetId="41" state="visible" r:id="rId41"/>
    <sheet xmlns:r="http://schemas.openxmlformats.org/officeDocument/2006/relationships" name="หน้าตารางรวม" sheetId="42" state="visible" r:id="rId42"/>
    <sheet xmlns:r="http://schemas.openxmlformats.org/officeDocument/2006/relationships" name="สรุปค่าแรง" sheetId="43" state="visible" r:id="rId43"/>
    <sheet xmlns:r="http://schemas.openxmlformats.org/officeDocument/2006/relationships" name="สรุปงานเสริม" sheetId="44" state="visible" r:id="rId44"/>
    <sheet xmlns:r="http://schemas.openxmlformats.org/officeDocument/2006/relationships" name="เทียบ R3.9 SMS" sheetId="45" state="visible" r:id="rId45"/>
    <sheet xmlns:r="http://schemas.openxmlformats.org/officeDocument/2006/relationships" name="เทียบ R3.9 ยูโร" sheetId="46" state="visible" r:id="rId46"/>
    <sheet xmlns:r="http://schemas.openxmlformats.org/officeDocument/2006/relationships" name="เทียบ E-series" sheetId="47" state="visible" r:id="rId47"/>
    <sheet xmlns:r="http://schemas.openxmlformats.org/officeDocument/2006/relationships" name="เทียบ เฟี้ยมยูโร" sheetId="48" state="visible" r:id="rId48"/>
    <sheet xmlns:r="http://schemas.openxmlformats.org/officeDocument/2006/relationships" name="ทุนไวนิล" sheetId="49" state="visible" r:id="rId49"/>
    <sheet xmlns:r="http://schemas.openxmlformats.org/officeDocument/2006/relationships" name="ทุนดีไลท์" sheetId="50" state="visible" r:id="rId50"/>
    <sheet xmlns:r="http://schemas.openxmlformats.org/officeDocument/2006/relationships" name="ทุนโพลีตัน" sheetId="51" state="visible" r:id="rId51"/>
    <sheet xmlns:r="http://schemas.openxmlformats.org/officeDocument/2006/relationships" name="ทุนชินโคร์ HC" sheetId="52" state="visible" r:id="rId52"/>
    <sheet xmlns:r="http://schemas.openxmlformats.org/officeDocument/2006/relationships" name="ทุนชินโคร์ Sup" sheetId="53" state="visible" r:id="rId53"/>
    <sheet xmlns:r="http://schemas.openxmlformats.org/officeDocument/2006/relationships" name="ทุนเมทัลชีท" sheetId="54" state="visible" r:id="rId54"/>
    <sheet xmlns:r="http://schemas.openxmlformats.org/officeDocument/2006/relationships" name="ทุนกระจก 4+4" sheetId="55" state="visible" r:id="rId55"/>
    <sheet xmlns:r="http://schemas.openxmlformats.org/officeDocument/2006/relationships" name="ทุนกระจก 5+5" sheetId="56" state="visible" r:id="rId56"/>
    <sheet xmlns:r="http://schemas.openxmlformats.org/officeDocument/2006/relationships" name="เทียบ R3.9" sheetId="57" state="visible" r:id="rId57"/>
    <sheet xmlns:r="http://schemas.openxmlformats.org/officeDocument/2006/relationships" name="สีฝ้าไม้เทียม" sheetId="58" state="visible" r:id="rId58"/>
    <sheet xmlns:r="http://schemas.openxmlformats.org/officeDocument/2006/relationships" name="เช็กขนาดกระจก" sheetId="59" state="visible" r:id="rId59"/>
    <sheet xmlns:r="http://schemas.openxmlformats.org/officeDocument/2006/relationships" name="คิดทุน หลังคา" sheetId="60" state="hidden" r:id="rId60"/>
    <sheet xmlns:r="http://schemas.openxmlformats.org/officeDocument/2006/relationships" name="คิดทุน หลังคาจั่ว" sheetId="61" state="hidden" r:id="rId61"/>
    <sheet xmlns:r="http://schemas.openxmlformats.org/officeDocument/2006/relationships" name="คิดทุน หลังคาเลื่อน" sheetId="62" state="hidden" r:id="rId62"/>
    <sheet xmlns:r="http://schemas.openxmlformats.org/officeDocument/2006/relationships" name="ระแนงสลับ_ประตู" sheetId="63" state="visible" r:id="rId63"/>
    <sheet xmlns:r="http://schemas.openxmlformats.org/officeDocument/2006/relationships" name="คิดทุน สมาร์ทบอร์ดพื้น" sheetId="64" state="visible" r:id="rId64"/>
    <sheet xmlns:r="http://schemas.openxmlformats.org/officeDocument/2006/relationships" name="ชีทอุปกรณ์" sheetId="65" state="visible" r:id="rId65"/>
    <sheet xmlns:r="http://schemas.openxmlformats.org/officeDocument/2006/relationships" name="คิดทุน บานตู้ Futuretech" sheetId="66" state="visible" r:id="rId66"/>
    <sheet xmlns:r="http://schemas.openxmlformats.org/officeDocument/2006/relationships" name="คิดทุน ชุด Shower" sheetId="67" state="visible" r:id="rId67"/>
    <sheet xmlns:r="http://schemas.openxmlformats.org/officeDocument/2006/relationships" name="คิดทุน ราวกันตก" sheetId="68" state="visible" r:id="rId68"/>
    <sheet xmlns:r="http://schemas.openxmlformats.org/officeDocument/2006/relationships" name="คิดทุน บานโซลิด" sheetId="69" state="visible" r:id="rId69"/>
    <sheet xmlns:r="http://schemas.openxmlformats.org/officeDocument/2006/relationships" name="คิดทุน บานระแนงเลื่อน" sheetId="70" state="visible" r:id="rId70"/>
    <sheet xmlns:r="http://schemas.openxmlformats.org/officeDocument/2006/relationships" name="ราคาอ้างอิง YKK" sheetId="71" state="visible" r:id="rId71"/>
    <sheet xmlns:r="http://schemas.openxmlformats.org/officeDocument/2006/relationships" name="คิดทุน เฟี้ยมยก" sheetId="72" state="visible" r:id="rId72"/>
    <sheet xmlns:r="http://schemas.openxmlformats.org/officeDocument/2006/relationships" name="คิดทุน บานเปลือย" sheetId="73" state="visible" r:id="rId73"/>
    <sheet xmlns:r="http://schemas.openxmlformats.org/officeDocument/2006/relationships" name="SlimLux_ตัด" sheetId="74" state="hidden" r:id="rId74"/>
    <sheet xmlns:r="http://schemas.openxmlformats.org/officeDocument/2006/relationships" name="Velora_ตัด" sheetId="75" state="hidden" r:id="rId75"/>
  </sheets>
  <definedNames>
    <definedName name="SlimLuxGlass">'คิดทุน SlimLux'!$AA$1:$AA$21</definedName>
    <definedName name="mult_sms">'อัปเดตราคาอลู'!$C$4</definedName>
    <definedName name="mult_euro">'อัปเดตราคาอลู'!$C$5</definedName>
    <definedName name="mult_slim">'อัปเดตราคาอลู'!$C$6</definedName>
    <definedName name="mult_velora">'อัปเดตราคาอลู'!$C$7</definedName>
    <definedName name="mult_mtong">'อัปเดตราคาอลู'!$C$8</definedName>
    <definedName name="rate_grey">'อัปเดตราคาอลู'!$B$13</definedName>
    <definedName name="rate_special">'อัปเดตราคาอลู'!$B$14</definedName>
    <definedName name="rate_woodbake">'อัปเดตราคาอลู'!$B$15</definedName>
    <definedName name="rate_woodstock">'อัปเดตราคาอลู'!$B$16</definedName>
    <definedName name="MungList">ราคามุ้ง!$G$1:$G$15</definedName>
    <definedName name="ClothList">ราคามุ้ง!$I$2:$I$5</definedName>
    <definedName name="mult_wood">'อัปเดตราคาอลู'!$C$20</definedName>
    <definedName name="MungReady">'ราคามุ้ง'!$G$1:$G$12</definedName>
    <definedName name="GlassNames">ราคาวัสดุกลาง!$H$2:$H$106</definedName>
    <definedName name="rate_anodize">'อัปเดตราคาอลู'!$B$18</definedName>
    <definedName name="buf_scrap">'อัปเดตราคาอลู'!$B$22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"/>
    <numFmt numFmtId="166" formatCode="0.000"/>
    <numFmt numFmtId="167" formatCode="#,##0.0"/>
    <numFmt numFmtId="168" formatCode="0.##"/>
    <numFmt numFmtId="169" formatCode="#,##0.##"/>
    <numFmt numFmtId="170" formatCode="#,##0&quot; บาท&quot;"/>
    <numFmt numFmtId="171" formatCode="0&quot; /ตร.ม.&quot;;0;&quot;เหมา&quot;"/>
    <numFmt numFmtId="172" formatCode="#,##0;0;&quot;– คิด/ตร.ม. –&quot;"/>
  </numFmts>
  <fonts count="1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color rgb="FFFFFFFF"/>
      <sz val="12"/>
    </font>
    <font>
      <name val="Tahoma"/>
      <charset val="1"/>
      <family val="0"/>
      <b val="1"/>
      <sz val="10"/>
    </font>
    <font>
      <name val="Tahoma"/>
      <charset val="1"/>
      <family val="0"/>
      <sz val="10"/>
    </font>
    <font>
      <name val="Tahoma"/>
      <charset val="1"/>
      <family val="0"/>
      <i val="1"/>
      <color rgb="FF808080"/>
      <sz val="8"/>
    </font>
    <font>
      <name val="Tahoma"/>
      <charset val="1"/>
      <family val="0"/>
      <b val="1"/>
      <color rgb="FFFFFFFF"/>
      <sz val="13"/>
    </font>
    <font>
      <name val="Tahoma"/>
      <charset val="1"/>
      <family val="0"/>
      <color rgb="FF000000"/>
      <sz val="10"/>
    </font>
    <font>
      <name val="Tahoma"/>
      <charset val="1"/>
      <family val="0"/>
      <color rgb="FF808080"/>
      <sz val="8"/>
    </font>
    <font>
      <name val="Tahoma"/>
      <charset val="1"/>
      <family val="0"/>
      <b val="1"/>
      <sz val="11"/>
    </font>
    <font>
      <name val="Cambria"/>
      <charset val="1"/>
      <family val="0"/>
      <i val="1"/>
      <color rgb="FFC00000"/>
      <sz val="9"/>
    </font>
    <font>
      <name val="Cambria"/>
      <charset val="1"/>
      <family val="0"/>
      <sz val="11"/>
    </font>
    <font>
      <name val="DejaVu Sans"/>
      <family val="2"/>
      <color theme="1"/>
      <sz val="11"/>
    </font>
    <font>
      <name val="DejaVu Sans"/>
      <charset val="1"/>
      <family val="2"/>
      <color theme="1"/>
      <sz val="11"/>
    </font>
    <font>
      <name val="Tahoma"/>
      <charset val="1"/>
      <family val="0"/>
      <b val="1"/>
      <color rgb="FF808080"/>
      <sz val="8"/>
    </font>
    <font>
      <name val="Tahoma"/>
      <charset val="1"/>
      <family val="0"/>
      <color rgb="FF808080"/>
      <sz val="9"/>
    </font>
    <font>
      <name val="Tahoma"/>
      <charset val="1"/>
      <family val="0"/>
      <sz val="9"/>
    </font>
    <font>
      <name val="Tahoma"/>
      <charset val="1"/>
      <family val="0"/>
      <sz val="8"/>
    </font>
    <font>
      <name val="Tahoma"/>
      <charset val="1"/>
      <family val="0"/>
      <b val="1"/>
      <sz val="9"/>
    </font>
    <font>
      <name val="Tahoma"/>
      <charset val="1"/>
      <family val="0"/>
      <b val="1"/>
      <sz val="12"/>
    </font>
    <font>
      <name val="Tahoma"/>
      <charset val="1"/>
      <family val="0"/>
      <b val="1"/>
      <color rgb="FF375623"/>
      <sz val="10"/>
    </font>
    <font>
      <name val="Tahoma"/>
      <b val="1"/>
      <sz val="10"/>
    </font>
    <font>
      <name val="Tahoma"/>
      <sz val="10"/>
    </font>
    <font>
      <name val="Tahoma"/>
      <sz val="9"/>
    </font>
    <font>
      <name val="Tahoma"/>
      <b val="1"/>
      <color rgb="00FFFFFF"/>
      <sz val="13"/>
    </font>
    <font>
      <name val="Tahoma"/>
      <b val="1"/>
      <sz val="11"/>
    </font>
    <font>
      <name val="Tahoma"/>
      <b val="1"/>
      <sz val="13"/>
    </font>
    <font>
      <name val="Tahoma"/>
      <b val="1"/>
      <color rgb="00FFFFFF"/>
      <sz val="12"/>
    </font>
    <font>
      <name val="Tahoma"/>
      <sz val="11"/>
    </font>
    <font>
      <name val="Tahoma"/>
      <b val="1"/>
      <sz val="12"/>
    </font>
    <font>
      <name val="Tahoma"/>
      <b val="1"/>
      <sz val="9"/>
    </font>
    <font>
      <name val="Tahoma"/>
      <b val="1"/>
      <color rgb="00FFFFFF"/>
      <sz val="10"/>
    </font>
    <font>
      <name val="Tahoma"/>
      <i val="1"/>
      <sz val="10"/>
    </font>
    <font>
      <name val="Tahoma"/>
      <charset val="1"/>
      <family val="2"/>
      <color theme="1"/>
      <sz val="11"/>
    </font>
    <font>
      <name val="Tahoma"/>
      <i val="1"/>
      <sz val="9"/>
    </font>
    <font>
      <name val="TH Sarabun New"/>
      <b val="1"/>
      <color rgb="00FFFFFF"/>
      <sz val="13"/>
    </font>
    <font>
      <name val="TH Sarabun New"/>
      <b val="1"/>
      <color rgb="00FFFFFF"/>
      <sz val="11"/>
    </font>
    <font>
      <name val="TH Sarabun New"/>
      <sz val="10"/>
    </font>
    <font>
      <name val="TH Sarabun New"/>
      <b val="1"/>
      <sz val="10"/>
    </font>
    <font>
      <name val="TH Sarabun New"/>
      <sz val="9"/>
    </font>
    <font>
      <name val="TH Sarabun New"/>
      <b val="1"/>
      <color rgb="00CC6600"/>
      <sz val="10"/>
    </font>
    <font>
      <name val="TH Sarabun New"/>
      <b val="1"/>
      <color rgb="00FFFFFF"/>
      <sz val="10"/>
    </font>
    <font>
      <name val="Calibri"/>
      <family val="2"/>
      <color theme="1"/>
      <sz val="11"/>
      <scheme val="minor"/>
    </font>
    <font>
      <name val="TH Sarabun New"/>
      <b val="1"/>
      <color rgb="001F4E79"/>
      <sz val="10"/>
    </font>
    <font>
      <name val="TH Sarabun New"/>
      <b val="1"/>
      <color rgb="00375623"/>
      <sz val="10"/>
    </font>
    <font>
      <name val="TH Sarabun New"/>
      <i val="1"/>
      <color rgb="00888888"/>
      <sz val="10"/>
    </font>
    <font>
      <name val="TH Sarabun New"/>
      <i val="1"/>
      <color rgb="00CC6600"/>
      <sz val="9"/>
    </font>
    <font>
      <name val="Tahoma"/>
      <b val="1"/>
      <color rgb="00FFFFFF"/>
      <sz val="11"/>
    </font>
    <font>
      <name val="Tahoma"/>
      <color rgb="00000000"/>
      <sz val="10"/>
    </font>
    <font>
      <name val="Tahoma"/>
      <b val="1"/>
      <color rgb="00000000"/>
      <sz val="11"/>
    </font>
    <font>
      <name val="Tahoma"/>
      <color rgb="00000000"/>
      <sz val="9"/>
    </font>
    <font>
      <name val="Tahoma"/>
      <color rgb="00808080"/>
      <sz val="9"/>
    </font>
    <font>
      <name val="Tahoma"/>
      <b val="1"/>
      <color rgb="00000000"/>
      <sz val="10"/>
    </font>
    <font>
      <name val="Tahoma"/>
      <b val="1"/>
      <color rgb="0027500A"/>
      <sz val="12"/>
    </font>
    <font>
      <name val="Tahoma"/>
      <b val="1"/>
      <color rgb="00000000"/>
      <sz val="12"/>
    </font>
    <font>
      <name val="Tahoma"/>
      <color rgb="00C00000"/>
      <sz val="9"/>
    </font>
    <font>
      <name val="Tahoma"/>
      <b val="1"/>
      <color rgb="00FFFFFF"/>
      <sz val="9"/>
    </font>
    <font>
      <name val="Tahoma"/>
      <color rgb="00808080"/>
      <sz val="8"/>
    </font>
    <font>
      <name val="Tahoma"/>
      <b val="1"/>
      <color rgb="00FFFFFF"/>
      <sz val="14"/>
    </font>
    <font>
      <name val="Tahoma"/>
      <b val="1"/>
      <color rgb="00185FA5"/>
      <sz val="10"/>
    </font>
    <font>
      <name val="Tahoma"/>
      <color rgb="00808080"/>
      <sz val="10"/>
    </font>
    <font>
      <name val="Tahoma"/>
      <b val="1"/>
    </font>
    <font>
      <name val="Tahoma"/>
      <b val="1"/>
      <color rgb="00FFFFFF"/>
    </font>
    <font>
      <name val="Tahoma"/>
    </font>
    <font>
      <name val="Tahoma"/>
      <b val="1"/>
      <color rgb="001F4E79"/>
      <sz val="10"/>
    </font>
    <font>
      <name val="Tahoma"/>
      <i val="1"/>
      <color rgb="00808080"/>
      <sz val="9"/>
    </font>
    <font>
      <name val="Tahoma"/>
      <b val="1"/>
      <color rgb="00375623"/>
      <sz val="10"/>
    </font>
    <font>
      <name val="Tahoma"/>
      <b val="1"/>
      <color rgb="00843C0C"/>
      <sz val="10"/>
    </font>
    <font>
      <i val="1"/>
      <color rgb="00808080"/>
      <sz val="8"/>
    </font>
    <font>
      <name val="Calibri"/>
      <sz val="11"/>
    </font>
    <font>
      <color rgb="00808080"/>
      <sz val="8"/>
    </font>
    <font>
      <name val="Tahoma"/>
      <b val="1"/>
      <color rgb="001F4E79"/>
      <sz val="9"/>
    </font>
    <font>
      <name val="Tahoma"/>
      <b val="1"/>
      <color rgb="000563C1"/>
      <sz val="11"/>
      <u val="single"/>
    </font>
    <font>
      <name val="Tahoma"/>
      <color rgb="00404040"/>
      <sz val="10"/>
    </font>
    <font>
      <name val="Tahoma"/>
      <b val="1"/>
      <color rgb="000563C1"/>
      <sz val="10"/>
      <u val="single"/>
    </font>
    <font>
      <name val="Tahoma"/>
      <color rgb="00606060"/>
      <sz val="9"/>
    </font>
    <font>
      <name val="Tahoma"/>
      <b val="1"/>
      <color rgb="00C00000"/>
      <sz val="10"/>
      <u val="single"/>
    </font>
    <font>
      <name val="Tahoma"/>
      <b val="1"/>
      <color rgb="00C55A11"/>
      <sz val="10"/>
    </font>
    <font>
      <name val="Tahoma"/>
      <i val="1"/>
      <color rgb="00666666"/>
      <sz val="9"/>
    </font>
    <font>
      <name val="Tahoma"/>
      <b val="1"/>
      <color rgb="00375623"/>
      <sz val="11"/>
    </font>
    <font>
      <name val="Tahoma"/>
      <i val="1"/>
      <color rgb="00C55A11"/>
      <sz val="9"/>
    </font>
    <font>
      <name val="Tahoma"/>
      <b val="1"/>
      <color rgb="001F4E78"/>
      <sz val="10"/>
    </font>
    <font>
      <name val="Tahoma"/>
      <b val="1"/>
      <color rgb="001F4E78"/>
      <sz val="12"/>
    </font>
    <font>
      <name val="Tahoma"/>
      <b val="1"/>
      <color rgb="00C55A11"/>
      <sz val="11"/>
    </font>
    <font>
      <name val="Tahoma"/>
      <i val="1"/>
      <color rgb="00999999"/>
      <sz val="9"/>
    </font>
    <font>
      <name val="Tahoma"/>
      <b val="1"/>
      <color rgb="00C00000"/>
      <sz val="10"/>
    </font>
    <font>
      <name val="Tahoma"/>
      <i val="1"/>
      <color rgb="00C00000"/>
      <sz val="9"/>
    </font>
    <font>
      <name val="Tahoma"/>
      <i val="1"/>
      <color rgb="00666666"/>
      <sz val="8"/>
    </font>
    <font>
      <b val="1"/>
      <color rgb="00C55A11"/>
    </font>
    <font>
      <name val="Tahoma"/>
      <b val="1"/>
      <color rgb="00C00000"/>
      <sz val="11"/>
    </font>
    <font>
      <name val="Tahoma"/>
      <b val="1"/>
      <color rgb="00C55A11"/>
      <sz val="9"/>
    </font>
    <font>
      <name val="Tahoma"/>
      <i val="1"/>
      <color rgb="001F6F1F"/>
      <sz val="9"/>
    </font>
    <font>
      <name val="Tahoma"/>
      <b val="1"/>
      <color rgb="00ED7D31"/>
      <sz val="11"/>
    </font>
    <font>
      <name val="Tahoma"/>
      <i val="1"/>
      <color rgb="00375623"/>
      <sz val="9"/>
    </font>
    <font>
      <b val="1"/>
    </font>
    <font>
      <b val="1"/>
      <color rgb="00C00000"/>
      <sz val="11"/>
    </font>
    <font>
      <b val="1"/>
      <color rgb="00C55A11"/>
      <sz val="11"/>
    </font>
    <font>
      <i val="1"/>
      <color rgb="00808080"/>
    </font>
    <font>
      <b val="1"/>
      <color rgb="007030A0"/>
      <sz val="13"/>
    </font>
    <font>
      <i val="1"/>
      <color rgb="00808080"/>
      <sz val="9"/>
    </font>
    <font>
      <b val="1"/>
      <color rgb="00FFFFFF"/>
      <sz val="11"/>
    </font>
    <font>
      <b val="1"/>
      <color rgb="007030A0"/>
    </font>
    <font/>
    <font>
      <color rgb="00808080"/>
      <sz val="9"/>
    </font>
    <font>
      <i val="1"/>
      <color rgb="00C00000"/>
      <sz val="9"/>
    </font>
    <font>
      <i val="1"/>
      <color rgb="00B0B0B0"/>
    </font>
    <font>
      <b val="1"/>
      <color rgb="001F4E78"/>
    </font>
    <font>
      <b val="1"/>
      <color rgb="00FFFFFF"/>
    </font>
    <font>
      <b val="1"/>
      <color rgb="00C00000"/>
      <sz val="12"/>
    </font>
    <font>
      <b val="1"/>
      <color rgb="00C00000"/>
    </font>
    <font>
      <color rgb="00C55A11"/>
    </font>
    <font>
      <name val="Tahoma"/>
      <i val="1"/>
      <sz val="8"/>
    </font>
    <font>
      <name val="Tahoma"/>
      <b val="1"/>
      <color rgb="001F4E78"/>
      <sz val="11"/>
    </font>
    <font>
      <name val="Tahoma"/>
      <b val="1"/>
      <color rgb="FFC00000"/>
      <sz val="11"/>
    </font>
    <font>
      <name val="Tahoma"/>
      <b val="1"/>
      <color rgb="FFC00000"/>
      <sz val="10"/>
    </font>
    <font>
      <name val="Tahoma"/>
      <b val="1"/>
      <color rgb="FF1F4E78"/>
      <sz val="10"/>
    </font>
  </fonts>
  <fills count="51">
    <fill>
      <patternFill/>
    </fill>
    <fill>
      <patternFill patternType="gray125"/>
    </fill>
    <fill>
      <patternFill patternType="solid">
        <fgColor rgb="FF1F4E79"/>
        <bgColor rgb="FF305496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FF3CD"/>
      </patternFill>
    </fill>
    <fill>
      <patternFill patternType="solid">
        <fgColor rgb="FF305496"/>
        <bgColor rgb="FF1F4E79"/>
      </patternFill>
    </fill>
    <fill>
      <patternFill patternType="solid">
        <fgColor rgb="FFF2F2F2"/>
        <bgColor rgb="FFF5F5F5"/>
      </patternFill>
    </fill>
    <fill>
      <patternFill patternType="solid">
        <fgColor rgb="FFEDEDED"/>
        <bgColor rgb="FFF2F2F2"/>
      </patternFill>
    </fill>
    <fill>
      <patternFill patternType="solid">
        <fgColor rgb="FFFFCC66"/>
        <bgColor rgb="FFFCE4D6"/>
      </patternFill>
    </fill>
    <fill>
      <patternFill patternType="solid">
        <fgColor rgb="FFF7F7F7"/>
        <bgColor rgb="FFF5F5F5"/>
      </patternFill>
    </fill>
    <fill>
      <patternFill patternType="solid">
        <fgColor rgb="FFFFFF00"/>
        <bgColor rgb="FFFFFF99"/>
      </patternFill>
    </fill>
    <fill>
      <patternFill patternType="solid">
        <fgColor rgb="FF2F75B6"/>
        <bgColor rgb="FF305496"/>
      </patternFill>
    </fill>
    <fill>
      <patternFill patternType="solid">
        <fgColor rgb="FFC00000"/>
        <bgColor rgb="FF800000"/>
      </patternFill>
    </fill>
    <fill>
      <patternFill patternType="solid">
        <fgColor rgb="FFFFF3CD"/>
        <bgColor rgb="FFFFF2CC"/>
      </patternFill>
    </fill>
    <fill>
      <patternFill patternType="solid">
        <fgColor rgb="FFF5F5F5"/>
        <bgColor rgb="FFF7F7F7"/>
      </patternFill>
    </fill>
    <fill>
      <patternFill patternType="solid">
        <fgColor rgb="FFFFFF99"/>
        <bgColor rgb="FFFFF3CD"/>
      </patternFill>
    </fill>
    <fill>
      <patternFill patternType="solid">
        <fgColor rgb="00D9E1F2"/>
      </patternFill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2E75B6"/>
      </patternFill>
    </fill>
    <fill>
      <patternFill patternType="solid">
        <fgColor rgb="00FFFF99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C6E0B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FF"/>
      </patternFill>
    </fill>
    <fill>
      <patternFill patternType="solid">
        <fgColor rgb="00375623"/>
      </patternFill>
    </fill>
    <fill>
      <patternFill patternType="solid">
        <fgColor rgb="00EBF3E8"/>
      </patternFill>
    </fill>
    <fill>
      <patternFill patternType="solid">
        <fgColor rgb="007030A0"/>
      </patternFill>
    </fill>
    <fill>
      <patternFill patternType="solid">
        <fgColor rgb="00F3E8FF"/>
      </patternFill>
    </fill>
    <fill>
      <patternFill patternType="solid">
        <fgColor rgb="004B0082"/>
      </patternFill>
    </fill>
    <fill>
      <patternFill patternType="solid">
        <fgColor rgb="00C55A11"/>
      </patternFill>
    </fill>
    <fill>
      <patternFill patternType="solid">
        <fgColor rgb="00FFE699"/>
      </patternFill>
    </fill>
    <fill>
      <patternFill patternType="solid">
        <fgColor rgb="0070AD47"/>
      </patternFill>
    </fill>
    <fill>
      <patternFill patternType="solid">
        <fgColor rgb="00FFFF00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4472C4"/>
      </patternFill>
    </fill>
  </fills>
  <borders count="3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>
      <left style="thin">
        <color rgb="00C55A11"/>
      </left>
      <right style="thin">
        <color rgb="00C55A11"/>
      </right>
      <top style="thin">
        <color rgb="00C55A11"/>
      </top>
      <bottom style="thin">
        <color rgb="00C55A11"/>
      </bottom>
    </border>
    <border>
      <left/>
      <right/>
      <top style="thin">
        <color rgb="00C55A11"/>
      </top>
      <bottom/>
      <diagonal/>
    </border>
    <border>
      <left/>
      <right style="thin">
        <color rgb="00C55A11"/>
      </right>
      <top style="thin">
        <color rgb="00C55A11"/>
      </top>
      <bottom/>
      <diagonal/>
    </border>
    <border>
      <left/>
      <right/>
      <top style="thin">
        <color rgb="00C55A11"/>
      </top>
      <bottom style="thin">
        <color rgb="00C55A11"/>
      </bottom>
      <diagonal/>
    </border>
    <border>
      <left/>
      <right style="thin">
        <color rgb="00C55A11"/>
      </right>
      <top style="thin">
        <color rgb="00C55A11"/>
      </top>
      <bottom style="thin">
        <color rgb="00C55A11"/>
      </bottom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  <border>
      <left/>
      <right/>
      <top style="thin">
        <color rgb="00AAAAAA"/>
      </top>
      <bottom style="thin">
        <color rgb="00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3" fontId="6" fillId="4" borderId="1" applyAlignment="1" pivotButton="0" quotePrefix="0" xfId="0">
      <alignment horizontal="right" vertical="bottom"/>
    </xf>
    <xf numFmtId="3" fontId="6" fillId="5" borderId="1" applyAlignment="1" pivotButton="0" quotePrefix="0" xfId="0">
      <alignment horizontal="right" vertical="bottom"/>
    </xf>
    <xf numFmtId="164" fontId="6" fillId="6" borderId="1" applyAlignment="1" pivotButton="0" quotePrefix="0" xfId="0">
      <alignment horizontal="right" vertical="bottom"/>
    </xf>
    <xf numFmtId="0" fontId="6" fillId="6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2" fontId="6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6" fontId="6" fillId="1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3" fontId="6" fillId="9" borderId="1" applyAlignment="1" pivotButton="0" quotePrefix="0" xfId="0">
      <alignment horizontal="right" vertical="center"/>
    </xf>
    <xf numFmtId="0" fontId="6" fillId="11" borderId="0" applyAlignment="1" pivotButton="0" quotePrefix="0" xfId="0">
      <alignment horizontal="general" vertical="bottom"/>
    </xf>
    <xf numFmtId="0" fontId="5" fillId="7" borderId="1" applyAlignment="1" pivotButton="0" quotePrefix="0" xfId="0">
      <alignment horizontal="center" vertical="center" wrapText="1"/>
    </xf>
    <xf numFmtId="9" fontId="5" fillId="7" borderId="1" applyAlignment="1" pivotButton="0" quotePrefix="0" xfId="0">
      <alignment horizontal="center" vertical="center" wrapText="1"/>
    </xf>
    <xf numFmtId="3" fontId="10" fillId="12" borderId="0" applyAlignment="1" pivotButton="0" quotePrefix="0" xfId="0">
      <alignment horizontal="right" vertical="center"/>
    </xf>
    <xf numFmtId="3" fontId="6" fillId="13" borderId="1" applyAlignment="1" pivotButton="0" quotePrefix="0" xfId="0">
      <alignment horizontal="center" vertical="center" wrapText="1"/>
    </xf>
    <xf numFmtId="167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center" vertical="center" wrapText="1"/>
    </xf>
    <xf numFmtId="3" fontId="6" fillId="10" borderId="1" applyAlignment="1" pivotButton="0" quotePrefix="0" xfId="0">
      <alignment horizontal="right" vertical="center"/>
    </xf>
    <xf numFmtId="3" fontId="9" fillId="12" borderId="0" applyAlignment="1" pivotButton="0" quotePrefix="0" xfId="0">
      <alignment horizontal="center" vertical="center" wrapText="1"/>
    </xf>
    <xf numFmtId="3" fontId="9" fillId="12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right" vertical="center"/>
    </xf>
    <xf numFmtId="4" fontId="6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 wrapText="1"/>
    </xf>
    <xf numFmtId="168" fontId="6" fillId="0" borderId="1" applyAlignment="1" pivotButton="0" quotePrefix="0" xfId="0">
      <alignment horizontal="center" vertical="center" wrapText="1"/>
    </xf>
    <xf numFmtId="168" fontId="6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general" vertical="bottom"/>
    </xf>
    <xf numFmtId="0" fontId="5" fillId="7" borderId="1" applyAlignment="1" pivotButton="0" quotePrefix="0" xfId="0">
      <alignment horizontal="right" vertical="center"/>
    </xf>
    <xf numFmtId="3" fontId="11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3" fontId="11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14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2" fontId="6" fillId="0" borderId="1" applyAlignment="1" pivotButton="0" quotePrefix="0" xfId="0">
      <alignment horizontal="general" vertical="bottom"/>
    </xf>
    <xf numFmtId="0" fontId="5" fillId="14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general" vertical="bottom"/>
    </xf>
    <xf numFmtId="164" fontId="11" fillId="6" borderId="1" applyAlignment="1" pivotButton="0" quotePrefix="0" xfId="0">
      <alignment horizontal="general" vertical="bottom"/>
    </xf>
    <xf numFmtId="0" fontId="6" fillId="15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3" fontId="6" fillId="4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" fontId="6" fillId="9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3" fontId="5" fillId="4" borderId="1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bottom"/>
    </xf>
    <xf numFmtId="49" fontId="5" fillId="7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49" fontId="5" fillId="3" borderId="1" applyAlignment="1" pivotButton="0" quotePrefix="0" xfId="0">
      <alignment horizontal="general" vertical="bottom"/>
    </xf>
    <xf numFmtId="49" fontId="6" fillId="0" borderId="1" applyAlignment="1" pivotButton="0" quotePrefix="0" xfId="0">
      <alignment horizontal="general" vertical="bottom"/>
    </xf>
    <xf numFmtId="3" fontId="6" fillId="5" borderId="1" applyAlignment="1" pivotButton="0" quotePrefix="0" xfId="0">
      <alignment horizontal="general" vertical="bottom"/>
    </xf>
    <xf numFmtId="164" fontId="11" fillId="5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3" fontId="6" fillId="0" borderId="1" applyAlignment="1" pivotButton="0" quotePrefix="0" xfId="0">
      <alignment horizontal="right" vertical="bottom"/>
    </xf>
    <xf numFmtId="3" fontId="6" fillId="16" borderId="1" applyAlignment="1" pivotButton="0" quotePrefix="0" xfId="0">
      <alignment horizontal="general" vertical="bottom"/>
    </xf>
    <xf numFmtId="3" fontId="6" fillId="16" borderId="1" applyAlignment="1" pivotButton="0" quotePrefix="0" xfId="0">
      <alignment horizontal="right" vertical="bottom"/>
    </xf>
    <xf numFmtId="0" fontId="6" fillId="17" borderId="1" applyAlignment="1" pivotButton="0" quotePrefix="0" xfId="0">
      <alignment horizontal="general" vertical="bottom"/>
    </xf>
    <xf numFmtId="3" fontId="6" fillId="17" borderId="1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6" fillId="18" borderId="0" applyAlignment="1" pivotButton="0" quotePrefix="0" xfId="0">
      <alignment horizontal="general" vertical="bottom"/>
    </xf>
    <xf numFmtId="9" fontId="6" fillId="0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5" fillId="7" borderId="1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4" fontId="18" fillId="0" borderId="0" applyAlignment="1" pivotButton="0" quotePrefix="0" xfId="0">
      <alignment horizontal="general" vertical="center"/>
    </xf>
    <xf numFmtId="3" fontId="18" fillId="0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center"/>
    </xf>
    <xf numFmtId="3" fontId="19" fillId="0" borderId="0" applyAlignment="1" pivotButton="0" quotePrefix="0" xfId="0">
      <alignment horizontal="general" vertical="center"/>
    </xf>
    <xf numFmtId="3" fontId="5" fillId="7" borderId="1" applyAlignment="1" pivotButton="0" quotePrefix="0" xfId="0">
      <alignment horizontal="general" vertical="center"/>
    </xf>
    <xf numFmtId="166" fontId="18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0" fontId="0" fillId="4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right" vertical="bottom"/>
    </xf>
    <xf numFmtId="0" fontId="5" fillId="5" borderId="1" applyAlignment="1" pivotButton="0" quotePrefix="0" xfId="0">
      <alignment horizontal="general" vertical="center"/>
    </xf>
    <xf numFmtId="0" fontId="0" fillId="5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right" vertical="bottom"/>
    </xf>
    <xf numFmtId="0" fontId="5" fillId="6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bottom"/>
    </xf>
    <xf numFmtId="164" fontId="11" fillId="6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center"/>
    </xf>
    <xf numFmtId="0" fontId="20" fillId="5" borderId="1" applyAlignment="1" pivotButton="0" quotePrefix="0" xfId="0">
      <alignment horizontal="general" vertical="center"/>
    </xf>
    <xf numFmtId="3" fontId="5" fillId="5" borderId="1" applyAlignment="1" pivotButton="0" quotePrefix="0" xfId="0">
      <alignment horizontal="right" vertical="bottom"/>
    </xf>
    <xf numFmtId="3" fontId="21" fillId="4" borderId="1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center"/>
    </xf>
    <xf numFmtId="2" fontId="19" fillId="0" borderId="0" applyAlignment="1" pivotButton="0" quotePrefix="0" xfId="0">
      <alignment horizontal="general" vertical="center"/>
    </xf>
    <xf numFmtId="165" fontId="19" fillId="0" borderId="0" applyAlignment="1" pivotButton="0" quotePrefix="0" xfId="0">
      <alignment horizontal="general" vertical="center"/>
    </xf>
    <xf numFmtId="167" fontId="5" fillId="7" borderId="1" applyAlignment="1" pivotButton="0" quotePrefix="0" xfId="0">
      <alignment horizontal="general" vertical="center"/>
    </xf>
    <xf numFmtId="167" fontId="18" fillId="0" borderId="0" applyAlignment="1" pivotButton="0" quotePrefix="0" xfId="0">
      <alignment horizontal="general" vertical="center"/>
    </xf>
    <xf numFmtId="2" fontId="18" fillId="0" borderId="0" applyAlignment="1" pivotButton="0" quotePrefix="0" xfId="0">
      <alignment horizontal="general" vertical="center"/>
    </xf>
    <xf numFmtId="0" fontId="6" fillId="4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26" fillId="24" borderId="0" applyAlignment="1" pivotButton="0" quotePrefix="0" xfId="0">
      <alignment horizontal="left" vertical="center"/>
    </xf>
    <xf numFmtId="0" fontId="23" fillId="19" borderId="11" applyAlignment="1" pivotButton="0" quotePrefix="0" xfId="0">
      <alignment horizontal="center" wrapText="1"/>
    </xf>
    <xf numFmtId="0" fontId="23" fillId="20" borderId="0" pivotButton="0" quotePrefix="0" xfId="0"/>
    <xf numFmtId="0" fontId="0" fillId="20" borderId="0" pivotButton="0" quotePrefix="0" xfId="0"/>
    <xf numFmtId="0" fontId="24" fillId="0" borderId="11" pivotButton="0" quotePrefix="0" xfId="0"/>
    <xf numFmtId="0" fontId="25" fillId="0" borderId="11" pivotButton="0" quotePrefix="0" xfId="0"/>
    <xf numFmtId="3" fontId="24" fillId="21" borderId="11" pivotButton="0" quotePrefix="0" xfId="0"/>
    <xf numFmtId="3" fontId="24" fillId="22" borderId="11" pivotButton="0" quotePrefix="0" xfId="0"/>
    <xf numFmtId="3" fontId="23" fillId="22" borderId="11" pivotButton="0" quotePrefix="0" xfId="0"/>
    <xf numFmtId="9" fontId="23" fillId="23" borderId="11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bottom"/>
    </xf>
    <xf numFmtId="3" fontId="6" fillId="4" borderId="1" applyAlignment="1" pivotButton="0" quotePrefix="0" xfId="0">
      <alignment horizontal="right" vertical="bottom"/>
    </xf>
    <xf numFmtId="3" fontId="6" fillId="5" borderId="1" applyAlignment="1" pivotButton="0" quotePrefix="0" xfId="0">
      <alignment horizontal="right" vertical="bottom"/>
    </xf>
    <xf numFmtId="164" fontId="6" fillId="6" borderId="1" applyAlignment="1" pivotButton="0" quotePrefix="0" xfId="0">
      <alignment horizontal="right" vertical="bottom"/>
    </xf>
    <xf numFmtId="0" fontId="6" fillId="6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165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2" fontId="6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6" fontId="6" fillId="1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3" fontId="6" fillId="9" borderId="1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11" borderId="0" applyAlignment="1" pivotButton="0" quotePrefix="0" xfId="0">
      <alignment horizontal="general" vertical="bottom"/>
    </xf>
    <xf numFmtId="0" fontId="5" fillId="7" borderId="1" applyAlignment="1" pivotButton="0" quotePrefix="0" xfId="0">
      <alignment horizontal="center" vertical="center" wrapText="1"/>
    </xf>
    <xf numFmtId="9" fontId="5" fillId="7" borderId="1" applyAlignment="1" pivotButton="0" quotePrefix="0" xfId="0">
      <alignment horizontal="center" vertical="center" wrapText="1"/>
    </xf>
    <xf numFmtId="3" fontId="10" fillId="12" borderId="0" applyAlignment="1" pivotButton="0" quotePrefix="0" xfId="0">
      <alignment horizontal="right" vertical="center"/>
    </xf>
    <xf numFmtId="3" fontId="6" fillId="13" borderId="1" applyAlignment="1" pivotButton="0" quotePrefix="0" xfId="0">
      <alignment horizontal="center" vertical="center" wrapText="1"/>
    </xf>
    <xf numFmtId="167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center" vertical="center" wrapText="1"/>
    </xf>
    <xf numFmtId="3" fontId="6" fillId="10" borderId="1" applyAlignment="1" pivotButton="0" quotePrefix="0" xfId="0">
      <alignment horizontal="right" vertical="center"/>
    </xf>
    <xf numFmtId="3" fontId="9" fillId="12" borderId="0" applyAlignment="1" pivotButton="0" quotePrefix="0" xfId="0">
      <alignment horizontal="center" vertical="center" wrapText="1"/>
    </xf>
    <xf numFmtId="3" fontId="9" fillId="12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right" vertical="center"/>
    </xf>
    <xf numFmtId="4" fontId="6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center" wrapText="1"/>
    </xf>
    <xf numFmtId="168" fontId="6" fillId="0" borderId="1" applyAlignment="1" pivotButton="0" quotePrefix="0" xfId="0">
      <alignment horizontal="center" vertical="center" wrapText="1"/>
    </xf>
    <xf numFmtId="168" fontId="6" fillId="4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3" fontId="11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3" fontId="11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14" borderId="0" applyAlignment="1" pivotButton="0" quotePrefix="0" xfId="0">
      <alignment horizontal="general" vertical="bottom"/>
    </xf>
    <xf numFmtId="2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2" fontId="6" fillId="0" borderId="1" applyAlignment="1" pivotButton="0" quotePrefix="0" xfId="0">
      <alignment horizontal="general" vertical="bottom"/>
    </xf>
    <xf numFmtId="0" fontId="5" fillId="14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general" vertical="bottom"/>
    </xf>
    <xf numFmtId="164" fontId="11" fillId="6" borderId="1" applyAlignment="1" pivotButton="0" quotePrefix="0" xfId="0">
      <alignment horizontal="general" vertical="bottom"/>
    </xf>
    <xf numFmtId="0" fontId="6" fillId="15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3" fontId="6" fillId="4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" fontId="6" fillId="9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3" fontId="5" fillId="4" borderId="1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bottom"/>
    </xf>
    <xf numFmtId="49" fontId="5" fillId="7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49" fontId="5" fillId="3" borderId="1" applyAlignment="1" pivotButton="0" quotePrefix="0" xfId="0">
      <alignment horizontal="general" vertical="bottom"/>
    </xf>
    <xf numFmtId="49" fontId="6" fillId="0" borderId="1" applyAlignment="1" pivotButton="0" quotePrefix="0" xfId="0">
      <alignment horizontal="general" vertical="bottom"/>
    </xf>
    <xf numFmtId="3" fontId="6" fillId="5" borderId="1" applyAlignment="1" pivotButton="0" quotePrefix="0" xfId="0">
      <alignment horizontal="general" vertical="bottom"/>
    </xf>
    <xf numFmtId="164" fontId="11" fillId="5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3" fontId="6" fillId="0" borderId="1" applyAlignment="1" pivotButton="0" quotePrefix="0" xfId="0">
      <alignment horizontal="right" vertical="bottom"/>
    </xf>
    <xf numFmtId="3" fontId="6" fillId="16" borderId="1" applyAlignment="1" pivotButton="0" quotePrefix="0" xfId="0">
      <alignment horizontal="general" vertical="bottom"/>
    </xf>
    <xf numFmtId="3" fontId="6" fillId="16" borderId="1" applyAlignment="1" pivotButton="0" quotePrefix="0" xfId="0">
      <alignment horizontal="right" vertical="bottom"/>
    </xf>
    <xf numFmtId="0" fontId="6" fillId="17" borderId="1" applyAlignment="1" pivotButton="0" quotePrefix="0" xfId="0">
      <alignment horizontal="general" vertical="bottom"/>
    </xf>
    <xf numFmtId="3" fontId="6" fillId="17" borderId="1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6" fillId="18" borderId="0" applyAlignment="1" pivotButton="0" quotePrefix="0" xfId="0">
      <alignment horizontal="general" vertical="bottom"/>
    </xf>
    <xf numFmtId="9" fontId="6" fillId="0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5" fillId="7" borderId="1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4" fontId="18" fillId="0" borderId="0" applyAlignment="1" pivotButton="0" quotePrefix="0" xfId="0">
      <alignment horizontal="general" vertical="center"/>
    </xf>
    <xf numFmtId="3" fontId="18" fillId="0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center"/>
    </xf>
    <xf numFmtId="3" fontId="19" fillId="0" borderId="0" applyAlignment="1" pivotButton="0" quotePrefix="0" xfId="0">
      <alignment horizontal="general" vertical="center"/>
    </xf>
    <xf numFmtId="3" fontId="5" fillId="7" borderId="1" applyAlignment="1" pivotButton="0" quotePrefix="0" xfId="0">
      <alignment horizontal="general" vertical="center"/>
    </xf>
    <xf numFmtId="166" fontId="18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0" fontId="0" fillId="4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right" vertical="bottom"/>
    </xf>
    <xf numFmtId="0" fontId="5" fillId="5" borderId="1" applyAlignment="1" pivotButton="0" quotePrefix="0" xfId="0">
      <alignment horizontal="general" vertical="center"/>
    </xf>
    <xf numFmtId="0" fontId="0" fillId="5" borderId="1" applyAlignment="1" pivotButton="0" quotePrefix="0" xfId="0">
      <alignment horizontal="general" vertical="bottom"/>
    </xf>
    <xf numFmtId="3" fontId="11" fillId="5" borderId="1" applyAlignment="1" pivotButton="0" quotePrefix="0" xfId="0">
      <alignment horizontal="right" vertical="bottom"/>
    </xf>
    <xf numFmtId="0" fontId="5" fillId="6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bottom"/>
    </xf>
    <xf numFmtId="164" fontId="11" fillId="6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center"/>
    </xf>
    <xf numFmtId="0" fontId="20" fillId="5" borderId="1" applyAlignment="1" pivotButton="0" quotePrefix="0" xfId="0">
      <alignment horizontal="general" vertical="center"/>
    </xf>
    <xf numFmtId="3" fontId="5" fillId="5" borderId="1" applyAlignment="1" pivotButton="0" quotePrefix="0" xfId="0">
      <alignment horizontal="right" vertical="bottom"/>
    </xf>
    <xf numFmtId="3" fontId="21" fillId="4" borderId="1" applyAlignment="1" pivotButton="0" quotePrefix="0" xfId="0">
      <alignment horizontal="right" vertical="bottom"/>
    </xf>
    <xf numFmtId="0" fontId="22" fillId="0" borderId="0" applyAlignment="1" pivotButton="0" quotePrefix="0" xfId="0">
      <alignment horizontal="general" vertical="center"/>
    </xf>
    <xf numFmtId="2" fontId="19" fillId="0" borderId="0" applyAlignment="1" pivotButton="0" quotePrefix="0" xfId="0">
      <alignment horizontal="general" vertical="center"/>
    </xf>
    <xf numFmtId="165" fontId="19" fillId="0" borderId="0" applyAlignment="1" pivotButton="0" quotePrefix="0" xfId="0">
      <alignment horizontal="general" vertical="center"/>
    </xf>
    <xf numFmtId="167" fontId="5" fillId="7" borderId="1" applyAlignment="1" pivotButton="0" quotePrefix="0" xfId="0">
      <alignment horizontal="general" vertical="center"/>
    </xf>
    <xf numFmtId="167" fontId="18" fillId="0" borderId="0" applyAlignment="1" pivotButton="0" quotePrefix="0" xfId="0">
      <alignment horizontal="general" vertical="center"/>
    </xf>
    <xf numFmtId="2" fontId="18" fillId="0" borderId="0" applyAlignment="1" pivotButton="0" quotePrefix="0" xfId="0">
      <alignment horizontal="general" vertical="center"/>
    </xf>
    <xf numFmtId="0" fontId="6" fillId="4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3" fillId="0" borderId="0" pivotButton="0" quotePrefix="0" xfId="0"/>
    <xf numFmtId="3" fontId="23" fillId="21" borderId="11" pivotButton="0" quotePrefix="0" xfId="0"/>
    <xf numFmtId="0" fontId="23" fillId="25" borderId="11" pivotButton="0" quotePrefix="0" xfId="0"/>
    <xf numFmtId="3" fontId="27" fillId="22" borderId="11" pivotButton="0" quotePrefix="0" xfId="0"/>
    <xf numFmtId="164" fontId="27" fillId="23" borderId="11" pivotButton="0" quotePrefix="0" xfId="0"/>
    <xf numFmtId="0" fontId="23" fillId="0" borderId="0" applyAlignment="1" pivotButton="0" quotePrefix="0" xfId="0">
      <alignment horizontal="general" vertical="bottom"/>
    </xf>
    <xf numFmtId="3" fontId="23" fillId="21" borderId="11" applyAlignment="1" pivotButton="0" quotePrefix="0" xfId="0">
      <alignment horizontal="general" vertical="bottom"/>
    </xf>
    <xf numFmtId="0" fontId="23" fillId="25" borderId="11" applyAlignment="1" pivotButton="0" quotePrefix="0" xfId="0">
      <alignment horizontal="general" vertical="bottom"/>
    </xf>
    <xf numFmtId="3" fontId="27" fillId="22" borderId="11" applyAlignment="1" pivotButton="0" quotePrefix="0" xfId="0">
      <alignment horizontal="general" vertical="bottom"/>
    </xf>
    <xf numFmtId="164" fontId="27" fillId="23" borderId="11" applyAlignment="1" pivotButton="0" quotePrefix="0" xfId="0">
      <alignment horizontal="general" vertical="bottom"/>
    </xf>
    <xf numFmtId="0" fontId="29" fillId="24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3" borderId="1" applyAlignment="1" pivotButton="0" quotePrefix="0" xfId="0">
      <alignment horizontal="right" vertical="center"/>
    </xf>
    <xf numFmtId="3" fontId="23" fillId="25" borderId="1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/>
    </xf>
    <xf numFmtId="165" fontId="23" fillId="25" borderId="1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center" vertical="center" wrapText="1"/>
    </xf>
    <xf numFmtId="2" fontId="24" fillId="9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166" fontId="24" fillId="10" borderId="1" applyAlignment="1" pivotButton="0" quotePrefix="0" xfId="0">
      <alignment horizontal="right" vertical="center"/>
    </xf>
    <xf numFmtId="166" fontId="24" fillId="0" borderId="1" applyAlignment="1" pivotButton="0" quotePrefix="0" xfId="0">
      <alignment horizontal="right" vertical="center"/>
    </xf>
    <xf numFmtId="3" fontId="24" fillId="4" borderId="1" applyAlignment="1" pivotButton="0" quotePrefix="0" xfId="0">
      <alignment horizontal="right" vertical="center"/>
    </xf>
    <xf numFmtId="0" fontId="23" fillId="8" borderId="1" applyAlignment="1" pivotButton="0" quotePrefix="0" xfId="0">
      <alignment horizontal="center" vertical="center" wrapText="1"/>
    </xf>
    <xf numFmtId="3" fontId="24" fillId="9" borderId="1" applyAlignment="1" pivotButton="0" quotePrefix="0" xfId="0">
      <alignment horizontal="right" vertical="center"/>
    </xf>
    <xf numFmtId="0" fontId="24" fillId="11" borderId="0" applyAlignment="1" pivotButton="0" quotePrefix="0" xfId="0">
      <alignment horizontal="general" vertical="bottom"/>
    </xf>
    <xf numFmtId="0" fontId="23" fillId="25" borderId="11" applyAlignment="1" pivotButton="0" quotePrefix="0" xfId="0">
      <alignment horizontal="center" vertical="center" wrapText="1"/>
    </xf>
    <xf numFmtId="9" fontId="23" fillId="25" borderId="11" applyAlignment="1" pivotButton="0" quotePrefix="0" xfId="0">
      <alignment horizontal="center" vertical="center" wrapText="1"/>
    </xf>
    <xf numFmtId="3" fontId="24" fillId="13" borderId="1" applyAlignment="1" pivotButton="0" quotePrefix="0" xfId="0">
      <alignment horizontal="center" vertical="center" wrapText="1"/>
    </xf>
    <xf numFmtId="167" fontId="24" fillId="0" borderId="1" applyAlignment="1" pivotButton="0" quotePrefix="0" xfId="0">
      <alignment horizontal="center" vertical="center" wrapText="1"/>
    </xf>
    <xf numFmtId="3" fontId="24" fillId="0" borderId="1" applyAlignment="1" pivotButton="0" quotePrefix="0" xfId="0">
      <alignment horizontal="right" vertical="center"/>
    </xf>
    <xf numFmtId="3" fontId="24" fillId="6" borderId="1" applyAlignment="1" pivotButton="0" quotePrefix="0" xfId="0">
      <alignment horizontal="right" vertical="center"/>
    </xf>
    <xf numFmtId="164" fontId="24" fillId="6" borderId="1" applyAlignment="1" pivotButton="0" quotePrefix="0" xfId="0">
      <alignment horizontal="center" vertical="center" wrapText="1"/>
    </xf>
    <xf numFmtId="3" fontId="24" fillId="10" borderId="1" applyAlignment="1" pivotButton="0" quotePrefix="0" xfId="0">
      <alignment horizontal="right" vertical="center"/>
    </xf>
    <xf numFmtId="0" fontId="23" fillId="0" borderId="1" applyAlignment="1" pivotButton="0" quotePrefix="0" xfId="0">
      <alignment horizontal="left" vertical="center"/>
    </xf>
    <xf numFmtId="0" fontId="24" fillId="9" borderId="1" applyAlignment="1" pivotButton="0" quotePrefix="0" xfId="0">
      <alignment horizontal="right" vertical="center"/>
    </xf>
    <xf numFmtId="4" fontId="24" fillId="9" borderId="1" applyAlignment="1" pivotButton="0" quotePrefix="0" xfId="0">
      <alignment horizontal="center" vertical="center" wrapText="1"/>
    </xf>
    <xf numFmtId="3" fontId="24" fillId="0" borderId="1" applyAlignment="1" pivotButton="0" quotePrefix="0" xfId="0">
      <alignment horizontal="general" vertical="bottom"/>
    </xf>
    <xf numFmtId="0" fontId="23" fillId="19" borderId="11" applyAlignment="1" pivotButton="0" quotePrefix="0" xfId="0">
      <alignment horizontal="center" vertical="center" wrapText="1"/>
    </xf>
    <xf numFmtId="168" fontId="24" fillId="0" borderId="1" applyAlignment="1" pivotButton="0" quotePrefix="0" xfId="0">
      <alignment horizontal="center" vertical="center" wrapText="1"/>
    </xf>
    <xf numFmtId="168" fontId="24" fillId="4" borderId="1" applyAlignment="1" pivotButton="0" quotePrefix="0" xfId="0">
      <alignment horizontal="right" vertical="center"/>
    </xf>
    <xf numFmtId="0" fontId="24" fillId="0" borderId="1" applyAlignment="1" pivotButton="0" quotePrefix="0" xfId="0">
      <alignment horizontal="general" vertical="bottom"/>
    </xf>
    <xf numFmtId="0" fontId="23" fillId="7" borderId="1" applyAlignment="1" pivotButton="0" quotePrefix="0" xfId="0">
      <alignment horizontal="right" vertical="center"/>
    </xf>
    <xf numFmtId="3" fontId="27" fillId="21" borderId="11" applyAlignment="1" pivotButton="0" quotePrefix="0" xfId="0">
      <alignment horizontal="right" vertical="center"/>
    </xf>
    <xf numFmtId="0" fontId="23" fillId="3" borderId="1" applyAlignment="1" pivotButton="0" quotePrefix="0" xfId="0">
      <alignment horizontal="right" vertical="center"/>
    </xf>
    <xf numFmtId="164" fontId="27" fillId="22" borderId="11" applyAlignment="1" pivotButton="0" quotePrefix="0" xfId="0">
      <alignment horizontal="right" vertical="center"/>
    </xf>
    <xf numFmtId="3" fontId="27" fillId="22" borderId="11" applyAlignment="1" pivotButton="0" quotePrefix="0" xfId="0">
      <alignment horizontal="right" vertical="center"/>
    </xf>
    <xf numFmtId="0" fontId="23" fillId="6" borderId="1" applyAlignment="1" pivotButton="0" quotePrefix="0" xfId="0">
      <alignment horizontal="right" vertical="center"/>
    </xf>
    <xf numFmtId="164" fontId="27" fillId="23" borderId="11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general" vertical="bottom"/>
    </xf>
    <xf numFmtId="0" fontId="24" fillId="14" borderId="0" applyAlignment="1" pivotButton="0" quotePrefix="0" xfId="0">
      <alignment horizontal="general" vertical="bottom"/>
    </xf>
    <xf numFmtId="2" fontId="24" fillId="0" borderId="0" applyAlignment="1" pivotButton="0" quotePrefix="0" xfId="0">
      <alignment horizontal="general" vertical="bottom"/>
    </xf>
    <xf numFmtId="3" fontId="24" fillId="0" borderId="0" applyAlignment="1" pivotButton="0" quotePrefix="0" xfId="0">
      <alignment horizontal="general" vertical="bottom"/>
    </xf>
    <xf numFmtId="0" fontId="23" fillId="19" borderId="11" applyAlignment="1" pivotButton="0" quotePrefix="0" xfId="0">
      <alignment horizontal="center" vertical="bottom"/>
    </xf>
    <xf numFmtId="2" fontId="24" fillId="0" borderId="1" applyAlignment="1" pivotButton="0" quotePrefix="0" xfId="0">
      <alignment horizontal="general" vertical="bottom"/>
    </xf>
    <xf numFmtId="0" fontId="23" fillId="14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3" fontId="27" fillId="21" borderId="11" applyAlignment="1" pivotButton="0" quotePrefix="0" xfId="0">
      <alignment horizontal="general" vertical="bottom"/>
    </xf>
    <xf numFmtId="0" fontId="24" fillId="15" borderId="1" applyAlignment="1" pivotButton="0" quotePrefix="0" xfId="0">
      <alignment horizontal="general" vertical="bottom"/>
    </xf>
    <xf numFmtId="0" fontId="24" fillId="4" borderId="1" applyAlignment="1" pivotButton="0" quotePrefix="0" xfId="0">
      <alignment horizontal="general" vertical="bottom"/>
    </xf>
    <xf numFmtId="3" fontId="24" fillId="4" borderId="1" applyAlignment="1" pivotButton="0" quotePrefix="0" xfId="0">
      <alignment horizontal="general" vertical="bottom"/>
    </xf>
    <xf numFmtId="1" fontId="24" fillId="9" borderId="1" applyAlignment="1" pivotButton="0" quotePrefix="0" xfId="0">
      <alignment horizontal="center" vertical="center" wrapText="1"/>
    </xf>
    <xf numFmtId="49" fontId="24" fillId="0" borderId="0" applyAlignment="1" pivotButton="0" quotePrefix="0" xfId="0">
      <alignment horizontal="general" vertical="bottom"/>
    </xf>
    <xf numFmtId="49" fontId="23" fillId="25" borderId="11" applyAlignment="1" pivotButton="0" quotePrefix="0" xfId="0">
      <alignment horizontal="general" vertical="bottom"/>
    </xf>
    <xf numFmtId="0" fontId="23" fillId="19" borderId="11" applyAlignment="1" pivotButton="0" quotePrefix="0" xfId="0">
      <alignment horizontal="general" vertical="bottom"/>
    </xf>
    <xf numFmtId="49" fontId="23" fillId="19" borderId="11" applyAlignment="1" pivotButton="0" quotePrefix="0" xfId="0">
      <alignment horizontal="general" vertical="bottom"/>
    </xf>
    <xf numFmtId="49" fontId="24" fillId="0" borderId="1" applyAlignment="1" pivotButton="0" quotePrefix="0" xfId="0">
      <alignment horizontal="general" vertical="bottom"/>
    </xf>
    <xf numFmtId="3" fontId="24" fillId="5" borderId="1" applyAlignment="1" pivotButton="0" quotePrefix="0" xfId="0">
      <alignment horizontal="general" vertical="bottom"/>
    </xf>
    <xf numFmtId="164" fontId="27" fillId="22" borderId="11" applyAlignment="1" pivotButton="0" quotePrefix="0" xfId="0">
      <alignment horizontal="general" vertical="bottom"/>
    </xf>
    <xf numFmtId="0" fontId="24" fillId="3" borderId="1" applyAlignment="1" pivotButton="0" quotePrefix="0" xfId="0">
      <alignment horizontal="center" vertical="bottom"/>
    </xf>
    <xf numFmtId="0" fontId="24" fillId="0" borderId="1" applyAlignment="1" pivotButton="0" quotePrefix="0" xfId="0">
      <alignment horizontal="center" vertical="bottom"/>
    </xf>
    <xf numFmtId="3" fontId="24" fillId="0" borderId="1" applyAlignment="1" pivotButton="0" quotePrefix="0" xfId="0">
      <alignment horizontal="right" vertical="bottom"/>
    </xf>
    <xf numFmtId="3" fontId="24" fillId="16" borderId="1" applyAlignment="1" pivotButton="0" quotePrefix="0" xfId="0">
      <alignment horizontal="general" vertical="bottom"/>
    </xf>
    <xf numFmtId="3" fontId="24" fillId="16" borderId="1" applyAlignment="1" pivotButton="0" quotePrefix="0" xfId="0">
      <alignment horizontal="right" vertical="bottom"/>
    </xf>
    <xf numFmtId="0" fontId="24" fillId="17" borderId="1" applyAlignment="1" pivotButton="0" quotePrefix="0" xfId="0">
      <alignment horizontal="general" vertical="bottom"/>
    </xf>
    <xf numFmtId="3" fontId="24" fillId="17" borderId="1" applyAlignment="1" pivotButton="0" quotePrefix="0" xfId="0">
      <alignment horizontal="general" vertical="bottom"/>
    </xf>
    <xf numFmtId="0" fontId="30" fillId="17" borderId="0" applyAlignment="1" pivotButton="0" quotePrefix="0" xfId="0">
      <alignment horizontal="general" vertical="bottom"/>
    </xf>
    <xf numFmtId="0" fontId="24" fillId="18" borderId="0" applyAlignment="1" pivotButton="0" quotePrefix="0" xfId="0">
      <alignment horizontal="general" vertical="bottom"/>
    </xf>
    <xf numFmtId="9" fontId="24" fillId="0" borderId="1" applyAlignment="1" pivotButton="0" quotePrefix="0" xfId="0">
      <alignment horizontal="general" vertical="bottom"/>
    </xf>
    <xf numFmtId="0" fontId="23" fillId="3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center"/>
    </xf>
    <xf numFmtId="0" fontId="23" fillId="25" borderId="11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" fontId="25" fillId="0" borderId="0" applyAlignment="1" pivotButton="0" quotePrefix="0" xfId="0">
      <alignment horizontal="general" vertical="center"/>
    </xf>
    <xf numFmtId="3" fontId="25" fillId="0" borderId="0" applyAlignment="1" pivotButton="0" quotePrefix="0" xfId="0">
      <alignment horizontal="general" vertical="center"/>
    </xf>
    <xf numFmtId="3" fontId="23" fillId="25" borderId="11" applyAlignment="1" pivotButton="0" quotePrefix="0" xfId="0">
      <alignment horizontal="general" vertical="center"/>
    </xf>
    <xf numFmtId="166" fontId="25" fillId="0" borderId="0" applyAlignment="1" pivotButton="0" quotePrefix="0" xfId="0">
      <alignment horizontal="general" vertical="center"/>
    </xf>
    <xf numFmtId="0" fontId="23" fillId="3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general" vertical="center"/>
    </xf>
    <xf numFmtId="0" fontId="23" fillId="0" borderId="1" applyAlignment="1" pivotButton="0" quotePrefix="0" xfId="0">
      <alignment horizontal="general" vertical="center"/>
    </xf>
    <xf numFmtId="0" fontId="23" fillId="4" borderId="1" applyAlignment="1" pivotButton="0" quotePrefix="0" xfId="0">
      <alignment horizontal="general" vertical="center"/>
    </xf>
    <xf numFmtId="3" fontId="27" fillId="21" borderId="11" applyAlignment="1" pivotButton="0" quotePrefix="0" xfId="0">
      <alignment horizontal="right" vertical="bottom"/>
    </xf>
    <xf numFmtId="0" fontId="23" fillId="5" borderId="1" applyAlignment="1" pivotButton="0" quotePrefix="0" xfId="0">
      <alignment horizontal="general" vertical="center"/>
    </xf>
    <xf numFmtId="3" fontId="27" fillId="5" borderId="1" applyAlignment="1" pivotButton="0" quotePrefix="0" xfId="0">
      <alignment horizontal="right" vertical="bottom"/>
    </xf>
    <xf numFmtId="3" fontId="27" fillId="22" borderId="11" applyAlignment="1" pivotButton="0" quotePrefix="0" xfId="0">
      <alignment horizontal="right" vertical="bottom"/>
    </xf>
    <xf numFmtId="0" fontId="23" fillId="6" borderId="1" applyAlignment="1" pivotButton="0" quotePrefix="0" xfId="0">
      <alignment horizontal="general" vertical="center"/>
    </xf>
    <xf numFmtId="164" fontId="27" fillId="23" borderId="11" applyAlignment="1" pivotButton="0" quotePrefix="0" xfId="0">
      <alignment horizontal="right" vertical="bottom"/>
    </xf>
    <xf numFmtId="0" fontId="24" fillId="0" borderId="0" applyAlignment="1" pivotButton="0" quotePrefix="0" xfId="0">
      <alignment horizontal="general" vertical="center"/>
    </xf>
    <xf numFmtId="0" fontId="32" fillId="5" borderId="1" applyAlignment="1" pivotButton="0" quotePrefix="0" xfId="0">
      <alignment horizontal="general" vertical="center"/>
    </xf>
    <xf numFmtId="3" fontId="23" fillId="5" borderId="1" applyAlignment="1" pivotButton="0" quotePrefix="0" xfId="0">
      <alignment horizontal="right" vertical="bottom"/>
    </xf>
    <xf numFmtId="0" fontId="23" fillId="19" borderId="11" applyAlignment="1" pivotButton="0" quotePrefix="0" xfId="0">
      <alignment horizontal="center" vertical="center"/>
    </xf>
    <xf numFmtId="0" fontId="23" fillId="19" borderId="11" applyAlignment="1" pivotButton="0" quotePrefix="0" xfId="0">
      <alignment horizontal="general" vertical="center"/>
    </xf>
    <xf numFmtId="3" fontId="23" fillId="19" borderId="11" applyAlignment="1" pivotButton="0" quotePrefix="0" xfId="0">
      <alignment horizontal="general" vertical="center"/>
    </xf>
    <xf numFmtId="4" fontId="23" fillId="19" borderId="11" applyAlignment="1" pivotButton="0" quotePrefix="0" xfId="0">
      <alignment horizontal="general" vertical="center"/>
    </xf>
    <xf numFmtId="167" fontId="23" fillId="25" borderId="11" applyAlignment="1" pivotButton="0" quotePrefix="0" xfId="0">
      <alignment horizontal="general" vertical="center"/>
    </xf>
    <xf numFmtId="167" fontId="25" fillId="0" borderId="0" applyAlignment="1" pivotButton="0" quotePrefix="0" xfId="0">
      <alignment horizontal="general" vertical="center"/>
    </xf>
    <xf numFmtId="2" fontId="25" fillId="0" borderId="0" applyAlignment="1" pivotButton="0" quotePrefix="0" xfId="0">
      <alignment horizontal="general" vertical="center"/>
    </xf>
    <xf numFmtId="2" fontId="23" fillId="19" borderId="11" applyAlignment="1" pivotButton="0" quotePrefix="0" xfId="0">
      <alignment horizontal="general" vertical="center"/>
    </xf>
    <xf numFmtId="0" fontId="24" fillId="4" borderId="1" applyAlignment="1" pivotButton="0" quotePrefix="0" xfId="0">
      <alignment horizontal="general" vertical="center"/>
    </xf>
    <xf numFmtId="3" fontId="24" fillId="4" borderId="1" applyAlignment="1" pivotButton="0" quotePrefix="0" xfId="0">
      <alignment horizontal="right" vertical="bottom"/>
    </xf>
    <xf numFmtId="3" fontId="27" fillId="4" borderId="1" applyAlignment="1" pivotButton="0" quotePrefix="0" xfId="0">
      <alignment horizontal="general" vertical="bottom"/>
    </xf>
    <xf numFmtId="3" fontId="27" fillId="5" borderId="1" applyAlignment="1" pivotButton="0" quotePrefix="0" xfId="0">
      <alignment horizontal="general" vertical="bottom"/>
    </xf>
    <xf numFmtId="0" fontId="24" fillId="0" borderId="0" pivotButton="0" quotePrefix="0" xfId="0"/>
    <xf numFmtId="3" fontId="24" fillId="0" borderId="0" pivotButton="0" quotePrefix="0" xfId="0"/>
    <xf numFmtId="3" fontId="23" fillId="0" borderId="0" pivotButton="0" quotePrefix="0" xfId="0"/>
    <xf numFmtId="9" fontId="24" fillId="0" borderId="0" pivotButton="0" quotePrefix="0" xfId="0"/>
    <xf numFmtId="0" fontId="27" fillId="0" borderId="0" pivotButton="0" quotePrefix="0" xfId="0"/>
    <xf numFmtId="0" fontId="33" fillId="26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left" vertical="center"/>
    </xf>
    <xf numFmtId="0" fontId="24" fillId="21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22" borderId="11" applyAlignment="1" pivotButton="0" quotePrefix="0" xfId="0">
      <alignment horizontal="center" vertical="center"/>
    </xf>
    <xf numFmtId="0" fontId="34" fillId="0" borderId="0" pivotButton="0" quotePrefix="0" xfId="0"/>
    <xf numFmtId="0" fontId="31" fillId="0" borderId="0" pivotButton="0" quotePrefix="0" xfId="0"/>
    <xf numFmtId="3" fontId="24" fillId="0" borderId="11" applyAlignment="1" pivotButton="0" quotePrefix="0" xfId="0">
      <alignment horizontal="center" vertical="center"/>
    </xf>
    <xf numFmtId="0" fontId="23" fillId="21" borderId="11" applyAlignment="1" pivotButton="0" quotePrefix="0" xfId="0">
      <alignment horizontal="left" vertical="center"/>
    </xf>
    <xf numFmtId="3" fontId="23" fillId="21" borderId="11" applyAlignment="1" pivotButton="0" quotePrefix="0" xfId="0">
      <alignment horizontal="center" vertical="center"/>
    </xf>
    <xf numFmtId="0" fontId="35" fillId="17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23" fillId="0" borderId="11" applyAlignment="1" pivotButton="0" quotePrefix="0" xfId="0">
      <alignment horizontal="left" vertical="center"/>
    </xf>
    <xf numFmtId="3" fontId="23" fillId="25" borderId="11" applyAlignment="1" pivotButton="0" quotePrefix="0" xfId="0">
      <alignment horizontal="center" vertical="center"/>
    </xf>
    <xf numFmtId="3" fontId="24" fillId="25" borderId="11" applyAlignment="1" pivotButton="0" quotePrefix="0" xfId="0">
      <alignment horizontal="center" vertical="center"/>
    </xf>
    <xf numFmtId="0" fontId="24" fillId="25" borderId="0" applyAlignment="1" pivotButton="0" quotePrefix="0" xfId="0">
      <alignment horizontal="center" vertical="center"/>
    </xf>
    <xf numFmtId="167" fontId="24" fillId="0" borderId="0" pivotButton="0" quotePrefix="0" xfId="0"/>
    <xf numFmtId="0" fontId="33" fillId="26" borderId="0" applyAlignment="1" pivotButton="0" quotePrefix="0" xfId="0">
      <alignment horizontal="left" vertical="center"/>
    </xf>
    <xf numFmtId="0" fontId="33" fillId="26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3" fontId="24" fillId="0" borderId="0" applyAlignment="1" pivotButton="0" quotePrefix="0" xfId="0">
      <alignment horizontal="center" vertical="center"/>
    </xf>
    <xf numFmtId="3" fontId="23" fillId="22" borderId="0" applyAlignment="1" pivotButton="0" quotePrefix="0" xfId="0">
      <alignment horizontal="center" vertical="center"/>
    </xf>
    <xf numFmtId="2" fontId="24" fillId="0" borderId="0" applyAlignment="1" pivotButton="0" quotePrefix="0" xfId="0">
      <alignment horizontal="center" vertical="center"/>
    </xf>
    <xf numFmtId="3" fontId="23" fillId="21" borderId="0" applyAlignment="1" pivotButton="0" quotePrefix="0" xfId="0">
      <alignment horizontal="center" vertical="center"/>
    </xf>
    <xf numFmtId="9" fontId="24" fillId="0" borderId="0" applyAlignment="1" pivotButton="0" quotePrefix="0" xfId="0">
      <alignment horizontal="center" vertical="center"/>
    </xf>
    <xf numFmtId="165" fontId="24" fillId="0" borderId="0" pivotButton="0" quotePrefix="0" xfId="0"/>
    <xf numFmtId="0" fontId="24" fillId="21" borderId="11" applyAlignment="1" pivotButton="0" quotePrefix="0" xfId="0">
      <alignment horizontal="left" vertical="center"/>
    </xf>
    <xf numFmtId="3" fontId="24" fillId="21" borderId="11" applyAlignment="1" pivotButton="0" quotePrefix="0" xfId="0">
      <alignment horizontal="center" vertical="center"/>
    </xf>
    <xf numFmtId="0" fontId="33" fillId="26" borderId="0" pivotButton="0" quotePrefix="0" xfId="0"/>
    <xf numFmtId="3" fontId="23" fillId="27" borderId="0" applyAlignment="1" pivotButton="0" quotePrefix="0" xfId="0">
      <alignment horizontal="center" vertical="center"/>
    </xf>
    <xf numFmtId="0" fontId="24" fillId="25" borderId="0" pivotButton="0" quotePrefix="0" xfId="0"/>
    <xf numFmtId="0" fontId="36" fillId="0" borderId="0" applyAlignment="1" pivotButton="0" quotePrefix="0" xfId="0">
      <alignment horizontal="general" vertical="center"/>
    </xf>
    <xf numFmtId="3" fontId="5" fillId="0" borderId="12" applyAlignment="1" pivotButton="0" quotePrefix="0" xfId="0">
      <alignment horizontal="general" vertical="bottom"/>
    </xf>
    <xf numFmtId="0" fontId="5" fillId="0" borderId="12" applyAlignment="1" pivotButton="0" quotePrefix="0" xfId="0">
      <alignment horizontal="general" vertical="bottom"/>
    </xf>
    <xf numFmtId="3" fontId="11" fillId="0" borderId="12" applyAlignment="1" pivotButton="0" quotePrefix="0" xfId="0">
      <alignment horizontal="general" vertical="bottom"/>
    </xf>
    <xf numFmtId="164" fontId="11" fillId="0" borderId="12" applyAlignment="1" pivotButton="0" quotePrefix="0" xfId="0">
      <alignment horizontal="general" vertical="bottom"/>
    </xf>
    <xf numFmtId="0" fontId="23" fillId="0" borderId="12" applyAlignment="1" pivotButton="0" quotePrefix="0" xfId="0">
      <alignment horizontal="general" vertical="bottom"/>
    </xf>
    <xf numFmtId="0" fontId="24" fillId="0" borderId="12" applyAlignment="1" pivotButton="0" quotePrefix="0" xfId="0">
      <alignment horizontal="right" vertical="center"/>
    </xf>
    <xf numFmtId="0" fontId="23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general" vertical="bottom"/>
    </xf>
    <xf numFmtId="0" fontId="23" fillId="0" borderId="12" pivotButton="0" quotePrefix="0" xfId="0"/>
    <xf numFmtId="0" fontId="33" fillId="26" borderId="11" pivotButton="0" quotePrefix="0" xfId="0"/>
    <xf numFmtId="0" fontId="0" fillId="0" borderId="11" pivotButton="0" quotePrefix="0" xfId="0"/>
    <xf numFmtId="0" fontId="24" fillId="25" borderId="11" applyAlignment="1" pivotButton="0" quotePrefix="0" xfId="0">
      <alignment horizontal="center" vertical="center"/>
    </xf>
    <xf numFmtId="0" fontId="23" fillId="0" borderId="11" pivotButton="0" quotePrefix="0" xfId="0"/>
    <xf numFmtId="3" fontId="23" fillId="27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general" vertical="bottom"/>
    </xf>
    <xf numFmtId="3" fontId="24" fillId="21" borderId="11" applyAlignment="1" pivotButton="0" quotePrefix="0" xfId="0">
      <alignment horizontal="right" vertical="bottom"/>
    </xf>
    <xf numFmtId="3" fontId="23" fillId="22" borderId="11" applyAlignment="1" pivotButton="0" quotePrefix="0" xfId="0">
      <alignment horizontal="right" vertical="bottom"/>
    </xf>
    <xf numFmtId="0" fontId="36" fillId="0" borderId="0" pivotButton="0" quotePrefix="0" xfId="0"/>
    <xf numFmtId="9" fontId="27" fillId="23" borderId="11" applyAlignment="1" pivotButton="0" quotePrefix="0" xfId="0">
      <alignment horizontal="right" vertical="bottom"/>
    </xf>
    <xf numFmtId="3" fontId="24" fillId="22" borderId="11" applyAlignment="1" pivotButton="0" quotePrefix="0" xfId="0">
      <alignment horizontal="center" vertical="center"/>
    </xf>
    <xf numFmtId="0" fontId="24" fillId="28" borderId="11" applyAlignment="1" pivotButton="0" quotePrefix="0" xfId="0">
      <alignment horizontal="center" vertical="center"/>
    </xf>
    <xf numFmtId="3" fontId="24" fillId="28" borderId="11" applyAlignment="1" pivotButton="0" quotePrefix="0" xfId="0">
      <alignment horizontal="center" vertical="center"/>
    </xf>
    <xf numFmtId="0" fontId="24" fillId="29" borderId="11" applyAlignment="1" pivotButton="0" quotePrefix="0" xfId="0">
      <alignment horizontal="center" vertical="center"/>
    </xf>
    <xf numFmtId="3" fontId="24" fillId="29" borderId="11" applyAlignment="1" pivotButton="0" quotePrefix="0" xfId="0">
      <alignment horizontal="center" vertical="center"/>
    </xf>
    <xf numFmtId="0" fontId="24" fillId="27" borderId="11" applyAlignment="1" pivotButton="0" quotePrefix="0" xfId="0">
      <alignment horizontal="center" vertical="center"/>
    </xf>
    <xf numFmtId="3" fontId="24" fillId="27" borderId="11" applyAlignment="1" pivotButton="0" quotePrefix="0" xfId="0">
      <alignment horizontal="center" vertical="center"/>
    </xf>
    <xf numFmtId="0" fontId="29" fillId="26" borderId="0" applyAlignment="1" pivotButton="0" quotePrefix="0" xfId="0">
      <alignment horizontal="left" vertical="center"/>
    </xf>
    <xf numFmtId="0" fontId="37" fillId="24" borderId="0" applyAlignment="1" pivotButton="0" quotePrefix="0" xfId="0">
      <alignment horizontal="center" vertical="center"/>
    </xf>
    <xf numFmtId="0" fontId="38" fillId="30" borderId="0" applyAlignment="1" pivotButton="0" quotePrefix="0" xfId="0">
      <alignment horizontal="left" vertical="center"/>
    </xf>
    <xf numFmtId="1" fontId="27" fillId="25" borderId="11" pivotButton="0" quotePrefix="0" xfId="0"/>
    <xf numFmtId="0" fontId="38" fillId="30" borderId="13" applyAlignment="1" pivotButton="0" quotePrefix="0" xfId="0">
      <alignment horizontal="center" vertical="center" wrapText="1"/>
    </xf>
    <xf numFmtId="2" fontId="27" fillId="25" borderId="11" pivotButton="0" quotePrefix="0" xfId="0"/>
    <xf numFmtId="0" fontId="32" fillId="0" borderId="0" pivotButton="0" quotePrefix="0" xfId="0"/>
    <xf numFmtId="0" fontId="39" fillId="0" borderId="13" applyAlignment="1" pivotButton="0" quotePrefix="0" xfId="0">
      <alignment horizontal="left" vertical="center"/>
    </xf>
    <xf numFmtId="0" fontId="39" fillId="0" borderId="13" applyAlignment="1" pivotButton="0" quotePrefix="0" xfId="0">
      <alignment horizontal="center" vertical="center"/>
    </xf>
    <xf numFmtId="3" fontId="40" fillId="31" borderId="13" applyAlignment="1" pivotButton="0" quotePrefix="0" xfId="0">
      <alignment horizontal="right" vertical="center"/>
    </xf>
    <xf numFmtId="0" fontId="41" fillId="0" borderId="13" applyAlignment="1" pivotButton="0" quotePrefix="0" xfId="0">
      <alignment horizontal="left" vertical="center"/>
    </xf>
    <xf numFmtId="0" fontId="25" fillId="0" borderId="0" pivotButton="0" quotePrefix="0" xfId="0"/>
    <xf numFmtId="3" fontId="23" fillId="25" borderId="11" applyAlignment="1" pivotButton="0" quotePrefix="0" xfId="0">
      <alignment horizontal="right" vertical="center"/>
    </xf>
    <xf numFmtId="0" fontId="42" fillId="31" borderId="0" applyAlignment="1" pivotButton="0" quotePrefix="0" xfId="0">
      <alignment horizontal="center" vertical="center"/>
    </xf>
    <xf numFmtId="0" fontId="43" fillId="30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5" fillId="32" borderId="0" applyAlignment="1" pivotButton="0" quotePrefix="0" xfId="0">
      <alignment horizontal="left" vertical="center"/>
    </xf>
    <xf numFmtId="3" fontId="39" fillId="0" borderId="13" applyAlignment="1" pivotButton="0" quotePrefix="0" xfId="0">
      <alignment horizontal="right" vertical="center"/>
    </xf>
    <xf numFmtId="0" fontId="41" fillId="0" borderId="13" applyAlignment="1" pivotButton="0" quotePrefix="0" xfId="0">
      <alignment horizontal="center" vertical="center"/>
    </xf>
    <xf numFmtId="3" fontId="39" fillId="0" borderId="13" applyAlignment="1" pivotButton="0" quotePrefix="0" xfId="0">
      <alignment horizontal="right"/>
    </xf>
    <xf numFmtId="0" fontId="46" fillId="22" borderId="0" applyAlignment="1" pivotButton="0" quotePrefix="0" xfId="0">
      <alignment horizontal="left" vertical="center"/>
    </xf>
    <xf numFmtId="3" fontId="40" fillId="22" borderId="16" applyAlignment="1" pivotButton="0" quotePrefix="0" xfId="0">
      <alignment horizontal="right" vertical="center"/>
    </xf>
    <xf numFmtId="0" fontId="39" fillId="22" borderId="13" applyAlignment="1" pivotButton="0" quotePrefix="0" xfId="0">
      <alignment horizontal="left" vertical="center"/>
    </xf>
    <xf numFmtId="0" fontId="47" fillId="0" borderId="13" applyAlignment="1" pivotButton="0" quotePrefix="0" xfId="0">
      <alignment horizontal="left" vertical="center"/>
    </xf>
    <xf numFmtId="0" fontId="23" fillId="19" borderId="11" applyAlignment="1" pivotButton="0" quotePrefix="0" xfId="0">
      <alignment vertical="center" wrapText="1"/>
    </xf>
    <xf numFmtId="3" fontId="40" fillId="0" borderId="13" applyAlignment="1" pivotButton="0" quotePrefix="0" xfId="0">
      <alignment horizontal="right" vertical="center"/>
    </xf>
    <xf numFmtId="3" fontId="24" fillId="0" borderId="11" applyAlignment="1" pivotButton="0" quotePrefix="0" xfId="0">
      <alignment horizontal="right"/>
    </xf>
    <xf numFmtId="9" fontId="24" fillId="0" borderId="11" applyAlignment="1" pivotButton="0" quotePrefix="0" xfId="0">
      <alignment horizontal="center"/>
    </xf>
    <xf numFmtId="0" fontId="39" fillId="0" borderId="13" applyAlignment="1" pivotButton="0" quotePrefix="0" xfId="0">
      <alignment horizontal="center"/>
    </xf>
    <xf numFmtId="0" fontId="39" fillId="22" borderId="13" applyAlignment="1" pivotButton="0" quotePrefix="0" xfId="0">
      <alignment horizontal="center"/>
    </xf>
    <xf numFmtId="49" fontId="39" fillId="0" borderId="13" applyAlignment="1" pivotButton="0" quotePrefix="0" xfId="0">
      <alignment horizontal="right" vertical="center"/>
    </xf>
    <xf numFmtId="0" fontId="48" fillId="25" borderId="0" applyAlignment="1" pivotButton="0" quotePrefix="0" xfId="0">
      <alignment horizontal="left" vertical="center"/>
    </xf>
    <xf numFmtId="0" fontId="0" fillId="25" borderId="0" pivotButton="0" quotePrefix="0" xfId="0"/>
    <xf numFmtId="0" fontId="26" fillId="24" borderId="0" applyAlignment="1" pivotButton="0" quotePrefix="0" xfId="0">
      <alignment horizontal="center" vertical="center"/>
    </xf>
    <xf numFmtId="0" fontId="49" fillId="24" borderId="0" applyAlignment="1" pivotButton="0" quotePrefix="0" xfId="0">
      <alignment horizontal="left" vertical="center"/>
    </xf>
    <xf numFmtId="0" fontId="50" fillId="0" borderId="0" applyAlignment="1" pivotButton="0" quotePrefix="0" xfId="0">
      <alignment horizontal="left" vertical="center"/>
    </xf>
    <xf numFmtId="0" fontId="51" fillId="25" borderId="11" applyAlignment="1" pivotButton="0" quotePrefix="0" xfId="0">
      <alignment horizontal="center" vertical="center"/>
    </xf>
    <xf numFmtId="0" fontId="52" fillId="0" borderId="0" applyAlignment="1" pivotButton="0" quotePrefix="0" xfId="0">
      <alignment horizontal="left" vertical="center"/>
    </xf>
    <xf numFmtId="0" fontId="53" fillId="0" borderId="0" pivotButton="0" quotePrefix="0" xfId="0"/>
    <xf numFmtId="4" fontId="51" fillId="33" borderId="11" applyAlignment="1" pivotButton="0" quotePrefix="0" xfId="0">
      <alignment horizontal="center" vertical="center"/>
    </xf>
    <xf numFmtId="0" fontId="33" fillId="24" borderId="11" applyAlignment="1" pivotButton="0" quotePrefix="0" xfId="0">
      <alignment horizontal="center" vertical="center"/>
    </xf>
    <xf numFmtId="0" fontId="50" fillId="0" borderId="11" applyAlignment="1" pivotButton="0" quotePrefix="0" xfId="0">
      <alignment horizontal="left" vertical="center"/>
    </xf>
    <xf numFmtId="169" fontId="54" fillId="33" borderId="11" applyAlignment="1" pivotButton="0" quotePrefix="0" xfId="0">
      <alignment horizontal="center" vertical="center"/>
    </xf>
    <xf numFmtId="0" fontId="52" fillId="0" borderId="11" applyAlignment="1" pivotButton="0" quotePrefix="0" xfId="0">
      <alignment horizontal="center" vertical="center"/>
    </xf>
    <xf numFmtId="3" fontId="50" fillId="25" borderId="11" applyAlignment="1" pivotButton="0" quotePrefix="0" xfId="0">
      <alignment horizontal="right" vertical="center"/>
    </xf>
    <xf numFmtId="3" fontId="54" fillId="33" borderId="11" applyAlignment="1" pivotButton="0" quotePrefix="0" xfId="0">
      <alignment horizontal="right" vertical="center"/>
    </xf>
    <xf numFmtId="4" fontId="50" fillId="25" borderId="11" applyAlignment="1" pivotButton="0" quotePrefix="0" xfId="0">
      <alignment horizontal="right" vertical="center"/>
    </xf>
    <xf numFmtId="0" fontId="51" fillId="0" borderId="0" applyAlignment="1" pivotButton="0" quotePrefix="0" xfId="0">
      <alignment horizontal="left" vertical="center"/>
    </xf>
    <xf numFmtId="3" fontId="55" fillId="22" borderId="11" applyAlignment="1" pivotButton="0" quotePrefix="0" xfId="0">
      <alignment horizontal="right" vertical="center"/>
    </xf>
    <xf numFmtId="0" fontId="54" fillId="0" borderId="0" applyAlignment="1" pivotButton="0" quotePrefix="0" xfId="0">
      <alignment horizontal="left" vertical="center"/>
    </xf>
    <xf numFmtId="3" fontId="51" fillId="33" borderId="11" applyAlignment="1" pivotButton="0" quotePrefix="0" xfId="0">
      <alignment horizontal="right" vertical="center"/>
    </xf>
    <xf numFmtId="3" fontId="56" fillId="21" borderId="11" applyAlignment="1" pivotButton="0" quotePrefix="0" xfId="0">
      <alignment horizontal="right" vertical="center"/>
    </xf>
    <xf numFmtId="3" fontId="51" fillId="21" borderId="11" applyAlignment="1" pivotButton="0" quotePrefix="0" xfId="0">
      <alignment horizontal="right" vertical="center"/>
    </xf>
    <xf numFmtId="164" fontId="51" fillId="33" borderId="11" applyAlignment="1" pivotButton="0" quotePrefix="0" xfId="0">
      <alignment horizontal="right" vertical="center"/>
    </xf>
    <xf numFmtId="0" fontId="57" fillId="0" borderId="0" applyAlignment="1" pivotButton="0" quotePrefix="0" xfId="0">
      <alignment horizontal="left" vertical="center"/>
    </xf>
    <xf numFmtId="0" fontId="54" fillId="0" borderId="11" applyAlignment="1" pivotButton="0" quotePrefix="0" xfId="0">
      <alignment horizontal="left" vertical="center"/>
    </xf>
    <xf numFmtId="3" fontId="51" fillId="25" borderId="11" applyAlignment="1" pivotButton="0" quotePrefix="0" xfId="0">
      <alignment horizontal="center" vertical="center"/>
    </xf>
    <xf numFmtId="3" fontId="50" fillId="33" borderId="11" applyAlignment="1" pivotButton="0" quotePrefix="0" xfId="0">
      <alignment horizontal="right" vertical="center"/>
    </xf>
    <xf numFmtId="0" fontId="58" fillId="24" borderId="11" applyAlignment="1" pivotButton="0" quotePrefix="0" xfId="0">
      <alignment horizontal="center" vertical="center"/>
    </xf>
    <xf numFmtId="0" fontId="58" fillId="24" borderId="0" pivotButton="0" quotePrefix="0" xfId="0"/>
    <xf numFmtId="0" fontId="52" fillId="0" borderId="11" applyAlignment="1" pivotButton="0" quotePrefix="0" xfId="0">
      <alignment horizontal="left" vertical="center"/>
    </xf>
    <xf numFmtId="0" fontId="52" fillId="0" borderId="11" applyAlignment="1" pivotButton="0" quotePrefix="0" xfId="0">
      <alignment horizontal="right" vertical="center"/>
    </xf>
    <xf numFmtId="0" fontId="52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right" vertical="center"/>
    </xf>
    <xf numFmtId="0" fontId="51" fillId="25" borderId="11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50" fillId="0" borderId="0" pivotButton="0" quotePrefix="0" xfId="0"/>
    <xf numFmtId="0" fontId="52" fillId="33" borderId="11" applyAlignment="1" pivotButton="0" quotePrefix="0" xfId="0">
      <alignment horizontal="center" vertical="center"/>
    </xf>
    <xf numFmtId="0" fontId="57" fillId="0" borderId="0" pivotButton="0" quotePrefix="0" xfId="0"/>
    <xf numFmtId="0" fontId="60" fillId="24" borderId="0" applyAlignment="1" pivotButton="0" quotePrefix="0" xfId="0">
      <alignment horizontal="center" vertical="center"/>
    </xf>
    <xf numFmtId="0" fontId="61" fillId="0" borderId="11" applyAlignment="1" pivotButton="0" quotePrefix="0" xfId="0">
      <alignment horizontal="left" vertical="center"/>
    </xf>
    <xf numFmtId="3" fontId="54" fillId="22" borderId="11" applyAlignment="1" pivotButton="0" quotePrefix="0" xfId="0">
      <alignment horizontal="right" vertical="center"/>
    </xf>
    <xf numFmtId="3" fontId="62" fillId="0" borderId="11" applyAlignment="1" pivotButton="0" quotePrefix="0" xfId="0">
      <alignment horizontal="right" vertical="center"/>
    </xf>
    <xf numFmtId="0" fontId="53" fillId="0" borderId="11" applyAlignment="1" pivotButton="0" quotePrefix="0" xfId="0">
      <alignment horizontal="right" vertical="center"/>
    </xf>
    <xf numFmtId="0" fontId="33" fillId="34" borderId="0" pivotButton="0" quotePrefix="0" xfId="0"/>
    <xf numFmtId="0" fontId="24" fillId="25" borderId="11" pivotButton="0" quotePrefix="0" xfId="0"/>
    <xf numFmtId="0" fontId="23" fillId="19" borderId="0" applyAlignment="1" pivotButton="0" quotePrefix="0" xfId="0">
      <alignment horizontal="general" vertical="bottom"/>
    </xf>
    <xf numFmtId="0" fontId="23" fillId="35" borderId="11" applyAlignment="1" pivotButton="0" quotePrefix="0" xfId="0">
      <alignment horizontal="general" vertical="bottom"/>
    </xf>
    <xf numFmtId="0" fontId="23" fillId="28" borderId="11" applyAlignment="1" pivotButton="0" quotePrefix="0" xfId="0">
      <alignment horizontal="general" vertical="bottom"/>
    </xf>
    <xf numFmtId="0" fontId="23" fillId="19" borderId="0" pivotButton="0" quotePrefix="0" xfId="0"/>
    <xf numFmtId="0" fontId="29" fillId="34" borderId="0" pivotButton="0" quotePrefix="0" xfId="0"/>
    <xf numFmtId="0" fontId="63" fillId="19" borderId="0" pivotButton="0" quotePrefix="0" xfId="0"/>
    <xf numFmtId="0" fontId="28" fillId="0" borderId="0" pivotButton="0" quotePrefix="0" xfId="0"/>
    <xf numFmtId="0" fontId="65" fillId="33" borderId="0" pivotButton="0" quotePrefix="0" xfId="0"/>
    <xf numFmtId="0" fontId="64" fillId="26" borderId="0" pivotButton="0" quotePrefix="0" xfId="0"/>
    <xf numFmtId="0" fontId="63" fillId="0" borderId="0" pivotButton="0" quotePrefix="0" xfId="0"/>
    <xf numFmtId="0" fontId="63" fillId="25" borderId="11" pivotButton="0" quotePrefix="0" xfId="0"/>
    <xf numFmtId="0" fontId="65" fillId="0" borderId="0" pivotButton="0" quotePrefix="0" xfId="0"/>
    <xf numFmtId="0" fontId="63" fillId="25" borderId="0" pivotButton="0" quotePrefix="0" xfId="0"/>
    <xf numFmtId="0" fontId="49" fillId="24" borderId="0" applyAlignment="1" pivotButton="0" quotePrefix="0" xfId="0">
      <alignment horizontal="left" vertical="center" wrapText="1"/>
    </xf>
    <xf numFmtId="0" fontId="66" fillId="36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25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67" fillId="0" borderId="0" pivotButton="0" quotePrefix="0" xfId="0"/>
    <xf numFmtId="0" fontId="68" fillId="22" borderId="0" applyAlignment="1" pivotButton="0" quotePrefix="0" xfId="0">
      <alignment horizontal="left" vertical="center" wrapText="1"/>
    </xf>
    <xf numFmtId="3" fontId="68" fillId="22" borderId="0" applyAlignment="1" pivotButton="0" quotePrefix="0" xfId="0">
      <alignment horizontal="right" vertical="center"/>
    </xf>
    <xf numFmtId="0" fontId="69" fillId="21" borderId="0" applyAlignment="1" pivotButton="0" quotePrefix="0" xfId="0">
      <alignment horizontal="left" vertical="center" wrapText="1"/>
    </xf>
    <xf numFmtId="3" fontId="69" fillId="21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3" fontId="24" fillId="0" borderId="0" applyAlignment="1" pivotButton="0" quotePrefix="0" xfId="0">
      <alignment horizontal="right" vertical="center"/>
    </xf>
    <xf numFmtId="0" fontId="24" fillId="31" borderId="0" pivotButton="0" quotePrefix="0" xfId="0"/>
    <xf numFmtId="0" fontId="0" fillId="19" borderId="0" pivotButton="0" quotePrefix="0" xfId="0"/>
    <xf numFmtId="0" fontId="25" fillId="33" borderId="0" pivotButton="0" quotePrefix="0" xfId="0"/>
    <xf numFmtId="0" fontId="0" fillId="33" borderId="0" pivotButton="0" quotePrefix="0" xfId="0"/>
    <xf numFmtId="3" fontId="25" fillId="33" borderId="0" pivotButton="0" quotePrefix="0" xfId="0"/>
    <xf numFmtId="0" fontId="25" fillId="37" borderId="0" pivotButton="0" quotePrefix="0" xfId="0"/>
    <xf numFmtId="0" fontId="0" fillId="37" borderId="0" pivotButton="0" quotePrefix="0" xfId="0"/>
    <xf numFmtId="3" fontId="25" fillId="37" borderId="0" pivotButton="0" quotePrefix="0" xfId="0"/>
    <xf numFmtId="0" fontId="23" fillId="38" borderId="0" applyAlignment="1" pivotButton="0" quotePrefix="0" xfId="0">
      <alignment horizontal="center" vertical="center"/>
    </xf>
    <xf numFmtId="0" fontId="24" fillId="38" borderId="0" pivotButton="0" quotePrefix="0" xfId="0"/>
    <xf numFmtId="0" fontId="58" fillId="30" borderId="0" pivotButton="0" quotePrefix="0" xfId="0"/>
    <xf numFmtId="0" fontId="0" fillId="30" borderId="0" pivotButton="0" quotePrefix="0" xfId="0"/>
    <xf numFmtId="3" fontId="58" fillId="30" borderId="0" pivotButton="0" quotePrefix="0" xfId="0"/>
    <xf numFmtId="0" fontId="58" fillId="39" borderId="0" pivotButton="0" quotePrefix="0" xfId="0"/>
    <xf numFmtId="0" fontId="0" fillId="39" borderId="0" pivotButton="0" quotePrefix="0" xfId="0"/>
    <xf numFmtId="0" fontId="25" fillId="40" borderId="0" pivotButton="0" quotePrefix="0" xfId="0"/>
    <xf numFmtId="3" fontId="25" fillId="40" borderId="0" pivotButton="0" quotePrefix="0" xfId="0"/>
    <xf numFmtId="0" fontId="58" fillId="41" borderId="0" pivotButton="0" quotePrefix="0" xfId="0"/>
    <xf numFmtId="0" fontId="0" fillId="41" borderId="0" pivotButton="0" quotePrefix="0" xfId="0"/>
    <xf numFmtId="0" fontId="25" fillId="42" borderId="0" pivotButton="0" quotePrefix="0" xfId="0"/>
    <xf numFmtId="3" fontId="25" fillId="42" borderId="0" pivotButton="0" quotePrefix="0" xfId="0"/>
    <xf numFmtId="0" fontId="24" fillId="40" borderId="0" pivotButton="0" quotePrefix="0" xfId="0"/>
    <xf numFmtId="3" fontId="24" fillId="40" borderId="0" pivotButton="0" quotePrefix="0" xfId="0"/>
    <xf numFmtId="0" fontId="24" fillId="37" borderId="0" pivotButton="0" quotePrefix="0" xfId="0"/>
    <xf numFmtId="3" fontId="24" fillId="37" borderId="0" pivotButton="0" quotePrefix="0" xfId="0"/>
    <xf numFmtId="0" fontId="24" fillId="41" borderId="0" pivotButton="0" quotePrefix="0" xfId="0"/>
    <xf numFmtId="0" fontId="24" fillId="42" borderId="0" pivotButton="0" quotePrefix="0" xfId="0"/>
    <xf numFmtId="3" fontId="24" fillId="42" borderId="0" pivotButton="0" quotePrefix="0" xfId="0"/>
    <xf numFmtId="0" fontId="49" fillId="43" borderId="0" pivotButton="0" quotePrefix="0" xfId="0"/>
    <xf numFmtId="0" fontId="24" fillId="33" borderId="0" pivotButton="0" quotePrefix="0" xfId="0"/>
    <xf numFmtId="9" fontId="23" fillId="0" borderId="0" pivotButton="0" quotePrefix="0" xfId="0"/>
    <xf numFmtId="0" fontId="70" fillId="0" borderId="0" pivotButton="0" quotePrefix="0" xfId="0"/>
    <xf numFmtId="3" fontId="0" fillId="0" borderId="0" pivotButton="0" quotePrefix="0" xfId="0"/>
    <xf numFmtId="0" fontId="33" fillId="26" borderId="0" applyAlignment="1" pivotButton="0" quotePrefix="0" xfId="0">
      <alignment horizontal="center"/>
    </xf>
    <xf numFmtId="0" fontId="58" fillId="26" borderId="0" applyAlignment="1" pivotButton="0" quotePrefix="0" xfId="0">
      <alignment horizontal="center"/>
    </xf>
    <xf numFmtId="165" fontId="0" fillId="25" borderId="0" pivotButton="0" quotePrefix="0" xfId="0"/>
    <xf numFmtId="165" fontId="5" fillId="0" borderId="12" applyAlignment="1" pivotButton="0" quotePrefix="0" xfId="0">
      <alignment horizontal="general" vertical="bottom"/>
    </xf>
    <xf numFmtId="165" fontId="0" fillId="0" borderId="0" pivotButton="0" quotePrefix="0" xfId="0"/>
    <xf numFmtId="165" fontId="70" fillId="0" borderId="0" pivotButton="0" quotePrefix="0" xfId="0"/>
    <xf numFmtId="0" fontId="71" fillId="25" borderId="0" pivotButton="0" quotePrefix="0" xfId="0"/>
    <xf numFmtId="0" fontId="71" fillId="0" borderId="0" pivotButton="0" quotePrefix="0" xfId="0"/>
    <xf numFmtId="0" fontId="72" fillId="0" borderId="0" pivotButton="0" quotePrefix="0" xfId="0"/>
    <xf numFmtId="165" fontId="71" fillId="25" borderId="0" pivotButton="0" quotePrefix="0" xfId="0"/>
    <xf numFmtId="3" fontId="71" fillId="0" borderId="0" pivotButton="0" quotePrefix="0" xfId="0"/>
    <xf numFmtId="3" fontId="27" fillId="0" borderId="0" pivotButton="0" quotePrefix="0" xfId="0"/>
    <xf numFmtId="165" fontId="27" fillId="0" borderId="0" pivotButton="0" quotePrefix="0" xfId="0"/>
    <xf numFmtId="165" fontId="71" fillId="0" borderId="0" pivotButton="0" quotePrefix="0" xfId="0"/>
    <xf numFmtId="165" fontId="72" fillId="0" borderId="0" pivotButton="0" quotePrefix="0" xfId="0"/>
    <xf numFmtId="0" fontId="54" fillId="19" borderId="0" pivotButton="0" quotePrefix="0" xfId="0"/>
    <xf numFmtId="166" fontId="52" fillId="0" borderId="11" applyAlignment="1" pivotButton="0" quotePrefix="0" xfId="0">
      <alignment horizontal="right" vertical="center"/>
    </xf>
    <xf numFmtId="165" fontId="52" fillId="0" borderId="11" applyAlignment="1" pivotButton="0" quotePrefix="0" xfId="0">
      <alignment horizontal="right" vertical="center"/>
    </xf>
    <xf numFmtId="0" fontId="52" fillId="25" borderId="11" applyAlignment="1" pivotButton="0" quotePrefix="0" xfId="0">
      <alignment horizontal="left" vertical="center"/>
    </xf>
    <xf numFmtId="0" fontId="25" fillId="0" borderId="11" applyAlignment="1" pivotButton="0" quotePrefix="0" xfId="0">
      <alignment horizontal="left" vertical="center"/>
    </xf>
    <xf numFmtId="165" fontId="25" fillId="0" borderId="11" applyAlignment="1" pivotButton="0" quotePrefix="0" xfId="0">
      <alignment horizontal="right" vertical="center"/>
    </xf>
    <xf numFmtId="166" fontId="25" fillId="0" borderId="11" applyAlignment="1" pivotButton="0" quotePrefix="0" xfId="0">
      <alignment horizontal="right" vertical="center"/>
    </xf>
    <xf numFmtId="0" fontId="25" fillId="0" borderId="11" applyAlignment="1" pivotButton="0" quotePrefix="0" xfId="0">
      <alignment horizontal="right" vertical="center"/>
    </xf>
    <xf numFmtId="0" fontId="44" fillId="0" borderId="21" pivotButton="0" quotePrefix="0" xfId="0"/>
    <xf numFmtId="0" fontId="44" fillId="0" borderId="22" pivotButton="0" quotePrefix="0" xfId="0"/>
    <xf numFmtId="0" fontId="49" fillId="24" borderId="0" pivotButton="0" quotePrefix="0" xfId="0"/>
    <xf numFmtId="0" fontId="23" fillId="19" borderId="0" applyAlignment="1" pivotButton="0" quotePrefix="0" xfId="0">
      <alignment horizontal="center" vertical="center"/>
    </xf>
    <xf numFmtId="0" fontId="24" fillId="0" borderId="11" applyAlignment="1" pivotButton="0" quotePrefix="0" xfId="0">
      <alignment horizontal="right" vertical="center"/>
    </xf>
    <xf numFmtId="0" fontId="24" fillId="21" borderId="11" applyAlignment="1" pivotButton="0" quotePrefix="0" xfId="0">
      <alignment horizontal="right" vertical="center"/>
    </xf>
    <xf numFmtId="0" fontId="23" fillId="25" borderId="0" pivotButton="0" quotePrefix="0" xfId="0"/>
    <xf numFmtId="0" fontId="23" fillId="21" borderId="0" applyAlignment="1" pivotButton="0" quotePrefix="0" xfId="0">
      <alignment horizontal="right" vertical="center"/>
    </xf>
    <xf numFmtId="0" fontId="24" fillId="21" borderId="0" applyAlignment="1" pivotButton="0" quotePrefix="0" xfId="0">
      <alignment horizontal="right" vertical="center"/>
    </xf>
    <xf numFmtId="0" fontId="23" fillId="22" borderId="0" applyAlignment="1" pivotButton="0" quotePrefix="0" xfId="0">
      <alignment horizontal="right" vertical="center"/>
    </xf>
    <xf numFmtId="9" fontId="24" fillId="0" borderId="0" applyAlignment="1" pivotButton="0" quotePrefix="0" xfId="0">
      <alignment horizontal="right" vertical="center"/>
    </xf>
    <xf numFmtId="3" fontId="24" fillId="0" borderId="11" applyAlignment="1" pivotButton="0" quotePrefix="0" xfId="0">
      <alignment horizontal="right" vertical="center"/>
    </xf>
    <xf numFmtId="3" fontId="23" fillId="21" borderId="0" applyAlignment="1" pivotButton="0" quotePrefix="0" xfId="0">
      <alignment horizontal="right" vertical="center"/>
    </xf>
    <xf numFmtId="3" fontId="24" fillId="21" borderId="0" applyAlignment="1" pivotButton="0" quotePrefix="0" xfId="0">
      <alignment horizontal="right" vertical="center"/>
    </xf>
    <xf numFmtId="3" fontId="23" fillId="22" borderId="0" applyAlignment="1" pivotButton="0" quotePrefix="0" xfId="0">
      <alignment horizontal="right" vertical="center"/>
    </xf>
    <xf numFmtId="0" fontId="73" fillId="0" borderId="0" pivotButton="0" quotePrefix="0" xfId="0"/>
    <xf numFmtId="3" fontId="0" fillId="0" borderId="0" applyAlignment="1" pivotButton="0" quotePrefix="0" xfId="0">
      <alignment horizontal="right" vertical="center"/>
    </xf>
    <xf numFmtId="0" fontId="33" fillId="30" borderId="0" applyAlignment="1" pivotButton="0" quotePrefix="0" xfId="0">
      <alignment horizontal="center" vertical="center"/>
    </xf>
    <xf numFmtId="2" fontId="24" fillId="0" borderId="11" applyAlignment="1" pivotButton="0" quotePrefix="0" xfId="0">
      <alignment horizontal="right" vertical="center"/>
    </xf>
    <xf numFmtId="3" fontId="24" fillId="21" borderId="11" applyAlignment="1" pivotButton="0" quotePrefix="0" xfId="0">
      <alignment horizontal="right" vertical="center"/>
    </xf>
    <xf numFmtId="0" fontId="53" fillId="0" borderId="0" applyAlignment="1" pivotButton="0" quotePrefix="0" xfId="0">
      <alignment horizontal="center" vertical="center"/>
    </xf>
    <xf numFmtId="0" fontId="49" fillId="30" borderId="0" applyAlignment="1" pivotButton="0" quotePrefix="0" xfId="0">
      <alignment horizontal="left" vertical="center"/>
    </xf>
    <xf numFmtId="0" fontId="74" fillId="25" borderId="25" applyAlignment="1" pivotButton="0" quotePrefix="0" xfId="0">
      <alignment horizontal="left" vertical="center"/>
    </xf>
    <xf numFmtId="0" fontId="75" fillId="0" borderId="25" applyAlignment="1" pivotButton="0" quotePrefix="0" xfId="0">
      <alignment horizontal="left" vertical="center"/>
    </xf>
    <xf numFmtId="0" fontId="49" fillId="44" borderId="0" applyAlignment="1" pivotButton="0" quotePrefix="0" xfId="0">
      <alignment horizontal="left" vertical="center"/>
    </xf>
    <xf numFmtId="0" fontId="0" fillId="44" borderId="0" pivotButton="0" quotePrefix="0" xfId="0"/>
    <xf numFmtId="0" fontId="76" fillId="25" borderId="25" applyAlignment="1" pivotButton="0" quotePrefix="0" xfId="0">
      <alignment horizontal="left" vertical="center"/>
    </xf>
    <xf numFmtId="0" fontId="77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76" fillId="22" borderId="25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78" fillId="45" borderId="30" applyAlignment="1" pivotButton="0" quotePrefix="0" xfId="0">
      <alignment horizontal="center" vertical="center"/>
    </xf>
    <xf numFmtId="0" fontId="80" fillId="0" borderId="0" pivotButton="0" quotePrefix="0" xfId="0"/>
    <xf numFmtId="0" fontId="79" fillId="0" borderId="0" pivotButton="0" quotePrefix="0" xfId="0"/>
    <xf numFmtId="166" fontId="0" fillId="0" borderId="0" pivotButton="0" quotePrefix="0" xfId="0"/>
    <xf numFmtId="0" fontId="33" fillId="26" borderId="11" applyAlignment="1" pivotButton="0" quotePrefix="0" xfId="0">
      <alignment vertical="center" wrapText="1"/>
    </xf>
    <xf numFmtId="0" fontId="33" fillId="44" borderId="11" applyAlignment="1" pivotButton="0" quotePrefix="0" xfId="0">
      <alignment vertical="center" wrapText="1"/>
    </xf>
    <xf numFmtId="0" fontId="0" fillId="27" borderId="11" applyAlignment="1" pivotButton="0" quotePrefix="0" xfId="0">
      <alignment horizontal="general" vertical="bottom"/>
    </xf>
    <xf numFmtId="0" fontId="0" fillId="21" borderId="11" applyAlignment="1" pivotButton="0" quotePrefix="0" xfId="0">
      <alignment horizontal="general" vertical="bottom"/>
    </xf>
    <xf numFmtId="0" fontId="0" fillId="22" borderId="11" applyAlignment="1" pivotButton="0" quotePrefix="0" xfId="0">
      <alignment horizontal="general" vertical="bottom"/>
    </xf>
    <xf numFmtId="170" fontId="0" fillId="22" borderId="11" applyAlignment="1" pivotButton="0" quotePrefix="0" xfId="0">
      <alignment horizontal="general" vertical="bottom"/>
    </xf>
    <xf numFmtId="171" fontId="0" fillId="22" borderId="11" applyAlignment="1" pivotButton="0" quotePrefix="0" xfId="0">
      <alignment horizontal="general" vertical="bottom"/>
    </xf>
    <xf numFmtId="170" fontId="0" fillId="22" borderId="11" applyAlignment="1" pivotButton="0" quotePrefix="0" xfId="0">
      <alignment horizontal="general" vertical="bottom"/>
    </xf>
    <xf numFmtId="171" fontId="0" fillId="22" borderId="11" applyAlignment="1" pivotButton="0" quotePrefix="0" xfId="0">
      <alignment horizontal="general" vertical="bottom"/>
    </xf>
    <xf numFmtId="0" fontId="81" fillId="0" borderId="0" pivotButton="0" quotePrefix="0" xfId="0"/>
    <xf numFmtId="0" fontId="33" fillId="39" borderId="11" applyAlignment="1" pivotButton="0" quotePrefix="0" xfId="0">
      <alignment vertical="center" wrapText="1"/>
    </xf>
    <xf numFmtId="0" fontId="0" fillId="25" borderId="11" pivotButton="0" quotePrefix="0" xfId="0"/>
    <xf numFmtId="0" fontId="0" fillId="22" borderId="11" pivotButton="0" quotePrefix="0" xfId="0"/>
    <xf numFmtId="0" fontId="82" fillId="0" borderId="0" pivotButton="0" quotePrefix="0" xfId="0"/>
    <xf numFmtId="172" fontId="24" fillId="0" borderId="1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0" fontId="83" fillId="27" borderId="0" pivotButton="0" quotePrefix="0" xfId="0"/>
    <xf numFmtId="170" fontId="83" fillId="27" borderId="0" pivotButton="0" quotePrefix="0" xfId="0"/>
    <xf numFmtId="0" fontId="84" fillId="0" borderId="0" pivotButton="0" quotePrefix="0" xfId="0"/>
    <xf numFmtId="0" fontId="85" fillId="0" borderId="0" pivotButton="0" quotePrefix="0" xfId="0"/>
    <xf numFmtId="169" fontId="0" fillId="25" borderId="11" pivotButton="0" quotePrefix="0" xfId="0"/>
    <xf numFmtId="0" fontId="33" fillId="46" borderId="11" pivotButton="0" quotePrefix="0" xfId="0"/>
    <xf numFmtId="0" fontId="86" fillId="0" borderId="11" pivotButton="0" quotePrefix="0" xfId="0"/>
    <xf numFmtId="0" fontId="87" fillId="47" borderId="0" applyAlignment="1" pivotButton="0" quotePrefix="0" xfId="0">
      <alignment horizontal="center"/>
    </xf>
    <xf numFmtId="0" fontId="87" fillId="47" borderId="30" applyAlignment="1" pivotButton="0" quotePrefix="0" xfId="0">
      <alignment horizontal="center"/>
    </xf>
    <xf numFmtId="0" fontId="87" fillId="47" borderId="11" applyAlignment="1" pivotButton="0" quotePrefix="0" xfId="0">
      <alignment horizontal="center"/>
    </xf>
    <xf numFmtId="0" fontId="87" fillId="0" borderId="0" applyAlignment="1" pivotButton="0" quotePrefix="0" xfId="0">
      <alignment horizontal="center"/>
    </xf>
    <xf numFmtId="0" fontId="88" fillId="0" borderId="0" pivotButton="0" quotePrefix="0" xfId="0"/>
    <xf numFmtId="0" fontId="58" fillId="48" borderId="0" pivotButton="0" quotePrefix="0" xfId="0"/>
    <xf numFmtId="166" fontId="0" fillId="22" borderId="11" pivotButton="0" quotePrefix="0" xfId="0"/>
    <xf numFmtId="0" fontId="87" fillId="0" borderId="0" pivotButton="0" quotePrefix="0" xfId="0"/>
    <xf numFmtId="3" fontId="0" fillId="25" borderId="11" pivotButton="0" quotePrefix="0" xfId="0"/>
    <xf numFmtId="3" fontId="0" fillId="0" borderId="11" pivotButton="0" quotePrefix="0" xfId="0"/>
    <xf numFmtId="0" fontId="89" fillId="0" borderId="0" pivotButton="0" quotePrefix="0" xfId="0"/>
    <xf numFmtId="0" fontId="88" fillId="45" borderId="30" applyAlignment="1" pivotButton="0" quotePrefix="0" xfId="0">
      <alignment horizontal="center" vertical="center"/>
    </xf>
    <xf numFmtId="3" fontId="0" fillId="33" borderId="11" pivotButton="0" quotePrefix="0" xfId="0"/>
    <xf numFmtId="3" fontId="0" fillId="22" borderId="11" pivotButton="0" quotePrefix="0" xfId="0"/>
    <xf numFmtId="0" fontId="90" fillId="0" borderId="0" pivotButton="0" quotePrefix="0" xfId="0"/>
    <xf numFmtId="0" fontId="54" fillId="47" borderId="11" applyAlignment="1" pivotButton="0" quotePrefix="0" xfId="0">
      <alignment horizontal="general" vertical="bottom"/>
    </xf>
    <xf numFmtId="0" fontId="0" fillId="47" borderId="11" applyAlignment="1" pivotButton="0" quotePrefix="0" xfId="0">
      <alignment horizontal="general" vertical="bottom"/>
    </xf>
    <xf numFmtId="0" fontId="54" fillId="47" borderId="11" pivotButton="0" quotePrefix="0" xfId="0"/>
    <xf numFmtId="0" fontId="86" fillId="33" borderId="11" pivotButton="0" quotePrefix="0" xfId="0"/>
    <xf numFmtId="0" fontId="91" fillId="0" borderId="0" pivotButton="0" quotePrefix="0" xfId="0"/>
    <xf numFmtId="0" fontId="92" fillId="26" borderId="11" applyAlignment="1" pivotButton="0" quotePrefix="0" xfId="0">
      <alignment vertical="center" wrapText="1"/>
    </xf>
    <xf numFmtId="0" fontId="24" fillId="22" borderId="11" applyAlignment="1" pivotButton="0" quotePrefix="0" xfId="0">
      <alignment horizontal="general" vertical="bottom"/>
    </xf>
    <xf numFmtId="0" fontId="23" fillId="47" borderId="0" pivotButton="0" quotePrefix="0" xfId="0"/>
    <xf numFmtId="0" fontId="93" fillId="22" borderId="11" pivotButton="0" quotePrefix="0" xfId="0"/>
    <xf numFmtId="0" fontId="24" fillId="22" borderId="11" applyAlignment="1" pivotButton="0" quotePrefix="0" xfId="0">
      <alignment horizontal="left" vertical="center"/>
    </xf>
    <xf numFmtId="0" fontId="24" fillId="21" borderId="1" applyAlignment="1" pivotButton="0" quotePrefix="0" xfId="0">
      <alignment horizontal="general" vertical="bottom"/>
    </xf>
    <xf numFmtId="172" fontId="24" fillId="21" borderId="1" applyAlignment="1" pivotButton="0" quotePrefix="0" xfId="0">
      <alignment horizontal="general" vertical="bottom"/>
    </xf>
    <xf numFmtId="0" fontId="0" fillId="21" borderId="0" pivotButton="0" quotePrefix="0" xfId="0"/>
    <xf numFmtId="0" fontId="0" fillId="21" borderId="0" applyAlignment="1" pivotButton="0" quotePrefix="0" xfId="0">
      <alignment horizontal="general" vertical="bottom"/>
    </xf>
    <xf numFmtId="172" fontId="0" fillId="21" borderId="0" applyAlignment="1" pivotButton="0" quotePrefix="0" xfId="0">
      <alignment horizontal="general" vertical="bottom"/>
    </xf>
    <xf numFmtId="0" fontId="94" fillId="0" borderId="0" pivotButton="0" quotePrefix="0" xfId="0"/>
    <xf numFmtId="0" fontId="33" fillId="49" borderId="11" pivotButton="0" quotePrefix="0" xfId="0"/>
    <xf numFmtId="0" fontId="0" fillId="21" borderId="11" pivotButton="0" quotePrefix="0" xfId="0"/>
    <xf numFmtId="3" fontId="0" fillId="21" borderId="11" pivotButton="0" quotePrefix="0" xfId="0"/>
    <xf numFmtId="0" fontId="95" fillId="0" borderId="0" pivotButton="0" quotePrefix="0" xfId="0"/>
    <xf numFmtId="166" fontId="0" fillId="27" borderId="11" pivotButton="0" quotePrefix="0" xfId="0"/>
    <xf numFmtId="0" fontId="96" fillId="0" borderId="0" pivotButton="0" quotePrefix="0" xfId="0"/>
    <xf numFmtId="0" fontId="97" fillId="0" borderId="0" pivotButton="0" quotePrefix="0" xfId="0"/>
    <xf numFmtId="0" fontId="90" fillId="0" borderId="0" applyAlignment="1" pivotButton="0" quotePrefix="0" xfId="0">
      <alignment horizontal="general" vertical="bottom"/>
    </xf>
    <xf numFmtId="0" fontId="98" fillId="31" borderId="31" applyAlignment="1" pivotButton="0" quotePrefix="0" xfId="0">
      <alignment horizontal="center" vertical="center"/>
    </xf>
    <xf numFmtId="0" fontId="0" fillId="31" borderId="31" pivotButton="0" quotePrefix="0" xfId="0"/>
    <xf numFmtId="172" fontId="99" fillId="21" borderId="1" applyAlignment="1" pivotButton="0" quotePrefix="0" xfId="0">
      <alignment horizontal="center"/>
    </xf>
    <xf numFmtId="172" fontId="99" fillId="21" borderId="0" applyAlignment="1" pivotButton="0" quotePrefix="0" xfId="0">
      <alignment horizontal="center"/>
    </xf>
    <xf numFmtId="0" fontId="0" fillId="0" borderId="34" pivotButton="0" quotePrefix="0" xfId="0"/>
    <xf numFmtId="0" fontId="0" fillId="0" borderId="35" pivotButton="0" quotePrefix="0" xfId="0"/>
    <xf numFmtId="0" fontId="100" fillId="0" borderId="0" pivotButton="0" quotePrefix="0" xfId="0"/>
    <xf numFmtId="0" fontId="101" fillId="0" borderId="0" pivotButton="0" quotePrefix="0" xfId="0"/>
    <xf numFmtId="0" fontId="102" fillId="50" borderId="11" applyAlignment="1" pivotButton="0" quotePrefix="0" xfId="0">
      <alignment horizontal="center" vertical="center"/>
    </xf>
    <xf numFmtId="0" fontId="0" fillId="31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21" borderId="11" applyAlignment="1" pivotButton="0" quotePrefix="0" xfId="0">
      <alignment horizontal="center" vertical="center"/>
    </xf>
    <xf numFmtId="0" fontId="0" fillId="33" borderId="11" applyAlignment="1" pivotButton="0" quotePrefix="0" xfId="0">
      <alignment horizontal="center" vertical="center"/>
    </xf>
    <xf numFmtId="0" fontId="96" fillId="22" borderId="11" applyAlignment="1" pivotButton="0" quotePrefix="0" xfId="0">
      <alignment horizontal="center" vertical="center"/>
    </xf>
    <xf numFmtId="0" fontId="99" fillId="0" borderId="11" applyAlignment="1" pivotButton="0" quotePrefix="0" xfId="0">
      <alignment horizontal="center" vertical="center"/>
    </xf>
    <xf numFmtId="0" fontId="104" fillId="0" borderId="0" pivotButton="0" quotePrefix="0" xfId="0"/>
    <xf numFmtId="0" fontId="105" fillId="0" borderId="0" pivotButton="0" quotePrefix="0" xfId="0"/>
    <xf numFmtId="0" fontId="106" fillId="0" borderId="0" pivotButton="0" quotePrefix="0" xfId="0"/>
    <xf numFmtId="0" fontId="90" fillId="31" borderId="0" applyAlignment="1" pivotButton="0" quotePrefix="0" xfId="0">
      <alignment horizontal="center" vertical="center"/>
    </xf>
    <xf numFmtId="172" fontId="96" fillId="21" borderId="1" applyAlignment="1" pivotButton="0" quotePrefix="0" xfId="0">
      <alignment horizontal="center"/>
    </xf>
    <xf numFmtId="0" fontId="101" fillId="21" borderId="1" applyAlignment="1" pivotButton="0" quotePrefix="0" xfId="0">
      <alignment horizontal="center"/>
    </xf>
    <xf numFmtId="172" fontId="96" fillId="21" borderId="0" applyAlignment="1" pivotButton="0" quotePrefix="0" xfId="0">
      <alignment horizontal="center"/>
    </xf>
    <xf numFmtId="0" fontId="101" fillId="21" borderId="0" applyAlignment="1" pivotButton="0" quotePrefix="0" xfId="0">
      <alignment horizontal="center"/>
    </xf>
    <xf numFmtId="172" fontId="96" fillId="25" borderId="1" applyAlignment="1" pivotButton="0" quotePrefix="0" xfId="0">
      <alignment horizontal="center"/>
    </xf>
    <xf numFmtId="172" fontId="96" fillId="25" borderId="0" applyAlignment="1" pivotButton="0" quotePrefix="0" xfId="0">
      <alignment horizontal="center"/>
    </xf>
    <xf numFmtId="172" fontId="107" fillId="0" borderId="1" applyAlignment="1" pivotButton="0" quotePrefix="0" xfId="0">
      <alignment horizontal="center"/>
    </xf>
    <xf numFmtId="0" fontId="96" fillId="0" borderId="1" applyAlignment="1" pivotButton="0" quotePrefix="0" xfId="0">
      <alignment horizontal="center"/>
    </xf>
    <xf numFmtId="172" fontId="107" fillId="0" borderId="0" applyAlignment="1" pivotButton="0" quotePrefix="0" xfId="0">
      <alignment horizontal="center"/>
    </xf>
    <xf numFmtId="0" fontId="96" fillId="0" borderId="0" applyAlignment="1" pivotButton="0" quotePrefix="0" xfId="0">
      <alignment horizontal="center"/>
    </xf>
    <xf numFmtId="0" fontId="98" fillId="0" borderId="0" pivotButton="0" quotePrefix="0" xfId="0"/>
    <xf numFmtId="0" fontId="108" fillId="21" borderId="36" pivotButton="0" quotePrefix="0" xfId="0"/>
    <xf numFmtId="0" fontId="0" fillId="21" borderId="36" applyAlignment="1" pivotButton="0" quotePrefix="0" xfId="0">
      <alignment horizontal="right"/>
    </xf>
    <xf numFmtId="0" fontId="108" fillId="27" borderId="36" pivotButton="0" quotePrefix="0" xfId="0"/>
    <xf numFmtId="0" fontId="0" fillId="27" borderId="36" applyAlignment="1" pivotButton="0" quotePrefix="0" xfId="0">
      <alignment horizontal="right"/>
    </xf>
    <xf numFmtId="0" fontId="96" fillId="27" borderId="36" applyAlignment="1" pivotButton="0" quotePrefix="0" xfId="0">
      <alignment horizontal="right"/>
    </xf>
    <xf numFmtId="0" fontId="107" fillId="21" borderId="0" applyAlignment="1" pivotButton="0" quotePrefix="0" xfId="0">
      <alignment horizontal="center"/>
    </xf>
    <xf numFmtId="0" fontId="0" fillId="0" borderId="12" pivotButton="0" quotePrefix="0" xfId="0"/>
    <xf numFmtId="0" fontId="98" fillId="0" borderId="12" pivotButton="0" quotePrefix="0" xfId="0"/>
    <xf numFmtId="0" fontId="108" fillId="0" borderId="12" pivotButton="0" quotePrefix="0" xfId="0"/>
    <xf numFmtId="0" fontId="0" fillId="0" borderId="12" applyAlignment="1" pivotButton="0" quotePrefix="0" xfId="0">
      <alignment horizontal="right"/>
    </xf>
    <xf numFmtId="0" fontId="96" fillId="0" borderId="12" applyAlignment="1" pivotButton="0" quotePrefix="0" xfId="0">
      <alignment horizontal="right"/>
    </xf>
    <xf numFmtId="0" fontId="96" fillId="25" borderId="0" applyAlignment="1" pivotButton="0" quotePrefix="0" xfId="0">
      <alignment horizontal="center"/>
    </xf>
    <xf numFmtId="172" fontId="104" fillId="0" borderId="1" applyAlignment="1" pivotButton="0" quotePrefix="0" xfId="0">
      <alignment horizontal="right"/>
    </xf>
    <xf numFmtId="172" fontId="104" fillId="0" borderId="0" applyAlignment="1" pivotButton="0" quotePrefix="0" xfId="0">
      <alignment horizontal="right"/>
    </xf>
    <xf numFmtId="0" fontId="87" fillId="47" borderId="31" applyAlignment="1" pivotButton="0" quotePrefix="0" xfId="0">
      <alignment horizontal="left" vertical="center"/>
    </xf>
    <xf numFmtId="0" fontId="0" fillId="47" borderId="31" pivotButton="0" quotePrefix="0" xfId="0"/>
    <xf numFmtId="0" fontId="24" fillId="47" borderId="31" applyAlignment="1" pivotButton="0" quotePrefix="0" xfId="0">
      <alignment horizontal="general" vertical="bottom"/>
    </xf>
    <xf numFmtId="0" fontId="88" fillId="47" borderId="31" pivotButton="0" quotePrefix="0" xfId="0"/>
    <xf numFmtId="0" fontId="23" fillId="47" borderId="31" pivotButton="0" quotePrefix="0" xfId="0"/>
    <xf numFmtId="0" fontId="33" fillId="47" borderId="31" applyAlignment="1" pivotButton="0" quotePrefix="0" xfId="0">
      <alignment vertical="center" wrapText="1"/>
    </xf>
    <xf numFmtId="0" fontId="78" fillId="47" borderId="31" applyAlignment="1" pivotButton="0" quotePrefix="0" xfId="0">
      <alignment horizontal="center" vertical="center"/>
    </xf>
    <xf numFmtId="0" fontId="58" fillId="47" borderId="31" applyAlignment="1" pivotButton="0" quotePrefix="0" xfId="0">
      <alignment horizontal="center" vertical="center"/>
    </xf>
    <xf numFmtId="0" fontId="88" fillId="47" borderId="31" applyAlignment="1" pivotButton="0" quotePrefix="0" xfId="0">
      <alignment horizontal="center" vertical="center"/>
    </xf>
    <xf numFmtId="0" fontId="0" fillId="47" borderId="31" applyAlignment="1" pivotButton="0" quotePrefix="0" xfId="0">
      <alignment horizontal="left" vertical="center"/>
    </xf>
    <xf numFmtId="0" fontId="0" fillId="47" borderId="31" applyAlignment="1" pivotButton="0" quotePrefix="0" xfId="0">
      <alignment horizontal="general" vertical="bottom"/>
    </xf>
    <xf numFmtId="0" fontId="65" fillId="47" borderId="31" pivotButton="0" quotePrefix="0" xfId="0"/>
    <xf numFmtId="0" fontId="96" fillId="22" borderId="0" applyAlignment="1" pivotButton="0" quotePrefix="0" xfId="0">
      <alignment horizontal="center"/>
    </xf>
    <xf numFmtId="0" fontId="109" fillId="5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31" borderId="0" pivotButton="0" quotePrefix="0" xfId="0"/>
    <xf numFmtId="0" fontId="24" fillId="31" borderId="0" applyAlignment="1" pivotButton="0" quotePrefix="0" xfId="0">
      <alignment horizontal="general" vertical="bottom"/>
    </xf>
    <xf numFmtId="0" fontId="0" fillId="31" borderId="0" applyAlignment="1" pivotButton="0" quotePrefix="0" xfId="0">
      <alignment horizontal="general" vertical="bottom"/>
    </xf>
    <xf numFmtId="0" fontId="110" fillId="47" borderId="0" pivotButton="0" quotePrefix="0" xfId="0"/>
    <xf numFmtId="0" fontId="98" fillId="0" borderId="31" applyAlignment="1" pivotButton="0" quotePrefix="0" xfId="0">
      <alignment horizontal="center" vertical="center"/>
    </xf>
    <xf numFmtId="0" fontId="110" fillId="47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110" fillId="47" borderId="0" applyAlignment="1" pivotButton="0" quotePrefix="0" xfId="0">
      <alignment horizontal="left" vertical="center"/>
    </xf>
    <xf numFmtId="0" fontId="110" fillId="47" borderId="11" applyAlignment="1" pivotButton="0" quotePrefix="0" xfId="0">
      <alignment vertical="center" wrapText="1"/>
    </xf>
    <xf numFmtId="0" fontId="0" fillId="22" borderId="0" applyAlignment="1" pivotButton="0" quotePrefix="0" xfId="0">
      <alignment horizontal="center"/>
    </xf>
    <xf numFmtId="0" fontId="111" fillId="0" borderId="0" applyAlignment="1" pivotButton="0" quotePrefix="0" xfId="0">
      <alignment horizontal="general" vertical="bottom"/>
    </xf>
    <xf numFmtId="0" fontId="96" fillId="0" borderId="0" applyAlignment="1" pivotButton="0" quotePrefix="0" xfId="0">
      <alignment horizontal="general" vertical="bottom"/>
    </xf>
    <xf numFmtId="0" fontId="0" fillId="25" borderId="0" applyAlignment="1" pivotButton="0" quotePrefix="0" xfId="0">
      <alignment horizontal="center"/>
    </xf>
    <xf numFmtId="0" fontId="112" fillId="0" borderId="0" pivotButton="0" quotePrefix="0" xfId="0"/>
    <xf numFmtId="0" fontId="0" fillId="0" borderId="37" pivotButton="0" quotePrefix="0" xfId="0"/>
    <xf numFmtId="0" fontId="33" fillId="26" borderId="11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11" applyAlignment="1" pivotButton="0" quotePrefix="0" xfId="0">
      <alignment vertical="center" wrapText="1"/>
    </xf>
    <xf numFmtId="0" fontId="23" fillId="25" borderId="11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3" fillId="22" borderId="11" pivotButton="0" quotePrefix="0" xfId="0"/>
    <xf numFmtId="0" fontId="33" fillId="30" borderId="11" applyAlignment="1" pivotButton="0" quotePrefix="0" xfId="0">
      <alignment horizontal="center" vertical="center" wrapText="1"/>
    </xf>
    <xf numFmtId="0" fontId="24" fillId="0" borderId="11" applyAlignment="1" pivotButton="0" quotePrefix="0" xfId="0">
      <alignment vertical="center" wrapText="1"/>
    </xf>
    <xf numFmtId="0" fontId="24" fillId="0" borderId="11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left" vertical="center" wrapText="1"/>
    </xf>
    <xf numFmtId="0" fontId="23" fillId="21" borderId="11" applyAlignment="1" pivotButton="0" quotePrefix="0" xfId="0">
      <alignment vertical="center" wrapText="1"/>
    </xf>
    <xf numFmtId="0" fontId="23" fillId="21" borderId="11" pivotButton="0" quotePrefix="0" xfId="0"/>
    <xf numFmtId="0" fontId="36" fillId="0" borderId="0" applyAlignment="1" pivotButton="0" quotePrefix="0" xfId="0">
      <alignment vertical="center" wrapText="1"/>
    </xf>
    <xf numFmtId="0" fontId="23" fillId="25" borderId="0" applyAlignment="1" pivotButton="0" quotePrefix="0" xfId="0">
      <alignment horizontal="center"/>
    </xf>
    <xf numFmtId="0" fontId="23" fillId="22" borderId="0" applyAlignment="1" pivotButton="0" quotePrefix="0" xfId="0">
      <alignment horizontal="center"/>
    </xf>
    <xf numFmtId="0" fontId="87" fillId="47" borderId="0" applyAlignment="1" pivotButton="0" quotePrefix="0" xfId="0">
      <alignment horizontal="left" vertical="center" wrapText="1"/>
    </xf>
    <xf numFmtId="0" fontId="23" fillId="32" borderId="11" applyAlignment="1" pivotButton="0" quotePrefix="0" xfId="0">
      <alignment horizontal="left" vertical="center" wrapText="1"/>
    </xf>
    <xf numFmtId="0" fontId="33" fillId="30" borderId="25" applyAlignment="1" pivotButton="0" quotePrefix="0" xfId="0">
      <alignment horizontal="center" vertical="center" wrapText="1"/>
    </xf>
    <xf numFmtId="0" fontId="25" fillId="25" borderId="25" pivotButton="0" quotePrefix="0" xfId="0"/>
    <xf numFmtId="0" fontId="23" fillId="0" borderId="25" pivotButton="0" quotePrefix="0" xfId="0"/>
    <xf numFmtId="0" fontId="25" fillId="0" borderId="25" pivotButton="0" quotePrefix="0" xfId="0"/>
    <xf numFmtId="0" fontId="23" fillId="32" borderId="0" applyAlignment="1" pivotButton="0" quotePrefix="0" xfId="0">
      <alignment horizontal="left" vertical="center" wrapText="1"/>
    </xf>
    <xf numFmtId="0" fontId="32" fillId="32" borderId="25" applyAlignment="1" pivotButton="0" quotePrefix="0" xfId="0">
      <alignment horizontal="left" vertical="center" wrapText="1"/>
    </xf>
    <xf numFmtId="0" fontId="25" fillId="22" borderId="25" pivotButton="0" quotePrefix="0" xfId="0"/>
    <xf numFmtId="0" fontId="32" fillId="22" borderId="25" pivotButton="0" quotePrefix="0" xfId="0"/>
    <xf numFmtId="0" fontId="58" fillId="3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 wrapText="1"/>
    </xf>
    <xf numFmtId="0" fontId="32" fillId="0" borderId="11" pivotButton="0" quotePrefix="0" xfId="0"/>
    <xf numFmtId="0" fontId="32" fillId="21" borderId="25" pivotButton="0" quotePrefix="0" xfId="0"/>
    <xf numFmtId="9" fontId="32" fillId="25" borderId="25" pivotButton="0" quotePrefix="0" xfId="0"/>
    <xf numFmtId="9" fontId="32" fillId="22" borderId="25" pivotButton="0" quotePrefix="0" xfId="0"/>
    <xf numFmtId="9" fontId="23" fillId="22" borderId="11" pivotButton="0" quotePrefix="0" xfId="0"/>
    <xf numFmtId="0" fontId="32" fillId="25" borderId="25" pivotButton="0" quotePrefix="0" xfId="0"/>
    <xf numFmtId="0" fontId="32" fillId="30" borderId="11" applyAlignment="1" pivotButton="0" quotePrefix="0" xfId="0">
      <alignment horizontal="center" vertical="center" wrapText="1"/>
    </xf>
    <xf numFmtId="0" fontId="25" fillId="25" borderId="25" applyAlignment="1" pivotButton="0" quotePrefix="0" xfId="0">
      <alignment horizontal="center" vertical="center" wrapText="1"/>
    </xf>
    <xf numFmtId="0" fontId="24" fillId="22" borderId="11" pivotButton="0" quotePrefix="0" xfId="0"/>
    <xf numFmtId="0" fontId="113" fillId="0" borderId="0" pivotButton="0" quotePrefix="0" xfId="0"/>
    <xf numFmtId="0" fontId="114" fillId="0" borderId="0" pivotButton="0" quotePrefix="0" xfId="0"/>
    <xf numFmtId="0" fontId="54" fillId="0" borderId="0" pivotButton="0" quotePrefix="0" xfId="0"/>
    <xf numFmtId="0" fontId="54" fillId="25" borderId="11" pivotButton="0" quotePrefix="0" xfId="0"/>
    <xf numFmtId="0" fontId="83" fillId="0" borderId="0" pivotButton="0" quotePrefix="0" xfId="0"/>
    <xf numFmtId="0" fontId="33" fillId="26" borderId="11" applyAlignment="1" pivotButton="0" quotePrefix="0" xfId="0">
      <alignment horizontal="center" wrapText="1"/>
    </xf>
    <xf numFmtId="0" fontId="50" fillId="0" borderId="11" pivotButton="0" quotePrefix="0" xfId="0"/>
    <xf numFmtId="0" fontId="50" fillId="33" borderId="11" pivotButton="0" quotePrefix="0" xfId="0"/>
    <xf numFmtId="2" fontId="50" fillId="0" borderId="11" pivotButton="0" quotePrefix="0" xfId="0"/>
    <xf numFmtId="3" fontId="50" fillId="33" borderId="11" pivotButton="0" quotePrefix="0" xfId="0"/>
    <xf numFmtId="3" fontId="50" fillId="0" borderId="11" pivotButton="0" quotePrefix="0" xfId="0"/>
    <xf numFmtId="3" fontId="50" fillId="22" borderId="11" pivotButton="0" quotePrefix="0" xfId="0"/>
    <xf numFmtId="3" fontId="50" fillId="21" borderId="11" pivotButton="0" quotePrefix="0" xfId="0"/>
    <xf numFmtId="0" fontId="33" fillId="26" borderId="11" applyAlignment="1" pivotButton="0" quotePrefix="0" xfId="0">
      <alignment horizontal="center"/>
    </xf>
    <xf numFmtId="0" fontId="64" fillId="26" borderId="11" applyAlignment="1" pivotButton="0" quotePrefix="0" xfId="0">
      <alignment horizontal="center" vertical="center"/>
    </xf>
    <xf numFmtId="0" fontId="63" fillId="0" borderId="11" applyAlignment="1" pivotButton="0" quotePrefix="0" xfId="0">
      <alignment horizontal="left" vertical="center"/>
    </xf>
    <xf numFmtId="0" fontId="63" fillId="25" borderId="11" applyAlignment="1" pivotButton="0" quotePrefix="0" xfId="0">
      <alignment horizontal="center" vertical="center"/>
    </xf>
    <xf numFmtId="0" fontId="63" fillId="29" borderId="11" applyAlignment="1" pivotButton="0" quotePrefix="0" xfId="0">
      <alignment horizontal="center" vertical="center"/>
    </xf>
    <xf numFmtId="2" fontId="63" fillId="0" borderId="11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5" fillId="0" borderId="11" applyAlignment="1" pivotButton="0" quotePrefix="0" xfId="0">
      <alignment horizontal="left" vertical="center"/>
    </xf>
    <xf numFmtId="165" fontId="65" fillId="0" borderId="11" applyAlignment="1" pivotButton="0" quotePrefix="0" xfId="0">
      <alignment horizontal="center" vertical="center"/>
    </xf>
    <xf numFmtId="1" fontId="65" fillId="0" borderId="11" applyAlignment="1" pivotButton="0" quotePrefix="0" xfId="0">
      <alignment horizontal="center" vertical="center"/>
    </xf>
    <xf numFmtId="1" fontId="65" fillId="22" borderId="11" applyAlignment="1" pivotButton="0" quotePrefix="0" xfId="0">
      <alignment horizontal="center" vertical="center"/>
    </xf>
    <xf numFmtId="0" fontId="64" fillId="30" borderId="11" applyAlignment="1" pivotButton="0" quotePrefix="0" xfId="0">
      <alignment horizontal="left" vertical="center"/>
    </xf>
    <xf numFmtId="166" fontId="63" fillId="0" borderId="11" applyAlignment="1" pivotButton="0" quotePrefix="0" xfId="0">
      <alignment horizontal="center" vertical="center"/>
    </xf>
    <xf numFmtId="1" fontId="63" fillId="22" borderId="11" applyAlignment="1" pivotButton="0" quotePrefix="0" xfId="0">
      <alignment horizontal="center" vertical="center"/>
    </xf>
    <xf numFmtId="0" fontId="64" fillId="26" borderId="11" applyAlignment="1" pivotButton="0" quotePrefix="0" xfId="0">
      <alignment horizontal="left" vertical="center"/>
    </xf>
    <xf numFmtId="3" fontId="64" fillId="26" borderId="11" applyAlignment="1" pivotButton="0" quotePrefix="0" xfId="0">
      <alignment horizontal="center" vertical="center"/>
    </xf>
    <xf numFmtId="0" fontId="63" fillId="21" borderId="11" applyAlignment="1" pivotButton="0" quotePrefix="0" xfId="0">
      <alignment horizontal="left" vertical="center"/>
    </xf>
    <xf numFmtId="3" fontId="63" fillId="21" borderId="11" applyAlignment="1" pivotButton="0" quotePrefix="0" xfId="0">
      <alignment horizontal="center" vertical="center"/>
    </xf>
    <xf numFmtId="9" fontId="63" fillId="0" borderId="11" applyAlignment="1" pivotButton="0" quotePrefix="0" xfId="0">
      <alignment horizontal="center" vertical="center"/>
    </xf>
    <xf numFmtId="3" fontId="44" fillId="0" borderId="0" pivotButton="0" quotePrefix="0" xfId="0"/>
    <xf numFmtId="3" fontId="63" fillId="0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left" vertical="center" wrapText="1"/>
    </xf>
    <xf numFmtId="0" fontId="23" fillId="25" borderId="11" applyAlignment="1" pivotButton="0" quotePrefix="0" xfId="0">
      <alignment horizontal="center"/>
    </xf>
    <xf numFmtId="0" fontId="23" fillId="22" borderId="11" applyAlignment="1" pivotButton="0" quotePrefix="0" xfId="0">
      <alignment horizontal="center"/>
    </xf>
    <xf numFmtId="0" fontId="24" fillId="0" borderId="11" applyAlignment="1" pivotButton="0" quotePrefix="0" xfId="0">
      <alignment horizontal="center"/>
    </xf>
    <xf numFmtId="0" fontId="23" fillId="21" borderId="11" applyAlignment="1" pivotButton="0" quotePrefix="0" xfId="0">
      <alignment horizontal="left" vertical="center" wrapText="1"/>
    </xf>
    <xf numFmtId="0" fontId="23" fillId="21" borderId="11" applyAlignment="1" pivotButton="0" quotePrefix="0" xfId="0">
      <alignment horizontal="center"/>
    </xf>
    <xf numFmtId="0" fontId="36" fillId="0" borderId="0" applyAlignment="1" pivotButton="0" quotePrefix="0" xfId="0">
      <alignment horizontal="left" vertical="center" wrapText="1"/>
    </xf>
    <xf numFmtId="0" fontId="24" fillId="0" borderId="31" applyAlignment="1" pivotButton="0" quotePrefix="0" xfId="0">
      <alignment horizontal="center" vertical="center"/>
    </xf>
    <xf numFmtId="0" fontId="24" fillId="0" borderId="34" pivotButton="0" quotePrefix="0" xfId="0"/>
    <xf numFmtId="0" fontId="24" fillId="0" borderId="35" pivotButton="0" quotePrefix="0" xfId="0"/>
    <xf numFmtId="3" fontId="27" fillId="23" borderId="11" applyAlignment="1" pivotButton="0" quotePrefix="0" xfId="0">
      <alignment horizontal="right" vertical="bottom"/>
    </xf>
    <xf numFmtId="164" fontId="0" fillId="0" borderId="0" applyAlignment="1" pivotButton="0" quotePrefix="0" xfId="0">
      <alignment horizontal="general" vertical="bottom"/>
    </xf>
    <xf numFmtId="0" fontId="87" fillId="0" borderId="0" applyAlignment="1" pivotButton="0" quotePrefix="0" xfId="0">
      <alignment horizontal="right" vertical="center"/>
    </xf>
    <xf numFmtId="0" fontId="27" fillId="47" borderId="30" applyAlignment="1" pivotButton="0" quotePrefix="0" xfId="0">
      <alignment horizontal="center" vertical="center"/>
    </xf>
    <xf numFmtId="168" fontId="23" fillId="25" borderId="11" applyAlignment="1" pivotButton="0" quotePrefix="0" xfId="0">
      <alignment horizontal="general" vertical="center"/>
    </xf>
    <xf numFmtId="0" fontId="87" fillId="0" borderId="0" applyAlignment="1" pivotButton="0" quotePrefix="0" xfId="0">
      <alignment horizontal="right"/>
    </xf>
    <xf numFmtId="0" fontId="23" fillId="47" borderId="0" applyAlignment="1" pivotButton="0" quotePrefix="0" xfId="0">
      <alignment horizontal="center"/>
    </xf>
    <xf numFmtId="0" fontId="25" fillId="0" borderId="0" applyAlignment="1" pivotButton="0" quotePrefix="0" xfId="0">
      <alignment horizontal="right"/>
    </xf>
    <xf numFmtId="0" fontId="25" fillId="47" borderId="0" applyAlignment="1" pivotButton="0" quotePrefix="0" xfId="0">
      <alignment horizontal="center"/>
    </xf>
    <xf numFmtId="0" fontId="91" fillId="47" borderId="0" applyAlignment="1" pivotButton="0" quotePrefix="0" xfId="0">
      <alignment horizontal="center" vertical="center"/>
    </xf>
    <xf numFmtId="0" fontId="91" fillId="47" borderId="31" applyAlignment="1" pivotButton="0" quotePrefix="0" xfId="0">
      <alignment horizontal="center" vertical="center"/>
    </xf>
    <xf numFmtId="0" fontId="87" fillId="0" borderId="31" applyAlignment="1" pivotButton="0" quotePrefix="0" xfId="0">
      <alignment horizontal="left" vertical="center"/>
    </xf>
    <xf numFmtId="0" fontId="91" fillId="47" borderId="31" applyAlignment="1" pivotButton="0" quotePrefix="0" xfId="0">
      <alignment horizontal="left" vertical="center"/>
    </xf>
    <xf numFmtId="0" fontId="115" fillId="0" borderId="0" pivotButton="0" quotePrefix="0" xfId="0"/>
    <xf numFmtId="0" fontId="116" fillId="0" borderId="0" pivotButton="0" quotePrefix="0" xfId="0"/>
    <xf numFmtId="0" fontId="24" fillId="29" borderId="1" applyAlignment="1" pivotButton="0" quotePrefix="0" xfId="0">
      <alignment horizontal="general" vertical="bottom"/>
    </xf>
    <xf numFmtId="0" fontId="24" fillId="31" borderId="1" applyAlignment="1" pivotButton="0" quotePrefix="0" xfId="0">
      <alignment horizontal="general" vertical="bottom"/>
    </xf>
    <xf numFmtId="0" fontId="0" fillId="29" borderId="0" pivotButton="0" quotePrefix="0" xfId="0"/>
    <xf numFmtId="0" fontId="24" fillId="29" borderId="0" pivotButton="0" quotePrefix="0" xfId="0"/>
    <xf numFmtId="0" fontId="25" fillId="0" borderId="0" applyAlignment="1" pivotButton="0" quotePrefix="0" xfId="0">
      <alignment vertical="center" wrapText="1"/>
    </xf>
    <xf numFmtId="172" fontId="104" fillId="29" borderId="1" applyAlignment="1" pivotButton="0" quotePrefix="0" xfId="0">
      <alignment horizontal="right"/>
    </xf>
    <xf numFmtId="0" fontId="96" fillId="31" borderId="1" applyAlignment="1" pivotButton="0" quotePrefix="0" xfId="0">
      <alignment horizontal="center"/>
    </xf>
    <xf numFmtId="0" fontId="96" fillId="29" borderId="0" applyAlignment="1" pivotButton="0" quotePrefix="0" xfId="0">
      <alignment horizontal="center"/>
    </xf>
    <xf numFmtId="0" fontId="0" fillId="29" borderId="0" applyAlignment="1" pivotButton="0" quotePrefix="0" xfId="0">
      <alignment horizontal="general" vertical="bottom"/>
    </xf>
    <xf numFmtId="172" fontId="104" fillId="29" borderId="0" applyAlignment="1" pivotButton="0" quotePrefix="0" xfId="0">
      <alignment horizontal="right"/>
    </xf>
    <xf numFmtId="0" fontId="96" fillId="31" borderId="0" applyAlignment="1" pivotButton="0" quotePrefix="0" xfId="0">
      <alignment horizontal="center"/>
    </xf>
    <xf numFmtId="0" fontId="24" fillId="0" borderId="1" pivotButton="0" quotePrefix="0" xfId="0"/>
    <xf numFmtId="172" fontId="104" fillId="0" borderId="1" pivotButton="0" quotePrefix="0" xfId="0"/>
    <xf numFmtId="0" fontId="96" fillId="31" borderId="1" pivotButton="0" quotePrefix="0" xfId="0"/>
    <xf numFmtId="172" fontId="104" fillId="31" borderId="1" pivotButton="0" quotePrefix="0" xfId="0"/>
    <xf numFmtId="0" fontId="117" fillId="0" borderId="0" pivotButton="0" quotePrefix="0" xfId="0"/>
    <xf numFmtId="1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2EFDA"/>
      <rgbColor rgb="FF660066"/>
      <rgbColor rgb="FFFF8080"/>
      <rgbColor rgb="FF0066CC"/>
      <rgbColor rgb="FFD9E1F2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EDEDED"/>
      <rgbColor rgb="FFFCE4D6"/>
      <rgbColor rgb="FFF5F5F5"/>
      <rgbColor rgb="FFFFCC66"/>
      <rgbColor rgb="FF2F75B6"/>
      <rgbColor rgb="FF33CCCC"/>
      <rgbColor rgb="FF99CC00"/>
      <rgbColor rgb="FFF7F7F7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305496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comments/comment1.xml><?xml version="1.0" encoding="utf-8"?>
<comments xmlns="http://schemas.openxmlformats.org/spreadsheetml/2006/main">
  <authors>
    <author>มด</author>
  </authors>
  <commentList>
    <comment ref="C25" authorId="0" shapeId="0">
      <text>
        <t>อลูฐาน 4770 = เมืองทอง(ราง/กล่อง) 2990 + SMS(เฟรม) 1780
สูตร live คูณ 2 ตัวคูณแยกกัน → แม่นเมื่อ SMS หรือ เมืองทอง ขึ้นราคา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B1:G38"/>
  <sheetViews>
    <sheetView showGridLines="0" workbookViewId="0">
      <selection activeCell="A1" sqref="A1"/>
    </sheetView>
  </sheetViews>
  <sheetFormatPr baseColWidth="8" defaultRowHeight="15"/>
  <cols>
    <col width="2" customWidth="1" style="129" min="1" max="1"/>
    <col width="18" customWidth="1" style="129" min="2" max="2"/>
    <col width="46" customWidth="1" style="129" min="3" max="3"/>
    <col width="16.9" customWidth="1" style="129" min="4" max="4"/>
    <col width="2" customWidth="1" style="129" min="5" max="5"/>
    <col width="16.9" customWidth="1" style="129" min="6" max="6"/>
    <col width="30" customWidth="1" style="129" min="7" max="7"/>
  </cols>
  <sheetData>
    <row r="1" ht="30" customHeight="1" s="129">
      <c r="B1" s="522" t="inlineStr">
        <is>
          <t>📑 สารบัญ — กดลิงก์กระโดดไปหน้าที่ต้องการ</t>
        </is>
      </c>
    </row>
    <row r="3" ht="22" customHeight="1" s="129">
      <c r="B3" s="635" t="inlineStr">
        <is>
          <t>🔶 ปรับราคา / ค่าวัสดุ (แก้ราคาที่นี่ ทุกชีทขยับเอง)</t>
        </is>
      </c>
    </row>
    <row r="4" ht="19" customHeight="1" s="129">
      <c r="B4" s="637" t="inlineStr">
        <is>
          <t>▶ อัปเดตราคาอลู</t>
        </is>
      </c>
      <c r="C4" s="638" t="inlineStr">
        <is>
          <t>ราคาอลู/กก. ทุกแบรนด์ + ค่าอบสี ★</t>
        </is>
      </c>
      <c r="D4" s="641" t="n"/>
      <c r="E4" s="641" t="n"/>
      <c r="F4" s="641" t="n"/>
      <c r="G4" s="642" t="n"/>
    </row>
    <row r="5" ht="19" customHeight="1" s="129">
      <c r="B5" s="637" t="inlineStr">
        <is>
          <t>▶ ราคาสี</t>
        </is>
      </c>
      <c r="C5" s="638" t="inlineStr">
        <is>
          <t>ราคาสีอบ/เทาซาฮารา/ลายไม้</t>
        </is>
      </c>
      <c r="D5" s="641" t="n"/>
      <c r="E5" s="641" t="n"/>
      <c r="F5" s="641" t="n"/>
      <c r="G5" s="642" t="n"/>
    </row>
    <row r="6" ht="19" customHeight="1" s="129">
      <c r="B6" s="637" t="inlineStr">
        <is>
          <t>▶ ราคาวัสดุกลาง</t>
        </is>
      </c>
      <c r="C6" s="638" t="inlineStr">
        <is>
          <t>กระจก 98 รุ่น + เฟรม/เสา/อุปกรณ์</t>
        </is>
      </c>
      <c r="D6" s="641" t="n"/>
      <c r="E6" s="641" t="n"/>
      <c r="F6" s="641" t="n"/>
      <c r="G6" s="642" t="n"/>
    </row>
    <row r="7" ht="19" customHeight="1" s="129">
      <c r="B7" s="637" t="inlineStr">
        <is>
          <t>▶ ราคาวัสดุ</t>
        </is>
      </c>
      <c r="C7" s="638" t="inlineStr">
        <is>
          <t>วัสดุหลังคา (จันทัน/แป/แผ่น/ราง)</t>
        </is>
      </c>
      <c r="D7" s="641" t="n"/>
      <c r="E7" s="641" t="n"/>
      <c r="F7" s="641" t="n"/>
      <c r="G7" s="642" t="n"/>
    </row>
    <row r="8" ht="19" customHeight="1" s="129">
      <c r="B8" s="637" t="inlineStr">
        <is>
          <t>▶ ราคาออโต้</t>
        </is>
      </c>
      <c r="C8" s="638" t="inlineStr">
        <is>
          <t>มอเตอร์/ออโต้</t>
        </is>
      </c>
      <c r="D8" s="641" t="n"/>
      <c r="E8" s="641" t="n"/>
      <c r="F8" s="641" t="n"/>
      <c r="G8" s="642" t="n"/>
    </row>
    <row r="9" ht="19" customHeight="1" s="129">
      <c r="B9" s="637" t="inlineStr">
        <is>
          <t>▶ ราคามุ้ง</t>
        </is>
      </c>
      <c r="C9" s="638" t="inlineStr">
        <is>
          <t>มุ้งซื้อสำเร็จ + ค่าแรงติดตั้ง</t>
        </is>
      </c>
      <c r="D9" s="641" t="n"/>
      <c r="E9" s="641" t="n"/>
      <c r="F9" s="641" t="n"/>
      <c r="G9" s="642" t="n"/>
    </row>
    <row r="10" ht="19" customHeight="1" s="129">
      <c r="B10" s="637" t="inlineStr">
        <is>
          <t>▶ ค่าแรง</t>
        </is>
      </c>
      <c r="C10" s="638" t="inlineStr">
        <is>
          <t>ค่าแรงผลิต+ติดตั้ง ทุกแบบ</t>
        </is>
      </c>
      <c r="D10" s="641" t="n"/>
      <c r="E10" s="641" t="n"/>
      <c r="F10" s="641" t="n"/>
      <c r="G10" s="642" t="n"/>
    </row>
    <row r="11" ht="19" customHeight="1" s="129">
      <c r="B11" s="637" t="inlineStr">
        <is>
          <t>▶ น้ำหนักโปรไฟล์</t>
        </is>
      </c>
      <c r="C11" s="638" t="inlineStr">
        <is>
          <t>น้ำหนัก กก./เส้น ทุกโปรไฟล์</t>
        </is>
      </c>
      <c r="D11" s="641" t="n"/>
      <c r="E11" s="641" t="n"/>
      <c r="F11" s="641" t="n"/>
      <c r="G11" s="642" t="n"/>
    </row>
    <row r="12" ht="19" customHeight="1" s="129">
      <c r="B12" s="637" t="inlineStr">
        <is>
          <t>▶ ราคาสี (รวมแล้ว)</t>
        </is>
      </c>
      <c r="C12" s="638" t="inlineStr">
        <is>
          <t>ราคา/เส้น ทุกโปรไฟล์ (คำนวณ)</t>
        </is>
      </c>
      <c r="D12" s="641" t="n"/>
      <c r="E12" s="641" t="n"/>
      <c r="F12" s="641" t="n"/>
      <c r="G12" s="642" t="n"/>
    </row>
    <row r="13" ht="22" customHeight="1" s="129">
      <c r="B13" s="632" t="inlineStr">
        <is>
          <t>📊 สรุป / ภาพรวม</t>
        </is>
      </c>
    </row>
    <row r="14" ht="19" customHeight="1" s="129">
      <c r="B14" s="640" t="inlineStr">
        <is>
          <t>▶ หน้าตารางรวม</t>
        </is>
      </c>
      <c r="D14" s="640" t="inlineStr">
        <is>
          <t>▶ สรุปงานเสริม</t>
        </is>
      </c>
      <c r="F14" s="640" t="inlineStr">
        <is>
          <t>▶ สรุปค่าแรง</t>
        </is>
      </c>
    </row>
    <row r="15" ht="22" customHeight="1" s="129">
      <c r="B15" s="632" t="inlineStr">
        <is>
          <t>🚪 คิดทุน — ประตู/หน้าต่าง อลู</t>
        </is>
      </c>
    </row>
    <row r="16" ht="19" customHeight="1" s="129">
      <c r="B16" s="640" t="inlineStr">
        <is>
          <t>▶ SMS</t>
        </is>
      </c>
      <c r="D16" s="640" t="inlineStr">
        <is>
          <t>▶ ยูโร</t>
        </is>
      </c>
      <c r="F16" s="640" t="inlineStr">
        <is>
          <t>▶ SlimLux</t>
        </is>
      </c>
    </row>
    <row r="17" ht="19" customHeight="1" s="129">
      <c r="B17" s="640" t="inlineStr">
        <is>
          <t>▶ Velora</t>
        </is>
      </c>
      <c r="D17" s="640" t="inlineStr">
        <is>
          <t>▶ E-series</t>
        </is>
      </c>
      <c r="F17" s="640" t="inlineStr">
        <is>
          <t>▶ บานเปิด</t>
        </is>
      </c>
    </row>
    <row r="18" ht="19" customHeight="1" s="129">
      <c r="B18" s="640" t="inlineStr">
        <is>
          <t>▶ PC Door</t>
        </is>
      </c>
      <c r="D18" s="640" t="inlineStr">
        <is>
          <t>▶ กระทุ้ง</t>
        </is>
      </c>
      <c r="F18" s="640" t="inlineStr">
        <is>
          <t>▶ บานยก</t>
        </is>
      </c>
    </row>
    <row r="19" ht="19" customHeight="1" s="129">
      <c r="B19" s="640" t="inlineStr">
        <is>
          <t>▶ เฟี้ยม</t>
        </is>
      </c>
      <c r="D19" s="640" t="inlineStr">
        <is>
          <t>▶ เฟี้ยมยูโร</t>
        </is>
      </c>
      <c r="F19" s="640" t="inlineStr">
        <is>
          <t>▶ ติดตาย</t>
        </is>
      </c>
    </row>
    <row r="20" ht="19" customHeight="1" s="129">
      <c r="B20" s="640" t="inlineStr">
        <is>
          <t>▶ บานเลื่อนรางบน</t>
        </is>
      </c>
    </row>
    <row r="21" ht="22" customHeight="1" s="129">
      <c r="B21" s="632" t="inlineStr">
        <is>
          <t>🌀 คิดทุน — ดัดโค้ง</t>
        </is>
      </c>
    </row>
    <row r="22" ht="19" customHeight="1" s="129">
      <c r="B22" s="640" t="inlineStr">
        <is>
          <t>▶ ตายดัดโค้ง</t>
        </is>
      </c>
      <c r="D22" s="640" t="inlineStr">
        <is>
          <t>▶ เปิดดัดโค้ง</t>
        </is>
      </c>
    </row>
    <row r="23" ht="22" customHeight="1" s="129">
      <c r="B23" s="632" t="inlineStr">
        <is>
          <t>▦ คิดทุน — ระแนง / ประตูรั้ว</t>
        </is>
      </c>
    </row>
    <row r="24" ht="19" customHeight="1" s="129">
      <c r="B24" s="640" t="inlineStr">
        <is>
          <t>▶ ระแนง</t>
        </is>
      </c>
      <c r="D24" s="640" t="inlineStr">
        <is>
          <t>▶ ระแนงสลับ</t>
        </is>
      </c>
      <c r="F24" s="640" t="inlineStr">
        <is>
          <t>▶ ระแนงสลับ_ประตู</t>
        </is>
      </c>
    </row>
    <row r="25" ht="19" customHeight="1" s="129">
      <c r="B25" s="640" t="inlineStr">
        <is>
          <t>▶ ประตูรั้ว</t>
        </is>
      </c>
      <c r="D25" s="640" t="inlineStr">
        <is>
          <t>▶ บานเกล็ด</t>
        </is>
      </c>
      <c r="F25" s="640" t="inlineStr">
        <is>
          <t>▶ ระแนงหมุน</t>
        </is>
      </c>
    </row>
    <row r="26" ht="22" customHeight="1" s="129">
      <c r="B26" s="632" t="inlineStr">
        <is>
          <t>🏠 คิดทุน — หลังคา</t>
        </is>
      </c>
    </row>
    <row r="27" ht="19" customHeight="1" s="129">
      <c r="B27" s="640" t="inlineStr">
        <is>
          <t>▶ หลังคา (รวม)</t>
        </is>
      </c>
      <c r="D27" s="640" t="inlineStr">
        <is>
          <t>▶ หลังคา</t>
        </is>
      </c>
      <c r="F27" s="640" t="inlineStr">
        <is>
          <t>▶ หลังคาจั่ว</t>
        </is>
      </c>
    </row>
    <row r="28" ht="19" customHeight="1" s="129">
      <c r="B28" s="640" t="inlineStr">
        <is>
          <t>▶ หลังคาเลื่อน</t>
        </is>
      </c>
      <c r="D28" s="640" t="inlineStr">
        <is>
          <t>▶ ทุนไวนิล</t>
        </is>
      </c>
      <c r="F28" s="640" t="inlineStr">
        <is>
          <t>▶ ทุนดีไลท์</t>
        </is>
      </c>
    </row>
    <row r="29" ht="19" customHeight="1" s="129">
      <c r="B29" s="640" t="inlineStr">
        <is>
          <t>▶ ทุนโพลีตัน</t>
        </is>
      </c>
      <c r="D29" s="640" t="inlineStr">
        <is>
          <t>▶ ทุนชินโคร์ HC</t>
        </is>
      </c>
      <c r="F29" s="640" t="inlineStr">
        <is>
          <t>▶ ทุนชินโคร์ Sup</t>
        </is>
      </c>
    </row>
    <row r="30" ht="19" customHeight="1" s="129">
      <c r="B30" s="640" t="inlineStr">
        <is>
          <t>▶ ทุนเมทัลชีท</t>
        </is>
      </c>
      <c r="D30" s="640" t="inlineStr">
        <is>
          <t>▶ ทุนกระจก 4+4</t>
        </is>
      </c>
      <c r="F30" s="640" t="inlineStr">
        <is>
          <t>▶ ทุนกระจก 5+5</t>
        </is>
      </c>
    </row>
    <row r="31" ht="22" customHeight="1" s="129">
      <c r="B31" s="632" t="inlineStr">
        <is>
          <t>🧱 คิดทุน — ฝ้า / ผนัง / งานไฟ</t>
        </is>
      </c>
    </row>
    <row r="32" ht="19" customHeight="1" s="129">
      <c r="B32" s="640" t="inlineStr">
        <is>
          <t>▶ ฝ้ายิปซัม</t>
        </is>
      </c>
      <c r="D32" s="640" t="inlineStr">
        <is>
          <t>▶ สมาร์ทบอร์ด</t>
        </is>
      </c>
      <c r="F32" s="640" t="inlineStr">
        <is>
          <t>▶ ไอโซวอล</t>
        </is>
      </c>
    </row>
    <row r="33" ht="19" customHeight="1" s="129">
      <c r="B33" s="640" t="inlineStr">
        <is>
          <t>▶ งานไฟ</t>
        </is>
      </c>
      <c r="D33" s="640" t="inlineStr">
        <is>
          <t>▶ ฝ้าไม้เทียม</t>
        </is>
      </c>
      <c r="F33" s="640" t="inlineStr">
        <is>
          <t>▶ LUT_ฝ้าไม้เทียม</t>
        </is>
      </c>
    </row>
    <row r="34" ht="19" customHeight="1" s="129">
      <c r="B34" s="640" t="inlineStr">
        <is>
          <t>▶ สีฝ้าไม้เทียม</t>
        </is>
      </c>
    </row>
    <row r="35" ht="22" customHeight="1" s="129">
      <c r="B35" s="632" t="inlineStr">
        <is>
          <t>📐 เทียบ R3.9 / เช็ก</t>
        </is>
      </c>
    </row>
    <row r="36" ht="19" customHeight="1" s="129">
      <c r="B36" s="640" t="inlineStr">
        <is>
          <t>▶ เทียบ R3.9 SMS</t>
        </is>
      </c>
      <c r="D36" s="640" t="inlineStr">
        <is>
          <t>▶ เทียบ R3.9 ยูโร</t>
        </is>
      </c>
      <c r="F36" s="640" t="inlineStr">
        <is>
          <t>▶ เทียบ E-series</t>
        </is>
      </c>
    </row>
    <row r="37" ht="19" customHeight="1" s="129">
      <c r="B37" s="640" t="inlineStr">
        <is>
          <t>▶ เทียบ เฟี้ยมยูโร</t>
        </is>
      </c>
      <c r="D37" s="640" t="inlineStr">
        <is>
          <t>▶ เทียบ R3.9</t>
        </is>
      </c>
      <c r="F37" s="640" t="inlineStr">
        <is>
          <t>▶ log กระจก</t>
        </is>
      </c>
    </row>
    <row r="38" ht="19" customHeight="1" s="129">
      <c r="B38" s="640" t="inlineStr">
        <is>
          <t>▶ เช็กขนาดกระจก</t>
        </is>
      </c>
    </row>
  </sheetData>
  <mergeCells count="18">
    <mergeCell ref="B3:G3"/>
    <mergeCell ref="C4:G4"/>
    <mergeCell ref="C7:G7"/>
    <mergeCell ref="C12:G12"/>
    <mergeCell ref="C6:G6"/>
    <mergeCell ref="C10:G10"/>
    <mergeCell ref="B31:G31"/>
    <mergeCell ref="B23:G23"/>
    <mergeCell ref="B1:G1"/>
    <mergeCell ref="C11:G11"/>
    <mergeCell ref="B35:G35"/>
    <mergeCell ref="C5:G5"/>
    <mergeCell ref="B26:G26"/>
    <mergeCell ref="B13:G13"/>
    <mergeCell ref="B21:G21"/>
    <mergeCell ref="C8:G8"/>
    <mergeCell ref="C9:G9"/>
    <mergeCell ref="B15:G15"/>
  </mergeCells>
  <hyperlinks>
    <hyperlink ref="B4" location="'อัปเดตราคาอลู'!A1" display="▶ อัปเดตราคาอลู"/>
    <hyperlink ref="B5" location="'ราคาสี'!A1" display="▶ ราคาสี"/>
    <hyperlink ref="B6" location="'ราคาวัสดุกลาง'!A1" display="▶ ราคาวัสดุกลาง"/>
    <hyperlink ref="B7" location="'ราคาวัสดุ'!A1" display="▶ ราคาวัสดุ"/>
    <hyperlink ref="B8" location="'ราคาออโต้'!A1" display="▶ ราคาออโต้"/>
    <hyperlink ref="B9" location="'ราคามุ้ง'!A1" display="▶ ราคามุ้ง"/>
    <hyperlink ref="B10" location="'ค่าแรง'!A1" display="▶ ค่าแรง"/>
    <hyperlink ref="B11" location="'น้ำหนักโปรไฟล์'!A1" display="▶ น้ำหนักโปรไฟล์"/>
    <hyperlink ref="B12" location="'ราคาสี'!A1" display="▶ รวมราคาโปรไฟล์"/>
    <hyperlink ref="B14" location="'หน้าตารางรวม'!A1" display="▶ หน้าตารางรวม"/>
    <hyperlink ref="D14" location="'สรุปงานเสริม'!A1" display="▶ สรุปงานเสริม"/>
    <hyperlink ref="F14" location="'สรุปค่าแรง'!A1" display="▶ สรุปค่าแรง"/>
    <hyperlink ref="B16" location="'คิดทุน SMS'!A1" display="▶ SMS"/>
    <hyperlink ref="D16" location="'คิดทุน ยูโร'!A1" display="▶ ยูโร"/>
    <hyperlink ref="F16" location="'คิดทุน SlimLux'!A1" display="▶ SlimLux"/>
    <hyperlink ref="B17" location="'คิดทุน Velora'!A1" display="▶ Velora"/>
    <hyperlink ref="D17" location="'คิดทุน E-series'!A1" display="▶ E-series"/>
    <hyperlink ref="F17" location="'คิดทุน บานเปิด'!A1" display="▶ บานเปิด"/>
    <hyperlink ref="B18" location="'คิดทุน PC Door'!A1" display="▶ PC Door"/>
    <hyperlink ref="D18" location="'คิดทุน กระทุ้ง'!A1" display="▶ กระทุ้ง"/>
    <hyperlink ref="F18" location="'คิดทุน บานยก'!A1" display="▶ บานยก"/>
    <hyperlink ref="B19" location="'คิดทุน เฟี้ยม'!A1" display="▶ เฟี้ยม"/>
    <hyperlink ref="D19" location="'คิดทุน เฟี้ยมยูโร'!A1" display="▶ เฟี้ยมยูโร"/>
    <hyperlink ref="F19" location="'คิดทุน ติดตาย'!A1" display="▶ ติดตาย"/>
    <hyperlink ref="B20" location="'คิดทุน บานเลื่อนรางบน'!A1" display="▶ บานเลื่อนรางบน"/>
    <hyperlink ref="B22" location="'คิดทุน ตายดัดโค้ง'!A1" display="▶ ตายดัดโค้ง"/>
    <hyperlink ref="D22" location="'คิดทุน เปิดดัดโค้ง'!A1" display="▶ เปิดดัดโค้ง"/>
    <hyperlink ref="B24" location="'คิดทุน ระแนง'!A1" display="▶ ระแนง"/>
    <hyperlink ref="D24" location="'คิดทุน ระแนงสลับ'!A1" display="▶ ระแนงสลับ"/>
    <hyperlink ref="F24" location="'ระแนงสลับ_ประตู'!A1" display="▶ ระแนงสลับ_ประตู"/>
    <hyperlink ref="B25" location="'คิดทุน ประตูรั้ว'!A1" display="▶ ประตูรั้ว"/>
    <hyperlink ref="D25" location="'คิดทุน บานเกล็ด'!A1" display="▶ บานเกล็ด"/>
    <hyperlink ref="F25" location="'คิดทุน ระแนงหมุน'!A1" display="▶ ระแนงหมุน"/>
    <hyperlink ref="B27" location="'คิดทุน หลังคา (รวม)'!A1" display="▶ หลังคา (รวม)"/>
    <hyperlink ref="D27" location="'คิดทุน หลังคา'!A1" display="▶ หลังคา"/>
    <hyperlink ref="F27" location="'คิดทุน หลังคาจั่ว'!A1" display="▶ หลังคาจั่ว"/>
    <hyperlink ref="B28" location="'คิดทุน หลังคาเลื่อน'!A1" display="▶ หลังคาเลื่อน"/>
    <hyperlink ref="D28" location="'ทุนไวนิล'!A1" display="▶ ทุนไวนิล"/>
    <hyperlink ref="F28" location="'ทุนดีไลท์'!A1" display="▶ ทุนดีไลท์"/>
    <hyperlink ref="B29" location="'ทุนโพลีตัน'!A1" display="▶ ทุนโพลีตัน"/>
    <hyperlink ref="D29" location="'ทุนชินโคร์ HC'!A1" display="▶ ทุนชินโคร์ HC"/>
    <hyperlink ref="F29" location="'ทุนชินโคร์ Sup'!A1" display="▶ ทุนชินโคร์ Sup"/>
    <hyperlink ref="B30" location="'ทุนเมทัลชีท'!A1" display="▶ ทุนเมทัลชีท"/>
    <hyperlink ref="D30" location="'ทุนกระจก 4+4'!A1" display="▶ ทุนกระจก 4+4"/>
    <hyperlink ref="F30" location="'ทุนกระจก 5+5'!A1" display="▶ ทุนกระจก 5+5"/>
    <hyperlink ref="B32" location="'ฝ้ายิปซัม'!A1" display="▶ ฝ้ายิปซัม"/>
    <hyperlink ref="D32" location="'สมาร์ทบอร์ด'!A1" display="▶ สมาร์ทบอร์ด"/>
    <hyperlink ref="F32" location="'ไอโซวอล'!A1" display="▶ ไอโซวอล"/>
    <hyperlink ref="B33" location="'งานไฟ'!A1" display="▶ งานไฟ"/>
    <hyperlink ref="D33" location="'คิดทุนฝ้าไม้เทียม'!A1" display="▶ ฝ้าไม้เทียม"/>
    <hyperlink ref="F33" location="'LUT_ฝ้าไม้เทียม'!A1" display="▶ LUT_ฝ้าไม้เทียม"/>
    <hyperlink ref="B34" location="'สีฝ้าไม้เทียม'!A1" display="▶ สีฝ้าไม้เทียม"/>
    <hyperlink ref="B36" location="'เทียบ R3.9 SMS'!A1" display="▶ เทียบ R3.9 SMS"/>
    <hyperlink ref="D36" location="'เทียบ R3.9 ยูโร'!A1" display="▶ เทียบ R3.9 ยูโร"/>
    <hyperlink ref="F36" location="'เทียบ E-series'!A1" display="▶ เทียบ E-series"/>
    <hyperlink ref="B37" location="'เทียบ เฟี้ยมยูโร'!A1" display="▶ เทียบ เฟี้ยมยูโร"/>
    <hyperlink ref="D37" location="'เทียบ R3.9'!A1" display="▶ เทียบ R3.9"/>
    <hyperlink ref="F37" location="'log กระจก'!A1" display="▶ log กระจก"/>
    <hyperlink ref="B38" location="'เช็กขนาดกระจก'!A1" display="▶ เช็กขนาดกระจก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16.9" customWidth="1" style="129" min="2" max="2"/>
    <col width="24" customWidth="1" style="129" min="3" max="3"/>
    <col width="24" customWidth="1" style="129" min="4" max="4"/>
    <col width="18" customWidth="1" style="129" min="6" max="6"/>
    <col width="8.6" customWidth="1" style="129" min="7" max="7"/>
  </cols>
  <sheetData>
    <row r="1">
      <c r="A1" s="771" t="inlineStr">
        <is>
          <t>⚠️ แก้ราคาที่นี่ → 📈 อัปเดตราคาวัสดุ — กรอก "ราคา/กก. ตอนนี้" ทับเมื่อราคาขึ้น (วิธีที่ 1)</t>
        </is>
      </c>
      <c r="B1" s="643" t="n"/>
      <c r="G1" s="753" t="inlineStr">
        <is>
          <t>🏠 สารบัญ</t>
        </is>
      </c>
      <c r="H1" s="754" t="n"/>
    </row>
    <row r="3">
      <c r="A3" s="534" t="inlineStr">
        <is>
          <t>แบรนด์</t>
        </is>
      </c>
      <c r="B3" s="534" t="inlineStr">
        <is>
          <t>ราคาอลู/กก. ตอนนี้</t>
        </is>
      </c>
      <c r="C3" s="534" t="inlineStr">
        <is>
          <t>ตัวคูณ</t>
        </is>
      </c>
      <c r="D3" s="534" t="inlineStr">
        <is>
          <t>ครอบคลุมบาน</t>
        </is>
      </c>
      <c r="F3" s="140" t="inlineStr">
        <is>
          <t>ตั้งต้น (ล็อก-อย่าแก้)</t>
        </is>
      </c>
    </row>
    <row r="4">
      <c r="A4" s="140" t="inlineStr">
        <is>
          <t>SMS</t>
        </is>
      </c>
      <c r="B4" s="483" t="n">
        <v>187</v>
      </c>
      <c r="C4" s="140">
        <f>B4/F4</f>
        <v/>
      </c>
      <c r="D4" s="140" t="inlineStr">
        <is>
          <t>SMS · E-series</t>
        </is>
      </c>
      <c r="F4" s="140" t="n">
        <v>187</v>
      </c>
    </row>
    <row r="5">
      <c r="A5" s="140" t="inlineStr">
        <is>
          <t>ยูโรฟูจิ</t>
        </is>
      </c>
      <c r="B5" s="483" t="n">
        <v>187</v>
      </c>
      <c r="C5" s="140">
        <f>B5/F5</f>
        <v/>
      </c>
      <c r="D5" s="140" t="inlineStr">
        <is>
          <t>ยูโร·บานเปิด·PCDoor·กระทุ้ง·บานยก·เฟี้ยม·เฟี้ยมยูโร</t>
        </is>
      </c>
      <c r="F5" s="140" t="n">
        <v>187</v>
      </c>
    </row>
    <row r="6">
      <c r="A6" s="140" t="inlineStr">
        <is>
          <t>SlimLux</t>
        </is>
      </c>
      <c r="B6" s="483" t="n">
        <v>170</v>
      </c>
      <c r="C6" s="140">
        <f>B6/F6</f>
        <v/>
      </c>
      <c r="D6" s="140" t="inlineStr">
        <is>
          <t>SlimLux</t>
        </is>
      </c>
      <c r="F6" s="140" t="n">
        <v>170</v>
      </c>
    </row>
    <row r="7">
      <c r="A7" s="140" t="inlineStr">
        <is>
          <t>Velora</t>
        </is>
      </c>
      <c r="B7" s="483" t="n">
        <v>240</v>
      </c>
      <c r="C7" s="140">
        <f>B7/F7</f>
        <v/>
      </c>
      <c r="D7" s="140" t="inlineStr">
        <is>
          <t>Velora</t>
        </is>
      </c>
      <c r="F7" s="140" t="n">
        <v>240</v>
      </c>
    </row>
    <row r="8">
      <c r="A8" s="140" t="inlineStr">
        <is>
          <t>เมืองทอง (กล่อง/ฉาก/Z)</t>
        </is>
      </c>
      <c r="B8" s="483" t="n">
        <v>188</v>
      </c>
      <c r="C8" s="140">
        <f>B8/F8</f>
        <v/>
      </c>
      <c r="D8" s="140" t="inlineStr">
        <is>
          <t>ระแนง·ประตู·บานเกล็ด·ติดตาย·หลังคา</t>
        </is>
      </c>
      <c r="F8" s="140" t="n">
        <v>188</v>
      </c>
    </row>
    <row r="10">
      <c r="A10" s="140" t="inlineStr">
        <is>
          <t>วิธีใช้: ร้านอลูขึ้นราคา → พิมพ์ราคา/กก. ใหม่ทับช่อง B (เช่น เมืองทอง 188→196) → ทุกโปรไฟล์แบรนด์นั้นขยับ % เท่ากันอัตโนมัติ</t>
        </is>
      </c>
    </row>
    <row r="12">
      <c r="A12" s="140" t="inlineStr">
        <is>
          <t>ค่าอบสี / ลายไม้ — ราคา บาท/กก. (กรอกทับเมื่อขึ้น · ชุดเดียวทุกแบรนด์)</t>
        </is>
      </c>
    </row>
    <row r="13">
      <c r="A13" s="140" t="inlineStr">
        <is>
          <t>เทาซาฮาร่า</t>
        </is>
      </c>
      <c r="B13" s="140" t="n">
        <v>100</v>
      </c>
      <c r="C13" s="644" t="inlineStr">
        <is>
          <t>ค่าอบเทา 100/กก. (ไม่มีค่าล้างสี)</t>
        </is>
      </c>
    </row>
    <row r="14">
      <c r="A14" s="140" t="inlineStr">
        <is>
          <t>สีอบพิเศษ</t>
        </is>
      </c>
      <c r="B14" s="140" t="n">
        <v>173</v>
      </c>
      <c r="C14" s="644" t="inlineStr">
        <is>
          <t>138 ค่าอบ + 35 ค่าล้างสี (พี่นัทเคาะ 18 มิ.ย.)</t>
        </is>
      </c>
    </row>
    <row r="15">
      <c r="A15" s="140" t="inlineStr">
        <is>
          <t>สีลายไม้อบพิเศษ</t>
        </is>
      </c>
      <c r="B15" s="140" t="n">
        <v>190</v>
      </c>
      <c r="C15" s="644" t="inlineStr">
        <is>
          <t>155 ค่าอบ + 35 ค่าล้างสี (พี่นัทเคาะ 18 มิ.ย.)</t>
        </is>
      </c>
    </row>
    <row r="16">
      <c r="A16" s="140" t="inlineStr">
        <is>
          <t>ลายไม้ stock</t>
        </is>
      </c>
      <c r="B16" s="140" t="n">
        <v>112.5</v>
      </c>
      <c r="C16" s="644" t="inlineStr">
        <is>
          <t>factor กล่องเมืองทอง · SMS/ยูโร ลายไม้=ราคาตรงต่อเส้น</t>
        </is>
      </c>
    </row>
    <row r="17">
      <c r="A17" s="140" t="inlineStr">
        <is>
          <t>+ ค่าเปิดตู้อบ 2,000 บาท/งาน เฉพาะสีอบพิเศษ/สีลายไม้อบพิเศษ (คงที่ ไม่ขึ้นตาม กก.)</t>
        </is>
      </c>
    </row>
    <row r="18">
      <c r="A18" s="140" t="inlineStr">
        <is>
          <t>ค่าชุบเหมา (อโนไดซ์)</t>
        </is>
      </c>
      <c r="B18" s="140" t="n">
        <v>200</v>
      </c>
      <c r="C18" s="140" t="inlineStr">
        <is>
          <t>บาท/กก. · บวกบนราคาขาว-ดำ · แก้ที่เดียว</t>
        </is>
      </c>
    </row>
    <row r="19">
      <c r="A19" s="645" t="inlineStr">
        <is>
          <t>── ตัวคูณลายไม้สต็อค (เส้น SMS/ยูโร) — แยกจากเนื้ออลู ──</t>
        </is>
      </c>
    </row>
    <row r="20">
      <c r="A20" s="140" t="inlineStr">
        <is>
          <t>ลายไม้สต็อค บาท/กก.</t>
        </is>
      </c>
      <c r="B20" s="483" t="n">
        <v>277</v>
      </c>
      <c r="C20" s="646">
        <f>B20/F20</f>
        <v/>
      </c>
      <c r="D20" s="644" t="inlineStr">
        <is>
          <t>ตอนนี้ 277 (ของจริง) ÷ ตั้งต้น 258 (ที่ฝังไว้) = ตัวคูณลายไม้</t>
        </is>
      </c>
      <c r="F20" s="140" t="n">
        <v>277</v>
      </c>
    </row>
    <row r="22" ht="22" customHeight="1" s="129">
      <c r="A22" s="772" t="inlineStr">
        <is>
          <t>เผื่อเศษอลู (× ตัดเท่าไหร่คิดเท่านั้น)</t>
        </is>
      </c>
      <c r="B22" s="768" t="n">
        <v>1.3</v>
      </c>
      <c r="C22" s="140" t="inlineStr">
        <is>
          <t>แก้ที่เดียว · 1.30 = เผื่อเศษ 30%</t>
        </is>
      </c>
    </row>
  </sheetData>
  <hyperlinks>
    <hyperlink ref="G1" location="'สารบัญ'!A1" display="🏠 สารบัญ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V1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.8" customWidth="1" style="129" min="1" max="1"/>
    <col width="24" customWidth="1" style="129" min="2" max="2"/>
    <col width="18" customWidth="1" style="129" min="3" max="3"/>
    <col width="7.5" customWidth="1" style="129" min="4" max="4"/>
    <col width="10.7" customWidth="1" style="129" min="5" max="5"/>
    <col width="9.6" customWidth="1" style="129" min="6" max="6"/>
    <col width="11.7" customWidth="1" style="129" min="7" max="7"/>
    <col width="10.7" customWidth="1" style="129" min="8" max="8"/>
    <col width="9.6" customWidth="1" style="129" min="9" max="9"/>
    <col width="7.5" customWidth="1" style="129" min="10" max="10"/>
    <col width="10.7" customWidth="1" style="129" min="11" max="11"/>
    <col width="7.5" customWidth="1" style="129" min="12" max="12"/>
    <col width="6.5" customWidth="1" style="129" min="13" max="13"/>
    <col width="9.6" customWidth="1" style="129" min="14" max="14"/>
    <col width="11.7" customWidth="1" style="129" min="15" max="15"/>
    <col width="6.5" customWidth="1" style="129" min="16" max="16"/>
    <col width="9.6" customWidth="1" style="129" min="17" max="17"/>
    <col width="7.5" customWidth="1" style="129" min="18" max="18"/>
    <col width="8.6" customWidth="1" style="129" min="19" max="19"/>
    <col width="8.6" customWidth="1" style="129" min="20" max="20"/>
    <col width="6.5" customWidth="1" style="129" min="21" max="21"/>
    <col width="9" customWidth="1" style="129" min="22" max="22"/>
    <col width="9" customWidth="1" style="129" min="23" max="23"/>
    <col width="9" customWidth="1" style="129" min="24" max="24"/>
  </cols>
  <sheetData>
    <row r="1">
      <c r="A1" s="771" t="inlineStr">
        <is>
          <t>⚠️ แก้ราคาที่นี่ → ราคาสี/เส้น (จาก Stock.xlsx · ลายไม้เอา max กับที่น้องพิมพ์) — อบพิเศษ/ลายไม้พิเศษ คิดสูตร base+ค่าอบ×นน. · เพิ่มเมืองทอง/SlimLux/Velora/E-series (ราคาประเมิน นน×เรต+ค่าอบ)</t>
        </is>
      </c>
      <c r="K1" s="140" t="inlineStr">
        <is>
          <t>⬇ ราคาใหม่อัตโนมัติเมื่อแก้ราคา/กก. (สีใหม่เติมฐานแล้วขึ้นเอง · ดำ=เทาเสมอ)</t>
        </is>
      </c>
      <c r="S1" s="140" t="inlineStr">
        <is>
          <t>⬇ น้ำหนักคำนวณ</t>
        </is>
      </c>
      <c r="V1" s="140" t="inlineStr">
        <is>
          <t>⬇ สีชุบ (อโนไดซ์)</t>
        </is>
      </c>
    </row>
    <row r="2">
      <c r="A2" s="392" t="inlineStr">
        <is>
          <t>รหัส</t>
        </is>
      </c>
      <c r="B2" s="392" t="inlineStr">
        <is>
          <t>ชื่อ</t>
        </is>
      </c>
      <c r="C2" s="392" t="inlineStr">
        <is>
          <t>ระบบ</t>
        </is>
      </c>
      <c r="D2" s="392" t="inlineStr">
        <is>
          <t>ขาว/ดำ</t>
        </is>
      </c>
      <c r="E2" s="392" t="inlineStr">
        <is>
          <t>เทาซาฮาร่า</t>
        </is>
      </c>
      <c r="F2" s="392" t="inlineStr">
        <is>
          <t>ดำซาฮาร่า</t>
        </is>
      </c>
      <c r="G2" s="392" t="inlineStr">
        <is>
          <t>แอทแทคเกรย์</t>
        </is>
      </c>
      <c r="H2" s="392" t="inlineStr">
        <is>
          <t>ลายไม้สต็อค</t>
        </is>
      </c>
      <c r="I2" s="392" t="inlineStr">
        <is>
          <t>ลายไม้
มะฮอกกานี</t>
        </is>
      </c>
      <c r="J2" s="392" t="inlineStr">
        <is>
          <t>ลายไม้
ไวท์โอ๊ค</t>
        </is>
      </c>
      <c r="K2" s="675" t="inlineStr">
        <is>
          <t>ตัวคูณ
(จาก/กก.)</t>
        </is>
      </c>
      <c r="L2" s="675" t="inlineStr">
        <is>
          <t>ขาว/ดำ
ปัจจุบัน</t>
        </is>
      </c>
      <c r="M2" s="675" t="inlineStr">
        <is>
          <t>เทา
ปัจจุบัน</t>
        </is>
      </c>
      <c r="N2" s="675" t="inlineStr">
        <is>
          <t>ดำซาฮาร่า
ปัจจุบัน</t>
        </is>
      </c>
      <c r="O2" s="675" t="inlineStr">
        <is>
          <t>แอทแทคเกรย์
ปัจจุบัน</t>
        </is>
      </c>
      <c r="P2" s="675" t="inlineStr">
        <is>
          <t>ลายไม้
ปัจจุบัน</t>
        </is>
      </c>
      <c r="Q2" s="675" t="inlineStr">
        <is>
          <t>มะฮอกกานี
ปัจจุบัน</t>
        </is>
      </c>
      <c r="R2" s="675" t="inlineStr">
        <is>
          <t>ไวท์โอ๊ค
ปัจจุบัน</t>
        </is>
      </c>
      <c r="S2" s="568" t="inlineStr">
        <is>
          <t>น้ำหนัก
กก./เส้น</t>
        </is>
      </c>
      <c r="T2" s="568" t="inlineStr">
        <is>
          <t>น้ำหนัก
กก./ม.</t>
        </is>
      </c>
      <c r="U2" s="766" t="inlineStr">
        <is>
          <t>เพิ่มขึ้น
/เส้น</t>
        </is>
      </c>
      <c r="V2" s="675" t="inlineStr">
        <is>
          <t>สีชุบ
฿/เส้น</t>
        </is>
      </c>
    </row>
    <row r="3">
      <c r="A3" s="395" t="inlineStr">
        <is>
          <t>B20001</t>
        </is>
      </c>
      <c r="B3" s="393" t="inlineStr">
        <is>
          <t>เฟรมบนบานเลื่อน</t>
        </is>
      </c>
      <c r="C3" s="393" t="inlineStr">
        <is>
          <t>อลูมิเนียม sms</t>
        </is>
      </c>
      <c r="D3" s="399" t="n">
        <v>1125</v>
      </c>
      <c r="E3" s="399" t="n">
        <v>1225</v>
      </c>
      <c r="F3" s="399">
        <f>E3</f>
        <v/>
      </c>
      <c r="G3" s="399" t="n"/>
      <c r="H3" s="399" t="n">
        <v>1825</v>
      </c>
      <c r="I3" s="399" t="n"/>
      <c r="J3" s="399" t="n"/>
      <c r="K3" s="676">
        <f>IF(ISNUMBER(SEARCH("เมืองทอง",C3)),mult_mtong,IF(ISNUMBER(SEARCH("SlimLux",C3)),mult_slim,IF(ISNUMBER(SEARCH("Velora",C3)),mult_velora,IF(ISNUMBER(SEARCH("Fuji",C3)),mult_euro,mult_sms))))</f>
        <v/>
      </c>
      <c r="L3" s="659">
        <f>ROUND(D3*K3,0)</f>
        <v/>
      </c>
      <c r="M3" s="659">
        <f>IF(E3="",ROUND(L3+'อัปเดตราคาอลู'!$B$13*S3,0),ROUND(E3*K3,0))</f>
        <v/>
      </c>
      <c r="N3" s="659">
        <f>M3</f>
        <v/>
      </c>
      <c r="O3" s="659">
        <f>IF(G3="",ROUND(L3+rate_special*S3,0),ROUND(G3*mult_euro,0))</f>
        <v/>
      </c>
      <c r="P3" s="659">
        <f>IF(H3="",ROUND(L3+rate_woodbake*S3,0),ROUND(H3*mult_wood,0))</f>
        <v/>
      </c>
      <c r="Q3" s="659">
        <f>IF(I3="",ROUND(L3+rate_woodbake*S3,0),ROUND(I3*mult_wood,0))</f>
        <v/>
      </c>
      <c r="R3" s="659">
        <f>IF(J3="",ROUND(L3+rate_woodbake*S3,0),ROUND(J3*mult_wood,0))</f>
        <v/>
      </c>
      <c r="S3" s="705">
        <f>ROUND(D3/(IF(ISNUMBER(SEARCH("เมืองทอง",C3)),'อัปเดตราคาอลู'!$F$8,IF(ISNUMBER(SEARCH("SlimLux",C3)),'อัปเดตราคาอลู'!$F$6,IF(ISNUMBER(SEARCH("Velora",C3)),'อัปเดตราคาอลู'!$F$7,IF(ISNUMBER(SEARCH("Fuji",C3)),'อัปเดตราคาอลู'!$F$5,'อัปเดตราคาอลู'!$F$4))))),3)</f>
        <v/>
      </c>
      <c r="T3" s="705">
        <f>ROUND(P3/(IF(OR(ISNUMBER(SEARCH("เมืองทอง",C3)),ISNUMBER(SEARCH("SlimLux",C3)),ISNUMBER(SEARCH("Velora",C3))),6,6.4)),3)</f>
        <v/>
      </c>
      <c r="U3" s="767">
        <f>ROUND(L3-D3,0)</f>
        <v/>
      </c>
      <c r="V3" s="659">
        <f>IF(D3="","",ROUND(D3+rate_anodize*S3,0))</f>
        <v/>
      </c>
    </row>
    <row r="4">
      <c r="A4" s="395" t="inlineStr">
        <is>
          <t>B20002</t>
        </is>
      </c>
      <c r="B4" s="393" t="inlineStr">
        <is>
          <t>เฟรมล่างบานเลื่อน</t>
        </is>
      </c>
      <c r="C4" s="393" t="inlineStr">
        <is>
          <t>อลูมิเนียม sms</t>
        </is>
      </c>
      <c r="D4" s="399" t="n">
        <v>1205</v>
      </c>
      <c r="E4" s="399" t="n">
        <v>1310</v>
      </c>
      <c r="F4" s="399">
        <f>E4</f>
        <v/>
      </c>
      <c r="G4" s="399" t="n"/>
      <c r="H4" s="399" t="n">
        <v>1925</v>
      </c>
      <c r="I4" s="399" t="n"/>
      <c r="J4" s="399" t="n"/>
      <c r="K4" s="676">
        <f>IF(ISNUMBER(SEARCH("เมืองทอง",C4)),mult_mtong,IF(ISNUMBER(SEARCH("SlimLux",C4)),mult_slim,IF(ISNUMBER(SEARCH("Velora",C4)),mult_velora,IF(ISNUMBER(SEARCH("Fuji",C4)),mult_euro,mult_sms))))</f>
        <v/>
      </c>
      <c r="L4" s="659">
        <f>ROUND(D4*K4,0)</f>
        <v/>
      </c>
      <c r="M4" s="659">
        <f>IF(E4="",ROUND(L4+'อัปเดตราคาอลู'!$B$13*S4,0),ROUND(E4*K4,0))</f>
        <v/>
      </c>
      <c r="N4" s="659">
        <f>M4</f>
        <v/>
      </c>
      <c r="O4" s="659">
        <f>IF(G4="",ROUND(L4+rate_special*S4,0),ROUND(G4*mult_euro,0))</f>
        <v/>
      </c>
      <c r="P4" s="659">
        <f>IF(H4="",ROUND(L4+rate_woodbake*S4,0),ROUND(H4*mult_wood,0))</f>
        <v/>
      </c>
      <c r="Q4" s="659">
        <f>IF(I4="",ROUND(L4+rate_woodbake*S4,0),ROUND(I4*mult_wood,0))</f>
        <v/>
      </c>
      <c r="R4" s="659">
        <f>IF(J4="",ROUND(L4+rate_woodbake*S4,0),ROUND(J4*mult_wood,0))</f>
        <v/>
      </c>
      <c r="S4" s="705">
        <f>ROUND(D4/(IF(ISNUMBER(SEARCH("เมืองทอง",C4)),'อัปเดตราคาอลู'!$F$8,IF(ISNUMBER(SEARCH("SlimLux",C4)),'อัปเดตราคาอลู'!$F$6,IF(ISNUMBER(SEARCH("Velora",C4)),'อัปเดตราคาอลู'!$F$7,IF(ISNUMBER(SEARCH("Fuji",C4)),'อัปเดตราคาอลู'!$F$5,'อัปเดตราคาอลู'!$F$4))))),3)</f>
        <v/>
      </c>
      <c r="T4" s="705">
        <f>ROUND(P4/(IF(OR(ISNUMBER(SEARCH("เมืองทอง",C4)),ISNUMBER(SEARCH("SlimLux",C4)),ISNUMBER(SEARCH("Velora",C4))),6,6.4)),3)</f>
        <v/>
      </c>
      <c r="U4" s="767">
        <f>ROUND(L4-D4,0)</f>
        <v/>
      </c>
      <c r="V4" s="659">
        <f>IF(D4="","",ROUND(D4+rate_anodize*S4,0))</f>
        <v/>
      </c>
    </row>
    <row r="5">
      <c r="A5" s="395" t="inlineStr">
        <is>
          <t>B20003</t>
        </is>
      </c>
      <c r="B5" s="393" t="inlineStr">
        <is>
          <t>เฟรมข้างบานเลื่อน</t>
        </is>
      </c>
      <c r="C5" s="393" t="inlineStr">
        <is>
          <t>อลูมิเนียม sms</t>
        </is>
      </c>
      <c r="D5" s="399" t="n">
        <v>870</v>
      </c>
      <c r="E5" s="399" t="n">
        <v>950</v>
      </c>
      <c r="F5" s="399">
        <f>E5</f>
        <v/>
      </c>
      <c r="G5" s="399" t="n"/>
      <c r="H5" s="399" t="n">
        <v>1395</v>
      </c>
      <c r="I5" s="399" t="n"/>
      <c r="J5" s="399" t="n"/>
      <c r="K5" s="676">
        <f>IF(ISNUMBER(SEARCH("เมืองทอง",C5)),mult_mtong,IF(ISNUMBER(SEARCH("SlimLux",C5)),mult_slim,IF(ISNUMBER(SEARCH("Velora",C5)),mult_velora,IF(ISNUMBER(SEARCH("Fuji",C5)),mult_euro,mult_sms))))</f>
        <v/>
      </c>
      <c r="L5" s="659">
        <f>ROUND(D5*K5,0)</f>
        <v/>
      </c>
      <c r="M5" s="659">
        <f>IF(E5="",ROUND(L5+'อัปเดตราคาอลู'!$B$13*S5,0),ROUND(E5*K5,0))</f>
        <v/>
      </c>
      <c r="N5" s="659">
        <f>M5</f>
        <v/>
      </c>
      <c r="O5" s="659">
        <f>IF(G5="",ROUND(L5+rate_special*S5,0),ROUND(G5*mult_euro,0))</f>
        <v/>
      </c>
      <c r="P5" s="659">
        <f>IF(H5="",ROUND(L5+rate_woodbake*S5,0),ROUND(H5*mult_wood,0))</f>
        <v/>
      </c>
      <c r="Q5" s="659">
        <f>IF(I5="",ROUND(L5+rate_woodbake*S5,0),ROUND(I5*mult_wood,0))</f>
        <v/>
      </c>
      <c r="R5" s="659">
        <f>IF(J5="",ROUND(L5+rate_woodbake*S5,0),ROUND(J5*mult_wood,0))</f>
        <v/>
      </c>
      <c r="S5" s="705">
        <f>ROUND(D5/(IF(ISNUMBER(SEARCH("เมืองทอง",C5)),'อัปเดตราคาอลู'!$F$8,IF(ISNUMBER(SEARCH("SlimLux",C5)),'อัปเดตราคาอลู'!$F$6,IF(ISNUMBER(SEARCH("Velora",C5)),'อัปเดตราคาอลู'!$F$7,IF(ISNUMBER(SEARCH("Fuji",C5)),'อัปเดตราคาอลู'!$F$5,'อัปเดตราคาอลู'!$F$4))))),3)</f>
        <v/>
      </c>
      <c r="T5" s="705">
        <f>ROUND(P5/(IF(OR(ISNUMBER(SEARCH("เมืองทอง",C5)),ISNUMBER(SEARCH("SlimLux",C5)),ISNUMBER(SEARCH("Velora",C5))),6,6.4)),3)</f>
        <v/>
      </c>
      <c r="U5" s="767">
        <f>ROUND(L5-D5,0)</f>
        <v/>
      </c>
      <c r="V5" s="659">
        <f>IF(D5="","",ROUND(D5+rate_anodize*S5,0))</f>
        <v/>
      </c>
    </row>
    <row r="6">
      <c r="A6" s="395" t="inlineStr">
        <is>
          <t>B20004</t>
        </is>
      </c>
      <c r="B6" s="393" t="inlineStr">
        <is>
          <t>เฟรมบนเสริมร่องกระจก</t>
        </is>
      </c>
      <c r="C6" s="393" t="inlineStr">
        <is>
          <t>อลูมิเนียม sms</t>
        </is>
      </c>
      <c r="D6" s="399" t="n">
        <v>870</v>
      </c>
      <c r="E6" s="399" t="n">
        <v>950</v>
      </c>
      <c r="F6" s="399">
        <f>E6</f>
        <v/>
      </c>
      <c r="G6" s="399" t="n"/>
      <c r="H6" s="399" t="n">
        <v>1395</v>
      </c>
      <c r="I6" s="399" t="n"/>
      <c r="J6" s="399" t="n"/>
      <c r="K6" s="676">
        <f>IF(ISNUMBER(SEARCH("เมืองทอง",C6)),mult_mtong,IF(ISNUMBER(SEARCH("SlimLux",C6)),mult_slim,IF(ISNUMBER(SEARCH("Velora",C6)),mult_velora,IF(ISNUMBER(SEARCH("Fuji",C6)),mult_euro,mult_sms))))</f>
        <v/>
      </c>
      <c r="L6" s="659">
        <f>ROUND(D6*K6,0)</f>
        <v/>
      </c>
      <c r="M6" s="659">
        <f>IF(E6="",ROUND(L6+'อัปเดตราคาอลู'!$B$13*S6,0),ROUND(E6*K6,0))</f>
        <v/>
      </c>
      <c r="N6" s="659">
        <f>M6</f>
        <v/>
      </c>
      <c r="O6" s="659">
        <f>IF(G6="",ROUND(L6+rate_special*S6,0),ROUND(G6*mult_euro,0))</f>
        <v/>
      </c>
      <c r="P6" s="659">
        <f>IF(H6="",ROUND(L6+rate_woodbake*S6,0),ROUND(H6*mult_wood,0))</f>
        <v/>
      </c>
      <c r="Q6" s="659">
        <f>IF(I6="",ROUND(L6+rate_woodbake*S6,0),ROUND(I6*mult_wood,0))</f>
        <v/>
      </c>
      <c r="R6" s="659">
        <f>IF(J6="",ROUND(L6+rate_woodbake*S6,0),ROUND(J6*mult_wood,0))</f>
        <v/>
      </c>
      <c r="S6" s="705">
        <f>ROUND(D6/(IF(ISNUMBER(SEARCH("เมืองทอง",C6)),'อัปเดตราคาอลู'!$F$8,IF(ISNUMBER(SEARCH("SlimLux",C6)),'อัปเดตราคาอลู'!$F$6,IF(ISNUMBER(SEARCH("Velora",C6)),'อัปเดตราคาอลู'!$F$7,IF(ISNUMBER(SEARCH("Fuji",C6)),'อัปเดตราคาอลู'!$F$5,'อัปเดตราคาอลู'!$F$4))))),3)</f>
        <v/>
      </c>
      <c r="T6" s="705">
        <f>ROUND(P6/(IF(OR(ISNUMBER(SEARCH("เมืองทอง",C6)),ISNUMBER(SEARCH("SlimLux",C6)),ISNUMBER(SEARCH("Velora",C6))),6,6.4)),3)</f>
        <v/>
      </c>
      <c r="U6" s="767">
        <f>ROUND(L6-D6,0)</f>
        <v/>
      </c>
      <c r="V6" s="659">
        <f>IF(D6="","",ROUND(D6+rate_anodize*S6,0))</f>
        <v/>
      </c>
    </row>
    <row r="7">
      <c r="A7" s="395" t="inlineStr">
        <is>
          <t>B20007</t>
        </is>
      </c>
      <c r="B7" s="393" t="inlineStr">
        <is>
          <t>เสากุญแจ (ตูดตัน)</t>
        </is>
      </c>
      <c r="C7" s="393" t="inlineStr">
        <is>
          <t>อลูมิเนียม sms</t>
        </is>
      </c>
      <c r="D7" s="399" t="n">
        <v>660</v>
      </c>
      <c r="E7" s="399" t="n">
        <v>725</v>
      </c>
      <c r="F7" s="399">
        <f>E7</f>
        <v/>
      </c>
      <c r="G7" s="399" t="n"/>
      <c r="H7" s="399" t="n">
        <v>1065</v>
      </c>
      <c r="I7" s="399" t="n"/>
      <c r="J7" s="399" t="n"/>
      <c r="K7" s="676">
        <f>IF(ISNUMBER(SEARCH("เมืองทอง",C7)),mult_mtong,IF(ISNUMBER(SEARCH("SlimLux",C7)),mult_slim,IF(ISNUMBER(SEARCH("Velora",C7)),mult_velora,IF(ISNUMBER(SEARCH("Fuji",C7)),mult_euro,mult_sms))))</f>
        <v/>
      </c>
      <c r="L7" s="659">
        <f>ROUND(D7*K7,0)</f>
        <v/>
      </c>
      <c r="M7" s="659">
        <f>IF(E7="",ROUND(L7+'อัปเดตราคาอลู'!$B$13*S7,0),ROUND(E7*K7,0))</f>
        <v/>
      </c>
      <c r="N7" s="659">
        <f>M7</f>
        <v/>
      </c>
      <c r="O7" s="659">
        <f>IF(G7="",ROUND(L7+rate_special*S7,0),ROUND(G7*mult_euro,0))</f>
        <v/>
      </c>
      <c r="P7" s="659">
        <f>IF(H7="",ROUND(L7+rate_woodbake*S7,0),ROUND(H7*mult_wood,0))</f>
        <v/>
      </c>
      <c r="Q7" s="659">
        <f>IF(I7="",ROUND(L7+rate_woodbake*S7,0),ROUND(I7*mult_wood,0))</f>
        <v/>
      </c>
      <c r="R7" s="659">
        <f>IF(J7="",ROUND(L7+rate_woodbake*S7,0),ROUND(J7*mult_wood,0))</f>
        <v/>
      </c>
      <c r="S7" s="705">
        <f>ROUND(D7/(IF(ISNUMBER(SEARCH("เมืองทอง",C7)),'อัปเดตราคาอลู'!$F$8,IF(ISNUMBER(SEARCH("SlimLux",C7)),'อัปเดตราคาอลู'!$F$6,IF(ISNUMBER(SEARCH("Velora",C7)),'อัปเดตราคาอลู'!$F$7,IF(ISNUMBER(SEARCH("Fuji",C7)),'อัปเดตราคาอลู'!$F$5,'อัปเดตราคาอลู'!$F$4))))),3)</f>
        <v/>
      </c>
      <c r="T7" s="705">
        <f>ROUND(P7/(IF(OR(ISNUMBER(SEARCH("เมืองทอง",C7)),ISNUMBER(SEARCH("SlimLux",C7)),ISNUMBER(SEARCH("Velora",C7))),6,6.4)),3)</f>
        <v/>
      </c>
      <c r="U7" s="767">
        <f>ROUND(L7-D7,0)</f>
        <v/>
      </c>
      <c r="V7" s="659">
        <f>IF(D7="","",ROUND(D7+rate_anodize*S7,0))</f>
        <v/>
      </c>
    </row>
    <row r="8">
      <c r="A8" s="395" t="inlineStr">
        <is>
          <t>B20008</t>
        </is>
      </c>
      <c r="B8" s="393" t="inlineStr">
        <is>
          <t>เสากุญแจแบบรับแรง</t>
        </is>
      </c>
      <c r="C8" s="393" t="inlineStr">
        <is>
          <t>อลูมิเนียม sms</t>
        </is>
      </c>
      <c r="D8" s="399" t="n">
        <v>1125</v>
      </c>
      <c r="E8" s="399" t="n">
        <v>1225</v>
      </c>
      <c r="F8" s="399">
        <f>E8</f>
        <v/>
      </c>
      <c r="G8" s="399" t="n"/>
      <c r="H8" s="399" t="n">
        <v>1800</v>
      </c>
      <c r="I8" s="399" t="n"/>
      <c r="J8" s="399" t="n"/>
      <c r="K8" s="676">
        <f>IF(ISNUMBER(SEARCH("เมืองทอง",C8)),mult_mtong,IF(ISNUMBER(SEARCH("SlimLux",C8)),mult_slim,IF(ISNUMBER(SEARCH("Velora",C8)),mult_velora,IF(ISNUMBER(SEARCH("Fuji",C8)),mult_euro,mult_sms))))</f>
        <v/>
      </c>
      <c r="L8" s="659">
        <f>ROUND(D8*K8,0)</f>
        <v/>
      </c>
      <c r="M8" s="659">
        <f>IF(E8="",ROUND(L8+'อัปเดตราคาอลู'!$B$13*S8,0),ROUND(E8*K8,0))</f>
        <v/>
      </c>
      <c r="N8" s="659">
        <f>M8</f>
        <v/>
      </c>
      <c r="O8" s="659">
        <f>IF(G8="",ROUND(L8+rate_special*S8,0),ROUND(G8*mult_euro,0))</f>
        <v/>
      </c>
      <c r="P8" s="659">
        <f>IF(H8="",ROUND(L8+rate_woodbake*S8,0),ROUND(H8*mult_wood,0))</f>
        <v/>
      </c>
      <c r="Q8" s="659">
        <f>IF(I8="",ROUND(L8+rate_woodbake*S8,0),ROUND(I8*mult_wood,0))</f>
        <v/>
      </c>
      <c r="R8" s="659">
        <f>IF(J8="",ROUND(L8+rate_woodbake*S8,0),ROUND(J8*mult_wood,0))</f>
        <v/>
      </c>
      <c r="S8" s="705">
        <f>ROUND(D8/(IF(ISNUMBER(SEARCH("เมืองทอง",C8)),'อัปเดตราคาอลู'!$F$8,IF(ISNUMBER(SEARCH("SlimLux",C8)),'อัปเดตราคาอลู'!$F$6,IF(ISNUMBER(SEARCH("Velora",C8)),'อัปเดตราคาอลู'!$F$7,IF(ISNUMBER(SEARCH("Fuji",C8)),'อัปเดตราคาอลู'!$F$5,'อัปเดตราคาอลู'!$F$4))))),3)</f>
        <v/>
      </c>
      <c r="T8" s="705">
        <f>ROUND(P8/(IF(OR(ISNUMBER(SEARCH("เมืองทอง",C8)),ISNUMBER(SEARCH("SlimLux",C8)),ISNUMBER(SEARCH("Velora",C8))),6,6.4)),3)</f>
        <v/>
      </c>
      <c r="U8" s="767">
        <f>ROUND(L8-D8,0)</f>
        <v/>
      </c>
      <c r="V8" s="659">
        <f>IF(D8="","",ROUND(D8+rate_anodize*S8,0))</f>
        <v/>
      </c>
    </row>
    <row r="9">
      <c r="A9" s="395" t="inlineStr">
        <is>
          <t>B20009</t>
        </is>
      </c>
      <c r="B9" s="393" t="inlineStr">
        <is>
          <t>เสาเกี่ยว (ธรรมดา)</t>
        </is>
      </c>
      <c r="C9" s="393" t="inlineStr">
        <is>
          <t>อลูมิเนียม sms</t>
        </is>
      </c>
      <c r="D9" s="399" t="n">
        <v>690</v>
      </c>
      <c r="E9" s="399" t="n">
        <v>750</v>
      </c>
      <c r="F9" s="399">
        <f>E9</f>
        <v/>
      </c>
      <c r="G9" s="399" t="n"/>
      <c r="H9" s="399" t="n">
        <v>1105</v>
      </c>
      <c r="I9" s="399" t="n"/>
      <c r="J9" s="399" t="n"/>
      <c r="K9" s="676">
        <f>IF(ISNUMBER(SEARCH("เมืองทอง",C9)),mult_mtong,IF(ISNUMBER(SEARCH("SlimLux",C9)),mult_slim,IF(ISNUMBER(SEARCH("Velora",C9)),mult_velora,IF(ISNUMBER(SEARCH("Fuji",C9)),mult_euro,mult_sms))))</f>
        <v/>
      </c>
      <c r="L9" s="659">
        <f>ROUND(D9*K9,0)</f>
        <v/>
      </c>
      <c r="M9" s="659">
        <f>IF(E9="",ROUND(L9+'อัปเดตราคาอลู'!$B$13*S9,0),ROUND(E9*K9,0))</f>
        <v/>
      </c>
      <c r="N9" s="659">
        <f>M9</f>
        <v/>
      </c>
      <c r="O9" s="659">
        <f>IF(G9="",ROUND(L9+rate_special*S9,0),ROUND(G9*mult_euro,0))</f>
        <v/>
      </c>
      <c r="P9" s="659">
        <f>IF(H9="",ROUND(L9+rate_woodbake*S9,0),ROUND(H9*mult_wood,0))</f>
        <v/>
      </c>
      <c r="Q9" s="659">
        <f>IF(I9="",ROUND(L9+rate_woodbake*S9,0),ROUND(I9*mult_wood,0))</f>
        <v/>
      </c>
      <c r="R9" s="659">
        <f>IF(J9="",ROUND(L9+rate_woodbake*S9,0),ROUND(J9*mult_wood,0))</f>
        <v/>
      </c>
      <c r="S9" s="705">
        <f>ROUND(D9/(IF(ISNUMBER(SEARCH("เมืองทอง",C9)),'อัปเดตราคาอลู'!$F$8,IF(ISNUMBER(SEARCH("SlimLux",C9)),'อัปเดตราคาอลู'!$F$6,IF(ISNUMBER(SEARCH("Velora",C9)),'อัปเดตราคาอลู'!$F$7,IF(ISNUMBER(SEARCH("Fuji",C9)),'อัปเดตราคาอลู'!$F$5,'อัปเดตราคาอลู'!$F$4))))),3)</f>
        <v/>
      </c>
      <c r="T9" s="705">
        <f>ROUND(P9/(IF(OR(ISNUMBER(SEARCH("เมืองทอง",C9)),ISNUMBER(SEARCH("SlimLux",C9)),ISNUMBER(SEARCH("Velora",C9))),6,6.4)),3)</f>
        <v/>
      </c>
      <c r="U9" s="767">
        <f>ROUND(L9-D9,0)</f>
        <v/>
      </c>
      <c r="V9" s="659">
        <f>IF(D9="","",ROUND(D9+rate_anodize*S9,0))</f>
        <v/>
      </c>
    </row>
    <row r="10">
      <c r="A10" s="395" t="inlineStr">
        <is>
          <t>B20010</t>
        </is>
      </c>
      <c r="B10" s="393" t="inlineStr">
        <is>
          <t>เสาเกี่ยวนอก (สูง 2.4 m)</t>
        </is>
      </c>
      <c r="C10" s="393" t="inlineStr">
        <is>
          <t>อลูมิเนียม sms</t>
        </is>
      </c>
      <c r="D10" s="399" t="n">
        <v>1235</v>
      </c>
      <c r="E10" s="399" t="n">
        <v>1345</v>
      </c>
      <c r="F10" s="399">
        <f>E10</f>
        <v/>
      </c>
      <c r="G10" s="399" t="n"/>
      <c r="H10" s="399" t="n">
        <v>1975</v>
      </c>
      <c r="I10" s="399" t="n"/>
      <c r="J10" s="399" t="n"/>
      <c r="K10" s="676">
        <f>IF(ISNUMBER(SEARCH("เมืองทอง",C10)),mult_mtong,IF(ISNUMBER(SEARCH("SlimLux",C10)),mult_slim,IF(ISNUMBER(SEARCH("Velora",C10)),mult_velora,IF(ISNUMBER(SEARCH("Fuji",C10)),mult_euro,mult_sms))))</f>
        <v/>
      </c>
      <c r="L10" s="659">
        <f>ROUND(D10*K10,0)</f>
        <v/>
      </c>
      <c r="M10" s="659">
        <f>IF(E10="",ROUND(L10+'อัปเดตราคาอลู'!$B$13*S10,0),ROUND(E10*K10,0))</f>
        <v/>
      </c>
      <c r="N10" s="659">
        <f>M10</f>
        <v/>
      </c>
      <c r="O10" s="659">
        <f>IF(G10="",ROUND(L10+rate_special*S10,0),ROUND(G10*mult_euro,0))</f>
        <v/>
      </c>
      <c r="P10" s="659">
        <f>IF(H10="",ROUND(L10+rate_woodbake*S10,0),ROUND(H10*mult_wood,0))</f>
        <v/>
      </c>
      <c r="Q10" s="659">
        <f>IF(I10="",ROUND(L10+rate_woodbake*S10,0),ROUND(I10*mult_wood,0))</f>
        <v/>
      </c>
      <c r="R10" s="659">
        <f>IF(J10="",ROUND(L10+rate_woodbake*S10,0),ROUND(J10*mult_wood,0))</f>
        <v/>
      </c>
      <c r="S10" s="705">
        <f>ROUND(D10/(IF(ISNUMBER(SEARCH("เมืองทอง",C10)),'อัปเดตราคาอลู'!$F$8,IF(ISNUMBER(SEARCH("SlimLux",C10)),'อัปเดตราคาอลู'!$F$6,IF(ISNUMBER(SEARCH("Velora",C10)),'อัปเดตราคาอลู'!$F$7,IF(ISNUMBER(SEARCH("Fuji",C10)),'อัปเดตราคาอลู'!$F$5,'อัปเดตราคาอลู'!$F$4))))),3)</f>
        <v/>
      </c>
      <c r="T10" s="705">
        <f>ROUND(P10/(IF(OR(ISNUMBER(SEARCH("เมืองทอง",C10)),ISNUMBER(SEARCH("SlimLux",C10)),ISNUMBER(SEARCH("Velora",C10))),6,6.4)),3)</f>
        <v/>
      </c>
      <c r="U10" s="767">
        <f>ROUND(L10-D10,0)</f>
        <v/>
      </c>
      <c r="V10" s="659">
        <f>IF(D10="","",ROUND(D10+rate_anodize*S10,0))</f>
        <v/>
      </c>
    </row>
    <row r="11">
      <c r="A11" s="395" t="inlineStr">
        <is>
          <t>B20019</t>
        </is>
      </c>
      <c r="B11" s="393" t="inlineStr">
        <is>
          <t>ฝาปิดเฟรมข้าง</t>
        </is>
      </c>
      <c r="C11" s="393" t="inlineStr">
        <is>
          <t>อลูมิเนียม sms</t>
        </is>
      </c>
      <c r="D11" s="399" t="n">
        <v>175</v>
      </c>
      <c r="E11" s="399" t="n">
        <v>190</v>
      </c>
      <c r="F11" s="399">
        <f>E11</f>
        <v/>
      </c>
      <c r="G11" s="399" t="n"/>
      <c r="H11" s="399" t="n">
        <v>280</v>
      </c>
      <c r="I11" s="399" t="n"/>
      <c r="J11" s="399" t="n"/>
      <c r="K11" s="676">
        <f>IF(ISNUMBER(SEARCH("เมืองทอง",C11)),mult_mtong,IF(ISNUMBER(SEARCH("SlimLux",C11)),mult_slim,IF(ISNUMBER(SEARCH("Velora",C11)),mult_velora,IF(ISNUMBER(SEARCH("Fuji",C11)),mult_euro,mult_sms))))</f>
        <v/>
      </c>
      <c r="L11" s="659">
        <f>ROUND(D11*K11,0)</f>
        <v/>
      </c>
      <c r="M11" s="659">
        <f>IF(E11="",ROUND(L11+'อัปเดตราคาอลู'!$B$13*S11,0),ROUND(E11*K11,0))</f>
        <v/>
      </c>
      <c r="N11" s="659">
        <f>M11</f>
        <v/>
      </c>
      <c r="O11" s="659">
        <f>IF(G11="",ROUND(L11+rate_special*S11,0),ROUND(G11*mult_euro,0))</f>
        <v/>
      </c>
      <c r="P11" s="659">
        <f>IF(H11="",ROUND(L11+rate_woodbake*S11,0),ROUND(H11*mult_wood,0))</f>
        <v/>
      </c>
      <c r="Q11" s="659">
        <f>IF(I11="",ROUND(L11+rate_woodbake*S11,0),ROUND(I11*mult_wood,0))</f>
        <v/>
      </c>
      <c r="R11" s="659">
        <f>IF(J11="",ROUND(L11+rate_woodbake*S11,0),ROUND(J11*mult_wood,0))</f>
        <v/>
      </c>
      <c r="S11" s="705">
        <f>ROUND(D11/(IF(ISNUMBER(SEARCH("เมืองทอง",C11)),'อัปเดตราคาอลู'!$F$8,IF(ISNUMBER(SEARCH("SlimLux",C11)),'อัปเดตราคาอลู'!$F$6,IF(ISNUMBER(SEARCH("Velora",C11)),'อัปเดตราคาอลู'!$F$7,IF(ISNUMBER(SEARCH("Fuji",C11)),'อัปเดตราคาอลู'!$F$5,'อัปเดตราคาอลู'!$F$4))))),3)</f>
        <v/>
      </c>
      <c r="T11" s="705">
        <f>ROUND(P11/(IF(OR(ISNUMBER(SEARCH("เมืองทอง",C11)),ISNUMBER(SEARCH("SlimLux",C11)),ISNUMBER(SEARCH("Velora",C11))),6,6.4)),3)</f>
        <v/>
      </c>
      <c r="U11" s="767">
        <f>ROUND(L11-D11,0)</f>
        <v/>
      </c>
      <c r="V11" s="659">
        <f>IF(D11="","",ROUND(D11+rate_anodize*S11,0))</f>
        <v/>
      </c>
    </row>
    <row r="12">
      <c r="A12" s="395" t="inlineStr">
        <is>
          <t>B20024</t>
        </is>
      </c>
      <c r="B12" s="393" t="inlineStr">
        <is>
          <t>คิ้วกันตก</t>
        </is>
      </c>
      <c r="C12" s="393" t="inlineStr">
        <is>
          <t>อลูมิเนียม sms</t>
        </is>
      </c>
      <c r="D12" s="399" t="n">
        <v>185</v>
      </c>
      <c r="E12" s="399" t="n">
        <v>200</v>
      </c>
      <c r="F12" s="399">
        <f>E12</f>
        <v/>
      </c>
      <c r="G12" s="399" t="n"/>
      <c r="H12" s="399" t="n">
        <v>295</v>
      </c>
      <c r="I12" s="399" t="n"/>
      <c r="J12" s="399" t="n"/>
      <c r="K12" s="676">
        <f>IF(ISNUMBER(SEARCH("เมืองทอง",C12)),mult_mtong,IF(ISNUMBER(SEARCH("SlimLux",C12)),mult_slim,IF(ISNUMBER(SEARCH("Velora",C12)),mult_velora,IF(ISNUMBER(SEARCH("Fuji",C12)),mult_euro,mult_sms))))</f>
        <v/>
      </c>
      <c r="L12" s="659">
        <f>ROUND(D12*K12,0)</f>
        <v/>
      </c>
      <c r="M12" s="659">
        <f>IF(E12="",ROUND(L12+'อัปเดตราคาอลู'!$B$13*S12,0),ROUND(E12*K12,0))</f>
        <v/>
      </c>
      <c r="N12" s="659">
        <f>M12</f>
        <v/>
      </c>
      <c r="O12" s="659">
        <f>IF(G12="",ROUND(L12+rate_special*S12,0),ROUND(G12*mult_euro,0))</f>
        <v/>
      </c>
      <c r="P12" s="659">
        <f>IF(H12="",ROUND(L12+rate_woodbake*S12,0),ROUND(H12*mult_wood,0))</f>
        <v/>
      </c>
      <c r="Q12" s="659">
        <f>IF(I12="",ROUND(L12+rate_woodbake*S12,0),ROUND(I12*mult_wood,0))</f>
        <v/>
      </c>
      <c r="R12" s="659">
        <f>IF(J12="",ROUND(L12+rate_woodbake*S12,0),ROUND(J12*mult_wood,0))</f>
        <v/>
      </c>
      <c r="S12" s="705">
        <f>ROUND(D12/(IF(ISNUMBER(SEARCH("เมืองทอง",C12)),'อัปเดตราคาอลู'!$F$8,IF(ISNUMBER(SEARCH("SlimLux",C12)),'อัปเดตราคาอลู'!$F$6,IF(ISNUMBER(SEARCH("Velora",C12)),'อัปเดตราคาอลู'!$F$7,IF(ISNUMBER(SEARCH("Fuji",C12)),'อัปเดตราคาอลู'!$F$5,'อัปเดตราคาอลู'!$F$4))))),3)</f>
        <v/>
      </c>
      <c r="T12" s="705">
        <f>ROUND(P12/(IF(OR(ISNUMBER(SEARCH("เมืองทอง",C12)),ISNUMBER(SEARCH("SlimLux",C12)),ISNUMBER(SEARCH("Velora",C12))),6,6.4)),3)</f>
        <v/>
      </c>
      <c r="U12" s="767">
        <f>ROUND(L12-D12,0)</f>
        <v/>
      </c>
      <c r="V12" s="659">
        <f>IF(D12="","",ROUND(D12+rate_anodize*S12,0))</f>
        <v/>
      </c>
    </row>
    <row r="13">
      <c r="A13" s="395" t="inlineStr">
        <is>
          <t>B20041</t>
        </is>
      </c>
      <c r="B13" s="393" t="inlineStr">
        <is>
          <t>เฟรมบานเลื่อน (3รางเสียบ)</t>
        </is>
      </c>
      <c r="C13" s="393" t="inlineStr">
        <is>
          <t>อลูมิเนียม sms</t>
        </is>
      </c>
      <c r="D13" s="399" t="n">
        <v>2070</v>
      </c>
      <c r="E13" s="399" t="n">
        <v>2255</v>
      </c>
      <c r="F13" s="399">
        <f>E13</f>
        <v/>
      </c>
      <c r="G13" s="399" t="n"/>
      <c r="H13" s="399" t="n">
        <v>3424</v>
      </c>
      <c r="I13" s="399" t="n"/>
      <c r="J13" s="399" t="n"/>
      <c r="K13" s="676">
        <f>IF(ISNUMBER(SEARCH("เมืองทอง",C13)),mult_mtong,IF(ISNUMBER(SEARCH("SlimLux",C13)),mult_slim,IF(ISNUMBER(SEARCH("Velora",C13)),mult_velora,IF(ISNUMBER(SEARCH("Fuji",C13)),mult_euro,mult_sms))))</f>
        <v/>
      </c>
      <c r="L13" s="659">
        <f>ROUND(D13*K13,0)</f>
        <v/>
      </c>
      <c r="M13" s="659">
        <f>IF(E13="",ROUND(L13+'อัปเดตราคาอลู'!$B$13*S13,0),ROUND(E13*K13,0))</f>
        <v/>
      </c>
      <c r="N13" s="659">
        <f>M13</f>
        <v/>
      </c>
      <c r="O13" s="659">
        <f>IF(G13="",ROUND(L13+rate_special*S13,0),ROUND(G13*mult_euro,0))</f>
        <v/>
      </c>
      <c r="P13" s="659">
        <f>IF(H13="",ROUND(L13+rate_woodbake*S13,0),ROUND(H13*mult_wood,0))</f>
        <v/>
      </c>
      <c r="Q13" s="659">
        <f>IF(I13="",ROUND(L13+rate_woodbake*S13,0),ROUND(I13*mult_wood,0))</f>
        <v/>
      </c>
      <c r="R13" s="659">
        <f>IF(J13="",ROUND(L13+rate_woodbake*S13,0),ROUND(J13*mult_wood,0))</f>
        <v/>
      </c>
      <c r="S13" s="705">
        <f>ROUND(D13/(IF(ISNUMBER(SEARCH("เมืองทอง",C13)),'อัปเดตราคาอลู'!$F$8,IF(ISNUMBER(SEARCH("SlimLux",C13)),'อัปเดตราคาอลู'!$F$6,IF(ISNUMBER(SEARCH("Velora",C13)),'อัปเดตราคาอลู'!$F$7,IF(ISNUMBER(SEARCH("Fuji",C13)),'อัปเดตราคาอลู'!$F$5,'อัปเดตราคาอลู'!$F$4))))),3)</f>
        <v/>
      </c>
      <c r="T13" s="705">
        <f>ROUND(P13/(IF(OR(ISNUMBER(SEARCH("เมืองทอง",C13)),ISNUMBER(SEARCH("SlimLux",C13)),ISNUMBER(SEARCH("Velora",C13))),6,6.4)),3)</f>
        <v/>
      </c>
      <c r="U13" s="767">
        <f>ROUND(L13-D13,0)</f>
        <v/>
      </c>
      <c r="V13" s="659">
        <f>IF(D13="","",ROUND(D13+rate_anodize*S13,0))</f>
        <v/>
      </c>
    </row>
    <row r="14">
      <c r="A14" s="395" t="inlineStr">
        <is>
          <t>B20048</t>
        </is>
      </c>
      <c r="B14" s="393" t="inlineStr">
        <is>
          <t>ตัวตบรางมุ้ง</t>
        </is>
      </c>
      <c r="C14" s="393" t="inlineStr">
        <is>
          <t>อลูมิเนียม sms</t>
        </is>
      </c>
      <c r="D14" s="399" t="n">
        <v>310</v>
      </c>
      <c r="E14" s="399" t="n">
        <v>340</v>
      </c>
      <c r="F14" s="399">
        <f>E14</f>
        <v/>
      </c>
      <c r="G14" s="399" t="n"/>
      <c r="H14" s="399" t="n">
        <v>495</v>
      </c>
      <c r="I14" s="399" t="n"/>
      <c r="J14" s="399" t="n"/>
      <c r="K14" s="676">
        <f>IF(ISNUMBER(SEARCH("เมืองทอง",C14)),mult_mtong,IF(ISNUMBER(SEARCH("SlimLux",C14)),mult_slim,IF(ISNUMBER(SEARCH("Velora",C14)),mult_velora,IF(ISNUMBER(SEARCH("Fuji",C14)),mult_euro,mult_sms))))</f>
        <v/>
      </c>
      <c r="L14" s="659">
        <f>ROUND(D14*K14,0)</f>
        <v/>
      </c>
      <c r="M14" s="659">
        <f>IF(E14="",ROUND(L14+'อัปเดตราคาอลู'!$B$13*S14,0),ROUND(E14*K14,0))</f>
        <v/>
      </c>
      <c r="N14" s="659">
        <f>M14</f>
        <v/>
      </c>
      <c r="O14" s="659">
        <f>IF(G14="",ROUND(L14+rate_special*S14,0),ROUND(G14*mult_euro,0))</f>
        <v/>
      </c>
      <c r="P14" s="659">
        <f>IF(H14="",ROUND(L14+rate_woodbake*S14,0),ROUND(H14*mult_wood,0))</f>
        <v/>
      </c>
      <c r="Q14" s="659">
        <f>IF(I14="",ROUND(L14+rate_woodbake*S14,0),ROUND(I14*mult_wood,0))</f>
        <v/>
      </c>
      <c r="R14" s="659">
        <f>IF(J14="",ROUND(L14+rate_woodbake*S14,0),ROUND(J14*mult_wood,0))</f>
        <v/>
      </c>
      <c r="S14" s="705">
        <f>ROUND(D14/(IF(ISNUMBER(SEARCH("เมืองทอง",C14)),'อัปเดตราคาอลู'!$F$8,IF(ISNUMBER(SEARCH("SlimLux",C14)),'อัปเดตราคาอลู'!$F$6,IF(ISNUMBER(SEARCH("Velora",C14)),'อัปเดตราคาอลู'!$F$7,IF(ISNUMBER(SEARCH("Fuji",C14)),'อัปเดตราคาอลู'!$F$5,'อัปเดตราคาอลู'!$F$4))))),3)</f>
        <v/>
      </c>
      <c r="T14" s="705">
        <f>ROUND(P14/(IF(OR(ISNUMBER(SEARCH("เมืองทอง",C14)),ISNUMBER(SEARCH("SlimLux",C14)),ISNUMBER(SEARCH("Velora",C14))),6,6.4)),3)</f>
        <v/>
      </c>
      <c r="U14" s="767">
        <f>ROUND(L14-D14,0)</f>
        <v/>
      </c>
      <c r="V14" s="659">
        <f>IF(D14="","",ROUND(D14+rate_anodize*S14,0))</f>
        <v/>
      </c>
    </row>
    <row r="15">
      <c r="A15" s="395" t="inlineStr">
        <is>
          <t>B20046</t>
        </is>
      </c>
      <c r="B15" s="393" t="inlineStr">
        <is>
          <t>ตัวต่อมัลติพ้อยท์ล็อค (ชนกลางบานเลื่อน)</t>
        </is>
      </c>
      <c r="C15" s="393" t="inlineStr">
        <is>
          <t>อลูมิเนียม sms</t>
        </is>
      </c>
      <c r="D15" s="399" t="n">
        <v>240</v>
      </c>
      <c r="E15" s="399" t="n">
        <v>260</v>
      </c>
      <c r="F15" s="399">
        <f>E15</f>
        <v/>
      </c>
      <c r="G15" s="399" t="n"/>
      <c r="H15" s="399" t="n">
        <v>380</v>
      </c>
      <c r="I15" s="399" t="n"/>
      <c r="J15" s="399" t="n"/>
      <c r="K15" s="676">
        <f>IF(ISNUMBER(SEARCH("เมืองทอง",C15)),mult_mtong,IF(ISNUMBER(SEARCH("SlimLux",C15)),mult_slim,IF(ISNUMBER(SEARCH("Velora",C15)),mult_velora,IF(ISNUMBER(SEARCH("Fuji",C15)),mult_euro,mult_sms))))</f>
        <v/>
      </c>
      <c r="L15" s="659">
        <f>ROUND(D15*K15,0)</f>
        <v/>
      </c>
      <c r="M15" s="659">
        <f>IF(E15="",ROUND(L15+'อัปเดตราคาอลู'!$B$13*S15,0),ROUND(E15*K15,0))</f>
        <v/>
      </c>
      <c r="N15" s="659">
        <f>M15</f>
        <v/>
      </c>
      <c r="O15" s="659">
        <f>IF(G15="",ROUND(L15+rate_special*S15,0),ROUND(G15*mult_euro,0))</f>
        <v/>
      </c>
      <c r="P15" s="659">
        <f>IF(H15="",ROUND(L15+rate_woodbake*S15,0),ROUND(H15*mult_wood,0))</f>
        <v/>
      </c>
      <c r="Q15" s="659">
        <f>IF(I15="",ROUND(L15+rate_woodbake*S15,0),ROUND(I15*mult_wood,0))</f>
        <v/>
      </c>
      <c r="R15" s="659">
        <f>IF(J15="",ROUND(L15+rate_woodbake*S15,0),ROUND(J15*mult_wood,0))</f>
        <v/>
      </c>
      <c r="S15" s="705">
        <f>ROUND(D15/(IF(ISNUMBER(SEARCH("เมืองทอง",C15)),'อัปเดตราคาอลู'!$F$8,IF(ISNUMBER(SEARCH("SlimLux",C15)),'อัปเดตราคาอลู'!$F$6,IF(ISNUMBER(SEARCH("Velora",C15)),'อัปเดตราคาอลู'!$F$7,IF(ISNUMBER(SEARCH("Fuji",C15)),'อัปเดตราคาอลู'!$F$5,'อัปเดตราคาอลู'!$F$4))))),3)</f>
        <v/>
      </c>
      <c r="T15" s="705">
        <f>ROUND(P15/(IF(OR(ISNUMBER(SEARCH("เมืองทอง",C15)),ISNUMBER(SEARCH("SlimLux",C15)),ISNUMBER(SEARCH("Velora",C15))),6,6.4)),3)</f>
        <v/>
      </c>
      <c r="U15" s="767">
        <f>ROUND(L15-D15,0)</f>
        <v/>
      </c>
      <c r="V15" s="659">
        <f>IF(D15="","",ROUND(D15+rate_anodize*S15,0))</f>
        <v/>
      </c>
    </row>
    <row r="16">
      <c r="A16" s="395" t="inlineStr">
        <is>
          <t>B20047</t>
        </is>
      </c>
      <c r="B16" s="393" t="inlineStr">
        <is>
          <t>เฟรมล่างบานเลื่อนภายใน 3 รางเสียบภายใน</t>
        </is>
      </c>
      <c r="C16" s="393" t="inlineStr">
        <is>
          <t>อลูมิเนียม sms</t>
        </is>
      </c>
      <c r="D16" s="399" t="n">
        <v>825</v>
      </c>
      <c r="E16" s="399" t="n">
        <v>895</v>
      </c>
      <c r="F16" s="399">
        <f>E16</f>
        <v/>
      </c>
      <c r="G16" s="399" t="n"/>
      <c r="H16" s="399" t="n">
        <v>1320</v>
      </c>
      <c r="I16" s="399" t="n"/>
      <c r="J16" s="399" t="n"/>
      <c r="K16" s="676">
        <f>IF(ISNUMBER(SEARCH("เมืองทอง",C16)),mult_mtong,IF(ISNUMBER(SEARCH("SlimLux",C16)),mult_slim,IF(ISNUMBER(SEARCH("Velora",C16)),mult_velora,IF(ISNUMBER(SEARCH("Fuji",C16)),mult_euro,mult_sms))))</f>
        <v/>
      </c>
      <c r="L16" s="659">
        <f>ROUND(D16*K16,0)</f>
        <v/>
      </c>
      <c r="M16" s="659">
        <f>IF(E16="",ROUND(L16+'อัปเดตราคาอลู'!$B$13*S16,0),ROUND(E16*K16,0))</f>
        <v/>
      </c>
      <c r="N16" s="659">
        <f>M16</f>
        <v/>
      </c>
      <c r="O16" s="659">
        <f>IF(G16="",ROUND(L16+rate_special*S16,0),ROUND(G16*mult_euro,0))</f>
        <v/>
      </c>
      <c r="P16" s="659">
        <f>IF(H16="",ROUND(L16+rate_woodbake*S16,0),ROUND(H16*mult_wood,0))</f>
        <v/>
      </c>
      <c r="Q16" s="659">
        <f>IF(I16="",ROUND(L16+rate_woodbake*S16,0),ROUND(I16*mult_wood,0))</f>
        <v/>
      </c>
      <c r="R16" s="659">
        <f>IF(J16="",ROUND(L16+rate_woodbake*S16,0),ROUND(J16*mult_wood,0))</f>
        <v/>
      </c>
      <c r="S16" s="705">
        <f>ROUND(D16/(IF(ISNUMBER(SEARCH("เมืองทอง",C16)),'อัปเดตราคาอลู'!$F$8,IF(ISNUMBER(SEARCH("SlimLux",C16)),'อัปเดตราคาอลู'!$F$6,IF(ISNUMBER(SEARCH("Velora",C16)),'อัปเดตราคาอลู'!$F$7,IF(ISNUMBER(SEARCH("Fuji",C16)),'อัปเดตราคาอลู'!$F$5,'อัปเดตราคาอลู'!$F$4))))),3)</f>
        <v/>
      </c>
      <c r="T16" s="705">
        <f>ROUND(P16/(IF(OR(ISNUMBER(SEARCH("เมืองทอง",C16)),ISNUMBER(SEARCH("SlimLux",C16)),ISNUMBER(SEARCH("Velora",C16))),6,6.4)),3)</f>
        <v/>
      </c>
      <c r="U16" s="767">
        <f>ROUND(L16-D16,0)</f>
        <v/>
      </c>
      <c r="V16" s="659">
        <f>IF(D16="","",ROUND(D16+rate_anodize*S16,0))</f>
        <v/>
      </c>
    </row>
    <row r="17">
      <c r="A17" s="395" t="inlineStr">
        <is>
          <t>B20050</t>
        </is>
      </c>
      <c r="B17" s="393" t="inlineStr">
        <is>
          <t>ฝาตบปิดรางภายใน</t>
        </is>
      </c>
      <c r="C17" s="393" t="inlineStr">
        <is>
          <t>อลูมิเนียม sms</t>
        </is>
      </c>
      <c r="D17" s="399" t="n">
        <v>145</v>
      </c>
      <c r="E17" s="399" t="n">
        <v>155</v>
      </c>
      <c r="F17" s="399">
        <f>E17</f>
        <v/>
      </c>
      <c r="G17" s="399" t="n"/>
      <c r="H17" s="399" t="n">
        <v>230</v>
      </c>
      <c r="I17" s="399" t="n"/>
      <c r="J17" s="399" t="n"/>
      <c r="K17" s="676">
        <f>IF(ISNUMBER(SEARCH("เมืองทอง",C17)),mult_mtong,IF(ISNUMBER(SEARCH("SlimLux",C17)),mult_slim,IF(ISNUMBER(SEARCH("Velora",C17)),mult_velora,IF(ISNUMBER(SEARCH("Fuji",C17)),mult_euro,mult_sms))))</f>
        <v/>
      </c>
      <c r="L17" s="659">
        <f>ROUND(D17*K17,0)</f>
        <v/>
      </c>
      <c r="M17" s="659">
        <f>IF(E17="",ROUND(L17+'อัปเดตราคาอลู'!$B$13*S17,0),ROUND(E17*K17,0))</f>
        <v/>
      </c>
      <c r="N17" s="659">
        <f>M17</f>
        <v/>
      </c>
      <c r="O17" s="659">
        <f>IF(G17="",ROUND(L17+rate_special*S17,0),ROUND(G17*mult_euro,0))</f>
        <v/>
      </c>
      <c r="P17" s="659">
        <f>IF(H17="",ROUND(L17+rate_woodbake*S17,0),ROUND(H17*mult_wood,0))</f>
        <v/>
      </c>
      <c r="Q17" s="659">
        <f>IF(I17="",ROUND(L17+rate_woodbake*S17,0),ROUND(I17*mult_wood,0))</f>
        <v/>
      </c>
      <c r="R17" s="659">
        <f>IF(J17="",ROUND(L17+rate_woodbake*S17,0),ROUND(J17*mult_wood,0))</f>
        <v/>
      </c>
      <c r="S17" s="705">
        <f>ROUND(D17/(IF(ISNUMBER(SEARCH("เมืองทอง",C17)),'อัปเดตราคาอลู'!$F$8,IF(ISNUMBER(SEARCH("SlimLux",C17)),'อัปเดตราคาอลู'!$F$6,IF(ISNUMBER(SEARCH("Velora",C17)),'อัปเดตราคาอลู'!$F$7,IF(ISNUMBER(SEARCH("Fuji",C17)),'อัปเดตราคาอลู'!$F$5,'อัปเดตราคาอลู'!$F$4))))),3)</f>
        <v/>
      </c>
      <c r="T17" s="705">
        <f>ROUND(P17/(IF(OR(ISNUMBER(SEARCH("เมืองทอง",C17)),ISNUMBER(SEARCH("SlimLux",C17)),ISNUMBER(SEARCH("Velora",C17))),6,6.4)),3)</f>
        <v/>
      </c>
      <c r="U17" s="767">
        <f>ROUND(L17-D17,0)</f>
        <v/>
      </c>
      <c r="V17" s="659">
        <f>IF(D17="","",ROUND(D17+rate_anodize*S17,0))</f>
        <v/>
      </c>
    </row>
    <row r="18">
      <c r="A18" s="395" t="inlineStr">
        <is>
          <t>B20051</t>
        </is>
      </c>
      <c r="B18" s="393" t="inlineStr">
        <is>
          <t>กรอบบานมัลติพ้อยท์ล็อค</t>
        </is>
      </c>
      <c r="C18" s="393" t="inlineStr">
        <is>
          <t>อลูมิเนียม sms</t>
        </is>
      </c>
      <c r="D18" s="399" t="n">
        <v>885</v>
      </c>
      <c r="E18" s="399" t="n">
        <v>965</v>
      </c>
      <c r="F18" s="399">
        <f>E18</f>
        <v/>
      </c>
      <c r="G18" s="399" t="n"/>
      <c r="H18" s="399" t="n">
        <v>1458</v>
      </c>
      <c r="I18" s="399" t="n"/>
      <c r="J18" s="399" t="n"/>
      <c r="K18" s="676">
        <f>IF(ISNUMBER(SEARCH("เมืองทอง",C18)),mult_mtong,IF(ISNUMBER(SEARCH("SlimLux",C18)),mult_slim,IF(ISNUMBER(SEARCH("Velora",C18)),mult_velora,IF(ISNUMBER(SEARCH("Fuji",C18)),mult_euro,mult_sms))))</f>
        <v/>
      </c>
      <c r="L18" s="659">
        <f>ROUND(D18*K18,0)</f>
        <v/>
      </c>
      <c r="M18" s="659">
        <f>IF(E18="",ROUND(L18+'อัปเดตราคาอลู'!$B$13*S18,0),ROUND(E18*K18,0))</f>
        <v/>
      </c>
      <c r="N18" s="659">
        <f>M18</f>
        <v/>
      </c>
      <c r="O18" s="659">
        <f>IF(G18="",ROUND(L18+rate_special*S18,0),ROUND(G18*mult_euro,0))</f>
        <v/>
      </c>
      <c r="P18" s="659">
        <f>IF(H18="",ROUND(L18+rate_woodbake*S18,0),ROUND(H18*mult_wood,0))</f>
        <v/>
      </c>
      <c r="Q18" s="659">
        <f>IF(I18="",ROUND(L18+rate_woodbake*S18,0),ROUND(I18*mult_wood,0))</f>
        <v/>
      </c>
      <c r="R18" s="659">
        <f>IF(J18="",ROUND(L18+rate_woodbake*S18,0),ROUND(J18*mult_wood,0))</f>
        <v/>
      </c>
      <c r="S18" s="705">
        <f>ROUND(D18/(IF(ISNUMBER(SEARCH("เมืองทอง",C18)),'อัปเดตราคาอลู'!$F$8,IF(ISNUMBER(SEARCH("SlimLux",C18)),'อัปเดตราคาอลู'!$F$6,IF(ISNUMBER(SEARCH("Velora",C18)),'อัปเดตราคาอลู'!$F$7,IF(ISNUMBER(SEARCH("Fuji",C18)),'อัปเดตราคาอลู'!$F$5,'อัปเดตราคาอลู'!$F$4))))),3)</f>
        <v/>
      </c>
      <c r="T18" s="705">
        <f>ROUND(P18/(IF(OR(ISNUMBER(SEARCH("เมืองทอง",C18)),ISNUMBER(SEARCH("SlimLux",C18)),ISNUMBER(SEARCH("Velora",C18))),6,6.4)),3)</f>
        <v/>
      </c>
      <c r="U18" s="767">
        <f>ROUND(L18-D18,0)</f>
        <v/>
      </c>
      <c r="V18" s="659">
        <f>IF(D18="","",ROUND(D18+rate_anodize*S18,0))</f>
        <v/>
      </c>
    </row>
    <row r="19">
      <c r="A19" s="395" t="inlineStr">
        <is>
          <t>B20053</t>
        </is>
      </c>
      <c r="B19" s="393" t="inlineStr">
        <is>
          <t>กรอบบานมัลติพ้อยท์ล็อคร่องปกติมีมือจับ</t>
        </is>
      </c>
      <c r="C19" s="393" t="inlineStr">
        <is>
          <t>อลูมิเนียม sms</t>
        </is>
      </c>
      <c r="D19" s="399" t="n">
        <v>1550</v>
      </c>
      <c r="E19" s="399" t="n">
        <v>1690</v>
      </c>
      <c r="F19" s="399">
        <f>E19</f>
        <v/>
      </c>
      <c r="G19" s="399" t="n"/>
      <c r="H19" s="399" t="n">
        <v>2480</v>
      </c>
      <c r="I19" s="399" t="n"/>
      <c r="J19" s="399" t="n"/>
      <c r="K19" s="676">
        <f>IF(ISNUMBER(SEARCH("เมืองทอง",C19)),mult_mtong,IF(ISNUMBER(SEARCH("SlimLux",C19)),mult_slim,IF(ISNUMBER(SEARCH("Velora",C19)),mult_velora,IF(ISNUMBER(SEARCH("Fuji",C19)),mult_euro,mult_sms))))</f>
        <v/>
      </c>
      <c r="L19" s="659">
        <f>ROUND(D19*K19,0)</f>
        <v/>
      </c>
      <c r="M19" s="659">
        <f>IF(E19="",ROUND(L19+'อัปเดตราคาอลู'!$B$13*S19,0),ROUND(E19*K19,0))</f>
        <v/>
      </c>
      <c r="N19" s="659">
        <f>M19</f>
        <v/>
      </c>
      <c r="O19" s="659">
        <f>IF(G19="",ROUND(L19+rate_special*S19,0),ROUND(G19*mult_euro,0))</f>
        <v/>
      </c>
      <c r="P19" s="659">
        <f>IF(H19="",ROUND(L19+rate_woodbake*S19,0),ROUND(H19*mult_wood,0))</f>
        <v/>
      </c>
      <c r="Q19" s="659">
        <f>IF(I19="",ROUND(L19+rate_woodbake*S19,0),ROUND(I19*mult_wood,0))</f>
        <v/>
      </c>
      <c r="R19" s="659">
        <f>IF(J19="",ROUND(L19+rate_woodbake*S19,0),ROUND(J19*mult_wood,0))</f>
        <v/>
      </c>
      <c r="S19" s="705">
        <f>ROUND(D19/(IF(ISNUMBER(SEARCH("เมืองทอง",C19)),'อัปเดตราคาอลู'!$F$8,IF(ISNUMBER(SEARCH("SlimLux",C19)),'อัปเดตราคาอลู'!$F$6,IF(ISNUMBER(SEARCH("Velora",C19)),'อัปเดตราคาอลู'!$F$7,IF(ISNUMBER(SEARCH("Fuji",C19)),'อัปเดตราคาอลู'!$F$5,'อัปเดตราคาอลู'!$F$4))))),3)</f>
        <v/>
      </c>
      <c r="T19" s="705">
        <f>ROUND(P19/(IF(OR(ISNUMBER(SEARCH("เมืองทอง",C19)),ISNUMBER(SEARCH("SlimLux",C19)),ISNUMBER(SEARCH("Velora",C19))),6,6.4)),3)</f>
        <v/>
      </c>
      <c r="U19" s="767">
        <f>ROUND(L19-D19,0)</f>
        <v/>
      </c>
      <c r="V19" s="659">
        <f>IF(D19="","",ROUND(D19+rate_anodize*S19,0))</f>
        <v/>
      </c>
    </row>
    <row r="20">
      <c r="A20" s="395" t="inlineStr">
        <is>
          <t>B20054</t>
        </is>
      </c>
      <c r="B20" s="393" t="inlineStr">
        <is>
          <t>ขวางล่างใส่ล้อตลับขวางบน/ขวางล่าง</t>
        </is>
      </c>
      <c r="C20" s="393" t="inlineStr">
        <is>
          <t>อลูมิเนียม sms</t>
        </is>
      </c>
      <c r="D20" s="399" t="n">
        <v>1060</v>
      </c>
      <c r="E20" s="399" t="n">
        <v>1155</v>
      </c>
      <c r="F20" s="399">
        <f>E20</f>
        <v/>
      </c>
      <c r="G20" s="399" t="n"/>
      <c r="H20" s="399" t="n">
        <v>1700</v>
      </c>
      <c r="I20" s="399" t="n"/>
      <c r="J20" s="399" t="n"/>
      <c r="K20" s="676">
        <f>IF(ISNUMBER(SEARCH("เมืองทอง",C20)),mult_mtong,IF(ISNUMBER(SEARCH("SlimLux",C20)),mult_slim,IF(ISNUMBER(SEARCH("Velora",C20)),mult_velora,IF(ISNUMBER(SEARCH("Fuji",C20)),mult_euro,mult_sms))))</f>
        <v/>
      </c>
      <c r="L20" s="659">
        <f>ROUND(D20*K20,0)</f>
        <v/>
      </c>
      <c r="M20" s="659">
        <f>IF(E20="",ROUND(L20+'อัปเดตราคาอลู'!$B$13*S20,0),ROUND(E20*K20,0))</f>
        <v/>
      </c>
      <c r="N20" s="659">
        <f>M20</f>
        <v/>
      </c>
      <c r="O20" s="659">
        <f>IF(G20="",ROUND(L20+rate_special*S20,0),ROUND(G20*mult_euro,0))</f>
        <v/>
      </c>
      <c r="P20" s="659">
        <f>IF(H20="",ROUND(L20+rate_woodbake*S20,0),ROUND(H20*mult_wood,0))</f>
        <v/>
      </c>
      <c r="Q20" s="659">
        <f>IF(I20="",ROUND(L20+rate_woodbake*S20,0),ROUND(I20*mult_wood,0))</f>
        <v/>
      </c>
      <c r="R20" s="659">
        <f>IF(J20="",ROUND(L20+rate_woodbake*S20,0),ROUND(J20*mult_wood,0))</f>
        <v/>
      </c>
      <c r="S20" s="705">
        <f>ROUND(D20/(IF(ISNUMBER(SEARCH("เมืองทอง",C20)),'อัปเดตราคาอลู'!$F$8,IF(ISNUMBER(SEARCH("SlimLux",C20)),'อัปเดตราคาอลู'!$F$6,IF(ISNUMBER(SEARCH("Velora",C20)),'อัปเดตราคาอลู'!$F$7,IF(ISNUMBER(SEARCH("Fuji",C20)),'อัปเดตราคาอลู'!$F$5,'อัปเดตราคาอลู'!$F$4))))),3)</f>
        <v/>
      </c>
      <c r="T20" s="705">
        <f>ROUND(P20/(IF(OR(ISNUMBER(SEARCH("เมืองทอง",C20)),ISNUMBER(SEARCH("SlimLux",C20)),ISNUMBER(SEARCH("Velora",C20))),6,6.4)),3)</f>
        <v/>
      </c>
      <c r="U20" s="767">
        <f>ROUND(L20-D20,0)</f>
        <v/>
      </c>
      <c r="V20" s="659">
        <f>IF(D20="","",ROUND(D20+rate_anodize*S20,0))</f>
        <v/>
      </c>
    </row>
    <row r="21">
      <c r="A21" s="395" t="inlineStr">
        <is>
          <t>B22001</t>
        </is>
      </c>
      <c r="B21" s="393" t="inlineStr">
        <is>
          <t>เฟรมบนบานเลื่อน 45 มม.</t>
        </is>
      </c>
      <c r="C21" s="393" t="inlineStr">
        <is>
          <t>อลูมิเนียม sms</t>
        </is>
      </c>
      <c r="D21" s="399" t="n">
        <v>1235</v>
      </c>
      <c r="E21" s="399" t="n">
        <v>1345</v>
      </c>
      <c r="F21" s="399">
        <f>E21</f>
        <v/>
      </c>
      <c r="G21" s="399" t="n"/>
      <c r="H21" s="399" t="n">
        <v>1650</v>
      </c>
      <c r="I21" s="399" t="n"/>
      <c r="J21" s="399" t="n"/>
      <c r="K21" s="676">
        <f>IF(ISNUMBER(SEARCH("เมืองทอง",C21)),mult_mtong,IF(ISNUMBER(SEARCH("SlimLux",C21)),mult_slim,IF(ISNUMBER(SEARCH("Velora",C21)),mult_velora,IF(ISNUMBER(SEARCH("Fuji",C21)),mult_euro,mult_sms))))</f>
        <v/>
      </c>
      <c r="L21" s="659">
        <f>ROUND(D21*K21,0)</f>
        <v/>
      </c>
      <c r="M21" s="659">
        <f>IF(E21="",ROUND(L21+'อัปเดตราคาอลู'!$B$13*S21,0),ROUND(E21*K21,0))</f>
        <v/>
      </c>
      <c r="N21" s="659">
        <f>M21</f>
        <v/>
      </c>
      <c r="O21" s="659">
        <f>IF(G21="",ROUND(L21+rate_special*S21,0),ROUND(G21*mult_euro,0))</f>
        <v/>
      </c>
      <c r="P21" s="659">
        <f>IF(H21="",ROUND(L21+rate_woodbake*S21,0),ROUND(H21*mult_wood,0))</f>
        <v/>
      </c>
      <c r="Q21" s="659">
        <f>IF(I21="",ROUND(L21+rate_woodbake*S21,0),ROUND(I21*mult_wood,0))</f>
        <v/>
      </c>
      <c r="R21" s="659">
        <f>IF(J21="",ROUND(L21+rate_woodbake*S21,0),ROUND(J21*mult_wood,0))</f>
        <v/>
      </c>
      <c r="S21" s="705">
        <f>ROUND(D21/(IF(ISNUMBER(SEARCH("เมืองทอง",C21)),'อัปเดตราคาอลู'!$F$8,IF(ISNUMBER(SEARCH("SlimLux",C21)),'อัปเดตราคาอลู'!$F$6,IF(ISNUMBER(SEARCH("Velora",C21)),'อัปเดตราคาอลู'!$F$7,IF(ISNUMBER(SEARCH("Fuji",C21)),'อัปเดตราคาอลู'!$F$5,'อัปเดตราคาอลู'!$F$4))))),3)</f>
        <v/>
      </c>
      <c r="T21" s="705">
        <f>ROUND(P21/(IF(OR(ISNUMBER(SEARCH("เมืองทอง",C21)),ISNUMBER(SEARCH("SlimLux",C21)),ISNUMBER(SEARCH("Velora",C21))),6,6.4)),3)</f>
        <v/>
      </c>
      <c r="U21" s="767">
        <f>ROUND(L21-D21,0)</f>
        <v/>
      </c>
      <c r="V21" s="659">
        <f>IF(D21="","",ROUND(D21+rate_anodize*S21,0))</f>
        <v/>
      </c>
    </row>
    <row r="22">
      <c r="A22" s="395" t="inlineStr">
        <is>
          <t>B22002</t>
        </is>
      </c>
      <c r="B22" s="393" t="inlineStr">
        <is>
          <t>เฟรมข้างบานเลื่อน 45 มม.</t>
        </is>
      </c>
      <c r="C22" s="393" t="inlineStr">
        <is>
          <t>อลูมิเนียม sms</t>
        </is>
      </c>
      <c r="D22" s="399" t="n">
        <v>1030</v>
      </c>
      <c r="E22" s="399" t="n">
        <v>1120</v>
      </c>
      <c r="F22" s="399">
        <f>E22</f>
        <v/>
      </c>
      <c r="G22" s="399" t="n"/>
      <c r="H22" s="399" t="n">
        <v>1451</v>
      </c>
      <c r="I22" s="399" t="n"/>
      <c r="J22" s="399" t="n"/>
      <c r="K22" s="676">
        <f>IF(ISNUMBER(SEARCH("เมืองทอง",C22)),mult_mtong,IF(ISNUMBER(SEARCH("SlimLux",C22)),mult_slim,IF(ISNUMBER(SEARCH("Velora",C22)),mult_velora,IF(ISNUMBER(SEARCH("Fuji",C22)),mult_euro,mult_sms))))</f>
        <v/>
      </c>
      <c r="L22" s="659">
        <f>ROUND(D22*K22,0)</f>
        <v/>
      </c>
      <c r="M22" s="659">
        <f>IF(E22="",ROUND(L22+'อัปเดตราคาอลู'!$B$13*S22,0),ROUND(E22*K22,0))</f>
        <v/>
      </c>
      <c r="N22" s="659">
        <f>M22</f>
        <v/>
      </c>
      <c r="O22" s="659">
        <f>IF(G22="",ROUND(L22+rate_special*S22,0),ROUND(G22*mult_euro,0))</f>
        <v/>
      </c>
      <c r="P22" s="659">
        <f>IF(H22="",ROUND(L22+rate_woodbake*S22,0),ROUND(H22*mult_wood,0))</f>
        <v/>
      </c>
      <c r="Q22" s="659">
        <f>IF(I22="",ROUND(L22+rate_woodbake*S22,0),ROUND(I22*mult_wood,0))</f>
        <v/>
      </c>
      <c r="R22" s="659">
        <f>IF(J22="",ROUND(L22+rate_woodbake*S22,0),ROUND(J22*mult_wood,0))</f>
        <v/>
      </c>
      <c r="S22" s="705">
        <f>ROUND(D22/(IF(ISNUMBER(SEARCH("เมืองทอง",C22)),'อัปเดตราคาอลู'!$F$8,IF(ISNUMBER(SEARCH("SlimLux",C22)),'อัปเดตราคาอลู'!$F$6,IF(ISNUMBER(SEARCH("Velora",C22)),'อัปเดตราคาอลู'!$F$7,IF(ISNUMBER(SEARCH("Fuji",C22)),'อัปเดตราคาอลู'!$F$5,'อัปเดตราคาอลู'!$F$4))))),3)</f>
        <v/>
      </c>
      <c r="T22" s="705">
        <f>ROUND(P22/(IF(OR(ISNUMBER(SEARCH("เมืองทอง",C22)),ISNUMBER(SEARCH("SlimLux",C22)),ISNUMBER(SEARCH("Velora",C22))),6,6.4)),3)</f>
        <v/>
      </c>
      <c r="U22" s="767">
        <f>ROUND(L22-D22,0)</f>
        <v/>
      </c>
      <c r="V22" s="659">
        <f>IF(D22="","",ROUND(D22+rate_anodize*S22,0))</f>
        <v/>
      </c>
    </row>
    <row r="23">
      <c r="A23" s="395" t="inlineStr">
        <is>
          <t>B22004</t>
        </is>
      </c>
      <c r="B23" s="393" t="inlineStr">
        <is>
          <t>คิ้วรางข้างตบร่อง</t>
        </is>
      </c>
      <c r="C23" s="393" t="inlineStr">
        <is>
          <t>อลูมิเนียม sms</t>
        </is>
      </c>
      <c r="D23" s="399" t="n">
        <v>305</v>
      </c>
      <c r="E23" s="399" t="n">
        <v>330</v>
      </c>
      <c r="F23" s="399">
        <f>E23</f>
        <v/>
      </c>
      <c r="G23" s="399" t="n"/>
      <c r="H23" s="399" t="n">
        <v>485</v>
      </c>
      <c r="I23" s="399" t="n"/>
      <c r="J23" s="399" t="n"/>
      <c r="K23" s="676">
        <f>IF(ISNUMBER(SEARCH("เมืองทอง",C23)),mult_mtong,IF(ISNUMBER(SEARCH("SlimLux",C23)),mult_slim,IF(ISNUMBER(SEARCH("Velora",C23)),mult_velora,IF(ISNUMBER(SEARCH("Fuji",C23)),mult_euro,mult_sms))))</f>
        <v/>
      </c>
      <c r="L23" s="659">
        <f>ROUND(D23*K23,0)</f>
        <v/>
      </c>
      <c r="M23" s="659">
        <f>IF(E23="",ROUND(L23+'อัปเดตราคาอลู'!$B$13*S23,0),ROUND(E23*K23,0))</f>
        <v/>
      </c>
      <c r="N23" s="659">
        <f>M23</f>
        <v/>
      </c>
      <c r="O23" s="659">
        <f>IF(G23="",ROUND(L23+rate_special*S23,0),ROUND(G23*mult_euro,0))</f>
        <v/>
      </c>
      <c r="P23" s="659">
        <f>IF(H23="",ROUND(L23+rate_woodbake*S23,0),ROUND(H23*mult_wood,0))</f>
        <v/>
      </c>
      <c r="Q23" s="659">
        <f>IF(I23="",ROUND(L23+rate_woodbake*S23,0),ROUND(I23*mult_wood,0))</f>
        <v/>
      </c>
      <c r="R23" s="659">
        <f>IF(J23="",ROUND(L23+rate_woodbake*S23,0),ROUND(J23*mult_wood,0))</f>
        <v/>
      </c>
      <c r="S23" s="705">
        <f>ROUND(D23/(IF(ISNUMBER(SEARCH("เมืองทอง",C23)),'อัปเดตราคาอลู'!$F$8,IF(ISNUMBER(SEARCH("SlimLux",C23)),'อัปเดตราคาอลู'!$F$6,IF(ISNUMBER(SEARCH("Velora",C23)),'อัปเดตราคาอลู'!$F$7,IF(ISNUMBER(SEARCH("Fuji",C23)),'อัปเดตราคาอลู'!$F$5,'อัปเดตราคาอลู'!$F$4))))),3)</f>
        <v/>
      </c>
      <c r="T23" s="705">
        <f>ROUND(P23/(IF(OR(ISNUMBER(SEARCH("เมืองทอง",C23)),ISNUMBER(SEARCH("SlimLux",C23)),ISNUMBER(SEARCH("Velora",C23))),6,6.4)),3)</f>
        <v/>
      </c>
      <c r="U23" s="767">
        <f>ROUND(L23-D23,0)</f>
        <v/>
      </c>
      <c r="V23" s="659">
        <f>IF(D23="","",ROUND(D23+rate_anodize*S23,0))</f>
        <v/>
      </c>
    </row>
    <row r="24">
      <c r="A24" s="395" t="inlineStr">
        <is>
          <t>B24001</t>
        </is>
      </c>
      <c r="B24" s="393" t="inlineStr">
        <is>
          <t>เฟรมบนบานเฟี้ยม</t>
        </is>
      </c>
      <c r="C24" s="393" t="inlineStr">
        <is>
          <t>อลูมิเนียม sms</t>
        </is>
      </c>
      <c r="D24" s="399" t="n">
        <v>2105</v>
      </c>
      <c r="E24" s="399" t="n">
        <v>2290</v>
      </c>
      <c r="F24" s="399">
        <f>E24</f>
        <v/>
      </c>
      <c r="G24" s="399" t="n"/>
      <c r="H24" s="399" t="n">
        <v>3590</v>
      </c>
      <c r="I24" s="399" t="n"/>
      <c r="J24" s="399" t="n"/>
      <c r="K24" s="676">
        <f>IF(ISNUMBER(SEARCH("เมืองทอง",C24)),mult_mtong,IF(ISNUMBER(SEARCH("SlimLux",C24)),mult_slim,IF(ISNUMBER(SEARCH("Velora",C24)),mult_velora,IF(ISNUMBER(SEARCH("Fuji",C24)),mult_euro,mult_sms))))</f>
        <v/>
      </c>
      <c r="L24" s="659">
        <f>ROUND(D24*K24,0)</f>
        <v/>
      </c>
      <c r="M24" s="659">
        <f>IF(E24="",ROUND(L24+'อัปเดตราคาอลู'!$B$13*S24,0),ROUND(E24*K24,0))</f>
        <v/>
      </c>
      <c r="N24" s="659">
        <f>M24</f>
        <v/>
      </c>
      <c r="O24" s="659">
        <f>IF(G24="",ROUND(L24+rate_special*S24,0),ROUND(G24*mult_euro,0))</f>
        <v/>
      </c>
      <c r="P24" s="659">
        <f>IF(H24="",ROUND(L24+rate_woodbake*S24,0),ROUND(H24*mult_wood,0))</f>
        <v/>
      </c>
      <c r="Q24" s="659">
        <f>IF(I24="",ROUND(L24+rate_woodbake*S24,0),ROUND(I24*mult_wood,0))</f>
        <v/>
      </c>
      <c r="R24" s="659">
        <f>IF(J24="",ROUND(L24+rate_woodbake*S24,0),ROUND(J24*mult_wood,0))</f>
        <v/>
      </c>
      <c r="S24" s="705">
        <f>ROUND(D24/(IF(ISNUMBER(SEARCH("เมืองทอง",C24)),'อัปเดตราคาอลู'!$F$8,IF(ISNUMBER(SEARCH("SlimLux",C24)),'อัปเดตราคาอลู'!$F$6,IF(ISNUMBER(SEARCH("Velora",C24)),'อัปเดตราคาอลู'!$F$7,IF(ISNUMBER(SEARCH("Fuji",C24)),'อัปเดตราคาอลู'!$F$5,'อัปเดตราคาอลู'!$F$4))))),3)</f>
        <v/>
      </c>
      <c r="T24" s="705">
        <f>ROUND(P24/(IF(OR(ISNUMBER(SEARCH("เมืองทอง",C24)),ISNUMBER(SEARCH("SlimLux",C24)),ISNUMBER(SEARCH("Velora",C24))),6,6.4)),3)</f>
        <v/>
      </c>
      <c r="U24" s="767">
        <f>ROUND(L24-D24,0)</f>
        <v/>
      </c>
      <c r="V24" s="659">
        <f>IF(D24="","",ROUND(D24+rate_anodize*S24,0))</f>
        <v/>
      </c>
    </row>
    <row r="25">
      <c r="A25" s="395" t="inlineStr">
        <is>
          <t>B24002</t>
        </is>
      </c>
      <c r="B25" s="393" t="inlineStr">
        <is>
          <t>คิ้วเฟรมบน</t>
        </is>
      </c>
      <c r="C25" s="393" t="inlineStr">
        <is>
          <t>อลูมิเนียม sms</t>
        </is>
      </c>
      <c r="D25" s="399" t="n">
        <v>320</v>
      </c>
      <c r="E25" s="399" t="n">
        <v>345</v>
      </c>
      <c r="F25" s="399">
        <f>E25</f>
        <v/>
      </c>
      <c r="G25" s="399" t="n"/>
      <c r="H25" s="399" t="n">
        <v>550</v>
      </c>
      <c r="I25" s="399" t="n"/>
      <c r="J25" s="399" t="n"/>
      <c r="K25" s="676">
        <f>IF(ISNUMBER(SEARCH("เมืองทอง",C25)),mult_mtong,IF(ISNUMBER(SEARCH("SlimLux",C25)),mult_slim,IF(ISNUMBER(SEARCH("Velora",C25)),mult_velora,IF(ISNUMBER(SEARCH("Fuji",C25)),mult_euro,mult_sms))))</f>
        <v/>
      </c>
      <c r="L25" s="659">
        <f>ROUND(D25*K25,0)</f>
        <v/>
      </c>
      <c r="M25" s="659">
        <f>IF(E25="",ROUND(L25+'อัปเดตราคาอลู'!$B$13*S25,0),ROUND(E25*K25,0))</f>
        <v/>
      </c>
      <c r="N25" s="659">
        <f>M25</f>
        <v/>
      </c>
      <c r="O25" s="659">
        <f>IF(G25="",ROUND(L25+rate_special*S25,0),ROUND(G25*mult_euro,0))</f>
        <v/>
      </c>
      <c r="P25" s="659">
        <f>IF(H25="",ROUND(L25+rate_woodbake*S25,0),ROUND(H25*mult_wood,0))</f>
        <v/>
      </c>
      <c r="Q25" s="659">
        <f>IF(I25="",ROUND(L25+rate_woodbake*S25,0),ROUND(I25*mult_wood,0))</f>
        <v/>
      </c>
      <c r="R25" s="659">
        <f>IF(J25="",ROUND(L25+rate_woodbake*S25,0),ROUND(J25*mult_wood,0))</f>
        <v/>
      </c>
      <c r="S25" s="705">
        <f>ROUND(D25/(IF(ISNUMBER(SEARCH("เมืองทอง",C25)),'อัปเดตราคาอลู'!$F$8,IF(ISNUMBER(SEARCH("SlimLux",C25)),'อัปเดตราคาอลู'!$F$6,IF(ISNUMBER(SEARCH("Velora",C25)),'อัปเดตราคาอลู'!$F$7,IF(ISNUMBER(SEARCH("Fuji",C25)),'อัปเดตราคาอลู'!$F$5,'อัปเดตราคาอลู'!$F$4))))),3)</f>
        <v/>
      </c>
      <c r="T25" s="705">
        <f>ROUND(P25/(IF(OR(ISNUMBER(SEARCH("เมืองทอง",C25)),ISNUMBER(SEARCH("SlimLux",C25)),ISNUMBER(SEARCH("Velora",C25))),6,6.4)),3)</f>
        <v/>
      </c>
      <c r="U25" s="767">
        <f>ROUND(L25-D25,0)</f>
        <v/>
      </c>
      <c r="V25" s="659">
        <f>IF(D25="","",ROUND(D25+rate_anodize*S25,0))</f>
        <v/>
      </c>
    </row>
    <row r="26">
      <c r="A26" s="395" t="inlineStr">
        <is>
          <t>B24003</t>
        </is>
      </c>
      <c r="B26" s="393" t="inlineStr">
        <is>
          <t>เฟรมล่างบานเฟี้ยม</t>
        </is>
      </c>
      <c r="C26" s="393" t="inlineStr">
        <is>
          <t>อลูมิเนียม sms</t>
        </is>
      </c>
      <c r="D26" s="399" t="n">
        <v>1455</v>
      </c>
      <c r="E26" s="399" t="n">
        <v>1585</v>
      </c>
      <c r="F26" s="399">
        <f>E26</f>
        <v/>
      </c>
      <c r="G26" s="399" t="n"/>
      <c r="H26" s="399" t="n">
        <v>2505</v>
      </c>
      <c r="I26" s="399" t="n"/>
      <c r="J26" s="399" t="n"/>
      <c r="K26" s="676">
        <f>IF(ISNUMBER(SEARCH("เมืองทอง",C26)),mult_mtong,IF(ISNUMBER(SEARCH("SlimLux",C26)),mult_slim,IF(ISNUMBER(SEARCH("Velora",C26)),mult_velora,IF(ISNUMBER(SEARCH("Fuji",C26)),mult_euro,mult_sms))))</f>
        <v/>
      </c>
      <c r="L26" s="659">
        <f>ROUND(D26*K26,0)</f>
        <v/>
      </c>
      <c r="M26" s="659">
        <f>IF(E26="",ROUND(L26+'อัปเดตราคาอลู'!$B$13*S26,0),ROUND(E26*K26,0))</f>
        <v/>
      </c>
      <c r="N26" s="659">
        <f>M26</f>
        <v/>
      </c>
      <c r="O26" s="659">
        <f>IF(G26="",ROUND(L26+rate_special*S26,0),ROUND(G26*mult_euro,0))</f>
        <v/>
      </c>
      <c r="P26" s="659">
        <f>IF(H26="",ROUND(L26+rate_woodbake*S26,0),ROUND(H26*mult_wood,0))</f>
        <v/>
      </c>
      <c r="Q26" s="659">
        <f>IF(I26="",ROUND(L26+rate_woodbake*S26,0),ROUND(I26*mult_wood,0))</f>
        <v/>
      </c>
      <c r="R26" s="659">
        <f>IF(J26="",ROUND(L26+rate_woodbake*S26,0),ROUND(J26*mult_wood,0))</f>
        <v/>
      </c>
      <c r="S26" s="705">
        <f>ROUND(D26/(IF(ISNUMBER(SEARCH("เมืองทอง",C26)),'อัปเดตราคาอลู'!$F$8,IF(ISNUMBER(SEARCH("SlimLux",C26)),'อัปเดตราคาอลู'!$F$6,IF(ISNUMBER(SEARCH("Velora",C26)),'อัปเดตราคาอลู'!$F$7,IF(ISNUMBER(SEARCH("Fuji",C26)),'อัปเดตราคาอลู'!$F$5,'อัปเดตราคาอลู'!$F$4))))),3)</f>
        <v/>
      </c>
      <c r="T26" s="705">
        <f>ROUND(P26/(IF(OR(ISNUMBER(SEARCH("เมืองทอง",C26)),ISNUMBER(SEARCH("SlimLux",C26)),ISNUMBER(SEARCH("Velora",C26))),6,6.4)),3)</f>
        <v/>
      </c>
      <c r="U26" s="767">
        <f>ROUND(L26-D26,0)</f>
        <v/>
      </c>
      <c r="V26" s="659">
        <f>IF(D26="","",ROUND(D26+rate_anodize*S26,0))</f>
        <v/>
      </c>
    </row>
    <row r="27">
      <c r="A27" s="395" t="inlineStr">
        <is>
          <t>B24004</t>
        </is>
      </c>
      <c r="B27" s="393" t="inlineStr">
        <is>
          <t>ตบธรณี</t>
        </is>
      </c>
      <c r="C27" s="393" t="inlineStr">
        <is>
          <t>อลูมิเนียม sms</t>
        </is>
      </c>
      <c r="D27" s="399" t="n">
        <v>570</v>
      </c>
      <c r="E27" s="399" t="n">
        <v>620</v>
      </c>
      <c r="F27" s="399">
        <f>E27</f>
        <v/>
      </c>
      <c r="G27" s="399" t="n"/>
      <c r="H27" s="399" t="n">
        <v>965</v>
      </c>
      <c r="I27" s="399" t="n"/>
      <c r="J27" s="399" t="n"/>
      <c r="K27" s="676">
        <f>IF(ISNUMBER(SEARCH("เมืองทอง",C27)),mult_mtong,IF(ISNUMBER(SEARCH("SlimLux",C27)),mult_slim,IF(ISNUMBER(SEARCH("Velora",C27)),mult_velora,IF(ISNUMBER(SEARCH("Fuji",C27)),mult_euro,mult_sms))))</f>
        <v/>
      </c>
      <c r="L27" s="659">
        <f>ROUND(D27*K27,0)</f>
        <v/>
      </c>
      <c r="M27" s="659">
        <f>IF(E27="",ROUND(L27+'อัปเดตราคาอลู'!$B$13*S27,0),ROUND(E27*K27,0))</f>
        <v/>
      </c>
      <c r="N27" s="659">
        <f>M27</f>
        <v/>
      </c>
      <c r="O27" s="659">
        <f>IF(G27="",ROUND(L27+rate_special*S27,0),ROUND(G27*mult_euro,0))</f>
        <v/>
      </c>
      <c r="P27" s="659">
        <f>IF(H27="",ROUND(L27+rate_woodbake*S27,0),ROUND(H27*mult_wood,0))</f>
        <v/>
      </c>
      <c r="Q27" s="659">
        <f>IF(I27="",ROUND(L27+rate_woodbake*S27,0),ROUND(I27*mult_wood,0))</f>
        <v/>
      </c>
      <c r="R27" s="659">
        <f>IF(J27="",ROUND(L27+rate_woodbake*S27,0),ROUND(J27*mult_wood,0))</f>
        <v/>
      </c>
      <c r="S27" s="705">
        <f>ROUND(D27/(IF(ISNUMBER(SEARCH("เมืองทอง",C27)),'อัปเดตราคาอลู'!$F$8,IF(ISNUMBER(SEARCH("SlimLux",C27)),'อัปเดตราคาอลู'!$F$6,IF(ISNUMBER(SEARCH("Velora",C27)),'อัปเดตราคาอลู'!$F$7,IF(ISNUMBER(SEARCH("Fuji",C27)),'อัปเดตราคาอลู'!$F$5,'อัปเดตราคาอลู'!$F$4))))),3)</f>
        <v/>
      </c>
      <c r="T27" s="705">
        <f>ROUND(P27/(IF(OR(ISNUMBER(SEARCH("เมืองทอง",C27)),ISNUMBER(SEARCH("SlimLux",C27)),ISNUMBER(SEARCH("Velora",C27))),6,6.4)),3)</f>
        <v/>
      </c>
      <c r="U27" s="767">
        <f>ROUND(L27-D27,0)</f>
        <v/>
      </c>
      <c r="V27" s="659">
        <f>IF(D27="","",ROUND(D27+rate_anodize*S27,0))</f>
        <v/>
      </c>
    </row>
    <row r="28">
      <c r="A28" s="395" t="inlineStr">
        <is>
          <t>B24005</t>
        </is>
      </c>
      <c r="B28" s="393" t="inlineStr">
        <is>
          <t>เฟรมข้างบานเฟี้ยม</t>
        </is>
      </c>
      <c r="C28" s="393" t="inlineStr">
        <is>
          <t>อลูมิเนียม sms</t>
        </is>
      </c>
      <c r="D28" s="399" t="n">
        <v>1000</v>
      </c>
      <c r="E28" s="399" t="n">
        <v>1085</v>
      </c>
      <c r="F28" s="399">
        <f>E28</f>
        <v/>
      </c>
      <c r="G28" s="399" t="n"/>
      <c r="H28" s="399" t="n">
        <v>1746</v>
      </c>
      <c r="I28" s="399" t="n"/>
      <c r="J28" s="399" t="n"/>
      <c r="K28" s="676">
        <f>IF(ISNUMBER(SEARCH("เมืองทอง",C28)),mult_mtong,IF(ISNUMBER(SEARCH("SlimLux",C28)),mult_slim,IF(ISNUMBER(SEARCH("Velora",C28)),mult_velora,IF(ISNUMBER(SEARCH("Fuji",C28)),mult_euro,mult_sms))))</f>
        <v/>
      </c>
      <c r="L28" s="659">
        <f>ROUND(D28*K28,0)</f>
        <v/>
      </c>
      <c r="M28" s="659">
        <f>IF(E28="",ROUND(L28+'อัปเดตราคาอลู'!$B$13*S28,0),ROUND(E28*K28,0))</f>
        <v/>
      </c>
      <c r="N28" s="659">
        <f>M28</f>
        <v/>
      </c>
      <c r="O28" s="659">
        <f>IF(G28="",ROUND(L28+rate_special*S28,0),ROUND(G28*mult_euro,0))</f>
        <v/>
      </c>
      <c r="P28" s="659">
        <f>IF(H28="",ROUND(L28+rate_woodbake*S28,0),ROUND(H28*mult_wood,0))</f>
        <v/>
      </c>
      <c r="Q28" s="659">
        <f>IF(I28="",ROUND(L28+rate_woodbake*S28,0),ROUND(I28*mult_wood,0))</f>
        <v/>
      </c>
      <c r="R28" s="659">
        <f>IF(J28="",ROUND(L28+rate_woodbake*S28,0),ROUND(J28*mult_wood,0))</f>
        <v/>
      </c>
      <c r="S28" s="705">
        <f>ROUND(D28/(IF(ISNUMBER(SEARCH("เมืองทอง",C28)),'อัปเดตราคาอลู'!$F$8,IF(ISNUMBER(SEARCH("SlimLux",C28)),'อัปเดตราคาอลู'!$F$6,IF(ISNUMBER(SEARCH("Velora",C28)),'อัปเดตราคาอลู'!$F$7,IF(ISNUMBER(SEARCH("Fuji",C28)),'อัปเดตราคาอลู'!$F$5,'อัปเดตราคาอลู'!$F$4))))),3)</f>
        <v/>
      </c>
      <c r="T28" s="705">
        <f>ROUND(P28/(IF(OR(ISNUMBER(SEARCH("เมืองทอง",C28)),ISNUMBER(SEARCH("SlimLux",C28)),ISNUMBER(SEARCH("Velora",C28))),6,6.4)),3)</f>
        <v/>
      </c>
      <c r="U28" s="767">
        <f>ROUND(L28-D28,0)</f>
        <v/>
      </c>
      <c r="V28" s="659">
        <f>IF(D28="","",ROUND(D28+rate_anodize*S28,0))</f>
        <v/>
      </c>
    </row>
    <row r="29">
      <c r="A29" s="395" t="inlineStr">
        <is>
          <t>B24006</t>
        </is>
      </c>
      <c r="B29" s="393" t="inlineStr">
        <is>
          <t>คิ้วเฟรมข้างประตู</t>
        </is>
      </c>
      <c r="C29" s="393" t="inlineStr">
        <is>
          <t>อลูมิเนียม sms</t>
        </is>
      </c>
      <c r="D29" s="399" t="n">
        <v>280</v>
      </c>
      <c r="E29" s="399" t="n">
        <v>305</v>
      </c>
      <c r="F29" s="399">
        <f>E29</f>
        <v/>
      </c>
      <c r="G29" s="399" t="n"/>
      <c r="H29" s="399" t="n">
        <v>500</v>
      </c>
      <c r="I29" s="399" t="n"/>
      <c r="J29" s="399" t="n"/>
      <c r="K29" s="676">
        <f>IF(ISNUMBER(SEARCH("เมืองทอง",C29)),mult_mtong,IF(ISNUMBER(SEARCH("SlimLux",C29)),mult_slim,IF(ISNUMBER(SEARCH("Velora",C29)),mult_velora,IF(ISNUMBER(SEARCH("Fuji",C29)),mult_euro,mult_sms))))</f>
        <v/>
      </c>
      <c r="L29" s="659">
        <f>ROUND(D29*K29,0)</f>
        <v/>
      </c>
      <c r="M29" s="659">
        <f>IF(E29="",ROUND(L29+'อัปเดตราคาอลู'!$B$13*S29,0),ROUND(E29*K29,0))</f>
        <v/>
      </c>
      <c r="N29" s="659">
        <f>M29</f>
        <v/>
      </c>
      <c r="O29" s="659">
        <f>IF(G29="",ROUND(L29+rate_special*S29,0),ROUND(G29*mult_euro,0))</f>
        <v/>
      </c>
      <c r="P29" s="659">
        <f>IF(H29="",ROUND(L29+rate_woodbake*S29,0),ROUND(H29*mult_wood,0))</f>
        <v/>
      </c>
      <c r="Q29" s="659">
        <f>IF(I29="",ROUND(L29+rate_woodbake*S29,0),ROUND(I29*mult_wood,0))</f>
        <v/>
      </c>
      <c r="R29" s="659">
        <f>IF(J29="",ROUND(L29+rate_woodbake*S29,0),ROUND(J29*mult_wood,0))</f>
        <v/>
      </c>
      <c r="S29" s="705">
        <f>ROUND(D29/(IF(ISNUMBER(SEARCH("เมืองทอง",C29)),'อัปเดตราคาอลู'!$F$8,IF(ISNUMBER(SEARCH("SlimLux",C29)),'อัปเดตราคาอลู'!$F$6,IF(ISNUMBER(SEARCH("Velora",C29)),'อัปเดตราคาอลู'!$F$7,IF(ISNUMBER(SEARCH("Fuji",C29)),'อัปเดตราคาอลู'!$F$5,'อัปเดตราคาอลู'!$F$4))))),3)</f>
        <v/>
      </c>
      <c r="T29" s="705">
        <f>ROUND(P29/(IF(OR(ISNUMBER(SEARCH("เมืองทอง",C29)),ISNUMBER(SEARCH("SlimLux",C29)),ISNUMBER(SEARCH("Velora",C29))),6,6.4)),3)</f>
        <v/>
      </c>
      <c r="U29" s="767">
        <f>ROUND(L29-D29,0)</f>
        <v/>
      </c>
      <c r="V29" s="659">
        <f>IF(D29="","",ROUND(D29+rate_anodize*S29,0))</f>
        <v/>
      </c>
    </row>
    <row r="30">
      <c r="A30" s="395" t="inlineStr">
        <is>
          <t>B24007</t>
        </is>
      </c>
      <c r="B30" s="393" t="inlineStr">
        <is>
          <t>เสาบานเฟี้ยม</t>
        </is>
      </c>
      <c r="C30" s="393" t="inlineStr">
        <is>
          <t>อลูมิเนียม sms</t>
        </is>
      </c>
      <c r="D30" s="399" t="n">
        <v>1210</v>
      </c>
      <c r="E30" s="399" t="n">
        <v>1320</v>
      </c>
      <c r="F30" s="399">
        <f>E30</f>
        <v/>
      </c>
      <c r="G30" s="399" t="n"/>
      <c r="H30" s="399" t="n">
        <v>1940</v>
      </c>
      <c r="I30" s="399" t="n"/>
      <c r="J30" s="399" t="n"/>
      <c r="K30" s="676">
        <f>IF(ISNUMBER(SEARCH("เมืองทอง",C30)),mult_mtong,IF(ISNUMBER(SEARCH("SlimLux",C30)),mult_slim,IF(ISNUMBER(SEARCH("Velora",C30)),mult_velora,IF(ISNUMBER(SEARCH("Fuji",C30)),mult_euro,mult_sms))))</f>
        <v/>
      </c>
      <c r="L30" s="659">
        <f>ROUND(D30*K30,0)</f>
        <v/>
      </c>
      <c r="M30" s="659">
        <f>IF(E30="",ROUND(L30+'อัปเดตราคาอลู'!$B$13*S30,0),ROUND(E30*K30,0))</f>
        <v/>
      </c>
      <c r="N30" s="659">
        <f>M30</f>
        <v/>
      </c>
      <c r="O30" s="659">
        <f>IF(G30="",ROUND(L30+rate_special*S30,0),ROUND(G30*mult_euro,0))</f>
        <v/>
      </c>
      <c r="P30" s="659">
        <f>IF(H30="",ROUND(L30+rate_woodbake*S30,0),ROUND(H30*mult_wood,0))</f>
        <v/>
      </c>
      <c r="Q30" s="659">
        <f>IF(I30="",ROUND(L30+rate_woodbake*S30,0),ROUND(I30*mult_wood,0))</f>
        <v/>
      </c>
      <c r="R30" s="659">
        <f>IF(J30="",ROUND(L30+rate_woodbake*S30,0),ROUND(J30*mult_wood,0))</f>
        <v/>
      </c>
      <c r="S30" s="705">
        <f>ROUND(D30/(IF(ISNUMBER(SEARCH("เมืองทอง",C30)),'อัปเดตราคาอลู'!$F$8,IF(ISNUMBER(SEARCH("SlimLux",C30)),'อัปเดตราคาอลู'!$F$6,IF(ISNUMBER(SEARCH("Velora",C30)),'อัปเดตราคาอลู'!$F$7,IF(ISNUMBER(SEARCH("Fuji",C30)),'อัปเดตราคาอลู'!$F$5,'อัปเดตราคาอลู'!$F$4))))),3)</f>
        <v/>
      </c>
      <c r="T30" s="705">
        <f>ROUND(P30/(IF(OR(ISNUMBER(SEARCH("เมืองทอง",C30)),ISNUMBER(SEARCH("SlimLux",C30)),ISNUMBER(SEARCH("Velora",C30))),6,6.4)),3)</f>
        <v/>
      </c>
      <c r="U30" s="767">
        <f>ROUND(L30-D30,0)</f>
        <v/>
      </c>
      <c r="V30" s="659">
        <f>IF(D30="","",ROUND(D30+rate_anodize*S30,0))</f>
        <v/>
      </c>
    </row>
    <row r="31">
      <c r="A31" s="395" t="inlineStr">
        <is>
          <t>B24008</t>
        </is>
      </c>
      <c r="B31" s="393" t="inlineStr">
        <is>
          <t>คิ้วตบกระจก 5-6 มม.</t>
        </is>
      </c>
      <c r="C31" s="393" t="inlineStr">
        <is>
          <t>อลูมิเนียม sms</t>
        </is>
      </c>
      <c r="D31" s="399" t="n">
        <v>265</v>
      </c>
      <c r="E31" s="399" t="n">
        <v>285</v>
      </c>
      <c r="F31" s="399">
        <f>E31</f>
        <v/>
      </c>
      <c r="G31" s="399" t="n"/>
      <c r="H31" s="399" t="n">
        <v>460</v>
      </c>
      <c r="I31" s="399" t="n"/>
      <c r="J31" s="399" t="n"/>
      <c r="K31" s="676">
        <f>IF(ISNUMBER(SEARCH("เมืองทอง",C31)),mult_mtong,IF(ISNUMBER(SEARCH("SlimLux",C31)),mult_slim,IF(ISNUMBER(SEARCH("Velora",C31)),mult_velora,IF(ISNUMBER(SEARCH("Fuji",C31)),mult_euro,mult_sms))))</f>
        <v/>
      </c>
      <c r="L31" s="659">
        <f>ROUND(D31*K31,0)</f>
        <v/>
      </c>
      <c r="M31" s="659">
        <f>IF(E31="",ROUND(L31+'อัปเดตราคาอลู'!$B$13*S31,0),ROUND(E31*K31,0))</f>
        <v/>
      </c>
      <c r="N31" s="659">
        <f>M31</f>
        <v/>
      </c>
      <c r="O31" s="659">
        <f>IF(G31="",ROUND(L31+rate_special*S31,0),ROUND(G31*mult_euro,0))</f>
        <v/>
      </c>
      <c r="P31" s="659">
        <f>IF(H31="",ROUND(L31+rate_woodbake*S31,0),ROUND(H31*mult_wood,0))</f>
        <v/>
      </c>
      <c r="Q31" s="659">
        <f>IF(I31="",ROUND(L31+rate_woodbake*S31,0),ROUND(I31*mult_wood,0))</f>
        <v/>
      </c>
      <c r="R31" s="659">
        <f>IF(J31="",ROUND(L31+rate_woodbake*S31,0),ROUND(J31*mult_wood,0))</f>
        <v/>
      </c>
      <c r="S31" s="705">
        <f>ROUND(D31/(IF(ISNUMBER(SEARCH("เมืองทอง",C31)),'อัปเดตราคาอลู'!$F$8,IF(ISNUMBER(SEARCH("SlimLux",C31)),'อัปเดตราคาอลู'!$F$6,IF(ISNUMBER(SEARCH("Velora",C31)),'อัปเดตราคาอลู'!$F$7,IF(ISNUMBER(SEARCH("Fuji",C31)),'อัปเดตราคาอลู'!$F$5,'อัปเดตราคาอลู'!$F$4))))),3)</f>
        <v/>
      </c>
      <c r="T31" s="705">
        <f>ROUND(P31/(IF(OR(ISNUMBER(SEARCH("เมืองทอง",C31)),ISNUMBER(SEARCH("SlimLux",C31)),ISNUMBER(SEARCH("Velora",C31))),6,6.4)),3)</f>
        <v/>
      </c>
      <c r="U31" s="767">
        <f>ROUND(L31-D31,0)</f>
        <v/>
      </c>
      <c r="V31" s="659">
        <f>IF(D31="","",ROUND(D31+rate_anodize*S31,0))</f>
        <v/>
      </c>
    </row>
    <row r="32">
      <c r="A32" s="395" t="inlineStr">
        <is>
          <t>B24009</t>
        </is>
      </c>
      <c r="B32" s="393" t="inlineStr">
        <is>
          <t>บังใบเสาประตูบานเฟี้ยม</t>
        </is>
      </c>
      <c r="C32" s="393" t="inlineStr">
        <is>
          <t>อลูมิเนียม sms</t>
        </is>
      </c>
      <c r="D32" s="399" t="n">
        <v>270</v>
      </c>
      <c r="E32" s="399" t="n">
        <v>295</v>
      </c>
      <c r="F32" s="399">
        <f>E32</f>
        <v/>
      </c>
      <c r="G32" s="399" t="n"/>
      <c r="H32" s="399" t="n">
        <v>460</v>
      </c>
      <c r="I32" s="399" t="n"/>
      <c r="J32" s="399" t="n"/>
      <c r="K32" s="676">
        <f>IF(ISNUMBER(SEARCH("เมืองทอง",C32)),mult_mtong,IF(ISNUMBER(SEARCH("SlimLux",C32)),mult_slim,IF(ISNUMBER(SEARCH("Velora",C32)),mult_velora,IF(ISNUMBER(SEARCH("Fuji",C32)),mult_euro,mult_sms))))</f>
        <v/>
      </c>
      <c r="L32" s="659">
        <f>ROUND(D32*K32,0)</f>
        <v/>
      </c>
      <c r="M32" s="659">
        <f>IF(E32="",ROUND(L32+'อัปเดตราคาอลู'!$B$13*S32,0),ROUND(E32*K32,0))</f>
        <v/>
      </c>
      <c r="N32" s="659">
        <f>M32</f>
        <v/>
      </c>
      <c r="O32" s="659">
        <f>IF(G32="",ROUND(L32+rate_special*S32,0),ROUND(G32*mult_euro,0))</f>
        <v/>
      </c>
      <c r="P32" s="659">
        <f>IF(H32="",ROUND(L32+rate_woodbake*S32,0),ROUND(H32*mult_wood,0))</f>
        <v/>
      </c>
      <c r="Q32" s="659">
        <f>IF(I32="",ROUND(L32+rate_woodbake*S32,0),ROUND(I32*mult_wood,0))</f>
        <v/>
      </c>
      <c r="R32" s="659">
        <f>IF(J32="",ROUND(L32+rate_woodbake*S32,0),ROUND(J32*mult_wood,0))</f>
        <v/>
      </c>
      <c r="S32" s="705">
        <f>ROUND(D32/(IF(ISNUMBER(SEARCH("เมืองทอง",C32)),'อัปเดตราคาอลู'!$F$8,IF(ISNUMBER(SEARCH("SlimLux",C32)),'อัปเดตราคาอลู'!$F$6,IF(ISNUMBER(SEARCH("Velora",C32)),'อัปเดตราคาอลู'!$F$7,IF(ISNUMBER(SEARCH("Fuji",C32)),'อัปเดตราคาอลู'!$F$5,'อัปเดตราคาอลู'!$F$4))))),3)</f>
        <v/>
      </c>
      <c r="T32" s="705">
        <f>ROUND(P32/(IF(OR(ISNUMBER(SEARCH("เมืองทอง",C32)),ISNUMBER(SEARCH("SlimLux",C32)),ISNUMBER(SEARCH("Velora",C32))),6,6.4)),3)</f>
        <v/>
      </c>
      <c r="U32" s="767">
        <f>ROUND(L32-D32,0)</f>
        <v/>
      </c>
      <c r="V32" s="659">
        <f>IF(D32="","",ROUND(D32+rate_anodize*S32,0))</f>
        <v/>
      </c>
    </row>
    <row r="33">
      <c r="A33" s="395" t="inlineStr">
        <is>
          <t>B24017</t>
        </is>
      </c>
      <c r="B33" s="393" t="inlineStr">
        <is>
          <t>รางยู sms</t>
        </is>
      </c>
      <c r="C33" s="393" t="inlineStr">
        <is>
          <t>อลูมิเนียม sms</t>
        </is>
      </c>
      <c r="D33" s="399" t="n">
        <v>305</v>
      </c>
      <c r="E33" s="399" t="n">
        <v>330</v>
      </c>
      <c r="F33" s="399">
        <f>E33</f>
        <v/>
      </c>
      <c r="G33" s="399" t="n"/>
      <c r="H33" s="399" t="n">
        <v>485</v>
      </c>
      <c r="I33" s="399" t="n"/>
      <c r="J33" s="399" t="n"/>
      <c r="K33" s="676">
        <f>IF(ISNUMBER(SEARCH("เมืองทอง",C33)),mult_mtong,IF(ISNUMBER(SEARCH("SlimLux",C33)),mult_slim,IF(ISNUMBER(SEARCH("Velora",C33)),mult_velora,IF(ISNUMBER(SEARCH("Fuji",C33)),mult_euro,mult_sms))))</f>
        <v/>
      </c>
      <c r="L33" s="659">
        <f>ROUND(D33*K33,0)</f>
        <v/>
      </c>
      <c r="M33" s="659">
        <f>IF(E33="",ROUND(L33+'อัปเดตราคาอลู'!$B$13*S33,0),ROUND(E33*K33,0))</f>
        <v/>
      </c>
      <c r="N33" s="659">
        <f>M33</f>
        <v/>
      </c>
      <c r="O33" s="659">
        <f>IF(G33="",ROUND(L33+rate_special*S33,0),ROUND(G33*mult_euro,0))</f>
        <v/>
      </c>
      <c r="P33" s="659">
        <f>IF(H33="",ROUND(L33+rate_woodbake*S33,0),ROUND(H33*mult_wood,0))</f>
        <v/>
      </c>
      <c r="Q33" s="659">
        <f>IF(I33="",ROUND(L33+rate_woodbake*S33,0),ROUND(I33*mult_wood,0))</f>
        <v/>
      </c>
      <c r="R33" s="659">
        <f>IF(J33="",ROUND(L33+rate_woodbake*S33,0),ROUND(J33*mult_wood,0))</f>
        <v/>
      </c>
      <c r="S33" s="705">
        <f>ROUND(D33/(IF(ISNUMBER(SEARCH("เมืองทอง",C33)),'อัปเดตราคาอลู'!$F$8,IF(ISNUMBER(SEARCH("SlimLux",C33)),'อัปเดตราคาอลู'!$F$6,IF(ISNUMBER(SEARCH("Velora",C33)),'อัปเดตราคาอลู'!$F$7,IF(ISNUMBER(SEARCH("Fuji",C33)),'อัปเดตราคาอลู'!$F$5,'อัปเดตราคาอลู'!$F$4))))),3)</f>
        <v/>
      </c>
      <c r="T33" s="705">
        <f>ROUND(P33/(IF(OR(ISNUMBER(SEARCH("เมืองทอง",C33)),ISNUMBER(SEARCH("SlimLux",C33)),ISNUMBER(SEARCH("Velora",C33))),6,6.4)),3)</f>
        <v/>
      </c>
      <c r="U33" s="767">
        <f>ROUND(L33-D33,0)</f>
        <v/>
      </c>
      <c r="V33" s="659">
        <f>IF(D33="","",ROUND(D33+rate_anodize*S33,0))</f>
        <v/>
      </c>
    </row>
    <row r="34">
      <c r="A34" s="395" t="inlineStr">
        <is>
          <t>B24018</t>
        </is>
      </c>
      <c r="B34" s="393" t="inlineStr">
        <is>
          <t>รางบานเฟี้ยมภายใน sms</t>
        </is>
      </c>
      <c r="C34" s="393" t="inlineStr">
        <is>
          <t>อลูมิเนียม sms</t>
        </is>
      </c>
      <c r="D34" s="399" t="n">
        <v>905</v>
      </c>
      <c r="E34" s="399" t="n">
        <v>985</v>
      </c>
      <c r="F34" s="399">
        <f>E34</f>
        <v/>
      </c>
      <c r="G34" s="399" t="n"/>
      <c r="H34" s="399" t="n">
        <v>1445</v>
      </c>
      <c r="I34" s="399" t="n"/>
      <c r="J34" s="399" t="n"/>
      <c r="K34" s="676">
        <f>IF(ISNUMBER(SEARCH("เมืองทอง",C34)),mult_mtong,IF(ISNUMBER(SEARCH("SlimLux",C34)),mult_slim,IF(ISNUMBER(SEARCH("Velora",C34)),mult_velora,IF(ISNUMBER(SEARCH("Fuji",C34)),mult_euro,mult_sms))))</f>
        <v/>
      </c>
      <c r="L34" s="659">
        <f>ROUND(D34*K34,0)</f>
        <v/>
      </c>
      <c r="M34" s="659">
        <f>IF(E34="",ROUND(L34+'อัปเดตราคาอลู'!$B$13*S34,0),ROUND(E34*K34,0))</f>
        <v/>
      </c>
      <c r="N34" s="659">
        <f>M34</f>
        <v/>
      </c>
      <c r="O34" s="659">
        <f>IF(G34="",ROUND(L34+rate_special*S34,0),ROUND(G34*mult_euro,0))</f>
        <v/>
      </c>
      <c r="P34" s="659">
        <f>IF(H34="",ROUND(L34+rate_woodbake*S34,0),ROUND(H34*mult_wood,0))</f>
        <v/>
      </c>
      <c r="Q34" s="659">
        <f>IF(I34="",ROUND(L34+rate_woodbake*S34,0),ROUND(I34*mult_wood,0))</f>
        <v/>
      </c>
      <c r="R34" s="659">
        <f>IF(J34="",ROUND(L34+rate_woodbake*S34,0),ROUND(J34*mult_wood,0))</f>
        <v/>
      </c>
      <c r="S34" s="705">
        <f>ROUND(D34/(IF(ISNUMBER(SEARCH("เมืองทอง",C34)),'อัปเดตราคาอลู'!$F$8,IF(ISNUMBER(SEARCH("SlimLux",C34)),'อัปเดตราคาอลู'!$F$6,IF(ISNUMBER(SEARCH("Velora",C34)),'อัปเดตราคาอลู'!$F$7,IF(ISNUMBER(SEARCH("Fuji",C34)),'อัปเดตราคาอลู'!$F$5,'อัปเดตราคาอลู'!$F$4))))),3)</f>
        <v/>
      </c>
      <c r="T34" s="705">
        <f>ROUND(P34/(IF(OR(ISNUMBER(SEARCH("เมืองทอง",C34)),ISNUMBER(SEARCH("SlimLux",C34)),ISNUMBER(SEARCH("Velora",C34))),6,6.4)),3)</f>
        <v/>
      </c>
      <c r="U34" s="767">
        <f>ROUND(L34-D34,0)</f>
        <v/>
      </c>
      <c r="V34" s="659">
        <f>IF(D34="","",ROUND(D34+rate_anodize*S34,0))</f>
        <v/>
      </c>
    </row>
    <row r="35">
      <c r="A35" s="395" t="inlineStr">
        <is>
          <t>B30006</t>
        </is>
      </c>
      <c r="B35" s="393" t="inlineStr">
        <is>
          <t>กรอบมุ้ง</t>
        </is>
      </c>
      <c r="C35" s="393" t="inlineStr">
        <is>
          <t>อลูมิเนียม sms</t>
        </is>
      </c>
      <c r="D35" s="399" t="n">
        <v>625</v>
      </c>
      <c r="E35" s="399" t="n">
        <v>680</v>
      </c>
      <c r="F35" s="399">
        <f>E35</f>
        <v/>
      </c>
      <c r="G35" s="399" t="n"/>
      <c r="H35" s="399" t="n">
        <v>1000</v>
      </c>
      <c r="I35" s="399" t="n"/>
      <c r="J35" s="399" t="n"/>
      <c r="K35" s="676">
        <f>IF(ISNUMBER(SEARCH("เมืองทอง",C35)),mult_mtong,IF(ISNUMBER(SEARCH("SlimLux",C35)),mult_slim,IF(ISNUMBER(SEARCH("Velora",C35)),mult_velora,IF(ISNUMBER(SEARCH("Fuji",C35)),mult_euro,mult_sms))))</f>
        <v/>
      </c>
      <c r="L35" s="659">
        <f>ROUND(D35*K35,0)</f>
        <v/>
      </c>
      <c r="M35" s="659">
        <f>IF(E35="",ROUND(L35+'อัปเดตราคาอลู'!$B$13*S35,0),ROUND(E35*K35,0))</f>
        <v/>
      </c>
      <c r="N35" s="659">
        <f>M35</f>
        <v/>
      </c>
      <c r="O35" s="659">
        <f>IF(G35="",ROUND(L35+rate_special*S35,0),ROUND(G35*mult_euro,0))</f>
        <v/>
      </c>
      <c r="P35" s="659">
        <f>IF(H35="",ROUND(L35+rate_woodbake*S35,0),ROUND(H35*mult_wood,0))</f>
        <v/>
      </c>
      <c r="Q35" s="659">
        <f>IF(I35="",ROUND(L35+rate_woodbake*S35,0),ROUND(I35*mult_wood,0))</f>
        <v/>
      </c>
      <c r="R35" s="659">
        <f>IF(J35="",ROUND(L35+rate_woodbake*S35,0),ROUND(J35*mult_wood,0))</f>
        <v/>
      </c>
      <c r="S35" s="705">
        <f>ROUND(D35/(IF(ISNUMBER(SEARCH("เมืองทอง",C35)),'อัปเดตราคาอลู'!$F$8,IF(ISNUMBER(SEARCH("SlimLux",C35)),'อัปเดตราคาอลู'!$F$6,IF(ISNUMBER(SEARCH("Velora",C35)),'อัปเดตราคาอลู'!$F$7,IF(ISNUMBER(SEARCH("Fuji",C35)),'อัปเดตราคาอลู'!$F$5,'อัปเดตราคาอลู'!$F$4))))),3)</f>
        <v/>
      </c>
      <c r="T35" s="705">
        <f>ROUND(P35/(IF(OR(ISNUMBER(SEARCH("เมืองทอง",C35)),ISNUMBER(SEARCH("SlimLux",C35)),ISNUMBER(SEARCH("Velora",C35))),6,6.4)),3)</f>
        <v/>
      </c>
      <c r="U35" s="767">
        <f>ROUND(L35-D35,0)</f>
        <v/>
      </c>
      <c r="V35" s="659">
        <f>IF(D35="","",ROUND(D35+rate_anodize*S35,0))</f>
        <v/>
      </c>
    </row>
    <row r="36">
      <c r="A36" s="395" t="inlineStr">
        <is>
          <t>F7976</t>
        </is>
      </c>
      <c r="B36" s="393" t="inlineStr">
        <is>
          <t>เฟรมบน-ล่างบานเลื่อน 3 ราง</t>
        </is>
      </c>
      <c r="C36" s="393" t="inlineStr">
        <is>
          <t>อลูมิเนียม Fuji</t>
        </is>
      </c>
      <c r="D36" s="399" t="n">
        <v>2310</v>
      </c>
      <c r="E36" s="399" t="n">
        <v>2475</v>
      </c>
      <c r="F36" s="399">
        <f>E36</f>
        <v/>
      </c>
      <c r="G36" s="399" t="n">
        <v>2500</v>
      </c>
      <c r="H36" s="399" t="n">
        <v>3350</v>
      </c>
      <c r="I36" s="399" t="n">
        <v>3485</v>
      </c>
      <c r="J36" s="399" t="n">
        <v>3460</v>
      </c>
      <c r="K36" s="676">
        <f>IF(ISNUMBER(SEARCH("เมืองทอง",C36)),mult_mtong,IF(ISNUMBER(SEARCH("SlimLux",C36)),mult_slim,IF(ISNUMBER(SEARCH("Velora",C36)),mult_velora,IF(ISNUMBER(SEARCH("Fuji",C36)),mult_euro,mult_sms))))</f>
        <v/>
      </c>
      <c r="L36" s="659">
        <f>ROUND(D36*K36,0)</f>
        <v/>
      </c>
      <c r="M36" s="659">
        <f>IF(E36="",ROUND(L36+'อัปเดตราคาอลู'!$B$13*S36,0),ROUND(E36*K36,0))</f>
        <v/>
      </c>
      <c r="N36" s="659">
        <f>M36</f>
        <v/>
      </c>
      <c r="O36" s="659">
        <f>IF(G36="",ROUND(L36+rate_special*S36,0),ROUND(G36*mult_euro,0))</f>
        <v/>
      </c>
      <c r="P36" s="659">
        <f>IF(H36="",ROUND(L36+rate_woodbake*S36,0),ROUND(H36*mult_wood,0))</f>
        <v/>
      </c>
      <c r="Q36" s="659">
        <f>IF(I36="",ROUND(L36+rate_woodbake*S36,0),ROUND(I36*mult_wood,0))</f>
        <v/>
      </c>
      <c r="R36" s="659">
        <f>IF(J36="",ROUND(L36+rate_woodbake*S36,0),ROUND(J36*mult_wood,0))</f>
        <v/>
      </c>
      <c r="S36" s="705">
        <f>ROUND(D36/(IF(ISNUMBER(SEARCH("เมืองทอง",C36)),'อัปเดตราคาอลู'!$F$8,IF(ISNUMBER(SEARCH("SlimLux",C36)),'อัปเดตราคาอลู'!$F$6,IF(ISNUMBER(SEARCH("Velora",C36)),'อัปเดตราคาอลู'!$F$7,IF(ISNUMBER(SEARCH("Fuji",C36)),'อัปเดตราคาอลู'!$F$5,'อัปเดตราคาอลู'!$F$4))))),3)</f>
        <v/>
      </c>
      <c r="T36" s="705">
        <f>ROUND(P36/(IF(OR(ISNUMBER(SEARCH("เมืองทอง",C36)),ISNUMBER(SEARCH("SlimLux",C36)),ISNUMBER(SEARCH("Velora",C36))),6,6.4)),3)</f>
        <v/>
      </c>
      <c r="U36" s="767">
        <f>ROUND(L36-D36,0)</f>
        <v/>
      </c>
      <c r="V36" s="659">
        <f>IF(D36="","",ROUND(D36+rate_anodize*S36,0))</f>
        <v/>
      </c>
    </row>
    <row r="37">
      <c r="A37" s="395" t="inlineStr">
        <is>
          <t>F7869</t>
        </is>
      </c>
      <c r="B37" s="393" t="inlineStr">
        <is>
          <t>เฟรมบน-ล่างบานเลื่อน 3 ราง (ตัวหนา)</t>
        </is>
      </c>
      <c r="C37" s="393" t="inlineStr">
        <is>
          <t>อลูมิเนียม Fuji</t>
        </is>
      </c>
      <c r="D37" s="399" t="n">
        <v>2780</v>
      </c>
      <c r="E37" s="399" t="n">
        <v>2980</v>
      </c>
      <c r="F37" s="399">
        <f>E37</f>
        <v/>
      </c>
      <c r="G37" s="399" t="n">
        <v>3010</v>
      </c>
      <c r="H37" s="399" t="n">
        <v>4005</v>
      </c>
      <c r="I37" s="399" t="n">
        <v>4195</v>
      </c>
      <c r="J37" s="399" t="n">
        <v>4165</v>
      </c>
      <c r="K37" s="676">
        <f>IF(ISNUMBER(SEARCH("เมืองทอง",C37)),mult_mtong,IF(ISNUMBER(SEARCH("SlimLux",C37)),mult_slim,IF(ISNUMBER(SEARCH("Velora",C37)),mult_velora,IF(ISNUMBER(SEARCH("Fuji",C37)),mult_euro,mult_sms))))</f>
        <v/>
      </c>
      <c r="L37" s="659">
        <f>ROUND(D37*K37,0)</f>
        <v/>
      </c>
      <c r="M37" s="659">
        <f>IF(E37="",ROUND(L37+'อัปเดตราคาอลู'!$B$13*S37,0),ROUND(E37*K37,0))</f>
        <v/>
      </c>
      <c r="N37" s="659">
        <f>M37</f>
        <v/>
      </c>
      <c r="O37" s="659">
        <f>IF(G37="",ROUND(L37+rate_special*S37,0),ROUND(G37*mult_euro,0))</f>
        <v/>
      </c>
      <c r="P37" s="659">
        <f>IF(H37="",ROUND(L37+rate_woodbake*S37,0),ROUND(H37*mult_wood,0))</f>
        <v/>
      </c>
      <c r="Q37" s="659">
        <f>IF(I37="",ROUND(L37+rate_woodbake*S37,0),ROUND(I37*mult_wood,0))</f>
        <v/>
      </c>
      <c r="R37" s="659">
        <f>IF(J37="",ROUND(L37+rate_woodbake*S37,0),ROUND(J37*mult_wood,0))</f>
        <v/>
      </c>
      <c r="S37" s="705">
        <f>ROUND(D37/(IF(ISNUMBER(SEARCH("เมืองทอง",C37)),'อัปเดตราคาอลู'!$F$8,IF(ISNUMBER(SEARCH("SlimLux",C37)),'อัปเดตราคาอลู'!$F$6,IF(ISNUMBER(SEARCH("Velora",C37)),'อัปเดตราคาอลู'!$F$7,IF(ISNUMBER(SEARCH("Fuji",C37)),'อัปเดตราคาอลู'!$F$5,'อัปเดตราคาอลู'!$F$4))))),3)</f>
        <v/>
      </c>
      <c r="T37" s="705">
        <f>ROUND(P37/(IF(OR(ISNUMBER(SEARCH("เมืองทอง",C37)),ISNUMBER(SEARCH("SlimLux",C37)),ISNUMBER(SEARCH("Velora",C37))),6,6.4)),3)</f>
        <v/>
      </c>
      <c r="U37" s="767">
        <f>ROUND(L37-D37,0)</f>
        <v/>
      </c>
      <c r="V37" s="659">
        <f>IF(D37="","",ROUND(D37+rate_anodize*S37,0))</f>
        <v/>
      </c>
    </row>
    <row r="38">
      <c r="A38" s="395" t="inlineStr">
        <is>
          <t>F7977</t>
        </is>
      </c>
      <c r="B38" s="393" t="inlineStr">
        <is>
          <t>เฟรมบน-ล่างบานเลื่อน 2 ราง</t>
        </is>
      </c>
      <c r="C38" s="393" t="inlineStr">
        <is>
          <t>อลูมิเนียม Fuji</t>
        </is>
      </c>
      <c r="D38" s="399" t="n">
        <v>1535</v>
      </c>
      <c r="E38" s="399" t="n">
        <v>1645</v>
      </c>
      <c r="F38" s="399">
        <f>E38</f>
        <v/>
      </c>
      <c r="G38" s="399" t="n">
        <v>1665</v>
      </c>
      <c r="H38" s="399" t="n">
        <v>2250</v>
      </c>
      <c r="I38" s="399" t="n">
        <v>2320</v>
      </c>
      <c r="J38" s="399" t="n">
        <v>2300</v>
      </c>
      <c r="K38" s="676">
        <f>IF(ISNUMBER(SEARCH("เมืองทอง",C38)),mult_mtong,IF(ISNUMBER(SEARCH("SlimLux",C38)),mult_slim,IF(ISNUMBER(SEARCH("Velora",C38)),mult_velora,IF(ISNUMBER(SEARCH("Fuji",C38)),mult_euro,mult_sms))))</f>
        <v/>
      </c>
      <c r="L38" s="659">
        <f>ROUND(D38*K38,0)</f>
        <v/>
      </c>
      <c r="M38" s="659">
        <f>IF(E38="",ROUND(L38+'อัปเดตราคาอลู'!$B$13*S38,0),ROUND(E38*K38,0))</f>
        <v/>
      </c>
      <c r="N38" s="659">
        <f>M38</f>
        <v/>
      </c>
      <c r="O38" s="659">
        <f>IF(G38="",ROUND(L38+rate_special*S38,0),ROUND(G38*mult_euro,0))</f>
        <v/>
      </c>
      <c r="P38" s="659">
        <f>IF(H38="",ROUND(L38+rate_woodbake*S38,0),ROUND(H38*mult_wood,0))</f>
        <v/>
      </c>
      <c r="Q38" s="659">
        <f>IF(I38="",ROUND(L38+rate_woodbake*S38,0),ROUND(I38*mult_wood,0))</f>
        <v/>
      </c>
      <c r="R38" s="659">
        <f>IF(J38="",ROUND(L38+rate_woodbake*S38,0),ROUND(J38*mult_wood,0))</f>
        <v/>
      </c>
      <c r="S38" s="705">
        <f>ROUND(D38/(IF(ISNUMBER(SEARCH("เมืองทอง",C38)),'อัปเดตราคาอลู'!$F$8,IF(ISNUMBER(SEARCH("SlimLux",C38)),'อัปเดตราคาอลู'!$F$6,IF(ISNUMBER(SEARCH("Velora",C38)),'อัปเดตราคาอลู'!$F$7,IF(ISNUMBER(SEARCH("Fuji",C38)),'อัปเดตราคาอลู'!$F$5,'อัปเดตราคาอลู'!$F$4))))),3)</f>
        <v/>
      </c>
      <c r="T38" s="705">
        <f>ROUND(P38/(IF(OR(ISNUMBER(SEARCH("เมืองทอง",C38)),ISNUMBER(SEARCH("SlimLux",C38)),ISNUMBER(SEARCH("Velora",C38))),6,6.4)),3)</f>
        <v/>
      </c>
      <c r="U38" s="767">
        <f>ROUND(L38-D38,0)</f>
        <v/>
      </c>
      <c r="V38" s="659">
        <f>IF(D38="","",ROUND(D38+rate_anodize*S38,0))</f>
        <v/>
      </c>
    </row>
    <row r="39">
      <c r="A39" s="395" t="inlineStr">
        <is>
          <t>F7990</t>
        </is>
      </c>
      <c r="B39" s="393" t="inlineStr">
        <is>
          <t>ต่อเฟรมบน-ล่างบานเลื่อน</t>
        </is>
      </c>
      <c r="C39" s="393" t="inlineStr">
        <is>
          <t>อลูมิเนียม Fuji</t>
        </is>
      </c>
      <c r="D39" s="399" t="n">
        <v>1035</v>
      </c>
      <c r="E39" s="399" t="n">
        <v>1105</v>
      </c>
      <c r="F39" s="399">
        <f>E39</f>
        <v/>
      </c>
      <c r="G39" s="399" t="n">
        <v>1120</v>
      </c>
      <c r="H39" s="399" t="n">
        <v>1485</v>
      </c>
      <c r="I39" s="399" t="n">
        <v>1560</v>
      </c>
      <c r="J39" s="399" t="n">
        <v>1550</v>
      </c>
      <c r="K39" s="676">
        <f>IF(ISNUMBER(SEARCH("เมืองทอง",C39)),mult_mtong,IF(ISNUMBER(SEARCH("SlimLux",C39)),mult_slim,IF(ISNUMBER(SEARCH("Velora",C39)),mult_velora,IF(ISNUMBER(SEARCH("Fuji",C39)),mult_euro,mult_sms))))</f>
        <v/>
      </c>
      <c r="L39" s="659">
        <f>ROUND(D39*K39,0)</f>
        <v/>
      </c>
      <c r="M39" s="659">
        <f>IF(E39="",ROUND(L39+'อัปเดตราคาอลู'!$B$13*S39,0),ROUND(E39*K39,0))</f>
        <v/>
      </c>
      <c r="N39" s="659">
        <f>M39</f>
        <v/>
      </c>
      <c r="O39" s="659">
        <f>IF(G39="",ROUND(L39+rate_special*S39,0),ROUND(G39*mult_euro,0))</f>
        <v/>
      </c>
      <c r="P39" s="659">
        <f>IF(H39="",ROUND(L39+rate_woodbake*S39,0),ROUND(H39*mult_wood,0))</f>
        <v/>
      </c>
      <c r="Q39" s="659">
        <f>IF(I39="",ROUND(L39+rate_woodbake*S39,0),ROUND(I39*mult_wood,0))</f>
        <v/>
      </c>
      <c r="R39" s="659">
        <f>IF(J39="",ROUND(L39+rate_woodbake*S39,0),ROUND(J39*mult_wood,0))</f>
        <v/>
      </c>
      <c r="S39" s="705">
        <f>ROUND(D39/(IF(ISNUMBER(SEARCH("เมืองทอง",C39)),'อัปเดตราคาอลู'!$F$8,IF(ISNUMBER(SEARCH("SlimLux",C39)),'อัปเดตราคาอลู'!$F$6,IF(ISNUMBER(SEARCH("Velora",C39)),'อัปเดตราคาอลู'!$F$7,IF(ISNUMBER(SEARCH("Fuji",C39)),'อัปเดตราคาอลู'!$F$5,'อัปเดตราคาอลู'!$F$4))))),3)</f>
        <v/>
      </c>
      <c r="T39" s="705">
        <f>ROUND(P39/(IF(OR(ISNUMBER(SEARCH("เมืองทอง",C39)),ISNUMBER(SEARCH("SlimLux",C39)),ISNUMBER(SEARCH("Velora",C39))),6,6.4)),3)</f>
        <v/>
      </c>
      <c r="U39" s="767">
        <f>ROUND(L39-D39,0)</f>
        <v/>
      </c>
      <c r="V39" s="659">
        <f>IF(D39="","",ROUND(D39+rate_anodize*S39,0))</f>
        <v/>
      </c>
    </row>
    <row r="40">
      <c r="A40" s="395" t="inlineStr">
        <is>
          <t>F7902</t>
        </is>
      </c>
      <c r="B40" s="393" t="inlineStr">
        <is>
          <t>เฟรมล่างบานเลื่อน 3 ราง (ตัวเตี้ย)</t>
        </is>
      </c>
      <c r="C40" s="393" t="inlineStr">
        <is>
          <t>อลูมิเนียม Fuji</t>
        </is>
      </c>
      <c r="D40" s="399" t="n">
        <v>1225</v>
      </c>
      <c r="E40" s="399" t="n">
        <v>1315</v>
      </c>
      <c r="F40" s="399">
        <f>E40</f>
        <v/>
      </c>
      <c r="G40" s="399" t="n">
        <v>1325</v>
      </c>
      <c r="H40" s="399" t="n">
        <v>1795</v>
      </c>
      <c r="I40" s="399" t="n">
        <v>1850</v>
      </c>
      <c r="J40" s="399" t="n">
        <v>1835</v>
      </c>
      <c r="K40" s="676">
        <f>IF(ISNUMBER(SEARCH("เมืองทอง",C40)),mult_mtong,IF(ISNUMBER(SEARCH("SlimLux",C40)),mult_slim,IF(ISNUMBER(SEARCH("Velora",C40)),mult_velora,IF(ISNUMBER(SEARCH("Fuji",C40)),mult_euro,mult_sms))))</f>
        <v/>
      </c>
      <c r="L40" s="659">
        <f>ROUND(D40*K40,0)</f>
        <v/>
      </c>
      <c r="M40" s="659">
        <f>IF(E40="",ROUND(L40+'อัปเดตราคาอลู'!$B$13*S40,0),ROUND(E40*K40,0))</f>
        <v/>
      </c>
      <c r="N40" s="659">
        <f>M40</f>
        <v/>
      </c>
      <c r="O40" s="659">
        <f>IF(G40="",ROUND(L40+rate_special*S40,0),ROUND(G40*mult_euro,0))</f>
        <v/>
      </c>
      <c r="P40" s="659">
        <f>IF(H40="",ROUND(L40+rate_woodbake*S40,0),ROUND(H40*mult_wood,0))</f>
        <v/>
      </c>
      <c r="Q40" s="659">
        <f>IF(I40="",ROUND(L40+rate_woodbake*S40,0),ROUND(I40*mult_wood,0))</f>
        <v/>
      </c>
      <c r="R40" s="659">
        <f>IF(J40="",ROUND(L40+rate_woodbake*S40,0),ROUND(J40*mult_wood,0))</f>
        <v/>
      </c>
      <c r="S40" s="705">
        <f>ROUND(D40/(IF(ISNUMBER(SEARCH("เมืองทอง",C40)),'อัปเดตราคาอลู'!$F$8,IF(ISNUMBER(SEARCH("SlimLux",C40)),'อัปเดตราคาอลู'!$F$6,IF(ISNUMBER(SEARCH("Velora",C40)),'อัปเดตราคาอลู'!$F$7,IF(ISNUMBER(SEARCH("Fuji",C40)),'อัปเดตราคาอลู'!$F$5,'อัปเดตราคาอลู'!$F$4))))),3)</f>
        <v/>
      </c>
      <c r="T40" s="705">
        <f>ROUND(P40/(IF(OR(ISNUMBER(SEARCH("เมืองทอง",C40)),ISNUMBER(SEARCH("SlimLux",C40)),ISNUMBER(SEARCH("Velora",C40))),6,6.4)),3)</f>
        <v/>
      </c>
      <c r="U40" s="767">
        <f>ROUND(L40-D40,0)</f>
        <v/>
      </c>
      <c r="V40" s="659">
        <f>IF(D40="","",ROUND(D40+rate_anodize*S40,0))</f>
        <v/>
      </c>
    </row>
    <row r="41">
      <c r="A41" s="395" t="inlineStr">
        <is>
          <t>F7978</t>
        </is>
      </c>
      <c r="B41" s="393" t="inlineStr">
        <is>
          <t>เฟรมข้างบานเลื่อน 3 ราง</t>
        </is>
      </c>
      <c r="C41" s="393" t="inlineStr">
        <is>
          <t>อลูมิเนียม Fuji</t>
        </is>
      </c>
      <c r="D41" s="399" t="n">
        <v>860</v>
      </c>
      <c r="E41" s="399" t="n">
        <v>925</v>
      </c>
      <c r="F41" s="399">
        <f>E41</f>
        <v/>
      </c>
      <c r="G41" s="399" t="n">
        <v>935</v>
      </c>
      <c r="H41" s="399" t="n">
        <v>1395</v>
      </c>
      <c r="I41" s="399" t="n">
        <v>1300</v>
      </c>
      <c r="J41" s="399" t="n">
        <v>1290</v>
      </c>
      <c r="K41" s="676">
        <f>IF(ISNUMBER(SEARCH("เมืองทอง",C41)),mult_mtong,IF(ISNUMBER(SEARCH("SlimLux",C41)),mult_slim,IF(ISNUMBER(SEARCH("Velora",C41)),mult_velora,IF(ISNUMBER(SEARCH("Fuji",C41)),mult_euro,mult_sms))))</f>
        <v/>
      </c>
      <c r="L41" s="659">
        <f>ROUND(D41*K41,0)</f>
        <v/>
      </c>
      <c r="M41" s="659">
        <f>IF(E41="",ROUND(L41+'อัปเดตราคาอลู'!$B$13*S41,0),ROUND(E41*K41,0))</f>
        <v/>
      </c>
      <c r="N41" s="659">
        <f>M41</f>
        <v/>
      </c>
      <c r="O41" s="659">
        <f>IF(G41="",ROUND(L41+rate_special*S41,0),ROUND(G41*mult_euro,0))</f>
        <v/>
      </c>
      <c r="P41" s="659">
        <f>IF(H41="",ROUND(L41+rate_woodbake*S41,0),ROUND(H41*mult_wood,0))</f>
        <v/>
      </c>
      <c r="Q41" s="659">
        <f>IF(I41="",ROUND(L41+rate_woodbake*S41,0),ROUND(I41*mult_wood,0))</f>
        <v/>
      </c>
      <c r="R41" s="659">
        <f>IF(J41="",ROUND(L41+rate_woodbake*S41,0),ROUND(J41*mult_wood,0))</f>
        <v/>
      </c>
      <c r="S41" s="705">
        <f>ROUND(D41/(IF(ISNUMBER(SEARCH("เมืองทอง",C41)),'อัปเดตราคาอลู'!$F$8,IF(ISNUMBER(SEARCH("SlimLux",C41)),'อัปเดตราคาอลู'!$F$6,IF(ISNUMBER(SEARCH("Velora",C41)),'อัปเดตราคาอลู'!$F$7,IF(ISNUMBER(SEARCH("Fuji",C41)),'อัปเดตราคาอลู'!$F$5,'อัปเดตราคาอลู'!$F$4))))),3)</f>
        <v/>
      </c>
      <c r="T41" s="705">
        <f>ROUND(P41/(IF(OR(ISNUMBER(SEARCH("เมืองทอง",C41)),ISNUMBER(SEARCH("SlimLux",C41)),ISNUMBER(SEARCH("Velora",C41))),6,6.4)),3)</f>
        <v/>
      </c>
      <c r="U41" s="767">
        <f>ROUND(L41-D41,0)</f>
        <v/>
      </c>
      <c r="V41" s="659">
        <f>IF(D41="","",ROUND(D41+rate_anodize*S41,0))</f>
        <v/>
      </c>
    </row>
    <row r="42">
      <c r="A42" s="395" t="inlineStr">
        <is>
          <t>F7870</t>
        </is>
      </c>
      <c r="B42" s="393" t="inlineStr">
        <is>
          <t>เฟรมข้างบานเลื่อน 3 ราง (ตัวหนา)</t>
        </is>
      </c>
      <c r="C42" s="393" t="inlineStr">
        <is>
          <t>อลูมิเนียม Fuji</t>
        </is>
      </c>
      <c r="D42" s="399" t="n">
        <v>1115</v>
      </c>
      <c r="E42" s="399" t="n">
        <v>1195</v>
      </c>
      <c r="F42" s="399">
        <f>E42</f>
        <v/>
      </c>
      <c r="G42" s="399" t="n">
        <v>1210</v>
      </c>
      <c r="H42" s="399" t="n">
        <v>1635</v>
      </c>
      <c r="I42" s="399" t="n">
        <v>1685</v>
      </c>
      <c r="J42" s="399" t="n">
        <v>1670</v>
      </c>
      <c r="K42" s="676">
        <f>IF(ISNUMBER(SEARCH("เมืองทอง",C42)),mult_mtong,IF(ISNUMBER(SEARCH("SlimLux",C42)),mult_slim,IF(ISNUMBER(SEARCH("Velora",C42)),mult_velora,IF(ISNUMBER(SEARCH("Fuji",C42)),mult_euro,mult_sms))))</f>
        <v/>
      </c>
      <c r="L42" s="659">
        <f>ROUND(D42*K42,0)</f>
        <v/>
      </c>
      <c r="M42" s="659">
        <f>IF(E42="",ROUND(L42+'อัปเดตราคาอลู'!$B$13*S42,0),ROUND(E42*K42,0))</f>
        <v/>
      </c>
      <c r="N42" s="659">
        <f>M42</f>
        <v/>
      </c>
      <c r="O42" s="659">
        <f>IF(G42="",ROUND(L42+rate_special*S42,0),ROUND(G42*mult_euro,0))</f>
        <v/>
      </c>
      <c r="P42" s="659">
        <f>IF(H42="",ROUND(L42+rate_woodbake*S42,0),ROUND(H42*mult_wood,0))</f>
        <v/>
      </c>
      <c r="Q42" s="659">
        <f>IF(I42="",ROUND(L42+rate_woodbake*S42,0),ROUND(I42*mult_wood,0))</f>
        <v/>
      </c>
      <c r="R42" s="659">
        <f>IF(J42="",ROUND(L42+rate_woodbake*S42,0),ROUND(J42*mult_wood,0))</f>
        <v/>
      </c>
      <c r="S42" s="705">
        <f>ROUND(D42/(IF(ISNUMBER(SEARCH("เมืองทอง",C42)),'อัปเดตราคาอลู'!$F$8,IF(ISNUMBER(SEARCH("SlimLux",C42)),'อัปเดตราคาอลู'!$F$6,IF(ISNUMBER(SEARCH("Velora",C42)),'อัปเดตราคาอลู'!$F$7,IF(ISNUMBER(SEARCH("Fuji",C42)),'อัปเดตราคาอลู'!$F$5,'อัปเดตราคาอลู'!$F$4))))),3)</f>
        <v/>
      </c>
      <c r="T42" s="705">
        <f>ROUND(P42/(IF(OR(ISNUMBER(SEARCH("เมืองทอง",C42)),ISNUMBER(SEARCH("SlimLux",C42)),ISNUMBER(SEARCH("Velora",C42))),6,6.4)),3)</f>
        <v/>
      </c>
      <c r="U42" s="767">
        <f>ROUND(L42-D42,0)</f>
        <v/>
      </c>
      <c r="V42" s="659">
        <f>IF(D42="","",ROUND(D42+rate_anodize*S42,0))</f>
        <v/>
      </c>
    </row>
    <row r="43">
      <c r="A43" s="395" t="inlineStr">
        <is>
          <t>F7979</t>
        </is>
      </c>
      <c r="B43" s="393" t="inlineStr">
        <is>
          <t>เฟรมข้างบานเลื่อน 2 ราง</t>
        </is>
      </c>
      <c r="C43" s="393" t="inlineStr">
        <is>
          <t>อลูมิเนียม Fuji</t>
        </is>
      </c>
      <c r="D43" s="399" t="n">
        <v>695</v>
      </c>
      <c r="E43" s="399" t="n">
        <v>745</v>
      </c>
      <c r="F43" s="399">
        <f>E43</f>
        <v/>
      </c>
      <c r="G43" s="399" t="n">
        <v>750</v>
      </c>
      <c r="H43" s="399" t="n">
        <v>1030</v>
      </c>
      <c r="I43" s="399" t="n">
        <v>1050</v>
      </c>
      <c r="J43" s="399" t="n">
        <v>1040</v>
      </c>
      <c r="K43" s="676">
        <f>IF(ISNUMBER(SEARCH("เมืองทอง",C43)),mult_mtong,IF(ISNUMBER(SEARCH("SlimLux",C43)),mult_slim,IF(ISNUMBER(SEARCH("Velora",C43)),mult_velora,IF(ISNUMBER(SEARCH("Fuji",C43)),mult_euro,mult_sms))))</f>
        <v/>
      </c>
      <c r="L43" s="659">
        <f>ROUND(D43*K43,0)</f>
        <v/>
      </c>
      <c r="M43" s="659">
        <f>IF(E43="",ROUND(L43+'อัปเดตราคาอลู'!$B$13*S43,0),ROUND(E43*K43,0))</f>
        <v/>
      </c>
      <c r="N43" s="659">
        <f>M43</f>
        <v/>
      </c>
      <c r="O43" s="659">
        <f>IF(G43="",ROUND(L43+rate_special*S43,0),ROUND(G43*mult_euro,0))</f>
        <v/>
      </c>
      <c r="P43" s="659">
        <f>IF(H43="",ROUND(L43+rate_woodbake*S43,0),ROUND(H43*mult_wood,0))</f>
        <v/>
      </c>
      <c r="Q43" s="659">
        <f>IF(I43="",ROUND(L43+rate_woodbake*S43,0),ROUND(I43*mult_wood,0))</f>
        <v/>
      </c>
      <c r="R43" s="659">
        <f>IF(J43="",ROUND(L43+rate_woodbake*S43,0),ROUND(J43*mult_wood,0))</f>
        <v/>
      </c>
      <c r="S43" s="705">
        <f>ROUND(D43/(IF(ISNUMBER(SEARCH("เมืองทอง",C43)),'อัปเดตราคาอลู'!$F$8,IF(ISNUMBER(SEARCH("SlimLux",C43)),'อัปเดตราคาอลู'!$F$6,IF(ISNUMBER(SEARCH("Velora",C43)),'อัปเดตราคาอลู'!$F$7,IF(ISNUMBER(SEARCH("Fuji",C43)),'อัปเดตราคาอลู'!$F$5,'อัปเดตราคาอลู'!$F$4))))),3)</f>
        <v/>
      </c>
      <c r="T43" s="705">
        <f>ROUND(P43/(IF(OR(ISNUMBER(SEARCH("เมืองทอง",C43)),ISNUMBER(SEARCH("SlimLux",C43)),ISNUMBER(SEARCH("Velora",C43))),6,6.4)),3)</f>
        <v/>
      </c>
      <c r="U43" s="767">
        <f>ROUND(L43-D43,0)</f>
        <v/>
      </c>
      <c r="V43" s="659">
        <f>IF(D43="","",ROUND(D43+rate_anodize*S43,0))</f>
        <v/>
      </c>
    </row>
    <row r="44">
      <c r="A44" s="395" t="inlineStr">
        <is>
          <t>F7986</t>
        </is>
      </c>
      <c r="B44" s="393" t="inlineStr">
        <is>
          <t>ตบรับล็อกเฟรมข้าง</t>
        </is>
      </c>
      <c r="C44" s="393" t="inlineStr">
        <is>
          <t>อลูมิเนียม Fuji</t>
        </is>
      </c>
      <c r="D44" s="399" t="n">
        <v>230</v>
      </c>
      <c r="E44" s="399" t="n">
        <v>250</v>
      </c>
      <c r="F44" s="399">
        <f>E44</f>
        <v/>
      </c>
      <c r="G44" s="399" t="n">
        <v>250</v>
      </c>
      <c r="H44" s="399" t="n">
        <v>430</v>
      </c>
      <c r="I44" s="399" t="n">
        <v>350</v>
      </c>
      <c r="J44" s="399" t="n">
        <v>350</v>
      </c>
      <c r="K44" s="676">
        <f>IF(ISNUMBER(SEARCH("เมืองทอง",C44)),mult_mtong,IF(ISNUMBER(SEARCH("SlimLux",C44)),mult_slim,IF(ISNUMBER(SEARCH("Velora",C44)),mult_velora,IF(ISNUMBER(SEARCH("Fuji",C44)),mult_euro,mult_sms))))</f>
        <v/>
      </c>
      <c r="L44" s="659">
        <f>ROUND(D44*K44,0)</f>
        <v/>
      </c>
      <c r="M44" s="659">
        <f>IF(E44="",ROUND(L44+'อัปเดตราคาอลู'!$B$13*S44,0),ROUND(E44*K44,0))</f>
        <v/>
      </c>
      <c r="N44" s="659">
        <f>M44</f>
        <v/>
      </c>
      <c r="O44" s="659">
        <f>IF(G44="",ROUND(L44+rate_special*S44,0),ROUND(G44*mult_euro,0))</f>
        <v/>
      </c>
      <c r="P44" s="659">
        <f>IF(H44="",ROUND(L44+rate_woodbake*S44,0),ROUND(H44*mult_wood,0))</f>
        <v/>
      </c>
      <c r="Q44" s="659">
        <f>IF(I44="",ROUND(L44+rate_woodbake*S44,0),ROUND(I44*mult_wood,0))</f>
        <v/>
      </c>
      <c r="R44" s="659">
        <f>IF(J44="",ROUND(L44+rate_woodbake*S44,0),ROUND(J44*mult_wood,0))</f>
        <v/>
      </c>
      <c r="S44" s="705">
        <f>ROUND(D44/(IF(ISNUMBER(SEARCH("เมืองทอง",C44)),'อัปเดตราคาอลู'!$F$8,IF(ISNUMBER(SEARCH("SlimLux",C44)),'อัปเดตราคาอลู'!$F$6,IF(ISNUMBER(SEARCH("Velora",C44)),'อัปเดตราคาอลู'!$F$7,IF(ISNUMBER(SEARCH("Fuji",C44)),'อัปเดตราคาอลู'!$F$5,'อัปเดตราคาอลู'!$F$4))))),3)</f>
        <v/>
      </c>
      <c r="T44" s="705">
        <f>ROUND(P44/(IF(OR(ISNUMBER(SEARCH("เมืองทอง",C44)),ISNUMBER(SEARCH("SlimLux",C44)),ISNUMBER(SEARCH("Velora",C44))),6,6.4)),3)</f>
        <v/>
      </c>
      <c r="U44" s="767">
        <f>ROUND(L44-D44,0)</f>
        <v/>
      </c>
      <c r="V44" s="659">
        <f>IF(D44="","",ROUND(D44+rate_anodize*S44,0))</f>
        <v/>
      </c>
    </row>
    <row r="45">
      <c r="A45" s="395" t="inlineStr">
        <is>
          <t>F7989</t>
        </is>
      </c>
      <c r="B45" s="393" t="inlineStr">
        <is>
          <t>กล่องต่อเฟรมข้างบานเลื่อน</t>
        </is>
      </c>
      <c r="C45" s="393" t="inlineStr">
        <is>
          <t>อลูมิเนียม Fuji</t>
        </is>
      </c>
      <c r="D45" s="399" t="n">
        <v>340</v>
      </c>
      <c r="E45" s="399" t="n">
        <v>365</v>
      </c>
      <c r="F45" s="399">
        <f>E45</f>
        <v/>
      </c>
      <c r="G45" s="399" t="n">
        <v>365</v>
      </c>
      <c r="H45" s="399" t="n">
        <v>480</v>
      </c>
      <c r="I45" s="399" t="n">
        <v>510</v>
      </c>
      <c r="J45" s="399" t="n">
        <v>505</v>
      </c>
      <c r="K45" s="676">
        <f>IF(ISNUMBER(SEARCH("เมืองทอง",C45)),mult_mtong,IF(ISNUMBER(SEARCH("SlimLux",C45)),mult_slim,IF(ISNUMBER(SEARCH("Velora",C45)),mult_velora,IF(ISNUMBER(SEARCH("Fuji",C45)),mult_euro,mult_sms))))</f>
        <v/>
      </c>
      <c r="L45" s="659">
        <f>ROUND(D45*K45,0)</f>
        <v/>
      </c>
      <c r="M45" s="659">
        <f>IF(E45="",ROUND(L45+'อัปเดตราคาอลู'!$B$13*S45,0),ROUND(E45*K45,0))</f>
        <v/>
      </c>
      <c r="N45" s="659">
        <f>M45</f>
        <v/>
      </c>
      <c r="O45" s="659">
        <f>IF(G45="",ROUND(L45+rate_special*S45,0),ROUND(G45*mult_euro,0))</f>
        <v/>
      </c>
      <c r="P45" s="659">
        <f>IF(H45="",ROUND(L45+rate_woodbake*S45,0),ROUND(H45*mult_wood,0))</f>
        <v/>
      </c>
      <c r="Q45" s="659">
        <f>IF(I45="",ROUND(L45+rate_woodbake*S45,0),ROUND(I45*mult_wood,0))</f>
        <v/>
      </c>
      <c r="R45" s="659">
        <f>IF(J45="",ROUND(L45+rate_woodbake*S45,0),ROUND(J45*mult_wood,0))</f>
        <v/>
      </c>
      <c r="S45" s="705">
        <f>ROUND(D45/(IF(ISNUMBER(SEARCH("เมืองทอง",C45)),'อัปเดตราคาอลู'!$F$8,IF(ISNUMBER(SEARCH("SlimLux",C45)),'อัปเดตราคาอลู'!$F$6,IF(ISNUMBER(SEARCH("Velora",C45)),'อัปเดตราคาอลู'!$F$7,IF(ISNUMBER(SEARCH("Fuji",C45)),'อัปเดตราคาอลู'!$F$5,'อัปเดตราคาอลู'!$F$4))))),3)</f>
        <v/>
      </c>
      <c r="T45" s="705">
        <f>ROUND(P45/(IF(OR(ISNUMBER(SEARCH("เมืองทอง",C45)),ISNUMBER(SEARCH("SlimLux",C45)),ISNUMBER(SEARCH("Velora",C45))),6,6.4)),3)</f>
        <v/>
      </c>
      <c r="U45" s="767">
        <f>ROUND(L45-D45,0)</f>
        <v/>
      </c>
      <c r="V45" s="659">
        <f>IF(D45="","",ROUND(D45+rate_anodize*S45,0))</f>
        <v/>
      </c>
    </row>
    <row r="46">
      <c r="A46" s="395" t="inlineStr">
        <is>
          <t>F7867</t>
        </is>
      </c>
      <c r="B46" s="393" t="inlineStr">
        <is>
          <t>กรอบบานเลื่อน ประตู (ตัวบาง)</t>
        </is>
      </c>
      <c r="C46" s="393" t="inlineStr">
        <is>
          <t>อลูมิเนียม Fuji</t>
        </is>
      </c>
      <c r="D46" s="399" t="n">
        <v>1265</v>
      </c>
      <c r="E46" s="399" t="n">
        <v>1355</v>
      </c>
      <c r="F46" s="399">
        <f>E46</f>
        <v/>
      </c>
      <c r="G46" s="399" t="n">
        <v>1370</v>
      </c>
      <c r="H46" s="399" t="n">
        <v>1755</v>
      </c>
      <c r="I46" s="399" t="n">
        <v>1910</v>
      </c>
      <c r="J46" s="399" t="n">
        <v>1895</v>
      </c>
      <c r="K46" s="676">
        <f>IF(ISNUMBER(SEARCH("เมืองทอง",C46)),mult_mtong,IF(ISNUMBER(SEARCH("SlimLux",C46)),mult_slim,IF(ISNUMBER(SEARCH("Velora",C46)),mult_velora,IF(ISNUMBER(SEARCH("Fuji",C46)),mult_euro,mult_sms))))</f>
        <v/>
      </c>
      <c r="L46" s="659">
        <f>ROUND(D46*K46,0)</f>
        <v/>
      </c>
      <c r="M46" s="659">
        <f>IF(E46="",ROUND(L46+'อัปเดตราคาอลู'!$B$13*S46,0),ROUND(E46*K46,0))</f>
        <v/>
      </c>
      <c r="N46" s="659">
        <f>M46</f>
        <v/>
      </c>
      <c r="O46" s="659">
        <f>IF(G46="",ROUND(L46+rate_special*S46,0),ROUND(G46*mult_euro,0))</f>
        <v/>
      </c>
      <c r="P46" s="659">
        <f>IF(H46="",ROUND(L46+rate_woodbake*S46,0),ROUND(H46*mult_wood,0))</f>
        <v/>
      </c>
      <c r="Q46" s="659">
        <f>IF(I46="",ROUND(L46+rate_woodbake*S46,0),ROUND(I46*mult_wood,0))</f>
        <v/>
      </c>
      <c r="R46" s="659">
        <f>IF(J46="",ROUND(L46+rate_woodbake*S46,0),ROUND(J46*mult_wood,0))</f>
        <v/>
      </c>
      <c r="S46" s="705">
        <f>ROUND(D46/(IF(ISNUMBER(SEARCH("เมืองทอง",C46)),'อัปเดตราคาอลู'!$F$8,IF(ISNUMBER(SEARCH("SlimLux",C46)),'อัปเดตราคาอลู'!$F$6,IF(ISNUMBER(SEARCH("Velora",C46)),'อัปเดตราคาอลู'!$F$7,IF(ISNUMBER(SEARCH("Fuji",C46)),'อัปเดตราคาอลู'!$F$5,'อัปเดตราคาอลู'!$F$4))))),3)</f>
        <v/>
      </c>
      <c r="T46" s="705">
        <f>ROUND(P46/(IF(OR(ISNUMBER(SEARCH("เมืองทอง",C46)),ISNUMBER(SEARCH("SlimLux",C46)),ISNUMBER(SEARCH("Velora",C46))),6,6.4)),3)</f>
        <v/>
      </c>
      <c r="U46" s="767">
        <f>ROUND(L46-D46,0)</f>
        <v/>
      </c>
      <c r="V46" s="659">
        <f>IF(D46="","",ROUND(D46+rate_anodize*S46,0))</f>
        <v/>
      </c>
    </row>
    <row r="47">
      <c r="A47" s="395" t="inlineStr">
        <is>
          <t>F7980</t>
        </is>
      </c>
      <c r="B47" s="393" t="inlineStr">
        <is>
          <t>กรอบบานเลื่อนประตู</t>
        </is>
      </c>
      <c r="C47" s="393" t="inlineStr">
        <is>
          <t>อลูมิเนียม Fuji</t>
        </is>
      </c>
      <c r="D47" s="399" t="n">
        <v>1535</v>
      </c>
      <c r="E47" s="399" t="n">
        <v>1645</v>
      </c>
      <c r="F47" s="399">
        <f>E47</f>
        <v/>
      </c>
      <c r="G47" s="399" t="n">
        <v>1665</v>
      </c>
      <c r="H47" s="399" t="n">
        <v>2170</v>
      </c>
      <c r="I47" s="399" t="n">
        <v>2320</v>
      </c>
      <c r="J47" s="399" t="n">
        <v>2300</v>
      </c>
      <c r="K47" s="676">
        <f>IF(ISNUMBER(SEARCH("เมืองทอง",C47)),mult_mtong,IF(ISNUMBER(SEARCH("SlimLux",C47)),mult_slim,IF(ISNUMBER(SEARCH("Velora",C47)),mult_velora,IF(ISNUMBER(SEARCH("Fuji",C47)),mult_euro,mult_sms))))</f>
        <v/>
      </c>
      <c r="L47" s="659">
        <f>ROUND(D47*K47,0)</f>
        <v/>
      </c>
      <c r="M47" s="659">
        <f>IF(E47="",ROUND(L47+'อัปเดตราคาอลู'!$B$13*S47,0),ROUND(E47*K47,0))</f>
        <v/>
      </c>
      <c r="N47" s="659">
        <f>M47</f>
        <v/>
      </c>
      <c r="O47" s="659">
        <f>IF(G47="",ROUND(L47+rate_special*S47,0),ROUND(G47*mult_euro,0))</f>
        <v/>
      </c>
      <c r="P47" s="659">
        <f>IF(H47="",ROUND(L47+rate_woodbake*S47,0),ROUND(H47*mult_wood,0))</f>
        <v/>
      </c>
      <c r="Q47" s="659">
        <f>IF(I47="",ROUND(L47+rate_woodbake*S47,0),ROUND(I47*mult_wood,0))</f>
        <v/>
      </c>
      <c r="R47" s="659">
        <f>IF(J47="",ROUND(L47+rate_woodbake*S47,0),ROUND(J47*mult_wood,0))</f>
        <v/>
      </c>
      <c r="S47" s="705">
        <f>ROUND(D47/(IF(ISNUMBER(SEARCH("เมืองทอง",C47)),'อัปเดตราคาอลู'!$F$8,IF(ISNUMBER(SEARCH("SlimLux",C47)),'อัปเดตราคาอลู'!$F$6,IF(ISNUMBER(SEARCH("Velora",C47)),'อัปเดตราคาอลู'!$F$7,IF(ISNUMBER(SEARCH("Fuji",C47)),'อัปเดตราคาอลู'!$F$5,'อัปเดตราคาอลู'!$F$4))))),3)</f>
        <v/>
      </c>
      <c r="T47" s="705">
        <f>ROUND(P47/(IF(OR(ISNUMBER(SEARCH("เมืองทอง",C47)),ISNUMBER(SEARCH("SlimLux",C47)),ISNUMBER(SEARCH("Velora",C47))),6,6.4)),3)</f>
        <v/>
      </c>
      <c r="U47" s="767">
        <f>ROUND(L47-D47,0)</f>
        <v/>
      </c>
      <c r="V47" s="659">
        <f>IF(D47="","",ROUND(D47+rate_anodize*S47,0))</f>
        <v/>
      </c>
    </row>
    <row r="48">
      <c r="A48" s="395" t="inlineStr">
        <is>
          <t>F7981</t>
        </is>
      </c>
      <c r="B48" s="393" t="inlineStr">
        <is>
          <t>กรอบบานเลื่อนหน้าต่าง</t>
        </is>
      </c>
      <c r="C48" s="393" t="inlineStr">
        <is>
          <t>อลูมิเนียม Fuji</t>
        </is>
      </c>
      <c r="D48" s="399" t="n">
        <v>1200</v>
      </c>
      <c r="E48" s="399" t="n">
        <v>1285</v>
      </c>
      <c r="F48" s="399">
        <f>E48</f>
        <v/>
      </c>
      <c r="G48" s="399" t="n">
        <v>1295</v>
      </c>
      <c r="H48" s="399" t="n">
        <v>1700</v>
      </c>
      <c r="I48" s="399" t="n">
        <v>1810</v>
      </c>
      <c r="J48" s="399" t="n">
        <v>1795</v>
      </c>
      <c r="K48" s="676">
        <f>IF(ISNUMBER(SEARCH("เมืองทอง",C48)),mult_mtong,IF(ISNUMBER(SEARCH("SlimLux",C48)),mult_slim,IF(ISNUMBER(SEARCH("Velora",C48)),mult_velora,IF(ISNUMBER(SEARCH("Fuji",C48)),mult_euro,mult_sms))))</f>
        <v/>
      </c>
      <c r="L48" s="659">
        <f>ROUND(D48*K48,0)</f>
        <v/>
      </c>
      <c r="M48" s="659">
        <f>IF(E48="",ROUND(L48+'อัปเดตราคาอลู'!$B$13*S48,0),ROUND(E48*K48,0))</f>
        <v/>
      </c>
      <c r="N48" s="659">
        <f>M48</f>
        <v/>
      </c>
      <c r="O48" s="659">
        <f>IF(G48="",ROUND(L48+rate_special*S48,0),ROUND(G48*mult_euro,0))</f>
        <v/>
      </c>
      <c r="P48" s="659">
        <f>IF(H48="",ROUND(L48+rate_woodbake*S48,0),ROUND(H48*mult_wood,0))</f>
        <v/>
      </c>
      <c r="Q48" s="659">
        <f>IF(I48="",ROUND(L48+rate_woodbake*S48,0),ROUND(I48*mult_wood,0))</f>
        <v/>
      </c>
      <c r="R48" s="659">
        <f>IF(J48="",ROUND(L48+rate_woodbake*S48,0),ROUND(J48*mult_wood,0))</f>
        <v/>
      </c>
      <c r="S48" s="705">
        <f>ROUND(D48/(IF(ISNUMBER(SEARCH("เมืองทอง",C48)),'อัปเดตราคาอลู'!$F$8,IF(ISNUMBER(SEARCH("SlimLux",C48)),'อัปเดตราคาอลู'!$F$6,IF(ISNUMBER(SEARCH("Velora",C48)),'อัปเดตราคาอลู'!$F$7,IF(ISNUMBER(SEARCH("Fuji",C48)),'อัปเดตราคาอลู'!$F$5,'อัปเดตราคาอลู'!$F$4))))),3)</f>
        <v/>
      </c>
      <c r="T48" s="705">
        <f>ROUND(P48/(IF(OR(ISNUMBER(SEARCH("เมืองทอง",C48)),ISNUMBER(SEARCH("SlimLux",C48)),ISNUMBER(SEARCH("Velora",C48))),6,6.4)),3)</f>
        <v/>
      </c>
      <c r="U48" s="767">
        <f>ROUND(L48-D48,0)</f>
        <v/>
      </c>
      <c r="V48" s="659">
        <f>IF(D48="","",ROUND(D48+rate_anodize*S48,0))</f>
        <v/>
      </c>
    </row>
    <row r="49">
      <c r="A49" s="395" t="inlineStr">
        <is>
          <t>F7991</t>
        </is>
      </c>
      <c r="B49" s="393" t="inlineStr">
        <is>
          <t>ตบธรณีบานเลื่อน</t>
        </is>
      </c>
      <c r="C49" s="393" t="inlineStr">
        <is>
          <t>อลูมิเนียม Fuji</t>
        </is>
      </c>
      <c r="D49" s="399" t="n">
        <v>300</v>
      </c>
      <c r="E49" s="399" t="n">
        <v>325</v>
      </c>
      <c r="F49" s="399">
        <f>E49</f>
        <v/>
      </c>
      <c r="G49" s="399" t="n">
        <v>325</v>
      </c>
      <c r="H49" s="399" t="n">
        <v>455</v>
      </c>
      <c r="I49" s="399" t="n">
        <v>455</v>
      </c>
      <c r="J49" s="399" t="n">
        <v>450</v>
      </c>
      <c r="K49" s="676">
        <f>IF(ISNUMBER(SEARCH("เมืองทอง",C49)),mult_mtong,IF(ISNUMBER(SEARCH("SlimLux",C49)),mult_slim,IF(ISNUMBER(SEARCH("Velora",C49)),mult_velora,IF(ISNUMBER(SEARCH("Fuji",C49)),mult_euro,mult_sms))))</f>
        <v/>
      </c>
      <c r="L49" s="659">
        <f>ROUND(D49*K49,0)</f>
        <v/>
      </c>
      <c r="M49" s="659">
        <f>IF(E49="",ROUND(L49+'อัปเดตราคาอลู'!$B$13*S49,0),ROUND(E49*K49,0))</f>
        <v/>
      </c>
      <c r="N49" s="659">
        <f>M49</f>
        <v/>
      </c>
      <c r="O49" s="659">
        <f>IF(G49="",ROUND(L49+rate_special*S49,0),ROUND(G49*mult_euro,0))</f>
        <v/>
      </c>
      <c r="P49" s="659">
        <f>IF(H49="",ROUND(L49+rate_woodbake*S49,0),ROUND(H49*mult_wood,0))</f>
        <v/>
      </c>
      <c r="Q49" s="659">
        <f>IF(I49="",ROUND(L49+rate_woodbake*S49,0),ROUND(I49*mult_wood,0))</f>
        <v/>
      </c>
      <c r="R49" s="659">
        <f>IF(J49="",ROUND(L49+rate_woodbake*S49,0),ROUND(J49*mult_wood,0))</f>
        <v/>
      </c>
      <c r="S49" s="705">
        <f>ROUND(D49/(IF(ISNUMBER(SEARCH("เมืองทอง",C49)),'อัปเดตราคาอลู'!$F$8,IF(ISNUMBER(SEARCH("SlimLux",C49)),'อัปเดตราคาอลู'!$F$6,IF(ISNUMBER(SEARCH("Velora",C49)),'อัปเดตราคาอลู'!$F$7,IF(ISNUMBER(SEARCH("Fuji",C49)),'อัปเดตราคาอลู'!$F$5,'อัปเดตราคาอลู'!$F$4))))),3)</f>
        <v/>
      </c>
      <c r="T49" s="705">
        <f>ROUND(P49/(IF(OR(ISNUMBER(SEARCH("เมืองทอง",C49)),ISNUMBER(SEARCH("SlimLux",C49)),ISNUMBER(SEARCH("Velora",C49))),6,6.4)),3)</f>
        <v/>
      </c>
      <c r="U49" s="767">
        <f>ROUND(L49-D49,0)</f>
        <v/>
      </c>
      <c r="V49" s="659">
        <f>IF(D49="","",ROUND(D49+rate_anodize*S49,0))</f>
        <v/>
      </c>
    </row>
    <row r="50">
      <c r="A50" s="395" t="inlineStr">
        <is>
          <t>F7992</t>
        </is>
      </c>
      <c r="B50" s="393" t="inlineStr">
        <is>
          <t>ตบฝังเฟรมบานเลื่อน</t>
        </is>
      </c>
      <c r="C50" s="393" t="inlineStr">
        <is>
          <t>อลูมิเนียม Fuji</t>
        </is>
      </c>
      <c r="D50" s="399" t="n">
        <v>510</v>
      </c>
      <c r="E50" s="399" t="n">
        <v>550</v>
      </c>
      <c r="F50" s="399">
        <f>E50</f>
        <v/>
      </c>
      <c r="G50" s="399" t="n">
        <v>555</v>
      </c>
      <c r="H50" s="399" t="n">
        <v>775</v>
      </c>
      <c r="I50" s="399" t="n">
        <v>775</v>
      </c>
      <c r="J50" s="399" t="n">
        <v>765</v>
      </c>
      <c r="K50" s="676">
        <f>IF(ISNUMBER(SEARCH("เมืองทอง",C50)),mult_mtong,IF(ISNUMBER(SEARCH("SlimLux",C50)),mult_slim,IF(ISNUMBER(SEARCH("Velora",C50)),mult_velora,IF(ISNUMBER(SEARCH("Fuji",C50)),mult_euro,mult_sms))))</f>
        <v/>
      </c>
      <c r="L50" s="659">
        <f>ROUND(D50*K50,0)</f>
        <v/>
      </c>
      <c r="M50" s="659">
        <f>IF(E50="",ROUND(L50+'อัปเดตราคาอลู'!$B$13*S50,0),ROUND(E50*K50,0))</f>
        <v/>
      </c>
      <c r="N50" s="659">
        <f>M50</f>
        <v/>
      </c>
      <c r="O50" s="659">
        <f>IF(G50="",ROUND(L50+rate_special*S50,0),ROUND(G50*mult_euro,0))</f>
        <v/>
      </c>
      <c r="P50" s="659">
        <f>IF(H50="",ROUND(L50+rate_woodbake*S50,0),ROUND(H50*mult_wood,0))</f>
        <v/>
      </c>
      <c r="Q50" s="659">
        <f>IF(I50="",ROUND(L50+rate_woodbake*S50,0),ROUND(I50*mult_wood,0))</f>
        <v/>
      </c>
      <c r="R50" s="659">
        <f>IF(J50="",ROUND(L50+rate_woodbake*S50,0),ROUND(J50*mult_wood,0))</f>
        <v/>
      </c>
      <c r="S50" s="705">
        <f>ROUND(D50/(IF(ISNUMBER(SEARCH("เมืองทอง",C50)),'อัปเดตราคาอลู'!$F$8,IF(ISNUMBER(SEARCH("SlimLux",C50)),'อัปเดตราคาอลู'!$F$6,IF(ISNUMBER(SEARCH("Velora",C50)),'อัปเดตราคาอลู'!$F$7,IF(ISNUMBER(SEARCH("Fuji",C50)),'อัปเดตราคาอลู'!$F$5,'อัปเดตราคาอลู'!$F$4))))),3)</f>
        <v/>
      </c>
      <c r="T50" s="705">
        <f>ROUND(P50/(IF(OR(ISNUMBER(SEARCH("เมืองทอง",C50)),ISNUMBER(SEARCH("SlimLux",C50)),ISNUMBER(SEARCH("Velora",C50))),6,6.4)),3)</f>
        <v/>
      </c>
      <c r="U50" s="767">
        <f>ROUND(L50-D50,0)</f>
        <v/>
      </c>
      <c r="V50" s="659">
        <f>IF(D50="","",ROUND(D50+rate_anodize*S50,0))</f>
        <v/>
      </c>
    </row>
    <row r="51">
      <c r="A51" s="395" t="inlineStr">
        <is>
          <t>F7982</t>
        </is>
      </c>
      <c r="B51" s="393" t="inlineStr">
        <is>
          <t>ตบเกี่ยวทางเดียว หน้าต่าง</t>
        </is>
      </c>
      <c r="C51" s="393" t="inlineStr">
        <is>
          <t>อลูมิเนียม Fuji</t>
        </is>
      </c>
      <c r="D51" s="399" t="n">
        <v>440</v>
      </c>
      <c r="E51" s="399" t="n">
        <v>470</v>
      </c>
      <c r="F51" s="399">
        <f>E51</f>
        <v/>
      </c>
      <c r="G51" s="399" t="n">
        <v>475</v>
      </c>
      <c r="H51" s="399" t="n">
        <v>630</v>
      </c>
      <c r="I51" s="399" t="n">
        <v>660</v>
      </c>
      <c r="J51" s="399" t="n">
        <v>660</v>
      </c>
      <c r="K51" s="676">
        <f>IF(ISNUMBER(SEARCH("เมืองทอง",C51)),mult_mtong,IF(ISNUMBER(SEARCH("SlimLux",C51)),mult_slim,IF(ISNUMBER(SEARCH("Velora",C51)),mult_velora,IF(ISNUMBER(SEARCH("Fuji",C51)),mult_euro,mult_sms))))</f>
        <v/>
      </c>
      <c r="L51" s="659">
        <f>ROUND(D51*K51,0)</f>
        <v/>
      </c>
      <c r="M51" s="659">
        <f>IF(E51="",ROUND(L51+'อัปเดตราคาอลู'!$B$13*S51,0),ROUND(E51*K51,0))</f>
        <v/>
      </c>
      <c r="N51" s="659">
        <f>M51</f>
        <v/>
      </c>
      <c r="O51" s="659">
        <f>IF(G51="",ROUND(L51+rate_special*S51,0),ROUND(G51*mult_euro,0))</f>
        <v/>
      </c>
      <c r="P51" s="659">
        <f>IF(H51="",ROUND(L51+rate_woodbake*S51,0),ROUND(H51*mult_wood,0))</f>
        <v/>
      </c>
      <c r="Q51" s="659">
        <f>IF(I51="",ROUND(L51+rate_woodbake*S51,0),ROUND(I51*mult_wood,0))</f>
        <v/>
      </c>
      <c r="R51" s="659">
        <f>IF(J51="",ROUND(L51+rate_woodbake*S51,0),ROUND(J51*mult_wood,0))</f>
        <v/>
      </c>
      <c r="S51" s="705">
        <f>ROUND(D51/(IF(ISNUMBER(SEARCH("เมืองทอง",C51)),'อัปเดตราคาอลู'!$F$8,IF(ISNUMBER(SEARCH("SlimLux",C51)),'อัปเดตราคาอลู'!$F$6,IF(ISNUMBER(SEARCH("Velora",C51)),'อัปเดตราคาอลู'!$F$7,IF(ISNUMBER(SEARCH("Fuji",C51)),'อัปเดตราคาอลู'!$F$5,'อัปเดตราคาอลู'!$F$4))))),3)</f>
        <v/>
      </c>
      <c r="T51" s="705">
        <f>ROUND(P51/(IF(OR(ISNUMBER(SEARCH("เมืองทอง",C51)),ISNUMBER(SEARCH("SlimLux",C51)),ISNUMBER(SEARCH("Velora",C51))),6,6.4)),3)</f>
        <v/>
      </c>
      <c r="U51" s="767">
        <f>ROUND(L51-D51,0)</f>
        <v/>
      </c>
      <c r="V51" s="659">
        <f>IF(D51="","",ROUND(D51+rate_anodize*S51,0))</f>
        <v/>
      </c>
    </row>
    <row r="52">
      <c r="A52" s="395" t="inlineStr">
        <is>
          <t>F7983</t>
        </is>
      </c>
      <c r="B52" s="393" t="inlineStr">
        <is>
          <t>ตบเกี่ยวทางเดียว ประตู</t>
        </is>
      </c>
      <c r="C52" s="393" t="inlineStr">
        <is>
          <t>อลูมิเนียม Fuji</t>
        </is>
      </c>
      <c r="D52" s="399" t="n">
        <v>520</v>
      </c>
      <c r="E52" s="399" t="n">
        <v>560</v>
      </c>
      <c r="F52" s="399">
        <f>E52</f>
        <v/>
      </c>
      <c r="G52" s="399" t="n">
        <v>565</v>
      </c>
      <c r="H52" s="399" t="n">
        <v>725</v>
      </c>
      <c r="I52" s="399" t="n">
        <v>785</v>
      </c>
      <c r="J52" s="399" t="n">
        <v>780</v>
      </c>
      <c r="K52" s="676">
        <f>IF(ISNUMBER(SEARCH("เมืองทอง",C52)),mult_mtong,IF(ISNUMBER(SEARCH("SlimLux",C52)),mult_slim,IF(ISNUMBER(SEARCH("Velora",C52)),mult_velora,IF(ISNUMBER(SEARCH("Fuji",C52)),mult_euro,mult_sms))))</f>
        <v/>
      </c>
      <c r="L52" s="659">
        <f>ROUND(D52*K52,0)</f>
        <v/>
      </c>
      <c r="M52" s="659">
        <f>IF(E52="",ROUND(L52+'อัปเดตราคาอลู'!$B$13*S52,0),ROUND(E52*K52,0))</f>
        <v/>
      </c>
      <c r="N52" s="659">
        <f>M52</f>
        <v/>
      </c>
      <c r="O52" s="659">
        <f>IF(G52="",ROUND(L52+rate_special*S52,0),ROUND(G52*mult_euro,0))</f>
        <v/>
      </c>
      <c r="P52" s="659">
        <f>IF(H52="",ROUND(L52+rate_woodbake*S52,0),ROUND(H52*mult_wood,0))</f>
        <v/>
      </c>
      <c r="Q52" s="659">
        <f>IF(I52="",ROUND(L52+rate_woodbake*S52,0),ROUND(I52*mult_wood,0))</f>
        <v/>
      </c>
      <c r="R52" s="659">
        <f>IF(J52="",ROUND(L52+rate_woodbake*S52,0),ROUND(J52*mult_wood,0))</f>
        <v/>
      </c>
      <c r="S52" s="705">
        <f>ROUND(D52/(IF(ISNUMBER(SEARCH("เมืองทอง",C52)),'อัปเดตราคาอลู'!$F$8,IF(ISNUMBER(SEARCH("SlimLux",C52)),'อัปเดตราคาอลู'!$F$6,IF(ISNUMBER(SEARCH("Velora",C52)),'อัปเดตราคาอลู'!$F$7,IF(ISNUMBER(SEARCH("Fuji",C52)),'อัปเดตราคาอลู'!$F$5,'อัปเดตราคาอลู'!$F$4))))),3)</f>
        <v/>
      </c>
      <c r="T52" s="705">
        <f>ROUND(P52/(IF(OR(ISNUMBER(SEARCH("เมืองทอง",C52)),ISNUMBER(SEARCH("SlimLux",C52)),ISNUMBER(SEARCH("Velora",C52))),6,6.4)),3)</f>
        <v/>
      </c>
      <c r="U52" s="767">
        <f>ROUND(L52-D52,0)</f>
        <v/>
      </c>
      <c r="V52" s="659">
        <f>IF(D52="","",ROUND(D52+rate_anodize*S52,0))</f>
        <v/>
      </c>
    </row>
    <row r="53">
      <c r="A53" s="395" t="inlineStr">
        <is>
          <t>F7984</t>
        </is>
      </c>
      <c r="B53" s="393" t="inlineStr">
        <is>
          <t>ตบเกี่ยวสองทาง หน้าต่าง</t>
        </is>
      </c>
      <c r="C53" s="393" t="inlineStr">
        <is>
          <t>อลูมิเนียม Fuji</t>
        </is>
      </c>
      <c r="D53" s="399" t="n">
        <v>675</v>
      </c>
      <c r="E53" s="399" t="n">
        <v>725</v>
      </c>
      <c r="F53" s="399">
        <f>E53</f>
        <v/>
      </c>
      <c r="G53" s="399" t="n">
        <v>735</v>
      </c>
      <c r="H53" s="399" t="n">
        <v>990</v>
      </c>
      <c r="I53" s="399" t="n">
        <v>1020</v>
      </c>
      <c r="J53" s="399" t="n">
        <v>1015</v>
      </c>
      <c r="K53" s="676">
        <f>IF(ISNUMBER(SEARCH("เมืองทอง",C53)),mult_mtong,IF(ISNUMBER(SEARCH("SlimLux",C53)),mult_slim,IF(ISNUMBER(SEARCH("Velora",C53)),mult_velora,IF(ISNUMBER(SEARCH("Fuji",C53)),mult_euro,mult_sms))))</f>
        <v/>
      </c>
      <c r="L53" s="659">
        <f>ROUND(D53*K53,0)</f>
        <v/>
      </c>
      <c r="M53" s="659">
        <f>IF(E53="",ROUND(L53+'อัปเดตราคาอลู'!$B$13*S53,0),ROUND(E53*K53,0))</f>
        <v/>
      </c>
      <c r="N53" s="659">
        <f>M53</f>
        <v/>
      </c>
      <c r="O53" s="659">
        <f>IF(G53="",ROUND(L53+rate_special*S53,0),ROUND(G53*mult_euro,0))</f>
        <v/>
      </c>
      <c r="P53" s="659">
        <f>IF(H53="",ROUND(L53+rate_woodbake*S53,0),ROUND(H53*mult_wood,0))</f>
        <v/>
      </c>
      <c r="Q53" s="659">
        <f>IF(I53="",ROUND(L53+rate_woodbake*S53,0),ROUND(I53*mult_wood,0))</f>
        <v/>
      </c>
      <c r="R53" s="659">
        <f>IF(J53="",ROUND(L53+rate_woodbake*S53,0),ROUND(J53*mult_wood,0))</f>
        <v/>
      </c>
      <c r="S53" s="705">
        <f>ROUND(D53/(IF(ISNUMBER(SEARCH("เมืองทอง",C53)),'อัปเดตราคาอลู'!$F$8,IF(ISNUMBER(SEARCH("SlimLux",C53)),'อัปเดตราคาอลู'!$F$6,IF(ISNUMBER(SEARCH("Velora",C53)),'อัปเดตราคาอลู'!$F$7,IF(ISNUMBER(SEARCH("Fuji",C53)),'อัปเดตราคาอลู'!$F$5,'อัปเดตราคาอลู'!$F$4))))),3)</f>
        <v/>
      </c>
      <c r="T53" s="705">
        <f>ROUND(P53/(IF(OR(ISNUMBER(SEARCH("เมืองทอง",C53)),ISNUMBER(SEARCH("SlimLux",C53)),ISNUMBER(SEARCH("Velora",C53))),6,6.4)),3)</f>
        <v/>
      </c>
      <c r="U53" s="767">
        <f>ROUND(L53-D53,0)</f>
        <v/>
      </c>
      <c r="V53" s="659">
        <f>IF(D53="","",ROUND(D53+rate_anodize*S53,0))</f>
        <v/>
      </c>
    </row>
    <row r="54">
      <c r="A54" s="395" t="inlineStr">
        <is>
          <t>F7985</t>
        </is>
      </c>
      <c r="B54" s="393" t="inlineStr">
        <is>
          <t>ตบเกี่ยวสองทาง ประตู</t>
        </is>
      </c>
      <c r="C54" s="393" t="inlineStr">
        <is>
          <t>อลูมิเนียม Fuji</t>
        </is>
      </c>
      <c r="D54" s="399" t="n">
        <v>835</v>
      </c>
      <c r="E54" s="399" t="n">
        <v>890</v>
      </c>
      <c r="F54" s="399">
        <f>E54</f>
        <v/>
      </c>
      <c r="G54" s="399" t="n">
        <v>900</v>
      </c>
      <c r="H54" s="399" t="n">
        <v>1190</v>
      </c>
      <c r="I54" s="399" t="n">
        <v>1255</v>
      </c>
      <c r="J54" s="399" t="n">
        <v>1245</v>
      </c>
      <c r="K54" s="676">
        <f>IF(ISNUMBER(SEARCH("เมืองทอง",C54)),mult_mtong,IF(ISNUMBER(SEARCH("SlimLux",C54)),mult_slim,IF(ISNUMBER(SEARCH("Velora",C54)),mult_velora,IF(ISNUMBER(SEARCH("Fuji",C54)),mult_euro,mult_sms))))</f>
        <v/>
      </c>
      <c r="L54" s="659">
        <f>ROUND(D54*K54,0)</f>
        <v/>
      </c>
      <c r="M54" s="659">
        <f>IF(E54="",ROUND(L54+'อัปเดตราคาอลู'!$B$13*S54,0),ROUND(E54*K54,0))</f>
        <v/>
      </c>
      <c r="N54" s="659">
        <f>M54</f>
        <v/>
      </c>
      <c r="O54" s="659">
        <f>IF(G54="",ROUND(L54+rate_special*S54,0),ROUND(G54*mult_euro,0))</f>
        <v/>
      </c>
      <c r="P54" s="659">
        <f>IF(H54="",ROUND(L54+rate_woodbake*S54,0),ROUND(H54*mult_wood,0))</f>
        <v/>
      </c>
      <c r="Q54" s="659">
        <f>IF(I54="",ROUND(L54+rate_woodbake*S54,0),ROUND(I54*mult_wood,0))</f>
        <v/>
      </c>
      <c r="R54" s="659">
        <f>IF(J54="",ROUND(L54+rate_woodbake*S54,0),ROUND(J54*mult_wood,0))</f>
        <v/>
      </c>
      <c r="S54" s="705">
        <f>ROUND(D54/(IF(ISNUMBER(SEARCH("เมืองทอง",C54)),'อัปเดตราคาอลู'!$F$8,IF(ISNUMBER(SEARCH("SlimLux",C54)),'อัปเดตราคาอลู'!$F$6,IF(ISNUMBER(SEARCH("Velora",C54)),'อัปเดตราคาอลู'!$F$7,IF(ISNUMBER(SEARCH("Fuji",C54)),'อัปเดตราคาอลู'!$F$5,'อัปเดตราคาอลู'!$F$4))))),3)</f>
        <v/>
      </c>
      <c r="T54" s="705">
        <f>ROUND(P54/(IF(OR(ISNUMBER(SEARCH("เมืองทอง",C54)),ISNUMBER(SEARCH("SlimLux",C54)),ISNUMBER(SEARCH("Velora",C54))),6,6.4)),3)</f>
        <v/>
      </c>
      <c r="U54" s="767">
        <f>ROUND(L54-D54,0)</f>
        <v/>
      </c>
      <c r="V54" s="659">
        <f>IF(D54="","",ROUND(D54+rate_anodize*S54,0))</f>
        <v/>
      </c>
    </row>
    <row r="55">
      <c r="A55" s="395" t="inlineStr">
        <is>
          <t>F7966</t>
        </is>
      </c>
      <c r="B55" s="393" t="inlineStr">
        <is>
          <t>แบ่งบานมุ้งบานเลื่อน</t>
        </is>
      </c>
      <c r="C55" s="393" t="inlineStr">
        <is>
          <t>อลูมิเนียม Fuji</t>
        </is>
      </c>
      <c r="D55" s="399" t="n">
        <v>825</v>
      </c>
      <c r="E55" s="399" t="n">
        <v>880</v>
      </c>
      <c r="F55" s="399">
        <f>E55</f>
        <v/>
      </c>
      <c r="G55" s="399" t="n">
        <v>890</v>
      </c>
      <c r="H55" s="399" t="n">
        <v>1205</v>
      </c>
      <c r="I55" s="399" t="n">
        <v>1240</v>
      </c>
      <c r="J55" s="399" t="n">
        <v>1235</v>
      </c>
      <c r="K55" s="676">
        <f>IF(ISNUMBER(SEARCH("เมืองทอง",C55)),mult_mtong,IF(ISNUMBER(SEARCH("SlimLux",C55)),mult_slim,IF(ISNUMBER(SEARCH("Velora",C55)),mult_velora,IF(ISNUMBER(SEARCH("Fuji",C55)),mult_euro,mult_sms))))</f>
        <v/>
      </c>
      <c r="L55" s="659">
        <f>ROUND(D55*K55,0)</f>
        <v/>
      </c>
      <c r="M55" s="659">
        <f>IF(E55="",ROUND(L55+'อัปเดตราคาอลู'!$B$13*S55,0),ROUND(E55*K55,0))</f>
        <v/>
      </c>
      <c r="N55" s="659">
        <f>M55</f>
        <v/>
      </c>
      <c r="O55" s="659">
        <f>IF(G55="",ROUND(L55+rate_special*S55,0),ROUND(G55*mult_euro,0))</f>
        <v/>
      </c>
      <c r="P55" s="659">
        <f>IF(H55="",ROUND(L55+rate_woodbake*S55,0),ROUND(H55*mult_wood,0))</f>
        <v/>
      </c>
      <c r="Q55" s="659">
        <f>IF(I55="",ROUND(L55+rate_woodbake*S55,0),ROUND(I55*mult_wood,0))</f>
        <v/>
      </c>
      <c r="R55" s="659">
        <f>IF(J55="",ROUND(L55+rate_woodbake*S55,0),ROUND(J55*mult_wood,0))</f>
        <v/>
      </c>
      <c r="S55" s="705">
        <f>ROUND(D55/(IF(ISNUMBER(SEARCH("เมืองทอง",C55)),'อัปเดตราคาอลู'!$F$8,IF(ISNUMBER(SEARCH("SlimLux",C55)),'อัปเดตราคาอลู'!$F$6,IF(ISNUMBER(SEARCH("Velora",C55)),'อัปเดตราคาอลู'!$F$7,IF(ISNUMBER(SEARCH("Fuji",C55)),'อัปเดตราคาอลู'!$F$5,'อัปเดตราคาอลู'!$F$4))))),3)</f>
        <v/>
      </c>
      <c r="T55" s="705">
        <f>ROUND(P55/(IF(OR(ISNUMBER(SEARCH("เมืองทอง",C55)),ISNUMBER(SEARCH("SlimLux",C55)),ISNUMBER(SEARCH("Velora",C55))),6,6.4)),3)</f>
        <v/>
      </c>
      <c r="U55" s="767">
        <f>ROUND(L55-D55,0)</f>
        <v/>
      </c>
      <c r="V55" s="659">
        <f>IF(D55="","",ROUND(D55+rate_anodize*S55,0))</f>
        <v/>
      </c>
    </row>
    <row r="56">
      <c r="A56" s="395" t="inlineStr">
        <is>
          <t>F7925</t>
        </is>
      </c>
      <c r="B56" s="393" t="inlineStr">
        <is>
          <t>ต่อชนกลาง</t>
        </is>
      </c>
      <c r="C56" s="393" t="inlineStr">
        <is>
          <t>อลูมิเนียม Fuji</t>
        </is>
      </c>
      <c r="D56" s="399" t="n">
        <v>440</v>
      </c>
      <c r="E56" s="399" t="n">
        <v>470</v>
      </c>
      <c r="F56" s="399">
        <f>E56</f>
        <v/>
      </c>
      <c r="G56" s="399" t="n">
        <v>475</v>
      </c>
      <c r="H56" s="399" t="n">
        <v>630</v>
      </c>
      <c r="I56" s="399" t="n">
        <v>660</v>
      </c>
      <c r="J56" s="399" t="n">
        <v>660</v>
      </c>
      <c r="K56" s="676">
        <f>IF(ISNUMBER(SEARCH("เมืองทอง",C56)),mult_mtong,IF(ISNUMBER(SEARCH("SlimLux",C56)),mult_slim,IF(ISNUMBER(SEARCH("Velora",C56)),mult_velora,IF(ISNUMBER(SEARCH("Fuji",C56)),mult_euro,mult_sms))))</f>
        <v/>
      </c>
      <c r="L56" s="659">
        <f>ROUND(D56*K56,0)</f>
        <v/>
      </c>
      <c r="M56" s="659">
        <f>IF(E56="",ROUND(L56+'อัปเดตราคาอลู'!$B$13*S56,0),ROUND(E56*K56,0))</f>
        <v/>
      </c>
      <c r="N56" s="659">
        <f>M56</f>
        <v/>
      </c>
      <c r="O56" s="659">
        <f>IF(G56="",ROUND(L56+rate_special*S56,0),ROUND(G56*mult_euro,0))</f>
        <v/>
      </c>
      <c r="P56" s="659">
        <f>IF(H56="",ROUND(L56+rate_woodbake*S56,0),ROUND(H56*mult_wood,0))</f>
        <v/>
      </c>
      <c r="Q56" s="659">
        <f>IF(I56="",ROUND(L56+rate_woodbake*S56,0),ROUND(I56*mult_wood,0))</f>
        <v/>
      </c>
      <c r="R56" s="659">
        <f>IF(J56="",ROUND(L56+rate_woodbake*S56,0),ROUND(J56*mult_wood,0))</f>
        <v/>
      </c>
      <c r="S56" s="705">
        <f>ROUND(D56/(IF(ISNUMBER(SEARCH("เมืองทอง",C56)),'อัปเดตราคาอลู'!$F$8,IF(ISNUMBER(SEARCH("SlimLux",C56)),'อัปเดตราคาอลู'!$F$6,IF(ISNUMBER(SEARCH("Velora",C56)),'อัปเดตราคาอลู'!$F$7,IF(ISNUMBER(SEARCH("Fuji",C56)),'อัปเดตราคาอลู'!$F$5,'อัปเดตราคาอลู'!$F$4))))),3)</f>
        <v/>
      </c>
      <c r="T56" s="705">
        <f>ROUND(P56/(IF(OR(ISNUMBER(SEARCH("เมืองทอง",C56)),ISNUMBER(SEARCH("SlimLux",C56)),ISNUMBER(SEARCH("Velora",C56))),6,6.4)),3)</f>
        <v/>
      </c>
      <c r="U56" s="767">
        <f>ROUND(L56-D56,0)</f>
        <v/>
      </c>
      <c r="V56" s="659">
        <f>IF(D56="","",ROUND(D56+rate_anodize*S56,0))</f>
        <v/>
      </c>
    </row>
    <row r="57">
      <c r="A57" s="395" t="inlineStr">
        <is>
          <t>F7855</t>
        </is>
      </c>
      <c r="B57" s="393" t="inlineStr">
        <is>
          <t>ชนกลางบานเลื่อนรับแรง</t>
        </is>
      </c>
      <c r="C57" s="393" t="inlineStr">
        <is>
          <t>อลูมิเนียม Fuji</t>
        </is>
      </c>
      <c r="D57" s="399" t="n">
        <v>1310</v>
      </c>
      <c r="E57" s="399" t="n">
        <v>1400</v>
      </c>
      <c r="F57" s="399">
        <f>E57</f>
        <v/>
      </c>
      <c r="G57" s="399" t="n">
        <v>1415</v>
      </c>
      <c r="H57" s="399" t="n">
        <v>1190</v>
      </c>
      <c r="I57" s="399" t="n">
        <v>1975</v>
      </c>
      <c r="J57" s="399" t="n">
        <v>1960</v>
      </c>
      <c r="K57" s="676">
        <f>IF(ISNUMBER(SEARCH("เมืองทอง",C57)),mult_mtong,IF(ISNUMBER(SEARCH("SlimLux",C57)),mult_slim,IF(ISNUMBER(SEARCH("Velora",C57)),mult_velora,IF(ISNUMBER(SEARCH("Fuji",C57)),mult_euro,mult_sms))))</f>
        <v/>
      </c>
      <c r="L57" s="659">
        <f>ROUND(D57*K57,0)</f>
        <v/>
      </c>
      <c r="M57" s="659">
        <f>IF(E57="",ROUND(L57+'อัปเดตราคาอลู'!$B$13*S57,0),ROUND(E57*K57,0))</f>
        <v/>
      </c>
      <c r="N57" s="659">
        <f>M57</f>
        <v/>
      </c>
      <c r="O57" s="659">
        <f>IF(G57="",ROUND(L57+rate_special*S57,0),ROUND(G57*mult_euro,0))</f>
        <v/>
      </c>
      <c r="P57" s="659">
        <f>IF(H57="",ROUND(L57+rate_woodbake*S57,0),ROUND(H57*mult_wood,0))</f>
        <v/>
      </c>
      <c r="Q57" s="659">
        <f>IF(I57="",ROUND(L57+rate_woodbake*S57,0),ROUND(I57*mult_wood,0))</f>
        <v/>
      </c>
      <c r="R57" s="659">
        <f>IF(J57="",ROUND(L57+rate_woodbake*S57,0),ROUND(J57*mult_wood,0))</f>
        <v/>
      </c>
      <c r="S57" s="705">
        <f>ROUND(D57/(IF(ISNUMBER(SEARCH("เมืองทอง",C57)),'อัปเดตราคาอลู'!$F$8,IF(ISNUMBER(SEARCH("SlimLux",C57)),'อัปเดตราคาอลู'!$F$6,IF(ISNUMBER(SEARCH("Velora",C57)),'อัปเดตราคาอลู'!$F$7,IF(ISNUMBER(SEARCH("Fuji",C57)),'อัปเดตราคาอลู'!$F$5,'อัปเดตราคาอลู'!$F$4))))),3)</f>
        <v/>
      </c>
      <c r="T57" s="705">
        <f>ROUND(P57/(IF(OR(ISNUMBER(SEARCH("เมืองทอง",C57)),ISNUMBER(SEARCH("SlimLux",C57)),ISNUMBER(SEARCH("Velora",C57))),6,6.4)),3)</f>
        <v/>
      </c>
      <c r="U57" s="767">
        <f>ROUND(L57-D57,0)</f>
        <v/>
      </c>
      <c r="V57" s="659">
        <f>IF(D57="","",ROUND(D57+rate_anodize*S57,0))</f>
        <v/>
      </c>
    </row>
    <row r="58">
      <c r="A58" s="395" t="inlineStr">
        <is>
          <t>F7951</t>
        </is>
      </c>
      <c r="B58" s="393" t="inlineStr">
        <is>
          <t>เสารับแรงบานเลื่อน</t>
        </is>
      </c>
      <c r="C58" s="393" t="inlineStr">
        <is>
          <t>อลูมิเนียม Fuji</t>
        </is>
      </c>
      <c r="D58" s="399" t="n">
        <v>2185</v>
      </c>
      <c r="E58" s="399" t="n">
        <v>2340</v>
      </c>
      <c r="F58" s="399">
        <f>E58</f>
        <v/>
      </c>
      <c r="G58" s="399" t="n">
        <v>2365</v>
      </c>
      <c r="H58" s="399" t="n">
        <v>3105</v>
      </c>
      <c r="I58" s="399" t="n">
        <v>3300</v>
      </c>
      <c r="J58" s="399" t="n">
        <v>3275</v>
      </c>
      <c r="K58" s="676">
        <f>IF(ISNUMBER(SEARCH("เมืองทอง",C58)),mult_mtong,IF(ISNUMBER(SEARCH("SlimLux",C58)),mult_slim,IF(ISNUMBER(SEARCH("Velora",C58)),mult_velora,IF(ISNUMBER(SEARCH("Fuji",C58)),mult_euro,mult_sms))))</f>
        <v/>
      </c>
      <c r="L58" s="659">
        <f>ROUND(D58*K58,0)</f>
        <v/>
      </c>
      <c r="M58" s="659">
        <f>IF(E58="",ROUND(L58+'อัปเดตราคาอลู'!$B$13*S58,0),ROUND(E58*K58,0))</f>
        <v/>
      </c>
      <c r="N58" s="659">
        <f>M58</f>
        <v/>
      </c>
      <c r="O58" s="659">
        <f>IF(G58="",ROUND(L58+rate_special*S58,0),ROUND(G58*mult_euro,0))</f>
        <v/>
      </c>
      <c r="P58" s="659">
        <f>IF(H58="",ROUND(L58+rate_woodbake*S58,0),ROUND(H58*mult_wood,0))</f>
        <v/>
      </c>
      <c r="Q58" s="659">
        <f>IF(I58="",ROUND(L58+rate_woodbake*S58,0),ROUND(I58*mult_wood,0))</f>
        <v/>
      </c>
      <c r="R58" s="659">
        <f>IF(J58="",ROUND(L58+rate_woodbake*S58,0),ROUND(J58*mult_wood,0))</f>
        <v/>
      </c>
      <c r="S58" s="705">
        <f>ROUND(D58/(IF(ISNUMBER(SEARCH("เมืองทอง",C58)),'อัปเดตราคาอลู'!$F$8,IF(ISNUMBER(SEARCH("SlimLux",C58)),'อัปเดตราคาอลู'!$F$6,IF(ISNUMBER(SEARCH("Velora",C58)),'อัปเดตราคาอลู'!$F$7,IF(ISNUMBER(SEARCH("Fuji",C58)),'อัปเดตราคาอลู'!$F$5,'อัปเดตราคาอลู'!$F$4))))),3)</f>
        <v/>
      </c>
      <c r="T58" s="705">
        <f>ROUND(P58/(IF(OR(ISNUMBER(SEARCH("เมืองทอง",C58)),ISNUMBER(SEARCH("SlimLux",C58)),ISNUMBER(SEARCH("Velora",C58))),6,6.4)),3)</f>
        <v/>
      </c>
      <c r="U58" s="767">
        <f>ROUND(L58-D58,0)</f>
        <v/>
      </c>
      <c r="V58" s="659">
        <f>IF(D58="","",ROUND(D58+rate_anodize*S58,0))</f>
        <v/>
      </c>
    </row>
    <row r="59">
      <c r="A59" s="395" t="inlineStr">
        <is>
          <t>F7857</t>
        </is>
      </c>
      <c r="B59" s="393" t="inlineStr">
        <is>
          <t>อแดปเตอร์บานเลือนดิจิตอล</t>
        </is>
      </c>
      <c r="C59" s="393" t="inlineStr">
        <is>
          <t>อลูมิเนียม Fuji</t>
        </is>
      </c>
      <c r="D59" s="399" t="n">
        <v>760</v>
      </c>
      <c r="E59" s="399" t="n">
        <v>815</v>
      </c>
      <c r="F59" s="399">
        <f>E59</f>
        <v/>
      </c>
      <c r="G59" s="399" t="n">
        <v>820</v>
      </c>
      <c r="H59" s="399" t="n">
        <v>1060</v>
      </c>
      <c r="I59" s="399" t="n">
        <v>1145</v>
      </c>
      <c r="J59" s="399" t="n">
        <v>1135</v>
      </c>
      <c r="K59" s="676">
        <f>IF(ISNUMBER(SEARCH("เมืองทอง",C59)),mult_mtong,IF(ISNUMBER(SEARCH("SlimLux",C59)),mult_slim,IF(ISNUMBER(SEARCH("Velora",C59)),mult_velora,IF(ISNUMBER(SEARCH("Fuji",C59)),mult_euro,mult_sms))))</f>
        <v/>
      </c>
      <c r="L59" s="659">
        <f>ROUND(D59*K59,0)</f>
        <v/>
      </c>
      <c r="M59" s="659">
        <f>IF(E59="",ROUND(L59+'อัปเดตราคาอลู'!$B$13*S59,0),ROUND(E59*K59,0))</f>
        <v/>
      </c>
      <c r="N59" s="659">
        <f>M59</f>
        <v/>
      </c>
      <c r="O59" s="659">
        <f>IF(G59="",ROUND(L59+rate_special*S59,0),ROUND(G59*mult_euro,0))</f>
        <v/>
      </c>
      <c r="P59" s="659">
        <f>IF(H59="",ROUND(L59+rate_woodbake*S59,0),ROUND(H59*mult_wood,0))</f>
        <v/>
      </c>
      <c r="Q59" s="659">
        <f>IF(I59="",ROUND(L59+rate_woodbake*S59,0),ROUND(I59*mult_wood,0))</f>
        <v/>
      </c>
      <c r="R59" s="659">
        <f>IF(J59="",ROUND(L59+rate_woodbake*S59,0),ROUND(J59*mult_wood,0))</f>
        <v/>
      </c>
      <c r="S59" s="705">
        <f>ROUND(D59/(IF(ISNUMBER(SEARCH("เมืองทอง",C59)),'อัปเดตราคาอลู'!$F$8,IF(ISNUMBER(SEARCH("SlimLux",C59)),'อัปเดตราคาอลู'!$F$6,IF(ISNUMBER(SEARCH("Velora",C59)),'อัปเดตราคาอลู'!$F$7,IF(ISNUMBER(SEARCH("Fuji",C59)),'อัปเดตราคาอลู'!$F$5,'อัปเดตราคาอลู'!$F$4))))),3)</f>
        <v/>
      </c>
      <c r="T59" s="705">
        <f>ROUND(P59/(IF(OR(ISNUMBER(SEARCH("เมืองทอง",C59)),ISNUMBER(SEARCH("SlimLux",C59)),ISNUMBER(SEARCH("Velora",C59))),6,6.4)),3)</f>
        <v/>
      </c>
      <c r="U59" s="767">
        <f>ROUND(L59-D59,0)</f>
        <v/>
      </c>
      <c r="V59" s="659">
        <f>IF(D59="","",ROUND(D59+rate_anodize*S59,0))</f>
        <v/>
      </c>
    </row>
    <row r="60">
      <c r="A60" s="395" t="inlineStr">
        <is>
          <t>F7918</t>
        </is>
      </c>
      <c r="B60" s="393" t="inlineStr">
        <is>
          <t>เสาต่อหักมุม 90</t>
        </is>
      </c>
      <c r="C60" s="393" t="inlineStr">
        <is>
          <t>อลูมิเนียม Fuji</t>
        </is>
      </c>
      <c r="D60" s="399" t="n">
        <v>840</v>
      </c>
      <c r="E60" s="399" t="n">
        <v>900</v>
      </c>
      <c r="F60" s="399">
        <f>E60</f>
        <v/>
      </c>
      <c r="G60" s="399" t="n">
        <v>910</v>
      </c>
      <c r="H60" s="399" t="n">
        <v>1230</v>
      </c>
      <c r="I60" s="399" t="n">
        <v>1270</v>
      </c>
      <c r="J60" s="399" t="n">
        <v>1260</v>
      </c>
      <c r="K60" s="676">
        <f>IF(ISNUMBER(SEARCH("เมืองทอง",C60)),mult_mtong,IF(ISNUMBER(SEARCH("SlimLux",C60)),mult_slim,IF(ISNUMBER(SEARCH("Velora",C60)),mult_velora,IF(ISNUMBER(SEARCH("Fuji",C60)),mult_euro,mult_sms))))</f>
        <v/>
      </c>
      <c r="L60" s="659">
        <f>ROUND(D60*K60,0)</f>
        <v/>
      </c>
      <c r="M60" s="659">
        <f>IF(E60="",ROUND(L60+'อัปเดตราคาอลู'!$B$13*S60,0),ROUND(E60*K60,0))</f>
        <v/>
      </c>
      <c r="N60" s="659">
        <f>M60</f>
        <v/>
      </c>
      <c r="O60" s="659">
        <f>IF(G60="",ROUND(L60+rate_special*S60,0),ROUND(G60*mult_euro,0))</f>
        <v/>
      </c>
      <c r="P60" s="659">
        <f>IF(H60="",ROUND(L60+rate_woodbake*S60,0),ROUND(H60*mult_wood,0))</f>
        <v/>
      </c>
      <c r="Q60" s="659">
        <f>IF(I60="",ROUND(L60+rate_woodbake*S60,0),ROUND(I60*mult_wood,0))</f>
        <v/>
      </c>
      <c r="R60" s="659">
        <f>IF(J60="",ROUND(L60+rate_woodbake*S60,0),ROUND(J60*mult_wood,0))</f>
        <v/>
      </c>
      <c r="S60" s="705">
        <f>ROUND(D60/(IF(ISNUMBER(SEARCH("เมืองทอง",C60)),'อัปเดตราคาอลู'!$F$8,IF(ISNUMBER(SEARCH("SlimLux",C60)),'อัปเดตราคาอลู'!$F$6,IF(ISNUMBER(SEARCH("Velora",C60)),'อัปเดตราคาอลู'!$F$7,IF(ISNUMBER(SEARCH("Fuji",C60)),'อัปเดตราคาอลู'!$F$5,'อัปเดตราคาอลู'!$F$4))))),3)</f>
        <v/>
      </c>
      <c r="T60" s="705">
        <f>ROUND(P60/(IF(OR(ISNUMBER(SEARCH("เมืองทอง",C60)),ISNUMBER(SEARCH("SlimLux",C60)),ISNUMBER(SEARCH("Velora",C60))),6,6.4)),3)</f>
        <v/>
      </c>
      <c r="U60" s="767">
        <f>ROUND(L60-D60,0)</f>
        <v/>
      </c>
      <c r="V60" s="659">
        <f>IF(D60="","",ROUND(D60+rate_anodize*S60,0))</f>
        <v/>
      </c>
    </row>
    <row r="61">
      <c r="A61" s="395" t="inlineStr">
        <is>
          <t>F7993</t>
        </is>
      </c>
      <c r="B61" s="393" t="inlineStr">
        <is>
          <t>ตบปิดร่องรางเลื่อน</t>
        </is>
      </c>
      <c r="C61" s="393" t="inlineStr">
        <is>
          <t>อลูมิเนียม Fuji</t>
        </is>
      </c>
      <c r="D61" s="399" t="n">
        <v>95</v>
      </c>
      <c r="E61" s="399" t="n">
        <v>105</v>
      </c>
      <c r="F61" s="399">
        <f>E61</f>
        <v/>
      </c>
      <c r="G61" s="399" t="n">
        <v>115</v>
      </c>
      <c r="H61" s="399" t="n">
        <v>180</v>
      </c>
      <c r="I61" s="399" t="n">
        <v>130</v>
      </c>
      <c r="J61" s="399" t="n">
        <v>125</v>
      </c>
      <c r="K61" s="676">
        <f>IF(ISNUMBER(SEARCH("เมืองทอง",C61)),mult_mtong,IF(ISNUMBER(SEARCH("SlimLux",C61)),mult_slim,IF(ISNUMBER(SEARCH("Velora",C61)),mult_velora,IF(ISNUMBER(SEARCH("Fuji",C61)),mult_euro,mult_sms))))</f>
        <v/>
      </c>
      <c r="L61" s="659">
        <f>ROUND(D61*K61,0)</f>
        <v/>
      </c>
      <c r="M61" s="659">
        <f>IF(E61="",ROUND(L61+'อัปเดตราคาอลู'!$B$13*S61,0),ROUND(E61*K61,0))</f>
        <v/>
      </c>
      <c r="N61" s="659">
        <f>M61</f>
        <v/>
      </c>
      <c r="O61" s="659">
        <f>IF(G61="",ROUND(L61+rate_special*S61,0),ROUND(G61*mult_euro,0))</f>
        <v/>
      </c>
      <c r="P61" s="659">
        <f>IF(H61="",ROUND(L61+rate_woodbake*S61,0),ROUND(H61*mult_wood,0))</f>
        <v/>
      </c>
      <c r="Q61" s="659">
        <f>IF(I61="",ROUND(L61+rate_woodbake*S61,0),ROUND(I61*mult_wood,0))</f>
        <v/>
      </c>
      <c r="R61" s="659">
        <f>IF(J61="",ROUND(L61+rate_woodbake*S61,0),ROUND(J61*mult_wood,0))</f>
        <v/>
      </c>
      <c r="S61" s="705">
        <f>ROUND(D61/(IF(ISNUMBER(SEARCH("เมืองทอง",C61)),'อัปเดตราคาอลู'!$F$8,IF(ISNUMBER(SEARCH("SlimLux",C61)),'อัปเดตราคาอลู'!$F$6,IF(ISNUMBER(SEARCH("Velora",C61)),'อัปเดตราคาอลู'!$F$7,IF(ISNUMBER(SEARCH("Fuji",C61)),'อัปเดตราคาอลู'!$F$5,'อัปเดตราคาอลู'!$F$4))))),3)</f>
        <v/>
      </c>
      <c r="T61" s="705">
        <f>ROUND(P61/(IF(OR(ISNUMBER(SEARCH("เมืองทอง",C61)),ISNUMBER(SEARCH("SlimLux",C61)),ISNUMBER(SEARCH("Velora",C61))),6,6.4)),3)</f>
        <v/>
      </c>
      <c r="U61" s="767">
        <f>ROUND(L61-D61,0)</f>
        <v/>
      </c>
      <c r="V61" s="659">
        <f>IF(D61="","",ROUND(D61+rate_anodize*S61,0))</f>
        <v/>
      </c>
    </row>
    <row r="62">
      <c r="A62" s="395" t="inlineStr">
        <is>
          <t>F7988</t>
        </is>
      </c>
      <c r="B62" s="393" t="inlineStr">
        <is>
          <t>ตบปิดร่อง</t>
        </is>
      </c>
      <c r="C62" s="393" t="inlineStr">
        <is>
          <t>อลูมิเนียม Fuji</t>
        </is>
      </c>
      <c r="D62" s="399" t="n">
        <v>100</v>
      </c>
      <c r="E62" s="399" t="n">
        <v>110</v>
      </c>
      <c r="F62" s="399">
        <f>E62</f>
        <v/>
      </c>
      <c r="G62" s="399" t="n">
        <v>115</v>
      </c>
      <c r="H62" s="399" t="n">
        <v>170</v>
      </c>
      <c r="I62" s="399" t="n">
        <v>135</v>
      </c>
      <c r="J62" s="399" t="n">
        <v>130</v>
      </c>
      <c r="K62" s="676">
        <f>IF(ISNUMBER(SEARCH("เมืองทอง",C62)),mult_mtong,IF(ISNUMBER(SEARCH("SlimLux",C62)),mult_slim,IF(ISNUMBER(SEARCH("Velora",C62)),mult_velora,IF(ISNUMBER(SEARCH("Fuji",C62)),mult_euro,mult_sms))))</f>
        <v/>
      </c>
      <c r="L62" s="659">
        <f>ROUND(D62*K62,0)</f>
        <v/>
      </c>
      <c r="M62" s="659">
        <f>IF(E62="",ROUND(L62+'อัปเดตราคาอลู'!$B$13*S62,0),ROUND(E62*K62,0))</f>
        <v/>
      </c>
      <c r="N62" s="659">
        <f>M62</f>
        <v/>
      </c>
      <c r="O62" s="659">
        <f>IF(G62="",ROUND(L62+rate_special*S62,0),ROUND(G62*mult_euro,0))</f>
        <v/>
      </c>
      <c r="P62" s="659">
        <f>IF(H62="",ROUND(L62+rate_woodbake*S62,0),ROUND(H62*mult_wood,0))</f>
        <v/>
      </c>
      <c r="Q62" s="659">
        <f>IF(I62="",ROUND(L62+rate_woodbake*S62,0),ROUND(I62*mult_wood,0))</f>
        <v/>
      </c>
      <c r="R62" s="659">
        <f>IF(J62="",ROUND(L62+rate_woodbake*S62,0),ROUND(J62*mult_wood,0))</f>
        <v/>
      </c>
      <c r="S62" s="705">
        <f>ROUND(D62/(IF(ISNUMBER(SEARCH("เมืองทอง",C62)),'อัปเดตราคาอลู'!$F$8,IF(ISNUMBER(SEARCH("SlimLux",C62)),'อัปเดตราคาอลู'!$F$6,IF(ISNUMBER(SEARCH("Velora",C62)),'อัปเดตราคาอลู'!$F$7,IF(ISNUMBER(SEARCH("Fuji",C62)),'อัปเดตราคาอลู'!$F$5,'อัปเดตราคาอลู'!$F$4))))),3)</f>
        <v/>
      </c>
      <c r="T62" s="705">
        <f>ROUND(P62/(IF(OR(ISNUMBER(SEARCH("เมืองทอง",C62)),ISNUMBER(SEARCH("SlimLux",C62)),ISNUMBER(SEARCH("Velora",C62))),6,6.4)),3)</f>
        <v/>
      </c>
      <c r="U62" s="767">
        <f>ROUND(L62-D62,0)</f>
        <v/>
      </c>
      <c r="V62" s="659">
        <f>IF(D62="","",ROUND(D62+rate_anodize*S62,0))</f>
        <v/>
      </c>
    </row>
    <row r="63">
      <c r="A63" s="395" t="inlineStr">
        <is>
          <t>F7994</t>
        </is>
      </c>
      <c r="B63" s="393" t="inlineStr">
        <is>
          <t>เส้นรางเลื่อน</t>
        </is>
      </c>
      <c r="C63" s="393" t="inlineStr">
        <is>
          <t>อลูมิเนียม Fuji</t>
        </is>
      </c>
      <c r="D63" s="399" t="n">
        <v>150</v>
      </c>
      <c r="E63" s="399" t="n"/>
      <c r="F63" s="399">
        <f>E63</f>
        <v/>
      </c>
      <c r="G63" s="399" t="n"/>
      <c r="H63" s="399" t="n"/>
      <c r="I63" s="399" t="n"/>
      <c r="J63" s="399" t="n"/>
      <c r="K63" s="676">
        <f>IF(ISNUMBER(SEARCH("เมืองทอง",C63)),mult_mtong,IF(ISNUMBER(SEARCH("SlimLux",C63)),mult_slim,IF(ISNUMBER(SEARCH("Velora",C63)),mult_velora,IF(ISNUMBER(SEARCH("Fuji",C63)),mult_euro,mult_sms))))</f>
        <v/>
      </c>
      <c r="L63" s="659">
        <f>ROUND(D63*K63,0)</f>
        <v/>
      </c>
      <c r="M63" s="659">
        <f>IF(E63="",ROUND(L63+'อัปเดตราคาอลู'!$B$13*S63,0),ROUND(E63*K63,0))</f>
        <v/>
      </c>
      <c r="N63" s="659">
        <f>M63</f>
        <v/>
      </c>
      <c r="O63" s="659">
        <f>IF(G63="",ROUND(L63+rate_special*S63,0),ROUND(G63*mult_euro,0))</f>
        <v/>
      </c>
      <c r="P63" s="659">
        <f>IF(H63="",ROUND(L63+rate_woodbake*S63,0),ROUND(H63*mult_wood,0))</f>
        <v/>
      </c>
      <c r="Q63" s="659">
        <f>IF(I63="",ROUND(L63+rate_woodbake*S63,0),ROUND(I63*mult_wood,0))</f>
        <v/>
      </c>
      <c r="R63" s="659">
        <f>IF(J63="",ROUND(L63+rate_woodbake*S63,0),ROUND(J63*mult_wood,0))</f>
        <v/>
      </c>
      <c r="S63" s="705">
        <f>ROUND(D63/(IF(ISNUMBER(SEARCH("เมืองทอง",C63)),'อัปเดตราคาอลู'!$F$8,IF(ISNUMBER(SEARCH("SlimLux",C63)),'อัปเดตราคาอลู'!$F$6,IF(ISNUMBER(SEARCH("Velora",C63)),'อัปเดตราคาอลู'!$F$7,IF(ISNUMBER(SEARCH("Fuji",C63)),'อัปเดตราคาอลู'!$F$5,'อัปเดตราคาอลู'!$F$4))))),3)</f>
        <v/>
      </c>
      <c r="T63" s="705">
        <f>ROUND(P63/(IF(OR(ISNUMBER(SEARCH("เมืองทอง",C63)),ISNUMBER(SEARCH("SlimLux",C63)),ISNUMBER(SEARCH("Velora",C63))),6,6.4)),3)</f>
        <v/>
      </c>
      <c r="U63" s="767">
        <f>ROUND(L63-D63,0)</f>
        <v/>
      </c>
      <c r="V63" s="659">
        <f>IF(D63="","",ROUND(D63+rate_anodize*S63,0))</f>
        <v/>
      </c>
    </row>
    <row r="64">
      <c r="A64" s="395" t="inlineStr">
        <is>
          <t>F7987</t>
        </is>
      </c>
      <c r="B64" s="393" t="inlineStr">
        <is>
          <t>คิ้วมุ้งบานเลื่อน</t>
        </is>
      </c>
      <c r="C64" s="393" t="inlineStr">
        <is>
          <t>อลูมิเนียม Fuji</t>
        </is>
      </c>
      <c r="D64" s="399" t="n">
        <v>175</v>
      </c>
      <c r="E64" s="399" t="n">
        <v>185</v>
      </c>
      <c r="F64" s="399">
        <f>E64</f>
        <v/>
      </c>
      <c r="G64" s="399" t="n">
        <v>190</v>
      </c>
      <c r="H64" s="399" t="n">
        <v>270</v>
      </c>
      <c r="I64" s="399" t="n">
        <v>260</v>
      </c>
      <c r="J64" s="399" t="n">
        <v>260</v>
      </c>
      <c r="K64" s="676">
        <f>IF(ISNUMBER(SEARCH("เมืองทอง",C64)),mult_mtong,IF(ISNUMBER(SEARCH("SlimLux",C64)),mult_slim,IF(ISNUMBER(SEARCH("Velora",C64)),mult_velora,IF(ISNUMBER(SEARCH("Fuji",C64)),mult_euro,mult_sms))))</f>
        <v/>
      </c>
      <c r="L64" s="659">
        <f>ROUND(D64*K64,0)</f>
        <v/>
      </c>
      <c r="M64" s="659">
        <f>IF(E64="",ROUND(L64+'อัปเดตราคาอลู'!$B$13*S64,0),ROUND(E64*K64,0))</f>
        <v/>
      </c>
      <c r="N64" s="659">
        <f>M64</f>
        <v/>
      </c>
      <c r="O64" s="659">
        <f>IF(G64="",ROUND(L64+rate_special*S64,0),ROUND(G64*mult_euro,0))</f>
        <v/>
      </c>
      <c r="P64" s="659">
        <f>IF(H64="",ROUND(L64+rate_woodbake*S64,0),ROUND(H64*mult_wood,0))</f>
        <v/>
      </c>
      <c r="Q64" s="659">
        <f>IF(I64="",ROUND(L64+rate_woodbake*S64,0),ROUND(I64*mult_wood,0))</f>
        <v/>
      </c>
      <c r="R64" s="659">
        <f>IF(J64="",ROUND(L64+rate_woodbake*S64,0),ROUND(J64*mult_wood,0))</f>
        <v/>
      </c>
      <c r="S64" s="705">
        <f>ROUND(D64/(IF(ISNUMBER(SEARCH("เมืองทอง",C64)),'อัปเดตราคาอลู'!$F$8,IF(ISNUMBER(SEARCH("SlimLux",C64)),'อัปเดตราคาอลู'!$F$6,IF(ISNUMBER(SEARCH("Velora",C64)),'อัปเดตราคาอลู'!$F$7,IF(ISNUMBER(SEARCH("Fuji",C64)),'อัปเดตราคาอลู'!$F$5,'อัปเดตราคาอลู'!$F$4))))),3)</f>
        <v/>
      </c>
      <c r="T64" s="705">
        <f>ROUND(P64/(IF(OR(ISNUMBER(SEARCH("เมืองทอง",C64)),ISNUMBER(SEARCH("SlimLux",C64)),ISNUMBER(SEARCH("Velora",C64))),6,6.4)),3)</f>
        <v/>
      </c>
      <c r="U64" s="767">
        <f>ROUND(L64-D64,0)</f>
        <v/>
      </c>
      <c r="V64" s="659">
        <f>IF(D64="","",ROUND(D64+rate_anodize*S64,0))</f>
        <v/>
      </c>
    </row>
    <row r="65">
      <c r="A65" s="395" t="inlineStr">
        <is>
          <t>F7996</t>
        </is>
      </c>
      <c r="B65" s="393" t="inlineStr">
        <is>
          <t>คิ้วลอยช่องแสง</t>
        </is>
      </c>
      <c r="C65" s="393" t="inlineStr">
        <is>
          <t>อลูมิเนียม Fuji</t>
        </is>
      </c>
      <c r="D65" s="399" t="n">
        <v>425</v>
      </c>
      <c r="E65" s="399" t="n">
        <v>455</v>
      </c>
      <c r="F65" s="399">
        <f>E65</f>
        <v/>
      </c>
      <c r="G65" s="399" t="n">
        <v>460</v>
      </c>
      <c r="H65" s="399" t="n">
        <v>725</v>
      </c>
      <c r="I65" s="399" t="n">
        <v>645</v>
      </c>
      <c r="J65" s="399" t="n">
        <v>640</v>
      </c>
      <c r="K65" s="676">
        <f>IF(ISNUMBER(SEARCH("เมืองทอง",C65)),mult_mtong,IF(ISNUMBER(SEARCH("SlimLux",C65)),mult_slim,IF(ISNUMBER(SEARCH("Velora",C65)),mult_velora,IF(ISNUMBER(SEARCH("Fuji",C65)),mult_euro,mult_sms))))</f>
        <v/>
      </c>
      <c r="L65" s="659">
        <f>ROUND(D65*K65,0)</f>
        <v/>
      </c>
      <c r="M65" s="659">
        <f>IF(E65="",ROUND(L65+'อัปเดตราคาอลู'!$B$13*S65,0),ROUND(E65*K65,0))</f>
        <v/>
      </c>
      <c r="N65" s="659">
        <f>M65</f>
        <v/>
      </c>
      <c r="O65" s="659">
        <f>IF(G65="",ROUND(L65+rate_special*S65,0),ROUND(G65*mult_euro,0))</f>
        <v/>
      </c>
      <c r="P65" s="659">
        <f>IF(H65="",ROUND(L65+rate_woodbake*S65,0),ROUND(H65*mult_wood,0))</f>
        <v/>
      </c>
      <c r="Q65" s="659">
        <f>IF(I65="",ROUND(L65+rate_woodbake*S65,0),ROUND(I65*mult_wood,0))</f>
        <v/>
      </c>
      <c r="R65" s="659">
        <f>IF(J65="",ROUND(L65+rate_woodbake*S65,0),ROUND(J65*mult_wood,0))</f>
        <v/>
      </c>
      <c r="S65" s="705">
        <f>ROUND(D65/(IF(ISNUMBER(SEARCH("เมืองทอง",C65)),'อัปเดตราคาอลู'!$F$8,IF(ISNUMBER(SEARCH("SlimLux",C65)),'อัปเดตราคาอลู'!$F$6,IF(ISNUMBER(SEARCH("Velora",C65)),'อัปเดตราคาอลู'!$F$7,IF(ISNUMBER(SEARCH("Fuji",C65)),'อัปเดตราคาอลู'!$F$5,'อัปเดตราคาอลู'!$F$4))))),3)</f>
        <v/>
      </c>
      <c r="T65" s="705">
        <f>ROUND(P65/(IF(OR(ISNUMBER(SEARCH("เมืองทอง",C65)),ISNUMBER(SEARCH("SlimLux",C65)),ISNUMBER(SEARCH("Velora",C65))),6,6.4)),3)</f>
        <v/>
      </c>
      <c r="U65" s="767">
        <f>ROUND(L65-D65,0)</f>
        <v/>
      </c>
      <c r="V65" s="659">
        <f>IF(D65="","",ROUND(D65+rate_anodize*S65,0))</f>
        <v/>
      </c>
    </row>
    <row r="66">
      <c r="A66" s="395" t="inlineStr">
        <is>
          <t>F7919</t>
        </is>
      </c>
      <c r="B66" s="393" t="inlineStr">
        <is>
          <t>คิ้วกรอบบาน</t>
        </is>
      </c>
      <c r="C66" s="393" t="inlineStr">
        <is>
          <t>อลูมิเนียม Fuji</t>
        </is>
      </c>
      <c r="D66" s="399" t="n">
        <v>225</v>
      </c>
      <c r="E66" s="399" t="n">
        <v>240</v>
      </c>
      <c r="F66" s="399">
        <f>E66</f>
        <v/>
      </c>
      <c r="G66" s="399" t="n">
        <v>240</v>
      </c>
      <c r="H66" s="399" t="n">
        <v>295</v>
      </c>
      <c r="I66" s="399" t="n">
        <v>335</v>
      </c>
      <c r="J66" s="399" t="n">
        <v>335</v>
      </c>
      <c r="K66" s="676">
        <f>IF(ISNUMBER(SEARCH("เมืองทอง",C66)),mult_mtong,IF(ISNUMBER(SEARCH("SlimLux",C66)),mult_slim,IF(ISNUMBER(SEARCH("Velora",C66)),mult_velora,IF(ISNUMBER(SEARCH("Fuji",C66)),mult_euro,mult_sms))))</f>
        <v/>
      </c>
      <c r="L66" s="659">
        <f>ROUND(D66*K66,0)</f>
        <v/>
      </c>
      <c r="M66" s="659">
        <f>IF(E66="",ROUND(L66+'อัปเดตราคาอลู'!$B$13*S66,0),ROUND(E66*K66,0))</f>
        <v/>
      </c>
      <c r="N66" s="659">
        <f>M66</f>
        <v/>
      </c>
      <c r="O66" s="659">
        <f>IF(G66="",ROUND(L66+rate_special*S66,0),ROUND(G66*mult_euro,0))</f>
        <v/>
      </c>
      <c r="P66" s="659">
        <f>IF(H66="",ROUND(L66+rate_woodbake*S66,0),ROUND(H66*mult_wood,0))</f>
        <v/>
      </c>
      <c r="Q66" s="659">
        <f>IF(I66="",ROUND(L66+rate_woodbake*S66,0),ROUND(I66*mult_wood,0))</f>
        <v/>
      </c>
      <c r="R66" s="659">
        <f>IF(J66="",ROUND(L66+rate_woodbake*S66,0),ROUND(J66*mult_wood,0))</f>
        <v/>
      </c>
      <c r="S66" s="705">
        <f>ROUND(D66/(IF(ISNUMBER(SEARCH("เมืองทอง",C66)),'อัปเดตราคาอลู'!$F$8,IF(ISNUMBER(SEARCH("SlimLux",C66)),'อัปเดตราคาอลู'!$F$6,IF(ISNUMBER(SEARCH("Velora",C66)),'อัปเดตราคาอลู'!$F$7,IF(ISNUMBER(SEARCH("Fuji",C66)),'อัปเดตราคาอลู'!$F$5,'อัปเดตราคาอลู'!$F$4))))),3)</f>
        <v/>
      </c>
      <c r="T66" s="705">
        <f>ROUND(P66/(IF(OR(ISNUMBER(SEARCH("เมืองทอง",C66)),ISNUMBER(SEARCH("SlimLux",C66)),ISNUMBER(SEARCH("Velora",C66))),6,6.4)),3)</f>
        <v/>
      </c>
      <c r="U66" s="767">
        <f>ROUND(L66-D66,0)</f>
        <v/>
      </c>
      <c r="V66" s="659">
        <f>IF(D66="","",ROUND(D66+rate_anodize*S66,0))</f>
        <v/>
      </c>
    </row>
    <row r="67">
      <c r="A67" s="395" t="inlineStr">
        <is>
          <t>F7917</t>
        </is>
      </c>
      <c r="B67" s="393" t="inlineStr">
        <is>
          <t>คิ้วกรอบบาน</t>
        </is>
      </c>
      <c r="C67" s="393" t="inlineStr">
        <is>
          <t>อลูมิเนียม Fuji</t>
        </is>
      </c>
      <c r="D67" s="399" t="n">
        <v>175</v>
      </c>
      <c r="E67" s="399" t="n">
        <v>185</v>
      </c>
      <c r="F67" s="399">
        <f>E67</f>
        <v/>
      </c>
      <c r="G67" s="399" t="n">
        <v>190</v>
      </c>
      <c r="H67" s="399" t="n">
        <v>255</v>
      </c>
      <c r="I67" s="399" t="n">
        <v>260</v>
      </c>
      <c r="J67" s="399" t="n">
        <v>260</v>
      </c>
      <c r="K67" s="676">
        <f>IF(ISNUMBER(SEARCH("เมืองทอง",C67)),mult_mtong,IF(ISNUMBER(SEARCH("SlimLux",C67)),mult_slim,IF(ISNUMBER(SEARCH("Velora",C67)),mult_velora,IF(ISNUMBER(SEARCH("Fuji",C67)),mult_euro,mult_sms))))</f>
        <v/>
      </c>
      <c r="L67" s="659">
        <f>ROUND(D67*K67,0)</f>
        <v/>
      </c>
      <c r="M67" s="659">
        <f>IF(E67="",ROUND(L67+'อัปเดตราคาอลู'!$B$13*S67,0),ROUND(E67*K67,0))</f>
        <v/>
      </c>
      <c r="N67" s="659">
        <f>M67</f>
        <v/>
      </c>
      <c r="O67" s="659">
        <f>IF(G67="",ROUND(L67+rate_special*S67,0),ROUND(G67*mult_euro,0))</f>
        <v/>
      </c>
      <c r="P67" s="659">
        <f>IF(H67="",ROUND(L67+rate_woodbake*S67,0),ROUND(H67*mult_wood,0))</f>
        <v/>
      </c>
      <c r="Q67" s="659">
        <f>IF(I67="",ROUND(L67+rate_woodbake*S67,0),ROUND(I67*mult_wood,0))</f>
        <v/>
      </c>
      <c r="R67" s="659">
        <f>IF(J67="",ROUND(L67+rate_woodbake*S67,0),ROUND(J67*mult_wood,0))</f>
        <v/>
      </c>
      <c r="S67" s="705">
        <f>ROUND(D67/(IF(ISNUMBER(SEARCH("เมืองทอง",C67)),'อัปเดตราคาอลู'!$F$8,IF(ISNUMBER(SEARCH("SlimLux",C67)),'อัปเดตราคาอลู'!$F$6,IF(ISNUMBER(SEARCH("Velora",C67)),'อัปเดตราคาอลู'!$F$7,IF(ISNUMBER(SEARCH("Fuji",C67)),'อัปเดตราคาอลู'!$F$5,'อัปเดตราคาอลู'!$F$4))))),3)</f>
        <v/>
      </c>
      <c r="T67" s="705">
        <f>ROUND(P67/(IF(OR(ISNUMBER(SEARCH("เมืองทอง",C67)),ISNUMBER(SEARCH("SlimLux",C67)),ISNUMBER(SEARCH("Velora",C67))),6,6.4)),3)</f>
        <v/>
      </c>
      <c r="U67" s="767">
        <f>ROUND(L67-D67,0)</f>
        <v/>
      </c>
      <c r="V67" s="659">
        <f>IF(D67="","",ROUND(D67+rate_anodize*S67,0))</f>
        <v/>
      </c>
    </row>
    <row r="68">
      <c r="A68" s="395" t="inlineStr">
        <is>
          <t>F7950</t>
        </is>
      </c>
      <c r="B68" s="393" t="inlineStr">
        <is>
          <t>คิ้วกรอบบาน</t>
        </is>
      </c>
      <c r="C68" s="393" t="inlineStr">
        <is>
          <t>อลูมิเนียม Fuji</t>
        </is>
      </c>
      <c r="D68" s="399" t="n">
        <v>175</v>
      </c>
      <c r="E68" s="399" t="n">
        <v>185</v>
      </c>
      <c r="F68" s="399">
        <f>E68</f>
        <v/>
      </c>
      <c r="G68" s="399" t="n">
        <v>190</v>
      </c>
      <c r="H68" s="399" t="n">
        <v>255</v>
      </c>
      <c r="I68" s="399" t="n">
        <v>260</v>
      </c>
      <c r="J68" s="399" t="n">
        <v>260</v>
      </c>
      <c r="K68" s="676">
        <f>IF(ISNUMBER(SEARCH("เมืองทอง",C68)),mult_mtong,IF(ISNUMBER(SEARCH("SlimLux",C68)),mult_slim,IF(ISNUMBER(SEARCH("Velora",C68)),mult_velora,IF(ISNUMBER(SEARCH("Fuji",C68)),mult_euro,mult_sms))))</f>
        <v/>
      </c>
      <c r="L68" s="659">
        <f>ROUND(D68*K68,0)</f>
        <v/>
      </c>
      <c r="M68" s="659">
        <f>IF(E68="",ROUND(L68+'อัปเดตราคาอลู'!$B$13*S68,0),ROUND(E68*K68,0))</f>
        <v/>
      </c>
      <c r="N68" s="659">
        <f>M68</f>
        <v/>
      </c>
      <c r="O68" s="659">
        <f>IF(G68="",ROUND(L68+rate_special*S68,0),ROUND(G68*mult_euro,0))</f>
        <v/>
      </c>
      <c r="P68" s="659">
        <f>IF(H68="",ROUND(L68+rate_woodbake*S68,0),ROUND(H68*mult_wood,0))</f>
        <v/>
      </c>
      <c r="Q68" s="659">
        <f>IF(I68="",ROUND(L68+rate_woodbake*S68,0),ROUND(I68*mult_wood,0))</f>
        <v/>
      </c>
      <c r="R68" s="659">
        <f>IF(J68="",ROUND(L68+rate_woodbake*S68,0),ROUND(J68*mult_wood,0))</f>
        <v/>
      </c>
      <c r="S68" s="705">
        <f>ROUND(D68/(IF(ISNUMBER(SEARCH("เมืองทอง",C68)),'อัปเดตราคาอลู'!$F$8,IF(ISNUMBER(SEARCH("SlimLux",C68)),'อัปเดตราคาอลู'!$F$6,IF(ISNUMBER(SEARCH("Velora",C68)),'อัปเดตราคาอลู'!$F$7,IF(ISNUMBER(SEARCH("Fuji",C68)),'อัปเดตราคาอลู'!$F$5,'อัปเดตราคาอลู'!$F$4))))),3)</f>
        <v/>
      </c>
      <c r="T68" s="705">
        <f>ROUND(P68/(IF(OR(ISNUMBER(SEARCH("เมืองทอง",C68)),ISNUMBER(SEARCH("SlimLux",C68)),ISNUMBER(SEARCH("Velora",C68))),6,6.4)),3)</f>
        <v/>
      </c>
      <c r="U68" s="767">
        <f>ROUND(L68-D68,0)</f>
        <v/>
      </c>
      <c r="V68" s="659">
        <f>IF(D68="","",ROUND(D68+rate_anodize*S68,0))</f>
        <v/>
      </c>
    </row>
    <row r="69">
      <c r="A69" s="395" t="inlineStr">
        <is>
          <t>F7952</t>
        </is>
      </c>
      <c r="B69" s="393" t="inlineStr">
        <is>
          <t>แผ่นยึดเฟรมล่าง</t>
        </is>
      </c>
      <c r="C69" s="393" t="inlineStr">
        <is>
          <t>อลูมิเนียม Fuji</t>
        </is>
      </c>
      <c r="D69" s="399" t="n">
        <v>585</v>
      </c>
      <c r="E69" s="399" t="n">
        <v>625</v>
      </c>
      <c r="F69" s="399">
        <f>E69</f>
        <v/>
      </c>
      <c r="G69" s="399" t="n">
        <v>635</v>
      </c>
      <c r="H69" s="399" t="n">
        <v>855</v>
      </c>
      <c r="I69" s="399" t="n">
        <v>885</v>
      </c>
      <c r="J69" s="399" t="n">
        <v>875</v>
      </c>
      <c r="K69" s="676">
        <f>IF(ISNUMBER(SEARCH("เมืองทอง",C69)),mult_mtong,IF(ISNUMBER(SEARCH("SlimLux",C69)),mult_slim,IF(ISNUMBER(SEARCH("Velora",C69)),mult_velora,IF(ISNUMBER(SEARCH("Fuji",C69)),mult_euro,mult_sms))))</f>
        <v/>
      </c>
      <c r="L69" s="659">
        <f>ROUND(D69*K69,0)</f>
        <v/>
      </c>
      <c r="M69" s="659">
        <f>IF(E69="",ROUND(L69+'อัปเดตราคาอลู'!$B$13*S69,0),ROUND(E69*K69,0))</f>
        <v/>
      </c>
      <c r="N69" s="659">
        <f>M69</f>
        <v/>
      </c>
      <c r="O69" s="659">
        <f>IF(G69="",ROUND(L69+rate_special*S69,0),ROUND(G69*mult_euro,0))</f>
        <v/>
      </c>
      <c r="P69" s="659">
        <f>IF(H69="",ROUND(L69+rate_woodbake*S69,0),ROUND(H69*mult_wood,0))</f>
        <v/>
      </c>
      <c r="Q69" s="659">
        <f>IF(I69="",ROUND(L69+rate_woodbake*S69,0),ROUND(I69*mult_wood,0))</f>
        <v/>
      </c>
      <c r="R69" s="659">
        <f>IF(J69="",ROUND(L69+rate_woodbake*S69,0),ROUND(J69*mult_wood,0))</f>
        <v/>
      </c>
      <c r="S69" s="705">
        <f>ROUND(D69/(IF(ISNUMBER(SEARCH("เมืองทอง",C69)),'อัปเดตราคาอลู'!$F$8,IF(ISNUMBER(SEARCH("SlimLux",C69)),'อัปเดตราคาอลู'!$F$6,IF(ISNUMBER(SEARCH("Velora",C69)),'อัปเดตราคาอลู'!$F$7,IF(ISNUMBER(SEARCH("Fuji",C69)),'อัปเดตราคาอลู'!$F$5,'อัปเดตราคาอลู'!$F$4))))),3)</f>
        <v/>
      </c>
      <c r="T69" s="705">
        <f>ROUND(P69/(IF(OR(ISNUMBER(SEARCH("เมืองทอง",C69)),ISNUMBER(SEARCH("SlimLux",C69)),ISNUMBER(SEARCH("Velora",C69))),6,6.4)),3)</f>
        <v/>
      </c>
      <c r="U69" s="767">
        <f>ROUND(L69-D69,0)</f>
        <v/>
      </c>
      <c r="V69" s="659">
        <f>IF(D69="","",ROUND(D69+rate_anodize*S69,0))</f>
        <v/>
      </c>
    </row>
    <row r="70">
      <c r="A70" s="395" t="inlineStr">
        <is>
          <t>F7879</t>
        </is>
      </c>
      <c r="B70" s="393" t="inlineStr">
        <is>
          <t>ตบธรณีเรียบตัวกลาง</t>
        </is>
      </c>
      <c r="C70" s="393" t="inlineStr">
        <is>
          <t>อลูมิเนียม Fuji</t>
        </is>
      </c>
      <c r="D70" s="399" t="n">
        <v>375</v>
      </c>
      <c r="E70" s="399" t="n">
        <v>400</v>
      </c>
      <c r="F70" s="399">
        <f>E70</f>
        <v/>
      </c>
      <c r="G70" s="399" t="n">
        <v>405</v>
      </c>
      <c r="H70" s="399" t="n">
        <v>560</v>
      </c>
      <c r="I70" s="399" t="n">
        <v>565</v>
      </c>
      <c r="J70" s="399" t="n">
        <v>560</v>
      </c>
      <c r="K70" s="676">
        <f>IF(ISNUMBER(SEARCH("เมืองทอง",C70)),mult_mtong,IF(ISNUMBER(SEARCH("SlimLux",C70)),mult_slim,IF(ISNUMBER(SEARCH("Velora",C70)),mult_velora,IF(ISNUMBER(SEARCH("Fuji",C70)),mult_euro,mult_sms))))</f>
        <v/>
      </c>
      <c r="L70" s="659">
        <f>ROUND(D70*K70,0)</f>
        <v/>
      </c>
      <c r="M70" s="659">
        <f>IF(E70="",ROUND(L70+'อัปเดตราคาอลู'!$B$13*S70,0),ROUND(E70*K70,0))</f>
        <v/>
      </c>
      <c r="N70" s="659">
        <f>M70</f>
        <v/>
      </c>
      <c r="O70" s="659">
        <f>IF(G70="",ROUND(L70+rate_special*S70,0),ROUND(G70*mult_euro,0))</f>
        <v/>
      </c>
      <c r="P70" s="659">
        <f>IF(H70="",ROUND(L70+rate_woodbake*S70,0),ROUND(H70*mult_wood,0))</f>
        <v/>
      </c>
      <c r="Q70" s="659">
        <f>IF(I70="",ROUND(L70+rate_woodbake*S70,0),ROUND(I70*mult_wood,0))</f>
        <v/>
      </c>
      <c r="R70" s="659">
        <f>IF(J70="",ROUND(L70+rate_woodbake*S70,0),ROUND(J70*mult_wood,0))</f>
        <v/>
      </c>
      <c r="S70" s="705">
        <f>ROUND(D70/(IF(ISNUMBER(SEARCH("เมืองทอง",C70)),'อัปเดตราคาอลู'!$F$8,IF(ISNUMBER(SEARCH("SlimLux",C70)),'อัปเดตราคาอลู'!$F$6,IF(ISNUMBER(SEARCH("Velora",C70)),'อัปเดตราคาอลู'!$F$7,IF(ISNUMBER(SEARCH("Fuji",C70)),'อัปเดตราคาอลู'!$F$5,'อัปเดตราคาอลู'!$F$4))))),3)</f>
        <v/>
      </c>
      <c r="T70" s="705">
        <f>ROUND(P70/(IF(OR(ISNUMBER(SEARCH("เมืองทอง",C70)),ISNUMBER(SEARCH("SlimLux",C70)),ISNUMBER(SEARCH("Velora",C70))),6,6.4)),3)</f>
        <v/>
      </c>
      <c r="U70" s="767">
        <f>ROUND(L70-D70,0)</f>
        <v/>
      </c>
      <c r="V70" s="659">
        <f>IF(D70="","",ROUND(D70+rate_anodize*S70,0))</f>
        <v/>
      </c>
    </row>
    <row r="71">
      <c r="A71" s="395" t="inlineStr">
        <is>
          <t>F7880</t>
        </is>
      </c>
      <c r="B71" s="393" t="inlineStr">
        <is>
          <t>ตบธรณีเรียบตัวริม</t>
        </is>
      </c>
      <c r="C71" s="393" t="inlineStr">
        <is>
          <t>อลูมิเนียม Fuji</t>
        </is>
      </c>
      <c r="D71" s="399" t="n">
        <v>375</v>
      </c>
      <c r="E71" s="399" t="n">
        <v>400</v>
      </c>
      <c r="F71" s="399">
        <f>E71</f>
        <v/>
      </c>
      <c r="G71" s="399" t="n">
        <v>405</v>
      </c>
      <c r="H71" s="399" t="n">
        <v>560</v>
      </c>
      <c r="I71" s="399" t="n">
        <v>565</v>
      </c>
      <c r="J71" s="399" t="n">
        <v>560</v>
      </c>
      <c r="K71" s="676">
        <f>IF(ISNUMBER(SEARCH("เมืองทอง",C71)),mult_mtong,IF(ISNUMBER(SEARCH("SlimLux",C71)),mult_slim,IF(ISNUMBER(SEARCH("Velora",C71)),mult_velora,IF(ISNUMBER(SEARCH("Fuji",C71)),mult_euro,mult_sms))))</f>
        <v/>
      </c>
      <c r="L71" s="659">
        <f>ROUND(D71*K71,0)</f>
        <v/>
      </c>
      <c r="M71" s="659">
        <f>IF(E71="",ROUND(L71+'อัปเดตราคาอลู'!$B$13*S71,0),ROUND(E71*K71,0))</f>
        <v/>
      </c>
      <c r="N71" s="659">
        <f>M71</f>
        <v/>
      </c>
      <c r="O71" s="659">
        <f>IF(G71="",ROUND(L71+rate_special*S71,0),ROUND(G71*mult_euro,0))</f>
        <v/>
      </c>
      <c r="P71" s="659">
        <f>IF(H71="",ROUND(L71+rate_woodbake*S71,0),ROUND(H71*mult_wood,0))</f>
        <v/>
      </c>
      <c r="Q71" s="659">
        <f>IF(I71="",ROUND(L71+rate_woodbake*S71,0),ROUND(I71*mult_wood,0))</f>
        <v/>
      </c>
      <c r="R71" s="659">
        <f>IF(J71="",ROUND(L71+rate_woodbake*S71,0),ROUND(J71*mult_wood,0))</f>
        <v/>
      </c>
      <c r="S71" s="705">
        <f>ROUND(D71/(IF(ISNUMBER(SEARCH("เมืองทอง",C71)),'อัปเดตราคาอลู'!$F$8,IF(ISNUMBER(SEARCH("SlimLux",C71)),'อัปเดตราคาอลู'!$F$6,IF(ISNUMBER(SEARCH("Velora",C71)),'อัปเดตราคาอลู'!$F$7,IF(ISNUMBER(SEARCH("Fuji",C71)),'อัปเดตราคาอลู'!$F$5,'อัปเดตราคาอลู'!$F$4))))),3)</f>
        <v/>
      </c>
      <c r="T71" s="705">
        <f>ROUND(P71/(IF(OR(ISNUMBER(SEARCH("เมืองทอง",C71)),ISNUMBER(SEARCH("SlimLux",C71)),ISNUMBER(SEARCH("Velora",C71))),6,6.4)),3)</f>
        <v/>
      </c>
      <c r="U71" s="767">
        <f>ROUND(L71-D71,0)</f>
        <v/>
      </c>
      <c r="V71" s="659">
        <f>IF(D71="","",ROUND(D71+rate_anodize*S71,0))</f>
        <v/>
      </c>
    </row>
    <row r="72">
      <c r="A72" s="395" t="inlineStr">
        <is>
          <t>F7859</t>
        </is>
      </c>
      <c r="B72" s="393" t="inlineStr">
        <is>
          <t>เฟรมบานกระทุ้ง ไม่มีรูระบายน้ำ</t>
        </is>
      </c>
      <c r="C72" s="393" t="inlineStr">
        <is>
          <t>อลูมิเนียม Fuji</t>
        </is>
      </c>
      <c r="D72" s="399" t="n">
        <v>1045</v>
      </c>
      <c r="E72" s="399" t="n">
        <v>1120</v>
      </c>
      <c r="F72" s="399">
        <f>E72</f>
        <v/>
      </c>
      <c r="G72" s="399" t="n">
        <v>1130</v>
      </c>
      <c r="H72" s="399" t="n">
        <v>1700</v>
      </c>
      <c r="I72" s="399" t="n">
        <v>1575</v>
      </c>
      <c r="J72" s="399" t="n">
        <v>1565</v>
      </c>
      <c r="K72" s="676">
        <f>IF(ISNUMBER(SEARCH("เมืองทอง",C72)),mult_mtong,IF(ISNUMBER(SEARCH("SlimLux",C72)),mult_slim,IF(ISNUMBER(SEARCH("Velora",C72)),mult_velora,IF(ISNUMBER(SEARCH("Fuji",C72)),mult_euro,mult_sms))))</f>
        <v/>
      </c>
      <c r="L72" s="659">
        <f>ROUND(D72*K72,0)</f>
        <v/>
      </c>
      <c r="M72" s="659">
        <f>IF(E72="",ROUND(L72+'อัปเดตราคาอลู'!$B$13*S72,0),ROUND(E72*K72,0))</f>
        <v/>
      </c>
      <c r="N72" s="659">
        <f>M72</f>
        <v/>
      </c>
      <c r="O72" s="659">
        <f>IF(G72="",ROUND(L72+rate_special*S72,0),ROUND(G72*mult_euro,0))</f>
        <v/>
      </c>
      <c r="P72" s="659">
        <f>IF(H72="",ROUND(L72+rate_woodbake*S72,0),ROUND(H72*mult_wood,0))</f>
        <v/>
      </c>
      <c r="Q72" s="659">
        <f>IF(I72="",ROUND(L72+rate_woodbake*S72,0),ROUND(I72*mult_wood,0))</f>
        <v/>
      </c>
      <c r="R72" s="659">
        <f>IF(J72="",ROUND(L72+rate_woodbake*S72,0),ROUND(J72*mult_wood,0))</f>
        <v/>
      </c>
      <c r="S72" s="705">
        <f>ROUND(D72/(IF(ISNUMBER(SEARCH("เมืองทอง",C72)),'อัปเดตราคาอลู'!$F$8,IF(ISNUMBER(SEARCH("SlimLux",C72)),'อัปเดตราคาอลู'!$F$6,IF(ISNUMBER(SEARCH("Velora",C72)),'อัปเดตราคาอลู'!$F$7,IF(ISNUMBER(SEARCH("Fuji",C72)),'อัปเดตราคาอลู'!$F$5,'อัปเดตราคาอลู'!$F$4))))),3)</f>
        <v/>
      </c>
      <c r="T72" s="705">
        <f>ROUND(P72/(IF(OR(ISNUMBER(SEARCH("เมืองทอง",C72)),ISNUMBER(SEARCH("SlimLux",C72)),ISNUMBER(SEARCH("Velora",C72))),6,6.4)),3)</f>
        <v/>
      </c>
      <c r="U72" s="767">
        <f>ROUND(L72-D72,0)</f>
        <v/>
      </c>
      <c r="V72" s="659">
        <f>IF(D72="","",ROUND(D72+rate_anodize*S72,0))</f>
        <v/>
      </c>
    </row>
    <row r="73">
      <c r="A73" s="395" t="inlineStr">
        <is>
          <t>F7858</t>
        </is>
      </c>
      <c r="B73" s="393" t="inlineStr">
        <is>
          <t>เฟรมบานตายคิ้วไม่มีรูระบายน้ำ</t>
        </is>
      </c>
      <c r="C73" s="393" t="inlineStr">
        <is>
          <t>อลูมิเนียม Fuji</t>
        </is>
      </c>
      <c r="D73" s="399" t="n">
        <v>1305</v>
      </c>
      <c r="E73" s="399" t="n">
        <v>1395</v>
      </c>
      <c r="F73" s="399">
        <f>E73</f>
        <v/>
      </c>
      <c r="G73" s="399" t="n">
        <v>1410</v>
      </c>
      <c r="H73" s="399" t="n">
        <v>2130</v>
      </c>
      <c r="I73" s="399" t="n">
        <v>1965</v>
      </c>
      <c r="J73" s="399" t="n">
        <v>1950</v>
      </c>
      <c r="K73" s="676">
        <f>IF(ISNUMBER(SEARCH("เมืองทอง",C73)),mult_mtong,IF(ISNUMBER(SEARCH("SlimLux",C73)),mult_slim,IF(ISNUMBER(SEARCH("Velora",C73)),mult_velora,IF(ISNUMBER(SEARCH("Fuji",C73)),mult_euro,mult_sms))))</f>
        <v/>
      </c>
      <c r="L73" s="659">
        <f>ROUND(D73*K73,0)</f>
        <v/>
      </c>
      <c r="M73" s="659">
        <f>IF(E73="",ROUND(L73+'อัปเดตราคาอลู'!$B$13*S73,0),ROUND(E73*K73,0))</f>
        <v/>
      </c>
      <c r="N73" s="659">
        <f>M73</f>
        <v/>
      </c>
      <c r="O73" s="659">
        <f>IF(G73="",ROUND(L73+rate_special*S73,0),ROUND(G73*mult_euro,0))</f>
        <v/>
      </c>
      <c r="P73" s="659">
        <f>IF(H73="",ROUND(L73+rate_woodbake*S73,0),ROUND(H73*mult_wood,0))</f>
        <v/>
      </c>
      <c r="Q73" s="659">
        <f>IF(I73="",ROUND(L73+rate_woodbake*S73,0),ROUND(I73*mult_wood,0))</f>
        <v/>
      </c>
      <c r="R73" s="659">
        <f>IF(J73="",ROUND(L73+rate_woodbake*S73,0),ROUND(J73*mult_wood,0))</f>
        <v/>
      </c>
      <c r="S73" s="705">
        <f>ROUND(D73/(IF(ISNUMBER(SEARCH("เมืองทอง",C73)),'อัปเดตราคาอลู'!$F$8,IF(ISNUMBER(SEARCH("SlimLux",C73)),'อัปเดตราคาอลู'!$F$6,IF(ISNUMBER(SEARCH("Velora",C73)),'อัปเดตราคาอลู'!$F$7,IF(ISNUMBER(SEARCH("Fuji",C73)),'อัปเดตราคาอลู'!$F$5,'อัปเดตราคาอลู'!$F$4))))),3)</f>
        <v/>
      </c>
      <c r="T73" s="705">
        <f>ROUND(P73/(IF(OR(ISNUMBER(SEARCH("เมืองทอง",C73)),ISNUMBER(SEARCH("SlimLux",C73)),ISNUMBER(SEARCH("Velora",C73))),6,6.4)),3)</f>
        <v/>
      </c>
      <c r="U73" s="767">
        <f>ROUND(L73-D73,0)</f>
        <v/>
      </c>
      <c r="V73" s="659">
        <f>IF(D73="","",ROUND(D73+rate_anodize*S73,0))</f>
        <v/>
      </c>
    </row>
    <row r="74">
      <c r="A74" s="395" t="inlineStr">
        <is>
          <t>F7937</t>
        </is>
      </c>
      <c r="B74" s="393" t="inlineStr">
        <is>
          <t>เฟรมบานตายคิ้วใน</t>
        </is>
      </c>
      <c r="C74" s="393" t="inlineStr">
        <is>
          <t>อลูมิเนียม Fuji</t>
        </is>
      </c>
      <c r="D74" s="399" t="n">
        <v>1200</v>
      </c>
      <c r="E74" s="399" t="n">
        <v>1290</v>
      </c>
      <c r="F74" s="399">
        <f>E74</f>
        <v/>
      </c>
      <c r="G74" s="399" t="n">
        <v>1300</v>
      </c>
      <c r="H74" s="399" t="n">
        <v>1875</v>
      </c>
      <c r="I74" s="399" t="n">
        <v>1815</v>
      </c>
      <c r="J74" s="399" t="n">
        <v>1800</v>
      </c>
      <c r="K74" s="676">
        <f>IF(ISNUMBER(SEARCH("เมืองทอง",C74)),mult_mtong,IF(ISNUMBER(SEARCH("SlimLux",C74)),mult_slim,IF(ISNUMBER(SEARCH("Velora",C74)),mult_velora,IF(ISNUMBER(SEARCH("Fuji",C74)),mult_euro,mult_sms))))</f>
        <v/>
      </c>
      <c r="L74" s="659">
        <f>ROUND(D74*K74,0)</f>
        <v/>
      </c>
      <c r="M74" s="659">
        <f>IF(E74="",ROUND(L74+'อัปเดตราคาอลู'!$B$13*S74,0),ROUND(E74*K74,0))</f>
        <v/>
      </c>
      <c r="N74" s="659">
        <f>M74</f>
        <v/>
      </c>
      <c r="O74" s="659">
        <f>IF(G74="",ROUND(L74+rate_special*S74,0),ROUND(G74*mult_euro,0))</f>
        <v/>
      </c>
      <c r="P74" s="659">
        <f>IF(H74="",ROUND(L74+rate_woodbake*S74,0),ROUND(H74*mult_wood,0))</f>
        <v/>
      </c>
      <c r="Q74" s="659">
        <f>IF(I74="",ROUND(L74+rate_woodbake*S74,0),ROUND(I74*mult_wood,0))</f>
        <v/>
      </c>
      <c r="R74" s="659">
        <f>IF(J74="",ROUND(L74+rate_woodbake*S74,0),ROUND(J74*mult_wood,0))</f>
        <v/>
      </c>
      <c r="S74" s="705">
        <f>ROUND(D74/(IF(ISNUMBER(SEARCH("เมืองทอง",C74)),'อัปเดตราคาอลู'!$F$8,IF(ISNUMBER(SEARCH("SlimLux",C74)),'อัปเดตราคาอลู'!$F$6,IF(ISNUMBER(SEARCH("Velora",C74)),'อัปเดตราคาอลู'!$F$7,IF(ISNUMBER(SEARCH("Fuji",C74)),'อัปเดตราคาอลู'!$F$5,'อัปเดตราคาอลู'!$F$4))))),3)</f>
        <v/>
      </c>
      <c r="T74" s="705">
        <f>ROUND(P74/(IF(OR(ISNUMBER(SEARCH("เมืองทอง",C74)),ISNUMBER(SEARCH("SlimLux",C74)),ISNUMBER(SEARCH("Velora",C74))),6,6.4)),3)</f>
        <v/>
      </c>
      <c r="U74" s="767">
        <f>ROUND(L74-D74,0)</f>
        <v/>
      </c>
      <c r="V74" s="659">
        <f>IF(D74="","",ROUND(D74+rate_anodize*S74,0))</f>
        <v/>
      </c>
    </row>
    <row r="75">
      <c r="A75" s="395" t="inlineStr">
        <is>
          <t>F7871</t>
        </is>
      </c>
      <c r="B75" s="393" t="inlineStr">
        <is>
          <t>เฟรมบานตายคิ้วใน (ตัวหนา)</t>
        </is>
      </c>
      <c r="C75" s="393" t="inlineStr">
        <is>
          <t>อลูมิเนียม Fuji</t>
        </is>
      </c>
      <c r="D75" s="399" t="n">
        <v>1630</v>
      </c>
      <c r="E75" s="399" t="n">
        <v>1745</v>
      </c>
      <c r="F75" s="399">
        <f>E75</f>
        <v/>
      </c>
      <c r="G75" s="399" t="n">
        <v>1760</v>
      </c>
      <c r="H75" s="399" t="n">
        <v>2385</v>
      </c>
      <c r="I75" s="399" t="n">
        <v>2455</v>
      </c>
      <c r="J75" s="399" t="n">
        <v>2440</v>
      </c>
      <c r="K75" s="676">
        <f>IF(ISNUMBER(SEARCH("เมืองทอง",C75)),mult_mtong,IF(ISNUMBER(SEARCH("SlimLux",C75)),mult_slim,IF(ISNUMBER(SEARCH("Velora",C75)),mult_velora,IF(ISNUMBER(SEARCH("Fuji",C75)),mult_euro,mult_sms))))</f>
        <v/>
      </c>
      <c r="L75" s="659">
        <f>ROUND(D75*K75,0)</f>
        <v/>
      </c>
      <c r="M75" s="659">
        <f>IF(E75="",ROUND(L75+'อัปเดตราคาอลู'!$B$13*S75,0),ROUND(E75*K75,0))</f>
        <v/>
      </c>
      <c r="N75" s="659">
        <f>M75</f>
        <v/>
      </c>
      <c r="O75" s="659">
        <f>IF(G75="",ROUND(L75+rate_special*S75,0),ROUND(G75*mult_euro,0))</f>
        <v/>
      </c>
      <c r="P75" s="659">
        <f>IF(H75="",ROUND(L75+rate_woodbake*S75,0),ROUND(H75*mult_wood,0))</f>
        <v/>
      </c>
      <c r="Q75" s="659">
        <f>IF(I75="",ROUND(L75+rate_woodbake*S75,0),ROUND(I75*mult_wood,0))</f>
        <v/>
      </c>
      <c r="R75" s="659">
        <f>IF(J75="",ROUND(L75+rate_woodbake*S75,0),ROUND(J75*mult_wood,0))</f>
        <v/>
      </c>
      <c r="S75" s="705">
        <f>ROUND(D75/(IF(ISNUMBER(SEARCH("เมืองทอง",C75)),'อัปเดตราคาอลู'!$F$8,IF(ISNUMBER(SEARCH("SlimLux",C75)),'อัปเดตราคาอลู'!$F$6,IF(ISNUMBER(SEARCH("Velora",C75)),'อัปเดตราคาอลู'!$F$7,IF(ISNUMBER(SEARCH("Fuji",C75)),'อัปเดตราคาอลู'!$F$5,'อัปเดตราคาอลู'!$F$4))))),3)</f>
        <v/>
      </c>
      <c r="T75" s="705">
        <f>ROUND(P75/(IF(OR(ISNUMBER(SEARCH("เมืองทอง",C75)),ISNUMBER(SEARCH("SlimLux",C75)),ISNUMBER(SEARCH("Velora",C75))),6,6.4)),3)</f>
        <v/>
      </c>
      <c r="U75" s="767">
        <f>ROUND(L75-D75,0)</f>
        <v/>
      </c>
      <c r="V75" s="659">
        <f>IF(D75="","",ROUND(D75+rate_anodize*S75,0))</f>
        <v/>
      </c>
    </row>
    <row r="76">
      <c r="A76" s="395" t="inlineStr">
        <is>
          <t>F7939B</t>
        </is>
      </c>
      <c r="B76" s="393" t="inlineStr">
        <is>
          <t>เฟรมบานกระทุ้ง</t>
        </is>
      </c>
      <c r="C76" s="393" t="inlineStr">
        <is>
          <t>อลูมิเนียม Fuji</t>
        </is>
      </c>
      <c r="D76" s="399" t="n">
        <v>1285</v>
      </c>
      <c r="E76" s="399" t="n">
        <v>1375</v>
      </c>
      <c r="F76" s="399">
        <f>E76</f>
        <v/>
      </c>
      <c r="G76" s="399" t="n">
        <v>1390</v>
      </c>
      <c r="H76" s="399" t="n">
        <v>2140</v>
      </c>
      <c r="I76" s="399" t="n">
        <v>1935</v>
      </c>
      <c r="J76" s="399" t="n">
        <v>1920</v>
      </c>
      <c r="K76" s="676">
        <f>IF(ISNUMBER(SEARCH("เมืองทอง",C76)),mult_mtong,IF(ISNUMBER(SEARCH("SlimLux",C76)),mult_slim,IF(ISNUMBER(SEARCH("Velora",C76)),mult_velora,IF(ISNUMBER(SEARCH("Fuji",C76)),mult_euro,mult_sms))))</f>
        <v/>
      </c>
      <c r="L76" s="659">
        <f>ROUND(D76*K76,0)</f>
        <v/>
      </c>
      <c r="M76" s="659">
        <f>IF(E76="",ROUND(L76+'อัปเดตราคาอลู'!$B$13*S76,0),ROUND(E76*K76,0))</f>
        <v/>
      </c>
      <c r="N76" s="659">
        <f>M76</f>
        <v/>
      </c>
      <c r="O76" s="659">
        <f>IF(G76="",ROUND(L76+rate_special*S76,0),ROUND(G76*mult_euro,0))</f>
        <v/>
      </c>
      <c r="P76" s="659">
        <f>IF(H76="",ROUND(L76+rate_woodbake*S76,0),ROUND(H76*mult_wood,0))</f>
        <v/>
      </c>
      <c r="Q76" s="659">
        <f>IF(I76="",ROUND(L76+rate_woodbake*S76,0),ROUND(I76*mult_wood,0))</f>
        <v/>
      </c>
      <c r="R76" s="659">
        <f>IF(J76="",ROUND(L76+rate_woodbake*S76,0),ROUND(J76*mult_wood,0))</f>
        <v/>
      </c>
      <c r="S76" s="705">
        <f>ROUND(D76/(IF(ISNUMBER(SEARCH("เมืองทอง",C76)),'อัปเดตราคาอลู'!$F$8,IF(ISNUMBER(SEARCH("SlimLux",C76)),'อัปเดตราคาอลู'!$F$6,IF(ISNUMBER(SEARCH("Velora",C76)),'อัปเดตราคาอลู'!$F$7,IF(ISNUMBER(SEARCH("Fuji",C76)),'อัปเดตราคาอลู'!$F$5,'อัปเดตราคาอลู'!$F$4))))),3)</f>
        <v/>
      </c>
      <c r="T76" s="705">
        <f>ROUND(P76/(IF(OR(ISNUMBER(SEARCH("เมืองทอง",C76)),ISNUMBER(SEARCH("SlimLux",C76)),ISNUMBER(SEARCH("Velora",C76))),6,6.4)),3)</f>
        <v/>
      </c>
      <c r="U76" s="767">
        <f>ROUND(L76-D76,0)</f>
        <v/>
      </c>
      <c r="V76" s="659">
        <f>IF(D76="","",ROUND(D76+rate_anodize*S76,0))</f>
        <v/>
      </c>
    </row>
    <row r="77">
      <c r="A77" s="395" t="inlineStr">
        <is>
          <t>F7938B</t>
        </is>
      </c>
      <c r="B77" s="393" t="inlineStr">
        <is>
          <t>เฟรมบานกระทุ้ง (ติดมุ้ง)</t>
        </is>
      </c>
      <c r="C77" s="393" t="inlineStr">
        <is>
          <t>อลูมิเนียม Fuji</t>
        </is>
      </c>
      <c r="D77" s="399" t="n">
        <v>1530</v>
      </c>
      <c r="E77" s="399" t="n">
        <v>1635</v>
      </c>
      <c r="F77" s="399">
        <f>E77</f>
        <v/>
      </c>
      <c r="G77" s="399" t="n">
        <v>1655</v>
      </c>
      <c r="H77" s="399" t="n">
        <v>2140</v>
      </c>
      <c r="I77" s="399" t="n">
        <v>2305</v>
      </c>
      <c r="J77" s="399" t="n">
        <v>2290</v>
      </c>
      <c r="K77" s="676">
        <f>IF(ISNUMBER(SEARCH("เมืองทอง",C77)),mult_mtong,IF(ISNUMBER(SEARCH("SlimLux",C77)),mult_slim,IF(ISNUMBER(SEARCH("Velora",C77)),mult_velora,IF(ISNUMBER(SEARCH("Fuji",C77)),mult_euro,mult_sms))))</f>
        <v/>
      </c>
      <c r="L77" s="659">
        <f>ROUND(D77*K77,0)</f>
        <v/>
      </c>
      <c r="M77" s="659">
        <f>IF(E77="",ROUND(L77+'อัปเดตราคาอลู'!$B$13*S77,0),ROUND(E77*K77,0))</f>
        <v/>
      </c>
      <c r="N77" s="659">
        <f>M77</f>
        <v/>
      </c>
      <c r="O77" s="659">
        <f>IF(G77="",ROUND(L77+rate_special*S77,0),ROUND(G77*mult_euro,0))</f>
        <v/>
      </c>
      <c r="P77" s="659">
        <f>IF(H77="",ROUND(L77+rate_woodbake*S77,0),ROUND(H77*mult_wood,0))</f>
        <v/>
      </c>
      <c r="Q77" s="659">
        <f>IF(I77="",ROUND(L77+rate_woodbake*S77,0),ROUND(I77*mult_wood,0))</f>
        <v/>
      </c>
      <c r="R77" s="659">
        <f>IF(J77="",ROUND(L77+rate_woodbake*S77,0),ROUND(J77*mult_wood,0))</f>
        <v/>
      </c>
      <c r="S77" s="705">
        <f>ROUND(D77/(IF(ISNUMBER(SEARCH("เมืองทอง",C77)),'อัปเดตราคาอลู'!$F$8,IF(ISNUMBER(SEARCH("SlimLux",C77)),'อัปเดตราคาอลู'!$F$6,IF(ISNUMBER(SEARCH("Velora",C77)),'อัปเดตราคาอลู'!$F$7,IF(ISNUMBER(SEARCH("Fuji",C77)),'อัปเดตราคาอลู'!$F$5,'อัปเดตราคาอลู'!$F$4))))),3)</f>
        <v/>
      </c>
      <c r="T77" s="705">
        <f>ROUND(P77/(IF(OR(ISNUMBER(SEARCH("เมืองทอง",C77)),ISNUMBER(SEARCH("SlimLux",C77)),ISNUMBER(SEARCH("Velora",C77))),6,6.4)),3)</f>
        <v/>
      </c>
      <c r="U77" s="767">
        <f>ROUND(L77-D77,0)</f>
        <v/>
      </c>
      <c r="V77" s="659">
        <f>IF(D77="","",ROUND(D77+rate_anodize*S77,0))</f>
        <v/>
      </c>
    </row>
    <row r="78">
      <c r="A78" s="395" t="inlineStr">
        <is>
          <t>F7861</t>
        </is>
      </c>
      <c r="B78" s="393" t="inlineStr">
        <is>
          <t>ตบเฟรมแบ่งบาน</t>
        </is>
      </c>
      <c r="C78" s="393" t="inlineStr">
        <is>
          <t>อลูมิเนียม Fuji</t>
        </is>
      </c>
      <c r="D78" s="399" t="n">
        <v>705</v>
      </c>
      <c r="E78" s="399" t="n">
        <v>755</v>
      </c>
      <c r="F78" s="399">
        <f>E78</f>
        <v/>
      </c>
      <c r="G78" s="399" t="n">
        <v>765</v>
      </c>
      <c r="H78" s="399" t="n">
        <v>1165</v>
      </c>
      <c r="I78" s="399" t="n">
        <v>1065</v>
      </c>
      <c r="J78" s="399" t="n">
        <v>1060</v>
      </c>
      <c r="K78" s="676">
        <f>IF(ISNUMBER(SEARCH("เมืองทอง",C78)),mult_mtong,IF(ISNUMBER(SEARCH("SlimLux",C78)),mult_slim,IF(ISNUMBER(SEARCH("Velora",C78)),mult_velora,IF(ISNUMBER(SEARCH("Fuji",C78)),mult_euro,mult_sms))))</f>
        <v/>
      </c>
      <c r="L78" s="659">
        <f>ROUND(D78*K78,0)</f>
        <v/>
      </c>
      <c r="M78" s="659">
        <f>IF(E78="",ROUND(L78+'อัปเดตราคาอลู'!$B$13*S78,0),ROUND(E78*K78,0))</f>
        <v/>
      </c>
      <c r="N78" s="659">
        <f>M78</f>
        <v/>
      </c>
      <c r="O78" s="659">
        <f>IF(G78="",ROUND(L78+rate_special*S78,0),ROUND(G78*mult_euro,0))</f>
        <v/>
      </c>
      <c r="P78" s="659">
        <f>IF(H78="",ROUND(L78+rate_woodbake*S78,0),ROUND(H78*mult_wood,0))</f>
        <v/>
      </c>
      <c r="Q78" s="659">
        <f>IF(I78="",ROUND(L78+rate_woodbake*S78,0),ROUND(I78*mult_wood,0))</f>
        <v/>
      </c>
      <c r="R78" s="659">
        <f>IF(J78="",ROUND(L78+rate_woodbake*S78,0),ROUND(J78*mult_wood,0))</f>
        <v/>
      </c>
      <c r="S78" s="705">
        <f>ROUND(D78/(IF(ISNUMBER(SEARCH("เมืองทอง",C78)),'อัปเดตราคาอลู'!$F$8,IF(ISNUMBER(SEARCH("SlimLux",C78)),'อัปเดตราคาอลู'!$F$6,IF(ISNUMBER(SEARCH("Velora",C78)),'อัปเดตราคาอลู'!$F$7,IF(ISNUMBER(SEARCH("Fuji",C78)),'อัปเดตราคาอลู'!$F$5,'อัปเดตราคาอลู'!$F$4))))),3)</f>
        <v/>
      </c>
      <c r="T78" s="705">
        <f>ROUND(P78/(IF(OR(ISNUMBER(SEARCH("เมืองทอง",C78)),ISNUMBER(SEARCH("SlimLux",C78)),ISNUMBER(SEARCH("Velora",C78))),6,6.4)),3)</f>
        <v/>
      </c>
      <c r="U78" s="767">
        <f>ROUND(L78-D78,0)</f>
        <v/>
      </c>
      <c r="V78" s="659">
        <f>IF(D78="","",ROUND(D78+rate_anodize*S78,0))</f>
        <v/>
      </c>
    </row>
    <row r="79">
      <c r="A79" s="395" t="inlineStr">
        <is>
          <t>F7944B</t>
        </is>
      </c>
      <c r="B79" s="393" t="inlineStr">
        <is>
          <t>กรอบมุ้ง-มุ้งนิรภัย</t>
        </is>
      </c>
      <c r="C79" s="393" t="inlineStr">
        <is>
          <t>อลูมิเนียม Fuji</t>
        </is>
      </c>
      <c r="D79" s="399" t="n">
        <v>1125</v>
      </c>
      <c r="E79" s="399" t="n">
        <v>1205</v>
      </c>
      <c r="F79" s="399">
        <f>E79</f>
        <v/>
      </c>
      <c r="G79" s="399" t="n">
        <v>1220</v>
      </c>
      <c r="H79" s="399" t="n">
        <v>1635</v>
      </c>
      <c r="I79" s="399" t="n">
        <v>1695</v>
      </c>
      <c r="J79" s="399" t="n">
        <v>1685</v>
      </c>
      <c r="K79" s="676">
        <f>IF(ISNUMBER(SEARCH("เมืองทอง",C79)),mult_mtong,IF(ISNUMBER(SEARCH("SlimLux",C79)),mult_slim,IF(ISNUMBER(SEARCH("Velora",C79)),mult_velora,IF(ISNUMBER(SEARCH("Fuji",C79)),mult_euro,mult_sms))))</f>
        <v/>
      </c>
      <c r="L79" s="659">
        <f>ROUND(D79*K79,0)</f>
        <v/>
      </c>
      <c r="M79" s="659">
        <f>IF(E79="",ROUND(L79+'อัปเดตราคาอลู'!$B$13*S79,0),ROUND(E79*K79,0))</f>
        <v/>
      </c>
      <c r="N79" s="659">
        <f>M79</f>
        <v/>
      </c>
      <c r="O79" s="659">
        <f>IF(G79="",ROUND(L79+rate_special*S79,0),ROUND(G79*mult_euro,0))</f>
        <v/>
      </c>
      <c r="P79" s="659">
        <f>IF(H79="",ROUND(L79+rate_woodbake*S79,0),ROUND(H79*mult_wood,0))</f>
        <v/>
      </c>
      <c r="Q79" s="659">
        <f>IF(I79="",ROUND(L79+rate_woodbake*S79,0),ROUND(I79*mult_wood,0))</f>
        <v/>
      </c>
      <c r="R79" s="659">
        <f>IF(J79="",ROUND(L79+rate_woodbake*S79,0),ROUND(J79*mult_wood,0))</f>
        <v/>
      </c>
      <c r="S79" s="705">
        <f>ROUND(D79/(IF(ISNUMBER(SEARCH("เมืองทอง",C79)),'อัปเดตราคาอลู'!$F$8,IF(ISNUMBER(SEARCH("SlimLux",C79)),'อัปเดตราคาอลู'!$F$6,IF(ISNUMBER(SEARCH("Velora",C79)),'อัปเดตราคาอลู'!$F$7,IF(ISNUMBER(SEARCH("Fuji",C79)),'อัปเดตราคาอลู'!$F$5,'อัปเดตราคาอลู'!$F$4))))),3)</f>
        <v/>
      </c>
      <c r="T79" s="705">
        <f>ROUND(P79/(IF(OR(ISNUMBER(SEARCH("เมืองทอง",C79)),ISNUMBER(SEARCH("SlimLux",C79)),ISNUMBER(SEARCH("Velora",C79))),6,6.4)),3)</f>
        <v/>
      </c>
      <c r="U79" s="767">
        <f>ROUND(L79-D79,0)</f>
        <v/>
      </c>
      <c r="V79" s="659">
        <f>IF(D79="","",ROUND(D79+rate_anodize*S79,0))</f>
        <v/>
      </c>
    </row>
    <row r="80">
      <c r="A80" s="395" t="inlineStr">
        <is>
          <t>F7958B</t>
        </is>
      </c>
      <c r="B80" s="393" t="inlineStr">
        <is>
          <t>รับล็อคปิดกลางบานมุ้ง</t>
        </is>
      </c>
      <c r="C80" s="393" t="inlineStr">
        <is>
          <t>อลูมิเนียม Fuji</t>
        </is>
      </c>
      <c r="D80" s="399" t="n">
        <v>660</v>
      </c>
      <c r="E80" s="399" t="n">
        <v>705</v>
      </c>
      <c r="F80" s="399">
        <f>E80</f>
        <v/>
      </c>
      <c r="G80" s="399" t="n">
        <v>715</v>
      </c>
      <c r="H80" s="399" t="n">
        <v>885</v>
      </c>
      <c r="I80" s="399" t="n">
        <v>995</v>
      </c>
      <c r="J80" s="399" t="n">
        <v>985</v>
      </c>
      <c r="K80" s="676">
        <f>IF(ISNUMBER(SEARCH("เมืองทอง",C80)),mult_mtong,IF(ISNUMBER(SEARCH("SlimLux",C80)),mult_slim,IF(ISNUMBER(SEARCH("Velora",C80)),mult_velora,IF(ISNUMBER(SEARCH("Fuji",C80)),mult_euro,mult_sms))))</f>
        <v/>
      </c>
      <c r="L80" s="659">
        <f>ROUND(D80*K80,0)</f>
        <v/>
      </c>
      <c r="M80" s="659">
        <f>IF(E80="",ROUND(L80+'อัปเดตราคาอลู'!$B$13*S80,0),ROUND(E80*K80,0))</f>
        <v/>
      </c>
      <c r="N80" s="659">
        <f>M80</f>
        <v/>
      </c>
      <c r="O80" s="659">
        <f>IF(G80="",ROUND(L80+rate_special*S80,0),ROUND(G80*mult_euro,0))</f>
        <v/>
      </c>
      <c r="P80" s="659">
        <f>IF(H80="",ROUND(L80+rate_woodbake*S80,0),ROUND(H80*mult_wood,0))</f>
        <v/>
      </c>
      <c r="Q80" s="659">
        <f>IF(I80="",ROUND(L80+rate_woodbake*S80,0),ROUND(I80*mult_wood,0))</f>
        <v/>
      </c>
      <c r="R80" s="659">
        <f>IF(J80="",ROUND(L80+rate_woodbake*S80,0),ROUND(J80*mult_wood,0))</f>
        <v/>
      </c>
      <c r="S80" s="705">
        <f>ROUND(D80/(IF(ISNUMBER(SEARCH("เมืองทอง",C80)),'อัปเดตราคาอลู'!$F$8,IF(ISNUMBER(SEARCH("SlimLux",C80)),'อัปเดตราคาอลู'!$F$6,IF(ISNUMBER(SEARCH("Velora",C80)),'อัปเดตราคาอลู'!$F$7,IF(ISNUMBER(SEARCH("Fuji",C80)),'อัปเดตราคาอลู'!$F$5,'อัปเดตราคาอลู'!$F$4))))),3)</f>
        <v/>
      </c>
      <c r="T80" s="705">
        <f>ROUND(P80/(IF(OR(ISNUMBER(SEARCH("เมืองทอง",C80)),ISNUMBER(SEARCH("SlimLux",C80)),ISNUMBER(SEARCH("Velora",C80))),6,6.4)),3)</f>
        <v/>
      </c>
      <c r="U80" s="767">
        <f>ROUND(L80-D80,0)</f>
        <v/>
      </c>
      <c r="V80" s="659">
        <f>IF(D80="","",ROUND(D80+rate_anodize*S80,0))</f>
        <v/>
      </c>
    </row>
    <row r="81">
      <c r="A81" s="395" t="inlineStr">
        <is>
          <t>F7998</t>
        </is>
      </c>
      <c r="B81" s="393" t="inlineStr">
        <is>
          <t>กล่องก้านบานตายคิ้วใน</t>
        </is>
      </c>
      <c r="C81" s="393" t="inlineStr">
        <is>
          <t>อลูมิเนียม Fuji</t>
        </is>
      </c>
      <c r="D81" s="399" t="n">
        <v>1750</v>
      </c>
      <c r="E81" s="399" t="n">
        <v>1870</v>
      </c>
      <c r="F81" s="399">
        <f>E81</f>
        <v/>
      </c>
      <c r="G81" s="399" t="n">
        <v>1890</v>
      </c>
      <c r="H81" s="399" t="n">
        <v>2665</v>
      </c>
      <c r="I81" s="399" t="n">
        <v>2635</v>
      </c>
      <c r="J81" s="399" t="n">
        <v>2615</v>
      </c>
      <c r="K81" s="676">
        <f>IF(ISNUMBER(SEARCH("เมืองทอง",C81)),mult_mtong,IF(ISNUMBER(SEARCH("SlimLux",C81)),mult_slim,IF(ISNUMBER(SEARCH("Velora",C81)),mult_velora,IF(ISNUMBER(SEARCH("Fuji",C81)),mult_euro,mult_sms))))</f>
        <v/>
      </c>
      <c r="L81" s="659">
        <f>ROUND(D81*K81,0)</f>
        <v/>
      </c>
      <c r="M81" s="659">
        <f>IF(E81="",ROUND(L81+'อัปเดตราคาอลู'!$B$13*S81,0),ROUND(E81*K81,0))</f>
        <v/>
      </c>
      <c r="N81" s="659">
        <f>M81</f>
        <v/>
      </c>
      <c r="O81" s="659">
        <f>IF(G81="",ROUND(L81+rate_special*S81,0),ROUND(G81*mult_euro,0))</f>
        <v/>
      </c>
      <c r="P81" s="659">
        <f>IF(H81="",ROUND(L81+rate_woodbake*S81,0),ROUND(H81*mult_wood,0))</f>
        <v/>
      </c>
      <c r="Q81" s="659">
        <f>IF(I81="",ROUND(L81+rate_woodbake*S81,0),ROUND(I81*mult_wood,0))</f>
        <v/>
      </c>
      <c r="R81" s="659">
        <f>IF(J81="",ROUND(L81+rate_woodbake*S81,0),ROUND(J81*mult_wood,0))</f>
        <v/>
      </c>
      <c r="S81" s="705">
        <f>ROUND(D81/(IF(ISNUMBER(SEARCH("เมืองทอง",C81)),'อัปเดตราคาอลู'!$F$8,IF(ISNUMBER(SEARCH("SlimLux",C81)),'อัปเดตราคาอลู'!$F$6,IF(ISNUMBER(SEARCH("Velora",C81)),'อัปเดตราคาอลู'!$F$7,IF(ISNUMBER(SEARCH("Fuji",C81)),'อัปเดตราคาอลู'!$F$5,'อัปเดตราคาอลู'!$F$4))))),3)</f>
        <v/>
      </c>
      <c r="T81" s="705">
        <f>ROUND(P81/(IF(OR(ISNUMBER(SEARCH("เมืองทอง",C81)),ISNUMBER(SEARCH("SlimLux",C81)),ISNUMBER(SEARCH("Velora",C81))),6,6.4)),3)</f>
        <v/>
      </c>
      <c r="U81" s="767">
        <f>ROUND(L81-D81,0)</f>
        <v/>
      </c>
      <c r="V81" s="659">
        <f>IF(D81="","",ROUND(D81+rate_anodize*S81,0))</f>
        <v/>
      </c>
    </row>
    <row r="82">
      <c r="A82" s="395" t="inlineStr">
        <is>
          <t>F7940B</t>
        </is>
      </c>
      <c r="B82" s="393" t="inlineStr">
        <is>
          <t>กล่องก้านคิ้วนิก</t>
        </is>
      </c>
      <c r="C82" s="393" t="inlineStr">
        <is>
          <t>อลูมิเนียม Fuji</t>
        </is>
      </c>
      <c r="D82" s="399" t="n">
        <v>1740</v>
      </c>
      <c r="E82" s="399" t="n">
        <v>1865</v>
      </c>
      <c r="F82" s="399">
        <f>E82</f>
        <v/>
      </c>
      <c r="G82" s="399" t="n">
        <v>1885</v>
      </c>
      <c r="H82" s="399" t="n">
        <v>2825</v>
      </c>
      <c r="I82" s="399" t="n">
        <v>2625</v>
      </c>
      <c r="J82" s="399" t="n">
        <v>2605</v>
      </c>
      <c r="K82" s="676">
        <f>IF(ISNUMBER(SEARCH("เมืองทอง",C82)),mult_mtong,IF(ISNUMBER(SEARCH("SlimLux",C82)),mult_slim,IF(ISNUMBER(SEARCH("Velora",C82)),mult_velora,IF(ISNUMBER(SEARCH("Fuji",C82)),mult_euro,mult_sms))))</f>
        <v/>
      </c>
      <c r="L82" s="659">
        <f>ROUND(D82*K82,0)</f>
        <v/>
      </c>
      <c r="M82" s="659">
        <f>IF(E82="",ROUND(L82+'อัปเดตราคาอลู'!$B$13*S82,0),ROUND(E82*K82,0))</f>
        <v/>
      </c>
      <c r="N82" s="659">
        <f>M82</f>
        <v/>
      </c>
      <c r="O82" s="659">
        <f>IF(G82="",ROUND(L82+rate_special*S82,0),ROUND(G82*mult_euro,0))</f>
        <v/>
      </c>
      <c r="P82" s="659">
        <f>IF(H82="",ROUND(L82+rate_woodbake*S82,0),ROUND(H82*mult_wood,0))</f>
        <v/>
      </c>
      <c r="Q82" s="659">
        <f>IF(I82="",ROUND(L82+rate_woodbake*S82,0),ROUND(I82*mult_wood,0))</f>
        <v/>
      </c>
      <c r="R82" s="659">
        <f>IF(J82="",ROUND(L82+rate_woodbake*S82,0),ROUND(J82*mult_wood,0))</f>
        <v/>
      </c>
      <c r="S82" s="705">
        <f>ROUND(D82/(IF(ISNUMBER(SEARCH("เมืองทอง",C82)),'อัปเดตราคาอลู'!$F$8,IF(ISNUMBER(SEARCH("SlimLux",C82)),'อัปเดตราคาอลู'!$F$6,IF(ISNUMBER(SEARCH("Velora",C82)),'อัปเดตราคาอลู'!$F$7,IF(ISNUMBER(SEARCH("Fuji",C82)),'อัปเดตราคาอลู'!$F$5,'อัปเดตราคาอลู'!$F$4))))),3)</f>
        <v/>
      </c>
      <c r="T82" s="705">
        <f>ROUND(P82/(IF(OR(ISNUMBER(SEARCH("เมืองทอง",C82)),ISNUMBER(SEARCH("SlimLux",C82)),ISNUMBER(SEARCH("Velora",C82))),6,6.4)),3)</f>
        <v/>
      </c>
      <c r="U82" s="767">
        <f>ROUND(L82-D82,0)</f>
        <v/>
      </c>
      <c r="V82" s="659">
        <f>IF(D82="","",ROUND(D82+rate_anodize*S82,0))</f>
        <v/>
      </c>
    </row>
    <row r="83">
      <c r="A83" s="395" t="inlineStr">
        <is>
          <t>F7868</t>
        </is>
      </c>
      <c r="B83" s="393" t="inlineStr">
        <is>
          <t>กล่องก้าน 2 ทางคิ้วนอก (ติดมุ้ง)</t>
        </is>
      </c>
      <c r="C83" s="393" t="inlineStr">
        <is>
          <t>อลูมิเนียม Fuji</t>
        </is>
      </c>
      <c r="D83" s="399" t="n">
        <v>1975</v>
      </c>
      <c r="E83" s="399" t="n">
        <v>2115</v>
      </c>
      <c r="F83" s="399">
        <f>E83</f>
        <v/>
      </c>
      <c r="G83" s="399" t="n">
        <v>2140</v>
      </c>
      <c r="H83" s="399" t="n">
        <v>2890</v>
      </c>
      <c r="I83" s="399" t="n">
        <v>2980</v>
      </c>
      <c r="J83" s="399" t="n">
        <v>2960</v>
      </c>
      <c r="K83" s="676">
        <f>IF(ISNUMBER(SEARCH("เมืองทอง",C83)),mult_mtong,IF(ISNUMBER(SEARCH("SlimLux",C83)),mult_slim,IF(ISNUMBER(SEARCH("Velora",C83)),mult_velora,IF(ISNUMBER(SEARCH("Fuji",C83)),mult_euro,mult_sms))))</f>
        <v/>
      </c>
      <c r="L83" s="659">
        <f>ROUND(D83*K83,0)</f>
        <v/>
      </c>
      <c r="M83" s="659">
        <f>IF(E83="",ROUND(L83+'อัปเดตราคาอลู'!$B$13*S83,0),ROUND(E83*K83,0))</f>
        <v/>
      </c>
      <c r="N83" s="659">
        <f>M83</f>
        <v/>
      </c>
      <c r="O83" s="659">
        <f>IF(G83="",ROUND(L83+rate_special*S83,0),ROUND(G83*mult_euro,0))</f>
        <v/>
      </c>
      <c r="P83" s="659">
        <f>IF(H83="",ROUND(L83+rate_woodbake*S83,0),ROUND(H83*mult_wood,0))</f>
        <v/>
      </c>
      <c r="Q83" s="659">
        <f>IF(I83="",ROUND(L83+rate_woodbake*S83,0),ROUND(I83*mult_wood,0))</f>
        <v/>
      </c>
      <c r="R83" s="659">
        <f>IF(J83="",ROUND(L83+rate_woodbake*S83,0),ROUND(J83*mult_wood,0))</f>
        <v/>
      </c>
      <c r="S83" s="705">
        <f>ROUND(D83/(IF(ISNUMBER(SEARCH("เมืองทอง",C83)),'อัปเดตราคาอลู'!$F$8,IF(ISNUMBER(SEARCH("SlimLux",C83)),'อัปเดตราคาอลู'!$F$6,IF(ISNUMBER(SEARCH("Velora",C83)),'อัปเดตราคาอลู'!$F$7,IF(ISNUMBER(SEARCH("Fuji",C83)),'อัปเดตราคาอลู'!$F$5,'อัปเดตราคาอลู'!$F$4))))),3)</f>
        <v/>
      </c>
      <c r="T83" s="705">
        <f>ROUND(P83/(IF(OR(ISNUMBER(SEARCH("เมืองทอง",C83)),ISNUMBER(SEARCH("SlimLux",C83)),ISNUMBER(SEARCH("Velora",C83))),6,6.4)),3)</f>
        <v/>
      </c>
      <c r="U83" s="767">
        <f>ROUND(L83-D83,0)</f>
        <v/>
      </c>
      <c r="V83" s="659">
        <f>IF(D83="","",ROUND(D83+rate_anodize*S83,0))</f>
        <v/>
      </c>
    </row>
    <row r="84">
      <c r="A84" s="395" t="inlineStr">
        <is>
          <t>F7997</t>
        </is>
      </c>
      <c r="B84" s="393" t="inlineStr">
        <is>
          <t>กล่องก้านสลับ</t>
        </is>
      </c>
      <c r="C84" s="393" t="inlineStr">
        <is>
          <t>อลูมิเนียม Fuji</t>
        </is>
      </c>
      <c r="D84" s="399" t="n">
        <v>1755</v>
      </c>
      <c r="E84" s="399" t="n">
        <v>1880</v>
      </c>
      <c r="F84" s="399">
        <f>E84</f>
        <v/>
      </c>
      <c r="G84" s="399" t="n">
        <v>1895</v>
      </c>
      <c r="H84" s="399" t="n">
        <v>2665</v>
      </c>
      <c r="I84" s="399" t="n">
        <v>2645</v>
      </c>
      <c r="J84" s="399" t="n">
        <v>2625</v>
      </c>
      <c r="K84" s="676">
        <f>IF(ISNUMBER(SEARCH("เมืองทอง",C84)),mult_mtong,IF(ISNUMBER(SEARCH("SlimLux",C84)),mult_slim,IF(ISNUMBER(SEARCH("Velora",C84)),mult_velora,IF(ISNUMBER(SEARCH("Fuji",C84)),mult_euro,mult_sms))))</f>
        <v/>
      </c>
      <c r="L84" s="659">
        <f>ROUND(D84*K84,0)</f>
        <v/>
      </c>
      <c r="M84" s="659">
        <f>IF(E84="",ROUND(L84+'อัปเดตราคาอลู'!$B$13*S84,0),ROUND(E84*K84,0))</f>
        <v/>
      </c>
      <c r="N84" s="659">
        <f>M84</f>
        <v/>
      </c>
      <c r="O84" s="659">
        <f>IF(G84="",ROUND(L84+rate_special*S84,0),ROUND(G84*mult_euro,0))</f>
        <v/>
      </c>
      <c r="P84" s="659">
        <f>IF(H84="",ROUND(L84+rate_woodbake*S84,0),ROUND(H84*mult_wood,0))</f>
        <v/>
      </c>
      <c r="Q84" s="659">
        <f>IF(I84="",ROUND(L84+rate_woodbake*S84,0),ROUND(I84*mult_wood,0))</f>
        <v/>
      </c>
      <c r="R84" s="659">
        <f>IF(J84="",ROUND(L84+rate_woodbake*S84,0),ROUND(J84*mult_wood,0))</f>
        <v/>
      </c>
      <c r="S84" s="705">
        <f>ROUND(D84/(IF(ISNUMBER(SEARCH("เมืองทอง",C84)),'อัปเดตราคาอลู'!$F$8,IF(ISNUMBER(SEARCH("SlimLux",C84)),'อัปเดตราคาอลู'!$F$6,IF(ISNUMBER(SEARCH("Velora",C84)),'อัปเดตราคาอลู'!$F$7,IF(ISNUMBER(SEARCH("Fuji",C84)),'อัปเดตราคาอลู'!$F$5,'อัปเดตราคาอลู'!$F$4))))),3)</f>
        <v/>
      </c>
      <c r="T84" s="705">
        <f>ROUND(P84/(IF(OR(ISNUMBER(SEARCH("เมืองทอง",C84)),ISNUMBER(SEARCH("SlimLux",C84)),ISNUMBER(SEARCH("Velora",C84))),6,6.4)),3)</f>
        <v/>
      </c>
      <c r="U84" s="767">
        <f>ROUND(L84-D84,0)</f>
        <v/>
      </c>
      <c r="V84" s="659">
        <f>IF(D84="","",ROUND(D84+rate_anodize*S84,0))</f>
        <v/>
      </c>
    </row>
    <row r="85">
      <c r="A85" s="395" t="inlineStr">
        <is>
          <t>F7854</t>
        </is>
      </c>
      <c r="B85" s="393" t="inlineStr">
        <is>
          <t>เฟรมแบ่งบานคิ้วนอก</t>
        </is>
      </c>
      <c r="C85" s="393" t="inlineStr">
        <is>
          <t>อลูมิเนียม Fuji</t>
        </is>
      </c>
      <c r="D85" s="399" t="n">
        <v>1435</v>
      </c>
      <c r="E85" s="399" t="n">
        <v>1540</v>
      </c>
      <c r="F85" s="399">
        <f>E85</f>
        <v/>
      </c>
      <c r="G85" s="399" t="n">
        <v>1555</v>
      </c>
      <c r="H85" s="399" t="n">
        <v>2095</v>
      </c>
      <c r="I85" s="399" t="n">
        <v>2165</v>
      </c>
      <c r="J85" s="399" t="n">
        <v>2150</v>
      </c>
      <c r="K85" s="676">
        <f>IF(ISNUMBER(SEARCH("เมืองทอง",C85)),mult_mtong,IF(ISNUMBER(SEARCH("SlimLux",C85)),mult_slim,IF(ISNUMBER(SEARCH("Velora",C85)),mult_velora,IF(ISNUMBER(SEARCH("Fuji",C85)),mult_euro,mult_sms))))</f>
        <v/>
      </c>
      <c r="L85" s="659">
        <f>ROUND(D85*K85,0)</f>
        <v/>
      </c>
      <c r="M85" s="659">
        <f>IF(E85="",ROUND(L85+'อัปเดตราคาอลู'!$B$13*S85,0),ROUND(E85*K85,0))</f>
        <v/>
      </c>
      <c r="N85" s="659">
        <f>M85</f>
        <v/>
      </c>
      <c r="O85" s="659">
        <f>IF(G85="",ROUND(L85+rate_special*S85,0),ROUND(G85*mult_euro,0))</f>
        <v/>
      </c>
      <c r="P85" s="659">
        <f>IF(H85="",ROUND(L85+rate_woodbake*S85,0),ROUND(H85*mult_wood,0))</f>
        <v/>
      </c>
      <c r="Q85" s="659">
        <f>IF(I85="",ROUND(L85+rate_woodbake*S85,0),ROUND(I85*mult_wood,0))</f>
        <v/>
      </c>
      <c r="R85" s="659">
        <f>IF(J85="",ROUND(L85+rate_woodbake*S85,0),ROUND(J85*mult_wood,0))</f>
        <v/>
      </c>
      <c r="S85" s="705">
        <f>ROUND(D85/(IF(ISNUMBER(SEARCH("เมืองทอง",C85)),'อัปเดตราคาอลู'!$F$8,IF(ISNUMBER(SEARCH("SlimLux",C85)),'อัปเดตราคาอลู'!$F$6,IF(ISNUMBER(SEARCH("Velora",C85)),'อัปเดตราคาอลู'!$F$7,IF(ISNUMBER(SEARCH("Fuji",C85)),'อัปเดตราคาอลู'!$F$5,'อัปเดตราคาอลู'!$F$4))))),3)</f>
        <v/>
      </c>
      <c r="T85" s="705">
        <f>ROUND(P85/(IF(OR(ISNUMBER(SEARCH("เมืองทอง",C85)),ISNUMBER(SEARCH("SlimLux",C85)),ISNUMBER(SEARCH("Velora",C85))),6,6.4)),3)</f>
        <v/>
      </c>
      <c r="U85" s="767">
        <f>ROUND(L85-D85,0)</f>
        <v/>
      </c>
      <c r="V85" s="659">
        <f>IF(D85="","",ROUND(D85+rate_anodize*S85,0))</f>
        <v/>
      </c>
    </row>
    <row r="86">
      <c r="A86" s="395" t="inlineStr">
        <is>
          <t>F7852</t>
        </is>
      </c>
      <c r="B86" s="393" t="inlineStr">
        <is>
          <t>ตบเฟรมแบ่งบานคิ้วใน</t>
        </is>
      </c>
      <c r="C86" s="393" t="inlineStr">
        <is>
          <t>อลูมิเนียม Fuji</t>
        </is>
      </c>
      <c r="D86" s="399" t="n">
        <v>850</v>
      </c>
      <c r="E86" s="399" t="n">
        <v>910</v>
      </c>
      <c r="F86" s="399">
        <f>E86</f>
        <v/>
      </c>
      <c r="G86" s="399" t="n">
        <v>920</v>
      </c>
      <c r="H86" s="399" t="n">
        <v>1205</v>
      </c>
      <c r="I86" s="399" t="n">
        <v>1285</v>
      </c>
      <c r="J86" s="399" t="n">
        <v>1275</v>
      </c>
      <c r="K86" s="676">
        <f>IF(ISNUMBER(SEARCH("เมืองทอง",C86)),mult_mtong,IF(ISNUMBER(SEARCH("SlimLux",C86)),mult_slim,IF(ISNUMBER(SEARCH("Velora",C86)),mult_velora,IF(ISNUMBER(SEARCH("Fuji",C86)),mult_euro,mult_sms))))</f>
        <v/>
      </c>
      <c r="L86" s="659">
        <f>ROUND(D86*K86,0)</f>
        <v/>
      </c>
      <c r="M86" s="659">
        <f>IF(E86="",ROUND(L86+'อัปเดตราคาอลู'!$B$13*S86,0),ROUND(E86*K86,0))</f>
        <v/>
      </c>
      <c r="N86" s="659">
        <f>M86</f>
        <v/>
      </c>
      <c r="O86" s="659">
        <f>IF(G86="",ROUND(L86+rate_special*S86,0),ROUND(G86*mult_euro,0))</f>
        <v/>
      </c>
      <c r="P86" s="659">
        <f>IF(H86="",ROUND(L86+rate_woodbake*S86,0),ROUND(H86*mult_wood,0))</f>
        <v/>
      </c>
      <c r="Q86" s="659">
        <f>IF(I86="",ROUND(L86+rate_woodbake*S86,0),ROUND(I86*mult_wood,0))</f>
        <v/>
      </c>
      <c r="R86" s="659">
        <f>IF(J86="",ROUND(L86+rate_woodbake*S86,0),ROUND(J86*mult_wood,0))</f>
        <v/>
      </c>
      <c r="S86" s="705">
        <f>ROUND(D86/(IF(ISNUMBER(SEARCH("เมืองทอง",C86)),'อัปเดตราคาอลู'!$F$8,IF(ISNUMBER(SEARCH("SlimLux",C86)),'อัปเดตราคาอลู'!$F$6,IF(ISNUMBER(SEARCH("Velora",C86)),'อัปเดตราคาอลู'!$F$7,IF(ISNUMBER(SEARCH("Fuji",C86)),'อัปเดตราคาอลู'!$F$5,'อัปเดตราคาอลู'!$F$4))))),3)</f>
        <v/>
      </c>
      <c r="T86" s="705">
        <f>ROUND(P86/(IF(OR(ISNUMBER(SEARCH("เมืองทอง",C86)),ISNUMBER(SEARCH("SlimLux",C86)),ISNUMBER(SEARCH("Velora",C86))),6,6.4)),3)</f>
        <v/>
      </c>
      <c r="U86" s="767">
        <f>ROUND(L86-D86,0)</f>
        <v/>
      </c>
      <c r="V86" s="659">
        <f>IF(D86="","",ROUND(D86+rate_anodize*S86,0))</f>
        <v/>
      </c>
    </row>
    <row r="87">
      <c r="A87" s="395" t="inlineStr">
        <is>
          <t>F7999</t>
        </is>
      </c>
      <c r="B87" s="393" t="inlineStr">
        <is>
          <t>เฟรมแบ่งบานคิ้วใน</t>
        </is>
      </c>
      <c r="C87" s="393" t="inlineStr">
        <is>
          <t>อลูมิเนียม Fuji</t>
        </is>
      </c>
      <c r="D87" s="399" t="n">
        <v>1445</v>
      </c>
      <c r="E87" s="399" t="n">
        <v>1550</v>
      </c>
      <c r="F87" s="399">
        <f>E87</f>
        <v/>
      </c>
      <c r="G87" s="399" t="n">
        <v>1565</v>
      </c>
      <c r="H87" s="399" t="n">
        <v>2115</v>
      </c>
      <c r="I87" s="399" t="n">
        <v>2180</v>
      </c>
      <c r="J87" s="399" t="n">
        <v>2165</v>
      </c>
      <c r="K87" s="676">
        <f>IF(ISNUMBER(SEARCH("เมืองทอง",C87)),mult_mtong,IF(ISNUMBER(SEARCH("SlimLux",C87)),mult_slim,IF(ISNUMBER(SEARCH("Velora",C87)),mult_velora,IF(ISNUMBER(SEARCH("Fuji",C87)),mult_euro,mult_sms))))</f>
        <v/>
      </c>
      <c r="L87" s="659">
        <f>ROUND(D87*K87,0)</f>
        <v/>
      </c>
      <c r="M87" s="659">
        <f>IF(E87="",ROUND(L87+'อัปเดตราคาอลู'!$B$13*S87,0),ROUND(E87*K87,0))</f>
        <v/>
      </c>
      <c r="N87" s="659">
        <f>M87</f>
        <v/>
      </c>
      <c r="O87" s="659">
        <f>IF(G87="",ROUND(L87+rate_special*S87,0),ROUND(G87*mult_euro,0))</f>
        <v/>
      </c>
      <c r="P87" s="659">
        <f>IF(H87="",ROUND(L87+rate_woodbake*S87,0),ROUND(H87*mult_wood,0))</f>
        <v/>
      </c>
      <c r="Q87" s="659">
        <f>IF(I87="",ROUND(L87+rate_woodbake*S87,0),ROUND(I87*mult_wood,0))</f>
        <v/>
      </c>
      <c r="R87" s="659">
        <f>IF(J87="",ROUND(L87+rate_woodbake*S87,0),ROUND(J87*mult_wood,0))</f>
        <v/>
      </c>
      <c r="S87" s="705">
        <f>ROUND(D87/(IF(ISNUMBER(SEARCH("เมืองทอง",C87)),'อัปเดตราคาอลู'!$F$8,IF(ISNUMBER(SEARCH("SlimLux",C87)),'อัปเดตราคาอลู'!$F$6,IF(ISNUMBER(SEARCH("Velora",C87)),'อัปเดตราคาอลู'!$F$7,IF(ISNUMBER(SEARCH("Fuji",C87)),'อัปเดตราคาอลู'!$F$5,'อัปเดตราคาอลู'!$F$4))))),3)</f>
        <v/>
      </c>
      <c r="T87" s="705">
        <f>ROUND(P87/(IF(OR(ISNUMBER(SEARCH("เมืองทอง",C87)),ISNUMBER(SEARCH("SlimLux",C87)),ISNUMBER(SEARCH("Velora",C87))),6,6.4)),3)</f>
        <v/>
      </c>
      <c r="U87" s="767">
        <f>ROUND(L87-D87,0)</f>
        <v/>
      </c>
      <c r="V87" s="659">
        <f>IF(D87="","",ROUND(D87+rate_anodize*S87,0))</f>
        <v/>
      </c>
    </row>
    <row r="88">
      <c r="A88" s="395" t="inlineStr">
        <is>
          <t>F7942</t>
        </is>
      </c>
      <c r="B88" s="393" t="inlineStr">
        <is>
          <t>ตบเฟรมแบ่งบานคิ้วนอก</t>
        </is>
      </c>
      <c r="C88" s="393" t="inlineStr">
        <is>
          <t>อลูมิเนียม Fuji</t>
        </is>
      </c>
      <c r="D88" s="399" t="n">
        <v>870</v>
      </c>
      <c r="E88" s="399" t="n">
        <v>930</v>
      </c>
      <c r="F88" s="399">
        <f>E88</f>
        <v/>
      </c>
      <c r="G88" s="399" t="n">
        <v>940</v>
      </c>
      <c r="H88" s="399" t="n">
        <v>1270</v>
      </c>
      <c r="I88" s="399" t="n">
        <v>1310</v>
      </c>
      <c r="J88" s="399" t="n">
        <v>1300</v>
      </c>
      <c r="K88" s="676">
        <f>IF(ISNUMBER(SEARCH("เมืองทอง",C88)),mult_mtong,IF(ISNUMBER(SEARCH("SlimLux",C88)),mult_slim,IF(ISNUMBER(SEARCH("Velora",C88)),mult_velora,IF(ISNUMBER(SEARCH("Fuji",C88)),mult_euro,mult_sms))))</f>
        <v/>
      </c>
      <c r="L88" s="659">
        <f>ROUND(D88*K88,0)</f>
        <v/>
      </c>
      <c r="M88" s="659">
        <f>IF(E88="",ROUND(L88+'อัปเดตราคาอลู'!$B$13*S88,0),ROUND(E88*K88,0))</f>
        <v/>
      </c>
      <c r="N88" s="659">
        <f>M88</f>
        <v/>
      </c>
      <c r="O88" s="659">
        <f>IF(G88="",ROUND(L88+rate_special*S88,0),ROUND(G88*mult_euro,0))</f>
        <v/>
      </c>
      <c r="P88" s="659">
        <f>IF(H88="",ROUND(L88+rate_woodbake*S88,0),ROUND(H88*mult_wood,0))</f>
        <v/>
      </c>
      <c r="Q88" s="659">
        <f>IF(I88="",ROUND(L88+rate_woodbake*S88,0),ROUND(I88*mult_wood,0))</f>
        <v/>
      </c>
      <c r="R88" s="659">
        <f>IF(J88="",ROUND(L88+rate_woodbake*S88,0),ROUND(J88*mult_wood,0))</f>
        <v/>
      </c>
      <c r="S88" s="705">
        <f>ROUND(D88/(IF(ISNUMBER(SEARCH("เมืองทอง",C88)),'อัปเดตราคาอลู'!$F$8,IF(ISNUMBER(SEARCH("SlimLux",C88)),'อัปเดตราคาอลู'!$F$6,IF(ISNUMBER(SEARCH("Velora",C88)),'อัปเดตราคาอลู'!$F$7,IF(ISNUMBER(SEARCH("Fuji",C88)),'อัปเดตราคาอลู'!$F$5,'อัปเดตราคาอลู'!$F$4))))),3)</f>
        <v/>
      </c>
      <c r="T88" s="705">
        <f>ROUND(P88/(IF(OR(ISNUMBER(SEARCH("เมืองทอง",C88)),ISNUMBER(SEARCH("SlimLux",C88)),ISNUMBER(SEARCH("Velora",C88))),6,6.4)),3)</f>
        <v/>
      </c>
      <c r="U88" s="767">
        <f>ROUND(L88-D88,0)</f>
        <v/>
      </c>
      <c r="V88" s="659">
        <f>IF(D88="","",ROUND(D88+rate_anodize*S88,0))</f>
        <v/>
      </c>
    </row>
    <row r="89">
      <c r="A89" s="395" t="inlineStr">
        <is>
          <t>F7943B</t>
        </is>
      </c>
      <c r="B89" s="393" t="inlineStr">
        <is>
          <t>กรอบบานกระทุ้ง</t>
        </is>
      </c>
      <c r="C89" s="393" t="inlineStr">
        <is>
          <t>อลูมิเนียม Fuji</t>
        </is>
      </c>
      <c r="D89" s="399" t="n">
        <v>1305</v>
      </c>
      <c r="E89" s="399" t="n">
        <v>1400</v>
      </c>
      <c r="F89" s="399">
        <f>E89</f>
        <v/>
      </c>
      <c r="G89" s="399" t="n">
        <v>1415</v>
      </c>
      <c r="H89" s="399" t="n">
        <v>2170</v>
      </c>
      <c r="I89" s="399" t="n">
        <v>1970</v>
      </c>
      <c r="J89" s="399" t="n">
        <v>1955</v>
      </c>
      <c r="K89" s="676">
        <f>IF(ISNUMBER(SEARCH("เมืองทอง",C89)),mult_mtong,IF(ISNUMBER(SEARCH("SlimLux",C89)),mult_slim,IF(ISNUMBER(SEARCH("Velora",C89)),mult_velora,IF(ISNUMBER(SEARCH("Fuji",C89)),mult_euro,mult_sms))))</f>
        <v/>
      </c>
      <c r="L89" s="659">
        <f>ROUND(D89*K89,0)</f>
        <v/>
      </c>
      <c r="M89" s="659">
        <f>IF(E89="",ROUND(L89+'อัปเดตราคาอลู'!$B$13*S89,0),ROUND(E89*K89,0))</f>
        <v/>
      </c>
      <c r="N89" s="659">
        <f>M89</f>
        <v/>
      </c>
      <c r="O89" s="659">
        <f>IF(G89="",ROUND(L89+rate_special*S89,0),ROUND(G89*mult_euro,0))</f>
        <v/>
      </c>
      <c r="P89" s="659">
        <f>IF(H89="",ROUND(L89+rate_woodbake*S89,0),ROUND(H89*mult_wood,0))</f>
        <v/>
      </c>
      <c r="Q89" s="659">
        <f>IF(I89="",ROUND(L89+rate_woodbake*S89,0),ROUND(I89*mult_wood,0))</f>
        <v/>
      </c>
      <c r="R89" s="659">
        <f>IF(J89="",ROUND(L89+rate_woodbake*S89,0),ROUND(J89*mult_wood,0))</f>
        <v/>
      </c>
      <c r="S89" s="705">
        <f>ROUND(D89/(IF(ISNUMBER(SEARCH("เมืองทอง",C89)),'อัปเดตราคาอลู'!$F$8,IF(ISNUMBER(SEARCH("SlimLux",C89)),'อัปเดตราคาอลู'!$F$6,IF(ISNUMBER(SEARCH("Velora",C89)),'อัปเดตราคาอลู'!$F$7,IF(ISNUMBER(SEARCH("Fuji",C89)),'อัปเดตราคาอลู'!$F$5,'อัปเดตราคาอลู'!$F$4))))),3)</f>
        <v/>
      </c>
      <c r="T89" s="705">
        <f>ROUND(P89/(IF(OR(ISNUMBER(SEARCH("เมืองทอง",C89)),ISNUMBER(SEARCH("SlimLux",C89)),ISNUMBER(SEARCH("Velora",C89))),6,6.4)),3)</f>
        <v/>
      </c>
      <c r="U89" s="767">
        <f>ROUND(L89-D89,0)</f>
        <v/>
      </c>
      <c r="V89" s="659">
        <f>IF(D89="","",ROUND(D89+rate_anodize*S89,0))</f>
        <v/>
      </c>
    </row>
    <row r="90">
      <c r="A90" s="395" t="inlineStr">
        <is>
          <t>F7945C</t>
        </is>
      </c>
      <c r="B90" s="393" t="inlineStr">
        <is>
          <t>เสารับล็อกเปิดกลาง</t>
        </is>
      </c>
      <c r="C90" s="393" t="inlineStr">
        <is>
          <t>อลูมิเนียม Fuji</t>
        </is>
      </c>
      <c r="D90" s="399" t="n">
        <v>825</v>
      </c>
      <c r="E90" s="399" t="n">
        <v>880</v>
      </c>
      <c r="F90" s="399">
        <f>E90</f>
        <v/>
      </c>
      <c r="G90" s="399" t="n">
        <v>890</v>
      </c>
      <c r="H90" s="399" t="n">
        <v>1100</v>
      </c>
      <c r="I90" s="399" t="n">
        <v>1240</v>
      </c>
      <c r="J90" s="399" t="n">
        <v>1235</v>
      </c>
      <c r="K90" s="676">
        <f>IF(ISNUMBER(SEARCH("เมืองทอง",C90)),mult_mtong,IF(ISNUMBER(SEARCH("SlimLux",C90)),mult_slim,IF(ISNUMBER(SEARCH("Velora",C90)),mult_velora,IF(ISNUMBER(SEARCH("Fuji",C90)),mult_euro,mult_sms))))</f>
        <v/>
      </c>
      <c r="L90" s="659">
        <f>ROUND(D90*K90,0)</f>
        <v/>
      </c>
      <c r="M90" s="659">
        <f>IF(E90="",ROUND(L90+'อัปเดตราคาอลู'!$B$13*S90,0),ROUND(E90*K90,0))</f>
        <v/>
      </c>
      <c r="N90" s="659">
        <f>M90</f>
        <v/>
      </c>
      <c r="O90" s="659">
        <f>IF(G90="",ROUND(L90+rate_special*S90,0),ROUND(G90*mult_euro,0))</f>
        <v/>
      </c>
      <c r="P90" s="659">
        <f>IF(H90="",ROUND(L90+rate_woodbake*S90,0),ROUND(H90*mult_wood,0))</f>
        <v/>
      </c>
      <c r="Q90" s="659">
        <f>IF(I90="",ROUND(L90+rate_woodbake*S90,0),ROUND(I90*mult_wood,0))</f>
        <v/>
      </c>
      <c r="R90" s="659">
        <f>IF(J90="",ROUND(L90+rate_woodbake*S90,0),ROUND(J90*mult_wood,0))</f>
        <v/>
      </c>
      <c r="S90" s="705">
        <f>ROUND(D90/(IF(ISNUMBER(SEARCH("เมืองทอง",C90)),'อัปเดตราคาอลู'!$F$8,IF(ISNUMBER(SEARCH("SlimLux",C90)),'อัปเดตราคาอลู'!$F$6,IF(ISNUMBER(SEARCH("Velora",C90)),'อัปเดตราคาอลู'!$F$7,IF(ISNUMBER(SEARCH("Fuji",C90)),'อัปเดตราคาอลู'!$F$5,'อัปเดตราคาอลู'!$F$4))))),3)</f>
        <v/>
      </c>
      <c r="T90" s="705">
        <f>ROUND(P90/(IF(OR(ISNUMBER(SEARCH("เมืองทอง",C90)),ISNUMBER(SEARCH("SlimLux",C90)),ISNUMBER(SEARCH("Velora",C90))),6,6.4)),3)</f>
        <v/>
      </c>
      <c r="U90" s="767">
        <f>ROUND(L90-D90,0)</f>
        <v/>
      </c>
      <c r="V90" s="659">
        <f>IF(D90="","",ROUND(D90+rate_anodize*S90,0))</f>
        <v/>
      </c>
    </row>
    <row r="91">
      <c r="A91" s="395" t="inlineStr">
        <is>
          <t>F7960</t>
        </is>
      </c>
      <c r="B91" s="393" t="inlineStr">
        <is>
          <t>ตบธรณี</t>
        </is>
      </c>
      <c r="C91" s="393" t="inlineStr">
        <is>
          <t>อลูมิเนียม Fuji</t>
        </is>
      </c>
      <c r="D91" s="399" t="n">
        <v>615</v>
      </c>
      <c r="E91" s="399" t="n">
        <v>655</v>
      </c>
      <c r="F91" s="399">
        <f>E91</f>
        <v/>
      </c>
      <c r="G91" s="399" t="n">
        <v>665</v>
      </c>
      <c r="H91" s="399" t="n">
        <v>870</v>
      </c>
      <c r="I91" s="399" t="n">
        <v>925</v>
      </c>
      <c r="J91" s="399" t="n">
        <v>920</v>
      </c>
      <c r="K91" s="676">
        <f>IF(ISNUMBER(SEARCH("เมืองทอง",C91)),mult_mtong,IF(ISNUMBER(SEARCH("SlimLux",C91)),mult_slim,IF(ISNUMBER(SEARCH("Velora",C91)),mult_velora,IF(ISNUMBER(SEARCH("Fuji",C91)),mult_euro,mult_sms))))</f>
        <v/>
      </c>
      <c r="L91" s="659">
        <f>ROUND(D91*K91,0)</f>
        <v/>
      </c>
      <c r="M91" s="659">
        <f>IF(E91="",ROUND(L91+'อัปเดตราคาอลู'!$B$13*S91,0),ROUND(E91*K91,0))</f>
        <v/>
      </c>
      <c r="N91" s="659">
        <f>M91</f>
        <v/>
      </c>
      <c r="O91" s="659">
        <f>IF(G91="",ROUND(L91+rate_special*S91,0),ROUND(G91*mult_euro,0))</f>
        <v/>
      </c>
      <c r="P91" s="659">
        <f>IF(H91="",ROUND(L91+rate_woodbake*S91,0),ROUND(H91*mult_wood,0))</f>
        <v/>
      </c>
      <c r="Q91" s="659">
        <f>IF(I91="",ROUND(L91+rate_woodbake*S91,0),ROUND(I91*mult_wood,0))</f>
        <v/>
      </c>
      <c r="R91" s="659">
        <f>IF(J91="",ROUND(L91+rate_woodbake*S91,0),ROUND(J91*mult_wood,0))</f>
        <v/>
      </c>
      <c r="S91" s="705">
        <f>ROUND(D91/(IF(ISNUMBER(SEARCH("เมืองทอง",C91)),'อัปเดตราคาอลู'!$F$8,IF(ISNUMBER(SEARCH("SlimLux",C91)),'อัปเดตราคาอลู'!$F$6,IF(ISNUMBER(SEARCH("Velora",C91)),'อัปเดตราคาอลู'!$F$7,IF(ISNUMBER(SEARCH("Fuji",C91)),'อัปเดตราคาอลู'!$F$5,'อัปเดตราคาอลู'!$F$4))))),3)</f>
        <v/>
      </c>
      <c r="T91" s="705">
        <f>ROUND(P91/(IF(OR(ISNUMBER(SEARCH("เมืองทอง",C91)),ISNUMBER(SEARCH("SlimLux",C91)),ISNUMBER(SEARCH("Velora",C91))),6,6.4)),3)</f>
        <v/>
      </c>
      <c r="U91" s="767">
        <f>ROUND(L91-D91,0)</f>
        <v/>
      </c>
      <c r="V91" s="659">
        <f>IF(D91="","",ROUND(D91+rate_anodize*S91,0))</f>
        <v/>
      </c>
    </row>
    <row r="92">
      <c r="A92" s="395" t="inlineStr">
        <is>
          <t>F7959</t>
        </is>
      </c>
      <c r="B92" s="393" t="inlineStr">
        <is>
          <t>กล่องค้ำบานมุ้ง</t>
        </is>
      </c>
      <c r="C92" s="393" t="inlineStr">
        <is>
          <t>อลูมิเนียม Fuji</t>
        </is>
      </c>
      <c r="D92" s="399" t="n">
        <v>540</v>
      </c>
      <c r="E92" s="399" t="n">
        <v>580</v>
      </c>
      <c r="F92" s="399">
        <f>E92</f>
        <v/>
      </c>
      <c r="G92" s="399" t="n">
        <v>585</v>
      </c>
      <c r="H92" s="399" t="n">
        <v>800</v>
      </c>
      <c r="I92" s="399" t="n">
        <v>815</v>
      </c>
      <c r="J92" s="399" t="n">
        <v>810</v>
      </c>
      <c r="K92" s="676">
        <f>IF(ISNUMBER(SEARCH("เมืองทอง",C92)),mult_mtong,IF(ISNUMBER(SEARCH("SlimLux",C92)),mult_slim,IF(ISNUMBER(SEARCH("Velora",C92)),mult_velora,IF(ISNUMBER(SEARCH("Fuji",C92)),mult_euro,mult_sms))))</f>
        <v/>
      </c>
      <c r="L92" s="659">
        <f>ROUND(D92*K92,0)</f>
        <v/>
      </c>
      <c r="M92" s="659">
        <f>IF(E92="",ROUND(L92+'อัปเดตราคาอลู'!$B$13*S92,0),ROUND(E92*K92,0))</f>
        <v/>
      </c>
      <c r="N92" s="659">
        <f>M92</f>
        <v/>
      </c>
      <c r="O92" s="659">
        <f>IF(G92="",ROUND(L92+rate_special*S92,0),ROUND(G92*mult_euro,0))</f>
        <v/>
      </c>
      <c r="P92" s="659">
        <f>IF(H92="",ROUND(L92+rate_woodbake*S92,0),ROUND(H92*mult_wood,0))</f>
        <v/>
      </c>
      <c r="Q92" s="659">
        <f>IF(I92="",ROUND(L92+rate_woodbake*S92,0),ROUND(I92*mult_wood,0))</f>
        <v/>
      </c>
      <c r="R92" s="659">
        <f>IF(J92="",ROUND(L92+rate_woodbake*S92,0),ROUND(J92*mult_wood,0))</f>
        <v/>
      </c>
      <c r="S92" s="705">
        <f>ROUND(D92/(IF(ISNUMBER(SEARCH("เมืองทอง",C92)),'อัปเดตราคาอลู'!$F$8,IF(ISNUMBER(SEARCH("SlimLux",C92)),'อัปเดตราคาอลู'!$F$6,IF(ISNUMBER(SEARCH("Velora",C92)),'อัปเดตราคาอลู'!$F$7,IF(ISNUMBER(SEARCH("Fuji",C92)),'อัปเดตราคาอลู'!$F$5,'อัปเดตราคาอลู'!$F$4))))),3)</f>
        <v/>
      </c>
      <c r="T92" s="705">
        <f>ROUND(P92/(IF(OR(ISNUMBER(SEARCH("เมืองทอง",C92)),ISNUMBER(SEARCH("SlimLux",C92)),ISNUMBER(SEARCH("Velora",C92))),6,6.4)),3)</f>
        <v/>
      </c>
      <c r="U92" s="767">
        <f>ROUND(L92-D92,0)</f>
        <v/>
      </c>
      <c r="V92" s="659">
        <f>IF(D92="","",ROUND(D92+rate_anodize*S92,0))</f>
        <v/>
      </c>
    </row>
    <row r="93">
      <c r="A93" s="395" t="inlineStr">
        <is>
          <t>F7865B</t>
        </is>
      </c>
      <c r="B93" s="393" t="inlineStr">
        <is>
          <t>แผงประตู</t>
        </is>
      </c>
      <c r="C93" s="393" t="inlineStr">
        <is>
          <t>อลูมิเนียม Fuji</t>
        </is>
      </c>
      <c r="D93" s="399" t="n">
        <v>1710</v>
      </c>
      <c r="E93" s="399" t="n">
        <v>1835</v>
      </c>
      <c r="F93" s="399">
        <f>E93</f>
        <v/>
      </c>
      <c r="G93" s="399" t="n">
        <v>1850</v>
      </c>
      <c r="H93" s="399" t="n">
        <v>2355</v>
      </c>
      <c r="I93" s="399" t="n">
        <v>2580</v>
      </c>
      <c r="J93" s="399" t="n">
        <v>2560</v>
      </c>
      <c r="K93" s="676">
        <f>IF(ISNUMBER(SEARCH("เมืองทอง",C93)),mult_mtong,IF(ISNUMBER(SEARCH("SlimLux",C93)),mult_slim,IF(ISNUMBER(SEARCH("Velora",C93)),mult_velora,IF(ISNUMBER(SEARCH("Fuji",C93)),mult_euro,mult_sms))))</f>
        <v/>
      </c>
      <c r="L93" s="659">
        <f>ROUND(D93*K93,0)</f>
        <v/>
      </c>
      <c r="M93" s="659">
        <f>IF(E93="",ROUND(L93+'อัปเดตราคาอลู'!$B$13*S93,0),ROUND(E93*K93,0))</f>
        <v/>
      </c>
      <c r="N93" s="659">
        <f>M93</f>
        <v/>
      </c>
      <c r="O93" s="659">
        <f>IF(G93="",ROUND(L93+rate_special*S93,0),ROUND(G93*mult_euro,0))</f>
        <v/>
      </c>
      <c r="P93" s="659">
        <f>IF(H93="",ROUND(L93+rate_woodbake*S93,0),ROUND(H93*mult_wood,0))</f>
        <v/>
      </c>
      <c r="Q93" s="659">
        <f>IF(I93="",ROUND(L93+rate_woodbake*S93,0),ROUND(I93*mult_wood,0))</f>
        <v/>
      </c>
      <c r="R93" s="659">
        <f>IF(J93="",ROUND(L93+rate_woodbake*S93,0),ROUND(J93*mult_wood,0))</f>
        <v/>
      </c>
      <c r="S93" s="705">
        <f>ROUND(D93/(IF(ISNUMBER(SEARCH("เมืองทอง",C93)),'อัปเดตราคาอลู'!$F$8,IF(ISNUMBER(SEARCH("SlimLux",C93)),'อัปเดตราคาอลู'!$F$6,IF(ISNUMBER(SEARCH("Velora",C93)),'อัปเดตราคาอลู'!$F$7,IF(ISNUMBER(SEARCH("Fuji",C93)),'อัปเดตราคาอลู'!$F$5,'อัปเดตราคาอลู'!$F$4))))),3)</f>
        <v/>
      </c>
      <c r="T93" s="705">
        <f>ROUND(P93/(IF(OR(ISNUMBER(SEARCH("เมืองทอง",C93)),ISNUMBER(SEARCH("SlimLux",C93)),ISNUMBER(SEARCH("Velora",C93))),6,6.4)),3)</f>
        <v/>
      </c>
      <c r="U93" s="767">
        <f>ROUND(L93-D93,0)</f>
        <v/>
      </c>
      <c r="V93" s="659">
        <f>IF(D93="","",ROUND(D93+rate_anodize*S93,0))</f>
        <v/>
      </c>
    </row>
    <row r="94">
      <c r="A94" s="395" t="inlineStr">
        <is>
          <t>F7965</t>
        </is>
      </c>
      <c r="B94" s="393" t="inlineStr">
        <is>
          <t>ลูกฟักแบ่งบาน</t>
        </is>
      </c>
      <c r="C94" s="393" t="inlineStr">
        <is>
          <t>อลูมิเนียม Fuji</t>
        </is>
      </c>
      <c r="D94" s="399" t="n">
        <v>1000</v>
      </c>
      <c r="E94" s="399" t="n">
        <v>1070</v>
      </c>
      <c r="F94" s="399">
        <f>E94</f>
        <v/>
      </c>
      <c r="G94" s="399" t="n">
        <v>1085</v>
      </c>
      <c r="H94" s="399" t="n">
        <v>1580</v>
      </c>
      <c r="I94" s="399" t="n">
        <v>1510</v>
      </c>
      <c r="J94" s="399" t="n">
        <v>1500</v>
      </c>
      <c r="K94" s="676">
        <f>IF(ISNUMBER(SEARCH("เมืองทอง",C94)),mult_mtong,IF(ISNUMBER(SEARCH("SlimLux",C94)),mult_slim,IF(ISNUMBER(SEARCH("Velora",C94)),mult_velora,IF(ISNUMBER(SEARCH("Fuji",C94)),mult_euro,mult_sms))))</f>
        <v/>
      </c>
      <c r="L94" s="659">
        <f>ROUND(D94*K94,0)</f>
        <v/>
      </c>
      <c r="M94" s="659">
        <f>IF(E94="",ROUND(L94+'อัปเดตราคาอลู'!$B$13*S94,0),ROUND(E94*K94,0))</f>
        <v/>
      </c>
      <c r="N94" s="659">
        <f>M94</f>
        <v/>
      </c>
      <c r="O94" s="659">
        <f>IF(G94="",ROUND(L94+rate_special*S94,0),ROUND(G94*mult_euro,0))</f>
        <v/>
      </c>
      <c r="P94" s="659">
        <f>IF(H94="",ROUND(L94+rate_woodbake*S94,0),ROUND(H94*mult_wood,0))</f>
        <v/>
      </c>
      <c r="Q94" s="659">
        <f>IF(I94="",ROUND(L94+rate_woodbake*S94,0),ROUND(I94*mult_wood,0))</f>
        <v/>
      </c>
      <c r="R94" s="659">
        <f>IF(J94="",ROUND(L94+rate_woodbake*S94,0),ROUND(J94*mult_wood,0))</f>
        <v/>
      </c>
      <c r="S94" s="705">
        <f>ROUND(D94/(IF(ISNUMBER(SEARCH("เมืองทอง",C94)),'อัปเดตราคาอลู'!$F$8,IF(ISNUMBER(SEARCH("SlimLux",C94)),'อัปเดตราคาอลู'!$F$6,IF(ISNUMBER(SEARCH("Velora",C94)),'อัปเดตราคาอลู'!$F$7,IF(ISNUMBER(SEARCH("Fuji",C94)),'อัปเดตราคาอลู'!$F$5,'อัปเดตราคาอลู'!$F$4))))),3)</f>
        <v/>
      </c>
      <c r="T94" s="705">
        <f>ROUND(P94/(IF(OR(ISNUMBER(SEARCH("เมืองทอง",C94)),ISNUMBER(SEARCH("SlimLux",C94)),ISNUMBER(SEARCH("Velora",C94))),6,6.4)),3)</f>
        <v/>
      </c>
      <c r="U94" s="767">
        <f>ROUND(L94-D94,0)</f>
        <v/>
      </c>
      <c r="V94" s="659">
        <f>IF(D94="","",ROUND(D94+rate_anodize*S94,0))</f>
        <v/>
      </c>
    </row>
    <row r="95">
      <c r="A95" s="395" t="inlineStr">
        <is>
          <t>F7946</t>
        </is>
      </c>
      <c r="B95" s="393" t="inlineStr">
        <is>
          <t>คิ้วตบในบานตาย</t>
        </is>
      </c>
      <c r="C95" s="393" t="inlineStr">
        <is>
          <t>อลูมิเนียม Fuji</t>
        </is>
      </c>
      <c r="D95" s="399" t="n">
        <v>255</v>
      </c>
      <c r="E95" s="399" t="n">
        <v>275</v>
      </c>
      <c r="F95" s="399">
        <f>E95</f>
        <v/>
      </c>
      <c r="G95" s="399" t="n">
        <v>275</v>
      </c>
      <c r="H95" s="399" t="n">
        <v>365</v>
      </c>
      <c r="I95" s="399" t="n">
        <v>385</v>
      </c>
      <c r="J95" s="399" t="n">
        <v>385</v>
      </c>
      <c r="K95" s="676">
        <f>IF(ISNUMBER(SEARCH("เมืองทอง",C95)),mult_mtong,IF(ISNUMBER(SEARCH("SlimLux",C95)),mult_slim,IF(ISNUMBER(SEARCH("Velora",C95)),mult_velora,IF(ISNUMBER(SEARCH("Fuji",C95)),mult_euro,mult_sms))))</f>
        <v/>
      </c>
      <c r="L95" s="659">
        <f>ROUND(D95*K95,0)</f>
        <v/>
      </c>
      <c r="M95" s="659">
        <f>IF(E95="",ROUND(L95+'อัปเดตราคาอลู'!$B$13*S95,0),ROUND(E95*K95,0))</f>
        <v/>
      </c>
      <c r="N95" s="659">
        <f>M95</f>
        <v/>
      </c>
      <c r="O95" s="659">
        <f>IF(G95="",ROUND(L95+rate_special*S95,0),ROUND(G95*mult_euro,0))</f>
        <v/>
      </c>
      <c r="P95" s="659">
        <f>IF(H95="",ROUND(L95+rate_woodbake*S95,0),ROUND(H95*mult_wood,0))</f>
        <v/>
      </c>
      <c r="Q95" s="659">
        <f>IF(I95="",ROUND(L95+rate_woodbake*S95,0),ROUND(I95*mult_wood,0))</f>
        <v/>
      </c>
      <c r="R95" s="659">
        <f>IF(J95="",ROUND(L95+rate_woodbake*S95,0),ROUND(J95*mult_wood,0))</f>
        <v/>
      </c>
      <c r="S95" s="705">
        <f>ROUND(D95/(IF(ISNUMBER(SEARCH("เมืองทอง",C95)),'อัปเดตราคาอลู'!$F$8,IF(ISNUMBER(SEARCH("SlimLux",C95)),'อัปเดตราคาอลู'!$F$6,IF(ISNUMBER(SEARCH("Velora",C95)),'อัปเดตราคาอลู'!$F$7,IF(ISNUMBER(SEARCH("Fuji",C95)),'อัปเดตราคาอลู'!$F$5,'อัปเดตราคาอลู'!$F$4))))),3)</f>
        <v/>
      </c>
      <c r="T95" s="705">
        <f>ROUND(P95/(IF(OR(ISNUMBER(SEARCH("เมืองทอง",C95)),ISNUMBER(SEARCH("SlimLux",C95)),ISNUMBER(SEARCH("Velora",C95))),6,6.4)),3)</f>
        <v/>
      </c>
      <c r="U95" s="767">
        <f>ROUND(L95-D95,0)</f>
        <v/>
      </c>
      <c r="V95" s="659">
        <f>IF(D95="","",ROUND(D95+rate_anodize*S95,0))</f>
        <v/>
      </c>
    </row>
    <row r="96">
      <c r="A96" s="395" t="inlineStr">
        <is>
          <t>F7947</t>
        </is>
      </c>
      <c r="B96" s="393" t="inlineStr">
        <is>
          <t>คิ้วตบนอกบานตาย</t>
        </is>
      </c>
      <c r="C96" s="393" t="inlineStr">
        <is>
          <t>อลูมิเนียม Fuji</t>
        </is>
      </c>
      <c r="D96" s="399" t="n">
        <v>285</v>
      </c>
      <c r="E96" s="399" t="n">
        <v>305</v>
      </c>
      <c r="F96" s="399">
        <f>E96</f>
        <v/>
      </c>
      <c r="G96" s="399" t="n">
        <v>305</v>
      </c>
      <c r="H96" s="399" t="n">
        <v>415</v>
      </c>
      <c r="I96" s="399" t="n">
        <v>430</v>
      </c>
      <c r="J96" s="399" t="n">
        <v>425</v>
      </c>
      <c r="K96" s="676">
        <f>IF(ISNUMBER(SEARCH("เมืองทอง",C96)),mult_mtong,IF(ISNUMBER(SEARCH("SlimLux",C96)),mult_slim,IF(ISNUMBER(SEARCH("Velora",C96)),mult_velora,IF(ISNUMBER(SEARCH("Fuji",C96)),mult_euro,mult_sms))))</f>
        <v/>
      </c>
      <c r="L96" s="659">
        <f>ROUND(D96*K96,0)</f>
        <v/>
      </c>
      <c r="M96" s="659">
        <f>IF(E96="",ROUND(L96+'อัปเดตราคาอลู'!$B$13*S96,0),ROUND(E96*K96,0))</f>
        <v/>
      </c>
      <c r="N96" s="659">
        <f>M96</f>
        <v/>
      </c>
      <c r="O96" s="659">
        <f>IF(G96="",ROUND(L96+rate_special*S96,0),ROUND(G96*mult_euro,0))</f>
        <v/>
      </c>
      <c r="P96" s="659">
        <f>IF(H96="",ROUND(L96+rate_woodbake*S96,0),ROUND(H96*mult_wood,0))</f>
        <v/>
      </c>
      <c r="Q96" s="659">
        <f>IF(I96="",ROUND(L96+rate_woodbake*S96,0),ROUND(I96*mult_wood,0))</f>
        <v/>
      </c>
      <c r="R96" s="659">
        <f>IF(J96="",ROUND(L96+rate_woodbake*S96,0),ROUND(J96*mult_wood,0))</f>
        <v/>
      </c>
      <c r="S96" s="705">
        <f>ROUND(D96/(IF(ISNUMBER(SEARCH("เมืองทอง",C96)),'อัปเดตราคาอลู'!$F$8,IF(ISNUMBER(SEARCH("SlimLux",C96)),'อัปเดตราคาอลู'!$F$6,IF(ISNUMBER(SEARCH("Velora",C96)),'อัปเดตราคาอลู'!$F$7,IF(ISNUMBER(SEARCH("Fuji",C96)),'อัปเดตราคาอลู'!$F$5,'อัปเดตราคาอลู'!$F$4))))),3)</f>
        <v/>
      </c>
      <c r="T96" s="705">
        <f>ROUND(P96/(IF(OR(ISNUMBER(SEARCH("เมืองทอง",C96)),ISNUMBER(SEARCH("SlimLux",C96)),ISNUMBER(SEARCH("Velora",C96))),6,6.4)),3)</f>
        <v/>
      </c>
      <c r="U96" s="767">
        <f>ROUND(L96-D96,0)</f>
        <v/>
      </c>
      <c r="V96" s="659">
        <f>IF(D96="","",ROUND(D96+rate_anodize*S96,0))</f>
        <v/>
      </c>
    </row>
    <row r="97">
      <c r="A97" s="395" t="inlineStr">
        <is>
          <t>F7968</t>
        </is>
      </c>
      <c r="B97" s="393" t="inlineStr">
        <is>
          <t>เฟรมบานเฟี้ยม</t>
        </is>
      </c>
      <c r="C97" s="393" t="inlineStr">
        <is>
          <t>อลูมิเนียม Fuji</t>
        </is>
      </c>
      <c r="D97" s="399" t="n">
        <v>3435</v>
      </c>
      <c r="E97" s="399" t="n">
        <v>3675</v>
      </c>
      <c r="F97" s="399">
        <f>E97</f>
        <v/>
      </c>
      <c r="G97" s="399" t="n">
        <v>3715</v>
      </c>
      <c r="H97" s="399" t="n">
        <v>4980</v>
      </c>
      <c r="I97" s="399" t="n">
        <v>5180</v>
      </c>
      <c r="J97" s="399" t="n">
        <v>5140</v>
      </c>
      <c r="K97" s="676">
        <f>IF(ISNUMBER(SEARCH("เมืองทอง",C97)),mult_mtong,IF(ISNUMBER(SEARCH("SlimLux",C97)),mult_slim,IF(ISNUMBER(SEARCH("Velora",C97)),mult_velora,IF(ISNUMBER(SEARCH("Fuji",C97)),mult_euro,mult_sms))))</f>
        <v/>
      </c>
      <c r="L97" s="659">
        <f>ROUND(D97*K97,0)</f>
        <v/>
      </c>
      <c r="M97" s="659">
        <f>IF(E97="",ROUND(L97+'อัปเดตราคาอลู'!$B$13*S97,0),ROUND(E97*K97,0))</f>
        <v/>
      </c>
      <c r="N97" s="659">
        <f>M97</f>
        <v/>
      </c>
      <c r="O97" s="659">
        <f>IF(G97="",ROUND(L97+rate_special*S97,0),ROUND(G97*mult_euro,0))</f>
        <v/>
      </c>
      <c r="P97" s="659">
        <f>IF(H97="",ROUND(L97+rate_woodbake*S97,0),ROUND(H97*mult_wood,0))</f>
        <v/>
      </c>
      <c r="Q97" s="659">
        <f>IF(I97="",ROUND(L97+rate_woodbake*S97,0),ROUND(I97*mult_wood,0))</f>
        <v/>
      </c>
      <c r="R97" s="659">
        <f>IF(J97="",ROUND(L97+rate_woodbake*S97,0),ROUND(J97*mult_wood,0))</f>
        <v/>
      </c>
      <c r="S97" s="705">
        <f>ROUND(D97/(IF(ISNUMBER(SEARCH("เมืองทอง",C97)),'อัปเดตราคาอลู'!$F$8,IF(ISNUMBER(SEARCH("SlimLux",C97)),'อัปเดตราคาอลู'!$F$6,IF(ISNUMBER(SEARCH("Velora",C97)),'อัปเดตราคาอลู'!$F$7,IF(ISNUMBER(SEARCH("Fuji",C97)),'อัปเดตราคาอลู'!$F$5,'อัปเดตราคาอลู'!$F$4))))),3)</f>
        <v/>
      </c>
      <c r="T97" s="705">
        <f>ROUND(P97/(IF(OR(ISNUMBER(SEARCH("เมืองทอง",C97)),ISNUMBER(SEARCH("SlimLux",C97)),ISNUMBER(SEARCH("Velora",C97))),6,6.4)),3)</f>
        <v/>
      </c>
      <c r="U97" s="767">
        <f>ROUND(L97-D97,0)</f>
        <v/>
      </c>
      <c r="V97" s="659">
        <f>IF(D97="","",ROUND(D97+rate_anodize*S97,0))</f>
        <v/>
      </c>
    </row>
    <row r="98">
      <c r="A98" s="395" t="inlineStr">
        <is>
          <t>F7969</t>
        </is>
      </c>
      <c r="B98" s="393" t="inlineStr">
        <is>
          <t>เฟรมล่างบานเฟี้ยม</t>
        </is>
      </c>
      <c r="C98" s="393" t="inlineStr">
        <is>
          <t>อลูมิเนียม Fuji</t>
        </is>
      </c>
      <c r="D98" s="399" t="n">
        <v>1905</v>
      </c>
      <c r="E98" s="399" t="n">
        <v>2040</v>
      </c>
      <c r="F98" s="399">
        <f>E98</f>
        <v/>
      </c>
      <c r="G98" s="399" t="n">
        <v>2060</v>
      </c>
      <c r="H98" s="399" t="n">
        <v>2745</v>
      </c>
      <c r="I98" s="399" t="n">
        <v>2870</v>
      </c>
      <c r="J98" s="399" t="n">
        <v>2850</v>
      </c>
      <c r="K98" s="676">
        <f>IF(ISNUMBER(SEARCH("เมืองทอง",C98)),mult_mtong,IF(ISNUMBER(SEARCH("SlimLux",C98)),mult_slim,IF(ISNUMBER(SEARCH("Velora",C98)),mult_velora,IF(ISNUMBER(SEARCH("Fuji",C98)),mult_euro,mult_sms))))</f>
        <v/>
      </c>
      <c r="L98" s="659">
        <f>ROUND(D98*K98,0)</f>
        <v/>
      </c>
      <c r="M98" s="659">
        <f>IF(E98="",ROUND(L98+'อัปเดตราคาอลู'!$B$13*S98,0),ROUND(E98*K98,0))</f>
        <v/>
      </c>
      <c r="N98" s="659">
        <f>M98</f>
        <v/>
      </c>
      <c r="O98" s="659">
        <f>IF(G98="",ROUND(L98+rate_special*S98,0),ROUND(G98*mult_euro,0))</f>
        <v/>
      </c>
      <c r="P98" s="659">
        <f>IF(H98="",ROUND(L98+rate_woodbake*S98,0),ROUND(H98*mult_wood,0))</f>
        <v/>
      </c>
      <c r="Q98" s="659">
        <f>IF(I98="",ROUND(L98+rate_woodbake*S98,0),ROUND(I98*mult_wood,0))</f>
        <v/>
      </c>
      <c r="R98" s="659">
        <f>IF(J98="",ROUND(L98+rate_woodbake*S98,0),ROUND(J98*mult_wood,0))</f>
        <v/>
      </c>
      <c r="S98" s="705">
        <f>ROUND(D98/(IF(ISNUMBER(SEARCH("เมืองทอง",C98)),'อัปเดตราคาอลู'!$F$8,IF(ISNUMBER(SEARCH("SlimLux",C98)),'อัปเดตราคาอลู'!$F$6,IF(ISNUMBER(SEARCH("Velora",C98)),'อัปเดตราคาอลู'!$F$7,IF(ISNUMBER(SEARCH("Fuji",C98)),'อัปเดตราคาอลู'!$F$5,'อัปเดตราคาอลู'!$F$4))))),3)</f>
        <v/>
      </c>
      <c r="T98" s="705">
        <f>ROUND(P98/(IF(OR(ISNUMBER(SEARCH("เมืองทอง",C98)),ISNUMBER(SEARCH("SlimLux",C98)),ISNUMBER(SEARCH("Velora",C98))),6,6.4)),3)</f>
        <v/>
      </c>
      <c r="U98" s="767">
        <f>ROUND(L98-D98,0)</f>
        <v/>
      </c>
      <c r="V98" s="659">
        <f>IF(D98="","",ROUND(D98+rate_anodize*S98,0))</f>
        <v/>
      </c>
    </row>
    <row r="99">
      <c r="A99" s="395" t="inlineStr">
        <is>
          <t>F7970</t>
        </is>
      </c>
      <c r="B99" s="393" t="inlineStr">
        <is>
          <t>เฟรมข้างบานเฟี้ยม</t>
        </is>
      </c>
      <c r="C99" s="393" t="inlineStr">
        <is>
          <t>อลูมิเนียม Fuji</t>
        </is>
      </c>
      <c r="D99" s="399" t="n">
        <v>1125</v>
      </c>
      <c r="E99" s="399" t="n">
        <v>1205</v>
      </c>
      <c r="F99" s="399">
        <f>E99</f>
        <v/>
      </c>
      <c r="G99" s="399" t="n">
        <v>1220</v>
      </c>
      <c r="H99" s="399" t="n">
        <v>1685</v>
      </c>
      <c r="I99" s="399" t="n">
        <v>1695</v>
      </c>
      <c r="J99" s="399" t="n">
        <v>1685</v>
      </c>
      <c r="K99" s="676">
        <f>IF(ISNUMBER(SEARCH("เมืองทอง",C99)),mult_mtong,IF(ISNUMBER(SEARCH("SlimLux",C99)),mult_slim,IF(ISNUMBER(SEARCH("Velora",C99)),mult_velora,IF(ISNUMBER(SEARCH("Fuji",C99)),mult_euro,mult_sms))))</f>
        <v/>
      </c>
      <c r="L99" s="659">
        <f>ROUND(D99*K99,0)</f>
        <v/>
      </c>
      <c r="M99" s="659">
        <f>IF(E99="",ROUND(L99+'อัปเดตราคาอลู'!$B$13*S99,0),ROUND(E99*K99,0))</f>
        <v/>
      </c>
      <c r="N99" s="659">
        <f>M99</f>
        <v/>
      </c>
      <c r="O99" s="659">
        <f>IF(G99="",ROUND(L99+rate_special*S99,0),ROUND(G99*mult_euro,0))</f>
        <v/>
      </c>
      <c r="P99" s="659">
        <f>IF(H99="",ROUND(L99+rate_woodbake*S99,0),ROUND(H99*mult_wood,0))</f>
        <v/>
      </c>
      <c r="Q99" s="659">
        <f>IF(I99="",ROUND(L99+rate_woodbake*S99,0),ROUND(I99*mult_wood,0))</f>
        <v/>
      </c>
      <c r="R99" s="659">
        <f>IF(J99="",ROUND(L99+rate_woodbake*S99,0),ROUND(J99*mult_wood,0))</f>
        <v/>
      </c>
      <c r="S99" s="705">
        <f>ROUND(D99/(IF(ISNUMBER(SEARCH("เมืองทอง",C99)),'อัปเดตราคาอลู'!$F$8,IF(ISNUMBER(SEARCH("SlimLux",C99)),'อัปเดตราคาอลู'!$F$6,IF(ISNUMBER(SEARCH("Velora",C99)),'อัปเดตราคาอลู'!$F$7,IF(ISNUMBER(SEARCH("Fuji",C99)),'อัปเดตราคาอลู'!$F$5,'อัปเดตราคาอลู'!$F$4))))),3)</f>
        <v/>
      </c>
      <c r="T99" s="705">
        <f>ROUND(P99/(IF(OR(ISNUMBER(SEARCH("เมืองทอง",C99)),ISNUMBER(SEARCH("SlimLux",C99)),ISNUMBER(SEARCH("Velora",C99))),6,6.4)),3)</f>
        <v/>
      </c>
      <c r="U99" s="767">
        <f>ROUND(L99-D99,0)</f>
        <v/>
      </c>
      <c r="V99" s="659">
        <f>IF(D99="","",ROUND(D99+rate_anodize*S99,0))</f>
        <v/>
      </c>
    </row>
    <row r="100">
      <c r="A100" s="395" t="inlineStr">
        <is>
          <t>F7972</t>
        </is>
      </c>
      <c r="B100" s="393" t="inlineStr">
        <is>
          <t>กรอบบานเฟี้ยม</t>
        </is>
      </c>
      <c r="C100" s="393" t="inlineStr">
        <is>
          <t>อลูมิเนียม Fuji</t>
        </is>
      </c>
      <c r="D100" s="399" t="n">
        <v>1885</v>
      </c>
      <c r="E100" s="399" t="n">
        <v>2020</v>
      </c>
      <c r="F100" s="399">
        <f>E100</f>
        <v/>
      </c>
      <c r="G100" s="399" t="n">
        <v>2040</v>
      </c>
      <c r="H100" s="399" t="n">
        <v>2650</v>
      </c>
      <c r="I100" s="399" t="n">
        <v>2845</v>
      </c>
      <c r="J100" s="399" t="n">
        <v>2825</v>
      </c>
      <c r="K100" s="676">
        <f>IF(ISNUMBER(SEARCH("เมืองทอง",C100)),mult_mtong,IF(ISNUMBER(SEARCH("SlimLux",C100)),mult_slim,IF(ISNUMBER(SEARCH("Velora",C100)),mult_velora,IF(ISNUMBER(SEARCH("Fuji",C100)),mult_euro,mult_sms))))</f>
        <v/>
      </c>
      <c r="L100" s="659">
        <f>ROUND(D100*K100,0)</f>
        <v/>
      </c>
      <c r="M100" s="659">
        <f>IF(E100="",ROUND(L100+'อัปเดตราคาอลู'!$B$13*S100,0),ROUND(E100*K100,0))</f>
        <v/>
      </c>
      <c r="N100" s="659">
        <f>M100</f>
        <v/>
      </c>
      <c r="O100" s="659">
        <f>IF(G100="",ROUND(L100+rate_special*S100,0),ROUND(G100*mult_euro,0))</f>
        <v/>
      </c>
      <c r="P100" s="659">
        <f>IF(H100="",ROUND(L100+rate_woodbake*S100,0),ROUND(H100*mult_wood,0))</f>
        <v/>
      </c>
      <c r="Q100" s="659">
        <f>IF(I100="",ROUND(L100+rate_woodbake*S100,0),ROUND(I100*mult_wood,0))</f>
        <v/>
      </c>
      <c r="R100" s="659">
        <f>IF(J100="",ROUND(L100+rate_woodbake*S100,0),ROUND(J100*mult_wood,0))</f>
        <v/>
      </c>
      <c r="S100" s="705">
        <f>ROUND(D100/(IF(ISNUMBER(SEARCH("เมืองทอง",C100)),'อัปเดตราคาอลู'!$F$8,IF(ISNUMBER(SEARCH("SlimLux",C100)),'อัปเดตราคาอลู'!$F$6,IF(ISNUMBER(SEARCH("Velora",C100)),'อัปเดตราคาอลู'!$F$7,IF(ISNUMBER(SEARCH("Fuji",C100)),'อัปเดตราคาอลู'!$F$5,'อัปเดตราคาอลู'!$F$4))))),3)</f>
        <v/>
      </c>
      <c r="T100" s="705">
        <f>ROUND(P100/(IF(OR(ISNUMBER(SEARCH("เมืองทอง",C100)),ISNUMBER(SEARCH("SlimLux",C100)),ISNUMBER(SEARCH("Velora",C100))),6,6.4)),3)</f>
        <v/>
      </c>
      <c r="U100" s="767">
        <f>ROUND(L100-D100,0)</f>
        <v/>
      </c>
      <c r="V100" s="659">
        <f>IF(D100="","",ROUND(D100+rate_anodize*S100,0))</f>
        <v/>
      </c>
    </row>
    <row r="101">
      <c r="A101" s="395" t="inlineStr">
        <is>
          <t>F7932</t>
        </is>
      </c>
      <c r="B101" s="393" t="inlineStr">
        <is>
          <t>รางยู</t>
        </is>
      </c>
      <c r="C101" s="393" t="inlineStr">
        <is>
          <t>อลูมิเนียม Fuji</t>
        </is>
      </c>
      <c r="D101" s="399" t="n">
        <v>420</v>
      </c>
      <c r="E101" s="399" t="n">
        <v>450</v>
      </c>
      <c r="F101" s="399">
        <f>E101</f>
        <v/>
      </c>
      <c r="G101" s="399" t="n">
        <v>455</v>
      </c>
      <c r="H101" s="399" t="n">
        <v>615</v>
      </c>
      <c r="I101" s="399" t="n">
        <v>635</v>
      </c>
      <c r="J101" s="399" t="n">
        <v>630</v>
      </c>
      <c r="K101" s="676">
        <f>IF(ISNUMBER(SEARCH("เมืองทอง",C101)),mult_mtong,IF(ISNUMBER(SEARCH("SlimLux",C101)),mult_slim,IF(ISNUMBER(SEARCH("Velora",C101)),mult_velora,IF(ISNUMBER(SEARCH("Fuji",C101)),mult_euro,mult_sms))))</f>
        <v/>
      </c>
      <c r="L101" s="659">
        <f>ROUND(D101*K101,0)</f>
        <v/>
      </c>
      <c r="M101" s="659">
        <f>IF(E101="",ROUND(L101+'อัปเดตราคาอลู'!$B$13*S101,0),ROUND(E101*K101,0))</f>
        <v/>
      </c>
      <c r="N101" s="659">
        <f>M101</f>
        <v/>
      </c>
      <c r="O101" s="659">
        <f>IF(G101="",ROUND(L101+rate_special*S101,0),ROUND(G101*mult_euro,0))</f>
        <v/>
      </c>
      <c r="P101" s="659">
        <f>IF(H101="",ROUND(L101+rate_woodbake*S101,0),ROUND(H101*mult_wood,0))</f>
        <v/>
      </c>
      <c r="Q101" s="659">
        <f>IF(I101="",ROUND(L101+rate_woodbake*S101,0),ROUND(I101*mult_wood,0))</f>
        <v/>
      </c>
      <c r="R101" s="659">
        <f>IF(J101="",ROUND(L101+rate_woodbake*S101,0),ROUND(J101*mult_wood,0))</f>
        <v/>
      </c>
      <c r="S101" s="705">
        <f>ROUND(D101/(IF(ISNUMBER(SEARCH("เมืองทอง",C101)),'อัปเดตราคาอลู'!$F$8,IF(ISNUMBER(SEARCH("SlimLux",C101)),'อัปเดตราคาอลู'!$F$6,IF(ISNUMBER(SEARCH("Velora",C101)),'อัปเดตราคาอลู'!$F$7,IF(ISNUMBER(SEARCH("Fuji",C101)),'อัปเดตราคาอลู'!$F$5,'อัปเดตราคาอลู'!$F$4))))),3)</f>
        <v/>
      </c>
      <c r="T101" s="705">
        <f>ROUND(P101/(IF(OR(ISNUMBER(SEARCH("เมืองทอง",C101)),ISNUMBER(SEARCH("SlimLux",C101)),ISNUMBER(SEARCH("Velora",C101))),6,6.4)),3)</f>
        <v/>
      </c>
      <c r="U101" s="767">
        <f>ROUND(L101-D101,0)</f>
        <v/>
      </c>
      <c r="V101" s="659">
        <f>IF(D101="","",ROUND(D101+rate_anodize*S101,0))</f>
        <v/>
      </c>
    </row>
    <row r="102">
      <c r="A102" s="395" t="inlineStr">
        <is>
          <t>F7962</t>
        </is>
      </c>
      <c r="B102" s="393" t="inlineStr">
        <is>
          <t>รับล็อกบานคู่ + บานคี่</t>
        </is>
      </c>
      <c r="C102" s="393" t="inlineStr">
        <is>
          <t>อลูมิเนียม Fuji</t>
        </is>
      </c>
      <c r="D102" s="399" t="n">
        <v>1045</v>
      </c>
      <c r="E102" s="399" t="n">
        <v>1115</v>
      </c>
      <c r="F102" s="399">
        <f>E102</f>
        <v/>
      </c>
      <c r="G102" s="399" t="n">
        <v>1130</v>
      </c>
      <c r="H102" s="399" t="n">
        <v>1525</v>
      </c>
      <c r="I102" s="399" t="n">
        <v>1575</v>
      </c>
      <c r="J102" s="399" t="n">
        <v>1560</v>
      </c>
      <c r="K102" s="676">
        <f>IF(ISNUMBER(SEARCH("เมืองทอง",C102)),mult_mtong,IF(ISNUMBER(SEARCH("SlimLux",C102)),mult_slim,IF(ISNUMBER(SEARCH("Velora",C102)),mult_velora,IF(ISNUMBER(SEARCH("Fuji",C102)),mult_euro,mult_sms))))</f>
        <v/>
      </c>
      <c r="L102" s="659">
        <f>ROUND(D102*K102,0)</f>
        <v/>
      </c>
      <c r="M102" s="659">
        <f>IF(E102="",ROUND(L102+'อัปเดตราคาอลู'!$B$13*S102,0),ROUND(E102*K102,0))</f>
        <v/>
      </c>
      <c r="N102" s="659">
        <f>M102</f>
        <v/>
      </c>
      <c r="O102" s="659">
        <f>IF(G102="",ROUND(L102+rate_special*S102,0),ROUND(G102*mult_euro,0))</f>
        <v/>
      </c>
      <c r="P102" s="659">
        <f>IF(H102="",ROUND(L102+rate_woodbake*S102,0),ROUND(H102*mult_wood,0))</f>
        <v/>
      </c>
      <c r="Q102" s="659">
        <f>IF(I102="",ROUND(L102+rate_woodbake*S102,0),ROUND(I102*mult_wood,0))</f>
        <v/>
      </c>
      <c r="R102" s="659">
        <f>IF(J102="",ROUND(L102+rate_woodbake*S102,0),ROUND(J102*mult_wood,0))</f>
        <v/>
      </c>
      <c r="S102" s="705">
        <f>ROUND(D102/(IF(ISNUMBER(SEARCH("เมืองทอง",C102)),'อัปเดตราคาอลู'!$F$8,IF(ISNUMBER(SEARCH("SlimLux",C102)),'อัปเดตราคาอลู'!$F$6,IF(ISNUMBER(SEARCH("Velora",C102)),'อัปเดตราคาอลู'!$F$7,IF(ISNUMBER(SEARCH("Fuji",C102)),'อัปเดตราคาอลู'!$F$5,'อัปเดตราคาอลู'!$F$4))))),3)</f>
        <v/>
      </c>
      <c r="T102" s="705">
        <f>ROUND(P102/(IF(OR(ISNUMBER(SEARCH("เมืองทอง",C102)),ISNUMBER(SEARCH("SlimLux",C102)),ISNUMBER(SEARCH("Velora",C102))),6,6.4)),3)</f>
        <v/>
      </c>
      <c r="U102" s="767">
        <f>ROUND(L102-D102,0)</f>
        <v/>
      </c>
      <c r="V102" s="659">
        <f>IF(D102="","",ROUND(D102+rate_anodize*S102,0))</f>
        <v/>
      </c>
    </row>
    <row r="103">
      <c r="A103" s="395" t="inlineStr">
        <is>
          <t>F7961</t>
        </is>
      </c>
      <c r="B103" s="393" t="inlineStr">
        <is>
          <t>รับล็อกเฟรมข้างบานคู่</t>
        </is>
      </c>
      <c r="C103" s="393" t="inlineStr">
        <is>
          <t>อลูมิเนียม Fuji</t>
        </is>
      </c>
      <c r="D103" s="399" t="n">
        <v>640</v>
      </c>
      <c r="E103" s="399" t="n">
        <v>685</v>
      </c>
      <c r="F103" s="399">
        <f>E103</f>
        <v/>
      </c>
      <c r="G103" s="399" t="n">
        <v>695</v>
      </c>
      <c r="H103" s="399" t="n">
        <v>935</v>
      </c>
      <c r="I103" s="399" t="n">
        <v>965</v>
      </c>
      <c r="J103" s="399" t="n">
        <v>960</v>
      </c>
      <c r="K103" s="676">
        <f>IF(ISNUMBER(SEARCH("เมืองทอง",C103)),mult_mtong,IF(ISNUMBER(SEARCH("SlimLux",C103)),mult_slim,IF(ISNUMBER(SEARCH("Velora",C103)),mult_velora,IF(ISNUMBER(SEARCH("Fuji",C103)),mult_euro,mult_sms))))</f>
        <v/>
      </c>
      <c r="L103" s="659">
        <f>ROUND(D103*K103,0)</f>
        <v/>
      </c>
      <c r="M103" s="659">
        <f>IF(E103="",ROUND(L103+'อัปเดตราคาอลู'!$B$13*S103,0),ROUND(E103*K103,0))</f>
        <v/>
      </c>
      <c r="N103" s="659">
        <f>M103</f>
        <v/>
      </c>
      <c r="O103" s="659">
        <f>IF(G103="",ROUND(L103+rate_special*S103,0),ROUND(G103*mult_euro,0))</f>
        <v/>
      </c>
      <c r="P103" s="659">
        <f>IF(H103="",ROUND(L103+rate_woodbake*S103,0),ROUND(H103*mult_wood,0))</f>
        <v/>
      </c>
      <c r="Q103" s="659">
        <f>IF(I103="",ROUND(L103+rate_woodbake*S103,0),ROUND(I103*mult_wood,0))</f>
        <v/>
      </c>
      <c r="R103" s="659">
        <f>IF(J103="",ROUND(L103+rate_woodbake*S103,0),ROUND(J103*mult_wood,0))</f>
        <v/>
      </c>
      <c r="S103" s="705">
        <f>ROUND(D103/(IF(ISNUMBER(SEARCH("เมืองทอง",C103)),'อัปเดตราคาอลู'!$F$8,IF(ISNUMBER(SEARCH("SlimLux",C103)),'อัปเดตราคาอลู'!$F$6,IF(ISNUMBER(SEARCH("Velora",C103)),'อัปเดตราคาอลู'!$F$7,IF(ISNUMBER(SEARCH("Fuji",C103)),'อัปเดตราคาอลู'!$F$5,'อัปเดตราคาอลู'!$F$4))))),3)</f>
        <v/>
      </c>
      <c r="T103" s="705">
        <f>ROUND(P103/(IF(OR(ISNUMBER(SEARCH("เมืองทอง",C103)),ISNUMBER(SEARCH("SlimLux",C103)),ISNUMBER(SEARCH("Velora",C103))),6,6.4)),3)</f>
        <v/>
      </c>
      <c r="U103" s="767">
        <f>ROUND(L103-D103,0)</f>
        <v/>
      </c>
      <c r="V103" s="659">
        <f>IF(D103="","",ROUND(D103+rate_anodize*S103,0))</f>
        <v/>
      </c>
    </row>
    <row r="104">
      <c r="A104" s="395" t="inlineStr">
        <is>
          <t>F7963</t>
        </is>
      </c>
      <c r="B104" s="393" t="inlineStr">
        <is>
          <t>รับล็อกเข้ามุมบานคู่</t>
        </is>
      </c>
      <c r="C104" s="393" t="inlineStr">
        <is>
          <t>อลูมิเนียม Fuji</t>
        </is>
      </c>
      <c r="D104" s="399" t="n">
        <v>550</v>
      </c>
      <c r="E104" s="399" t="n">
        <v>590</v>
      </c>
      <c r="F104" s="399">
        <f>E104</f>
        <v/>
      </c>
      <c r="G104" s="399" t="n">
        <v>595</v>
      </c>
      <c r="H104" s="399" t="n">
        <v>805</v>
      </c>
      <c r="I104" s="399" t="n">
        <v>830</v>
      </c>
      <c r="J104" s="399" t="n">
        <v>820</v>
      </c>
      <c r="K104" s="676">
        <f>IF(ISNUMBER(SEARCH("เมืองทอง",C104)),mult_mtong,IF(ISNUMBER(SEARCH("SlimLux",C104)),mult_slim,IF(ISNUMBER(SEARCH("Velora",C104)),mult_velora,IF(ISNUMBER(SEARCH("Fuji",C104)),mult_euro,mult_sms))))</f>
        <v/>
      </c>
      <c r="L104" s="659">
        <f>ROUND(D104*K104,0)</f>
        <v/>
      </c>
      <c r="M104" s="659">
        <f>IF(E104="",ROUND(L104+'อัปเดตราคาอลู'!$B$13*S104,0),ROUND(E104*K104,0))</f>
        <v/>
      </c>
      <c r="N104" s="659">
        <f>M104</f>
        <v/>
      </c>
      <c r="O104" s="659">
        <f>IF(G104="",ROUND(L104+rate_special*S104,0),ROUND(G104*mult_euro,0))</f>
        <v/>
      </c>
      <c r="P104" s="659">
        <f>IF(H104="",ROUND(L104+rate_woodbake*S104,0),ROUND(H104*mult_wood,0))</f>
        <v/>
      </c>
      <c r="Q104" s="659">
        <f>IF(I104="",ROUND(L104+rate_woodbake*S104,0),ROUND(I104*mult_wood,0))</f>
        <v/>
      </c>
      <c r="R104" s="659">
        <f>IF(J104="",ROUND(L104+rate_woodbake*S104,0),ROUND(J104*mult_wood,0))</f>
        <v/>
      </c>
      <c r="S104" s="705">
        <f>ROUND(D104/(IF(ISNUMBER(SEARCH("เมืองทอง",C104)),'อัปเดตราคาอลู'!$F$8,IF(ISNUMBER(SEARCH("SlimLux",C104)),'อัปเดตราคาอลู'!$F$6,IF(ISNUMBER(SEARCH("Velora",C104)),'อัปเดตราคาอลู'!$F$7,IF(ISNUMBER(SEARCH("Fuji",C104)),'อัปเดตราคาอลู'!$F$5,'อัปเดตราคาอลู'!$F$4))))),3)</f>
        <v/>
      </c>
      <c r="T104" s="705">
        <f>ROUND(P104/(IF(OR(ISNUMBER(SEARCH("เมืองทอง",C104)),ISNUMBER(SEARCH("SlimLux",C104)),ISNUMBER(SEARCH("Velora",C104))),6,6.4)),3)</f>
        <v/>
      </c>
      <c r="U104" s="767">
        <f>ROUND(L104-D104,0)</f>
        <v/>
      </c>
      <c r="V104" s="659">
        <f>IF(D104="","",ROUND(D104+rate_anodize*S104,0))</f>
        <v/>
      </c>
    </row>
    <row r="105">
      <c r="A105" s="395" t="inlineStr">
        <is>
          <t>F7964</t>
        </is>
      </c>
      <c r="B105" s="393" t="inlineStr">
        <is>
          <t>เสาเข้ามุม</t>
        </is>
      </c>
      <c r="C105" s="393" t="inlineStr">
        <is>
          <t>อลูมิเนียม Fuji</t>
        </is>
      </c>
      <c r="D105" s="399" t="n">
        <v>1225</v>
      </c>
      <c r="E105" s="399" t="n">
        <v>1315</v>
      </c>
      <c r="F105" s="399">
        <f>E105</f>
        <v/>
      </c>
      <c r="G105" s="399" t="n">
        <v>1325</v>
      </c>
      <c r="H105" s="399" t="n">
        <v>1765</v>
      </c>
      <c r="I105" s="399" t="n">
        <v>1850</v>
      </c>
      <c r="J105" s="399" t="n">
        <v>1835</v>
      </c>
      <c r="K105" s="676">
        <f>IF(ISNUMBER(SEARCH("เมืองทอง",C105)),mult_mtong,IF(ISNUMBER(SEARCH("SlimLux",C105)),mult_slim,IF(ISNUMBER(SEARCH("Velora",C105)),mult_velora,IF(ISNUMBER(SEARCH("Fuji",C105)),mult_euro,mult_sms))))</f>
        <v/>
      </c>
      <c r="L105" s="659">
        <f>ROUND(D105*K105,0)</f>
        <v/>
      </c>
      <c r="M105" s="659">
        <f>IF(E105="",ROUND(L105+'อัปเดตราคาอลู'!$B$13*S105,0),ROUND(E105*K105,0))</f>
        <v/>
      </c>
      <c r="N105" s="659">
        <f>M105</f>
        <v/>
      </c>
      <c r="O105" s="659">
        <f>IF(G105="",ROUND(L105+rate_special*S105,0),ROUND(G105*mult_euro,0))</f>
        <v/>
      </c>
      <c r="P105" s="659">
        <f>IF(H105="",ROUND(L105+rate_woodbake*S105,0),ROUND(H105*mult_wood,0))</f>
        <v/>
      </c>
      <c r="Q105" s="659">
        <f>IF(I105="",ROUND(L105+rate_woodbake*S105,0),ROUND(I105*mult_wood,0))</f>
        <v/>
      </c>
      <c r="R105" s="659">
        <f>IF(J105="",ROUND(L105+rate_woodbake*S105,0),ROUND(J105*mult_wood,0))</f>
        <v/>
      </c>
      <c r="S105" s="705">
        <f>ROUND(D105/(IF(ISNUMBER(SEARCH("เมืองทอง",C105)),'อัปเดตราคาอลู'!$F$8,IF(ISNUMBER(SEARCH("SlimLux",C105)),'อัปเดตราคาอลู'!$F$6,IF(ISNUMBER(SEARCH("Velora",C105)),'อัปเดตราคาอลู'!$F$7,IF(ISNUMBER(SEARCH("Fuji",C105)),'อัปเดตราคาอลู'!$F$5,'อัปเดตราคาอลู'!$F$4))))),3)</f>
        <v/>
      </c>
      <c r="T105" s="705">
        <f>ROUND(P105/(IF(OR(ISNUMBER(SEARCH("เมืองทอง",C105)),ISNUMBER(SEARCH("SlimLux",C105)),ISNUMBER(SEARCH("Velora",C105))),6,6.4)),3)</f>
        <v/>
      </c>
      <c r="U105" s="767">
        <f>ROUND(L105-D105,0)</f>
        <v/>
      </c>
      <c r="V105" s="659">
        <f>IF(D105="","",ROUND(D105+rate_anodize*S105,0))</f>
        <v/>
      </c>
    </row>
    <row r="106">
      <c r="A106" s="395" t="inlineStr">
        <is>
          <t>F7974</t>
        </is>
      </c>
      <c r="B106" s="393" t="inlineStr">
        <is>
          <t>ชนกลางบานคู่</t>
        </is>
      </c>
      <c r="C106" s="393" t="inlineStr">
        <is>
          <t>อลูมิเนียม Fuji</t>
        </is>
      </c>
      <c r="D106" s="399" t="n">
        <v>1005</v>
      </c>
      <c r="E106" s="399" t="n">
        <v>1080</v>
      </c>
      <c r="F106" s="399">
        <f>E106</f>
        <v/>
      </c>
      <c r="G106" s="399" t="n">
        <v>1090</v>
      </c>
      <c r="H106" s="399" t="n">
        <v>1475</v>
      </c>
      <c r="I106" s="399" t="n">
        <v>1520</v>
      </c>
      <c r="J106" s="399" t="n">
        <v>1505</v>
      </c>
      <c r="K106" s="676">
        <f>IF(ISNUMBER(SEARCH("เมืองทอง",C106)),mult_mtong,IF(ISNUMBER(SEARCH("SlimLux",C106)),mult_slim,IF(ISNUMBER(SEARCH("Velora",C106)),mult_velora,IF(ISNUMBER(SEARCH("Fuji",C106)),mult_euro,mult_sms))))</f>
        <v/>
      </c>
      <c r="L106" s="659">
        <f>ROUND(D106*K106,0)</f>
        <v/>
      </c>
      <c r="M106" s="659">
        <f>IF(E106="",ROUND(L106+'อัปเดตราคาอลู'!$B$13*S106,0),ROUND(E106*K106,0))</f>
        <v/>
      </c>
      <c r="N106" s="659">
        <f>M106</f>
        <v/>
      </c>
      <c r="O106" s="659">
        <f>IF(G106="",ROUND(L106+rate_special*S106,0),ROUND(G106*mult_euro,0))</f>
        <v/>
      </c>
      <c r="P106" s="659">
        <f>IF(H106="",ROUND(L106+rate_woodbake*S106,0),ROUND(H106*mult_wood,0))</f>
        <v/>
      </c>
      <c r="Q106" s="659">
        <f>IF(I106="",ROUND(L106+rate_woodbake*S106,0),ROUND(I106*mult_wood,0))</f>
        <v/>
      </c>
      <c r="R106" s="659">
        <f>IF(J106="",ROUND(L106+rate_woodbake*S106,0),ROUND(J106*mult_wood,0))</f>
        <v/>
      </c>
      <c r="S106" s="705">
        <f>ROUND(D106/(IF(ISNUMBER(SEARCH("เมืองทอง",C106)),'อัปเดตราคาอลู'!$F$8,IF(ISNUMBER(SEARCH("SlimLux",C106)),'อัปเดตราคาอลู'!$F$6,IF(ISNUMBER(SEARCH("Velora",C106)),'อัปเดตราคาอลู'!$F$7,IF(ISNUMBER(SEARCH("Fuji",C106)),'อัปเดตราคาอลู'!$F$5,'อัปเดตราคาอลู'!$F$4))))),3)</f>
        <v/>
      </c>
      <c r="T106" s="705">
        <f>ROUND(P106/(IF(OR(ISNUMBER(SEARCH("เมืองทอง",C106)),ISNUMBER(SEARCH("SlimLux",C106)),ISNUMBER(SEARCH("Velora",C106))),6,6.4)),3)</f>
        <v/>
      </c>
      <c r="U106" s="767">
        <f>ROUND(L106-D106,0)</f>
        <v/>
      </c>
      <c r="V106" s="659">
        <f>IF(D106="","",ROUND(D106+rate_anodize*S106,0))</f>
        <v/>
      </c>
    </row>
    <row r="107">
      <c r="A107" s="395" t="inlineStr">
        <is>
          <t>F7973</t>
        </is>
      </c>
      <c r="B107" s="393" t="inlineStr">
        <is>
          <t>ตบเรียบบานเฟี้ยม</t>
        </is>
      </c>
      <c r="C107" s="393" t="inlineStr">
        <is>
          <t>อลูมิเนียม Fuji</t>
        </is>
      </c>
      <c r="D107" s="399" t="n">
        <v>245</v>
      </c>
      <c r="E107" s="399" t="n">
        <v>265</v>
      </c>
      <c r="F107" s="399">
        <f>E107</f>
        <v/>
      </c>
      <c r="G107" s="399" t="n">
        <v>265</v>
      </c>
      <c r="H107" s="399" t="n">
        <v>360</v>
      </c>
      <c r="I107" s="399" t="n">
        <v>375</v>
      </c>
      <c r="J107" s="399" t="n">
        <v>370</v>
      </c>
      <c r="K107" s="676">
        <f>IF(ISNUMBER(SEARCH("เมืองทอง",C107)),mult_mtong,IF(ISNUMBER(SEARCH("SlimLux",C107)),mult_slim,IF(ISNUMBER(SEARCH("Velora",C107)),mult_velora,IF(ISNUMBER(SEARCH("Fuji",C107)),mult_euro,mult_sms))))</f>
        <v/>
      </c>
      <c r="L107" s="659">
        <f>ROUND(D107*K107,0)</f>
        <v/>
      </c>
      <c r="M107" s="659">
        <f>IF(E107="",ROUND(L107+'อัปเดตราคาอลู'!$B$13*S107,0),ROUND(E107*K107,0))</f>
        <v/>
      </c>
      <c r="N107" s="659">
        <f>M107</f>
        <v/>
      </c>
      <c r="O107" s="659">
        <f>IF(G107="",ROUND(L107+rate_special*S107,0),ROUND(G107*mult_euro,0))</f>
        <v/>
      </c>
      <c r="P107" s="659">
        <f>IF(H107="",ROUND(L107+rate_woodbake*S107,0),ROUND(H107*mult_wood,0))</f>
        <v/>
      </c>
      <c r="Q107" s="659">
        <f>IF(I107="",ROUND(L107+rate_woodbake*S107,0),ROUND(I107*mult_wood,0))</f>
        <v/>
      </c>
      <c r="R107" s="659">
        <f>IF(J107="",ROUND(L107+rate_woodbake*S107,0),ROUND(J107*mult_wood,0))</f>
        <v/>
      </c>
      <c r="S107" s="705">
        <f>ROUND(D107/(IF(ISNUMBER(SEARCH("เมืองทอง",C107)),'อัปเดตราคาอลู'!$F$8,IF(ISNUMBER(SEARCH("SlimLux",C107)),'อัปเดตราคาอลู'!$F$6,IF(ISNUMBER(SEARCH("Velora",C107)),'อัปเดตราคาอลู'!$F$7,IF(ISNUMBER(SEARCH("Fuji",C107)),'อัปเดตราคาอลู'!$F$5,'อัปเดตราคาอลู'!$F$4))))),3)</f>
        <v/>
      </c>
      <c r="T107" s="705">
        <f>ROUND(P107/(IF(OR(ISNUMBER(SEARCH("เมืองทอง",C107)),ISNUMBER(SEARCH("SlimLux",C107)),ISNUMBER(SEARCH("Velora",C107))),6,6.4)),3)</f>
        <v/>
      </c>
      <c r="U107" s="767">
        <f>ROUND(L107-D107,0)</f>
        <v/>
      </c>
      <c r="V107" s="659">
        <f>IF(D107="","",ROUND(D107+rate_anodize*S107,0))</f>
        <v/>
      </c>
    </row>
    <row r="108">
      <c r="A108" s="395" t="inlineStr">
        <is>
          <t>F7975</t>
        </is>
      </c>
      <c r="B108" s="393" t="inlineStr">
        <is>
          <t>บังใบสำหรับใส่กลอน</t>
        </is>
      </c>
      <c r="C108" s="393" t="inlineStr">
        <is>
          <t>อลูมิเนียม Fuji</t>
        </is>
      </c>
      <c r="D108" s="399" t="n">
        <v>575</v>
      </c>
      <c r="E108" s="399" t="n">
        <v>615</v>
      </c>
      <c r="F108" s="399">
        <f>E108</f>
        <v/>
      </c>
      <c r="G108" s="399" t="n">
        <v>625</v>
      </c>
      <c r="H108" s="399" t="n">
        <v>855</v>
      </c>
      <c r="I108" s="399" t="n">
        <v>870</v>
      </c>
      <c r="J108" s="399" t="n">
        <v>865</v>
      </c>
      <c r="K108" s="676">
        <f>IF(ISNUMBER(SEARCH("เมืองทอง",C108)),mult_mtong,IF(ISNUMBER(SEARCH("SlimLux",C108)),mult_slim,IF(ISNUMBER(SEARCH("Velora",C108)),mult_velora,IF(ISNUMBER(SEARCH("Fuji",C108)),mult_euro,mult_sms))))</f>
        <v/>
      </c>
      <c r="L108" s="659">
        <f>ROUND(D108*K108,0)</f>
        <v/>
      </c>
      <c r="M108" s="659">
        <f>IF(E108="",ROUND(L108+'อัปเดตราคาอลู'!$B$13*S108,0),ROUND(E108*K108,0))</f>
        <v/>
      </c>
      <c r="N108" s="659">
        <f>M108</f>
        <v/>
      </c>
      <c r="O108" s="659">
        <f>IF(G108="",ROUND(L108+rate_special*S108,0),ROUND(G108*mult_euro,0))</f>
        <v/>
      </c>
      <c r="P108" s="659">
        <f>IF(H108="",ROUND(L108+rate_woodbake*S108,0),ROUND(H108*mult_wood,0))</f>
        <v/>
      </c>
      <c r="Q108" s="659">
        <f>IF(I108="",ROUND(L108+rate_woodbake*S108,0),ROUND(I108*mult_wood,0))</f>
        <v/>
      </c>
      <c r="R108" s="659">
        <f>IF(J108="",ROUND(L108+rate_woodbake*S108,0),ROUND(J108*mult_wood,0))</f>
        <v/>
      </c>
      <c r="S108" s="705">
        <f>ROUND(D108/(IF(ISNUMBER(SEARCH("เมืองทอง",C108)),'อัปเดตราคาอลู'!$F$8,IF(ISNUMBER(SEARCH("SlimLux",C108)),'อัปเดตราคาอลู'!$F$6,IF(ISNUMBER(SEARCH("Velora",C108)),'อัปเดตราคาอลู'!$F$7,IF(ISNUMBER(SEARCH("Fuji",C108)),'อัปเดตราคาอลู'!$F$5,'อัปเดตราคาอลู'!$F$4))))),3)</f>
        <v/>
      </c>
      <c r="T108" s="705">
        <f>ROUND(P108/(IF(OR(ISNUMBER(SEARCH("เมืองทอง",C108)),ISNUMBER(SEARCH("SlimLux",C108)),ISNUMBER(SEARCH("Velora",C108))),6,6.4)),3)</f>
        <v/>
      </c>
      <c r="U108" s="767">
        <f>ROUND(L108-D108,0)</f>
        <v/>
      </c>
      <c r="V108" s="659">
        <f>IF(D108="","",ROUND(D108+rate_anodize*S108,0))</f>
        <v/>
      </c>
    </row>
    <row r="109">
      <c r="A109" s="684" t="inlineStr">
        <is>
          <t>━ เมืองทอง ━</t>
        </is>
      </c>
      <c r="D109" s="399" t="n"/>
      <c r="E109" s="399" t="n"/>
      <c r="F109" s="399">
        <f>E109</f>
        <v/>
      </c>
      <c r="G109" s="399" t="n"/>
      <c r="H109" s="399" t="n"/>
      <c r="I109" s="399" t="n"/>
      <c r="J109" s="399" t="n"/>
      <c r="K109" s="676">
        <f>IF(ISNUMBER(SEARCH("เมืองทอง",C109)),mult_mtong,IF(ISNUMBER(SEARCH("SlimLux",C109)),mult_slim,IF(ISNUMBER(SEARCH("Velora",C109)),mult_velora,IF(ISNUMBER(SEARCH("Fuji",C109)),mult_euro,mult_sms))))</f>
        <v/>
      </c>
      <c r="L109" s="659">
        <f>ROUND(D109*K109,0)</f>
        <v/>
      </c>
      <c r="M109" s="659">
        <f>ROUND(E109*K109,0)</f>
        <v/>
      </c>
      <c r="N109" s="659">
        <f>M109</f>
        <v/>
      </c>
      <c r="O109" s="659">
        <f>IF(G109="","",ROUND(G109*mult_euro,0))</f>
        <v/>
      </c>
      <c r="P109" s="659">
        <f>ROUND(H109*mult_wood,0)</f>
        <v/>
      </c>
      <c r="Q109" s="659">
        <f>IF(I109="","",ROUND(I109*mult_wood,0))</f>
        <v/>
      </c>
      <c r="R109" s="659">
        <f>IF(J109="","",ROUND(J109*mult_wood,0))</f>
        <v/>
      </c>
      <c r="S109" s="705">
        <f>ROUND(D109/(IF(ISNUMBER(SEARCH("เมืองทอง",C109)),'อัปเดตราคาอลู'!$F$8,IF(ISNUMBER(SEARCH("SlimLux",C109)),'อัปเดตราคาอลู'!$F$6,IF(ISNUMBER(SEARCH("Velora",C109)),'อัปเดตราคาอลู'!$F$7,IF(ISNUMBER(SEARCH("Fuji",C109)),'อัปเดตราคาอลู'!$F$5,'อัปเดตราคาอลู'!$F$4))))),3)</f>
        <v/>
      </c>
      <c r="T109" s="705">
        <f>ROUND(P109/(IF(OR(ISNUMBER(SEARCH("เมืองทอง",C109)),ISNUMBER(SEARCH("SlimLux",C109)),ISNUMBER(SEARCH("Velora",C109))),6,6.4)),3)</f>
        <v/>
      </c>
      <c r="U109" s="767">
        <f>ROUND(L109-D109,0)</f>
        <v/>
      </c>
      <c r="V109" s="659" t="n"/>
    </row>
    <row r="110">
      <c r="A110" s="434" t="inlineStr">
        <is>
          <t>705</t>
        </is>
      </c>
      <c r="B110" s="434" t="inlineStr">
        <is>
          <t>แป๊บ 6 หุน</t>
        </is>
      </c>
      <c r="C110" s="434" t="inlineStr">
        <is>
          <t>อลูมิเนียม เมืองทอง</t>
        </is>
      </c>
      <c r="D110" s="399" t="n">
        <v>222</v>
      </c>
      <c r="E110" s="399" t="n">
        <v>340</v>
      </c>
      <c r="F110" s="399">
        <f>E110</f>
        <v/>
      </c>
      <c r="G110" s="399" t="n"/>
      <c r="H110" s="399" t="n">
        <v>355</v>
      </c>
      <c r="I110" s="399" t="n"/>
      <c r="J110" s="399" t="n"/>
      <c r="K110" s="676">
        <f>IF(ISNUMBER(SEARCH("เมืองทอง",C110)),mult_mtong,IF(ISNUMBER(SEARCH("SlimLux",C110)),mult_slim,IF(ISNUMBER(SEARCH("Velora",C110)),mult_velora,IF(ISNUMBER(SEARCH("Fuji",C110)),mult_euro,mult_sms))))</f>
        <v/>
      </c>
      <c r="L110" s="659">
        <f>ROUND(D110*K110,0)</f>
        <v/>
      </c>
      <c r="M110" s="659">
        <f>IF(E110="",ROUND(L110+'อัปเดตราคาอลู'!$B$13*S110,0),ROUND(E110*K110,0))</f>
        <v/>
      </c>
      <c r="N110" s="659">
        <f>M110</f>
        <v/>
      </c>
      <c r="O110" s="659">
        <f>IF(G110="",ROUND(L110+rate_special*S110,0),ROUND(G110*mult_euro,0))</f>
        <v/>
      </c>
      <c r="P110" s="659">
        <f>IF(H110="",ROUND(L110+rate_woodbake*S110,0),ROUND(H110*mult_wood,0))</f>
        <v/>
      </c>
      <c r="Q110" s="659">
        <f>IF(I110="",ROUND(L110+rate_woodbake*S110,0),ROUND(I110*mult_wood,0))</f>
        <v/>
      </c>
      <c r="R110" s="659">
        <f>IF(J110="",ROUND(L110+rate_woodbake*S110,0),ROUND(J110*mult_wood,0))</f>
        <v/>
      </c>
      <c r="S110" s="705">
        <f>ROUND(D110/(IF(ISNUMBER(SEARCH("เมืองทอง",C110)),'อัปเดตราคาอลู'!$F$8,IF(ISNUMBER(SEARCH("SlimLux",C110)),'อัปเดตราคาอลู'!$F$6,IF(ISNUMBER(SEARCH("Velora",C110)),'อัปเดตราคาอลู'!$F$7,IF(ISNUMBER(SEARCH("Fuji",C110)),'อัปเดตราคาอลู'!$F$5,'อัปเดตราคาอลู'!$F$4))))),3)</f>
        <v/>
      </c>
      <c r="T110" s="705">
        <f>ROUND(P110/(IF(OR(ISNUMBER(SEARCH("เมืองทอง",C110)),ISNUMBER(SEARCH("SlimLux",C110)),ISNUMBER(SEARCH("Velora",C110))),6,6.4)),3)</f>
        <v/>
      </c>
      <c r="U110" s="767">
        <f>ROUND(L110-D110,0)</f>
        <v/>
      </c>
      <c r="V110" s="659">
        <f>IF(D110="","",ROUND(D110+rate_anodize*S110,0))</f>
        <v/>
      </c>
    </row>
    <row r="111">
      <c r="A111" s="434" t="inlineStr">
        <is>
          <t>706</t>
        </is>
      </c>
      <c r="B111" s="434" t="inlineStr">
        <is>
          <t>แป๊บ 6 หุน</t>
        </is>
      </c>
      <c r="C111" s="434" t="inlineStr">
        <is>
          <t>อลูมิเนียม เมืองทอง</t>
        </is>
      </c>
      <c r="D111" s="399" t="n">
        <v>261</v>
      </c>
      <c r="E111" s="399" t="n">
        <v>400</v>
      </c>
      <c r="F111" s="399">
        <f>E111</f>
        <v/>
      </c>
      <c r="G111" s="399" t="n"/>
      <c r="H111" s="399" t="n">
        <v>418</v>
      </c>
      <c r="I111" s="399" t="n"/>
      <c r="J111" s="399" t="n"/>
      <c r="K111" s="676">
        <f>IF(ISNUMBER(SEARCH("เมืองทอง",C111)),mult_mtong,IF(ISNUMBER(SEARCH("SlimLux",C111)),mult_slim,IF(ISNUMBER(SEARCH("Velora",C111)),mult_velora,IF(ISNUMBER(SEARCH("Fuji",C111)),mult_euro,mult_sms))))</f>
        <v/>
      </c>
      <c r="L111" s="659">
        <f>ROUND(D111*K111,0)</f>
        <v/>
      </c>
      <c r="M111" s="659">
        <f>IF(E111="",ROUND(L111+'อัปเดตราคาอลู'!$B$13*S111,0),ROUND(E111*K111,0))</f>
        <v/>
      </c>
      <c r="N111" s="659">
        <f>M111</f>
        <v/>
      </c>
      <c r="O111" s="659">
        <f>IF(G111="",ROUND(L111+rate_special*S111,0),ROUND(G111*mult_euro,0))</f>
        <v/>
      </c>
      <c r="P111" s="659">
        <f>IF(H111="",ROUND(L111+rate_woodbake*S111,0),ROUND(H111*mult_wood,0))</f>
        <v/>
      </c>
      <c r="Q111" s="659">
        <f>IF(I111="",ROUND(L111+rate_woodbake*S111,0),ROUND(I111*mult_wood,0))</f>
        <v/>
      </c>
      <c r="R111" s="659">
        <f>IF(J111="",ROUND(L111+rate_woodbake*S111,0),ROUND(J111*mult_wood,0))</f>
        <v/>
      </c>
      <c r="S111" s="705">
        <f>ROUND(D111/(IF(ISNUMBER(SEARCH("เมืองทอง",C111)),'อัปเดตราคาอลู'!$F$8,IF(ISNUMBER(SEARCH("SlimLux",C111)),'อัปเดตราคาอลู'!$F$6,IF(ISNUMBER(SEARCH("Velora",C111)),'อัปเดตราคาอลู'!$F$7,IF(ISNUMBER(SEARCH("Fuji",C111)),'อัปเดตราคาอลู'!$F$5,'อัปเดตราคาอลู'!$F$4))))),3)</f>
        <v/>
      </c>
      <c r="T111" s="705">
        <f>ROUND(P111/(IF(OR(ISNUMBER(SEARCH("เมืองทอง",C111)),ISNUMBER(SEARCH("SlimLux",C111)),ISNUMBER(SEARCH("Velora",C111))),6,6.4)),3)</f>
        <v/>
      </c>
      <c r="U111" s="767">
        <f>ROUND(L111-D111,0)</f>
        <v/>
      </c>
      <c r="V111" s="659">
        <f>IF(D111="","",ROUND(D111+rate_anodize*S111,0))</f>
        <v/>
      </c>
    </row>
    <row r="112">
      <c r="A112" s="434" t="inlineStr">
        <is>
          <t>709</t>
        </is>
      </c>
      <c r="B112" s="434" t="inlineStr">
        <is>
          <t>แป๊บ 1 นิ้ว</t>
        </is>
      </c>
      <c r="C112" s="434" t="inlineStr">
        <is>
          <t>อลูมิเนียม เมืองทอง</t>
        </is>
      </c>
      <c r="D112" s="399" t="n">
        <v>295</v>
      </c>
      <c r="E112" s="399" t="n">
        <v>452</v>
      </c>
      <c r="F112" s="399">
        <f>E112</f>
        <v/>
      </c>
      <c r="G112" s="399" t="n"/>
      <c r="H112" s="399" t="n">
        <v>472</v>
      </c>
      <c r="I112" s="399" t="n"/>
      <c r="J112" s="399" t="n"/>
      <c r="K112" s="676">
        <f>IF(ISNUMBER(SEARCH("เมืองทอง",C112)),mult_mtong,IF(ISNUMBER(SEARCH("SlimLux",C112)),mult_slim,IF(ISNUMBER(SEARCH("Velora",C112)),mult_velora,IF(ISNUMBER(SEARCH("Fuji",C112)),mult_euro,mult_sms))))</f>
        <v/>
      </c>
      <c r="L112" s="659">
        <f>ROUND(D112*K112,0)</f>
        <v/>
      </c>
      <c r="M112" s="659">
        <f>IF(E112="",ROUND(L112+'อัปเดตราคาอลู'!$B$13*S112,0),ROUND(E112*K112,0))</f>
        <v/>
      </c>
      <c r="N112" s="659">
        <f>M112</f>
        <v/>
      </c>
      <c r="O112" s="659">
        <f>IF(G112="",ROUND(L112+rate_special*S112,0),ROUND(G112*mult_euro,0))</f>
        <v/>
      </c>
      <c r="P112" s="659">
        <f>IF(H112="",ROUND(L112+rate_woodbake*S112,0),ROUND(H112*mult_wood,0))</f>
        <v/>
      </c>
      <c r="Q112" s="659">
        <f>IF(I112="",ROUND(L112+rate_woodbake*S112,0),ROUND(I112*mult_wood,0))</f>
        <v/>
      </c>
      <c r="R112" s="659">
        <f>IF(J112="",ROUND(L112+rate_woodbake*S112,0),ROUND(J112*mult_wood,0))</f>
        <v/>
      </c>
      <c r="S112" s="705">
        <f>ROUND(D112/(IF(ISNUMBER(SEARCH("เมืองทอง",C112)),'อัปเดตราคาอลู'!$F$8,IF(ISNUMBER(SEARCH("SlimLux",C112)),'อัปเดตราคาอลู'!$F$6,IF(ISNUMBER(SEARCH("Velora",C112)),'อัปเดตราคาอลู'!$F$7,IF(ISNUMBER(SEARCH("Fuji",C112)),'อัปเดตราคาอลู'!$F$5,'อัปเดตราคาอลู'!$F$4))))),3)</f>
        <v/>
      </c>
      <c r="T112" s="705">
        <f>ROUND(P112/(IF(OR(ISNUMBER(SEARCH("เมืองทอง",C112)),ISNUMBER(SEARCH("SlimLux",C112)),ISNUMBER(SEARCH("Velora",C112))),6,6.4)),3)</f>
        <v/>
      </c>
      <c r="U112" s="767">
        <f>ROUND(L112-D112,0)</f>
        <v/>
      </c>
      <c r="V112" s="659">
        <f>IF(D112="","",ROUND(D112+rate_anodize*S112,0))</f>
        <v/>
      </c>
    </row>
    <row r="113">
      <c r="A113" s="434" t="inlineStr">
        <is>
          <t>710</t>
        </is>
      </c>
      <c r="B113" s="434" t="inlineStr">
        <is>
          <t>แป๊บ 1 นิ้ว</t>
        </is>
      </c>
      <c r="C113" s="434" t="inlineStr">
        <is>
          <t>อลูมิเนียม เมืองทอง</t>
        </is>
      </c>
      <c r="D113" s="399" t="n">
        <v>325</v>
      </c>
      <c r="E113" s="399" t="n">
        <v>498</v>
      </c>
      <c r="F113" s="399">
        <f>E113</f>
        <v/>
      </c>
      <c r="G113" s="399" t="n"/>
      <c r="H113" s="399" t="n">
        <v>520</v>
      </c>
      <c r="I113" s="399" t="n"/>
      <c r="J113" s="399" t="n"/>
      <c r="K113" s="676">
        <f>IF(ISNUMBER(SEARCH("เมืองทอง",C113)),mult_mtong,IF(ISNUMBER(SEARCH("SlimLux",C113)),mult_slim,IF(ISNUMBER(SEARCH("Velora",C113)),mult_velora,IF(ISNUMBER(SEARCH("Fuji",C113)),mult_euro,mult_sms))))</f>
        <v/>
      </c>
      <c r="L113" s="659">
        <f>ROUND(D113*K113,0)</f>
        <v/>
      </c>
      <c r="M113" s="659">
        <f>IF(E113="",ROUND(L113+'อัปเดตราคาอลู'!$B$13*S113,0),ROUND(E113*K113,0))</f>
        <v/>
      </c>
      <c r="N113" s="659">
        <f>M113</f>
        <v/>
      </c>
      <c r="O113" s="659">
        <f>IF(G113="",ROUND(L113+rate_special*S113,0),ROUND(G113*mult_euro,0))</f>
        <v/>
      </c>
      <c r="P113" s="659">
        <f>IF(H113="",ROUND(L113+rate_woodbake*S113,0),ROUND(H113*mult_wood,0))</f>
        <v/>
      </c>
      <c r="Q113" s="659">
        <f>IF(I113="",ROUND(L113+rate_woodbake*S113,0),ROUND(I113*mult_wood,0))</f>
        <v/>
      </c>
      <c r="R113" s="659">
        <f>IF(J113="",ROUND(L113+rate_woodbake*S113,0),ROUND(J113*mult_wood,0))</f>
        <v/>
      </c>
      <c r="S113" s="705">
        <f>ROUND(D113/(IF(ISNUMBER(SEARCH("เมืองทอง",C113)),'อัปเดตราคาอลู'!$F$8,IF(ISNUMBER(SEARCH("SlimLux",C113)),'อัปเดตราคาอลู'!$F$6,IF(ISNUMBER(SEARCH("Velora",C113)),'อัปเดตราคาอลู'!$F$7,IF(ISNUMBER(SEARCH("Fuji",C113)),'อัปเดตราคาอลู'!$F$5,'อัปเดตราคาอลู'!$F$4))))),3)</f>
        <v/>
      </c>
      <c r="T113" s="705">
        <f>ROUND(P113/(IF(OR(ISNUMBER(SEARCH("เมืองทอง",C113)),ISNUMBER(SEARCH("SlimLux",C113)),ISNUMBER(SEARCH("Velora",C113))),6,6.4)),3)</f>
        <v/>
      </c>
      <c r="U113" s="767">
        <f>ROUND(L113-D113,0)</f>
        <v/>
      </c>
      <c r="V113" s="659">
        <f>IF(D113="","",ROUND(D113+rate_anodize*S113,0))</f>
        <v/>
      </c>
    </row>
    <row r="114">
      <c r="A114" s="434" t="inlineStr">
        <is>
          <t>711</t>
        </is>
      </c>
      <c r="B114" s="434" t="inlineStr">
        <is>
          <t>แป๊บ 1 นิ้ว</t>
        </is>
      </c>
      <c r="C114" s="434" t="inlineStr">
        <is>
          <t>อลูมิเนียม เมืองทอง</t>
        </is>
      </c>
      <c r="D114" s="399" t="n">
        <v>353</v>
      </c>
      <c r="E114" s="399" t="n">
        <v>541</v>
      </c>
      <c r="F114" s="399">
        <f>E114</f>
        <v/>
      </c>
      <c r="G114" s="399" t="n"/>
      <c r="H114" s="399" t="n">
        <v>565</v>
      </c>
      <c r="I114" s="399" t="n"/>
      <c r="J114" s="399" t="n"/>
      <c r="K114" s="676">
        <f>IF(ISNUMBER(SEARCH("เมืองทอง",C114)),mult_mtong,IF(ISNUMBER(SEARCH("SlimLux",C114)),mult_slim,IF(ISNUMBER(SEARCH("Velora",C114)),mult_velora,IF(ISNUMBER(SEARCH("Fuji",C114)),mult_euro,mult_sms))))</f>
        <v/>
      </c>
      <c r="L114" s="659">
        <f>ROUND(D114*K114,0)</f>
        <v/>
      </c>
      <c r="M114" s="659">
        <f>IF(E114="",ROUND(L114+'อัปเดตราคาอลู'!$B$13*S114,0),ROUND(E114*K114,0))</f>
        <v/>
      </c>
      <c r="N114" s="659">
        <f>M114</f>
        <v/>
      </c>
      <c r="O114" s="659">
        <f>IF(G114="",ROUND(L114+rate_special*S114,0),ROUND(G114*mult_euro,0))</f>
        <v/>
      </c>
      <c r="P114" s="659">
        <f>IF(H114="",ROUND(L114+rate_woodbake*S114,0),ROUND(H114*mult_wood,0))</f>
        <v/>
      </c>
      <c r="Q114" s="659">
        <f>IF(I114="",ROUND(L114+rate_woodbake*S114,0),ROUND(I114*mult_wood,0))</f>
        <v/>
      </c>
      <c r="R114" s="659">
        <f>IF(J114="",ROUND(L114+rate_woodbake*S114,0),ROUND(J114*mult_wood,0))</f>
        <v/>
      </c>
      <c r="S114" s="705">
        <f>ROUND(D114/(IF(ISNUMBER(SEARCH("เมืองทอง",C114)),'อัปเดตราคาอลู'!$F$8,IF(ISNUMBER(SEARCH("SlimLux",C114)),'อัปเดตราคาอลู'!$F$6,IF(ISNUMBER(SEARCH("Velora",C114)),'อัปเดตราคาอลู'!$F$7,IF(ISNUMBER(SEARCH("Fuji",C114)),'อัปเดตราคาอลู'!$F$5,'อัปเดตราคาอลู'!$F$4))))),3)</f>
        <v/>
      </c>
      <c r="T114" s="705">
        <f>ROUND(P114/(IF(OR(ISNUMBER(SEARCH("เมืองทอง",C114)),ISNUMBER(SEARCH("SlimLux",C114)),ISNUMBER(SEARCH("Velora",C114))),6,6.4)),3)</f>
        <v/>
      </c>
      <c r="U114" s="767">
        <f>ROUND(L114-D114,0)</f>
        <v/>
      </c>
      <c r="V114" s="659">
        <f>IF(D114="","",ROUND(D114+rate_anodize*S114,0))</f>
        <v/>
      </c>
    </row>
    <row r="115">
      <c r="A115" s="434" t="inlineStr">
        <is>
          <t>715</t>
        </is>
      </c>
      <c r="B115" s="434" t="inlineStr">
        <is>
          <t>แป๊บ 1¼ นิ้ว</t>
        </is>
      </c>
      <c r="C115" s="434" t="inlineStr">
        <is>
          <t>อลูมิเนียม เมืองทอง</t>
        </is>
      </c>
      <c r="D115" s="399" t="n">
        <v>410</v>
      </c>
      <c r="E115" s="399" t="n">
        <v>628</v>
      </c>
      <c r="F115" s="399">
        <f>E115</f>
        <v/>
      </c>
      <c r="G115" s="399" t="n"/>
      <c r="H115" s="399" t="n">
        <v>655</v>
      </c>
      <c r="I115" s="399" t="n"/>
      <c r="J115" s="399" t="n"/>
      <c r="K115" s="676">
        <f>IF(ISNUMBER(SEARCH("เมืองทอง",C115)),mult_mtong,IF(ISNUMBER(SEARCH("SlimLux",C115)),mult_slim,IF(ISNUMBER(SEARCH("Velora",C115)),mult_velora,IF(ISNUMBER(SEARCH("Fuji",C115)),mult_euro,mult_sms))))</f>
        <v/>
      </c>
      <c r="L115" s="659">
        <f>ROUND(D115*K115,0)</f>
        <v/>
      </c>
      <c r="M115" s="659">
        <f>IF(E115="",ROUND(L115+'อัปเดตราคาอลู'!$B$13*S115,0),ROUND(E115*K115,0))</f>
        <v/>
      </c>
      <c r="N115" s="659">
        <f>M115</f>
        <v/>
      </c>
      <c r="O115" s="659">
        <f>IF(G115="",ROUND(L115+rate_special*S115,0),ROUND(G115*mult_euro,0))</f>
        <v/>
      </c>
      <c r="P115" s="659">
        <f>IF(H115="",ROUND(L115+rate_woodbake*S115,0),ROUND(H115*mult_wood,0))</f>
        <v/>
      </c>
      <c r="Q115" s="659">
        <f>IF(I115="",ROUND(L115+rate_woodbake*S115,0),ROUND(I115*mult_wood,0))</f>
        <v/>
      </c>
      <c r="R115" s="659">
        <f>IF(J115="",ROUND(L115+rate_woodbake*S115,0),ROUND(J115*mult_wood,0))</f>
        <v/>
      </c>
      <c r="S115" s="705">
        <f>ROUND(D115/(IF(ISNUMBER(SEARCH("เมืองทอง",C115)),'อัปเดตราคาอลู'!$F$8,IF(ISNUMBER(SEARCH("SlimLux",C115)),'อัปเดตราคาอลู'!$F$6,IF(ISNUMBER(SEARCH("Velora",C115)),'อัปเดตราคาอลู'!$F$7,IF(ISNUMBER(SEARCH("Fuji",C115)),'อัปเดตราคาอลู'!$F$5,'อัปเดตราคาอลู'!$F$4))))),3)</f>
        <v/>
      </c>
      <c r="T115" s="705">
        <f>ROUND(P115/(IF(OR(ISNUMBER(SEARCH("เมืองทอง",C115)),ISNUMBER(SEARCH("SlimLux",C115)),ISNUMBER(SEARCH("Velora",C115))),6,6.4)),3)</f>
        <v/>
      </c>
      <c r="U115" s="767">
        <f>ROUND(L115-D115,0)</f>
        <v/>
      </c>
      <c r="V115" s="659">
        <f>IF(D115="","",ROUND(D115+rate_anodize*S115,0))</f>
        <v/>
      </c>
    </row>
    <row r="116">
      <c r="A116" s="434" t="inlineStr">
        <is>
          <t>718</t>
        </is>
      </c>
      <c r="B116" s="434" t="inlineStr">
        <is>
          <t>แป๊บ 1½ นิ้ว</t>
        </is>
      </c>
      <c r="C116" s="434" t="inlineStr">
        <is>
          <t>อลูมิเนียม เมืองทอง</t>
        </is>
      </c>
      <c r="D116" s="399" t="n">
        <v>494</v>
      </c>
      <c r="E116" s="399" t="n">
        <v>757</v>
      </c>
      <c r="F116" s="399">
        <f>E116</f>
        <v/>
      </c>
      <c r="G116" s="399" t="n"/>
      <c r="H116" s="399" t="n">
        <v>790</v>
      </c>
      <c r="I116" s="399" t="n"/>
      <c r="J116" s="399" t="n"/>
      <c r="K116" s="676">
        <f>IF(ISNUMBER(SEARCH("เมืองทอง",C116)),mult_mtong,IF(ISNUMBER(SEARCH("SlimLux",C116)),mult_slim,IF(ISNUMBER(SEARCH("Velora",C116)),mult_velora,IF(ISNUMBER(SEARCH("Fuji",C116)),mult_euro,mult_sms))))</f>
        <v/>
      </c>
      <c r="L116" s="659">
        <f>ROUND(D116*K116,0)</f>
        <v/>
      </c>
      <c r="M116" s="659">
        <f>IF(E116="",ROUND(L116+'อัปเดตราคาอลู'!$B$13*S116,0),ROUND(E116*K116,0))</f>
        <v/>
      </c>
      <c r="N116" s="659">
        <f>M116</f>
        <v/>
      </c>
      <c r="O116" s="659">
        <f>IF(G116="",ROUND(L116+rate_special*S116,0),ROUND(G116*mult_euro,0))</f>
        <v/>
      </c>
      <c r="P116" s="659">
        <f>IF(H116="",ROUND(L116+rate_woodbake*S116,0),ROUND(H116*mult_wood,0))</f>
        <v/>
      </c>
      <c r="Q116" s="659">
        <f>IF(I116="",ROUND(L116+rate_woodbake*S116,0),ROUND(I116*mult_wood,0))</f>
        <v/>
      </c>
      <c r="R116" s="659">
        <f>IF(J116="",ROUND(L116+rate_woodbake*S116,0),ROUND(J116*mult_wood,0))</f>
        <v/>
      </c>
      <c r="S116" s="705">
        <f>ROUND(D116/(IF(ISNUMBER(SEARCH("เมืองทอง",C116)),'อัปเดตราคาอลู'!$F$8,IF(ISNUMBER(SEARCH("SlimLux",C116)),'อัปเดตราคาอลู'!$F$6,IF(ISNUMBER(SEARCH("Velora",C116)),'อัปเดตราคาอลู'!$F$7,IF(ISNUMBER(SEARCH("Fuji",C116)),'อัปเดตราคาอลู'!$F$5,'อัปเดตราคาอลู'!$F$4))))),3)</f>
        <v/>
      </c>
      <c r="T116" s="705">
        <f>ROUND(P116/(IF(OR(ISNUMBER(SEARCH("เมืองทอง",C116)),ISNUMBER(SEARCH("SlimLux",C116)),ISNUMBER(SEARCH("Velora",C116))),6,6.4)),3)</f>
        <v/>
      </c>
      <c r="U116" s="767">
        <f>ROUND(L116-D116,0)</f>
        <v/>
      </c>
      <c r="V116" s="659">
        <f>IF(D116="","",ROUND(D116+rate_anodize*S116,0))</f>
        <v/>
      </c>
    </row>
    <row r="117">
      <c r="A117" s="434" t="inlineStr">
        <is>
          <t>745</t>
        </is>
      </c>
      <c r="B117" s="434" t="inlineStr">
        <is>
          <t>แป๊บ 1½ นิ้ว</t>
        </is>
      </c>
      <c r="C117" s="434" t="inlineStr">
        <is>
          <t>อลูมิเนียม เมืองทอง</t>
        </is>
      </c>
      <c r="D117" s="399" t="n">
        <v>671</v>
      </c>
      <c r="E117" s="399" t="n">
        <v>1028</v>
      </c>
      <c r="F117" s="399">
        <f>E117</f>
        <v/>
      </c>
      <c r="G117" s="399" t="n"/>
      <c r="H117" s="399" t="n">
        <v>1073</v>
      </c>
      <c r="I117" s="399" t="n"/>
      <c r="J117" s="399" t="n"/>
      <c r="K117" s="676">
        <f>IF(ISNUMBER(SEARCH("เมืองทอง",C117)),mult_mtong,IF(ISNUMBER(SEARCH("SlimLux",C117)),mult_slim,IF(ISNUMBER(SEARCH("Velora",C117)),mult_velora,IF(ISNUMBER(SEARCH("Fuji",C117)),mult_euro,mult_sms))))</f>
        <v/>
      </c>
      <c r="L117" s="659">
        <f>ROUND(D117*K117,0)</f>
        <v/>
      </c>
      <c r="M117" s="659">
        <f>IF(E117="",ROUND(L117+'อัปเดตราคาอลู'!$B$13*S117,0),ROUND(E117*K117,0))</f>
        <v/>
      </c>
      <c r="N117" s="659">
        <f>M117</f>
        <v/>
      </c>
      <c r="O117" s="659">
        <f>IF(G117="",ROUND(L117+rate_special*S117,0),ROUND(G117*mult_euro,0))</f>
        <v/>
      </c>
      <c r="P117" s="659">
        <f>IF(H117="",ROUND(L117+rate_woodbake*S117,0),ROUND(H117*mult_wood,0))</f>
        <v/>
      </c>
      <c r="Q117" s="659">
        <f>IF(I117="",ROUND(L117+rate_woodbake*S117,0),ROUND(I117*mult_wood,0))</f>
        <v/>
      </c>
      <c r="R117" s="659">
        <f>IF(J117="",ROUND(L117+rate_woodbake*S117,0),ROUND(J117*mult_wood,0))</f>
        <v/>
      </c>
      <c r="S117" s="705">
        <f>ROUND(D117/(IF(ISNUMBER(SEARCH("เมืองทอง",C117)),'อัปเดตราคาอลู'!$F$8,IF(ISNUMBER(SEARCH("SlimLux",C117)),'อัปเดตราคาอลู'!$F$6,IF(ISNUMBER(SEARCH("Velora",C117)),'อัปเดตราคาอลู'!$F$7,IF(ISNUMBER(SEARCH("Fuji",C117)),'อัปเดตราคาอลู'!$F$5,'อัปเดตราคาอลู'!$F$4))))),3)</f>
        <v/>
      </c>
      <c r="T117" s="705">
        <f>ROUND(P117/(IF(OR(ISNUMBER(SEARCH("เมืองทอง",C117)),ISNUMBER(SEARCH("SlimLux",C117)),ISNUMBER(SEARCH("Velora",C117))),6,6.4)),3)</f>
        <v/>
      </c>
      <c r="U117" s="767">
        <f>ROUND(L117-D117,0)</f>
        <v/>
      </c>
      <c r="V117" s="659">
        <f>IF(D117="","",ROUND(D117+rate_anodize*S117,0))</f>
        <v/>
      </c>
    </row>
    <row r="118">
      <c r="A118" s="434" t="inlineStr">
        <is>
          <t>724A</t>
        </is>
      </c>
      <c r="B118" s="434" t="inlineStr">
        <is>
          <t>แป๊บ 1¾ นิ้ว</t>
        </is>
      </c>
      <c r="C118" s="434" t="inlineStr">
        <is>
          <t>อลูมิเนียม เมืองทอง</t>
        </is>
      </c>
      <c r="D118" s="399" t="n">
        <v>427</v>
      </c>
      <c r="E118" s="399" t="n">
        <v>654</v>
      </c>
      <c r="F118" s="399">
        <f>E118</f>
        <v/>
      </c>
      <c r="G118" s="399" t="n"/>
      <c r="H118" s="399" t="n">
        <v>682</v>
      </c>
      <c r="I118" s="399" t="n"/>
      <c r="J118" s="399" t="n"/>
      <c r="K118" s="676">
        <f>IF(ISNUMBER(SEARCH("เมืองทอง",C118)),mult_mtong,IF(ISNUMBER(SEARCH("SlimLux",C118)),mult_slim,IF(ISNUMBER(SEARCH("Velora",C118)),mult_velora,IF(ISNUMBER(SEARCH("Fuji",C118)),mult_euro,mult_sms))))</f>
        <v/>
      </c>
      <c r="L118" s="659">
        <f>ROUND(D118*K118,0)</f>
        <v/>
      </c>
      <c r="M118" s="659">
        <f>IF(E118="",ROUND(L118+'อัปเดตราคาอลู'!$B$13*S118,0),ROUND(E118*K118,0))</f>
        <v/>
      </c>
      <c r="N118" s="659">
        <f>M118</f>
        <v/>
      </c>
      <c r="O118" s="659">
        <f>IF(G118="",ROUND(L118+rate_special*S118,0),ROUND(G118*mult_euro,0))</f>
        <v/>
      </c>
      <c r="P118" s="659">
        <f>IF(H118="",ROUND(L118+rate_woodbake*S118,0),ROUND(H118*mult_wood,0))</f>
        <v/>
      </c>
      <c r="Q118" s="659">
        <f>IF(I118="",ROUND(L118+rate_woodbake*S118,0),ROUND(I118*mult_wood,0))</f>
        <v/>
      </c>
      <c r="R118" s="659">
        <f>IF(J118="",ROUND(L118+rate_woodbake*S118,0),ROUND(J118*mult_wood,0))</f>
        <v/>
      </c>
      <c r="S118" s="705">
        <f>ROUND(D118/(IF(ISNUMBER(SEARCH("เมืองทอง",C118)),'อัปเดตราคาอลู'!$F$8,IF(ISNUMBER(SEARCH("SlimLux",C118)),'อัปเดตราคาอลู'!$F$6,IF(ISNUMBER(SEARCH("Velora",C118)),'อัปเดตราคาอลู'!$F$7,IF(ISNUMBER(SEARCH("Fuji",C118)),'อัปเดตราคาอลู'!$F$5,'อัปเดตราคาอลู'!$F$4))))),3)</f>
        <v/>
      </c>
      <c r="T118" s="705">
        <f>ROUND(P118/(IF(OR(ISNUMBER(SEARCH("เมืองทอง",C118)),ISNUMBER(SEARCH("SlimLux",C118)),ISNUMBER(SEARCH("Velora",C118))),6,6.4)),3)</f>
        <v/>
      </c>
      <c r="U118" s="767">
        <f>ROUND(L118-D118,0)</f>
        <v/>
      </c>
      <c r="V118" s="659">
        <f>IF(D118="","",ROUND(D118+rate_anodize*S118,0))</f>
        <v/>
      </c>
    </row>
    <row r="119">
      <c r="A119" s="434" t="inlineStr">
        <is>
          <t>724B</t>
        </is>
      </c>
      <c r="B119" s="434" t="inlineStr">
        <is>
          <t>แป๊บ 1¾ นิ้ว</t>
        </is>
      </c>
      <c r="C119" s="434" t="inlineStr">
        <is>
          <t>อลูมิเนียม เมืองทอง</t>
        </is>
      </c>
      <c r="D119" s="399" t="n">
        <v>479</v>
      </c>
      <c r="E119" s="399" t="n">
        <v>734</v>
      </c>
      <c r="F119" s="399">
        <f>E119</f>
        <v/>
      </c>
      <c r="G119" s="399" t="n"/>
      <c r="H119" s="399" t="n">
        <v>766</v>
      </c>
      <c r="I119" s="399" t="n"/>
      <c r="J119" s="399" t="n"/>
      <c r="K119" s="676">
        <f>IF(ISNUMBER(SEARCH("เมืองทอง",C119)),mult_mtong,IF(ISNUMBER(SEARCH("SlimLux",C119)),mult_slim,IF(ISNUMBER(SEARCH("Velora",C119)),mult_velora,IF(ISNUMBER(SEARCH("Fuji",C119)),mult_euro,mult_sms))))</f>
        <v/>
      </c>
      <c r="L119" s="659">
        <f>ROUND(D119*K119,0)</f>
        <v/>
      </c>
      <c r="M119" s="659">
        <f>IF(E119="",ROUND(L119+'อัปเดตราคาอลู'!$B$13*S119,0),ROUND(E119*K119,0))</f>
        <v/>
      </c>
      <c r="N119" s="659">
        <f>M119</f>
        <v/>
      </c>
      <c r="O119" s="659">
        <f>IF(G119="",ROUND(L119+rate_special*S119,0),ROUND(G119*mult_euro,0))</f>
        <v/>
      </c>
      <c r="P119" s="659">
        <f>IF(H119="",ROUND(L119+rate_woodbake*S119,0),ROUND(H119*mult_wood,0))</f>
        <v/>
      </c>
      <c r="Q119" s="659">
        <f>IF(I119="",ROUND(L119+rate_woodbake*S119,0),ROUND(I119*mult_wood,0))</f>
        <v/>
      </c>
      <c r="R119" s="659">
        <f>IF(J119="",ROUND(L119+rate_woodbake*S119,0),ROUND(J119*mult_wood,0))</f>
        <v/>
      </c>
      <c r="S119" s="705">
        <f>ROUND(D119/(IF(ISNUMBER(SEARCH("เมืองทอง",C119)),'อัปเดตราคาอลู'!$F$8,IF(ISNUMBER(SEARCH("SlimLux",C119)),'อัปเดตราคาอลู'!$F$6,IF(ISNUMBER(SEARCH("Velora",C119)),'อัปเดตราคาอลู'!$F$7,IF(ISNUMBER(SEARCH("Fuji",C119)),'อัปเดตราคาอลู'!$F$5,'อัปเดตราคาอลู'!$F$4))))),3)</f>
        <v/>
      </c>
      <c r="T119" s="705">
        <f>ROUND(P119/(IF(OR(ISNUMBER(SEARCH("เมืองทอง",C119)),ISNUMBER(SEARCH("SlimLux",C119)),ISNUMBER(SEARCH("Velora",C119))),6,6.4)),3)</f>
        <v/>
      </c>
      <c r="U119" s="767">
        <f>ROUND(L119-D119,0)</f>
        <v/>
      </c>
      <c r="V119" s="659">
        <f>IF(D119="","",ROUND(D119+rate_anodize*S119,0))</f>
        <v/>
      </c>
    </row>
    <row r="120">
      <c r="A120" s="434" t="inlineStr">
        <is>
          <t>724F</t>
        </is>
      </c>
      <c r="B120" s="434" t="inlineStr">
        <is>
          <t>แป๊บ 1¾ นิ้ว</t>
        </is>
      </c>
      <c r="C120" s="434" t="inlineStr">
        <is>
          <t>อลูมิเนียม เมืองทอง</t>
        </is>
      </c>
      <c r="D120" s="399" t="n">
        <v>583</v>
      </c>
      <c r="E120" s="399" t="n">
        <v>893</v>
      </c>
      <c r="F120" s="399">
        <f>E120</f>
        <v/>
      </c>
      <c r="G120" s="399" t="n"/>
      <c r="H120" s="399" t="n">
        <v>932</v>
      </c>
      <c r="I120" s="399" t="n"/>
      <c r="J120" s="399" t="n"/>
      <c r="K120" s="676">
        <f>IF(ISNUMBER(SEARCH("เมืองทอง",C120)),mult_mtong,IF(ISNUMBER(SEARCH("SlimLux",C120)),mult_slim,IF(ISNUMBER(SEARCH("Velora",C120)),mult_velora,IF(ISNUMBER(SEARCH("Fuji",C120)),mult_euro,mult_sms))))</f>
        <v/>
      </c>
      <c r="L120" s="659">
        <f>ROUND(D120*K120,0)</f>
        <v/>
      </c>
      <c r="M120" s="659">
        <f>IF(E120="",ROUND(L120+'อัปเดตราคาอลู'!$B$13*S120,0),ROUND(E120*K120,0))</f>
        <v/>
      </c>
      <c r="N120" s="659">
        <f>M120</f>
        <v/>
      </c>
      <c r="O120" s="659">
        <f>IF(G120="",ROUND(L120+rate_special*S120,0),ROUND(G120*mult_euro,0))</f>
        <v/>
      </c>
      <c r="P120" s="659">
        <f>IF(H120="",ROUND(L120+rate_woodbake*S120,0),ROUND(H120*mult_wood,0))</f>
        <v/>
      </c>
      <c r="Q120" s="659">
        <f>IF(I120="",ROUND(L120+rate_woodbake*S120,0),ROUND(I120*mult_wood,0))</f>
        <v/>
      </c>
      <c r="R120" s="659">
        <f>IF(J120="",ROUND(L120+rate_woodbake*S120,0),ROUND(J120*mult_wood,0))</f>
        <v/>
      </c>
      <c r="S120" s="705">
        <f>ROUND(D120/(IF(ISNUMBER(SEARCH("เมืองทอง",C120)),'อัปเดตราคาอลู'!$F$8,IF(ISNUMBER(SEARCH("SlimLux",C120)),'อัปเดตราคาอลู'!$F$6,IF(ISNUMBER(SEARCH("Velora",C120)),'อัปเดตราคาอลู'!$F$7,IF(ISNUMBER(SEARCH("Fuji",C120)),'อัปเดตราคาอลู'!$F$5,'อัปเดตราคาอลู'!$F$4))))),3)</f>
        <v/>
      </c>
      <c r="T120" s="705">
        <f>ROUND(P120/(IF(OR(ISNUMBER(SEARCH("เมืองทอง",C120)),ISNUMBER(SEARCH("SlimLux",C120)),ISNUMBER(SEARCH("Velora",C120))),6,6.4)),3)</f>
        <v/>
      </c>
      <c r="U120" s="767">
        <f>ROUND(L120-D120,0)</f>
        <v/>
      </c>
      <c r="V120" s="659">
        <f>IF(D120="","",ROUND(D120+rate_anodize*S120,0))</f>
        <v/>
      </c>
    </row>
    <row r="121">
      <c r="A121" s="434" t="inlineStr">
        <is>
          <t>726A</t>
        </is>
      </c>
      <c r="B121" s="434" t="inlineStr">
        <is>
          <t>แป๊บ 1¾ นิ้ว</t>
        </is>
      </c>
      <c r="C121" s="434" t="inlineStr">
        <is>
          <t>อลูมิเนียม เมืองทอง</t>
        </is>
      </c>
      <c r="D121" s="399" t="n">
        <v>713</v>
      </c>
      <c r="E121" s="399" t="n">
        <v>1092</v>
      </c>
      <c r="F121" s="399">
        <f>E121</f>
        <v/>
      </c>
      <c r="G121" s="399" t="n"/>
      <c r="H121" s="399" t="n">
        <v>1139</v>
      </c>
      <c r="I121" s="399" t="n"/>
      <c r="J121" s="399" t="n"/>
      <c r="K121" s="676">
        <f>IF(ISNUMBER(SEARCH("เมืองทอง",C121)),mult_mtong,IF(ISNUMBER(SEARCH("SlimLux",C121)),mult_slim,IF(ISNUMBER(SEARCH("Velora",C121)),mult_velora,IF(ISNUMBER(SEARCH("Fuji",C121)),mult_euro,mult_sms))))</f>
        <v/>
      </c>
      <c r="L121" s="659">
        <f>ROUND(D121*K121,0)</f>
        <v/>
      </c>
      <c r="M121" s="659">
        <f>IF(E121="",ROUND(L121+'อัปเดตราคาอลู'!$B$13*S121,0),ROUND(E121*K121,0))</f>
        <v/>
      </c>
      <c r="N121" s="659">
        <f>M121</f>
        <v/>
      </c>
      <c r="O121" s="659">
        <f>IF(G121="",ROUND(L121+rate_special*S121,0),ROUND(G121*mult_euro,0))</f>
        <v/>
      </c>
      <c r="P121" s="659">
        <f>IF(H121="",ROUND(L121+rate_woodbake*S121,0),ROUND(H121*mult_wood,0))</f>
        <v/>
      </c>
      <c r="Q121" s="659">
        <f>IF(I121="",ROUND(L121+rate_woodbake*S121,0),ROUND(I121*mult_wood,0))</f>
        <v/>
      </c>
      <c r="R121" s="659">
        <f>IF(J121="",ROUND(L121+rate_woodbake*S121,0),ROUND(J121*mult_wood,0))</f>
        <v/>
      </c>
      <c r="S121" s="705">
        <f>ROUND(D121/(IF(ISNUMBER(SEARCH("เมืองทอง",C121)),'อัปเดตราคาอลู'!$F$8,IF(ISNUMBER(SEARCH("SlimLux",C121)),'อัปเดตราคาอลู'!$F$6,IF(ISNUMBER(SEARCH("Velora",C121)),'อัปเดตราคาอลู'!$F$7,IF(ISNUMBER(SEARCH("Fuji",C121)),'อัปเดตราคาอลู'!$F$5,'อัปเดตราคาอลู'!$F$4))))),3)</f>
        <v/>
      </c>
      <c r="T121" s="705">
        <f>ROUND(P121/(IF(OR(ISNUMBER(SEARCH("เมืองทอง",C121)),ISNUMBER(SEARCH("SlimLux",C121)),ISNUMBER(SEARCH("Velora",C121))),6,6.4)),3)</f>
        <v/>
      </c>
      <c r="U121" s="767">
        <f>ROUND(L121-D121,0)</f>
        <v/>
      </c>
      <c r="V121" s="659">
        <f>IF(D121="","",ROUND(D121+rate_anodize*S121,0))</f>
        <v/>
      </c>
    </row>
    <row r="122">
      <c r="A122" s="434" t="inlineStr">
        <is>
          <t>726F</t>
        </is>
      </c>
      <c r="B122" s="434" t="inlineStr">
        <is>
          <t>แป๊บ 1¾ นิ้ว</t>
        </is>
      </c>
      <c r="C122" s="434" t="inlineStr">
        <is>
          <t>อลูมิเนียม เมืองทอง</t>
        </is>
      </c>
      <c r="D122" s="399" t="n">
        <v>737</v>
      </c>
      <c r="E122" s="399" t="n">
        <v>1129</v>
      </c>
      <c r="F122" s="399">
        <f>E122</f>
        <v/>
      </c>
      <c r="G122" s="399" t="n"/>
      <c r="H122" s="399" t="n">
        <v>1178</v>
      </c>
      <c r="I122" s="399" t="n"/>
      <c r="J122" s="399" t="n"/>
      <c r="K122" s="676">
        <f>IF(ISNUMBER(SEARCH("เมืองทอง",C122)),mult_mtong,IF(ISNUMBER(SEARCH("SlimLux",C122)),mult_slim,IF(ISNUMBER(SEARCH("Velora",C122)),mult_velora,IF(ISNUMBER(SEARCH("Fuji",C122)),mult_euro,mult_sms))))</f>
        <v/>
      </c>
      <c r="L122" s="659">
        <f>ROUND(D122*K122,0)</f>
        <v/>
      </c>
      <c r="M122" s="659">
        <f>IF(E122="",ROUND(L122+'อัปเดตราคาอลู'!$B$13*S122,0),ROUND(E122*K122,0))</f>
        <v/>
      </c>
      <c r="N122" s="659">
        <f>M122</f>
        <v/>
      </c>
      <c r="O122" s="659">
        <f>IF(G122="",ROUND(L122+rate_special*S122,0),ROUND(G122*mult_euro,0))</f>
        <v/>
      </c>
      <c r="P122" s="659">
        <f>IF(H122="",ROUND(L122+rate_woodbake*S122,0),ROUND(H122*mult_wood,0))</f>
        <v/>
      </c>
      <c r="Q122" s="659">
        <f>IF(I122="",ROUND(L122+rate_woodbake*S122,0),ROUND(I122*mult_wood,0))</f>
        <v/>
      </c>
      <c r="R122" s="659">
        <f>IF(J122="",ROUND(L122+rate_woodbake*S122,0),ROUND(J122*mult_wood,0))</f>
        <v/>
      </c>
      <c r="S122" s="705">
        <f>ROUND(D122/(IF(ISNUMBER(SEARCH("เมืองทอง",C122)),'อัปเดตราคาอลู'!$F$8,IF(ISNUMBER(SEARCH("SlimLux",C122)),'อัปเดตราคาอลู'!$F$6,IF(ISNUMBER(SEARCH("Velora",C122)),'อัปเดตราคาอลู'!$F$7,IF(ISNUMBER(SEARCH("Fuji",C122)),'อัปเดตราคาอลู'!$F$5,'อัปเดตราคาอลู'!$F$4))))),3)</f>
        <v/>
      </c>
      <c r="T122" s="705">
        <f>ROUND(P122/(IF(OR(ISNUMBER(SEARCH("เมืองทอง",C122)),ISNUMBER(SEARCH("SlimLux",C122)),ISNUMBER(SEARCH("Velora",C122))),6,6.4)),3)</f>
        <v/>
      </c>
      <c r="U122" s="767">
        <f>ROUND(L122-D122,0)</f>
        <v/>
      </c>
      <c r="V122" s="659">
        <f>IF(D122="","",ROUND(D122+rate_anodize*S122,0))</f>
        <v/>
      </c>
    </row>
    <row r="123">
      <c r="A123" s="434" t="inlineStr">
        <is>
          <t>728</t>
        </is>
      </c>
      <c r="B123" s="434" t="inlineStr">
        <is>
          <t>แป๊บ 2 นิ้ว</t>
        </is>
      </c>
      <c r="C123" s="434" t="inlineStr">
        <is>
          <t>อลูมิเนียม เมืองทอง</t>
        </is>
      </c>
      <c r="D123" s="399" t="n">
        <v>728</v>
      </c>
      <c r="E123" s="399" t="n">
        <v>1115</v>
      </c>
      <c r="F123" s="399">
        <f>E123</f>
        <v/>
      </c>
      <c r="G123" s="399" t="n"/>
      <c r="H123" s="399" t="n">
        <v>1163</v>
      </c>
      <c r="I123" s="399" t="n"/>
      <c r="J123" s="399" t="n"/>
      <c r="K123" s="676">
        <f>IF(ISNUMBER(SEARCH("เมืองทอง",C123)),mult_mtong,IF(ISNUMBER(SEARCH("SlimLux",C123)),mult_slim,IF(ISNUMBER(SEARCH("Velora",C123)),mult_velora,IF(ISNUMBER(SEARCH("Fuji",C123)),mult_euro,mult_sms))))</f>
        <v/>
      </c>
      <c r="L123" s="659">
        <f>ROUND(D123*K123,0)</f>
        <v/>
      </c>
      <c r="M123" s="659">
        <f>IF(E123="",ROUND(L123+'อัปเดตราคาอลู'!$B$13*S123,0),ROUND(E123*K123,0))</f>
        <v/>
      </c>
      <c r="N123" s="659">
        <f>M123</f>
        <v/>
      </c>
      <c r="O123" s="659">
        <f>IF(G123="",ROUND(L123+rate_special*S123,0),ROUND(G123*mult_euro,0))</f>
        <v/>
      </c>
      <c r="P123" s="659">
        <f>IF(H123="",ROUND(L123+rate_woodbake*S123,0),ROUND(H123*mult_wood,0))</f>
        <v/>
      </c>
      <c r="Q123" s="659">
        <f>IF(I123="",ROUND(L123+rate_woodbake*S123,0),ROUND(I123*mult_wood,0))</f>
        <v/>
      </c>
      <c r="R123" s="659">
        <f>IF(J123="",ROUND(L123+rate_woodbake*S123,0),ROUND(J123*mult_wood,0))</f>
        <v/>
      </c>
      <c r="S123" s="705">
        <f>ROUND(D123/(IF(ISNUMBER(SEARCH("เมืองทอง",C123)),'อัปเดตราคาอลู'!$F$8,IF(ISNUMBER(SEARCH("SlimLux",C123)),'อัปเดตราคาอลู'!$F$6,IF(ISNUMBER(SEARCH("Velora",C123)),'อัปเดตราคาอลู'!$F$7,IF(ISNUMBER(SEARCH("Fuji",C123)),'อัปเดตราคาอลู'!$F$5,'อัปเดตราคาอลู'!$F$4))))),3)</f>
        <v/>
      </c>
      <c r="T123" s="705">
        <f>ROUND(P123/(IF(OR(ISNUMBER(SEARCH("เมืองทอง",C123)),ISNUMBER(SEARCH("SlimLux",C123)),ISNUMBER(SEARCH("Velora",C123))),6,6.4)),3)</f>
        <v/>
      </c>
      <c r="U123" s="767">
        <f>ROUND(L123-D123,0)</f>
        <v/>
      </c>
      <c r="V123" s="659">
        <f>IF(D123="","",ROUND(D123+rate_anodize*S123,0))</f>
        <v/>
      </c>
    </row>
    <row r="124">
      <c r="A124" s="434" t="inlineStr">
        <is>
          <t>749</t>
        </is>
      </c>
      <c r="B124" s="434" t="inlineStr">
        <is>
          <t>แป๊บ 2 นิ้ว</t>
        </is>
      </c>
      <c r="C124" s="434" t="inlineStr">
        <is>
          <t>อลูมิเนียม เมืองทอง</t>
        </is>
      </c>
      <c r="D124" s="399" t="n">
        <v>904</v>
      </c>
      <c r="E124" s="399" t="n">
        <v>1385</v>
      </c>
      <c r="F124" s="399">
        <f>E124</f>
        <v/>
      </c>
      <c r="G124" s="399" t="n"/>
      <c r="H124" s="399" t="n">
        <v>1445</v>
      </c>
      <c r="I124" s="399" t="n"/>
      <c r="J124" s="399" t="n"/>
      <c r="K124" s="676">
        <f>IF(ISNUMBER(SEARCH("เมืองทอง",C124)),mult_mtong,IF(ISNUMBER(SEARCH("SlimLux",C124)),mult_slim,IF(ISNUMBER(SEARCH("Velora",C124)),mult_velora,IF(ISNUMBER(SEARCH("Fuji",C124)),mult_euro,mult_sms))))</f>
        <v/>
      </c>
      <c r="L124" s="659">
        <f>ROUND(D124*K124,0)</f>
        <v/>
      </c>
      <c r="M124" s="659">
        <f>IF(E124="",ROUND(L124+'อัปเดตราคาอลู'!$B$13*S124,0),ROUND(E124*K124,0))</f>
        <v/>
      </c>
      <c r="N124" s="659">
        <f>M124</f>
        <v/>
      </c>
      <c r="O124" s="659">
        <f>IF(G124="",ROUND(L124+rate_special*S124,0),ROUND(G124*mult_euro,0))</f>
        <v/>
      </c>
      <c r="P124" s="659">
        <f>IF(H124="",ROUND(L124+rate_woodbake*S124,0),ROUND(H124*mult_wood,0))</f>
        <v/>
      </c>
      <c r="Q124" s="659">
        <f>IF(I124="",ROUND(L124+rate_woodbake*S124,0),ROUND(I124*mult_wood,0))</f>
        <v/>
      </c>
      <c r="R124" s="659">
        <f>IF(J124="",ROUND(L124+rate_woodbake*S124,0),ROUND(J124*mult_wood,0))</f>
        <v/>
      </c>
      <c r="S124" s="705">
        <f>ROUND(D124/(IF(ISNUMBER(SEARCH("เมืองทอง",C124)),'อัปเดตราคาอลู'!$F$8,IF(ISNUMBER(SEARCH("SlimLux",C124)),'อัปเดตราคาอลู'!$F$6,IF(ISNUMBER(SEARCH("Velora",C124)),'อัปเดตราคาอลู'!$F$7,IF(ISNUMBER(SEARCH("Fuji",C124)),'อัปเดตราคาอลู'!$F$5,'อัปเดตราคาอลู'!$F$4))))),3)</f>
        <v/>
      </c>
      <c r="T124" s="705">
        <f>ROUND(P124/(IF(OR(ISNUMBER(SEARCH("เมืองทอง",C124)),ISNUMBER(SEARCH("SlimLux",C124)),ISNUMBER(SEARCH("Velora",C124))),6,6.4)),3)</f>
        <v/>
      </c>
      <c r="U124" s="767">
        <f>ROUND(L124-D124,0)</f>
        <v/>
      </c>
      <c r="V124" s="659">
        <f>IF(D124="","",ROUND(D124+rate_anodize*S124,0))</f>
        <v/>
      </c>
    </row>
    <row r="125">
      <c r="A125" s="434" t="inlineStr">
        <is>
          <t>802</t>
        </is>
      </c>
      <c r="B125" s="434" t="inlineStr">
        <is>
          <t>½×1 นิ้ว</t>
        </is>
      </c>
      <c r="C125" s="434" t="inlineStr">
        <is>
          <t>อลูมิเนียม เมืองทอง</t>
        </is>
      </c>
      <c r="D125" s="399" t="n">
        <v>218</v>
      </c>
      <c r="E125" s="399" t="n">
        <v>334</v>
      </c>
      <c r="F125" s="399">
        <f>E125</f>
        <v/>
      </c>
      <c r="G125" s="399" t="n"/>
      <c r="H125" s="399" t="n">
        <v>349</v>
      </c>
      <c r="I125" s="399" t="n"/>
      <c r="J125" s="399" t="n"/>
      <c r="K125" s="676">
        <f>IF(ISNUMBER(SEARCH("เมืองทอง",C125)),mult_mtong,IF(ISNUMBER(SEARCH("SlimLux",C125)),mult_slim,IF(ISNUMBER(SEARCH("Velora",C125)),mult_velora,IF(ISNUMBER(SEARCH("Fuji",C125)),mult_euro,mult_sms))))</f>
        <v/>
      </c>
      <c r="L125" s="659">
        <f>ROUND(D125*K125,0)</f>
        <v/>
      </c>
      <c r="M125" s="659">
        <f>IF(E125="",ROUND(L125+'อัปเดตราคาอลู'!$B$13*S125,0),ROUND(E125*K125,0))</f>
        <v/>
      </c>
      <c r="N125" s="659">
        <f>M125</f>
        <v/>
      </c>
      <c r="O125" s="659">
        <f>IF(G125="",ROUND(L125+rate_special*S125,0),ROUND(G125*mult_euro,0))</f>
        <v/>
      </c>
      <c r="P125" s="659">
        <f>IF(H125="",ROUND(L125+rate_woodbake*S125,0),ROUND(H125*mult_wood,0))</f>
        <v/>
      </c>
      <c r="Q125" s="659">
        <f>IF(I125="",ROUND(L125+rate_woodbake*S125,0),ROUND(I125*mult_wood,0))</f>
        <v/>
      </c>
      <c r="R125" s="659">
        <f>IF(J125="",ROUND(L125+rate_woodbake*S125,0),ROUND(J125*mult_wood,0))</f>
        <v/>
      </c>
      <c r="S125" s="705">
        <f>ROUND(D125/(IF(ISNUMBER(SEARCH("เมืองทอง",C125)),'อัปเดตราคาอลู'!$F$8,IF(ISNUMBER(SEARCH("SlimLux",C125)),'อัปเดตราคาอลู'!$F$6,IF(ISNUMBER(SEARCH("Velora",C125)),'อัปเดตราคาอลู'!$F$7,IF(ISNUMBER(SEARCH("Fuji",C125)),'อัปเดตราคาอลู'!$F$5,'อัปเดตราคาอลู'!$F$4))))),3)</f>
        <v/>
      </c>
      <c r="T125" s="705">
        <f>ROUND(P125/(IF(OR(ISNUMBER(SEARCH("เมืองทอง",C125)),ISNUMBER(SEARCH("SlimLux",C125)),ISNUMBER(SEARCH("Velora",C125))),6,6.4)),3)</f>
        <v/>
      </c>
      <c r="U125" s="767">
        <f>ROUND(L125-D125,0)</f>
        <v/>
      </c>
      <c r="V125" s="659">
        <f>IF(D125="","",ROUND(D125+rate_anodize*S125,0))</f>
        <v/>
      </c>
    </row>
    <row r="126">
      <c r="A126" s="434" t="inlineStr">
        <is>
          <t>808</t>
        </is>
      </c>
      <c r="B126" s="434" t="inlineStr">
        <is>
          <t>1½×1 นิ้ว</t>
        </is>
      </c>
      <c r="C126" s="434" t="inlineStr">
        <is>
          <t>อลูมิเนียม เมืองทอง</t>
        </is>
      </c>
      <c r="D126" s="399" t="n">
        <v>374</v>
      </c>
      <c r="E126" s="399" t="n">
        <v>573</v>
      </c>
      <c r="F126" s="399">
        <f>E126</f>
        <v/>
      </c>
      <c r="G126" s="399" t="n"/>
      <c r="H126" s="399" t="n">
        <v>598</v>
      </c>
      <c r="I126" s="399" t="n"/>
      <c r="J126" s="399" t="n"/>
      <c r="K126" s="676">
        <f>IF(ISNUMBER(SEARCH("เมืองทอง",C126)),mult_mtong,IF(ISNUMBER(SEARCH("SlimLux",C126)),mult_slim,IF(ISNUMBER(SEARCH("Velora",C126)),mult_velora,IF(ISNUMBER(SEARCH("Fuji",C126)),mult_euro,mult_sms))))</f>
        <v/>
      </c>
      <c r="L126" s="659">
        <f>ROUND(D126*K126,0)</f>
        <v/>
      </c>
      <c r="M126" s="659">
        <f>IF(E126="",ROUND(L126+'อัปเดตราคาอลู'!$B$13*S126,0),ROUND(E126*K126,0))</f>
        <v/>
      </c>
      <c r="N126" s="659">
        <f>M126</f>
        <v/>
      </c>
      <c r="O126" s="659">
        <f>IF(G126="",ROUND(L126+rate_special*S126,0),ROUND(G126*mult_euro,0))</f>
        <v/>
      </c>
      <c r="P126" s="659">
        <f>IF(H126="",ROUND(L126+rate_woodbake*S126,0),ROUND(H126*mult_wood,0))</f>
        <v/>
      </c>
      <c r="Q126" s="659">
        <f>IF(I126="",ROUND(L126+rate_woodbake*S126,0),ROUND(I126*mult_wood,0))</f>
        <v/>
      </c>
      <c r="R126" s="659">
        <f>IF(J126="",ROUND(L126+rate_woodbake*S126,0),ROUND(J126*mult_wood,0))</f>
        <v/>
      </c>
      <c r="S126" s="705">
        <f>ROUND(D126/(IF(ISNUMBER(SEARCH("เมืองทอง",C126)),'อัปเดตราคาอลู'!$F$8,IF(ISNUMBER(SEARCH("SlimLux",C126)),'อัปเดตราคาอลู'!$F$6,IF(ISNUMBER(SEARCH("Velora",C126)),'อัปเดตราคาอลู'!$F$7,IF(ISNUMBER(SEARCH("Fuji",C126)),'อัปเดตราคาอลู'!$F$5,'อัปเดตราคาอลู'!$F$4))))),3)</f>
        <v/>
      </c>
      <c r="T126" s="705">
        <f>ROUND(P126/(IF(OR(ISNUMBER(SEARCH("เมืองทอง",C126)),ISNUMBER(SEARCH("SlimLux",C126)),ISNUMBER(SEARCH("Velora",C126))),6,6.4)),3)</f>
        <v/>
      </c>
      <c r="U126" s="767">
        <f>ROUND(L126-D126,0)</f>
        <v/>
      </c>
      <c r="V126" s="659">
        <f>IF(D126="","",ROUND(D126+rate_anodize*S126,0))</f>
        <v/>
      </c>
    </row>
    <row r="127">
      <c r="A127" s="434" t="inlineStr">
        <is>
          <t>812</t>
        </is>
      </c>
      <c r="B127" s="434" t="inlineStr">
        <is>
          <t>1¾×1 นิ้ว</t>
        </is>
      </c>
      <c r="C127" s="434" t="inlineStr">
        <is>
          <t>อลูมิเนียม เมืองทอง</t>
        </is>
      </c>
      <c r="D127" s="399" t="n">
        <v>453</v>
      </c>
      <c r="E127" s="399" t="n">
        <v>694</v>
      </c>
      <c r="F127" s="399">
        <f>E127</f>
        <v/>
      </c>
      <c r="G127" s="399" t="n"/>
      <c r="H127" s="399" t="n">
        <v>724</v>
      </c>
      <c r="I127" s="399" t="n"/>
      <c r="J127" s="399" t="n"/>
      <c r="K127" s="676">
        <f>IF(ISNUMBER(SEARCH("เมืองทอง",C127)),mult_mtong,IF(ISNUMBER(SEARCH("SlimLux",C127)),mult_slim,IF(ISNUMBER(SEARCH("Velora",C127)),mult_velora,IF(ISNUMBER(SEARCH("Fuji",C127)),mult_euro,mult_sms))))</f>
        <v/>
      </c>
      <c r="L127" s="659">
        <f>ROUND(D127*K127,0)</f>
        <v/>
      </c>
      <c r="M127" s="659">
        <f>IF(E127="",ROUND(L127+'อัปเดตราคาอลู'!$B$13*S127,0),ROUND(E127*K127,0))</f>
        <v/>
      </c>
      <c r="N127" s="659">
        <f>M127</f>
        <v/>
      </c>
      <c r="O127" s="659">
        <f>IF(G127="",ROUND(L127+rate_special*S127,0),ROUND(G127*mult_euro,0))</f>
        <v/>
      </c>
      <c r="P127" s="659">
        <f>IF(H127="",ROUND(L127+rate_woodbake*S127,0),ROUND(H127*mult_wood,0))</f>
        <v/>
      </c>
      <c r="Q127" s="659">
        <f>IF(I127="",ROUND(L127+rate_woodbake*S127,0),ROUND(I127*mult_wood,0))</f>
        <v/>
      </c>
      <c r="R127" s="659">
        <f>IF(J127="",ROUND(L127+rate_woodbake*S127,0),ROUND(J127*mult_wood,0))</f>
        <v/>
      </c>
      <c r="S127" s="705">
        <f>ROUND(D127/(IF(ISNUMBER(SEARCH("เมืองทอง",C127)),'อัปเดตราคาอลู'!$F$8,IF(ISNUMBER(SEARCH("SlimLux",C127)),'อัปเดตราคาอลู'!$F$6,IF(ISNUMBER(SEARCH("Velora",C127)),'อัปเดตราคาอลู'!$F$7,IF(ISNUMBER(SEARCH("Fuji",C127)),'อัปเดตราคาอลู'!$F$5,'อัปเดตราคาอลู'!$F$4))))),3)</f>
        <v/>
      </c>
      <c r="T127" s="705">
        <f>ROUND(P127/(IF(OR(ISNUMBER(SEARCH("เมืองทอง",C127)),ISNUMBER(SEARCH("SlimLux",C127)),ISNUMBER(SEARCH("Velora",C127))),6,6.4)),3)</f>
        <v/>
      </c>
      <c r="U127" s="767">
        <f>ROUND(L127-D127,0)</f>
        <v/>
      </c>
      <c r="V127" s="659">
        <f>IF(D127="","",ROUND(D127+rate_anodize*S127,0))</f>
        <v/>
      </c>
    </row>
    <row r="128">
      <c r="A128" s="434" t="inlineStr">
        <is>
          <t>0827</t>
        </is>
      </c>
      <c r="B128" s="434" t="inlineStr">
        <is>
          <t>1×2 นิ้ว</t>
        </is>
      </c>
      <c r="C128" s="434" t="inlineStr">
        <is>
          <t>อลูมิเนียม เมืองทอง</t>
        </is>
      </c>
      <c r="D128" s="399" t="n">
        <v>453</v>
      </c>
      <c r="E128" s="399" t="n">
        <v>694</v>
      </c>
      <c r="F128" s="399">
        <f>E128</f>
        <v/>
      </c>
      <c r="G128" s="399" t="n"/>
      <c r="H128" s="399" t="n">
        <v>724</v>
      </c>
      <c r="I128" s="399" t="n"/>
      <c r="J128" s="399" t="n"/>
      <c r="K128" s="676">
        <f>IF(ISNUMBER(SEARCH("เมืองทอง",C128)),mult_mtong,IF(ISNUMBER(SEARCH("SlimLux",C128)),mult_slim,IF(ISNUMBER(SEARCH("Velora",C128)),mult_velora,IF(ISNUMBER(SEARCH("Fuji",C128)),mult_euro,mult_sms))))</f>
        <v/>
      </c>
      <c r="L128" s="659">
        <f>ROUND(D128*K128,0)</f>
        <v/>
      </c>
      <c r="M128" s="659">
        <f>IF(E128="",ROUND(L128+'อัปเดตราคาอลู'!$B$13*S128,0),ROUND(E128*K128,0))</f>
        <v/>
      </c>
      <c r="N128" s="659">
        <f>M128</f>
        <v/>
      </c>
      <c r="O128" s="659">
        <f>IF(G128="",ROUND(L128+rate_special*S128,0),ROUND(G128*mult_euro,0))</f>
        <v/>
      </c>
      <c r="P128" s="659">
        <f>IF(H128="",ROUND(L128+rate_woodbake*S128,0),ROUND(H128*mult_wood,0))</f>
        <v/>
      </c>
      <c r="Q128" s="659">
        <f>IF(I128="",ROUND(L128+rate_woodbake*S128,0),ROUND(I128*mult_wood,0))</f>
        <v/>
      </c>
      <c r="R128" s="659">
        <f>IF(J128="",ROUND(L128+rate_woodbake*S128,0),ROUND(J128*mult_wood,0))</f>
        <v/>
      </c>
      <c r="S128" s="705">
        <f>ROUND(D128/(IF(ISNUMBER(SEARCH("เมืองทอง",C128)),'อัปเดตราคาอลู'!$F$8,IF(ISNUMBER(SEARCH("SlimLux",C128)),'อัปเดตราคาอลู'!$F$6,IF(ISNUMBER(SEARCH("Velora",C128)),'อัปเดตราคาอลู'!$F$7,IF(ISNUMBER(SEARCH("Fuji",C128)),'อัปเดตราคาอลู'!$F$5,'อัปเดตราคาอลู'!$F$4))))),3)</f>
        <v/>
      </c>
      <c r="T128" s="705">
        <f>ROUND(P128/(IF(OR(ISNUMBER(SEARCH("เมืองทอง",C128)),ISNUMBER(SEARCH("SlimLux",C128)),ISNUMBER(SEARCH("Velora",C128))),6,6.4)),3)</f>
        <v/>
      </c>
      <c r="U128" s="767">
        <f>ROUND(L128-D128,0)</f>
        <v/>
      </c>
      <c r="V128" s="659">
        <f>IF(D128="","",ROUND(D128+rate_anodize*S128,0))</f>
        <v/>
      </c>
    </row>
    <row r="129">
      <c r="A129" s="434" t="inlineStr">
        <is>
          <t>816</t>
        </is>
      </c>
      <c r="B129" s="434" t="inlineStr">
        <is>
          <t>1×2 นิ้ว</t>
        </is>
      </c>
      <c r="C129" s="434" t="inlineStr">
        <is>
          <t>อลูมิเนียม เมืองทอง</t>
        </is>
      </c>
      <c r="D129" s="399" t="n">
        <v>540</v>
      </c>
      <c r="E129" s="399" t="n">
        <v>827</v>
      </c>
      <c r="F129" s="399">
        <f>E129</f>
        <v/>
      </c>
      <c r="G129" s="399" t="n"/>
      <c r="H129" s="399" t="n">
        <v>862</v>
      </c>
      <c r="I129" s="399" t="n"/>
      <c r="J129" s="399" t="n"/>
      <c r="K129" s="676">
        <f>IF(ISNUMBER(SEARCH("เมืองทอง",C129)),mult_mtong,IF(ISNUMBER(SEARCH("SlimLux",C129)),mult_slim,IF(ISNUMBER(SEARCH("Velora",C129)),mult_velora,IF(ISNUMBER(SEARCH("Fuji",C129)),mult_euro,mult_sms))))</f>
        <v/>
      </c>
      <c r="L129" s="659">
        <f>ROUND(D129*K129,0)</f>
        <v/>
      </c>
      <c r="M129" s="659">
        <f>IF(E129="",ROUND(L129+'อัปเดตราคาอลู'!$B$13*S129,0),ROUND(E129*K129,0))</f>
        <v/>
      </c>
      <c r="N129" s="659">
        <f>M129</f>
        <v/>
      </c>
      <c r="O129" s="659">
        <f>IF(G129="",ROUND(L129+rate_special*S129,0),ROUND(G129*mult_euro,0))</f>
        <v/>
      </c>
      <c r="P129" s="659">
        <f>IF(H129="",ROUND(L129+rate_woodbake*S129,0),ROUND(H129*mult_wood,0))</f>
        <v/>
      </c>
      <c r="Q129" s="659">
        <f>IF(I129="",ROUND(L129+rate_woodbake*S129,0),ROUND(I129*mult_wood,0))</f>
        <v/>
      </c>
      <c r="R129" s="659">
        <f>IF(J129="",ROUND(L129+rate_woodbake*S129,0),ROUND(J129*mult_wood,0))</f>
        <v/>
      </c>
      <c r="S129" s="705">
        <f>ROUND(D129/(IF(ISNUMBER(SEARCH("เมืองทอง",C129)),'อัปเดตราคาอลู'!$F$8,IF(ISNUMBER(SEARCH("SlimLux",C129)),'อัปเดตราคาอลู'!$F$6,IF(ISNUMBER(SEARCH("Velora",C129)),'อัปเดตราคาอลู'!$F$7,IF(ISNUMBER(SEARCH("Fuji",C129)),'อัปเดตราคาอลู'!$F$5,'อัปเดตราคาอลู'!$F$4))))),3)</f>
        <v/>
      </c>
      <c r="T129" s="705">
        <f>ROUND(P129/(IF(OR(ISNUMBER(SEARCH("เมืองทอง",C129)),ISNUMBER(SEARCH("SlimLux",C129)),ISNUMBER(SEARCH("Velora",C129))),6,6.4)),3)</f>
        <v/>
      </c>
      <c r="U129" s="767">
        <f>ROUND(L129-D129,0)</f>
        <v/>
      </c>
      <c r="V129" s="659">
        <f>IF(D129="","",ROUND(D129+rate_anodize*S129,0))</f>
        <v/>
      </c>
    </row>
    <row r="130">
      <c r="A130" s="434" t="inlineStr">
        <is>
          <t>820</t>
        </is>
      </c>
      <c r="B130" s="434" t="inlineStr">
        <is>
          <t>1×3 นิ้ว</t>
        </is>
      </c>
      <c r="C130" s="434" t="inlineStr">
        <is>
          <t>อลูมิเนียม เมืองทอง</t>
        </is>
      </c>
      <c r="D130" s="399" t="n">
        <v>726</v>
      </c>
      <c r="E130" s="399" t="n">
        <v>1112</v>
      </c>
      <c r="F130" s="399">
        <f>E130</f>
        <v/>
      </c>
      <c r="G130" s="399" t="n"/>
      <c r="H130" s="399" t="n">
        <v>1160</v>
      </c>
      <c r="I130" s="399" t="n"/>
      <c r="J130" s="399" t="n"/>
      <c r="K130" s="676">
        <f>IF(ISNUMBER(SEARCH("เมืองทอง",C130)),mult_mtong,IF(ISNUMBER(SEARCH("SlimLux",C130)),mult_slim,IF(ISNUMBER(SEARCH("Velora",C130)),mult_velora,IF(ISNUMBER(SEARCH("Fuji",C130)),mult_euro,mult_sms))))</f>
        <v/>
      </c>
      <c r="L130" s="659">
        <f>ROUND(D130*K130,0)</f>
        <v/>
      </c>
      <c r="M130" s="659">
        <f>IF(E130="",ROUND(L130+'อัปเดตราคาอลู'!$B$13*S130,0),ROUND(E130*K130,0))</f>
        <v/>
      </c>
      <c r="N130" s="659">
        <f>M130</f>
        <v/>
      </c>
      <c r="O130" s="659">
        <f>IF(G130="",ROUND(L130+rate_special*S130,0),ROUND(G130*mult_euro,0))</f>
        <v/>
      </c>
      <c r="P130" s="659">
        <f>IF(H130="",ROUND(L130+rate_woodbake*S130,0),ROUND(H130*mult_wood,0))</f>
        <v/>
      </c>
      <c r="Q130" s="659">
        <f>IF(I130="",ROUND(L130+rate_woodbake*S130,0),ROUND(I130*mult_wood,0))</f>
        <v/>
      </c>
      <c r="R130" s="659">
        <f>IF(J130="",ROUND(L130+rate_woodbake*S130,0),ROUND(J130*mult_wood,0))</f>
        <v/>
      </c>
      <c r="S130" s="705">
        <f>ROUND(D130/(IF(ISNUMBER(SEARCH("เมืองทอง",C130)),'อัปเดตราคาอลู'!$F$8,IF(ISNUMBER(SEARCH("SlimLux",C130)),'อัปเดตราคาอลู'!$F$6,IF(ISNUMBER(SEARCH("Velora",C130)),'อัปเดตราคาอลู'!$F$7,IF(ISNUMBER(SEARCH("Fuji",C130)),'อัปเดตราคาอลู'!$F$5,'อัปเดตราคาอลู'!$F$4))))),3)</f>
        <v/>
      </c>
      <c r="T130" s="705">
        <f>ROUND(P130/(IF(OR(ISNUMBER(SEARCH("เมืองทอง",C130)),ISNUMBER(SEARCH("SlimLux",C130)),ISNUMBER(SEARCH("Velora",C130))),6,6.4)),3)</f>
        <v/>
      </c>
      <c r="U130" s="767">
        <f>ROUND(L130-D130,0)</f>
        <v/>
      </c>
      <c r="V130" s="659">
        <f>IF(D130="","",ROUND(D130+rate_anodize*S130,0))</f>
        <v/>
      </c>
    </row>
    <row r="131">
      <c r="A131" s="434" t="inlineStr">
        <is>
          <t>843</t>
        </is>
      </c>
      <c r="B131" s="434" t="inlineStr">
        <is>
          <t>1×3 นิ้ว</t>
        </is>
      </c>
      <c r="C131" s="434" t="inlineStr">
        <is>
          <t>อลูมิเนียม เมืองทอง</t>
        </is>
      </c>
      <c r="D131" s="399" t="n">
        <v>846</v>
      </c>
      <c r="E131" s="399" t="n">
        <v>1296</v>
      </c>
      <c r="F131" s="399">
        <f>E131</f>
        <v/>
      </c>
      <c r="G131" s="399" t="n"/>
      <c r="H131" s="399" t="n">
        <v>1352</v>
      </c>
      <c r="I131" s="399" t="n"/>
      <c r="J131" s="399" t="n"/>
      <c r="K131" s="676">
        <f>IF(ISNUMBER(SEARCH("เมืองทอง",C131)),mult_mtong,IF(ISNUMBER(SEARCH("SlimLux",C131)),mult_slim,IF(ISNUMBER(SEARCH("Velora",C131)),mult_velora,IF(ISNUMBER(SEARCH("Fuji",C131)),mult_euro,mult_sms))))</f>
        <v/>
      </c>
      <c r="L131" s="659">
        <f>ROUND(D131*K131,0)</f>
        <v/>
      </c>
      <c r="M131" s="659">
        <f>IF(E131="",ROUND(L131+'อัปเดตราคาอลู'!$B$13*S131,0),ROUND(E131*K131,0))</f>
        <v/>
      </c>
      <c r="N131" s="659">
        <f>M131</f>
        <v/>
      </c>
      <c r="O131" s="659">
        <f>IF(G131="",ROUND(L131+rate_special*S131,0),ROUND(G131*mult_euro,0))</f>
        <v/>
      </c>
      <c r="P131" s="659">
        <f>IF(H131="",ROUND(L131+rate_woodbake*S131,0),ROUND(H131*mult_wood,0))</f>
        <v/>
      </c>
      <c r="Q131" s="659">
        <f>IF(I131="",ROUND(L131+rate_woodbake*S131,0),ROUND(I131*mult_wood,0))</f>
        <v/>
      </c>
      <c r="R131" s="659">
        <f>IF(J131="",ROUND(L131+rate_woodbake*S131,0),ROUND(J131*mult_wood,0))</f>
        <v/>
      </c>
      <c r="S131" s="705">
        <f>ROUND(D131/(IF(ISNUMBER(SEARCH("เมืองทอง",C131)),'อัปเดตราคาอลู'!$F$8,IF(ISNUMBER(SEARCH("SlimLux",C131)),'อัปเดตราคาอลู'!$F$6,IF(ISNUMBER(SEARCH("Velora",C131)),'อัปเดตราคาอลู'!$F$7,IF(ISNUMBER(SEARCH("Fuji",C131)),'อัปเดตราคาอลู'!$F$5,'อัปเดตราคาอลู'!$F$4))))),3)</f>
        <v/>
      </c>
      <c r="T131" s="705">
        <f>ROUND(P131/(IF(OR(ISNUMBER(SEARCH("เมืองทอง",C131)),ISNUMBER(SEARCH("SlimLux",C131)),ISNUMBER(SEARCH("Velora",C131))),6,6.4)),3)</f>
        <v/>
      </c>
      <c r="U131" s="767">
        <f>ROUND(L131-D131,0)</f>
        <v/>
      </c>
      <c r="V131" s="659">
        <f>IF(D131="","",ROUND(D131+rate_anodize*S131,0))</f>
        <v/>
      </c>
    </row>
    <row r="132">
      <c r="A132" s="434" t="inlineStr">
        <is>
          <t>0828</t>
        </is>
      </c>
      <c r="B132" s="434" t="inlineStr">
        <is>
          <t>1¾×3 นิ้ว</t>
        </is>
      </c>
      <c r="C132" s="434" t="inlineStr">
        <is>
          <t>อลูมิเนียม เมืองทอง</t>
        </is>
      </c>
      <c r="D132" s="399" t="n">
        <v>797</v>
      </c>
      <c r="E132" s="399" t="n">
        <v>1221</v>
      </c>
      <c r="F132" s="399">
        <f>E132</f>
        <v/>
      </c>
      <c r="G132" s="399" t="n"/>
      <c r="H132" s="399" t="n">
        <v>1274</v>
      </c>
      <c r="I132" s="399" t="n"/>
      <c r="J132" s="399" t="n"/>
      <c r="K132" s="676">
        <f>IF(ISNUMBER(SEARCH("เมืองทอง",C132)),mult_mtong,IF(ISNUMBER(SEARCH("SlimLux",C132)),mult_slim,IF(ISNUMBER(SEARCH("Velora",C132)),mult_velora,IF(ISNUMBER(SEARCH("Fuji",C132)),mult_euro,mult_sms))))</f>
        <v/>
      </c>
      <c r="L132" s="659">
        <f>ROUND(D132*K132,0)</f>
        <v/>
      </c>
      <c r="M132" s="659">
        <f>IF(E132="",ROUND(L132+'อัปเดตราคาอลู'!$B$13*S132,0),ROUND(E132*K132,0))</f>
        <v/>
      </c>
      <c r="N132" s="659">
        <f>M132</f>
        <v/>
      </c>
      <c r="O132" s="659">
        <f>IF(G132="",ROUND(L132+rate_special*S132,0),ROUND(G132*mult_euro,0))</f>
        <v/>
      </c>
      <c r="P132" s="659">
        <f>IF(H132="",ROUND(L132+rate_woodbake*S132,0),ROUND(H132*mult_wood,0))</f>
        <v/>
      </c>
      <c r="Q132" s="659">
        <f>IF(I132="",ROUND(L132+rate_woodbake*S132,0),ROUND(I132*mult_wood,0))</f>
        <v/>
      </c>
      <c r="R132" s="659">
        <f>IF(J132="",ROUND(L132+rate_woodbake*S132,0),ROUND(J132*mult_wood,0))</f>
        <v/>
      </c>
      <c r="S132" s="705">
        <f>ROUND(D132/(IF(ISNUMBER(SEARCH("เมืองทอง",C132)),'อัปเดตราคาอลู'!$F$8,IF(ISNUMBER(SEARCH("SlimLux",C132)),'อัปเดตราคาอลู'!$F$6,IF(ISNUMBER(SEARCH("Velora",C132)),'อัปเดตราคาอลู'!$F$7,IF(ISNUMBER(SEARCH("Fuji",C132)),'อัปเดตราคาอลู'!$F$5,'อัปเดตราคาอลู'!$F$4))))),3)</f>
        <v/>
      </c>
      <c r="T132" s="705">
        <f>ROUND(P132/(IF(OR(ISNUMBER(SEARCH("เมืองทอง",C132)),ISNUMBER(SEARCH("SlimLux",C132)),ISNUMBER(SEARCH("Velora",C132))),6,6.4)),3)</f>
        <v/>
      </c>
      <c r="U132" s="767">
        <f>ROUND(L132-D132,0)</f>
        <v/>
      </c>
      <c r="V132" s="659">
        <f>IF(D132="","",ROUND(D132+rate_anodize*S132,0))</f>
        <v/>
      </c>
    </row>
    <row r="133">
      <c r="A133" s="434" t="inlineStr">
        <is>
          <t>823</t>
        </is>
      </c>
      <c r="B133" s="434" t="inlineStr">
        <is>
          <t>1¾×3 นิ้ว</t>
        </is>
      </c>
      <c r="C133" s="434" t="inlineStr">
        <is>
          <t>อลูมิเนียม เมืองทอง</t>
        </is>
      </c>
      <c r="D133" s="399" t="n">
        <v>867</v>
      </c>
      <c r="E133" s="399" t="n">
        <v>1328</v>
      </c>
      <c r="F133" s="399">
        <f>E133</f>
        <v/>
      </c>
      <c r="G133" s="399" t="n"/>
      <c r="H133" s="399" t="n">
        <v>1385</v>
      </c>
      <c r="I133" s="399" t="n"/>
      <c r="J133" s="399" t="n"/>
      <c r="K133" s="676">
        <f>IF(ISNUMBER(SEARCH("เมืองทอง",C133)),mult_mtong,IF(ISNUMBER(SEARCH("SlimLux",C133)),mult_slim,IF(ISNUMBER(SEARCH("Velora",C133)),mult_velora,IF(ISNUMBER(SEARCH("Fuji",C133)),mult_euro,mult_sms))))</f>
        <v/>
      </c>
      <c r="L133" s="659">
        <f>ROUND(D133*K133,0)</f>
        <v/>
      </c>
      <c r="M133" s="659">
        <f>IF(E133="",ROUND(L133+'อัปเดตราคาอลู'!$B$13*S133,0),ROUND(E133*K133,0))</f>
        <v/>
      </c>
      <c r="N133" s="659">
        <f>M133</f>
        <v/>
      </c>
      <c r="O133" s="659">
        <f>IF(G133="",ROUND(L133+rate_special*S133,0),ROUND(G133*mult_euro,0))</f>
        <v/>
      </c>
      <c r="P133" s="659">
        <f>IF(H133="",ROUND(L133+rate_woodbake*S133,0),ROUND(H133*mult_wood,0))</f>
        <v/>
      </c>
      <c r="Q133" s="659">
        <f>IF(I133="",ROUND(L133+rate_woodbake*S133,0),ROUND(I133*mult_wood,0))</f>
        <v/>
      </c>
      <c r="R133" s="659">
        <f>IF(J133="",ROUND(L133+rate_woodbake*S133,0),ROUND(J133*mult_wood,0))</f>
        <v/>
      </c>
      <c r="S133" s="705">
        <f>ROUND(D133/(IF(ISNUMBER(SEARCH("เมืองทอง",C133)),'อัปเดตราคาอลู'!$F$8,IF(ISNUMBER(SEARCH("SlimLux",C133)),'อัปเดตราคาอลู'!$F$6,IF(ISNUMBER(SEARCH("Velora",C133)),'อัปเดตราคาอลู'!$F$7,IF(ISNUMBER(SEARCH("Fuji",C133)),'อัปเดตราคาอลู'!$F$5,'อัปเดตราคาอลู'!$F$4))))),3)</f>
        <v/>
      </c>
      <c r="T133" s="705">
        <f>ROUND(P133/(IF(OR(ISNUMBER(SEARCH("เมืองทอง",C133)),ISNUMBER(SEARCH("SlimLux",C133)),ISNUMBER(SEARCH("Velora",C133))),6,6.4)),3)</f>
        <v/>
      </c>
      <c r="U133" s="767">
        <f>ROUND(L133-D133,0)</f>
        <v/>
      </c>
      <c r="V133" s="659">
        <f>IF(D133="","",ROUND(D133+rate_anodize*S133,0))</f>
        <v/>
      </c>
    </row>
    <row r="134">
      <c r="A134" s="434" t="inlineStr">
        <is>
          <t>848</t>
        </is>
      </c>
      <c r="B134" s="434" t="inlineStr">
        <is>
          <t>1¾×3 นิ้ว</t>
        </is>
      </c>
      <c r="C134" s="434" t="inlineStr">
        <is>
          <t>อลูมิเนียม เมืองทอง</t>
        </is>
      </c>
      <c r="D134" s="399" t="n">
        <v>1008</v>
      </c>
      <c r="E134" s="399" t="n">
        <v>1544</v>
      </c>
      <c r="F134" s="399">
        <f>E134</f>
        <v/>
      </c>
      <c r="G134" s="399" t="n"/>
      <c r="H134" s="399" t="n">
        <v>1611</v>
      </c>
      <c r="I134" s="399" t="n"/>
      <c r="J134" s="399" t="n"/>
      <c r="K134" s="676">
        <f>IF(ISNUMBER(SEARCH("เมืองทอง",C134)),mult_mtong,IF(ISNUMBER(SEARCH("SlimLux",C134)),mult_slim,IF(ISNUMBER(SEARCH("Velora",C134)),mult_velora,IF(ISNUMBER(SEARCH("Fuji",C134)),mult_euro,mult_sms))))</f>
        <v/>
      </c>
      <c r="L134" s="659">
        <f>ROUND(D134*K134,0)</f>
        <v/>
      </c>
      <c r="M134" s="659">
        <f>IF(E134="",ROUND(L134+'อัปเดตราคาอลู'!$B$13*S134,0),ROUND(E134*K134,0))</f>
        <v/>
      </c>
      <c r="N134" s="659">
        <f>M134</f>
        <v/>
      </c>
      <c r="O134" s="659">
        <f>IF(G134="",ROUND(L134+rate_special*S134,0),ROUND(G134*mult_euro,0))</f>
        <v/>
      </c>
      <c r="P134" s="659">
        <f>IF(H134="",ROUND(L134+rate_woodbake*S134,0),ROUND(H134*mult_wood,0))</f>
        <v/>
      </c>
      <c r="Q134" s="659">
        <f>IF(I134="",ROUND(L134+rate_woodbake*S134,0),ROUND(I134*mult_wood,0))</f>
        <v/>
      </c>
      <c r="R134" s="659">
        <f>IF(J134="",ROUND(L134+rate_woodbake*S134,0),ROUND(J134*mult_wood,0))</f>
        <v/>
      </c>
      <c r="S134" s="705">
        <f>ROUND(D134/(IF(ISNUMBER(SEARCH("เมืองทอง",C134)),'อัปเดตราคาอลู'!$F$8,IF(ISNUMBER(SEARCH("SlimLux",C134)),'อัปเดตราคาอลู'!$F$6,IF(ISNUMBER(SEARCH("Velora",C134)),'อัปเดตราคาอลู'!$F$7,IF(ISNUMBER(SEARCH("Fuji",C134)),'อัปเดตราคาอลู'!$F$5,'อัปเดตราคาอลู'!$F$4))))),3)</f>
        <v/>
      </c>
      <c r="T134" s="705">
        <f>ROUND(P134/(IF(OR(ISNUMBER(SEARCH("เมืองทอง",C134)),ISNUMBER(SEARCH("SlimLux",C134)),ISNUMBER(SEARCH("Velora",C134))),6,6.4)),3)</f>
        <v/>
      </c>
      <c r="U134" s="767">
        <f>ROUND(L134-D134,0)</f>
        <v/>
      </c>
      <c r="V134" s="659">
        <f>IF(D134="","",ROUND(D134+rate_anodize*S134,0))</f>
        <v/>
      </c>
    </row>
    <row r="135">
      <c r="A135" s="434" t="inlineStr">
        <is>
          <t>0806</t>
        </is>
      </c>
      <c r="B135" s="434" t="inlineStr">
        <is>
          <t>1×4 นิ้ว</t>
        </is>
      </c>
      <c r="C135" s="434" t="inlineStr">
        <is>
          <t>อลูมิเนียม เมืองทอง</t>
        </is>
      </c>
      <c r="D135" s="399" t="n">
        <v>914</v>
      </c>
      <c r="E135" s="399" t="n">
        <v>1400</v>
      </c>
      <c r="F135" s="399">
        <f>E135</f>
        <v/>
      </c>
      <c r="G135" s="399" t="n"/>
      <c r="H135" s="399" t="n">
        <v>1460</v>
      </c>
      <c r="I135" s="399" t="n"/>
      <c r="J135" s="399" t="n"/>
      <c r="K135" s="676">
        <f>IF(ISNUMBER(SEARCH("เมืองทอง",C135)),mult_mtong,IF(ISNUMBER(SEARCH("SlimLux",C135)),mult_slim,IF(ISNUMBER(SEARCH("Velora",C135)),mult_velora,IF(ISNUMBER(SEARCH("Fuji",C135)),mult_euro,mult_sms))))</f>
        <v/>
      </c>
      <c r="L135" s="659">
        <f>ROUND(D135*K135,0)</f>
        <v/>
      </c>
      <c r="M135" s="659">
        <f>IF(E135="",ROUND(L135+'อัปเดตราคาอลู'!$B$13*S135,0),ROUND(E135*K135,0))</f>
        <v/>
      </c>
      <c r="N135" s="659">
        <f>M135</f>
        <v/>
      </c>
      <c r="O135" s="659">
        <f>IF(G135="",ROUND(L135+rate_special*S135,0),ROUND(G135*mult_euro,0))</f>
        <v/>
      </c>
      <c r="P135" s="659">
        <f>IF(H135="",ROUND(L135+rate_woodbake*S135,0),ROUND(H135*mult_wood,0))</f>
        <v/>
      </c>
      <c r="Q135" s="659">
        <f>IF(I135="",ROUND(L135+rate_woodbake*S135,0),ROUND(I135*mult_wood,0))</f>
        <v/>
      </c>
      <c r="R135" s="659">
        <f>IF(J135="",ROUND(L135+rate_woodbake*S135,0),ROUND(J135*mult_wood,0))</f>
        <v/>
      </c>
      <c r="S135" s="705">
        <f>ROUND(D135/(IF(ISNUMBER(SEARCH("เมืองทอง",C135)),'อัปเดตราคาอลู'!$F$8,IF(ISNUMBER(SEARCH("SlimLux",C135)),'อัปเดตราคาอลู'!$F$6,IF(ISNUMBER(SEARCH("Velora",C135)),'อัปเดตราคาอลู'!$F$7,IF(ISNUMBER(SEARCH("Fuji",C135)),'อัปเดตราคาอลู'!$F$5,'อัปเดตราคาอลู'!$F$4))))),3)</f>
        <v/>
      </c>
      <c r="T135" s="705">
        <f>ROUND(P135/(IF(OR(ISNUMBER(SEARCH("เมืองทอง",C135)),ISNUMBER(SEARCH("SlimLux",C135)),ISNUMBER(SEARCH("Velora",C135))),6,6.4)),3)</f>
        <v/>
      </c>
      <c r="U135" s="767">
        <f>ROUND(L135-D135,0)</f>
        <v/>
      </c>
      <c r="V135" s="659">
        <f>IF(D135="","",ROUND(D135+rate_anodize*S135,0))</f>
        <v/>
      </c>
    </row>
    <row r="136">
      <c r="A136" s="434" t="inlineStr">
        <is>
          <t>831</t>
        </is>
      </c>
      <c r="B136" s="434" t="inlineStr">
        <is>
          <t>1×4 นิ้ว</t>
        </is>
      </c>
      <c r="C136" s="434" t="inlineStr">
        <is>
          <t>อลูมิเนียม เมืองทอง</t>
        </is>
      </c>
      <c r="D136" s="399" t="n">
        <v>1137</v>
      </c>
      <c r="E136" s="399" t="n">
        <v>1742</v>
      </c>
      <c r="F136" s="399">
        <f>E136</f>
        <v/>
      </c>
      <c r="G136" s="399" t="n"/>
      <c r="H136" s="399" t="n">
        <v>1818</v>
      </c>
      <c r="I136" s="399" t="n"/>
      <c r="J136" s="399" t="n"/>
      <c r="K136" s="676">
        <f>IF(ISNUMBER(SEARCH("เมืองทอง",C136)),mult_mtong,IF(ISNUMBER(SEARCH("SlimLux",C136)),mult_slim,IF(ISNUMBER(SEARCH("Velora",C136)),mult_velora,IF(ISNUMBER(SEARCH("Fuji",C136)),mult_euro,mult_sms))))</f>
        <v/>
      </c>
      <c r="L136" s="659">
        <f>ROUND(D136*K136,0)</f>
        <v/>
      </c>
      <c r="M136" s="659">
        <f>IF(E136="",ROUND(L136+'อัปเดตราคาอลู'!$B$13*S136,0),ROUND(E136*K136,0))</f>
        <v/>
      </c>
      <c r="N136" s="659">
        <f>M136</f>
        <v/>
      </c>
      <c r="O136" s="659">
        <f>IF(G136="",ROUND(L136+rate_special*S136,0),ROUND(G136*mult_euro,0))</f>
        <v/>
      </c>
      <c r="P136" s="659">
        <f>IF(H136="",ROUND(L136+rate_woodbake*S136,0),ROUND(H136*mult_wood,0))</f>
        <v/>
      </c>
      <c r="Q136" s="659">
        <f>IF(I136="",ROUND(L136+rate_woodbake*S136,0),ROUND(I136*mult_wood,0))</f>
        <v/>
      </c>
      <c r="R136" s="659">
        <f>IF(J136="",ROUND(L136+rate_woodbake*S136,0),ROUND(J136*mult_wood,0))</f>
        <v/>
      </c>
      <c r="S136" s="705">
        <f>ROUND(D136/(IF(ISNUMBER(SEARCH("เมืองทอง",C136)),'อัปเดตราคาอลู'!$F$8,IF(ISNUMBER(SEARCH("SlimLux",C136)),'อัปเดตราคาอลู'!$F$6,IF(ISNUMBER(SEARCH("Velora",C136)),'อัปเดตราคาอลู'!$F$7,IF(ISNUMBER(SEARCH("Fuji",C136)),'อัปเดตราคาอลู'!$F$5,'อัปเดตราคาอลู'!$F$4))))),3)</f>
        <v/>
      </c>
      <c r="T136" s="705">
        <f>ROUND(P136/(IF(OR(ISNUMBER(SEARCH("เมืองทอง",C136)),ISNUMBER(SEARCH("SlimLux",C136)),ISNUMBER(SEARCH("Velora",C136))),6,6.4)),3)</f>
        <v/>
      </c>
      <c r="U136" s="767">
        <f>ROUND(L136-D136,0)</f>
        <v/>
      </c>
      <c r="V136" s="659">
        <f>IF(D136="","",ROUND(D136+rate_anodize*S136,0))</f>
        <v/>
      </c>
    </row>
    <row r="137">
      <c r="A137" s="434" t="inlineStr">
        <is>
          <t>0829</t>
        </is>
      </c>
      <c r="B137" s="434" t="inlineStr">
        <is>
          <t>1¾×4 นิ้ว</t>
        </is>
      </c>
      <c r="C137" s="434" t="inlineStr">
        <is>
          <t>อลูมิเนียม เมืองทอง</t>
        </is>
      </c>
      <c r="D137" s="399" t="n">
        <v>968</v>
      </c>
      <c r="E137" s="399" t="n">
        <v>1483</v>
      </c>
      <c r="F137" s="399">
        <f>E137</f>
        <v/>
      </c>
      <c r="G137" s="399" t="n"/>
      <c r="H137" s="399" t="n">
        <v>1548</v>
      </c>
      <c r="I137" s="399" t="n"/>
      <c r="J137" s="399" t="n"/>
      <c r="K137" s="676">
        <f>IF(ISNUMBER(SEARCH("เมืองทอง",C137)),mult_mtong,IF(ISNUMBER(SEARCH("SlimLux",C137)),mult_slim,IF(ISNUMBER(SEARCH("Velora",C137)),mult_velora,IF(ISNUMBER(SEARCH("Fuji",C137)),mult_euro,mult_sms))))</f>
        <v/>
      </c>
      <c r="L137" s="659">
        <f>ROUND(D137*K137,0)</f>
        <v/>
      </c>
      <c r="M137" s="659">
        <f>IF(E137="",ROUND(L137+'อัปเดตราคาอลู'!$B$13*S137,0),ROUND(E137*K137,0))</f>
        <v/>
      </c>
      <c r="N137" s="659">
        <f>M137</f>
        <v/>
      </c>
      <c r="O137" s="659">
        <f>IF(G137="",ROUND(L137+rate_special*S137,0),ROUND(G137*mult_euro,0))</f>
        <v/>
      </c>
      <c r="P137" s="659">
        <f>IF(H137="",ROUND(L137+rate_woodbake*S137,0),ROUND(H137*mult_wood,0))</f>
        <v/>
      </c>
      <c r="Q137" s="659">
        <f>IF(I137="",ROUND(L137+rate_woodbake*S137,0),ROUND(I137*mult_wood,0))</f>
        <v/>
      </c>
      <c r="R137" s="659">
        <f>IF(J137="",ROUND(L137+rate_woodbake*S137,0),ROUND(J137*mult_wood,0))</f>
        <v/>
      </c>
      <c r="S137" s="705">
        <f>ROUND(D137/(IF(ISNUMBER(SEARCH("เมืองทอง",C137)),'อัปเดตราคาอลู'!$F$8,IF(ISNUMBER(SEARCH("SlimLux",C137)),'อัปเดตราคาอลู'!$F$6,IF(ISNUMBER(SEARCH("Velora",C137)),'อัปเดตราคาอลู'!$F$7,IF(ISNUMBER(SEARCH("Fuji",C137)),'อัปเดตราคาอลู'!$F$5,'อัปเดตราคาอลู'!$F$4))))),3)</f>
        <v/>
      </c>
      <c r="T137" s="705">
        <f>ROUND(P137/(IF(OR(ISNUMBER(SEARCH("เมืองทอง",C137)),ISNUMBER(SEARCH("SlimLux",C137)),ISNUMBER(SEARCH("Velora",C137))),6,6.4)),3)</f>
        <v/>
      </c>
      <c r="U137" s="767">
        <f>ROUND(L137-D137,0)</f>
        <v/>
      </c>
      <c r="V137" s="659">
        <f>IF(D137="","",ROUND(D137+rate_anodize*S137,0))</f>
        <v/>
      </c>
    </row>
    <row r="138">
      <c r="A138" s="434" t="inlineStr">
        <is>
          <t>874</t>
        </is>
      </c>
      <c r="B138" s="434" t="inlineStr">
        <is>
          <t>1¾×4 นิ้ว</t>
        </is>
      </c>
      <c r="C138" s="434" t="inlineStr">
        <is>
          <t>อลูมิเนียม เมืองทอง</t>
        </is>
      </c>
      <c r="D138" s="399" t="n">
        <v>1057</v>
      </c>
      <c r="E138" s="399" t="n">
        <v>1619</v>
      </c>
      <c r="F138" s="399">
        <f>E138</f>
        <v/>
      </c>
      <c r="G138" s="399" t="n"/>
      <c r="H138" s="399" t="n">
        <v>1689</v>
      </c>
      <c r="I138" s="399" t="n"/>
      <c r="J138" s="399" t="n"/>
      <c r="K138" s="676">
        <f>IF(ISNUMBER(SEARCH("เมืองทอง",C138)),mult_mtong,IF(ISNUMBER(SEARCH("SlimLux",C138)),mult_slim,IF(ISNUMBER(SEARCH("Velora",C138)),mult_velora,IF(ISNUMBER(SEARCH("Fuji",C138)),mult_euro,mult_sms))))</f>
        <v/>
      </c>
      <c r="L138" s="659">
        <f>ROUND(D138*K138,0)</f>
        <v/>
      </c>
      <c r="M138" s="659">
        <f>IF(E138="",ROUND(L138+'อัปเดตราคาอลู'!$B$13*S138,0),ROUND(E138*K138,0))</f>
        <v/>
      </c>
      <c r="N138" s="659">
        <f>M138</f>
        <v/>
      </c>
      <c r="O138" s="659">
        <f>IF(G138="",ROUND(L138+rate_special*S138,0),ROUND(G138*mult_euro,0))</f>
        <v/>
      </c>
      <c r="P138" s="659">
        <f>IF(H138="",ROUND(L138+rate_woodbake*S138,0),ROUND(H138*mult_wood,0))</f>
        <v/>
      </c>
      <c r="Q138" s="659">
        <f>IF(I138="",ROUND(L138+rate_woodbake*S138,0),ROUND(I138*mult_wood,0))</f>
        <v/>
      </c>
      <c r="R138" s="659">
        <f>IF(J138="",ROUND(L138+rate_woodbake*S138,0),ROUND(J138*mult_wood,0))</f>
        <v/>
      </c>
      <c r="S138" s="705">
        <f>ROUND(D138/(IF(ISNUMBER(SEARCH("เมืองทอง",C138)),'อัปเดตราคาอลู'!$F$8,IF(ISNUMBER(SEARCH("SlimLux",C138)),'อัปเดตราคาอลู'!$F$6,IF(ISNUMBER(SEARCH("Velora",C138)),'อัปเดตราคาอลู'!$F$7,IF(ISNUMBER(SEARCH("Fuji",C138)),'อัปเดตราคาอลู'!$F$5,'อัปเดตราคาอลู'!$F$4))))),3)</f>
        <v/>
      </c>
      <c r="T138" s="705">
        <f>ROUND(P138/(IF(OR(ISNUMBER(SEARCH("เมืองทอง",C138)),ISNUMBER(SEARCH("SlimLux",C138)),ISNUMBER(SEARCH("Velora",C138))),6,6.4)),3)</f>
        <v/>
      </c>
      <c r="U138" s="767">
        <f>ROUND(L138-D138,0)</f>
        <v/>
      </c>
      <c r="V138" s="659">
        <f>IF(D138="","",ROUND(D138+rate_anodize*S138,0))</f>
        <v/>
      </c>
    </row>
    <row r="139">
      <c r="A139" s="434" t="inlineStr">
        <is>
          <t>837A</t>
        </is>
      </c>
      <c r="B139" s="434" t="inlineStr">
        <is>
          <t>1¾×4 นิ้ว</t>
        </is>
      </c>
      <c r="C139" s="434" t="inlineStr">
        <is>
          <t>อลูมิเนียม เมืองทอง</t>
        </is>
      </c>
      <c r="D139" s="399" t="n">
        <v>1141</v>
      </c>
      <c r="E139" s="399" t="n">
        <v>1748</v>
      </c>
      <c r="F139" s="399">
        <f>E139</f>
        <v/>
      </c>
      <c r="G139" s="399" t="n"/>
      <c r="H139" s="399" t="n">
        <v>1824</v>
      </c>
      <c r="I139" s="399" t="n"/>
      <c r="J139" s="399" t="n"/>
      <c r="K139" s="676">
        <f>IF(ISNUMBER(SEARCH("เมืองทอง",C139)),mult_mtong,IF(ISNUMBER(SEARCH("SlimLux",C139)),mult_slim,IF(ISNUMBER(SEARCH("Velora",C139)),mult_velora,IF(ISNUMBER(SEARCH("Fuji",C139)),mult_euro,mult_sms))))</f>
        <v/>
      </c>
      <c r="L139" s="659">
        <f>ROUND(D139*K139,0)</f>
        <v/>
      </c>
      <c r="M139" s="659">
        <f>IF(E139="",ROUND(L139+'อัปเดตราคาอลู'!$B$13*S139,0),ROUND(E139*K139,0))</f>
        <v/>
      </c>
      <c r="N139" s="659">
        <f>M139</f>
        <v/>
      </c>
      <c r="O139" s="659">
        <f>IF(G139="",ROUND(L139+rate_special*S139,0),ROUND(G139*mult_euro,0))</f>
        <v/>
      </c>
      <c r="P139" s="659">
        <f>IF(H139="",ROUND(L139+rate_woodbake*S139,0),ROUND(H139*mult_wood,0))</f>
        <v/>
      </c>
      <c r="Q139" s="659">
        <f>IF(I139="",ROUND(L139+rate_woodbake*S139,0),ROUND(I139*mult_wood,0))</f>
        <v/>
      </c>
      <c r="R139" s="659">
        <f>IF(J139="",ROUND(L139+rate_woodbake*S139,0),ROUND(J139*mult_wood,0))</f>
        <v/>
      </c>
      <c r="S139" s="705">
        <f>ROUND(D139/(IF(ISNUMBER(SEARCH("เมืองทอง",C139)),'อัปเดตราคาอลู'!$F$8,IF(ISNUMBER(SEARCH("SlimLux",C139)),'อัปเดตราคาอลู'!$F$6,IF(ISNUMBER(SEARCH("Velora",C139)),'อัปเดตราคาอลู'!$F$7,IF(ISNUMBER(SEARCH("Fuji",C139)),'อัปเดตราคาอลู'!$F$5,'อัปเดตราคาอลู'!$F$4))))),3)</f>
        <v/>
      </c>
      <c r="T139" s="705">
        <f>ROUND(P139/(IF(OR(ISNUMBER(SEARCH("เมืองทอง",C139)),ISNUMBER(SEARCH("SlimLux",C139)),ISNUMBER(SEARCH("Velora",C139))),6,6.4)),3)</f>
        <v/>
      </c>
      <c r="U139" s="767">
        <f>ROUND(L139-D139,0)</f>
        <v/>
      </c>
      <c r="V139" s="659">
        <f>IF(D139="","",ROUND(D139+rate_anodize*S139,0))</f>
        <v/>
      </c>
    </row>
    <row r="140">
      <c r="A140" s="434" t="inlineStr">
        <is>
          <t>837B</t>
        </is>
      </c>
      <c r="B140" s="434" t="inlineStr">
        <is>
          <t>1¾×4 นิ้ว</t>
        </is>
      </c>
      <c r="C140" s="434" t="inlineStr">
        <is>
          <t>อลูมิเนียม เมืองทอง</t>
        </is>
      </c>
      <c r="D140" s="399" t="n">
        <v>1183</v>
      </c>
      <c r="E140" s="399" t="n">
        <v>1812</v>
      </c>
      <c r="F140" s="399">
        <f>E140</f>
        <v/>
      </c>
      <c r="G140" s="399" t="n"/>
      <c r="H140" s="399" t="n">
        <v>1890</v>
      </c>
      <c r="I140" s="399" t="n"/>
      <c r="J140" s="399" t="n"/>
      <c r="K140" s="676">
        <f>IF(ISNUMBER(SEARCH("เมืองทอง",C140)),mult_mtong,IF(ISNUMBER(SEARCH("SlimLux",C140)),mult_slim,IF(ISNUMBER(SEARCH("Velora",C140)),mult_velora,IF(ISNUMBER(SEARCH("Fuji",C140)),mult_euro,mult_sms))))</f>
        <v/>
      </c>
      <c r="L140" s="659">
        <f>ROUND(D140*K140,0)</f>
        <v/>
      </c>
      <c r="M140" s="659">
        <f>IF(E140="",ROUND(L140+'อัปเดตราคาอลู'!$B$13*S140,0),ROUND(E140*K140,0))</f>
        <v/>
      </c>
      <c r="N140" s="659">
        <f>M140</f>
        <v/>
      </c>
      <c r="O140" s="659">
        <f>IF(G140="",ROUND(L140+rate_special*S140,0),ROUND(G140*mult_euro,0))</f>
        <v/>
      </c>
      <c r="P140" s="659">
        <f>IF(H140="",ROUND(L140+rate_woodbake*S140,0),ROUND(H140*mult_wood,0))</f>
        <v/>
      </c>
      <c r="Q140" s="659">
        <f>IF(I140="",ROUND(L140+rate_woodbake*S140,0),ROUND(I140*mult_wood,0))</f>
        <v/>
      </c>
      <c r="R140" s="659">
        <f>IF(J140="",ROUND(L140+rate_woodbake*S140,0),ROUND(J140*mult_wood,0))</f>
        <v/>
      </c>
      <c r="S140" s="705">
        <f>ROUND(D140/(IF(ISNUMBER(SEARCH("เมืองทอง",C140)),'อัปเดตราคาอลู'!$F$8,IF(ISNUMBER(SEARCH("SlimLux",C140)),'อัปเดตราคาอลู'!$F$6,IF(ISNUMBER(SEARCH("Velora",C140)),'อัปเดตราคาอลู'!$F$7,IF(ISNUMBER(SEARCH("Fuji",C140)),'อัปเดตราคาอลู'!$F$5,'อัปเดตราคาอลู'!$F$4))))),3)</f>
        <v/>
      </c>
      <c r="T140" s="705">
        <f>ROUND(P140/(IF(OR(ISNUMBER(SEARCH("เมืองทอง",C140)),ISNUMBER(SEARCH("SlimLux",C140)),ISNUMBER(SEARCH("Velora",C140))),6,6.4)),3)</f>
        <v/>
      </c>
      <c r="U140" s="767">
        <f>ROUND(L140-D140,0)</f>
        <v/>
      </c>
      <c r="V140" s="659">
        <f>IF(D140="","",ROUND(D140+rate_anodize*S140,0))</f>
        <v/>
      </c>
    </row>
    <row r="141">
      <c r="A141" s="434" t="inlineStr">
        <is>
          <t>837F</t>
        </is>
      </c>
      <c r="B141" s="434" t="inlineStr">
        <is>
          <t>1¾×4 นิ้ว</t>
        </is>
      </c>
      <c r="C141" s="434" t="inlineStr">
        <is>
          <t>อลูมิเนียม เมืองทอง</t>
        </is>
      </c>
      <c r="D141" s="399" t="n">
        <v>1312</v>
      </c>
      <c r="E141" s="399" t="n">
        <v>2010</v>
      </c>
      <c r="F141" s="399">
        <f>E141</f>
        <v/>
      </c>
      <c r="G141" s="399" t="n"/>
      <c r="H141" s="399" t="n">
        <v>2097</v>
      </c>
      <c r="I141" s="399" t="n"/>
      <c r="J141" s="399" t="n"/>
      <c r="K141" s="676">
        <f>IF(ISNUMBER(SEARCH("เมืองทอง",C141)),mult_mtong,IF(ISNUMBER(SEARCH("SlimLux",C141)),mult_slim,IF(ISNUMBER(SEARCH("Velora",C141)),mult_velora,IF(ISNUMBER(SEARCH("Fuji",C141)),mult_euro,mult_sms))))</f>
        <v/>
      </c>
      <c r="L141" s="659">
        <f>ROUND(D141*K141,0)</f>
        <v/>
      </c>
      <c r="M141" s="659">
        <f>IF(E141="",ROUND(L141+'อัปเดตราคาอลู'!$B$13*S141,0),ROUND(E141*K141,0))</f>
        <v/>
      </c>
      <c r="N141" s="659">
        <f>M141</f>
        <v/>
      </c>
      <c r="O141" s="659">
        <f>IF(G141="",ROUND(L141+rate_special*S141,0),ROUND(G141*mult_euro,0))</f>
        <v/>
      </c>
      <c r="P141" s="659">
        <f>IF(H141="",ROUND(L141+rate_woodbake*S141,0),ROUND(H141*mult_wood,0))</f>
        <v/>
      </c>
      <c r="Q141" s="659">
        <f>IF(I141="",ROUND(L141+rate_woodbake*S141,0),ROUND(I141*mult_wood,0))</f>
        <v/>
      </c>
      <c r="R141" s="659">
        <f>IF(J141="",ROUND(L141+rate_woodbake*S141,0),ROUND(J141*mult_wood,0))</f>
        <v/>
      </c>
      <c r="S141" s="705">
        <f>ROUND(D141/(IF(ISNUMBER(SEARCH("เมืองทอง",C141)),'อัปเดตราคาอลู'!$F$8,IF(ISNUMBER(SEARCH("SlimLux",C141)),'อัปเดตราคาอลู'!$F$6,IF(ISNUMBER(SEARCH("Velora",C141)),'อัปเดตราคาอลู'!$F$7,IF(ISNUMBER(SEARCH("Fuji",C141)),'อัปเดตราคาอลู'!$F$5,'อัปเดตราคาอลู'!$F$4))))),3)</f>
        <v/>
      </c>
      <c r="T141" s="705">
        <f>ROUND(P141/(IF(OR(ISNUMBER(SEARCH("เมืองทอง",C141)),ISNUMBER(SEARCH("SlimLux",C141)),ISNUMBER(SEARCH("Velora",C141))),6,6.4)),3)</f>
        <v/>
      </c>
      <c r="U141" s="767">
        <f>ROUND(L141-D141,0)</f>
        <v/>
      </c>
      <c r="V141" s="659">
        <f>IF(D141="","",ROUND(D141+rate_anodize*S141,0))</f>
        <v/>
      </c>
    </row>
    <row r="142">
      <c r="A142" s="434" t="inlineStr">
        <is>
          <t>0821</t>
        </is>
      </c>
      <c r="B142" s="434" t="inlineStr">
        <is>
          <t>2×4 นิ้ว</t>
        </is>
      </c>
      <c r="C142" s="434" t="inlineStr">
        <is>
          <t>อลูมิเนียม เมืองทอง</t>
        </is>
      </c>
      <c r="D142" s="399" t="n">
        <v>1371</v>
      </c>
      <c r="E142" s="399" t="n">
        <v>2100</v>
      </c>
      <c r="F142" s="399">
        <f>E142</f>
        <v/>
      </c>
      <c r="G142" s="399" t="n"/>
      <c r="H142" s="399" t="n">
        <v>2191</v>
      </c>
      <c r="I142" s="399" t="n"/>
      <c r="J142" s="399" t="n"/>
      <c r="K142" s="676">
        <f>IF(ISNUMBER(SEARCH("เมืองทอง",C142)),mult_mtong,IF(ISNUMBER(SEARCH("SlimLux",C142)),mult_slim,IF(ISNUMBER(SEARCH("Velora",C142)),mult_velora,IF(ISNUMBER(SEARCH("Fuji",C142)),mult_euro,mult_sms))))</f>
        <v/>
      </c>
      <c r="L142" s="659">
        <f>ROUND(D142*K142,0)</f>
        <v/>
      </c>
      <c r="M142" s="659">
        <f>IF(E142="",ROUND(L142+'อัปเดตราคาอลู'!$B$13*S142,0),ROUND(E142*K142,0))</f>
        <v/>
      </c>
      <c r="N142" s="659">
        <f>M142</f>
        <v/>
      </c>
      <c r="O142" s="659">
        <f>IF(G142="",ROUND(L142+rate_special*S142,0),ROUND(G142*mult_euro,0))</f>
        <v/>
      </c>
      <c r="P142" s="659">
        <f>IF(H142="",ROUND(L142+rate_woodbake*S142,0),ROUND(H142*mult_wood,0))</f>
        <v/>
      </c>
      <c r="Q142" s="659">
        <f>IF(I142="",ROUND(L142+rate_woodbake*S142,0),ROUND(I142*mult_wood,0))</f>
        <v/>
      </c>
      <c r="R142" s="659">
        <f>IF(J142="",ROUND(L142+rate_woodbake*S142,0),ROUND(J142*mult_wood,0))</f>
        <v/>
      </c>
      <c r="S142" s="705">
        <f>ROUND(D142/(IF(ISNUMBER(SEARCH("เมืองทอง",C142)),'อัปเดตราคาอลู'!$F$8,IF(ISNUMBER(SEARCH("SlimLux",C142)),'อัปเดตราคาอลู'!$F$6,IF(ISNUMBER(SEARCH("Velora",C142)),'อัปเดตราคาอลู'!$F$7,IF(ISNUMBER(SEARCH("Fuji",C142)),'อัปเดตราคาอลู'!$F$5,'อัปเดตราคาอลู'!$F$4))))),3)</f>
        <v/>
      </c>
      <c r="T142" s="705">
        <f>ROUND(P142/(IF(OR(ISNUMBER(SEARCH("เมืองทอง",C142)),ISNUMBER(SEARCH("SlimLux",C142)),ISNUMBER(SEARCH("Velora",C142))),6,6.4)),3)</f>
        <v/>
      </c>
      <c r="U142" s="767">
        <f>ROUND(L142-D142,0)</f>
        <v/>
      </c>
      <c r="V142" s="659">
        <f>IF(D142="","",ROUND(D142+rate_anodize*S142,0))</f>
        <v/>
      </c>
    </row>
    <row r="143">
      <c r="A143" s="434" t="inlineStr">
        <is>
          <t>0815</t>
        </is>
      </c>
      <c r="B143" s="434" t="inlineStr">
        <is>
          <t>2×4 นิ้ว</t>
        </is>
      </c>
      <c r="C143" s="434" t="inlineStr">
        <is>
          <t>อลูมิเนียม เมืองทอง</t>
        </is>
      </c>
      <c r="D143" s="399" t="n">
        <v>2113</v>
      </c>
      <c r="E143" s="399" t="n">
        <v>3237</v>
      </c>
      <c r="F143" s="399">
        <f>E143</f>
        <v/>
      </c>
      <c r="G143" s="399" t="n"/>
      <c r="H143" s="399" t="n">
        <v>3378</v>
      </c>
      <c r="I143" s="399" t="n"/>
      <c r="J143" s="399" t="n"/>
      <c r="K143" s="676">
        <f>IF(ISNUMBER(SEARCH("เมืองทอง",C143)),mult_mtong,IF(ISNUMBER(SEARCH("SlimLux",C143)),mult_slim,IF(ISNUMBER(SEARCH("Velora",C143)),mult_velora,IF(ISNUMBER(SEARCH("Fuji",C143)),mult_euro,mult_sms))))</f>
        <v/>
      </c>
      <c r="L143" s="659">
        <f>ROUND(D143*K143,0)</f>
        <v/>
      </c>
      <c r="M143" s="659">
        <f>IF(E143="",ROUND(L143+'อัปเดตราคาอลู'!$B$13*S143,0),ROUND(E143*K143,0))</f>
        <v/>
      </c>
      <c r="N143" s="659">
        <f>M143</f>
        <v/>
      </c>
      <c r="O143" s="659">
        <f>IF(G143="",ROUND(L143+rate_special*S143,0),ROUND(G143*mult_euro,0))</f>
        <v/>
      </c>
      <c r="P143" s="659">
        <f>IF(H143="",ROUND(L143+rate_woodbake*S143,0),ROUND(H143*mult_wood,0))</f>
        <v/>
      </c>
      <c r="Q143" s="659">
        <f>IF(I143="",ROUND(L143+rate_woodbake*S143,0),ROUND(I143*mult_wood,0))</f>
        <v/>
      </c>
      <c r="R143" s="659">
        <f>IF(J143="",ROUND(L143+rate_woodbake*S143,0),ROUND(J143*mult_wood,0))</f>
        <v/>
      </c>
      <c r="S143" s="705">
        <f>ROUND(D143/(IF(ISNUMBER(SEARCH("เมืองทอง",C143)),'อัปเดตราคาอลู'!$F$8,IF(ISNUMBER(SEARCH("SlimLux",C143)),'อัปเดตราคาอลู'!$F$6,IF(ISNUMBER(SEARCH("Velora",C143)),'อัปเดตราคาอลู'!$F$7,IF(ISNUMBER(SEARCH("Fuji",C143)),'อัปเดตราคาอลู'!$F$5,'อัปเดตราคาอลู'!$F$4))))),3)</f>
        <v/>
      </c>
      <c r="T143" s="705">
        <f>ROUND(P143/(IF(OR(ISNUMBER(SEARCH("เมืองทอง",C143)),ISNUMBER(SEARCH("SlimLux",C143)),ISNUMBER(SEARCH("Velora",C143))),6,6.4)),3)</f>
        <v/>
      </c>
      <c r="U143" s="767">
        <f>ROUND(L143-D143,0)</f>
        <v/>
      </c>
      <c r="V143" s="659">
        <f>IF(D143="","",ROUND(D143+rate_anodize*S143,0))</f>
        <v/>
      </c>
    </row>
    <row r="144">
      <c r="A144" s="434" t="inlineStr">
        <is>
          <t>TRT-1419</t>
        </is>
      </c>
      <c r="B144" s="434" t="inlineStr">
        <is>
          <t>ตัว Z 4 นิ้ว</t>
        </is>
      </c>
      <c r="C144" s="434" t="inlineStr">
        <is>
          <t>อลูมิเนียม เมืองทอง</t>
        </is>
      </c>
      <c r="D144" s="399" t="n">
        <v>764</v>
      </c>
      <c r="E144" s="399" t="n">
        <v>1170</v>
      </c>
      <c r="F144" s="399">
        <f>E144</f>
        <v/>
      </c>
      <c r="G144" s="399" t="n"/>
      <c r="H144" s="399" t="n">
        <v>1221</v>
      </c>
      <c r="I144" s="399" t="n"/>
      <c r="J144" s="399" t="n"/>
      <c r="K144" s="676">
        <f>IF(ISNUMBER(SEARCH("เมืองทอง",C144)),mult_mtong,IF(ISNUMBER(SEARCH("SlimLux",C144)),mult_slim,IF(ISNUMBER(SEARCH("Velora",C144)),mult_velora,IF(ISNUMBER(SEARCH("Fuji",C144)),mult_euro,mult_sms))))</f>
        <v/>
      </c>
      <c r="L144" s="659">
        <f>ROUND(D144*K144,0)</f>
        <v/>
      </c>
      <c r="M144" s="659">
        <f>IF(E144="",ROUND(L144+'อัปเดตราคาอลู'!$B$13*S144,0),ROUND(E144*K144,0))</f>
        <v/>
      </c>
      <c r="N144" s="659">
        <f>M144</f>
        <v/>
      </c>
      <c r="O144" s="659">
        <f>IF(G144="",ROUND(L144+rate_special*S144,0),ROUND(G144*mult_euro,0))</f>
        <v/>
      </c>
      <c r="P144" s="659">
        <f>IF(H144="",ROUND(L144+rate_woodbake*S144,0),ROUND(H144*mult_wood,0))</f>
        <v/>
      </c>
      <c r="Q144" s="659">
        <f>IF(I144="",ROUND(L144+rate_woodbake*S144,0),ROUND(I144*mult_wood,0))</f>
        <v/>
      </c>
      <c r="R144" s="659">
        <f>IF(J144="",ROUND(L144+rate_woodbake*S144,0),ROUND(J144*mult_wood,0))</f>
        <v/>
      </c>
      <c r="S144" s="705">
        <f>ROUND(D144/(IF(ISNUMBER(SEARCH("เมืองทอง",C144)),'อัปเดตราคาอลู'!$F$8,IF(ISNUMBER(SEARCH("SlimLux",C144)),'อัปเดตราคาอลู'!$F$6,IF(ISNUMBER(SEARCH("Velora",C144)),'อัปเดตราคาอลู'!$F$7,IF(ISNUMBER(SEARCH("Fuji",C144)),'อัปเดตราคาอลู'!$F$5,'อัปเดตราคาอลู'!$F$4))))),3)</f>
        <v/>
      </c>
      <c r="T144" s="705">
        <f>ROUND(P144/(IF(OR(ISNUMBER(SEARCH("เมืองทอง",C144)),ISNUMBER(SEARCH("SlimLux",C144)),ISNUMBER(SEARCH("Velora",C144))),6,6.4)),3)</f>
        <v/>
      </c>
      <c r="U144" s="767">
        <f>ROUND(L144-D144,0)</f>
        <v/>
      </c>
      <c r="V144" s="659">
        <f>IF(D144="","",ROUND(D144+rate_anodize*S144,0))</f>
        <v/>
      </c>
    </row>
    <row r="145">
      <c r="A145" s="434" t="inlineStr">
        <is>
          <t>-</t>
        </is>
      </c>
      <c r="B145" s="434" t="inlineStr">
        <is>
          <t>ประตูรั้ว/เสา-คาน</t>
        </is>
      </c>
      <c r="C145" s="434" t="inlineStr">
        <is>
          <t>อลูมิเนียม เมืองทอง</t>
        </is>
      </c>
      <c r="D145" s="399" t="n">
        <v>2435</v>
      </c>
      <c r="E145" s="399" t="n">
        <v>3731</v>
      </c>
      <c r="F145" s="399">
        <f>E145</f>
        <v/>
      </c>
      <c r="G145" s="399" t="n"/>
      <c r="H145" s="399" t="n">
        <v>3893</v>
      </c>
      <c r="I145" s="399" t="n"/>
      <c r="J145" s="399" t="n"/>
      <c r="K145" s="676">
        <f>IF(ISNUMBER(SEARCH("เมืองทอง",C145)),mult_mtong,IF(ISNUMBER(SEARCH("SlimLux",C145)),mult_slim,IF(ISNUMBER(SEARCH("Velora",C145)),mult_velora,IF(ISNUMBER(SEARCH("Fuji",C145)),mult_euro,mult_sms))))</f>
        <v/>
      </c>
      <c r="L145" s="659">
        <f>ROUND(D145*K145,0)</f>
        <v/>
      </c>
      <c r="M145" s="659">
        <f>IF(E145="",ROUND(L145+'อัปเดตราคาอลู'!$B$13*S145,0),ROUND(E145*K145,0))</f>
        <v/>
      </c>
      <c r="N145" s="659">
        <f>M145</f>
        <v/>
      </c>
      <c r="O145" s="659">
        <f>IF(G145="",ROUND(L145+rate_special*S145,0),ROUND(G145*mult_euro,0))</f>
        <v/>
      </c>
      <c r="P145" s="659">
        <f>IF(H145="",ROUND(L145+rate_woodbake*S145,0),ROUND(H145*mult_wood,0))</f>
        <v/>
      </c>
      <c r="Q145" s="659">
        <f>IF(I145="",ROUND(L145+rate_woodbake*S145,0),ROUND(I145*mult_wood,0))</f>
        <v/>
      </c>
      <c r="R145" s="659">
        <f>IF(J145="",ROUND(L145+rate_woodbake*S145,0),ROUND(J145*mult_wood,0))</f>
        <v/>
      </c>
      <c r="S145" s="705">
        <f>ROUND(D145/(IF(ISNUMBER(SEARCH("เมืองทอง",C145)),'อัปเดตราคาอลู'!$F$8,IF(ISNUMBER(SEARCH("SlimLux",C145)),'อัปเดตราคาอลู'!$F$6,IF(ISNUMBER(SEARCH("Velora",C145)),'อัปเดตราคาอลู'!$F$7,IF(ISNUMBER(SEARCH("Fuji",C145)),'อัปเดตราคาอลู'!$F$5,'อัปเดตราคาอลู'!$F$4))))),3)</f>
        <v/>
      </c>
      <c r="T145" s="705">
        <f>ROUND(P145/(IF(OR(ISNUMBER(SEARCH("เมืองทอง",C145)),ISNUMBER(SEARCH("SlimLux",C145)),ISNUMBER(SEARCH("Velora",C145))),6,6.4)),3)</f>
        <v/>
      </c>
      <c r="U145" s="767">
        <f>ROUND(L145-D145,0)</f>
        <v/>
      </c>
      <c r="V145" s="659">
        <f>IF(D145="","",ROUND(D145+rate_anodize*S145,0))</f>
        <v/>
      </c>
    </row>
    <row r="146">
      <c r="A146" s="434" t="inlineStr">
        <is>
          <t>-</t>
        </is>
      </c>
      <c r="B146" s="434" t="inlineStr">
        <is>
          <t>ติดตาย</t>
        </is>
      </c>
      <c r="C146" s="434" t="inlineStr">
        <is>
          <t>อลูมิเนียม เมืองทอง</t>
        </is>
      </c>
      <c r="D146" s="399" t="n">
        <v>1078</v>
      </c>
      <c r="E146" s="399" t="n">
        <v>1652</v>
      </c>
      <c r="F146" s="399">
        <f>E146</f>
        <v/>
      </c>
      <c r="G146" s="399" t="n"/>
      <c r="H146" s="399" t="n">
        <v>1724</v>
      </c>
      <c r="I146" s="399" t="n"/>
      <c r="J146" s="399" t="n"/>
      <c r="K146" s="676">
        <f>IF(ISNUMBER(SEARCH("เมืองทอง",C146)),mult_mtong,IF(ISNUMBER(SEARCH("SlimLux",C146)),mult_slim,IF(ISNUMBER(SEARCH("Velora",C146)),mult_velora,IF(ISNUMBER(SEARCH("Fuji",C146)),mult_euro,mult_sms))))</f>
        <v/>
      </c>
      <c r="L146" s="659">
        <f>ROUND(D146*K146,0)</f>
        <v/>
      </c>
      <c r="M146" s="659">
        <f>IF(E146="",ROUND(L146+'อัปเดตราคาอลู'!$B$13*S146,0),ROUND(E146*K146,0))</f>
        <v/>
      </c>
      <c r="N146" s="659">
        <f>M146</f>
        <v/>
      </c>
      <c r="O146" s="659">
        <f>IF(G146="",ROUND(L146+rate_special*S146,0),ROUND(G146*mult_euro,0))</f>
        <v/>
      </c>
      <c r="P146" s="659">
        <f>IF(H146="",ROUND(L146+rate_woodbake*S146,0),ROUND(H146*mult_wood,0))</f>
        <v/>
      </c>
      <c r="Q146" s="659">
        <f>IF(I146="",ROUND(L146+rate_woodbake*S146,0),ROUND(I146*mult_wood,0))</f>
        <v/>
      </c>
      <c r="R146" s="659">
        <f>IF(J146="",ROUND(L146+rate_woodbake*S146,0),ROUND(J146*mult_wood,0))</f>
        <v/>
      </c>
      <c r="S146" s="705">
        <f>ROUND(D146/(IF(ISNUMBER(SEARCH("เมืองทอง",C146)),'อัปเดตราคาอลู'!$F$8,IF(ISNUMBER(SEARCH("SlimLux",C146)),'อัปเดตราคาอลู'!$F$6,IF(ISNUMBER(SEARCH("Velora",C146)),'อัปเดตราคาอลู'!$F$7,IF(ISNUMBER(SEARCH("Fuji",C146)),'อัปเดตราคาอลู'!$F$5,'อัปเดตราคาอลู'!$F$4))))),3)</f>
        <v/>
      </c>
      <c r="T146" s="705">
        <f>ROUND(P146/(IF(OR(ISNUMBER(SEARCH("เมืองทอง",C146)),ISNUMBER(SEARCH("SlimLux",C146)),ISNUMBER(SEARCH("Velora",C146))),6,6.4)),3)</f>
        <v/>
      </c>
      <c r="U146" s="767">
        <f>ROUND(L146-D146,0)</f>
        <v/>
      </c>
      <c r="V146" s="659">
        <f>IF(D146="","",ROUND(D146+rate_anodize*S146,0))</f>
        <v/>
      </c>
    </row>
    <row r="147">
      <c r="A147" s="434" t="inlineStr">
        <is>
          <t>-</t>
        </is>
      </c>
      <c r="B147" s="434" t="inlineStr">
        <is>
          <t>จันทันหลังคา</t>
        </is>
      </c>
      <c r="C147" s="434" t="inlineStr">
        <is>
          <t>อลูมิเนียม เมืองทอง</t>
        </is>
      </c>
      <c r="D147" s="399" t="n">
        <v>1312</v>
      </c>
      <c r="E147" s="399" t="n">
        <v>2010</v>
      </c>
      <c r="F147" s="399">
        <f>E147</f>
        <v/>
      </c>
      <c r="G147" s="399" t="n"/>
      <c r="H147" s="399" t="n">
        <v>2097</v>
      </c>
      <c r="I147" s="399" t="n"/>
      <c r="J147" s="399" t="n"/>
      <c r="K147" s="676">
        <f>IF(ISNUMBER(SEARCH("เมืองทอง",C147)),mult_mtong,IF(ISNUMBER(SEARCH("SlimLux",C147)),mult_slim,IF(ISNUMBER(SEARCH("Velora",C147)),mult_velora,IF(ISNUMBER(SEARCH("Fuji",C147)),mult_euro,mult_sms))))</f>
        <v/>
      </c>
      <c r="L147" s="659">
        <f>ROUND(D147*K147,0)</f>
        <v/>
      </c>
      <c r="M147" s="659">
        <f>IF(E147="",ROUND(L147+'อัปเดตราคาอลู'!$B$13*S147,0),ROUND(E147*K147,0))</f>
        <v/>
      </c>
      <c r="N147" s="659">
        <f>M147</f>
        <v/>
      </c>
      <c r="O147" s="659">
        <f>IF(G147="",ROUND(L147+rate_special*S147,0),ROUND(G147*mult_euro,0))</f>
        <v/>
      </c>
      <c r="P147" s="659">
        <f>IF(H147="",ROUND(L147+rate_woodbake*S147,0),ROUND(H147*mult_wood,0))</f>
        <v/>
      </c>
      <c r="Q147" s="659">
        <f>IF(I147="",ROUND(L147+rate_woodbake*S147,0),ROUND(I147*mult_wood,0))</f>
        <v/>
      </c>
      <c r="R147" s="659">
        <f>IF(J147="",ROUND(L147+rate_woodbake*S147,0),ROUND(J147*mult_wood,0))</f>
        <v/>
      </c>
      <c r="S147" s="705">
        <f>ROUND(D147/(IF(ISNUMBER(SEARCH("เมืองทอง",C147)),'อัปเดตราคาอลู'!$F$8,IF(ISNUMBER(SEARCH("SlimLux",C147)),'อัปเดตราคาอลู'!$F$6,IF(ISNUMBER(SEARCH("Velora",C147)),'อัปเดตราคาอลู'!$F$7,IF(ISNUMBER(SEARCH("Fuji",C147)),'อัปเดตราคาอลู'!$F$5,'อัปเดตราคาอลู'!$F$4))))),3)</f>
        <v/>
      </c>
      <c r="T147" s="705">
        <f>ROUND(P147/(IF(OR(ISNUMBER(SEARCH("เมืองทอง",C147)),ISNUMBER(SEARCH("SlimLux",C147)),ISNUMBER(SEARCH("Velora",C147))),6,6.4)),3)</f>
        <v/>
      </c>
      <c r="U147" s="767">
        <f>ROUND(L147-D147,0)</f>
        <v/>
      </c>
      <c r="V147" s="659">
        <f>IF(D147="","",ROUND(D147+rate_anodize*S147,0))</f>
        <v/>
      </c>
    </row>
    <row r="148">
      <c r="A148" s="434" t="inlineStr">
        <is>
          <t>ฉาก 6 หุน</t>
        </is>
      </c>
      <c r="B148" s="434" t="inlineStr">
        <is>
          <t>ฉาก 6 หุน</t>
        </is>
      </c>
      <c r="C148" s="434" t="inlineStr">
        <is>
          <t>อลูมิเนียม เมืองทอง</t>
        </is>
      </c>
      <c r="D148" s="399" t="n">
        <v>838</v>
      </c>
      <c r="E148" s="399" t="n">
        <v>1284</v>
      </c>
      <c r="F148" s="399">
        <f>E148</f>
        <v/>
      </c>
      <c r="G148" s="399" t="n"/>
      <c r="H148" s="399" t="n">
        <v>1340</v>
      </c>
      <c r="I148" s="399" t="n"/>
      <c r="J148" s="399" t="n"/>
      <c r="K148" s="676">
        <f>IF(ISNUMBER(SEARCH("เมืองทอง",C148)),mult_mtong,IF(ISNUMBER(SEARCH("SlimLux",C148)),mult_slim,IF(ISNUMBER(SEARCH("Velora",C148)),mult_velora,IF(ISNUMBER(SEARCH("Fuji",C148)),mult_euro,mult_sms))))</f>
        <v/>
      </c>
      <c r="L148" s="659">
        <f>ROUND(D148*K148,0)</f>
        <v/>
      </c>
      <c r="M148" s="659">
        <f>IF(E148="",ROUND(L148+'อัปเดตราคาอลู'!$B$13*S148,0),ROUND(E148*K148,0))</f>
        <v/>
      </c>
      <c r="N148" s="659">
        <f>M148</f>
        <v/>
      </c>
      <c r="O148" s="659">
        <f>IF(G148="",ROUND(L148+rate_special*S148,0),ROUND(G148*mult_euro,0))</f>
        <v/>
      </c>
      <c r="P148" s="659">
        <f>IF(H148="",ROUND(L148+rate_woodbake*S148,0),ROUND(H148*mult_wood,0))</f>
        <v/>
      </c>
      <c r="Q148" s="659">
        <f>IF(I148="",ROUND(L148+rate_woodbake*S148,0),ROUND(I148*mult_wood,0))</f>
        <v/>
      </c>
      <c r="R148" s="659">
        <f>IF(J148="",ROUND(L148+rate_woodbake*S148,0),ROUND(J148*mult_wood,0))</f>
        <v/>
      </c>
      <c r="S148" s="705">
        <f>ROUND(D148/(IF(ISNUMBER(SEARCH("เมืองทอง",C148)),'อัปเดตราคาอลู'!$F$8,IF(ISNUMBER(SEARCH("SlimLux",C148)),'อัปเดตราคาอลู'!$F$6,IF(ISNUMBER(SEARCH("Velora",C148)),'อัปเดตราคาอลู'!$F$7,IF(ISNUMBER(SEARCH("Fuji",C148)),'อัปเดตราคาอลู'!$F$5,'อัปเดตราคาอลู'!$F$4))))),3)</f>
        <v/>
      </c>
      <c r="T148" s="705">
        <f>ROUND(P148/(IF(OR(ISNUMBER(SEARCH("เมืองทอง",C148)),ISNUMBER(SEARCH("SlimLux",C148)),ISNUMBER(SEARCH("Velora",C148))),6,6.4)),3)</f>
        <v/>
      </c>
      <c r="U148" s="767">
        <f>ROUND(L148-D148,0)</f>
        <v/>
      </c>
      <c r="V148" s="659">
        <f>IF(D148="","",ROUND(D148+rate_anodize*S148,0))</f>
        <v/>
      </c>
    </row>
    <row r="149">
      <c r="A149" s="434" t="inlineStr">
        <is>
          <t>Z-1.6</t>
        </is>
      </c>
      <c r="B149" s="434" t="inlineStr">
        <is>
          <t>ตัว Z 1.6 นิ้ว</t>
        </is>
      </c>
      <c r="C149" s="434" t="inlineStr">
        <is>
          <t>อลูมิเนียม เมืองทอง</t>
        </is>
      </c>
      <c r="D149" s="399" t="n">
        <v>75</v>
      </c>
      <c r="E149" s="399" t="n">
        <v>115</v>
      </c>
      <c r="F149" s="399">
        <f>E149</f>
        <v/>
      </c>
      <c r="G149" s="399" t="n"/>
      <c r="H149" s="399" t="n">
        <v>121</v>
      </c>
      <c r="I149" s="399" t="n"/>
      <c r="J149" s="399" t="n"/>
      <c r="K149" s="676">
        <f>IF(ISNUMBER(SEARCH("เมืองทอง",C149)),mult_mtong,IF(ISNUMBER(SEARCH("SlimLux",C149)),mult_slim,IF(ISNUMBER(SEARCH("Velora",C149)),mult_velora,IF(ISNUMBER(SEARCH("Fuji",C149)),mult_euro,mult_sms))))</f>
        <v/>
      </c>
      <c r="L149" s="659">
        <f>ROUND(D149*K149,0)</f>
        <v/>
      </c>
      <c r="M149" s="659">
        <f>IF(E149="",ROUND(L149+'อัปเดตราคาอลู'!$B$13*S149,0),ROUND(E149*K149,0))</f>
        <v/>
      </c>
      <c r="N149" s="659">
        <f>M149</f>
        <v/>
      </c>
      <c r="O149" s="659">
        <f>IF(G149="",ROUND(L149+rate_special*S149,0),ROUND(G149*mult_euro,0))</f>
        <v/>
      </c>
      <c r="P149" s="659">
        <f>IF(H149="",ROUND(L149+rate_woodbake*S149,0),ROUND(H149*mult_wood,0))</f>
        <v/>
      </c>
      <c r="Q149" s="659">
        <f>IF(I149="",ROUND(L149+rate_woodbake*S149,0),ROUND(I149*mult_wood,0))</f>
        <v/>
      </c>
      <c r="R149" s="659">
        <f>IF(J149="",ROUND(L149+rate_woodbake*S149,0),ROUND(J149*mult_wood,0))</f>
        <v/>
      </c>
      <c r="S149" s="705">
        <f>ROUND(D149/(IF(ISNUMBER(SEARCH("เมืองทอง",C149)),'อัปเดตราคาอลู'!$F$8,IF(ISNUMBER(SEARCH("SlimLux",C149)),'อัปเดตราคาอลู'!$F$6,IF(ISNUMBER(SEARCH("Velora",C149)),'อัปเดตราคาอลู'!$F$7,IF(ISNUMBER(SEARCH("Fuji",C149)),'อัปเดตราคาอลู'!$F$5,'อัปเดตราคาอลู'!$F$4))))),3)</f>
        <v/>
      </c>
      <c r="T149" s="705">
        <f>ROUND(P149/(IF(OR(ISNUMBER(SEARCH("เมืองทอง",C149)),ISNUMBER(SEARCH("SlimLux",C149)),ISNUMBER(SEARCH("Velora",C149))),6,6.4)),3)</f>
        <v/>
      </c>
      <c r="U149" s="767">
        <f>ROUND(L149-D149,0)</f>
        <v/>
      </c>
      <c r="V149" s="659">
        <f>IF(D149="","",ROUND(D149+rate_anodize*S149,0))</f>
        <v/>
      </c>
    </row>
    <row r="150">
      <c r="A150" s="684" t="inlineStr">
        <is>
          <t>━ SlimLux ━</t>
        </is>
      </c>
      <c r="D150" s="399" t="n"/>
      <c r="E150" s="399" t="n"/>
      <c r="F150" s="399">
        <f>E150</f>
        <v/>
      </c>
      <c r="G150" s="399" t="n"/>
      <c r="H150" s="399" t="n"/>
      <c r="I150" s="399" t="n"/>
      <c r="J150" s="399" t="n"/>
      <c r="K150" s="676">
        <f>IF(ISNUMBER(SEARCH("เมืองทอง",C150)),mult_mtong,IF(ISNUMBER(SEARCH("SlimLux",C150)),mult_slim,IF(ISNUMBER(SEARCH("Velora",C150)),mult_velora,IF(ISNUMBER(SEARCH("Fuji",C150)),mult_euro,mult_sms))))</f>
        <v/>
      </c>
      <c r="L150" s="659">
        <f>ROUND(D150*K150,0)</f>
        <v/>
      </c>
      <c r="M150" s="659">
        <f>ROUND(E150*K150,0)</f>
        <v/>
      </c>
      <c r="N150" s="659">
        <f>M150</f>
        <v/>
      </c>
      <c r="O150" s="659">
        <f>IF(G150="","",ROUND(G150*mult_euro,0))</f>
        <v/>
      </c>
      <c r="P150" s="659">
        <f>ROUND(H150*mult_wood,0)</f>
        <v/>
      </c>
      <c r="Q150" s="659">
        <f>IF(I150="","",ROUND(I150*mult_wood,0))</f>
        <v/>
      </c>
      <c r="R150" s="659">
        <f>IF(J150="","",ROUND(J150*mult_wood,0))</f>
        <v/>
      </c>
      <c r="S150" s="705">
        <f>ROUND(D150/(IF(ISNUMBER(SEARCH("เมืองทอง",C150)),'อัปเดตราคาอลู'!$F$8,IF(ISNUMBER(SEARCH("SlimLux",C150)),'อัปเดตราคาอลู'!$F$6,IF(ISNUMBER(SEARCH("Velora",C150)),'อัปเดตราคาอลู'!$F$7,IF(ISNUMBER(SEARCH("Fuji",C150)),'อัปเดตราคาอลู'!$F$5,'อัปเดตราคาอลู'!$F$4))))),3)</f>
        <v/>
      </c>
      <c r="T150" s="705">
        <f>ROUND(P150/(IF(OR(ISNUMBER(SEARCH("เมืองทอง",C150)),ISNUMBER(SEARCH("SlimLux",C150)),ISNUMBER(SEARCH("Velora",C150))),6,6.4)),3)</f>
        <v/>
      </c>
      <c r="U150" s="767">
        <f>ROUND(L150-D150,0)</f>
        <v/>
      </c>
      <c r="V150" s="659" t="n"/>
    </row>
    <row r="151">
      <c r="A151" s="434" t="inlineStr">
        <is>
          <t>WM-K01</t>
        </is>
      </c>
      <c r="B151" s="434" t="inlineStr">
        <is>
          <t>ไส้เสาบาน</t>
        </is>
      </c>
      <c r="C151" s="434" t="inlineStr">
        <is>
          <t>อลูมิเนียม SlimLux</t>
        </is>
      </c>
      <c r="D151" s="399" t="n">
        <v>502</v>
      </c>
      <c r="E151" s="399" t="n">
        <v>796</v>
      </c>
      <c r="F151" s="399">
        <f>E151</f>
        <v/>
      </c>
      <c r="G151" s="399" t="n"/>
      <c r="H151" s="399" t="n"/>
      <c r="I151" s="399" t="n"/>
      <c r="J151" s="399" t="n"/>
      <c r="K151" s="676">
        <f>IF(ISNUMBER(SEARCH("เมืองทอง",C151)),mult_mtong,IF(ISNUMBER(SEARCH("SlimLux",C151)),mult_slim,IF(ISNUMBER(SEARCH("Velora",C151)),mult_velora,IF(ISNUMBER(SEARCH("Fuji",C151)),mult_euro,mult_sms))))</f>
        <v/>
      </c>
      <c r="L151" s="659">
        <f>ROUND(D151*K151,0)</f>
        <v/>
      </c>
      <c r="M151" s="659">
        <f>IF(E151="",ROUND(L151+'อัปเดตราคาอลู'!$B$13*S151,0),ROUND(E151*K151,0))</f>
        <v/>
      </c>
      <c r="N151" s="659">
        <f>M151</f>
        <v/>
      </c>
      <c r="O151" s="659">
        <f>IF(G151="",ROUND(L151+rate_special*S151,0),ROUND(G151*mult_euro,0))</f>
        <v/>
      </c>
      <c r="P151" s="659">
        <f>IF(H151="",ROUND(L151+rate_woodbake*S151,0),ROUND(H151*mult_wood,0))</f>
        <v/>
      </c>
      <c r="Q151" s="659">
        <f>IF(I151="",ROUND(L151+rate_woodbake*S151,0),ROUND(I151*mult_wood,0))</f>
        <v/>
      </c>
      <c r="R151" s="659">
        <f>IF(J151="",ROUND(L151+rate_woodbake*S151,0),ROUND(J151*mult_wood,0))</f>
        <v/>
      </c>
      <c r="S151" s="705">
        <f>ROUND(D151/(IF(ISNUMBER(SEARCH("เมืองทอง",C151)),'อัปเดตราคาอลู'!$F$8,IF(ISNUMBER(SEARCH("SlimLux",C151)),'อัปเดตราคาอลู'!$F$6,IF(ISNUMBER(SEARCH("Velora",C151)),'อัปเดตราคาอลู'!$F$7,IF(ISNUMBER(SEARCH("Fuji",C151)),'อัปเดตราคาอลู'!$F$5,'อัปเดตราคาอลู'!$F$4))))),3)</f>
        <v/>
      </c>
      <c r="T151" s="705">
        <f>ROUND(P151/(IF(OR(ISNUMBER(SEARCH("เมืองทอง",C151)),ISNUMBER(SEARCH("SlimLux",C151)),ISNUMBER(SEARCH("Velora",C151))),6,6.4)),3)</f>
        <v/>
      </c>
      <c r="U151" s="767">
        <f>ROUND(L151-D151,0)</f>
        <v/>
      </c>
      <c r="V151" s="659">
        <f>IF(D151="","",ROUND(D151+rate_anodize*S151,0))</f>
        <v/>
      </c>
    </row>
    <row r="152">
      <c r="A152" s="434" t="inlineStr">
        <is>
          <t>WM-K02</t>
        </is>
      </c>
      <c r="B152" s="434" t="inlineStr">
        <is>
          <t>ฝาเสาเรียบ</t>
        </is>
      </c>
      <c r="C152" s="434" t="inlineStr">
        <is>
          <t>อลูมิเนียม SlimLux</t>
        </is>
      </c>
      <c r="D152" s="399" t="n">
        <v>267</v>
      </c>
      <c r="E152" s="399" t="n">
        <v>424</v>
      </c>
      <c r="F152" s="399">
        <f>E152</f>
        <v/>
      </c>
      <c r="G152" s="399" t="n"/>
      <c r="H152" s="399" t="n"/>
      <c r="I152" s="399" t="n"/>
      <c r="J152" s="399" t="n"/>
      <c r="K152" s="676">
        <f>IF(ISNUMBER(SEARCH("เมืองทอง",C152)),mult_mtong,IF(ISNUMBER(SEARCH("SlimLux",C152)),mult_slim,IF(ISNUMBER(SEARCH("Velora",C152)),mult_velora,IF(ISNUMBER(SEARCH("Fuji",C152)),mult_euro,mult_sms))))</f>
        <v/>
      </c>
      <c r="L152" s="659">
        <f>ROUND(D152*K152,0)</f>
        <v/>
      </c>
      <c r="M152" s="659">
        <f>IF(E152="",ROUND(L152+'อัปเดตราคาอลู'!$B$13*S152,0),ROUND(E152*K152,0))</f>
        <v/>
      </c>
      <c r="N152" s="659">
        <f>M152</f>
        <v/>
      </c>
      <c r="O152" s="659">
        <f>IF(G152="",ROUND(L152+rate_special*S152,0),ROUND(G152*mult_euro,0))</f>
        <v/>
      </c>
      <c r="P152" s="659">
        <f>IF(H152="",ROUND(L152+rate_woodbake*S152,0),ROUND(H152*mult_wood,0))</f>
        <v/>
      </c>
      <c r="Q152" s="659">
        <f>IF(I152="",ROUND(L152+rate_woodbake*S152,0),ROUND(I152*mult_wood,0))</f>
        <v/>
      </c>
      <c r="R152" s="659">
        <f>IF(J152="",ROUND(L152+rate_woodbake*S152,0),ROUND(J152*mult_wood,0))</f>
        <v/>
      </c>
      <c r="S152" s="705">
        <f>ROUND(D152/(IF(ISNUMBER(SEARCH("เมืองทอง",C152)),'อัปเดตราคาอลู'!$F$8,IF(ISNUMBER(SEARCH("SlimLux",C152)),'อัปเดตราคาอลู'!$F$6,IF(ISNUMBER(SEARCH("Velora",C152)),'อัปเดตราคาอลู'!$F$7,IF(ISNUMBER(SEARCH("Fuji",C152)),'อัปเดตราคาอลู'!$F$5,'อัปเดตราคาอลู'!$F$4))))),3)</f>
        <v/>
      </c>
      <c r="T152" s="705">
        <f>ROUND(P152/(IF(OR(ISNUMBER(SEARCH("เมืองทอง",C152)),ISNUMBER(SEARCH("SlimLux",C152)),ISNUMBER(SEARCH("Velora",C152))),6,6.4)),3)</f>
        <v/>
      </c>
      <c r="U152" s="767">
        <f>ROUND(L152-D152,0)</f>
        <v/>
      </c>
      <c r="V152" s="659">
        <f>IF(D152="","",ROUND(D152+rate_anodize*S152,0))</f>
        <v/>
      </c>
    </row>
    <row r="153">
      <c r="A153" s="434" t="inlineStr">
        <is>
          <t>WM-K03</t>
        </is>
      </c>
      <c r="B153" s="434" t="inlineStr">
        <is>
          <t>ฝาเสาเกี่ยว</t>
        </is>
      </c>
      <c r="C153" s="434" t="inlineStr">
        <is>
          <t>อลูมิเนียม SlimLux</t>
        </is>
      </c>
      <c r="D153" s="399" t="n">
        <v>288</v>
      </c>
      <c r="E153" s="399" t="n">
        <v>457</v>
      </c>
      <c r="F153" s="399">
        <f>E153</f>
        <v/>
      </c>
      <c r="G153" s="399" t="n"/>
      <c r="H153" s="399" t="n"/>
      <c r="I153" s="399" t="n"/>
      <c r="J153" s="399" t="n"/>
      <c r="K153" s="676">
        <f>IF(ISNUMBER(SEARCH("เมืองทอง",C153)),mult_mtong,IF(ISNUMBER(SEARCH("SlimLux",C153)),mult_slim,IF(ISNUMBER(SEARCH("Velora",C153)),mult_velora,IF(ISNUMBER(SEARCH("Fuji",C153)),mult_euro,mult_sms))))</f>
        <v/>
      </c>
      <c r="L153" s="659">
        <f>ROUND(D153*K153,0)</f>
        <v/>
      </c>
      <c r="M153" s="659">
        <f>IF(E153="",ROUND(L153+'อัปเดตราคาอลู'!$B$13*S153,0),ROUND(E153*K153,0))</f>
        <v/>
      </c>
      <c r="N153" s="659">
        <f>M153</f>
        <v/>
      </c>
      <c r="O153" s="659">
        <f>IF(G153="",ROUND(L153+rate_special*S153,0),ROUND(G153*mult_euro,0))</f>
        <v/>
      </c>
      <c r="P153" s="659">
        <f>IF(H153="",ROUND(L153+rate_woodbake*S153,0),ROUND(H153*mult_wood,0))</f>
        <v/>
      </c>
      <c r="Q153" s="659">
        <f>IF(I153="",ROUND(L153+rate_woodbake*S153,0),ROUND(I153*mult_wood,0))</f>
        <v/>
      </c>
      <c r="R153" s="659">
        <f>IF(J153="",ROUND(L153+rate_woodbake*S153,0),ROUND(J153*mult_wood,0))</f>
        <v/>
      </c>
      <c r="S153" s="705">
        <f>ROUND(D153/(IF(ISNUMBER(SEARCH("เมืองทอง",C153)),'อัปเดตราคาอลู'!$F$8,IF(ISNUMBER(SEARCH("SlimLux",C153)),'อัปเดตราคาอลู'!$F$6,IF(ISNUMBER(SEARCH("Velora",C153)),'อัปเดตราคาอลู'!$F$7,IF(ISNUMBER(SEARCH("Fuji",C153)),'อัปเดตราคาอลู'!$F$5,'อัปเดตราคาอลู'!$F$4))))),3)</f>
        <v/>
      </c>
      <c r="T153" s="705">
        <f>ROUND(P153/(IF(OR(ISNUMBER(SEARCH("เมืองทอง",C153)),ISNUMBER(SEARCH("SlimLux",C153)),ISNUMBER(SEARCH("Velora",C153))),6,6.4)),3)</f>
        <v/>
      </c>
      <c r="U153" s="767">
        <f>ROUND(L153-D153,0)</f>
        <v/>
      </c>
      <c r="V153" s="659">
        <f>IF(D153="","",ROUND(D153+rate_anodize*S153,0))</f>
        <v/>
      </c>
    </row>
    <row r="154">
      <c r="A154" s="434" t="inlineStr">
        <is>
          <t>WM-K04</t>
        </is>
      </c>
      <c r="B154" s="434" t="inlineStr">
        <is>
          <t>ขวางบนล่าง</t>
        </is>
      </c>
      <c r="C154" s="434" t="inlineStr">
        <is>
          <t>อลูมิเนียม SlimLux</t>
        </is>
      </c>
      <c r="D154" s="399" t="n">
        <v>797</v>
      </c>
      <c r="E154" s="399" t="n">
        <v>1266</v>
      </c>
      <c r="F154" s="399">
        <f>E154</f>
        <v/>
      </c>
      <c r="G154" s="399" t="n"/>
      <c r="H154" s="399" t="n"/>
      <c r="I154" s="399" t="n"/>
      <c r="J154" s="399" t="n"/>
      <c r="K154" s="676">
        <f>IF(ISNUMBER(SEARCH("เมืองทอง",C154)),mult_mtong,IF(ISNUMBER(SEARCH("SlimLux",C154)),mult_slim,IF(ISNUMBER(SEARCH("Velora",C154)),mult_velora,IF(ISNUMBER(SEARCH("Fuji",C154)),mult_euro,mult_sms))))</f>
        <v/>
      </c>
      <c r="L154" s="659">
        <f>ROUND(D154*K154,0)</f>
        <v/>
      </c>
      <c r="M154" s="659">
        <f>IF(E154="",ROUND(L154+'อัปเดตราคาอลู'!$B$13*S154,0),ROUND(E154*K154,0))</f>
        <v/>
      </c>
      <c r="N154" s="659">
        <f>M154</f>
        <v/>
      </c>
      <c r="O154" s="659">
        <f>IF(G154="",ROUND(L154+rate_special*S154,0),ROUND(G154*mult_euro,0))</f>
        <v/>
      </c>
      <c r="P154" s="659">
        <f>IF(H154="",ROUND(L154+rate_woodbake*S154,0),ROUND(H154*mult_wood,0))</f>
        <v/>
      </c>
      <c r="Q154" s="659">
        <f>IF(I154="",ROUND(L154+rate_woodbake*S154,0),ROUND(I154*mult_wood,0))</f>
        <v/>
      </c>
      <c r="R154" s="659">
        <f>IF(J154="",ROUND(L154+rate_woodbake*S154,0),ROUND(J154*mult_wood,0))</f>
        <v/>
      </c>
      <c r="S154" s="705">
        <f>ROUND(D154/(IF(ISNUMBER(SEARCH("เมืองทอง",C154)),'อัปเดตราคาอลู'!$F$8,IF(ISNUMBER(SEARCH("SlimLux",C154)),'อัปเดตราคาอลู'!$F$6,IF(ISNUMBER(SEARCH("Velora",C154)),'อัปเดตราคาอลู'!$F$7,IF(ISNUMBER(SEARCH("Fuji",C154)),'อัปเดตราคาอลู'!$F$5,'อัปเดตราคาอลู'!$F$4))))),3)</f>
        <v/>
      </c>
      <c r="T154" s="705">
        <f>ROUND(P154/(IF(OR(ISNUMBER(SEARCH("เมืองทอง",C154)),ISNUMBER(SEARCH("SlimLux",C154)),ISNUMBER(SEARCH("Velora",C154))),6,6.4)),3)</f>
        <v/>
      </c>
      <c r="U154" s="767">
        <f>ROUND(L154-D154,0)</f>
        <v/>
      </c>
      <c r="V154" s="659">
        <f>IF(D154="","",ROUND(D154+rate_anodize*S154,0))</f>
        <v/>
      </c>
    </row>
    <row r="155">
      <c r="A155" s="434" t="inlineStr">
        <is>
          <t>-</t>
        </is>
      </c>
      <c r="B155" s="434" t="inlineStr">
        <is>
          <t>รางบน 3 ราง</t>
        </is>
      </c>
      <c r="C155" s="434" t="inlineStr">
        <is>
          <t>อลูมิเนียม SlimLux</t>
        </is>
      </c>
      <c r="D155" s="399" t="n">
        <v>1825</v>
      </c>
      <c r="E155" s="399" t="n">
        <v>2898</v>
      </c>
      <c r="F155" s="399">
        <f>E155</f>
        <v/>
      </c>
      <c r="G155" s="399" t="n"/>
      <c r="H155" s="399" t="n"/>
      <c r="I155" s="399" t="n"/>
      <c r="J155" s="399" t="n"/>
      <c r="K155" s="676">
        <f>IF(ISNUMBER(SEARCH("เมืองทอง",C155)),mult_mtong,IF(ISNUMBER(SEARCH("SlimLux",C155)),mult_slim,IF(ISNUMBER(SEARCH("Velora",C155)),mult_velora,IF(ISNUMBER(SEARCH("Fuji",C155)),mult_euro,mult_sms))))</f>
        <v/>
      </c>
      <c r="L155" s="659">
        <f>ROUND(D155*K155,0)</f>
        <v/>
      </c>
      <c r="M155" s="659">
        <f>IF(E155="",ROUND(L155+'อัปเดตราคาอลู'!$B$13*S155,0),ROUND(E155*K155,0))</f>
        <v/>
      </c>
      <c r="N155" s="659">
        <f>M155</f>
        <v/>
      </c>
      <c r="O155" s="659">
        <f>IF(G155="",ROUND(L155+rate_special*S155,0),ROUND(G155*mult_euro,0))</f>
        <v/>
      </c>
      <c r="P155" s="659">
        <f>IF(H155="",ROUND(L155+rate_woodbake*S155,0),ROUND(H155*mult_wood,0))</f>
        <v/>
      </c>
      <c r="Q155" s="659">
        <f>IF(I155="",ROUND(L155+rate_woodbake*S155,0),ROUND(I155*mult_wood,0))</f>
        <v/>
      </c>
      <c r="R155" s="659">
        <f>IF(J155="",ROUND(L155+rate_woodbake*S155,0),ROUND(J155*mult_wood,0))</f>
        <v/>
      </c>
      <c r="S155" s="705">
        <f>ROUND(D155/(IF(ISNUMBER(SEARCH("เมืองทอง",C155)),'อัปเดตราคาอลู'!$F$8,IF(ISNUMBER(SEARCH("SlimLux",C155)),'อัปเดตราคาอลู'!$F$6,IF(ISNUMBER(SEARCH("Velora",C155)),'อัปเดตราคาอลู'!$F$7,IF(ISNUMBER(SEARCH("Fuji",C155)),'อัปเดตราคาอลู'!$F$5,'อัปเดตราคาอลู'!$F$4))))),3)</f>
        <v/>
      </c>
      <c r="T155" s="705">
        <f>ROUND(P155/(IF(OR(ISNUMBER(SEARCH("เมืองทอง",C155)),ISNUMBER(SEARCH("SlimLux",C155)),ISNUMBER(SEARCH("Velora",C155))),6,6.4)),3)</f>
        <v/>
      </c>
      <c r="U155" s="767">
        <f>ROUND(L155-D155,0)</f>
        <v/>
      </c>
      <c r="V155" s="659">
        <f>IF(D155="","",ROUND(D155+rate_anodize*S155,0))</f>
        <v/>
      </c>
    </row>
    <row r="156">
      <c r="A156" s="434" t="inlineStr">
        <is>
          <t>WM-K15</t>
        </is>
      </c>
      <c r="B156" s="434" t="inlineStr">
        <is>
          <t>รางแขวน 1 ราง</t>
        </is>
      </c>
      <c r="C156" s="434" t="inlineStr">
        <is>
          <t>อลูมิเนียม SlimLux</t>
        </is>
      </c>
      <c r="D156" s="399" t="n">
        <v>928</v>
      </c>
      <c r="E156" s="399" t="n">
        <v>1474</v>
      </c>
      <c r="F156" s="399">
        <f>E156</f>
        <v/>
      </c>
      <c r="G156" s="399" t="n"/>
      <c r="H156" s="399" t="n"/>
      <c r="I156" s="399" t="n"/>
      <c r="J156" s="399" t="n"/>
      <c r="K156" s="676">
        <f>IF(ISNUMBER(SEARCH("เมืองทอง",C156)),mult_mtong,IF(ISNUMBER(SEARCH("SlimLux",C156)),mult_slim,IF(ISNUMBER(SEARCH("Velora",C156)),mult_velora,IF(ISNUMBER(SEARCH("Fuji",C156)),mult_euro,mult_sms))))</f>
        <v/>
      </c>
      <c r="L156" s="659">
        <f>ROUND(D156*K156,0)</f>
        <v/>
      </c>
      <c r="M156" s="659">
        <f>IF(E156="",ROUND(L156+'อัปเดตราคาอลู'!$B$13*S156,0),ROUND(E156*K156,0))</f>
        <v/>
      </c>
      <c r="N156" s="659">
        <f>M156</f>
        <v/>
      </c>
      <c r="O156" s="659">
        <f>IF(G156="",ROUND(L156+rate_special*S156,0),ROUND(G156*mult_euro,0))</f>
        <v/>
      </c>
      <c r="P156" s="659">
        <f>IF(H156="",ROUND(L156+rate_woodbake*S156,0),ROUND(H156*mult_wood,0))</f>
        <v/>
      </c>
      <c r="Q156" s="659">
        <f>IF(I156="",ROUND(L156+rate_woodbake*S156,0),ROUND(I156*mult_wood,0))</f>
        <v/>
      </c>
      <c r="R156" s="659">
        <f>IF(J156="",ROUND(L156+rate_woodbake*S156,0),ROUND(J156*mult_wood,0))</f>
        <v/>
      </c>
      <c r="S156" s="705">
        <f>ROUND(D156/(IF(ISNUMBER(SEARCH("เมืองทอง",C156)),'อัปเดตราคาอลู'!$F$8,IF(ISNUMBER(SEARCH("SlimLux",C156)),'อัปเดตราคาอลู'!$F$6,IF(ISNUMBER(SEARCH("Velora",C156)),'อัปเดตราคาอลู'!$F$7,IF(ISNUMBER(SEARCH("Fuji",C156)),'อัปเดตราคาอลู'!$F$5,'อัปเดตราคาอลู'!$F$4))))),3)</f>
        <v/>
      </c>
      <c r="T156" s="705">
        <f>ROUND(P156/(IF(OR(ISNUMBER(SEARCH("เมืองทอง",C156)),ISNUMBER(SEARCH("SlimLux",C156)),ISNUMBER(SEARCH("Velora",C156))),6,6.4)),3)</f>
        <v/>
      </c>
      <c r="U156" s="767">
        <f>ROUND(L156-D156,0)</f>
        <v/>
      </c>
      <c r="V156" s="659">
        <f>IF(D156="","",ROUND(D156+rate_anodize*S156,0))</f>
        <v/>
      </c>
    </row>
    <row r="157">
      <c r="A157" s="434" t="inlineStr">
        <is>
          <t>WM-K19</t>
        </is>
      </c>
      <c r="B157" s="434" t="inlineStr">
        <is>
          <t>ข้อต่อรางแขวน</t>
        </is>
      </c>
      <c r="C157" s="434" t="inlineStr">
        <is>
          <t>อลูมิเนียม SlimLux</t>
        </is>
      </c>
      <c r="D157" s="399" t="n">
        <v>116</v>
      </c>
      <c r="E157" s="399" t="n">
        <v>185</v>
      </c>
      <c r="F157" s="399">
        <f>E157</f>
        <v/>
      </c>
      <c r="G157" s="399" t="n"/>
      <c r="H157" s="399" t="n"/>
      <c r="I157" s="399" t="n"/>
      <c r="J157" s="399" t="n"/>
      <c r="K157" s="676">
        <f>IF(ISNUMBER(SEARCH("เมืองทอง",C157)),mult_mtong,IF(ISNUMBER(SEARCH("SlimLux",C157)),mult_slim,IF(ISNUMBER(SEARCH("Velora",C157)),mult_velora,IF(ISNUMBER(SEARCH("Fuji",C157)),mult_euro,mult_sms))))</f>
        <v/>
      </c>
      <c r="L157" s="659">
        <f>ROUND(D157*K157,0)</f>
        <v/>
      </c>
      <c r="M157" s="659">
        <f>IF(E157="",ROUND(L157+'อัปเดตราคาอลู'!$B$13*S157,0),ROUND(E157*K157,0))</f>
        <v/>
      </c>
      <c r="N157" s="659">
        <f>M157</f>
        <v/>
      </c>
      <c r="O157" s="659">
        <f>IF(G157="",ROUND(L157+rate_special*S157,0),ROUND(G157*mult_euro,0))</f>
        <v/>
      </c>
      <c r="P157" s="659">
        <f>IF(H157="",ROUND(L157+rate_woodbake*S157,0),ROUND(H157*mult_wood,0))</f>
        <v/>
      </c>
      <c r="Q157" s="659">
        <f>IF(I157="",ROUND(L157+rate_woodbake*S157,0),ROUND(I157*mult_wood,0))</f>
        <v/>
      </c>
      <c r="R157" s="659">
        <f>IF(J157="",ROUND(L157+rate_woodbake*S157,0),ROUND(J157*mult_wood,0))</f>
        <v/>
      </c>
      <c r="S157" s="705">
        <f>ROUND(D157/(IF(ISNUMBER(SEARCH("เมืองทอง",C157)),'อัปเดตราคาอลู'!$F$8,IF(ISNUMBER(SEARCH("SlimLux",C157)),'อัปเดตราคาอลู'!$F$6,IF(ISNUMBER(SEARCH("Velora",C157)),'อัปเดตราคาอลู'!$F$7,IF(ISNUMBER(SEARCH("Fuji",C157)),'อัปเดตราคาอลู'!$F$5,'อัปเดตราคาอลู'!$F$4))))),3)</f>
        <v/>
      </c>
      <c r="T157" s="705">
        <f>ROUND(P157/(IF(OR(ISNUMBER(SEARCH("เมืองทอง",C157)),ISNUMBER(SEARCH("SlimLux",C157)),ISNUMBER(SEARCH("Velora",C157))),6,6.4)),3)</f>
        <v/>
      </c>
      <c r="U157" s="767">
        <f>ROUND(L157-D157,0)</f>
        <v/>
      </c>
      <c r="V157" s="659">
        <f>IF(D157="","",ROUND(D157+rate_anodize*S157,0))</f>
        <v/>
      </c>
    </row>
    <row r="158">
      <c r="A158" s="434" t="inlineStr">
        <is>
          <t>WM-K18</t>
        </is>
      </c>
      <c r="B158" s="434" t="inlineStr">
        <is>
          <t>ฝาปิดข้างรางแขวน</t>
        </is>
      </c>
      <c r="C158" s="434" t="inlineStr">
        <is>
          <t>อลูมิเนียม SlimLux</t>
        </is>
      </c>
      <c r="D158" s="399" t="n">
        <v>147</v>
      </c>
      <c r="E158" s="399" t="n">
        <v>233</v>
      </c>
      <c r="F158" s="399">
        <f>E158</f>
        <v/>
      </c>
      <c r="G158" s="399" t="n"/>
      <c r="H158" s="399" t="n"/>
      <c r="I158" s="399" t="n"/>
      <c r="J158" s="399" t="n"/>
      <c r="K158" s="676">
        <f>IF(ISNUMBER(SEARCH("เมืองทอง",C158)),mult_mtong,IF(ISNUMBER(SEARCH("SlimLux",C158)),mult_slim,IF(ISNUMBER(SEARCH("Velora",C158)),mult_velora,IF(ISNUMBER(SEARCH("Fuji",C158)),mult_euro,mult_sms))))</f>
        <v/>
      </c>
      <c r="L158" s="659">
        <f>ROUND(D158*K158,0)</f>
        <v/>
      </c>
      <c r="M158" s="659">
        <f>IF(E158="",ROUND(L158+'อัปเดตราคาอลู'!$B$13*S158,0),ROUND(E158*K158,0))</f>
        <v/>
      </c>
      <c r="N158" s="659">
        <f>M158</f>
        <v/>
      </c>
      <c r="O158" s="659">
        <f>IF(G158="",ROUND(L158+rate_special*S158,0),ROUND(G158*mult_euro,0))</f>
        <v/>
      </c>
      <c r="P158" s="659">
        <f>IF(H158="",ROUND(L158+rate_woodbake*S158,0),ROUND(H158*mult_wood,0))</f>
        <v/>
      </c>
      <c r="Q158" s="659">
        <f>IF(I158="",ROUND(L158+rate_woodbake*S158,0),ROUND(I158*mult_wood,0))</f>
        <v/>
      </c>
      <c r="R158" s="659">
        <f>IF(J158="",ROUND(L158+rate_woodbake*S158,0),ROUND(J158*mult_wood,0))</f>
        <v/>
      </c>
      <c r="S158" s="705">
        <f>ROUND(D158/(IF(ISNUMBER(SEARCH("เมืองทอง",C158)),'อัปเดตราคาอลู'!$F$8,IF(ISNUMBER(SEARCH("SlimLux",C158)),'อัปเดตราคาอลู'!$F$6,IF(ISNUMBER(SEARCH("Velora",C158)),'อัปเดตราคาอลู'!$F$7,IF(ISNUMBER(SEARCH("Fuji",C158)),'อัปเดตราคาอลู'!$F$5,'อัปเดตราคาอลู'!$F$4))))),3)</f>
        <v/>
      </c>
      <c r="T158" s="705">
        <f>ROUND(P158/(IF(OR(ISNUMBER(SEARCH("เมืองทอง",C158)),ISNUMBER(SEARCH("SlimLux",C158)),ISNUMBER(SEARCH("Velora",C158))),6,6.4)),3)</f>
        <v/>
      </c>
      <c r="U158" s="767">
        <f>ROUND(L158-D158,0)</f>
        <v/>
      </c>
      <c r="V158" s="659">
        <f>IF(D158="","",ROUND(D158+rate_anodize*S158,0))</f>
        <v/>
      </c>
    </row>
    <row r="159">
      <c r="A159" s="434" t="inlineStr">
        <is>
          <t>WM-K20</t>
        </is>
      </c>
      <c r="B159" s="434" t="inlineStr">
        <is>
          <t>ฝาปิดล่างรางแขวน</t>
        </is>
      </c>
      <c r="C159" s="434" t="inlineStr">
        <is>
          <t>อลูมิเนียม SlimLux</t>
        </is>
      </c>
      <c r="D159" s="399" t="n">
        <v>81</v>
      </c>
      <c r="E159" s="399" t="n">
        <v>128</v>
      </c>
      <c r="F159" s="399">
        <f>E159</f>
        <v/>
      </c>
      <c r="G159" s="399" t="n"/>
      <c r="H159" s="399" t="n"/>
      <c r="I159" s="399" t="n"/>
      <c r="J159" s="399" t="n"/>
      <c r="K159" s="676">
        <f>IF(ISNUMBER(SEARCH("เมืองทอง",C159)),mult_mtong,IF(ISNUMBER(SEARCH("SlimLux",C159)),mult_slim,IF(ISNUMBER(SEARCH("Velora",C159)),mult_velora,IF(ISNUMBER(SEARCH("Fuji",C159)),mult_euro,mult_sms))))</f>
        <v/>
      </c>
      <c r="L159" s="659">
        <f>ROUND(D159*K159,0)</f>
        <v/>
      </c>
      <c r="M159" s="659">
        <f>IF(E159="",ROUND(L159+'อัปเดตราคาอลู'!$B$13*S159,0),ROUND(E159*K159,0))</f>
        <v/>
      </c>
      <c r="N159" s="659">
        <f>M159</f>
        <v/>
      </c>
      <c r="O159" s="659">
        <f>IF(G159="",ROUND(L159+rate_special*S159,0),ROUND(G159*mult_euro,0))</f>
        <v/>
      </c>
      <c r="P159" s="659">
        <f>IF(H159="",ROUND(L159+rate_woodbake*S159,0),ROUND(H159*mult_wood,0))</f>
        <v/>
      </c>
      <c r="Q159" s="659">
        <f>IF(I159="",ROUND(L159+rate_woodbake*S159,0),ROUND(I159*mult_wood,0))</f>
        <v/>
      </c>
      <c r="R159" s="659">
        <f>IF(J159="",ROUND(L159+rate_woodbake*S159,0),ROUND(J159*mult_wood,0))</f>
        <v/>
      </c>
      <c r="S159" s="705">
        <f>ROUND(D159/(IF(ISNUMBER(SEARCH("เมืองทอง",C159)),'อัปเดตราคาอลู'!$F$8,IF(ISNUMBER(SEARCH("SlimLux",C159)),'อัปเดตราคาอลู'!$F$6,IF(ISNUMBER(SEARCH("Velora",C159)),'อัปเดตราคาอลู'!$F$7,IF(ISNUMBER(SEARCH("Fuji",C159)),'อัปเดตราคาอลู'!$F$5,'อัปเดตราคาอลู'!$F$4))))),3)</f>
        <v/>
      </c>
      <c r="T159" s="705">
        <f>ROUND(P159/(IF(OR(ISNUMBER(SEARCH("เมืองทอง",C159)),ISNUMBER(SEARCH("SlimLux",C159)),ISNUMBER(SEARCH("Velora",C159))),6,6.4)),3)</f>
        <v/>
      </c>
      <c r="U159" s="767">
        <f>ROUND(L159-D159,0)</f>
        <v/>
      </c>
      <c r="V159" s="659">
        <f>IF(D159="","",ROUND(D159+rate_anodize*S159,0))</f>
        <v/>
      </c>
    </row>
    <row r="160">
      <c r="A160" s="434" t="inlineStr">
        <is>
          <t>WM-K21A</t>
        </is>
      </c>
      <c r="B160" s="434" t="inlineStr">
        <is>
          <t>ฝาปิดล่างรางแขวนตัวใหญ่</t>
        </is>
      </c>
      <c r="C160" s="434" t="inlineStr">
        <is>
          <t>อลูมิเนียม SlimLux</t>
        </is>
      </c>
      <c r="D160" s="399" t="n">
        <v>143</v>
      </c>
      <c r="E160" s="399" t="n">
        <v>227</v>
      </c>
      <c r="F160" s="399">
        <f>E160</f>
        <v/>
      </c>
      <c r="G160" s="399" t="n"/>
      <c r="H160" s="399" t="n"/>
      <c r="I160" s="399" t="n"/>
      <c r="J160" s="399" t="n"/>
      <c r="K160" s="676">
        <f>IF(ISNUMBER(SEARCH("เมืองทอง",C160)),mult_mtong,IF(ISNUMBER(SEARCH("SlimLux",C160)),mult_slim,IF(ISNUMBER(SEARCH("Velora",C160)),mult_velora,IF(ISNUMBER(SEARCH("Fuji",C160)),mult_euro,mult_sms))))</f>
        <v/>
      </c>
      <c r="L160" s="659">
        <f>ROUND(D160*K160,0)</f>
        <v/>
      </c>
      <c r="M160" s="659">
        <f>IF(E160="",ROUND(L160+'อัปเดตราคาอลู'!$B$13*S160,0),ROUND(E160*K160,0))</f>
        <v/>
      </c>
      <c r="N160" s="659">
        <f>M160</f>
        <v/>
      </c>
      <c r="O160" s="659">
        <f>IF(G160="",ROUND(L160+rate_special*S160,0),ROUND(G160*mult_euro,0))</f>
        <v/>
      </c>
      <c r="P160" s="659">
        <f>IF(H160="",ROUND(L160+rate_woodbake*S160,0),ROUND(H160*mult_wood,0))</f>
        <v/>
      </c>
      <c r="Q160" s="659">
        <f>IF(I160="",ROUND(L160+rate_woodbake*S160,0),ROUND(I160*mult_wood,0))</f>
        <v/>
      </c>
      <c r="R160" s="659">
        <f>IF(J160="",ROUND(L160+rate_woodbake*S160,0),ROUND(J160*mult_wood,0))</f>
        <v/>
      </c>
      <c r="S160" s="705">
        <f>ROUND(D160/(IF(ISNUMBER(SEARCH("เมืองทอง",C160)),'อัปเดตราคาอลู'!$F$8,IF(ISNUMBER(SEARCH("SlimLux",C160)),'อัปเดตราคาอลู'!$F$6,IF(ISNUMBER(SEARCH("Velora",C160)),'อัปเดตราคาอลู'!$F$7,IF(ISNUMBER(SEARCH("Fuji",C160)),'อัปเดตราคาอลู'!$F$5,'อัปเดตราคาอลู'!$F$4))))),3)</f>
        <v/>
      </c>
      <c r="T160" s="705">
        <f>ROUND(P160/(IF(OR(ISNUMBER(SEARCH("เมืองทอง",C160)),ISNUMBER(SEARCH("SlimLux",C160)),ISNUMBER(SEARCH("Velora",C160))),6,6.4)),3)</f>
        <v/>
      </c>
      <c r="U160" s="767">
        <f>ROUND(L160-D160,0)</f>
        <v/>
      </c>
      <c r="V160" s="659">
        <f>IF(D160="","",ROUND(D160+rate_anodize*S160,0))</f>
        <v/>
      </c>
    </row>
    <row r="161">
      <c r="A161" s="434" t="inlineStr">
        <is>
          <t>-</t>
        </is>
      </c>
      <c r="B161" s="434" t="inlineStr">
        <is>
          <t>วงกบ</t>
        </is>
      </c>
      <c r="C161" s="434" t="inlineStr">
        <is>
          <t>อลูมิเนียม SlimLux</t>
        </is>
      </c>
      <c r="D161" s="399" t="n">
        <v>608</v>
      </c>
      <c r="E161" s="399" t="n">
        <v>966</v>
      </c>
      <c r="F161" s="399">
        <f>E161</f>
        <v/>
      </c>
      <c r="G161" s="399" t="n"/>
      <c r="H161" s="399" t="n"/>
      <c r="I161" s="399" t="n"/>
      <c r="J161" s="399" t="n"/>
      <c r="K161" s="676">
        <f>IF(ISNUMBER(SEARCH("เมืองทอง",C161)),mult_mtong,IF(ISNUMBER(SEARCH("SlimLux",C161)),mult_slim,IF(ISNUMBER(SEARCH("Velora",C161)),mult_velora,IF(ISNUMBER(SEARCH("Fuji",C161)),mult_euro,mult_sms))))</f>
        <v/>
      </c>
      <c r="L161" s="659">
        <f>ROUND(D161*K161,0)</f>
        <v/>
      </c>
      <c r="M161" s="659">
        <f>IF(E161="",ROUND(L161+'อัปเดตราคาอลู'!$B$13*S161,0),ROUND(E161*K161,0))</f>
        <v/>
      </c>
      <c r="N161" s="659">
        <f>M161</f>
        <v/>
      </c>
      <c r="O161" s="659">
        <f>IF(G161="",ROUND(L161+rate_special*S161,0),ROUND(G161*mult_euro,0))</f>
        <v/>
      </c>
      <c r="P161" s="659">
        <f>IF(H161="",ROUND(L161+rate_woodbake*S161,0),ROUND(H161*mult_wood,0))</f>
        <v/>
      </c>
      <c r="Q161" s="659">
        <f>IF(I161="",ROUND(L161+rate_woodbake*S161,0),ROUND(I161*mult_wood,0))</f>
        <v/>
      </c>
      <c r="R161" s="659">
        <f>IF(J161="",ROUND(L161+rate_woodbake*S161,0),ROUND(J161*mult_wood,0))</f>
        <v/>
      </c>
      <c r="S161" s="705">
        <f>ROUND(D161/(IF(ISNUMBER(SEARCH("เมืองทอง",C161)),'อัปเดตราคาอลู'!$F$8,IF(ISNUMBER(SEARCH("SlimLux",C161)),'อัปเดตราคาอลู'!$F$6,IF(ISNUMBER(SEARCH("Velora",C161)),'อัปเดตราคาอลู'!$F$7,IF(ISNUMBER(SEARCH("Fuji",C161)),'อัปเดตราคาอลู'!$F$5,'อัปเดตราคาอลู'!$F$4))))),3)</f>
        <v/>
      </c>
      <c r="T161" s="705">
        <f>ROUND(P161/(IF(OR(ISNUMBER(SEARCH("เมืองทอง",C161)),ISNUMBER(SEARCH("SlimLux",C161)),ISNUMBER(SEARCH("Velora",C161))),6,6.4)),3)</f>
        <v/>
      </c>
      <c r="U161" s="767">
        <f>ROUND(L161-D161,0)</f>
        <v/>
      </c>
      <c r="V161" s="659">
        <f>IF(D161="","",ROUND(D161+rate_anodize*S161,0))</f>
        <v/>
      </c>
    </row>
    <row r="162">
      <c r="A162" s="434" t="inlineStr">
        <is>
          <t>-</t>
        </is>
      </c>
      <c r="B162" s="434" t="inlineStr">
        <is>
          <t>ลูกฟูก</t>
        </is>
      </c>
      <c r="C162" s="434" t="inlineStr">
        <is>
          <t>อลูมิเนียม SlimLux</t>
        </is>
      </c>
      <c r="D162" s="399" t="n">
        <v>432</v>
      </c>
      <c r="E162" s="399" t="n">
        <v>687</v>
      </c>
      <c r="F162" s="399">
        <f>E162</f>
        <v/>
      </c>
      <c r="G162" s="399" t="n"/>
      <c r="H162" s="399" t="n"/>
      <c r="I162" s="399" t="n"/>
      <c r="J162" s="399" t="n"/>
      <c r="K162" s="676">
        <f>IF(ISNUMBER(SEARCH("เมืองทอง",C162)),mult_mtong,IF(ISNUMBER(SEARCH("SlimLux",C162)),mult_slim,IF(ISNUMBER(SEARCH("Velora",C162)),mult_velora,IF(ISNUMBER(SEARCH("Fuji",C162)),mult_euro,mult_sms))))</f>
        <v/>
      </c>
      <c r="L162" s="659">
        <f>ROUND(D162*K162,0)</f>
        <v/>
      </c>
      <c r="M162" s="659">
        <f>IF(E162="",ROUND(L162+'อัปเดตราคาอลู'!$B$13*S162,0),ROUND(E162*K162,0))</f>
        <v/>
      </c>
      <c r="N162" s="659">
        <f>M162</f>
        <v/>
      </c>
      <c r="O162" s="659">
        <f>IF(G162="",ROUND(L162+rate_special*S162,0),ROUND(G162*mult_euro,0))</f>
        <v/>
      </c>
      <c r="P162" s="659">
        <f>IF(H162="",ROUND(L162+rate_woodbake*S162,0),ROUND(H162*mult_wood,0))</f>
        <v/>
      </c>
      <c r="Q162" s="659">
        <f>IF(I162="",ROUND(L162+rate_woodbake*S162,0),ROUND(I162*mult_wood,0))</f>
        <v/>
      </c>
      <c r="R162" s="659">
        <f>IF(J162="",ROUND(L162+rate_woodbake*S162,0),ROUND(J162*mult_wood,0))</f>
        <v/>
      </c>
      <c r="S162" s="705">
        <f>ROUND(D162/(IF(ISNUMBER(SEARCH("เมืองทอง",C162)),'อัปเดตราคาอลู'!$F$8,IF(ISNUMBER(SEARCH("SlimLux",C162)),'อัปเดตราคาอลู'!$F$6,IF(ISNUMBER(SEARCH("Velora",C162)),'อัปเดตราคาอลู'!$F$7,IF(ISNUMBER(SEARCH("Fuji",C162)),'อัปเดตราคาอลู'!$F$5,'อัปเดตราคาอลู'!$F$4))))),3)</f>
        <v/>
      </c>
      <c r="T162" s="705">
        <f>ROUND(P162/(IF(OR(ISNUMBER(SEARCH("เมืองทอง",C162)),ISNUMBER(SEARCH("SlimLux",C162)),ISNUMBER(SEARCH("Velora",C162))),6,6.4)),3)</f>
        <v/>
      </c>
      <c r="U162" s="767">
        <f>ROUND(L162-D162,0)</f>
        <v/>
      </c>
      <c r="V162" s="659">
        <f>IF(D162="","",ROUND(D162+rate_anodize*S162,0))</f>
        <v/>
      </c>
    </row>
    <row r="163">
      <c r="A163" s="434" t="inlineStr">
        <is>
          <t>-</t>
        </is>
      </c>
      <c r="B163" s="434" t="inlineStr">
        <is>
          <t>ซัพวงกบใน</t>
        </is>
      </c>
      <c r="C163" s="434" t="inlineStr">
        <is>
          <t>อลูมิเนียม SlimLux</t>
        </is>
      </c>
      <c r="D163" s="399" t="n">
        <v>78</v>
      </c>
      <c r="E163" s="399" t="n">
        <v>123</v>
      </c>
      <c r="F163" s="399">
        <f>E163</f>
        <v/>
      </c>
      <c r="G163" s="399" t="n"/>
      <c r="H163" s="399" t="n"/>
      <c r="I163" s="399" t="n"/>
      <c r="J163" s="399" t="n"/>
      <c r="K163" s="676">
        <f>IF(ISNUMBER(SEARCH("เมืองทอง",C163)),mult_mtong,IF(ISNUMBER(SEARCH("SlimLux",C163)),mult_slim,IF(ISNUMBER(SEARCH("Velora",C163)),mult_velora,IF(ISNUMBER(SEARCH("Fuji",C163)),mult_euro,mult_sms))))</f>
        <v/>
      </c>
      <c r="L163" s="659">
        <f>ROUND(D163*K163,0)</f>
        <v/>
      </c>
      <c r="M163" s="659">
        <f>IF(E163="",ROUND(L163+'อัปเดตราคาอลู'!$B$13*S163,0),ROUND(E163*K163,0))</f>
        <v/>
      </c>
      <c r="N163" s="659">
        <f>M163</f>
        <v/>
      </c>
      <c r="O163" s="659">
        <f>IF(G163="",ROUND(L163+rate_special*S163,0),ROUND(G163*mult_euro,0))</f>
        <v/>
      </c>
      <c r="P163" s="659">
        <f>IF(H163="",ROUND(L163+rate_woodbake*S163,0),ROUND(H163*mult_wood,0))</f>
        <v/>
      </c>
      <c r="Q163" s="659">
        <f>IF(I163="",ROUND(L163+rate_woodbake*S163,0),ROUND(I163*mult_wood,0))</f>
        <v/>
      </c>
      <c r="R163" s="659">
        <f>IF(J163="",ROUND(L163+rate_woodbake*S163,0),ROUND(J163*mult_wood,0))</f>
        <v/>
      </c>
      <c r="S163" s="705">
        <f>ROUND(D163/(IF(ISNUMBER(SEARCH("เมืองทอง",C163)),'อัปเดตราคาอลู'!$F$8,IF(ISNUMBER(SEARCH("SlimLux",C163)),'อัปเดตราคาอลู'!$F$6,IF(ISNUMBER(SEARCH("Velora",C163)),'อัปเดตราคาอลู'!$F$7,IF(ISNUMBER(SEARCH("Fuji",C163)),'อัปเดตราคาอลู'!$F$5,'อัปเดตราคาอลู'!$F$4))))),3)</f>
        <v/>
      </c>
      <c r="T163" s="705">
        <f>ROUND(P163/(IF(OR(ISNUMBER(SEARCH("เมืองทอง",C163)),ISNUMBER(SEARCH("SlimLux",C163)),ISNUMBER(SEARCH("Velora",C163))),6,6.4)),3)</f>
        <v/>
      </c>
      <c r="U163" s="767">
        <f>ROUND(L163-D163,0)</f>
        <v/>
      </c>
      <c r="V163" s="659">
        <f>IF(D163="","",ROUND(D163+rate_anodize*S163,0))</f>
        <v/>
      </c>
    </row>
    <row r="164">
      <c r="A164" s="434" t="inlineStr">
        <is>
          <t>-</t>
        </is>
      </c>
      <c r="B164" s="434" t="inlineStr">
        <is>
          <t>ซัพวงกบนอก</t>
        </is>
      </c>
      <c r="C164" s="434" t="inlineStr">
        <is>
          <t>อลูมิเนียม SlimLux</t>
        </is>
      </c>
      <c r="D164" s="399" t="n">
        <v>286</v>
      </c>
      <c r="E164" s="399" t="n">
        <v>454</v>
      </c>
      <c r="F164" s="399">
        <f>E164</f>
        <v/>
      </c>
      <c r="G164" s="399" t="n"/>
      <c r="H164" s="399" t="n"/>
      <c r="I164" s="399" t="n"/>
      <c r="J164" s="399" t="n"/>
      <c r="K164" s="676">
        <f>IF(ISNUMBER(SEARCH("เมืองทอง",C164)),mult_mtong,IF(ISNUMBER(SEARCH("SlimLux",C164)),mult_slim,IF(ISNUMBER(SEARCH("Velora",C164)),mult_velora,IF(ISNUMBER(SEARCH("Fuji",C164)),mult_euro,mult_sms))))</f>
        <v/>
      </c>
      <c r="L164" s="659">
        <f>ROUND(D164*K164,0)</f>
        <v/>
      </c>
      <c r="M164" s="659">
        <f>IF(E164="",ROUND(L164+'อัปเดตราคาอลู'!$B$13*S164,0),ROUND(E164*K164,0))</f>
        <v/>
      </c>
      <c r="N164" s="659">
        <f>M164</f>
        <v/>
      </c>
      <c r="O164" s="659">
        <f>IF(G164="",ROUND(L164+rate_special*S164,0),ROUND(G164*mult_euro,0))</f>
        <v/>
      </c>
      <c r="P164" s="659">
        <f>IF(H164="",ROUND(L164+rate_woodbake*S164,0),ROUND(H164*mult_wood,0))</f>
        <v/>
      </c>
      <c r="Q164" s="659">
        <f>IF(I164="",ROUND(L164+rate_woodbake*S164,0),ROUND(I164*mult_wood,0))</f>
        <v/>
      </c>
      <c r="R164" s="659">
        <f>IF(J164="",ROUND(L164+rate_woodbake*S164,0),ROUND(J164*mult_wood,0))</f>
        <v/>
      </c>
      <c r="S164" s="705">
        <f>ROUND(D164/(IF(ISNUMBER(SEARCH("เมืองทอง",C164)),'อัปเดตราคาอลู'!$F$8,IF(ISNUMBER(SEARCH("SlimLux",C164)),'อัปเดตราคาอลู'!$F$6,IF(ISNUMBER(SEARCH("Velora",C164)),'อัปเดตราคาอลู'!$F$7,IF(ISNUMBER(SEARCH("Fuji",C164)),'อัปเดตราคาอลู'!$F$5,'อัปเดตราคาอลู'!$F$4))))),3)</f>
        <v/>
      </c>
      <c r="T164" s="705">
        <f>ROUND(P164/(IF(OR(ISNUMBER(SEARCH("เมืองทอง",C164)),ISNUMBER(SEARCH("SlimLux",C164)),ISNUMBER(SEARCH("Velora",C164))),6,6.4)),3)</f>
        <v/>
      </c>
      <c r="U164" s="767">
        <f>ROUND(L164-D164,0)</f>
        <v/>
      </c>
      <c r="V164" s="659">
        <f>IF(D164="","",ROUND(D164+rate_anodize*S164,0))</f>
        <v/>
      </c>
    </row>
    <row r="165">
      <c r="A165" s="434" t="inlineStr">
        <is>
          <t>-</t>
        </is>
      </c>
      <c r="B165" s="434" t="inlineStr">
        <is>
          <t>บาน</t>
        </is>
      </c>
      <c r="C165" s="434" t="inlineStr">
        <is>
          <t>อลูมิเนียม SlimLux</t>
        </is>
      </c>
      <c r="D165" s="399" t="n">
        <v>491</v>
      </c>
      <c r="E165" s="399" t="n">
        <v>779</v>
      </c>
      <c r="F165" s="399">
        <f>E165</f>
        <v/>
      </c>
      <c r="G165" s="399" t="n"/>
      <c r="H165" s="399" t="n"/>
      <c r="I165" s="399" t="n"/>
      <c r="J165" s="399" t="n"/>
      <c r="K165" s="676">
        <f>IF(ISNUMBER(SEARCH("เมืองทอง",C165)),mult_mtong,IF(ISNUMBER(SEARCH("SlimLux",C165)),mult_slim,IF(ISNUMBER(SEARCH("Velora",C165)),mult_velora,IF(ISNUMBER(SEARCH("Fuji",C165)),mult_euro,mult_sms))))</f>
        <v/>
      </c>
      <c r="L165" s="659">
        <f>ROUND(D165*K165,0)</f>
        <v/>
      </c>
      <c r="M165" s="659">
        <f>IF(E165="",ROUND(L165+'อัปเดตราคาอลู'!$B$13*S165,0),ROUND(E165*K165,0))</f>
        <v/>
      </c>
      <c r="N165" s="659">
        <f>M165</f>
        <v/>
      </c>
      <c r="O165" s="659">
        <f>IF(G165="",ROUND(L165+rate_special*S165,0),ROUND(G165*mult_euro,0))</f>
        <v/>
      </c>
      <c r="P165" s="659">
        <f>IF(H165="",ROUND(L165+rate_woodbake*S165,0),ROUND(H165*mult_wood,0))</f>
        <v/>
      </c>
      <c r="Q165" s="659">
        <f>IF(I165="",ROUND(L165+rate_woodbake*S165,0),ROUND(I165*mult_wood,0))</f>
        <v/>
      </c>
      <c r="R165" s="659">
        <f>IF(J165="",ROUND(L165+rate_woodbake*S165,0),ROUND(J165*mult_wood,0))</f>
        <v/>
      </c>
      <c r="S165" s="705">
        <f>ROUND(D165/(IF(ISNUMBER(SEARCH("เมืองทอง",C165)),'อัปเดตราคาอลู'!$F$8,IF(ISNUMBER(SEARCH("SlimLux",C165)),'อัปเดตราคาอลู'!$F$6,IF(ISNUMBER(SEARCH("Velora",C165)),'อัปเดตราคาอลู'!$F$7,IF(ISNUMBER(SEARCH("Fuji",C165)),'อัปเดตราคาอลู'!$F$5,'อัปเดตราคาอลู'!$F$4))))),3)</f>
        <v/>
      </c>
      <c r="T165" s="705">
        <f>ROUND(P165/(IF(OR(ISNUMBER(SEARCH("เมืองทอง",C165)),ISNUMBER(SEARCH("SlimLux",C165)),ISNUMBER(SEARCH("Velora",C165))),6,6.4)),3)</f>
        <v/>
      </c>
      <c r="U165" s="767">
        <f>ROUND(L165-D165,0)</f>
        <v/>
      </c>
      <c r="V165" s="659">
        <f>IF(D165="","",ROUND(D165+rate_anodize*S165,0))</f>
        <v/>
      </c>
    </row>
    <row r="166">
      <c r="A166" s="684" t="inlineStr">
        <is>
          <t>━ Velora ━</t>
        </is>
      </c>
      <c r="D166" s="399" t="n"/>
      <c r="E166" s="399" t="n"/>
      <c r="F166" s="399">
        <f>E166</f>
        <v/>
      </c>
      <c r="G166" s="399" t="n"/>
      <c r="H166" s="399" t="n"/>
      <c r="I166" s="399" t="n"/>
      <c r="J166" s="399" t="n"/>
      <c r="K166" s="676">
        <f>IF(ISNUMBER(SEARCH("เมืองทอง",C166)),mult_mtong,IF(ISNUMBER(SEARCH("SlimLux",C166)),mult_slim,IF(ISNUMBER(SEARCH("Velora",C166)),mult_velora,IF(ISNUMBER(SEARCH("Fuji",C166)),mult_euro,mult_sms))))</f>
        <v/>
      </c>
      <c r="L166" s="659">
        <f>ROUND(D166*K166,0)</f>
        <v/>
      </c>
      <c r="M166" s="659">
        <f>ROUND(E166*K166,0)</f>
        <v/>
      </c>
      <c r="N166" s="659">
        <f>M166</f>
        <v/>
      </c>
      <c r="O166" s="659">
        <f>IF(G166="","",ROUND(G166*mult_euro,0))</f>
        <v/>
      </c>
      <c r="P166" s="659">
        <f>ROUND(H166*mult_wood,0)</f>
        <v/>
      </c>
      <c r="Q166" s="659">
        <f>IF(I166="","",ROUND(I166*mult_wood,0))</f>
        <v/>
      </c>
      <c r="R166" s="659">
        <f>IF(J166="","",ROUND(J166*mult_wood,0))</f>
        <v/>
      </c>
      <c r="S166" s="705">
        <f>ROUND(D166/(IF(ISNUMBER(SEARCH("เมืองทอง",C166)),'อัปเดตราคาอลู'!$F$8,IF(ISNUMBER(SEARCH("SlimLux",C166)),'อัปเดตราคาอลู'!$F$6,IF(ISNUMBER(SEARCH("Velora",C166)),'อัปเดตราคาอลู'!$F$7,IF(ISNUMBER(SEARCH("Fuji",C166)),'อัปเดตราคาอลู'!$F$5,'อัปเดตราคาอลู'!$F$4))))),3)</f>
        <v/>
      </c>
      <c r="T166" s="705">
        <f>ROUND(P166/(IF(OR(ISNUMBER(SEARCH("เมืองทอง",C166)),ISNUMBER(SEARCH("SlimLux",C166)),ISNUMBER(SEARCH("Velora",C166))),6,6.4)),3)</f>
        <v/>
      </c>
      <c r="U166" s="767">
        <f>ROUND(L166-D166,0)</f>
        <v/>
      </c>
      <c r="V166" s="659" t="n"/>
    </row>
    <row r="167">
      <c r="A167" s="434" t="inlineStr">
        <is>
          <t>-</t>
        </is>
      </c>
      <c r="B167" s="434" t="inlineStr">
        <is>
          <t>บาน</t>
        </is>
      </c>
      <c r="C167" s="434" t="inlineStr">
        <is>
          <t>อลูมิเนียม Velora</t>
        </is>
      </c>
      <c r="D167" s="399" t="n">
        <v>693</v>
      </c>
      <c r="E167" s="399" t="n">
        <v>981</v>
      </c>
      <c r="F167" s="399">
        <f>E167</f>
        <v/>
      </c>
      <c r="G167" s="399" t="n"/>
      <c r="H167" s="399" t="n"/>
      <c r="I167" s="399" t="n"/>
      <c r="J167" s="399" t="n"/>
      <c r="K167" s="676">
        <f>IF(ISNUMBER(SEARCH("เมืองทอง",C167)),mult_mtong,IF(ISNUMBER(SEARCH("SlimLux",C167)),mult_slim,IF(ISNUMBER(SEARCH("Velora",C167)),mult_velora,IF(ISNUMBER(SEARCH("Fuji",C167)),mult_euro,mult_sms))))</f>
        <v/>
      </c>
      <c r="L167" s="659">
        <f>ROUND(D167*K167,0)</f>
        <v/>
      </c>
      <c r="M167" s="659">
        <f>IF(E167="",ROUND(L167+'อัปเดตราคาอลู'!$B$13*S167,0),ROUND(E167*K167,0))</f>
        <v/>
      </c>
      <c r="N167" s="659">
        <f>M167</f>
        <v/>
      </c>
      <c r="O167" s="659">
        <f>IF(G167="",ROUND(L167+rate_special*S167,0),ROUND(G167*mult_euro,0))</f>
        <v/>
      </c>
      <c r="P167" s="659">
        <f>IF(H167="",ROUND(L167+rate_woodbake*S167,0),ROUND(H167*mult_wood,0))</f>
        <v/>
      </c>
      <c r="Q167" s="659">
        <f>IF(I167="",ROUND(L167+rate_woodbake*S167,0),ROUND(I167*mult_wood,0))</f>
        <v/>
      </c>
      <c r="R167" s="659">
        <f>IF(J167="",ROUND(L167+rate_woodbake*S167,0),ROUND(J167*mult_wood,0))</f>
        <v/>
      </c>
      <c r="S167" s="705">
        <f>ROUND(D167/(IF(ISNUMBER(SEARCH("เมืองทอง",C167)),'อัปเดตราคาอลู'!$F$8,IF(ISNUMBER(SEARCH("SlimLux",C167)),'อัปเดตราคาอลู'!$F$6,IF(ISNUMBER(SEARCH("Velora",C167)),'อัปเดตราคาอลู'!$F$7,IF(ISNUMBER(SEARCH("Fuji",C167)),'อัปเดตราคาอลู'!$F$5,'อัปเดตราคาอลู'!$F$4))))),3)</f>
        <v/>
      </c>
      <c r="T167" s="705">
        <f>ROUND(P167/(IF(OR(ISNUMBER(SEARCH("เมืองทอง",C167)),ISNUMBER(SEARCH("SlimLux",C167)),ISNUMBER(SEARCH("Velora",C167))),6,6.4)),3)</f>
        <v/>
      </c>
      <c r="U167" s="767">
        <f>ROUND(L167-D167,0)</f>
        <v/>
      </c>
      <c r="V167" s="659">
        <f>IF(D167="","",ROUND(D167+rate_anodize*S167,0))</f>
        <v/>
      </c>
    </row>
    <row r="168">
      <c r="A168" s="434" t="inlineStr">
        <is>
          <t>-</t>
        </is>
      </c>
      <c r="B168" s="434" t="inlineStr">
        <is>
          <t>วงกบ</t>
        </is>
      </c>
      <c r="C168" s="434" t="inlineStr">
        <is>
          <t>อลูมิเนียม Velora</t>
        </is>
      </c>
      <c r="D168" s="399" t="n">
        <v>858</v>
      </c>
      <c r="E168" s="399" t="n">
        <v>1216</v>
      </c>
      <c r="F168" s="399">
        <f>E168</f>
        <v/>
      </c>
      <c r="G168" s="399" t="n"/>
      <c r="H168" s="399" t="n"/>
      <c r="I168" s="399" t="n"/>
      <c r="J168" s="399" t="n"/>
      <c r="K168" s="676">
        <f>IF(ISNUMBER(SEARCH("เมืองทอง",C168)),mult_mtong,IF(ISNUMBER(SEARCH("SlimLux",C168)),mult_slim,IF(ISNUMBER(SEARCH("Velora",C168)),mult_velora,IF(ISNUMBER(SEARCH("Fuji",C168)),mult_euro,mult_sms))))</f>
        <v/>
      </c>
      <c r="L168" s="659">
        <f>ROUND(D168*K168,0)</f>
        <v/>
      </c>
      <c r="M168" s="659">
        <f>IF(E168="",ROUND(L168+'อัปเดตราคาอลู'!$B$13*S168,0),ROUND(E168*K168,0))</f>
        <v/>
      </c>
      <c r="N168" s="659">
        <f>M168</f>
        <v/>
      </c>
      <c r="O168" s="659">
        <f>IF(G168="",ROUND(L168+rate_special*S168,0),ROUND(G168*mult_euro,0))</f>
        <v/>
      </c>
      <c r="P168" s="659">
        <f>IF(H168="",ROUND(L168+rate_woodbake*S168,0),ROUND(H168*mult_wood,0))</f>
        <v/>
      </c>
      <c r="Q168" s="659">
        <f>IF(I168="",ROUND(L168+rate_woodbake*S168,0),ROUND(I168*mult_wood,0))</f>
        <v/>
      </c>
      <c r="R168" s="659">
        <f>IF(J168="",ROUND(L168+rate_woodbake*S168,0),ROUND(J168*mult_wood,0))</f>
        <v/>
      </c>
      <c r="S168" s="705">
        <f>ROUND(D168/(IF(ISNUMBER(SEARCH("เมืองทอง",C168)),'อัปเดตราคาอลู'!$F$8,IF(ISNUMBER(SEARCH("SlimLux",C168)),'อัปเดตราคาอลู'!$F$6,IF(ISNUMBER(SEARCH("Velora",C168)),'อัปเดตราคาอลู'!$F$7,IF(ISNUMBER(SEARCH("Fuji",C168)),'อัปเดตราคาอลู'!$F$5,'อัปเดตราคาอลู'!$F$4))))),3)</f>
        <v/>
      </c>
      <c r="T168" s="705">
        <f>ROUND(P168/(IF(OR(ISNUMBER(SEARCH("เมืองทอง",C168)),ISNUMBER(SEARCH("SlimLux",C168)),ISNUMBER(SEARCH("Velora",C168))),6,6.4)),3)</f>
        <v/>
      </c>
      <c r="U168" s="767">
        <f>ROUND(L168-D168,0)</f>
        <v/>
      </c>
      <c r="V168" s="659">
        <f>IF(D168="","",ROUND(D168+rate_anodize*S168,0))</f>
        <v/>
      </c>
    </row>
    <row r="169">
      <c r="A169" s="684" t="inlineStr">
        <is>
          <t>━ E-series ━</t>
        </is>
      </c>
      <c r="D169" s="399" t="n"/>
      <c r="E169" s="399" t="n"/>
      <c r="F169" s="399">
        <f>E169</f>
        <v/>
      </c>
      <c r="G169" s="399" t="n"/>
      <c r="H169" s="399" t="n"/>
      <c r="I169" s="399" t="n"/>
      <c r="J169" s="399" t="n"/>
      <c r="K169" s="676">
        <f>IF(ISNUMBER(SEARCH("เมืองทอง",C169)),mult_mtong,IF(ISNUMBER(SEARCH("SlimLux",C169)),mult_slim,IF(ISNUMBER(SEARCH("Velora",C169)),mult_velora,IF(ISNUMBER(SEARCH("Fuji",C169)),mult_euro,mult_sms))))</f>
        <v/>
      </c>
      <c r="L169" s="659">
        <f>ROUND(D169*K169,0)</f>
        <v/>
      </c>
      <c r="M169" s="659">
        <f>ROUND(E169*K169,0)</f>
        <v/>
      </c>
      <c r="N169" s="659">
        <f>M169</f>
        <v/>
      </c>
      <c r="O169" s="659">
        <f>IF(G169="","",ROUND(G169*mult_euro,0))</f>
        <v/>
      </c>
      <c r="P169" s="659">
        <f>ROUND(H169*mult_wood,0)</f>
        <v/>
      </c>
      <c r="Q169" s="659">
        <f>IF(I169="","",ROUND(I169*mult_wood,0))</f>
        <v/>
      </c>
      <c r="R169" s="659">
        <f>IF(J169="","",ROUND(J169*mult_wood,0))</f>
        <v/>
      </c>
      <c r="S169" s="705">
        <f>ROUND(D169/(IF(ISNUMBER(SEARCH("เมืองทอง",C169)),'อัปเดตราคาอลู'!$F$8,IF(ISNUMBER(SEARCH("SlimLux",C169)),'อัปเดตราคาอลู'!$F$6,IF(ISNUMBER(SEARCH("Velora",C169)),'อัปเดตราคาอลู'!$F$7,IF(ISNUMBER(SEARCH("Fuji",C169)),'อัปเดตราคาอลู'!$F$5,'อัปเดตราคาอลู'!$F$4))))),3)</f>
        <v/>
      </c>
      <c r="T169" s="705">
        <f>ROUND(P169/(IF(OR(ISNUMBER(SEARCH("เมืองทอง",C169)),ISNUMBER(SEARCH("SlimLux",C169)),ISNUMBER(SEARCH("Velora",C169))),6,6.4)),3)</f>
        <v/>
      </c>
      <c r="U169" s="767">
        <f>ROUND(L169-D169,0)</f>
        <v/>
      </c>
      <c r="V169" s="659" t="n"/>
    </row>
    <row r="170">
      <c r="A170" s="434" t="inlineStr">
        <is>
          <t>E-01</t>
        </is>
      </c>
      <c r="B170" s="434" t="inlineStr">
        <is>
          <t>-</t>
        </is>
      </c>
      <c r="C170" s="434" t="inlineStr">
        <is>
          <t>อลูมิเนียม E-series</t>
        </is>
      </c>
      <c r="D170" s="399" t="n">
        <v>1285</v>
      </c>
      <c r="E170" s="399" t="n">
        <v>1999</v>
      </c>
      <c r="F170" s="399">
        <f>E170</f>
        <v/>
      </c>
      <c r="G170" s="399" t="n"/>
      <c r="H170" s="399" t="n"/>
      <c r="I170" s="399" t="n"/>
      <c r="J170" s="399" t="n"/>
      <c r="K170" s="676">
        <f>IF(ISNUMBER(SEARCH("เมืองทอง",C170)),mult_mtong,IF(ISNUMBER(SEARCH("SlimLux",C170)),mult_slim,IF(ISNUMBER(SEARCH("Velora",C170)),mult_velora,IF(ISNUMBER(SEARCH("Fuji",C170)),mult_euro,mult_sms))))</f>
        <v/>
      </c>
      <c r="L170" s="659">
        <f>ROUND(D170*K170,0)</f>
        <v/>
      </c>
      <c r="M170" s="659">
        <f>IF(E170="",ROUND(L170+'อัปเดตราคาอลู'!$B$13*S170,0),ROUND(E170*K170,0))</f>
        <v/>
      </c>
      <c r="N170" s="659">
        <f>M170</f>
        <v/>
      </c>
      <c r="O170" s="659">
        <f>IF(G170="",ROUND(L170+rate_special*S170,0),ROUND(G170*mult_euro,0))</f>
        <v/>
      </c>
      <c r="P170" s="659">
        <f>IF(H170="",ROUND(L170+rate_woodbake*S170,0),ROUND(H170*mult_wood,0))</f>
        <v/>
      </c>
      <c r="Q170" s="659">
        <f>IF(I170="",ROUND(L170+rate_woodbake*S170,0),ROUND(I170*mult_wood,0))</f>
        <v/>
      </c>
      <c r="R170" s="659">
        <f>IF(J170="",ROUND(L170+rate_woodbake*S170,0),ROUND(J170*mult_wood,0))</f>
        <v/>
      </c>
      <c r="S170" s="705">
        <f>ROUND(D170/(IF(ISNUMBER(SEARCH("เมืองทอง",C170)),'อัปเดตราคาอลู'!$F$8,IF(ISNUMBER(SEARCH("SlimLux",C170)),'อัปเดตราคาอลู'!$F$6,IF(ISNUMBER(SEARCH("Velora",C170)),'อัปเดตราคาอลู'!$F$7,IF(ISNUMBER(SEARCH("Fuji",C170)),'อัปเดตราคาอลู'!$F$5,'อัปเดตราคาอลู'!$F$4))))),3)</f>
        <v/>
      </c>
      <c r="T170" s="705">
        <f>ROUND(P170/(IF(OR(ISNUMBER(SEARCH("เมืองทอง",C170)),ISNUMBER(SEARCH("SlimLux",C170)),ISNUMBER(SEARCH("Velora",C170))),6,6.4)),3)</f>
        <v/>
      </c>
      <c r="U170" s="767">
        <f>ROUND(L170-D170,0)</f>
        <v/>
      </c>
      <c r="V170" s="659">
        <f>IF(D170="","",ROUND(D170+rate_anodize*S170,0))</f>
        <v/>
      </c>
    </row>
    <row r="171">
      <c r="A171" s="434" t="inlineStr">
        <is>
          <t>E-01A</t>
        </is>
      </c>
      <c r="B171" s="434" t="inlineStr">
        <is>
          <t>-</t>
        </is>
      </c>
      <c r="C171" s="434" t="inlineStr">
        <is>
          <t>อลูมิเนียม E-series</t>
        </is>
      </c>
      <c r="D171" s="399" t="n">
        <v>155</v>
      </c>
      <c r="E171" s="399" t="n">
        <v>241</v>
      </c>
      <c r="F171" s="399">
        <f>E171</f>
        <v/>
      </c>
      <c r="G171" s="399" t="n"/>
      <c r="H171" s="399" t="n"/>
      <c r="I171" s="399" t="n"/>
      <c r="J171" s="399" t="n"/>
      <c r="K171" s="676">
        <f>IF(ISNUMBER(SEARCH("เมืองทอง",C171)),mult_mtong,IF(ISNUMBER(SEARCH("SlimLux",C171)),mult_slim,IF(ISNUMBER(SEARCH("Velora",C171)),mult_velora,IF(ISNUMBER(SEARCH("Fuji",C171)),mult_euro,mult_sms))))</f>
        <v/>
      </c>
      <c r="L171" s="659">
        <f>ROUND(D171*K171,0)</f>
        <v/>
      </c>
      <c r="M171" s="659">
        <f>IF(E171="",ROUND(L171+'อัปเดตราคาอลู'!$B$13*S171,0),ROUND(E171*K171,0))</f>
        <v/>
      </c>
      <c r="N171" s="659">
        <f>M171</f>
        <v/>
      </c>
      <c r="O171" s="659">
        <f>IF(G171="",ROUND(L171+rate_special*S171,0),ROUND(G171*mult_euro,0))</f>
        <v/>
      </c>
      <c r="P171" s="659">
        <f>IF(H171="",ROUND(L171+rate_woodbake*S171,0),ROUND(H171*mult_wood,0))</f>
        <v/>
      </c>
      <c r="Q171" s="659">
        <f>IF(I171="",ROUND(L171+rate_woodbake*S171,0),ROUND(I171*mult_wood,0))</f>
        <v/>
      </c>
      <c r="R171" s="659">
        <f>IF(J171="",ROUND(L171+rate_woodbake*S171,0),ROUND(J171*mult_wood,0))</f>
        <v/>
      </c>
      <c r="S171" s="705">
        <f>ROUND(D171/(IF(ISNUMBER(SEARCH("เมืองทอง",C171)),'อัปเดตราคาอลู'!$F$8,IF(ISNUMBER(SEARCH("SlimLux",C171)),'อัปเดตราคาอลู'!$F$6,IF(ISNUMBER(SEARCH("Velora",C171)),'อัปเดตราคาอลู'!$F$7,IF(ISNUMBER(SEARCH("Fuji",C171)),'อัปเดตราคาอลู'!$F$5,'อัปเดตราคาอลู'!$F$4))))),3)</f>
        <v/>
      </c>
      <c r="T171" s="705">
        <f>ROUND(P171/(IF(OR(ISNUMBER(SEARCH("เมืองทอง",C171)),ISNUMBER(SEARCH("SlimLux",C171)),ISNUMBER(SEARCH("Velora",C171))),6,6.4)),3)</f>
        <v/>
      </c>
      <c r="U171" s="767">
        <f>ROUND(L171-D171,0)</f>
        <v/>
      </c>
      <c r="V171" s="659">
        <f>IF(D171="","",ROUND(D171+rate_anodize*S171,0))</f>
        <v/>
      </c>
    </row>
    <row r="172">
      <c r="A172" s="434" t="inlineStr">
        <is>
          <t>E-03</t>
        </is>
      </c>
      <c r="B172" s="434" t="inlineStr">
        <is>
          <t>-</t>
        </is>
      </c>
      <c r="C172" s="434" t="inlineStr">
        <is>
          <t>อลูมิเนียม E-series</t>
        </is>
      </c>
      <c r="D172" s="399" t="n">
        <v>1237</v>
      </c>
      <c r="E172" s="399" t="n">
        <v>1924</v>
      </c>
      <c r="F172" s="399">
        <f>E172</f>
        <v/>
      </c>
      <c r="G172" s="399" t="n"/>
      <c r="H172" s="399" t="n"/>
      <c r="I172" s="399" t="n"/>
      <c r="J172" s="399" t="n"/>
      <c r="K172" s="676">
        <f>IF(ISNUMBER(SEARCH("เมืองทอง",C172)),mult_mtong,IF(ISNUMBER(SEARCH("SlimLux",C172)),mult_slim,IF(ISNUMBER(SEARCH("Velora",C172)),mult_velora,IF(ISNUMBER(SEARCH("Fuji",C172)),mult_euro,mult_sms))))</f>
        <v/>
      </c>
      <c r="L172" s="659">
        <f>ROUND(D172*K172,0)</f>
        <v/>
      </c>
      <c r="M172" s="659">
        <f>IF(E172="",ROUND(L172+'อัปเดตราคาอลู'!$B$13*S172,0),ROUND(E172*K172,0))</f>
        <v/>
      </c>
      <c r="N172" s="659">
        <f>M172</f>
        <v/>
      </c>
      <c r="O172" s="659">
        <f>IF(G172="",ROUND(L172+rate_special*S172,0),ROUND(G172*mult_euro,0))</f>
        <v/>
      </c>
      <c r="P172" s="659">
        <f>IF(H172="",ROUND(L172+rate_woodbake*S172,0),ROUND(H172*mult_wood,0))</f>
        <v/>
      </c>
      <c r="Q172" s="659">
        <f>IF(I172="",ROUND(L172+rate_woodbake*S172,0),ROUND(I172*mult_wood,0))</f>
        <v/>
      </c>
      <c r="R172" s="659">
        <f>IF(J172="",ROUND(L172+rate_woodbake*S172,0),ROUND(J172*mult_wood,0))</f>
        <v/>
      </c>
      <c r="S172" s="705">
        <f>ROUND(D172/(IF(ISNUMBER(SEARCH("เมืองทอง",C172)),'อัปเดตราคาอลู'!$F$8,IF(ISNUMBER(SEARCH("SlimLux",C172)),'อัปเดตราคาอลู'!$F$6,IF(ISNUMBER(SEARCH("Velora",C172)),'อัปเดตราคาอลู'!$F$7,IF(ISNUMBER(SEARCH("Fuji",C172)),'อัปเดตราคาอลู'!$F$5,'อัปเดตราคาอลู'!$F$4))))),3)</f>
        <v/>
      </c>
      <c r="T172" s="705">
        <f>ROUND(P172/(IF(OR(ISNUMBER(SEARCH("เมืองทอง",C172)),ISNUMBER(SEARCH("SlimLux",C172)),ISNUMBER(SEARCH("Velora",C172))),6,6.4)),3)</f>
        <v/>
      </c>
      <c r="U172" s="767">
        <f>ROUND(L172-D172,0)</f>
        <v/>
      </c>
      <c r="V172" s="659">
        <f>IF(D172="","",ROUND(D172+rate_anodize*S172,0))</f>
        <v/>
      </c>
    </row>
    <row r="173">
      <c r="A173" s="434" t="inlineStr">
        <is>
          <t>E-03C</t>
        </is>
      </c>
      <c r="B173" s="434" t="inlineStr">
        <is>
          <t>-</t>
        </is>
      </c>
      <c r="C173" s="434" t="inlineStr">
        <is>
          <t>อลูมิเนียม E-series</t>
        </is>
      </c>
      <c r="D173" s="399" t="n">
        <v>257</v>
      </c>
      <c r="E173" s="399" t="n">
        <v>400</v>
      </c>
      <c r="F173" s="399">
        <f>E173</f>
        <v/>
      </c>
      <c r="G173" s="399" t="n"/>
      <c r="H173" s="399" t="n"/>
      <c r="I173" s="399" t="n"/>
      <c r="J173" s="399" t="n"/>
      <c r="K173" s="676">
        <f>IF(ISNUMBER(SEARCH("เมืองทอง",C173)),mult_mtong,IF(ISNUMBER(SEARCH("SlimLux",C173)),mult_slim,IF(ISNUMBER(SEARCH("Velora",C173)),mult_velora,IF(ISNUMBER(SEARCH("Fuji",C173)),mult_euro,mult_sms))))</f>
        <v/>
      </c>
      <c r="L173" s="659">
        <f>ROUND(D173*K173,0)</f>
        <v/>
      </c>
      <c r="M173" s="659">
        <f>IF(E173="",ROUND(L173+'อัปเดตราคาอลู'!$B$13*S173,0),ROUND(E173*K173,0))</f>
        <v/>
      </c>
      <c r="N173" s="659">
        <f>M173</f>
        <v/>
      </c>
      <c r="O173" s="659">
        <f>IF(G173="",ROUND(L173+rate_special*S173,0),ROUND(G173*mult_euro,0))</f>
        <v/>
      </c>
      <c r="P173" s="659">
        <f>IF(H173="",ROUND(L173+rate_woodbake*S173,0),ROUND(H173*mult_wood,0))</f>
        <v/>
      </c>
      <c r="Q173" s="659">
        <f>IF(I173="",ROUND(L173+rate_woodbake*S173,0),ROUND(I173*mult_wood,0))</f>
        <v/>
      </c>
      <c r="R173" s="659">
        <f>IF(J173="",ROUND(L173+rate_woodbake*S173,0),ROUND(J173*mult_wood,0))</f>
        <v/>
      </c>
      <c r="S173" s="705">
        <f>ROUND(D173/(IF(ISNUMBER(SEARCH("เมืองทอง",C173)),'อัปเดตราคาอลู'!$F$8,IF(ISNUMBER(SEARCH("SlimLux",C173)),'อัปเดตราคาอลู'!$F$6,IF(ISNUMBER(SEARCH("Velora",C173)),'อัปเดตราคาอลู'!$F$7,IF(ISNUMBER(SEARCH("Fuji",C173)),'อัปเดตราคาอลู'!$F$5,'อัปเดตราคาอลู'!$F$4))))),3)</f>
        <v/>
      </c>
      <c r="T173" s="705">
        <f>ROUND(P173/(IF(OR(ISNUMBER(SEARCH("เมืองทอง",C173)),ISNUMBER(SEARCH("SlimLux",C173)),ISNUMBER(SEARCH("Velora",C173))),6,6.4)),3)</f>
        <v/>
      </c>
      <c r="U173" s="767">
        <f>ROUND(L173-D173,0)</f>
        <v/>
      </c>
      <c r="V173" s="659">
        <f>IF(D173="","",ROUND(D173+rate_anodize*S173,0))</f>
        <v/>
      </c>
    </row>
    <row r="174">
      <c r="A174" s="434" t="inlineStr">
        <is>
          <t>E-05</t>
        </is>
      </c>
      <c r="B174" s="434" t="inlineStr">
        <is>
          <t>-</t>
        </is>
      </c>
      <c r="C174" s="434" t="inlineStr">
        <is>
          <t>อลูมิเนียม E-series</t>
        </is>
      </c>
      <c r="D174" s="399" t="n">
        <v>1051</v>
      </c>
      <c r="E174" s="399" t="n">
        <v>1635</v>
      </c>
      <c r="F174" s="399">
        <f>E174</f>
        <v/>
      </c>
      <c r="G174" s="399" t="n"/>
      <c r="H174" s="399" t="n"/>
      <c r="I174" s="399" t="n"/>
      <c r="J174" s="399" t="n"/>
      <c r="K174" s="676">
        <f>IF(ISNUMBER(SEARCH("เมืองทอง",C174)),mult_mtong,IF(ISNUMBER(SEARCH("SlimLux",C174)),mult_slim,IF(ISNUMBER(SEARCH("Velora",C174)),mult_velora,IF(ISNUMBER(SEARCH("Fuji",C174)),mult_euro,mult_sms))))</f>
        <v/>
      </c>
      <c r="L174" s="659">
        <f>ROUND(D174*K174,0)</f>
        <v/>
      </c>
      <c r="M174" s="659">
        <f>IF(E174="",ROUND(L174+'อัปเดตราคาอลู'!$B$13*S174,0),ROUND(E174*K174,0))</f>
        <v/>
      </c>
      <c r="N174" s="659">
        <f>M174</f>
        <v/>
      </c>
      <c r="O174" s="659">
        <f>IF(G174="",ROUND(L174+rate_special*S174,0),ROUND(G174*mult_euro,0))</f>
        <v/>
      </c>
      <c r="P174" s="659">
        <f>IF(H174="",ROUND(L174+rate_woodbake*S174,0),ROUND(H174*mult_wood,0))</f>
        <v/>
      </c>
      <c r="Q174" s="659">
        <f>IF(I174="",ROUND(L174+rate_woodbake*S174,0),ROUND(I174*mult_wood,0))</f>
        <v/>
      </c>
      <c r="R174" s="659">
        <f>IF(J174="",ROUND(L174+rate_woodbake*S174,0),ROUND(J174*mult_wood,0))</f>
        <v/>
      </c>
      <c r="S174" s="705">
        <f>ROUND(D174/(IF(ISNUMBER(SEARCH("เมืองทอง",C174)),'อัปเดตราคาอลู'!$F$8,IF(ISNUMBER(SEARCH("SlimLux",C174)),'อัปเดตราคาอลู'!$F$6,IF(ISNUMBER(SEARCH("Velora",C174)),'อัปเดตราคาอลู'!$F$7,IF(ISNUMBER(SEARCH("Fuji",C174)),'อัปเดตราคาอลู'!$F$5,'อัปเดตราคาอลู'!$F$4))))),3)</f>
        <v/>
      </c>
      <c r="T174" s="705">
        <f>ROUND(P174/(IF(OR(ISNUMBER(SEARCH("เมืองทอง",C174)),ISNUMBER(SEARCH("SlimLux",C174)),ISNUMBER(SEARCH("Velora",C174))),6,6.4)),3)</f>
        <v/>
      </c>
      <c r="U174" s="767">
        <f>ROUND(L174-D174,0)</f>
        <v/>
      </c>
      <c r="V174" s="659">
        <f>IF(D174="","",ROUND(D174+rate_anodize*S174,0))</f>
        <v/>
      </c>
    </row>
    <row r="175">
      <c r="A175" s="434" t="inlineStr">
        <is>
          <t>E-02B</t>
        </is>
      </c>
      <c r="B175" s="434" t="inlineStr">
        <is>
          <t>-</t>
        </is>
      </c>
      <c r="C175" s="434" t="inlineStr">
        <is>
          <t>อลูมิเนียม E-series</t>
        </is>
      </c>
      <c r="D175" s="399" t="n">
        <v>1175</v>
      </c>
      <c r="E175" s="399" t="n">
        <v>1828</v>
      </c>
      <c r="F175" s="399">
        <f>E175</f>
        <v/>
      </c>
      <c r="G175" s="399" t="n"/>
      <c r="H175" s="399" t="n"/>
      <c r="I175" s="399" t="n"/>
      <c r="J175" s="399" t="n"/>
      <c r="K175" s="676">
        <f>IF(ISNUMBER(SEARCH("เมืองทอง",C175)),mult_mtong,IF(ISNUMBER(SEARCH("SlimLux",C175)),mult_slim,IF(ISNUMBER(SEARCH("Velora",C175)),mult_velora,IF(ISNUMBER(SEARCH("Fuji",C175)),mult_euro,mult_sms))))</f>
        <v/>
      </c>
      <c r="L175" s="659">
        <f>ROUND(D175*K175,0)</f>
        <v/>
      </c>
      <c r="M175" s="659">
        <f>IF(E175="",ROUND(L175+'อัปเดตราคาอลู'!$B$13*S175,0),ROUND(E175*K175,0))</f>
        <v/>
      </c>
      <c r="N175" s="659">
        <f>M175</f>
        <v/>
      </c>
      <c r="O175" s="659">
        <f>IF(G175="",ROUND(L175+rate_special*S175,0),ROUND(G175*mult_euro,0))</f>
        <v/>
      </c>
      <c r="P175" s="659">
        <f>IF(H175="",ROUND(L175+rate_woodbake*S175,0),ROUND(H175*mult_wood,0))</f>
        <v/>
      </c>
      <c r="Q175" s="659">
        <f>IF(I175="",ROUND(L175+rate_woodbake*S175,0),ROUND(I175*mult_wood,0))</f>
        <v/>
      </c>
      <c r="R175" s="659">
        <f>IF(J175="",ROUND(L175+rate_woodbake*S175,0),ROUND(J175*mult_wood,0))</f>
        <v/>
      </c>
      <c r="S175" s="705">
        <f>ROUND(D175/(IF(ISNUMBER(SEARCH("เมืองทอง",C175)),'อัปเดตราคาอลู'!$F$8,IF(ISNUMBER(SEARCH("SlimLux",C175)),'อัปเดตราคาอลู'!$F$6,IF(ISNUMBER(SEARCH("Velora",C175)),'อัปเดตราคาอลู'!$F$7,IF(ISNUMBER(SEARCH("Fuji",C175)),'อัปเดตราคาอลู'!$F$5,'อัปเดตราคาอลู'!$F$4))))),3)</f>
        <v/>
      </c>
      <c r="T175" s="705">
        <f>ROUND(P175/(IF(OR(ISNUMBER(SEARCH("เมืองทอง",C175)),ISNUMBER(SEARCH("SlimLux",C175)),ISNUMBER(SEARCH("Velora",C175))),6,6.4)),3)</f>
        <v/>
      </c>
      <c r="U175" s="767">
        <f>ROUND(L175-D175,0)</f>
        <v/>
      </c>
      <c r="V175" s="659">
        <f>IF(D175="","",ROUND(D175+rate_anodize*S175,0))</f>
        <v/>
      </c>
    </row>
    <row r="176">
      <c r="A176" s="434" t="inlineStr">
        <is>
          <t>E-02C</t>
        </is>
      </c>
      <c r="B176" s="434" t="inlineStr">
        <is>
          <t>-</t>
        </is>
      </c>
      <c r="C176" s="434" t="inlineStr">
        <is>
          <t>อลูมิเนียม E-series</t>
        </is>
      </c>
      <c r="D176" s="399" t="n">
        <v>1145</v>
      </c>
      <c r="E176" s="399" t="n">
        <v>1781</v>
      </c>
      <c r="F176" s="399">
        <f>E176</f>
        <v/>
      </c>
      <c r="G176" s="399" t="n"/>
      <c r="H176" s="399" t="n"/>
      <c r="I176" s="399" t="n"/>
      <c r="J176" s="399" t="n"/>
      <c r="K176" s="676">
        <f>IF(ISNUMBER(SEARCH("เมืองทอง",C176)),mult_mtong,IF(ISNUMBER(SEARCH("SlimLux",C176)),mult_slim,IF(ISNUMBER(SEARCH("Velora",C176)),mult_velora,IF(ISNUMBER(SEARCH("Fuji",C176)),mult_euro,mult_sms))))</f>
        <v/>
      </c>
      <c r="L176" s="659">
        <f>ROUND(D176*K176,0)</f>
        <v/>
      </c>
      <c r="M176" s="659">
        <f>IF(E176="",ROUND(L176+'อัปเดตราคาอลู'!$B$13*S176,0),ROUND(E176*K176,0))</f>
        <v/>
      </c>
      <c r="N176" s="659">
        <f>M176</f>
        <v/>
      </c>
      <c r="O176" s="659">
        <f>IF(G176="",ROUND(L176+rate_special*S176,0),ROUND(G176*mult_euro,0))</f>
        <v/>
      </c>
      <c r="P176" s="659">
        <f>IF(H176="",ROUND(L176+rate_woodbake*S176,0),ROUND(H176*mult_wood,0))</f>
        <v/>
      </c>
      <c r="Q176" s="659">
        <f>IF(I176="",ROUND(L176+rate_woodbake*S176,0),ROUND(I176*mult_wood,0))</f>
        <v/>
      </c>
      <c r="R176" s="659">
        <f>IF(J176="",ROUND(L176+rate_woodbake*S176,0),ROUND(J176*mult_wood,0))</f>
        <v/>
      </c>
      <c r="S176" s="705">
        <f>ROUND(D176/(IF(ISNUMBER(SEARCH("เมืองทอง",C176)),'อัปเดตราคาอลู'!$F$8,IF(ISNUMBER(SEARCH("SlimLux",C176)),'อัปเดตราคาอลู'!$F$6,IF(ISNUMBER(SEARCH("Velora",C176)),'อัปเดตราคาอลู'!$F$7,IF(ISNUMBER(SEARCH("Fuji",C176)),'อัปเดตราคาอลู'!$F$5,'อัปเดตราคาอลู'!$F$4))))),3)</f>
        <v/>
      </c>
      <c r="T176" s="705">
        <f>ROUND(P176/(IF(OR(ISNUMBER(SEARCH("เมืองทอง",C176)),ISNUMBER(SEARCH("SlimLux",C176)),ISNUMBER(SEARCH("Velora",C176))),6,6.4)),3)</f>
        <v/>
      </c>
      <c r="U176" s="767">
        <f>ROUND(L176-D176,0)</f>
        <v/>
      </c>
      <c r="V176" s="659">
        <f>IF(D176="","",ROUND(D176+rate_anodize*S176,0))</f>
        <v/>
      </c>
    </row>
    <row r="177">
      <c r="A177" s="434" t="inlineStr">
        <is>
          <t>E-04P</t>
        </is>
      </c>
      <c r="B177" s="434" t="inlineStr">
        <is>
          <t>-</t>
        </is>
      </c>
      <c r="C177" s="434" t="inlineStr">
        <is>
          <t>อลูมิเนียม E-series</t>
        </is>
      </c>
      <c r="D177" s="399" t="n">
        <v>952</v>
      </c>
      <c r="E177" s="399" t="n">
        <v>1481</v>
      </c>
      <c r="F177" s="399">
        <f>E177</f>
        <v/>
      </c>
      <c r="G177" s="399" t="n"/>
      <c r="H177" s="399" t="n"/>
      <c r="I177" s="399" t="n"/>
      <c r="J177" s="399" t="n"/>
      <c r="K177" s="676">
        <f>IF(ISNUMBER(SEARCH("เมืองทอง",C177)),mult_mtong,IF(ISNUMBER(SEARCH("SlimLux",C177)),mult_slim,IF(ISNUMBER(SEARCH("Velora",C177)),mult_velora,IF(ISNUMBER(SEARCH("Fuji",C177)),mult_euro,mult_sms))))</f>
        <v/>
      </c>
      <c r="L177" s="659">
        <f>ROUND(D177*K177,0)</f>
        <v/>
      </c>
      <c r="M177" s="659">
        <f>IF(E177="",ROUND(L177+'อัปเดตราคาอลู'!$B$13*S177,0),ROUND(E177*K177,0))</f>
        <v/>
      </c>
      <c r="N177" s="659">
        <f>M177</f>
        <v/>
      </c>
      <c r="O177" s="659">
        <f>IF(G177="",ROUND(L177+rate_special*S177,0),ROUND(G177*mult_euro,0))</f>
        <v/>
      </c>
      <c r="P177" s="659">
        <f>IF(H177="",ROUND(L177+rate_woodbake*S177,0),ROUND(H177*mult_wood,0))</f>
        <v/>
      </c>
      <c r="Q177" s="659">
        <f>IF(I177="",ROUND(L177+rate_woodbake*S177,0),ROUND(I177*mult_wood,0))</f>
        <v/>
      </c>
      <c r="R177" s="659">
        <f>IF(J177="",ROUND(L177+rate_woodbake*S177,0),ROUND(J177*mult_wood,0))</f>
        <v/>
      </c>
      <c r="S177" s="705">
        <f>ROUND(D177/(IF(ISNUMBER(SEARCH("เมืองทอง",C177)),'อัปเดตราคาอลู'!$F$8,IF(ISNUMBER(SEARCH("SlimLux",C177)),'อัปเดตราคาอลู'!$F$6,IF(ISNUMBER(SEARCH("Velora",C177)),'อัปเดตราคาอลู'!$F$7,IF(ISNUMBER(SEARCH("Fuji",C177)),'อัปเดตราคาอลู'!$F$5,'อัปเดตราคาอลู'!$F$4))))),3)</f>
        <v/>
      </c>
      <c r="T177" s="705">
        <f>ROUND(P177/(IF(OR(ISNUMBER(SEARCH("เมืองทอง",C177)),ISNUMBER(SEARCH("SlimLux",C177)),ISNUMBER(SEARCH("Velora",C177))),6,6.4)),3)</f>
        <v/>
      </c>
      <c r="U177" s="767">
        <f>ROUND(L177-D177,0)</f>
        <v/>
      </c>
      <c r="V177" s="659">
        <f>IF(D177="","",ROUND(D177+rate_anodize*S177,0))</f>
        <v/>
      </c>
    </row>
    <row r="178">
      <c r="A178" s="434" t="inlineStr">
        <is>
          <t>E-04GP</t>
        </is>
      </c>
      <c r="B178" s="434" t="inlineStr">
        <is>
          <t>-</t>
        </is>
      </c>
      <c r="C178" s="434" t="inlineStr">
        <is>
          <t>อลูมิเนียม E-series</t>
        </is>
      </c>
      <c r="D178" s="399" t="n">
        <v>1690</v>
      </c>
      <c r="E178" s="399" t="n">
        <v>2629</v>
      </c>
      <c r="F178" s="399">
        <f>E178</f>
        <v/>
      </c>
      <c r="G178" s="399" t="n"/>
      <c r="H178" s="399" t="n"/>
      <c r="I178" s="399" t="n"/>
      <c r="J178" s="399" t="n"/>
      <c r="K178" s="676">
        <f>IF(ISNUMBER(SEARCH("เมืองทอง",C178)),mult_mtong,IF(ISNUMBER(SEARCH("SlimLux",C178)),mult_slim,IF(ISNUMBER(SEARCH("Velora",C178)),mult_velora,IF(ISNUMBER(SEARCH("Fuji",C178)),mult_euro,mult_sms))))</f>
        <v/>
      </c>
      <c r="L178" s="659">
        <f>ROUND(D178*K178,0)</f>
        <v/>
      </c>
      <c r="M178" s="659">
        <f>IF(E178="",ROUND(L178+'อัปเดตราคาอลู'!$B$13*S178,0),ROUND(E178*K178,0))</f>
        <v/>
      </c>
      <c r="N178" s="659">
        <f>M178</f>
        <v/>
      </c>
      <c r="O178" s="659">
        <f>IF(G178="",ROUND(L178+rate_special*S178,0),ROUND(G178*mult_euro,0))</f>
        <v/>
      </c>
      <c r="P178" s="659">
        <f>IF(H178="",ROUND(L178+rate_woodbake*S178,0),ROUND(H178*mult_wood,0))</f>
        <v/>
      </c>
      <c r="Q178" s="659">
        <f>IF(I178="",ROUND(L178+rate_woodbake*S178,0),ROUND(I178*mult_wood,0))</f>
        <v/>
      </c>
      <c r="R178" s="659">
        <f>IF(J178="",ROUND(L178+rate_woodbake*S178,0),ROUND(J178*mult_wood,0))</f>
        <v/>
      </c>
      <c r="S178" s="705">
        <f>ROUND(D178/(IF(ISNUMBER(SEARCH("เมืองทอง",C178)),'อัปเดตราคาอลู'!$F$8,IF(ISNUMBER(SEARCH("SlimLux",C178)),'อัปเดตราคาอลู'!$F$6,IF(ISNUMBER(SEARCH("Velora",C178)),'อัปเดตราคาอลู'!$F$7,IF(ISNUMBER(SEARCH("Fuji",C178)),'อัปเดตราคาอลู'!$F$5,'อัปเดตราคาอลู'!$F$4))))),3)</f>
        <v/>
      </c>
      <c r="T178" s="705">
        <f>ROUND(P178/(IF(OR(ISNUMBER(SEARCH("เมืองทอง",C178)),ISNUMBER(SEARCH("SlimLux",C178)),ISNUMBER(SEARCH("Velora",C178))),6,6.4)),3)</f>
        <v/>
      </c>
      <c r="U178" s="767">
        <f>ROUND(L178-D178,0)</f>
        <v/>
      </c>
      <c r="V178" s="659">
        <f>IF(D178="","",ROUND(D178+rate_anodize*S178,0))</f>
        <v/>
      </c>
    </row>
    <row r="179">
      <c r="A179" s="434" t="inlineStr">
        <is>
          <t>E-07</t>
        </is>
      </c>
      <c r="B179" s="434" t="inlineStr">
        <is>
          <t>-</t>
        </is>
      </c>
      <c r="C179" s="434" t="inlineStr">
        <is>
          <t>อลูมิเนียม E-series</t>
        </is>
      </c>
      <c r="D179" s="399" t="n">
        <v>1051</v>
      </c>
      <c r="E179" s="399" t="n">
        <v>1635</v>
      </c>
      <c r="F179" s="399">
        <f>E179</f>
        <v/>
      </c>
      <c r="G179" s="399" t="n"/>
      <c r="H179" s="399" t="n"/>
      <c r="I179" s="399" t="n"/>
      <c r="J179" s="399" t="n"/>
      <c r="K179" s="676">
        <f>IF(ISNUMBER(SEARCH("เมืองทอง",C179)),mult_mtong,IF(ISNUMBER(SEARCH("SlimLux",C179)),mult_slim,IF(ISNUMBER(SEARCH("Velora",C179)),mult_velora,IF(ISNUMBER(SEARCH("Fuji",C179)),mult_euro,mult_sms))))</f>
        <v/>
      </c>
      <c r="L179" s="659">
        <f>ROUND(D179*K179,0)</f>
        <v/>
      </c>
      <c r="M179" s="659">
        <f>IF(E179="",ROUND(L179+'อัปเดตราคาอลู'!$B$13*S179,0),ROUND(E179*K179,0))</f>
        <v/>
      </c>
      <c r="N179" s="659">
        <f>M179</f>
        <v/>
      </c>
      <c r="O179" s="659">
        <f>IF(G179="",ROUND(L179+rate_special*S179,0),ROUND(G179*mult_euro,0))</f>
        <v/>
      </c>
      <c r="P179" s="659">
        <f>IF(H179="",ROUND(L179+rate_woodbake*S179,0),ROUND(H179*mult_wood,0))</f>
        <v/>
      </c>
      <c r="Q179" s="659">
        <f>IF(I179="",ROUND(L179+rate_woodbake*S179,0),ROUND(I179*mult_wood,0))</f>
        <v/>
      </c>
      <c r="R179" s="659">
        <f>IF(J179="",ROUND(L179+rate_woodbake*S179,0),ROUND(J179*mult_wood,0))</f>
        <v/>
      </c>
      <c r="S179" s="705">
        <f>ROUND(D179/(IF(ISNUMBER(SEARCH("เมืองทอง",C179)),'อัปเดตราคาอลู'!$F$8,IF(ISNUMBER(SEARCH("SlimLux",C179)),'อัปเดตราคาอลู'!$F$6,IF(ISNUMBER(SEARCH("Velora",C179)),'อัปเดตราคาอลู'!$F$7,IF(ISNUMBER(SEARCH("Fuji",C179)),'อัปเดตราคาอลู'!$F$5,'อัปเดตราคาอลู'!$F$4))))),3)</f>
        <v/>
      </c>
      <c r="T179" s="705">
        <f>ROUND(P179/(IF(OR(ISNUMBER(SEARCH("เมืองทอง",C179)),ISNUMBER(SEARCH("SlimLux",C179)),ISNUMBER(SEARCH("Velora",C179))),6,6.4)),3)</f>
        <v/>
      </c>
      <c r="U179" s="767">
        <f>ROUND(L179-D179,0)</f>
        <v/>
      </c>
      <c r="V179" s="659">
        <f>IF(D179="","",ROUND(D179+rate_anodize*S179,0))</f>
        <v/>
      </c>
    </row>
    <row r="180">
      <c r="A180" s="434" t="inlineStr">
        <is>
          <t>E-07A</t>
        </is>
      </c>
      <c r="B180" s="434" t="inlineStr">
        <is>
          <t>-</t>
        </is>
      </c>
      <c r="C180" s="434" t="inlineStr">
        <is>
          <t>อลูมิเนียม E-series</t>
        </is>
      </c>
      <c r="D180" s="399" t="n">
        <v>1166</v>
      </c>
      <c r="E180" s="399" t="n">
        <v>1814</v>
      </c>
      <c r="F180" s="399">
        <f>E180</f>
        <v/>
      </c>
      <c r="G180" s="399" t="n"/>
      <c r="H180" s="399" t="n"/>
      <c r="I180" s="399" t="n"/>
      <c r="J180" s="399" t="n"/>
      <c r="K180" s="676">
        <f>IF(ISNUMBER(SEARCH("เมืองทอง",C180)),mult_mtong,IF(ISNUMBER(SEARCH("SlimLux",C180)),mult_slim,IF(ISNUMBER(SEARCH("Velora",C180)),mult_velora,IF(ISNUMBER(SEARCH("Fuji",C180)),mult_euro,mult_sms))))</f>
        <v/>
      </c>
      <c r="L180" s="659">
        <f>ROUND(D180*K180,0)</f>
        <v/>
      </c>
      <c r="M180" s="659">
        <f>IF(E180="",ROUND(L180+'อัปเดตราคาอลู'!$B$13*S180,0),ROUND(E180*K180,0))</f>
        <v/>
      </c>
      <c r="N180" s="659">
        <f>M180</f>
        <v/>
      </c>
      <c r="O180" s="659">
        <f>IF(G180="",ROUND(L180+rate_special*S180,0),ROUND(G180*mult_euro,0))</f>
        <v/>
      </c>
      <c r="P180" s="659">
        <f>IF(H180="",ROUND(L180+rate_woodbake*S180,0),ROUND(H180*mult_wood,0))</f>
        <v/>
      </c>
      <c r="Q180" s="659">
        <f>IF(I180="",ROUND(L180+rate_woodbake*S180,0),ROUND(I180*mult_wood,0))</f>
        <v/>
      </c>
      <c r="R180" s="659">
        <f>IF(J180="",ROUND(L180+rate_woodbake*S180,0),ROUND(J180*mult_wood,0))</f>
        <v/>
      </c>
      <c r="S180" s="705">
        <f>ROUND(D180/(IF(ISNUMBER(SEARCH("เมืองทอง",C180)),'อัปเดตราคาอลู'!$F$8,IF(ISNUMBER(SEARCH("SlimLux",C180)),'อัปเดตราคาอลู'!$F$6,IF(ISNUMBER(SEARCH("Velora",C180)),'อัปเดตราคาอลู'!$F$7,IF(ISNUMBER(SEARCH("Fuji",C180)),'อัปเดตราคาอลู'!$F$5,'อัปเดตราคาอลู'!$F$4))))),3)</f>
        <v/>
      </c>
      <c r="T180" s="705">
        <f>ROUND(P180/(IF(OR(ISNUMBER(SEARCH("เมืองทอง",C180)),ISNUMBER(SEARCH("SlimLux",C180)),ISNUMBER(SEARCH("Velora",C180))),6,6.4)),3)</f>
        <v/>
      </c>
      <c r="U180" s="767">
        <f>ROUND(L180-D180,0)</f>
        <v/>
      </c>
      <c r="V180" s="659">
        <f>IF(D180="","",ROUND(D180+rate_anodize*S180,0))</f>
        <v/>
      </c>
    </row>
    <row r="181">
      <c r="A181" s="434" t="inlineStr">
        <is>
          <t>E-04E</t>
        </is>
      </c>
      <c r="B181" s="434" t="inlineStr">
        <is>
          <t>-</t>
        </is>
      </c>
      <c r="C181" s="434" t="inlineStr">
        <is>
          <t>อลูมิเนียม E-series</t>
        </is>
      </c>
      <c r="D181" s="399" t="n">
        <v>617</v>
      </c>
      <c r="E181" s="399" t="n">
        <v>960</v>
      </c>
      <c r="F181" s="399">
        <f>E181</f>
        <v/>
      </c>
      <c r="G181" s="399" t="n"/>
      <c r="H181" s="399" t="n"/>
      <c r="I181" s="399" t="n"/>
      <c r="J181" s="399" t="n"/>
      <c r="K181" s="676">
        <f>IF(ISNUMBER(SEARCH("เมืองทอง",C181)),mult_mtong,IF(ISNUMBER(SEARCH("SlimLux",C181)),mult_slim,IF(ISNUMBER(SEARCH("Velora",C181)),mult_velora,IF(ISNUMBER(SEARCH("Fuji",C181)),mult_euro,mult_sms))))</f>
        <v/>
      </c>
      <c r="L181" s="659">
        <f>ROUND(D181*K181,0)</f>
        <v/>
      </c>
      <c r="M181" s="659">
        <f>IF(E181="",ROUND(L181+'อัปเดตราคาอลู'!$B$13*S181,0),ROUND(E181*K181,0))</f>
        <v/>
      </c>
      <c r="N181" s="659">
        <f>M181</f>
        <v/>
      </c>
      <c r="O181" s="659">
        <f>IF(G181="",ROUND(L181+rate_special*S181,0),ROUND(G181*mult_euro,0))</f>
        <v/>
      </c>
      <c r="P181" s="659">
        <f>IF(H181="",ROUND(L181+rate_woodbake*S181,0),ROUND(H181*mult_wood,0))</f>
        <v/>
      </c>
      <c r="Q181" s="659">
        <f>IF(I181="",ROUND(L181+rate_woodbake*S181,0),ROUND(I181*mult_wood,0))</f>
        <v/>
      </c>
      <c r="R181" s="659">
        <f>IF(J181="",ROUND(L181+rate_woodbake*S181,0),ROUND(J181*mult_wood,0))</f>
        <v/>
      </c>
      <c r="S181" s="705">
        <f>ROUND(D181/(IF(ISNUMBER(SEARCH("เมืองทอง",C181)),'อัปเดตราคาอลู'!$F$8,IF(ISNUMBER(SEARCH("SlimLux",C181)),'อัปเดตราคาอลู'!$F$6,IF(ISNUMBER(SEARCH("Velora",C181)),'อัปเดตราคาอลู'!$F$7,IF(ISNUMBER(SEARCH("Fuji",C181)),'อัปเดตราคาอลู'!$F$5,'อัปเดตราคาอลู'!$F$4))))),3)</f>
        <v/>
      </c>
      <c r="T181" s="705">
        <f>ROUND(P181/(IF(OR(ISNUMBER(SEARCH("เมืองทอง",C181)),ISNUMBER(SEARCH("SlimLux",C181)),ISNUMBER(SEARCH("Velora",C181))),6,6.4)),3)</f>
        <v/>
      </c>
      <c r="U181" s="767">
        <f>ROUND(L181-D181,0)</f>
        <v/>
      </c>
      <c r="V181" s="659">
        <f>IF(D181="","",ROUND(D181+rate_anodize*S181,0))</f>
        <v/>
      </c>
    </row>
    <row r="182">
      <c r="A182" s="434" t="inlineStr">
        <is>
          <t>E-05E</t>
        </is>
      </c>
      <c r="B182" s="434" t="inlineStr">
        <is>
          <t>-</t>
        </is>
      </c>
      <c r="C182" s="434" t="inlineStr">
        <is>
          <t>อลูมิเนียม E-series</t>
        </is>
      </c>
      <c r="D182" s="399" t="n">
        <v>616</v>
      </c>
      <c r="E182" s="399" t="n">
        <v>958</v>
      </c>
      <c r="F182" s="399">
        <f>E182</f>
        <v/>
      </c>
      <c r="G182" s="399" t="n"/>
      <c r="H182" s="399" t="n"/>
      <c r="I182" s="399" t="n"/>
      <c r="J182" s="399" t="n"/>
      <c r="K182" s="676">
        <f>IF(ISNUMBER(SEARCH("เมืองทอง",C182)),mult_mtong,IF(ISNUMBER(SEARCH("SlimLux",C182)),mult_slim,IF(ISNUMBER(SEARCH("Velora",C182)),mult_velora,IF(ISNUMBER(SEARCH("Fuji",C182)),mult_euro,mult_sms))))</f>
        <v/>
      </c>
      <c r="L182" s="659">
        <f>ROUND(D182*K182,0)</f>
        <v/>
      </c>
      <c r="M182" s="659">
        <f>IF(E182="",ROUND(L182+'อัปเดตราคาอลู'!$B$13*S182,0),ROUND(E182*K182,0))</f>
        <v/>
      </c>
      <c r="N182" s="659">
        <f>M182</f>
        <v/>
      </c>
      <c r="O182" s="659">
        <f>IF(G182="",ROUND(L182+rate_special*S182,0),ROUND(G182*mult_euro,0))</f>
        <v/>
      </c>
      <c r="P182" s="659">
        <f>IF(H182="",ROUND(L182+rate_woodbake*S182,0),ROUND(H182*mult_wood,0))</f>
        <v/>
      </c>
      <c r="Q182" s="659">
        <f>IF(I182="",ROUND(L182+rate_woodbake*S182,0),ROUND(I182*mult_wood,0))</f>
        <v/>
      </c>
      <c r="R182" s="659">
        <f>IF(J182="",ROUND(L182+rate_woodbake*S182,0),ROUND(J182*mult_wood,0))</f>
        <v/>
      </c>
      <c r="S182" s="705">
        <f>ROUND(D182/(IF(ISNUMBER(SEARCH("เมืองทอง",C182)),'อัปเดตราคาอลู'!$F$8,IF(ISNUMBER(SEARCH("SlimLux",C182)),'อัปเดตราคาอลู'!$F$6,IF(ISNUMBER(SEARCH("Velora",C182)),'อัปเดตราคาอลู'!$F$7,IF(ISNUMBER(SEARCH("Fuji",C182)),'อัปเดตราคาอลู'!$F$5,'อัปเดตราคาอลู'!$F$4))))),3)</f>
        <v/>
      </c>
      <c r="T182" s="705">
        <f>ROUND(P182/(IF(OR(ISNUMBER(SEARCH("เมืองทอง",C182)),ISNUMBER(SEARCH("SlimLux",C182)),ISNUMBER(SEARCH("Velora",C182))),6,6.4)),3)</f>
        <v/>
      </c>
      <c r="U182" s="767">
        <f>ROUND(L182-D182,0)</f>
        <v/>
      </c>
      <c r="V182" s="659">
        <f>IF(D182="","",ROUND(D182+rate_anodize*S182,0))</f>
        <v/>
      </c>
    </row>
    <row r="183">
      <c r="A183" s="434" t="inlineStr">
        <is>
          <t>E-06E</t>
        </is>
      </c>
      <c r="B183" s="434" t="inlineStr">
        <is>
          <t>-</t>
        </is>
      </c>
      <c r="C183" s="434" t="inlineStr">
        <is>
          <t>อลูมิเนียม E-series</t>
        </is>
      </c>
      <c r="D183" s="399" t="n">
        <v>763</v>
      </c>
      <c r="E183" s="399" t="n">
        <v>1187</v>
      </c>
      <c r="F183" s="399">
        <f>E183</f>
        <v/>
      </c>
      <c r="G183" s="399" t="n"/>
      <c r="H183" s="399" t="n"/>
      <c r="I183" s="399" t="n"/>
      <c r="J183" s="399" t="n"/>
      <c r="K183" s="676">
        <f>IF(ISNUMBER(SEARCH("เมืองทอง",C183)),mult_mtong,IF(ISNUMBER(SEARCH("SlimLux",C183)),mult_slim,IF(ISNUMBER(SEARCH("Velora",C183)),mult_velora,IF(ISNUMBER(SEARCH("Fuji",C183)),mult_euro,mult_sms))))</f>
        <v/>
      </c>
      <c r="L183" s="659">
        <f>ROUND(D183*K183,0)</f>
        <v/>
      </c>
      <c r="M183" s="659">
        <f>IF(E183="",ROUND(L183+'อัปเดตราคาอลู'!$B$13*S183,0),ROUND(E183*K183,0))</f>
        <v/>
      </c>
      <c r="N183" s="659">
        <f>M183</f>
        <v/>
      </c>
      <c r="O183" s="659">
        <f>IF(G183="",ROUND(L183+rate_special*S183,0),ROUND(G183*mult_euro,0))</f>
        <v/>
      </c>
      <c r="P183" s="659">
        <f>IF(H183="",ROUND(L183+rate_woodbake*S183,0),ROUND(H183*mult_wood,0))</f>
        <v/>
      </c>
      <c r="Q183" s="659">
        <f>IF(I183="",ROUND(L183+rate_woodbake*S183,0),ROUND(I183*mult_wood,0))</f>
        <v/>
      </c>
      <c r="R183" s="659">
        <f>IF(J183="",ROUND(L183+rate_woodbake*S183,0),ROUND(J183*mult_wood,0))</f>
        <v/>
      </c>
      <c r="S183" s="705">
        <f>ROUND(D183/(IF(ISNUMBER(SEARCH("เมืองทอง",C183)),'อัปเดตราคาอลู'!$F$8,IF(ISNUMBER(SEARCH("SlimLux",C183)),'อัปเดตราคาอลู'!$F$6,IF(ISNUMBER(SEARCH("Velora",C183)),'อัปเดตราคาอลู'!$F$7,IF(ISNUMBER(SEARCH("Fuji",C183)),'อัปเดตราคาอลู'!$F$5,'อัปเดตราคาอลู'!$F$4))))),3)</f>
        <v/>
      </c>
      <c r="T183" s="705">
        <f>ROUND(P183/(IF(OR(ISNUMBER(SEARCH("เมืองทอง",C183)),ISNUMBER(SEARCH("SlimLux",C183)),ISNUMBER(SEARCH("Velora",C183))),6,6.4)),3)</f>
        <v/>
      </c>
      <c r="U183" s="767">
        <f>ROUND(L183-D183,0)</f>
        <v/>
      </c>
      <c r="V183" s="659">
        <f>IF(D183="","",ROUND(D183+rate_anodize*S183,0))</f>
        <v/>
      </c>
    </row>
    <row r="184">
      <c r="A184" s="434" t="inlineStr">
        <is>
          <t>E-07E</t>
        </is>
      </c>
      <c r="B184" s="434" t="inlineStr">
        <is>
          <t>-</t>
        </is>
      </c>
      <c r="C184" s="434" t="inlineStr">
        <is>
          <t>อลูมิเนียม E-series</t>
        </is>
      </c>
      <c r="D184" s="399" t="n">
        <v>666</v>
      </c>
      <c r="E184" s="399" t="n">
        <v>1036</v>
      </c>
      <c r="F184" s="399">
        <f>E184</f>
        <v/>
      </c>
      <c r="G184" s="399" t="n"/>
      <c r="H184" s="399" t="n"/>
      <c r="I184" s="399" t="n"/>
      <c r="J184" s="399" t="n"/>
      <c r="K184" s="676">
        <f>IF(ISNUMBER(SEARCH("เมืองทอง",C184)),mult_mtong,IF(ISNUMBER(SEARCH("SlimLux",C184)),mult_slim,IF(ISNUMBER(SEARCH("Velora",C184)),mult_velora,IF(ISNUMBER(SEARCH("Fuji",C184)),mult_euro,mult_sms))))</f>
        <v/>
      </c>
      <c r="L184" s="659">
        <f>ROUND(D184*K184,0)</f>
        <v/>
      </c>
      <c r="M184" s="659">
        <f>IF(E184="",ROUND(L184+'อัปเดตราคาอลู'!$B$13*S184,0),ROUND(E184*K184,0))</f>
        <v/>
      </c>
      <c r="N184" s="659">
        <f>M184</f>
        <v/>
      </c>
      <c r="O184" s="659">
        <f>IF(G184="",ROUND(L184+rate_special*S184,0),ROUND(G184*mult_euro,0))</f>
        <v/>
      </c>
      <c r="P184" s="659">
        <f>IF(H184="",ROUND(L184+rate_woodbake*S184,0),ROUND(H184*mult_wood,0))</f>
        <v/>
      </c>
      <c r="Q184" s="659">
        <f>IF(I184="",ROUND(L184+rate_woodbake*S184,0),ROUND(I184*mult_wood,0))</f>
        <v/>
      </c>
      <c r="R184" s="659">
        <f>IF(J184="",ROUND(L184+rate_woodbake*S184,0),ROUND(J184*mult_wood,0))</f>
        <v/>
      </c>
      <c r="S184" s="705">
        <f>ROUND(D184/(IF(ISNUMBER(SEARCH("เมืองทอง",C184)),'อัปเดตราคาอลู'!$F$8,IF(ISNUMBER(SEARCH("SlimLux",C184)),'อัปเดตราคาอลู'!$F$6,IF(ISNUMBER(SEARCH("Velora",C184)),'อัปเดตราคาอลู'!$F$7,IF(ISNUMBER(SEARCH("Fuji",C184)),'อัปเดตราคาอลู'!$F$5,'อัปเดตราคาอลู'!$F$4))))),3)</f>
        <v/>
      </c>
      <c r="T184" s="705">
        <f>ROUND(P184/(IF(OR(ISNUMBER(SEARCH("เมืองทอง",C184)),ISNUMBER(SEARCH("SlimLux",C184)),ISNUMBER(SEARCH("Velora",C184))),6,6.4)),3)</f>
        <v/>
      </c>
      <c r="U184" s="767">
        <f>ROUND(L184-D184,0)</f>
        <v/>
      </c>
      <c r="V184" s="659">
        <f>IF(D184="","",ROUND(D184+rate_anodize*S184,0))</f>
        <v/>
      </c>
    </row>
    <row r="185">
      <c r="A185" s="434" t="inlineStr">
        <is>
          <t>E-01L</t>
        </is>
      </c>
      <c r="B185" s="434" t="inlineStr">
        <is>
          <t>-</t>
        </is>
      </c>
      <c r="C185" s="434" t="inlineStr">
        <is>
          <t>อลูมิเนียม E-series</t>
        </is>
      </c>
      <c r="D185" s="399" t="n">
        <v>1467</v>
      </c>
      <c r="E185" s="399" t="n">
        <v>2282</v>
      </c>
      <c r="F185" s="399">
        <f>E185</f>
        <v/>
      </c>
      <c r="G185" s="399" t="n"/>
      <c r="H185" s="399" t="n"/>
      <c r="I185" s="399" t="n"/>
      <c r="J185" s="399" t="n"/>
      <c r="K185" s="676">
        <f>IF(ISNUMBER(SEARCH("เมืองทอง",C185)),mult_mtong,IF(ISNUMBER(SEARCH("SlimLux",C185)),mult_slim,IF(ISNUMBER(SEARCH("Velora",C185)),mult_velora,IF(ISNUMBER(SEARCH("Fuji",C185)),mult_euro,mult_sms))))</f>
        <v/>
      </c>
      <c r="L185" s="659">
        <f>ROUND(D185*K185,0)</f>
        <v/>
      </c>
      <c r="M185" s="659">
        <f>IF(E185="",ROUND(L185+'อัปเดตราคาอลู'!$B$13*S185,0),ROUND(E185*K185,0))</f>
        <v/>
      </c>
      <c r="N185" s="659">
        <f>M185</f>
        <v/>
      </c>
      <c r="O185" s="659">
        <f>IF(G185="",ROUND(L185+rate_special*S185,0),ROUND(G185*mult_euro,0))</f>
        <v/>
      </c>
      <c r="P185" s="659">
        <f>IF(H185="",ROUND(L185+rate_woodbake*S185,0),ROUND(H185*mult_wood,0))</f>
        <v/>
      </c>
      <c r="Q185" s="659">
        <f>IF(I185="",ROUND(L185+rate_woodbake*S185,0),ROUND(I185*mult_wood,0))</f>
        <v/>
      </c>
      <c r="R185" s="659">
        <f>IF(J185="",ROUND(L185+rate_woodbake*S185,0),ROUND(J185*mult_wood,0))</f>
        <v/>
      </c>
      <c r="S185" s="705">
        <f>ROUND(D185/(IF(ISNUMBER(SEARCH("เมืองทอง",C185)),'อัปเดตราคาอลู'!$F$8,IF(ISNUMBER(SEARCH("SlimLux",C185)),'อัปเดตราคาอลู'!$F$6,IF(ISNUMBER(SEARCH("Velora",C185)),'อัปเดตราคาอลู'!$F$7,IF(ISNUMBER(SEARCH("Fuji",C185)),'อัปเดตราคาอลู'!$F$5,'อัปเดตราคาอลู'!$F$4))))),3)</f>
        <v/>
      </c>
      <c r="T185" s="705">
        <f>ROUND(P185/(IF(OR(ISNUMBER(SEARCH("เมืองทอง",C185)),ISNUMBER(SEARCH("SlimLux",C185)),ISNUMBER(SEARCH("Velora",C185))),6,6.4)),3)</f>
        <v/>
      </c>
      <c r="U185" s="767">
        <f>ROUND(L185-D185,0)</f>
        <v/>
      </c>
      <c r="V185" s="659">
        <f>IF(D185="","",ROUND(D185+rate_anodize*S185,0))</f>
        <v/>
      </c>
    </row>
    <row r="186">
      <c r="A186" s="434" t="inlineStr">
        <is>
          <t>E-02L</t>
        </is>
      </c>
      <c r="B186" s="434" t="inlineStr">
        <is>
          <t>-</t>
        </is>
      </c>
      <c r="C186" s="434" t="inlineStr">
        <is>
          <t>อลูมิเนียม E-series</t>
        </is>
      </c>
      <c r="D186" s="399" t="n">
        <v>1422</v>
      </c>
      <c r="E186" s="399" t="n">
        <v>2212</v>
      </c>
      <c r="F186" s="399">
        <f>E186</f>
        <v/>
      </c>
      <c r="G186" s="399" t="n"/>
      <c r="H186" s="399" t="n"/>
      <c r="I186" s="399" t="n"/>
      <c r="J186" s="399" t="n"/>
      <c r="K186" s="676">
        <f>IF(ISNUMBER(SEARCH("เมืองทอง",C186)),mult_mtong,IF(ISNUMBER(SEARCH("SlimLux",C186)),mult_slim,IF(ISNUMBER(SEARCH("Velora",C186)),mult_velora,IF(ISNUMBER(SEARCH("Fuji",C186)),mult_euro,mult_sms))))</f>
        <v/>
      </c>
      <c r="L186" s="659">
        <f>ROUND(D186*K186,0)</f>
        <v/>
      </c>
      <c r="M186" s="659">
        <f>IF(E186="",ROUND(L186+'อัปเดตราคาอลู'!$B$13*S186,0),ROUND(E186*K186,0))</f>
        <v/>
      </c>
      <c r="N186" s="659">
        <f>M186</f>
        <v/>
      </c>
      <c r="O186" s="659">
        <f>IF(G186="",ROUND(L186+rate_special*S186,0),ROUND(G186*mult_euro,0))</f>
        <v/>
      </c>
      <c r="P186" s="659">
        <f>IF(H186="",ROUND(L186+rate_woodbake*S186,0),ROUND(H186*mult_wood,0))</f>
        <v/>
      </c>
      <c r="Q186" s="659">
        <f>IF(I186="",ROUND(L186+rate_woodbake*S186,0),ROUND(I186*mult_wood,0))</f>
        <v/>
      </c>
      <c r="R186" s="659">
        <f>IF(J186="",ROUND(L186+rate_woodbake*S186,0),ROUND(J186*mult_wood,0))</f>
        <v/>
      </c>
      <c r="S186" s="705">
        <f>ROUND(D186/(IF(ISNUMBER(SEARCH("เมืองทอง",C186)),'อัปเดตราคาอลู'!$F$8,IF(ISNUMBER(SEARCH("SlimLux",C186)),'อัปเดตราคาอลู'!$F$6,IF(ISNUMBER(SEARCH("Velora",C186)),'อัปเดตราคาอลู'!$F$7,IF(ISNUMBER(SEARCH("Fuji",C186)),'อัปเดตราคาอลู'!$F$5,'อัปเดตราคาอลู'!$F$4))))),3)</f>
        <v/>
      </c>
      <c r="T186" s="705">
        <f>ROUND(P186/(IF(OR(ISNUMBER(SEARCH("เมืองทอง",C186)),ISNUMBER(SEARCH("SlimLux",C186)),ISNUMBER(SEARCH("Velora",C186))),6,6.4)),3)</f>
        <v/>
      </c>
      <c r="U186" s="767">
        <f>ROUND(L186-D186,0)</f>
        <v/>
      </c>
      <c r="V186" s="659">
        <f>IF(D186="","",ROUND(D186+rate_anodize*S186,0))</f>
        <v/>
      </c>
    </row>
    <row r="187">
      <c r="A187" s="434" t="inlineStr">
        <is>
          <t>E-03L</t>
        </is>
      </c>
      <c r="B187" s="434" t="inlineStr">
        <is>
          <t>-</t>
        </is>
      </c>
      <c r="C187" s="434" t="inlineStr">
        <is>
          <t>อลูมิเนียม E-series</t>
        </is>
      </c>
      <c r="D187" s="399" t="n">
        <v>1607</v>
      </c>
      <c r="E187" s="399" t="n">
        <v>2500</v>
      </c>
      <c r="F187" s="399">
        <f>E187</f>
        <v/>
      </c>
      <c r="G187" s="399" t="n"/>
      <c r="H187" s="399" t="n"/>
      <c r="I187" s="399" t="n"/>
      <c r="J187" s="399" t="n"/>
      <c r="K187" s="676">
        <f>IF(ISNUMBER(SEARCH("เมืองทอง",C187)),mult_mtong,IF(ISNUMBER(SEARCH("SlimLux",C187)),mult_slim,IF(ISNUMBER(SEARCH("Velora",C187)),mult_velora,IF(ISNUMBER(SEARCH("Fuji",C187)),mult_euro,mult_sms))))</f>
        <v/>
      </c>
      <c r="L187" s="659">
        <f>ROUND(D187*K187,0)</f>
        <v/>
      </c>
      <c r="M187" s="659">
        <f>IF(E187="",ROUND(L187+'อัปเดตราคาอลู'!$B$13*S187,0),ROUND(E187*K187,0))</f>
        <v/>
      </c>
      <c r="N187" s="659">
        <f>M187</f>
        <v/>
      </c>
      <c r="O187" s="659">
        <f>IF(G187="",ROUND(L187+rate_special*S187,0),ROUND(G187*mult_euro,0))</f>
        <v/>
      </c>
      <c r="P187" s="659">
        <f>IF(H187="",ROUND(L187+rate_woodbake*S187,0),ROUND(H187*mult_wood,0))</f>
        <v/>
      </c>
      <c r="Q187" s="659">
        <f>IF(I187="",ROUND(L187+rate_woodbake*S187,0),ROUND(I187*mult_wood,0))</f>
        <v/>
      </c>
      <c r="R187" s="659">
        <f>IF(J187="",ROUND(L187+rate_woodbake*S187,0),ROUND(J187*mult_wood,0))</f>
        <v/>
      </c>
      <c r="S187" s="705">
        <f>ROUND(D187/(IF(ISNUMBER(SEARCH("เมืองทอง",C187)),'อัปเดตราคาอลู'!$F$8,IF(ISNUMBER(SEARCH("SlimLux",C187)),'อัปเดตราคาอลู'!$F$6,IF(ISNUMBER(SEARCH("Velora",C187)),'อัปเดตราคาอลู'!$F$7,IF(ISNUMBER(SEARCH("Fuji",C187)),'อัปเดตราคาอลู'!$F$5,'อัปเดตราคาอลู'!$F$4))))),3)</f>
        <v/>
      </c>
      <c r="T187" s="705">
        <f>ROUND(P187/(IF(OR(ISNUMBER(SEARCH("เมืองทอง",C187)),ISNUMBER(SEARCH("SlimLux",C187)),ISNUMBER(SEARCH("Velora",C187))),6,6.4)),3)</f>
        <v/>
      </c>
      <c r="U187" s="767">
        <f>ROUND(L187-D187,0)</f>
        <v/>
      </c>
      <c r="V187" s="659">
        <f>IF(D187="","",ROUND(D187+rate_anodize*S187,0))</f>
        <v/>
      </c>
    </row>
    <row r="188">
      <c r="A188" s="434" t="inlineStr">
        <is>
          <t>X-01</t>
        </is>
      </c>
      <c r="B188" s="434" t="inlineStr">
        <is>
          <t>-</t>
        </is>
      </c>
      <c r="C188" s="434" t="inlineStr">
        <is>
          <t>อลูมิเนียม E-series</t>
        </is>
      </c>
      <c r="D188" s="399" t="n">
        <v>1242</v>
      </c>
      <c r="E188" s="399" t="n">
        <v>1932</v>
      </c>
      <c r="F188" s="399">
        <f>E188</f>
        <v/>
      </c>
      <c r="G188" s="399" t="n"/>
      <c r="H188" s="399" t="n"/>
      <c r="I188" s="399" t="n"/>
      <c r="J188" s="399" t="n"/>
      <c r="K188" s="676">
        <f>IF(ISNUMBER(SEARCH("เมืองทอง",C188)),mult_mtong,IF(ISNUMBER(SEARCH("SlimLux",C188)),mult_slim,IF(ISNUMBER(SEARCH("Velora",C188)),mult_velora,IF(ISNUMBER(SEARCH("Fuji",C188)),mult_euro,mult_sms))))</f>
        <v/>
      </c>
      <c r="L188" s="659">
        <f>ROUND(D188*K188,0)</f>
        <v/>
      </c>
      <c r="M188" s="659">
        <f>IF(E188="",ROUND(L188+'อัปเดตราคาอลู'!$B$13*S188,0),ROUND(E188*K188,0))</f>
        <v/>
      </c>
      <c r="N188" s="659">
        <f>M188</f>
        <v/>
      </c>
      <c r="O188" s="659">
        <f>IF(G188="",ROUND(L188+rate_special*S188,0),ROUND(G188*mult_euro,0))</f>
        <v/>
      </c>
      <c r="P188" s="659">
        <f>IF(H188="",ROUND(L188+rate_woodbake*S188,0),ROUND(H188*mult_wood,0))</f>
        <v/>
      </c>
      <c r="Q188" s="659">
        <f>IF(I188="",ROUND(L188+rate_woodbake*S188,0),ROUND(I188*mult_wood,0))</f>
        <v/>
      </c>
      <c r="R188" s="659">
        <f>IF(J188="",ROUND(L188+rate_woodbake*S188,0),ROUND(J188*mult_wood,0))</f>
        <v/>
      </c>
      <c r="S188" s="705">
        <f>ROUND(D188/(IF(ISNUMBER(SEARCH("เมืองทอง",C188)),'อัปเดตราคาอลู'!$F$8,IF(ISNUMBER(SEARCH("SlimLux",C188)),'อัปเดตราคาอลู'!$F$6,IF(ISNUMBER(SEARCH("Velora",C188)),'อัปเดตราคาอลู'!$F$7,IF(ISNUMBER(SEARCH("Fuji",C188)),'อัปเดตราคาอลู'!$F$5,'อัปเดตราคาอลู'!$F$4))))),3)</f>
        <v/>
      </c>
      <c r="T188" s="705">
        <f>ROUND(P188/(IF(OR(ISNUMBER(SEARCH("เมืองทอง",C188)),ISNUMBER(SEARCH("SlimLux",C188)),ISNUMBER(SEARCH("Velora",C188))),6,6.4)),3)</f>
        <v/>
      </c>
      <c r="U188" s="767">
        <f>ROUND(L188-D188,0)</f>
        <v/>
      </c>
      <c r="V188" s="659">
        <f>IF(D188="","",ROUND(D188+rate_anodize*S188,0))</f>
        <v/>
      </c>
    </row>
    <row r="189">
      <c r="A189" s="434" t="inlineStr">
        <is>
          <t>X-02</t>
        </is>
      </c>
      <c r="B189" s="434" t="inlineStr">
        <is>
          <t>-</t>
        </is>
      </c>
      <c r="C189" s="434" t="inlineStr">
        <is>
          <t>อลูมิเนียม E-series</t>
        </is>
      </c>
      <c r="D189" s="399" t="n">
        <v>1202</v>
      </c>
      <c r="E189" s="399" t="n">
        <v>1870</v>
      </c>
      <c r="F189" s="399">
        <f>E189</f>
        <v/>
      </c>
      <c r="G189" s="399" t="n"/>
      <c r="H189" s="399" t="n"/>
      <c r="I189" s="399" t="n"/>
      <c r="J189" s="399" t="n"/>
      <c r="K189" s="676">
        <f>IF(ISNUMBER(SEARCH("เมืองทอง",C189)),mult_mtong,IF(ISNUMBER(SEARCH("SlimLux",C189)),mult_slim,IF(ISNUMBER(SEARCH("Velora",C189)),mult_velora,IF(ISNUMBER(SEARCH("Fuji",C189)),mult_euro,mult_sms))))</f>
        <v/>
      </c>
      <c r="L189" s="659">
        <f>ROUND(D189*K189,0)</f>
        <v/>
      </c>
      <c r="M189" s="659">
        <f>IF(E189="",ROUND(L189+'อัปเดตราคาอลู'!$B$13*S189,0),ROUND(E189*K189,0))</f>
        <v/>
      </c>
      <c r="N189" s="659">
        <f>M189</f>
        <v/>
      </c>
      <c r="O189" s="659">
        <f>IF(G189="",ROUND(L189+rate_special*S189,0),ROUND(G189*mult_euro,0))</f>
        <v/>
      </c>
      <c r="P189" s="659">
        <f>IF(H189="",ROUND(L189+rate_woodbake*S189,0),ROUND(H189*mult_wood,0))</f>
        <v/>
      </c>
      <c r="Q189" s="659">
        <f>IF(I189="",ROUND(L189+rate_woodbake*S189,0),ROUND(I189*mult_wood,0))</f>
        <v/>
      </c>
      <c r="R189" s="659">
        <f>IF(J189="",ROUND(L189+rate_woodbake*S189,0),ROUND(J189*mult_wood,0))</f>
        <v/>
      </c>
      <c r="S189" s="705">
        <f>ROUND(D189/(IF(ISNUMBER(SEARCH("เมืองทอง",C189)),'อัปเดตราคาอลู'!$F$8,IF(ISNUMBER(SEARCH("SlimLux",C189)),'อัปเดตราคาอลู'!$F$6,IF(ISNUMBER(SEARCH("Velora",C189)),'อัปเดตราคาอลู'!$F$7,IF(ISNUMBER(SEARCH("Fuji",C189)),'อัปเดตราคาอลู'!$F$5,'อัปเดตราคาอลู'!$F$4))))),3)</f>
        <v/>
      </c>
      <c r="T189" s="705">
        <f>ROUND(P189/(IF(OR(ISNUMBER(SEARCH("เมืองทอง",C189)),ISNUMBER(SEARCH("SlimLux",C189)),ISNUMBER(SEARCH("Velora",C189))),6,6.4)),3)</f>
        <v/>
      </c>
      <c r="U189" s="767">
        <f>ROUND(L189-D189,0)</f>
        <v/>
      </c>
      <c r="V189" s="659">
        <f>IF(D189="","",ROUND(D189+rate_anodize*S189,0))</f>
        <v/>
      </c>
    </row>
    <row r="190">
      <c r="A190" s="434" t="inlineStr">
        <is>
          <t>X-03</t>
        </is>
      </c>
      <c r="B190" s="434" t="inlineStr">
        <is>
          <t>-</t>
        </is>
      </c>
      <c r="C190" s="434" t="inlineStr">
        <is>
          <t>อลูมิเนียม E-series</t>
        </is>
      </c>
      <c r="D190" s="399" t="n">
        <v>1539</v>
      </c>
      <c r="E190" s="399" t="n">
        <v>2394</v>
      </c>
      <c r="F190" s="399">
        <f>E190</f>
        <v/>
      </c>
      <c r="G190" s="399" t="n"/>
      <c r="H190" s="399" t="n"/>
      <c r="I190" s="399" t="n"/>
      <c r="J190" s="399" t="n"/>
      <c r="K190" s="676">
        <f>IF(ISNUMBER(SEARCH("เมืองทอง",C190)),mult_mtong,IF(ISNUMBER(SEARCH("SlimLux",C190)),mult_slim,IF(ISNUMBER(SEARCH("Velora",C190)),mult_velora,IF(ISNUMBER(SEARCH("Fuji",C190)),mult_euro,mult_sms))))</f>
        <v/>
      </c>
      <c r="L190" s="659">
        <f>ROUND(D190*K190,0)</f>
        <v/>
      </c>
      <c r="M190" s="659">
        <f>IF(E190="",ROUND(L190+'อัปเดตราคาอลู'!$B$13*S190,0),ROUND(E190*K190,0))</f>
        <v/>
      </c>
      <c r="N190" s="659">
        <f>M190</f>
        <v/>
      </c>
      <c r="O190" s="659">
        <f>IF(G190="",ROUND(L190+rate_special*S190,0),ROUND(G190*mult_euro,0))</f>
        <v/>
      </c>
      <c r="P190" s="659">
        <f>IF(H190="",ROUND(L190+rate_woodbake*S190,0),ROUND(H190*mult_wood,0))</f>
        <v/>
      </c>
      <c r="Q190" s="659">
        <f>IF(I190="",ROUND(L190+rate_woodbake*S190,0),ROUND(I190*mult_wood,0))</f>
        <v/>
      </c>
      <c r="R190" s="659">
        <f>IF(J190="",ROUND(L190+rate_woodbake*S190,0),ROUND(J190*mult_wood,0))</f>
        <v/>
      </c>
      <c r="S190" s="705">
        <f>ROUND(D190/(IF(ISNUMBER(SEARCH("เมืองทอง",C190)),'อัปเดตราคาอลู'!$F$8,IF(ISNUMBER(SEARCH("SlimLux",C190)),'อัปเดตราคาอลู'!$F$6,IF(ISNUMBER(SEARCH("Velora",C190)),'อัปเดตราคาอลู'!$F$7,IF(ISNUMBER(SEARCH("Fuji",C190)),'อัปเดตราคาอลู'!$F$5,'อัปเดตราคาอลู'!$F$4))))),3)</f>
        <v/>
      </c>
      <c r="T190" s="705">
        <f>ROUND(P190/(IF(OR(ISNUMBER(SEARCH("เมืองทอง",C190)),ISNUMBER(SEARCH("SlimLux",C190)),ISNUMBER(SEARCH("Velora",C190))),6,6.4)),3)</f>
        <v/>
      </c>
      <c r="U190" s="767">
        <f>ROUND(L190-D190,0)</f>
        <v/>
      </c>
      <c r="V190" s="659">
        <f>IF(D190="","",ROUND(D190+rate_anodize*S190,0))</f>
        <v/>
      </c>
    </row>
    <row r="191">
      <c r="A191" s="434" t="inlineStr">
        <is>
          <t>X-J</t>
        </is>
      </c>
      <c r="B191" s="434" t="inlineStr">
        <is>
          <t>-</t>
        </is>
      </c>
      <c r="C191" s="434" t="inlineStr">
        <is>
          <t>อลูมิเนียม E-series</t>
        </is>
      </c>
      <c r="D191" s="399" t="n">
        <v>295</v>
      </c>
      <c r="E191" s="399" t="n">
        <v>459</v>
      </c>
      <c r="F191" s="399">
        <f>E191</f>
        <v/>
      </c>
      <c r="G191" s="399" t="n"/>
      <c r="H191" s="399" t="n"/>
      <c r="I191" s="399" t="n"/>
      <c r="J191" s="399" t="n"/>
      <c r="K191" s="676">
        <f>IF(ISNUMBER(SEARCH("เมืองทอง",C191)),mult_mtong,IF(ISNUMBER(SEARCH("SlimLux",C191)),mult_slim,IF(ISNUMBER(SEARCH("Velora",C191)),mult_velora,IF(ISNUMBER(SEARCH("Fuji",C191)),mult_euro,mult_sms))))</f>
        <v/>
      </c>
      <c r="L191" s="659">
        <f>ROUND(D191*K191,0)</f>
        <v/>
      </c>
      <c r="M191" s="659">
        <f>IF(E191="",ROUND(L191+'อัปเดตราคาอลู'!$B$13*S191,0),ROUND(E191*K191,0))</f>
        <v/>
      </c>
      <c r="N191" s="659">
        <f>M191</f>
        <v/>
      </c>
      <c r="O191" s="659">
        <f>IF(G191="",ROUND(L191+rate_special*S191,0),ROUND(G191*mult_euro,0))</f>
        <v/>
      </c>
      <c r="P191" s="659">
        <f>IF(H191="",ROUND(L191+rate_woodbake*S191,0),ROUND(H191*mult_wood,0))</f>
        <v/>
      </c>
      <c r="Q191" s="659">
        <f>IF(I191="",ROUND(L191+rate_woodbake*S191,0),ROUND(I191*mult_wood,0))</f>
        <v/>
      </c>
      <c r="R191" s="659">
        <f>IF(J191="",ROUND(L191+rate_woodbake*S191,0),ROUND(J191*mult_wood,0))</f>
        <v/>
      </c>
      <c r="S191" s="705">
        <f>ROUND(D191/(IF(ISNUMBER(SEARCH("เมืองทอง",C191)),'อัปเดตราคาอลู'!$F$8,IF(ISNUMBER(SEARCH("SlimLux",C191)),'อัปเดตราคาอลู'!$F$6,IF(ISNUMBER(SEARCH("Velora",C191)),'อัปเดตราคาอลู'!$F$7,IF(ISNUMBER(SEARCH("Fuji",C191)),'อัปเดตราคาอลู'!$F$5,'อัปเดตราคาอลู'!$F$4))))),3)</f>
        <v/>
      </c>
      <c r="T191" s="705">
        <f>ROUND(P191/(IF(OR(ISNUMBER(SEARCH("เมืองทอง",C191)),ISNUMBER(SEARCH("SlimLux",C191)),ISNUMBER(SEARCH("Velora",C191))),6,6.4)),3)</f>
        <v/>
      </c>
      <c r="U191" s="767">
        <f>ROUND(L191-D191,0)</f>
        <v/>
      </c>
      <c r="V191" s="659">
        <f>IF(D191="","",ROUND(D191+rate_anodize*S191,0))</f>
        <v/>
      </c>
    </row>
    <row r="192">
      <c r="A192" s="395" t="inlineStr">
        <is>
          <t>F7971</t>
        </is>
      </c>
      <c r="B192" s="393" t="inlineStr">
        <is>
          <t>คิ้วตบเฟรมข้าง</t>
        </is>
      </c>
      <c r="C192" s="393" t="inlineStr">
        <is>
          <t>อลูมิเนียม Fuji</t>
        </is>
      </c>
      <c r="D192" s="399" t="n">
        <v>520</v>
      </c>
      <c r="E192" s="399" t="n">
        <v>560</v>
      </c>
      <c r="F192" s="399">
        <f>E192</f>
        <v/>
      </c>
      <c r="G192" s="399" t="n">
        <v>565</v>
      </c>
      <c r="H192" s="399" t="n">
        <v>750</v>
      </c>
      <c r="I192" s="399" t="n">
        <v>785</v>
      </c>
      <c r="J192" s="399" t="n">
        <v>780</v>
      </c>
      <c r="K192" s="676">
        <f>IF(ISNUMBER(SEARCH("เมืองทอง",C192)),mult_mtong,IF(ISNUMBER(SEARCH("SlimLux",C192)),mult_slim,IF(ISNUMBER(SEARCH("Velora",C192)),mult_velora,IF(ISNUMBER(SEARCH("Fuji",C192)),mult_euro,mult_sms))))</f>
        <v/>
      </c>
      <c r="L192" s="659">
        <f>ROUND(D192*K192,0)</f>
        <v/>
      </c>
      <c r="M192" s="659">
        <f>IF(E192="",ROUND(L192+'อัปเดตราคาอลู'!$B$13*S192,0),ROUND(E192*K192,0))</f>
        <v/>
      </c>
      <c r="N192" s="659">
        <f>M192</f>
        <v/>
      </c>
      <c r="O192" s="659">
        <f>IF(G192="",ROUND(L192+rate_special*S192,0),ROUND(G192*mult_euro,0))</f>
        <v/>
      </c>
      <c r="P192" s="659">
        <f>IF(H192="",ROUND(L192+rate_woodbake*S192,0),ROUND(H192*mult_wood,0))</f>
        <v/>
      </c>
      <c r="Q192" s="659">
        <f>IF(I192="",ROUND(L192+rate_woodbake*S192,0),ROUND(I192*mult_wood,0))</f>
        <v/>
      </c>
      <c r="R192" s="659">
        <f>IF(J192="",ROUND(L192+rate_woodbake*S192,0),ROUND(J192*mult_wood,0))</f>
        <v/>
      </c>
      <c r="S192" s="705">
        <f>ROUND(D192/(IF(ISNUMBER(SEARCH("เมืองทอง",C192)),'อัปเดตราคาอลู'!$F$8,IF(ISNUMBER(SEARCH("SlimLux",C192)),'อัปเดตราคาอลู'!$F$6,IF(ISNUMBER(SEARCH("Velora",C192)),'อัปเดตราคาอลู'!$F$7,IF(ISNUMBER(SEARCH("Fuji",C192)),'อัปเดตราคาอลู'!$F$5,'อัปเดตราคาอลู'!$F$4))))),3)</f>
        <v/>
      </c>
      <c r="T192" s="705">
        <f>ROUND(P192/(IF(OR(ISNUMBER(SEARCH("เมืองทอง",C192)),ISNUMBER(SEARCH("SlimLux",C192)),ISNUMBER(SEARCH("Velora",C192))),6,6.4)),3)</f>
        <v/>
      </c>
      <c r="U192" s="767">
        <f>ROUND(L192-D192,0)</f>
        <v/>
      </c>
      <c r="V192" s="140">
        <f>IF(D192="","",ROUND(D192+rate_anodize*S192,0))</f>
        <v/>
      </c>
    </row>
    <row r="193" ht="22" customHeight="1" s="129">
      <c r="A193" s="395" t="inlineStr">
        <is>
          <t>F7935</t>
        </is>
      </c>
      <c r="B193" s="393" t="inlineStr">
        <is>
          <t>คิ้วกระจก 5-6 มิล</t>
        </is>
      </c>
      <c r="C193" s="393" t="inlineStr">
        <is>
          <t>อลูมิเนียม Fuji</t>
        </is>
      </c>
      <c r="D193" s="399" t="n">
        <v>385</v>
      </c>
      <c r="E193" s="399" t="n">
        <v>410</v>
      </c>
      <c r="F193" s="399">
        <f>E193</f>
        <v/>
      </c>
      <c r="G193" s="399" t="n">
        <v>415</v>
      </c>
      <c r="H193" s="399" t="n">
        <v>535</v>
      </c>
      <c r="I193" s="399" t="n">
        <v>580</v>
      </c>
      <c r="J193" s="399" t="n">
        <v>575</v>
      </c>
      <c r="K193" s="676">
        <f>IF(ISNUMBER(SEARCH("เมืองทอง",C193)),mult_mtong,IF(ISNUMBER(SEARCH("SlimLux",C193)),mult_slim,IF(ISNUMBER(SEARCH("Velora",C193)),mult_velora,IF(ISNUMBER(SEARCH("Fuji",C193)),mult_euro,mult_sms))))</f>
        <v/>
      </c>
      <c r="L193" s="659">
        <f>ROUND(D193*K193,0)</f>
        <v/>
      </c>
      <c r="M193" s="659">
        <f>IF(E193="",ROUND(L193+'อัปเดตราคาอลู'!$B$13*S193,0),ROUND(E193*K193,0))</f>
        <v/>
      </c>
      <c r="N193" s="659">
        <f>M193</f>
        <v/>
      </c>
      <c r="O193" s="659">
        <f>IF(G193="",ROUND(L193+rate_special*S193,0),ROUND(G193*mult_euro,0))</f>
        <v/>
      </c>
      <c r="P193" s="659">
        <f>IF(H193="",ROUND(L193+rate_woodbake*S193,0),ROUND(H193*mult_wood,0))</f>
        <v/>
      </c>
      <c r="Q193" s="659">
        <f>IF(I193="",ROUND(L193+rate_woodbake*S193,0),ROUND(I193*mult_wood,0))</f>
        <v/>
      </c>
      <c r="R193" s="659">
        <f>IF(J193="",ROUND(L193+rate_woodbake*S193,0),ROUND(J193*mult_wood,0))</f>
        <v/>
      </c>
      <c r="S193" s="705">
        <f>ROUND(D193/(IF(ISNUMBER(SEARCH("เมืองทอง",C193)),'อัปเดตราคาอลู'!$F$8,IF(ISNUMBER(SEARCH("SlimLux",C193)),'อัปเดตราคาอลู'!$F$6,IF(ISNUMBER(SEARCH("Velora",C193)),'อัปเดตราคาอลู'!$F$7,IF(ISNUMBER(SEARCH("Fuji",C193)),'อัปเดตราคาอลู'!$F$5,'อัปเดตราคาอลู'!$F$4))))),3)</f>
        <v/>
      </c>
      <c r="T193" s="705">
        <f>ROUND(P193/(IF(OR(ISNUMBER(SEARCH("เมืองทอง",C193)),ISNUMBER(SEARCH("SlimLux",C193)),ISNUMBER(SEARCH("Velora",C193))),6,6.4)),3)</f>
        <v/>
      </c>
      <c r="U193" s="767">
        <f>ROUND(L193-D193,0)</f>
        <v/>
      </c>
      <c r="V193" s="140">
        <f>IF(D193="","",ROUND(D193+rate_anodize*S193,0))</f>
        <v/>
      </c>
    </row>
    <row r="194">
      <c r="A194" s="387" t="inlineStr">
        <is>
          <t>-</t>
        </is>
      </c>
      <c r="B194" s="387" t="inlineStr">
        <is>
          <t>เส้นคาดตาราง</t>
        </is>
      </c>
      <c r="C194" s="387" t="inlineStr">
        <is>
          <t>อลูมิเนียม SlimLux</t>
        </is>
      </c>
      <c r="D194" s="387" t="n">
        <v>140</v>
      </c>
      <c r="E194" s="387" t="n">
        <v>150</v>
      </c>
      <c r="G194" s="387" t="n">
        <v>130</v>
      </c>
      <c r="H194" s="387" t="n">
        <v>170</v>
      </c>
      <c r="I194" s="387" t="n">
        <v>180</v>
      </c>
      <c r="J194" s="387" t="n">
        <v>175</v>
      </c>
      <c r="M194" s="140">
        <f>IF(E194="",ROUND(L194+'อัปเดตราคาอลู'!$B$13*S194,0),ROUND(E194*K194,0))</f>
        <v/>
      </c>
      <c r="O194" s="140">
        <f>IF(G194="",ROUND(L194+rate_special*S194,0),ROUND(G194*mult_euro,0))</f>
        <v/>
      </c>
      <c r="P194" s="140">
        <f>IF(H194="",ROUND(L194+rate_woodbake*S194,0),ROUND(H194*mult_wood,0))</f>
        <v/>
      </c>
      <c r="Q194" s="140">
        <f>IF(I194="",ROUND(L194+rate_woodbake*S194,0),ROUND(I194*mult_wood,0))</f>
        <v/>
      </c>
      <c r="R194" s="140">
        <f>IF(J194="",ROUND(L194+rate_woodbake*S194,0),ROUND(J194*mult_wood,0))</f>
        <v/>
      </c>
    </row>
  </sheetData>
  <mergeCells count="3">
    <mergeCell ref="S1:U1"/>
    <mergeCell ref="A1:J1"/>
    <mergeCell ref="K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7.5" customWidth="1" style="129" min="2" max="2"/>
    <col width="9.6" customWidth="1" style="129" min="3" max="3"/>
    <col width="12.8" customWidth="1" style="129" min="4" max="4"/>
    <col width="12.8" customWidth="1" style="129" min="5" max="5"/>
    <col width="8.6" customWidth="1" style="129" min="6" max="6"/>
    <col width="4.5" customWidth="1" style="129" min="7" max="7"/>
    <col width="8.6" customWidth="1" style="129" min="9" max="9"/>
  </cols>
  <sheetData>
    <row r="1">
      <c r="A1" s="715" t="inlineStr">
        <is>
          <t>📈 บันทึกราคาขึ้น — ทุน @ บานมาตรฐาน 150×150 ซม (2.25 ตร.ม.)</t>
        </is>
      </c>
      <c r="I1" s="762" t="inlineStr">
        <is>
          <t>🏠 สารบัญ</t>
        </is>
      </c>
      <c r="J1" s="754" t="n"/>
    </row>
    <row r="2">
      <c r="A2" s="716" t="inlineStr">
        <is>
          <t>ทุก ครั้งที่อลู/กก. ขึ้น → มดเพิ่มคอลัมน์วันที่ใหม่ + %ขึ้น · ดูได้ว่าบานไหนขึ้นเท่าไหร่ + ตรวจว่าเพิ่มถูก (ทุน=วัสดุ อลู+กระจก+อุปกรณ์ ไม่รวมค่าแรง · อลูเท่านั้นที่ขึ้นตาม/กก.)</t>
        </is>
      </c>
    </row>
    <row r="4">
      <c r="A4" s="684" t="inlineStr">
        <is>
          <t>① ประวัติเรตอลู (บาท/กก.)</t>
        </is>
      </c>
    </row>
    <row r="5">
      <c r="A5" s="717" t="inlineStr">
        <is>
          <t>วันที่</t>
        </is>
      </c>
      <c r="B5" s="717" t="inlineStr">
        <is>
          <t>SMS</t>
        </is>
      </c>
      <c r="C5" s="717" t="inlineStr">
        <is>
          <t>ยูโร/Fuji</t>
        </is>
      </c>
      <c r="D5" s="717" t="inlineStr">
        <is>
          <t>SlimLux</t>
        </is>
      </c>
      <c r="E5" s="717" t="inlineStr">
        <is>
          <t>Velora</t>
        </is>
      </c>
      <c r="F5" s="717" t="inlineStr">
        <is>
          <t>เมืองทอง</t>
        </is>
      </c>
    </row>
    <row r="6">
      <c r="A6" s="434" t="inlineStr">
        <is>
          <t>25/6/69</t>
        </is>
      </c>
      <c r="B6" s="718">
        <f>'อัปเดตราคาอลู'!B4</f>
        <v/>
      </c>
      <c r="C6" s="718">
        <f>'อัปเดตราคาอลู'!B5</f>
        <v/>
      </c>
      <c r="D6" s="718">
        <f>'อัปเดตราคาอลู'!B6</f>
        <v/>
      </c>
      <c r="E6" s="718">
        <f>'อัปเดตราคาอลู'!B7</f>
        <v/>
      </c>
      <c r="F6" s="718">
        <f>'อัปเดตราคาอลู'!B8</f>
        <v/>
      </c>
    </row>
    <row r="9">
      <c r="A9" s="684" t="inlineStr">
        <is>
          <t>② ทุน @150×150 ต่อบาน (บาท)</t>
        </is>
      </c>
    </row>
    <row r="10">
      <c r="A10" s="717" t="inlineStr">
        <is>
          <t>บาน</t>
        </is>
      </c>
      <c r="B10" s="717" t="inlineStr">
        <is>
          <t>config</t>
        </is>
      </c>
      <c r="C10" s="717" t="inlineStr">
        <is>
          <t>ทุนอลูฐาน</t>
        </is>
      </c>
      <c r="D10" s="717" t="inlineStr">
        <is>
          <t>กระจก+อุปกรณ์</t>
        </is>
      </c>
      <c r="E10" s="717" t="inlineStr">
        <is>
          <t>ทุนรวม ปัจจุบัน
(สูตร live)</t>
        </is>
      </c>
      <c r="F10" s="717" t="inlineStr">
        <is>
          <t>25/6/69
(บันทึก)</t>
        </is>
      </c>
      <c r="G10" s="717" t="inlineStr">
        <is>
          <t>%ขึ้น</t>
        </is>
      </c>
    </row>
    <row r="11">
      <c r="A11" s="434" t="inlineStr">
        <is>
          <t>บานเลื่อน SMS</t>
        </is>
      </c>
      <c r="B11" s="719" t="inlineStr">
        <is>
          <t>2 บาน</t>
        </is>
      </c>
      <c r="C11" s="720" t="n">
        <v>7365</v>
      </c>
      <c r="D11" s="721" t="n">
        <v>1881</v>
      </c>
      <c r="E11" s="722">
        <f>ROUND(C11*mult_sms+D11,0)</f>
        <v/>
      </c>
      <c r="F11" s="719" t="n">
        <v>9246</v>
      </c>
      <c r="G11" s="723" t="inlineStr">
        <is>
          <t>ฐาน</t>
        </is>
      </c>
    </row>
    <row r="12">
      <c r="A12" s="434" t="inlineStr">
        <is>
          <t>บานเลื่อน ยูโร</t>
        </is>
      </c>
      <c r="B12" s="719" t="inlineStr">
        <is>
          <t>2 บาน</t>
        </is>
      </c>
      <c r="C12" s="720" t="n">
        <v>11220</v>
      </c>
      <c r="D12" s="721" t="n">
        <v>2145</v>
      </c>
      <c r="E12" s="722">
        <f>ROUND(C12*mult_euro+D12,0)</f>
        <v/>
      </c>
      <c r="F12" s="719" t="n">
        <v>13365</v>
      </c>
      <c r="G12" s="723" t="inlineStr">
        <is>
          <t>ฐาน</t>
        </is>
      </c>
    </row>
    <row r="13">
      <c r="A13" s="434" t="inlineStr">
        <is>
          <t>บานเลื่อน SlimLux</t>
        </is>
      </c>
      <c r="B13" s="719" t="inlineStr">
        <is>
          <t>2 บาน</t>
        </is>
      </c>
      <c r="C13" s="720" t="n">
        <v>5968</v>
      </c>
      <c r="D13" s="721" t="n">
        <v>6953</v>
      </c>
      <c r="E13" s="722">
        <f>ROUND(C13*mult_slim+D13,0)</f>
        <v/>
      </c>
      <c r="F13" s="719" t="n">
        <v>12921</v>
      </c>
      <c r="G13" s="723" t="inlineStr">
        <is>
          <t>ฐาน</t>
        </is>
      </c>
    </row>
    <row r="14">
      <c r="A14" s="434" t="inlineStr">
        <is>
          <t>บานเลื่อน Velora</t>
        </is>
      </c>
      <c r="B14" s="719" t="inlineStr">
        <is>
          <t>2 บาน</t>
        </is>
      </c>
      <c r="C14" s="720" t="n">
        <v>2207</v>
      </c>
      <c r="D14" s="721" t="n">
        <v>3263</v>
      </c>
      <c r="E14" s="722">
        <f>ROUND(C14*mult_velora+D14,0)</f>
        <v/>
      </c>
      <c r="F14" s="719" t="n">
        <v>5470</v>
      </c>
      <c r="G14" s="723" t="inlineStr">
        <is>
          <t>ฐาน</t>
        </is>
      </c>
    </row>
    <row r="15">
      <c r="A15" s="434" t="inlineStr">
        <is>
          <t>บานเลื่อน E-series</t>
        </is>
      </c>
      <c r="B15" s="719" t="inlineStr">
        <is>
          <t>2 บาน</t>
        </is>
      </c>
      <c r="C15" s="720" t="n">
        <v>11158</v>
      </c>
      <c r="D15" s="721" t="n">
        <v>1527</v>
      </c>
      <c r="E15" s="722">
        <f>ROUND(C15*mult_sms+D15,0)</f>
        <v/>
      </c>
      <c r="F15" s="719" t="n">
        <v>12685</v>
      </c>
      <c r="G15" s="723" t="inlineStr">
        <is>
          <t>ฐาน</t>
        </is>
      </c>
    </row>
    <row r="16">
      <c r="A16" s="434" t="inlineStr">
        <is>
          <t>บานเปิด (ยูโร)</t>
        </is>
      </c>
      <c r="B16" s="719" t="inlineStr">
        <is>
          <t>2 บาน</t>
        </is>
      </c>
      <c r="C16" s="720" t="n">
        <v>8560</v>
      </c>
      <c r="D16" s="721" t="n">
        <v>3255</v>
      </c>
      <c r="E16" s="722">
        <f>ROUND(C16*mult_euro+D16,0)</f>
        <v/>
      </c>
      <c r="F16" s="719" t="n">
        <v>11815</v>
      </c>
      <c r="G16" s="723" t="inlineStr">
        <is>
          <t>ฐาน</t>
        </is>
      </c>
    </row>
    <row r="17">
      <c r="A17" s="434" t="inlineStr">
        <is>
          <t>PC Door</t>
        </is>
      </c>
      <c r="B17" s="719" t="inlineStr">
        <is>
          <t>1 บาน</t>
        </is>
      </c>
      <c r="C17" s="720" t="n">
        <v>5430</v>
      </c>
      <c r="D17" s="721" t="n">
        <v>3044</v>
      </c>
      <c r="E17" s="722">
        <f>ROUND(C17*mult_euro+D17,0)</f>
        <v/>
      </c>
      <c r="F17" s="719" t="n">
        <v>8474</v>
      </c>
      <c r="G17" s="723" t="inlineStr">
        <is>
          <t>ฐาน</t>
        </is>
      </c>
    </row>
    <row r="18">
      <c r="A18" s="434" t="inlineStr">
        <is>
          <t>บานกระทุ้ง</t>
        </is>
      </c>
      <c r="B18" s="719" t="inlineStr">
        <is>
          <t>1 บาน</t>
        </is>
      </c>
      <c r="C18" s="720" t="n">
        <v>4340</v>
      </c>
      <c r="D18" s="721" t="n">
        <v>1924</v>
      </c>
      <c r="E18" s="722">
        <f>ROUND(C18*mult_euro+D18,0)</f>
        <v/>
      </c>
      <c r="F18" s="719" t="n">
        <v>6264</v>
      </c>
      <c r="G18" s="723" t="inlineStr">
        <is>
          <t>ฐาน</t>
        </is>
      </c>
    </row>
    <row r="19">
      <c r="A19" s="434" t="inlineStr">
        <is>
          <t>บานยก</t>
        </is>
      </c>
      <c r="B19" s="719" t="inlineStr">
        <is>
          <t>1 บาน</t>
        </is>
      </c>
      <c r="C19" s="720" t="n">
        <v>5005</v>
      </c>
      <c r="D19" s="721" t="n">
        <v>3419</v>
      </c>
      <c r="E19" s="722">
        <f>ROUND(C19*mult_euro+D19,0)</f>
        <v/>
      </c>
      <c r="F19" s="719" t="n">
        <v>8424</v>
      </c>
      <c r="G19" s="723" t="inlineStr">
        <is>
          <t>ฐาน</t>
        </is>
      </c>
    </row>
    <row r="20">
      <c r="A20" s="434" t="inlineStr">
        <is>
          <t>บานเฟี้ยม</t>
        </is>
      </c>
      <c r="B20" s="719" t="inlineStr">
        <is>
          <t>4 บาน</t>
        </is>
      </c>
      <c r="C20" s="720" t="n">
        <v>10470</v>
      </c>
      <c r="D20" s="721" t="n">
        <v>6807</v>
      </c>
      <c r="E20" s="722">
        <f>ROUND(C20*mult_euro+D20,0)</f>
        <v/>
      </c>
      <c r="F20" s="719" t="n">
        <v>17277</v>
      </c>
      <c r="G20" s="723" t="inlineStr">
        <is>
          <t>ฐาน</t>
        </is>
      </c>
    </row>
    <row r="21">
      <c r="A21" s="434" t="inlineStr">
        <is>
          <t>เฟี้ยมยูโร</t>
        </is>
      </c>
      <c r="B21" s="719" t="inlineStr">
        <is>
          <t>4 บาน</t>
        </is>
      </c>
      <c r="C21" s="720" t="n">
        <v>13294</v>
      </c>
      <c r="D21" s="721" t="n">
        <v>2917</v>
      </c>
      <c r="E21" s="722">
        <f>ROUND(C21*mult_euro+D21,0)</f>
        <v/>
      </c>
      <c r="F21" s="719" t="n">
        <v>16211</v>
      </c>
      <c r="G21" s="723" t="inlineStr">
        <is>
          <t>ฐาน</t>
        </is>
      </c>
    </row>
    <row r="22">
      <c r="A22" s="434" t="inlineStr">
        <is>
          <t>บานติดตาย</t>
        </is>
      </c>
      <c r="B22" s="719" t="inlineStr">
        <is>
          <t>-</t>
        </is>
      </c>
      <c r="C22" s="720" t="n">
        <v>3240</v>
      </c>
      <c r="D22" s="721" t="n">
        <v>764</v>
      </c>
      <c r="E22" s="722">
        <f>ROUND(C22*mult_mtong+D22,0)</f>
        <v/>
      </c>
      <c r="F22" s="719" t="n">
        <v>4004</v>
      </c>
      <c r="G22" s="723" t="inlineStr">
        <is>
          <t>ฐาน</t>
        </is>
      </c>
    </row>
    <row r="23">
      <c r="A23" s="434" t="inlineStr">
        <is>
          <t>ตายดัดโค้ง</t>
        </is>
      </c>
      <c r="B23" s="719" t="inlineStr">
        <is>
          <t>-</t>
        </is>
      </c>
      <c r="C23" s="720" t="n">
        <v>0</v>
      </c>
      <c r="D23" s="721" t="n">
        <v>5100</v>
      </c>
      <c r="E23" s="722">
        <f>ROUND(C23*mult_mtong+D23,0)</f>
        <v/>
      </c>
      <c r="F23" s="719" t="n">
        <v>5100</v>
      </c>
      <c r="G23" s="723" t="inlineStr">
        <is>
          <t>ฐาน</t>
        </is>
      </c>
    </row>
    <row r="24">
      <c r="A24" s="434" t="inlineStr">
        <is>
          <t>เปิดดัดโค้ง</t>
        </is>
      </c>
      <c r="B24" s="719" t="inlineStr">
        <is>
          <t>2 บาน</t>
        </is>
      </c>
      <c r="C24" s="720" t="n">
        <v>0</v>
      </c>
      <c r="D24" s="721" t="n">
        <v>28077</v>
      </c>
      <c r="E24" s="722">
        <f>ROUND(C24*mult_mtong+D24,0)</f>
        <v/>
      </c>
      <c r="F24" s="719" t="n">
        <v>28077</v>
      </c>
      <c r="G24" s="723" t="inlineStr">
        <is>
          <t>ฐาน</t>
        </is>
      </c>
    </row>
    <row r="25">
      <c r="A25" s="434" t="inlineStr">
        <is>
          <t>บานเลื่อนรางบน</t>
        </is>
      </c>
      <c r="B25" s="719" t="inlineStr">
        <is>
          <t>2 บาน</t>
        </is>
      </c>
      <c r="C25" s="720" t="n">
        <v>4770</v>
      </c>
      <c r="D25" s="721" t="n">
        <v>7803</v>
      </c>
      <c r="E25" s="722">
        <f>ROUND(2990*mult_mtong+1780*mult_sms+D25,0)</f>
        <v/>
      </c>
      <c r="F25" s="719" t="n">
        <v>12573</v>
      </c>
      <c r="G25" s="723" t="inlineStr">
        <is>
          <t>ฐาน</t>
        </is>
      </c>
    </row>
    <row r="27">
      <c r="A27" s="724" t="inlineStr">
        <is>
          <t>🔧 วิธีเพิ่มรอบใหม่เมื่ออลูขึ้น:</t>
        </is>
      </c>
    </row>
    <row r="28">
      <c r="A28" s="725" t="inlineStr">
        <is>
          <t>1) แก้ราคา/กก. ที่ชีท "อัปเดตราคาอลู" → ช่อง "ทุนรวม ปัจจุบัน(สูตร)" ขยับเอง</t>
        </is>
      </c>
    </row>
    <row r="29">
      <c r="A29" s="725" t="inlineStr">
        <is>
          <t>2) มดเพิ่ม 2 คอลัมน์ใหม่ (วันที่ + %ขึ้น) คัดค่าจากช่องสูตร + เพิ่มแถวเรตใน ① → ได้ประวัติว่าบานไหนขึ้นเท่าไหร่</t>
        </is>
      </c>
    </row>
    <row r="30">
      <c r="A30" s="726" t="inlineStr">
        <is>
          <t>หมายเหตุ: ตายดัดโค้ง/เปิดดัดโค้ง อลูตั้งราคาตายตัว ไม่ขึ้นตาม/กก. · รางบน/เฟี้ยม สูตร live ประมาณ (เลขเป๊ะดูคอลัมน์บันทึกวันที่)</t>
        </is>
      </c>
    </row>
    <row r="32">
      <c r="A32" s="727" t="inlineStr">
        <is>
          <t>⚠️  ทุนอลูฐาน(ส้ม)/กระจก+อุปกรณ์(เทา) = ค่าคงที่ @150×150 · ทุนรวม(เขียว) = อลูฐาน×ตัวคูณ + อื่นๆ → ขึ้นเองเมื่อ/กก.ขึ้น</t>
        </is>
      </c>
    </row>
  </sheetData>
  <mergeCells count="3">
    <mergeCell ref="A32:G32"/>
    <mergeCell ref="A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H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129" min="1" max="1"/>
    <col width="21.1" customWidth="1" style="129" min="2" max="2"/>
    <col width="5.4" customWidth="1" style="129" min="3" max="3"/>
    <col width="18" customWidth="1" style="129" min="4" max="4"/>
    <col width="8.6" customWidth="1" style="129" min="7" max="7"/>
  </cols>
  <sheetData>
    <row r="1">
      <c r="A1" s="771" t="inlineStr">
        <is>
          <t>⚠️ แก้ราคาที่นี่ → 📋 ราคาวัสดุงานเสริม — แก้ราคาที่นี่ที่เดียว (ช่องเหลือง) · ทุกชีทดึงไปใช้อัตโนมัติ</t>
        </is>
      </c>
      <c r="G1" s="753" t="inlineStr">
        <is>
          <t>🏠 สารบัญ</t>
        </is>
      </c>
      <c r="H1" s="754" t="n"/>
    </row>
    <row r="3">
      <c r="A3" s="666" t="inlineStr">
        <is>
          <t>▶ ฝ้ายิปซัม</t>
        </is>
      </c>
    </row>
    <row r="4">
      <c r="A4" s="433" t="inlineStr">
        <is>
          <t>งาน</t>
        </is>
      </c>
      <c r="B4" s="433" t="inlineStr">
        <is>
          <t>วัสดุ</t>
        </is>
      </c>
      <c r="C4" s="433" t="inlineStr">
        <is>
          <t>หน่วย</t>
        </is>
      </c>
      <c r="D4" s="433" t="inlineStr">
        <is>
          <t>ราคา (บาท)</t>
        </is>
      </c>
    </row>
    <row r="5">
      <c r="A5" s="434" t="inlineStr">
        <is>
          <t>ฝ้ายิปซัม</t>
        </is>
      </c>
      <c r="B5" s="434" t="inlineStr">
        <is>
          <t>แผ่นยิปซัม 9มม</t>
        </is>
      </c>
      <c r="C5" s="434" t="inlineStr">
        <is>
          <t>แผ่น</t>
        </is>
      </c>
      <c r="D5" s="667" t="n">
        <v>284</v>
      </c>
    </row>
    <row r="6">
      <c r="A6" s="434" t="inlineStr">
        <is>
          <t>ฝ้ายิปซัม</t>
        </is>
      </c>
      <c r="B6" s="434" t="inlineStr">
        <is>
          <t>โครงซีไลน์ (ฟิวริ่ง)</t>
        </is>
      </c>
      <c r="C6" s="434" t="inlineStr">
        <is>
          <t>เส้น</t>
        </is>
      </c>
      <c r="D6" s="667" t="n">
        <v>50</v>
      </c>
    </row>
    <row r="7">
      <c r="A7" s="434" t="inlineStr">
        <is>
          <t>ฝ้ายิปซัม</t>
        </is>
      </c>
      <c r="B7" s="434" t="inlineStr">
        <is>
          <t>โครงเคร่าหลัก (อาบ)</t>
        </is>
      </c>
      <c r="C7" s="434" t="inlineStr">
        <is>
          <t>เส้น</t>
        </is>
      </c>
      <c r="D7" s="667" t="n">
        <v>50</v>
      </c>
    </row>
    <row r="8">
      <c r="A8" s="434" t="inlineStr">
        <is>
          <t>ฝ้ายิปซัม</t>
        </is>
      </c>
      <c r="B8" s="434" t="inlineStr">
        <is>
          <t>ขาแขวน</t>
        </is>
      </c>
      <c r="C8" s="434" t="inlineStr">
        <is>
          <t>เส้น</t>
        </is>
      </c>
      <c r="D8" s="667" t="n">
        <v>50</v>
      </c>
    </row>
    <row r="9">
      <c r="A9" s="434" t="inlineStr">
        <is>
          <t>ฝ้ายิปซัม</t>
        </is>
      </c>
      <c r="B9" s="434" t="inlineStr">
        <is>
          <t>สกรูยึดแผ่น</t>
        </is>
      </c>
      <c r="C9" s="434" t="inlineStr">
        <is>
          <t>ตัว</t>
        </is>
      </c>
      <c r="D9" s="667" t="n">
        <v>0.5</v>
      </c>
    </row>
    <row r="10">
      <c r="A10" s="434" t="inlineStr">
        <is>
          <t>ฝ้ายิปซัม</t>
        </is>
      </c>
      <c r="B10" s="434" t="inlineStr">
        <is>
          <t>สกรูยึดโครง</t>
        </is>
      </c>
      <c r="C10" s="434" t="inlineStr">
        <is>
          <t>ตัว</t>
        </is>
      </c>
      <c r="D10" s="667" t="n">
        <v>0.5</v>
      </c>
    </row>
    <row r="11">
      <c r="A11" s="434" t="inlineStr">
        <is>
          <t>ฝ้ายิปซัม</t>
        </is>
      </c>
      <c r="B11" s="434" t="inlineStr">
        <is>
          <t>ปูนฉาบรอยต่อ</t>
        </is>
      </c>
      <c r="C11" s="434" t="inlineStr">
        <is>
          <t>ถุง</t>
        </is>
      </c>
      <c r="D11" s="667" t="n">
        <v>240</v>
      </c>
    </row>
    <row r="12">
      <c r="A12" s="434" t="inlineStr">
        <is>
          <t>ฝ้ายิปซัม</t>
        </is>
      </c>
      <c r="B12" s="434" t="inlineStr">
        <is>
          <t>เทป/ตาข่าย</t>
        </is>
      </c>
      <c r="C12" s="434" t="inlineStr">
        <is>
          <t>ม้วน</t>
        </is>
      </c>
      <c r="D12" s="667" t="n">
        <v>70</v>
      </c>
    </row>
    <row r="13">
      <c r="A13" s="434" t="inlineStr">
        <is>
          <t>ฝ้ายิปซัม</t>
        </is>
      </c>
      <c r="B13" s="434" t="inlineStr">
        <is>
          <t>ฉากโอบ อลู 4หุน</t>
        </is>
      </c>
      <c r="C13" s="434" t="inlineStr">
        <is>
          <t>เส้น</t>
        </is>
      </c>
      <c r="D13" s="667" t="n">
        <v>70</v>
      </c>
    </row>
    <row r="14">
      <c r="A14" s="434" t="inlineStr">
        <is>
          <t>ฝ้ายิปซัม</t>
        </is>
      </c>
      <c r="B14" s="434" t="inlineStr">
        <is>
          <t>ฉนวน rockwool 3"</t>
        </is>
      </c>
      <c r="C14" s="434" t="inlineStr">
        <is>
          <t>แผ่น</t>
        </is>
      </c>
      <c r="D14" s="667" t="n">
        <v>130</v>
      </c>
    </row>
    <row r="15">
      <c r="A15" s="666" t="inlineStr">
        <is>
          <t>▶ งานไฟ</t>
        </is>
      </c>
    </row>
    <row r="16">
      <c r="A16" s="433" t="inlineStr">
        <is>
          <t>งาน</t>
        </is>
      </c>
      <c r="B16" s="433" t="inlineStr">
        <is>
          <t>วัสดุ</t>
        </is>
      </c>
      <c r="C16" s="433" t="inlineStr">
        <is>
          <t>หน่วย</t>
        </is>
      </c>
      <c r="D16" s="433" t="inlineStr">
        <is>
          <t>ราคา (บาท)</t>
        </is>
      </c>
    </row>
    <row r="17">
      <c r="A17" s="434" t="inlineStr">
        <is>
          <t>งานไฟ</t>
        </is>
      </c>
      <c r="B17" s="434" t="inlineStr">
        <is>
          <t>ไฟดาวน์ไลท์</t>
        </is>
      </c>
      <c r="C17" s="434" t="inlineStr">
        <is>
          <t>ดวง</t>
        </is>
      </c>
      <c r="D17" s="667" t="n">
        <v>117</v>
      </c>
    </row>
    <row r="18">
      <c r="A18" s="434" t="inlineStr">
        <is>
          <t>งานไฟ</t>
        </is>
      </c>
      <c r="B18" s="434" t="inlineStr">
        <is>
          <t>เต้ารับ+หน้ากาก</t>
        </is>
      </c>
      <c r="C18" s="434" t="inlineStr">
        <is>
          <t>จุด</t>
        </is>
      </c>
      <c r="D18" s="667" t="n">
        <v>105</v>
      </c>
    </row>
    <row r="19">
      <c r="A19" s="434" t="inlineStr">
        <is>
          <t>งานไฟ</t>
        </is>
      </c>
      <c r="B19" s="434" t="inlineStr">
        <is>
          <t>สวิตช์+หน้ากาก</t>
        </is>
      </c>
      <c r="C19" s="434" t="inlineStr">
        <is>
          <t>จุด</t>
        </is>
      </c>
      <c r="D19" s="667" t="n">
        <v>45</v>
      </c>
    </row>
    <row r="20">
      <c r="A20" s="434" t="inlineStr">
        <is>
          <t>งานไฟ</t>
        </is>
      </c>
      <c r="B20" s="434" t="inlineStr">
        <is>
          <t>กล่องไฟ</t>
        </is>
      </c>
      <c r="C20" s="434" t="inlineStr">
        <is>
          <t>กล่อง</t>
        </is>
      </c>
      <c r="D20" s="667" t="n">
        <v>35</v>
      </c>
    </row>
    <row r="21">
      <c r="A21" s="434" t="inlineStr">
        <is>
          <t>งานไฟ</t>
        </is>
      </c>
      <c r="B21" s="434" t="inlineStr">
        <is>
          <t>สายไฟ THW/VAF</t>
        </is>
      </c>
      <c r="C21" s="434" t="inlineStr">
        <is>
          <t>เมตร</t>
        </is>
      </c>
      <c r="D21" s="667" t="n">
        <v>25</v>
      </c>
    </row>
    <row r="22">
      <c r="A22" s="434" t="inlineStr">
        <is>
          <t>งานไฟ</t>
        </is>
      </c>
      <c r="B22" s="434" t="inlineStr">
        <is>
          <t>ท่อ PVC+ข้อต่อ</t>
        </is>
      </c>
      <c r="C22" s="434" t="inlineStr">
        <is>
          <t>เมตร</t>
        </is>
      </c>
      <c r="D22" s="667" t="n">
        <v>6.666666666666667</v>
      </c>
    </row>
    <row r="23">
      <c r="A23" s="434" t="inlineStr">
        <is>
          <t>งานไฟ</t>
        </is>
      </c>
      <c r="B23" s="434" t="inlineStr">
        <is>
          <t>เทป+เบ็ดเตล็ด</t>
        </is>
      </c>
      <c r="C23" s="434" t="inlineStr">
        <is>
          <t>งาน</t>
        </is>
      </c>
      <c r="D23" s="667" t="n">
        <v>400</v>
      </c>
    </row>
    <row r="24">
      <c r="A24" s="666" t="inlineStr">
        <is>
          <t>▶ สมาร์ทบอร์ด</t>
        </is>
      </c>
    </row>
    <row r="25">
      <c r="A25" s="433" t="inlineStr">
        <is>
          <t>งาน</t>
        </is>
      </c>
      <c r="B25" s="433" t="inlineStr">
        <is>
          <t>วัสดุ</t>
        </is>
      </c>
      <c r="C25" s="433" t="inlineStr">
        <is>
          <t>หน่วย</t>
        </is>
      </c>
      <c r="D25" s="433" t="inlineStr">
        <is>
          <t>ราคา (บาท)</t>
        </is>
      </c>
    </row>
    <row r="26">
      <c r="A26" s="434" t="inlineStr">
        <is>
          <t>สมาร์ทบอร์ด</t>
        </is>
      </c>
      <c r="B26" s="434" t="inlineStr">
        <is>
          <t>แผ่นสมาร์ทบอร์ด 12มม</t>
        </is>
      </c>
      <c r="C26" s="434" t="inlineStr">
        <is>
          <t>แผ่น</t>
        </is>
      </c>
      <c r="D26" s="667" t="n">
        <v>500</v>
      </c>
    </row>
    <row r="27">
      <c r="A27" s="434" t="inlineStr">
        <is>
          <t>สมาร์ทบอร์ด</t>
        </is>
      </c>
      <c r="B27" s="434" t="inlineStr">
        <is>
          <t>โครงเหล็กกรอบ 1½×3"</t>
        </is>
      </c>
      <c r="C27" s="434" t="inlineStr">
        <is>
          <t>เส้น</t>
        </is>
      </c>
      <c r="D27" s="667" t="n">
        <v>440</v>
      </c>
    </row>
    <row r="28">
      <c r="A28" s="434" t="inlineStr">
        <is>
          <t>สมาร์ทบอร์ด</t>
        </is>
      </c>
      <c r="B28" s="434" t="inlineStr">
        <is>
          <t>ซีไลน์ 3" ดิ่ง</t>
        </is>
      </c>
      <c r="C28" s="434" t="inlineStr">
        <is>
          <t>เส้น</t>
        </is>
      </c>
      <c r="D28" s="667" t="n">
        <v>62</v>
      </c>
    </row>
    <row r="29">
      <c r="A29" s="434" t="inlineStr">
        <is>
          <t>สมาร์ทบอร์ด</t>
        </is>
      </c>
      <c r="B29" s="434" t="inlineStr">
        <is>
          <t>ซีไลน์ 3" นอน</t>
        </is>
      </c>
      <c r="C29" s="434" t="inlineStr">
        <is>
          <t>เส้น</t>
        </is>
      </c>
      <c r="D29" s="667" t="n">
        <v>62</v>
      </c>
    </row>
    <row r="30">
      <c r="A30" s="434" t="inlineStr">
        <is>
          <t>สมาร์ทบอร์ด</t>
        </is>
      </c>
      <c r="B30" s="434" t="inlineStr">
        <is>
          <t>ฉนวน 3"</t>
        </is>
      </c>
      <c r="C30" s="434" t="inlineStr">
        <is>
          <t>แผ่น</t>
        </is>
      </c>
      <c r="D30" s="667" t="n">
        <v>130</v>
      </c>
    </row>
    <row r="31">
      <c r="A31" s="434" t="inlineStr">
        <is>
          <t>สมาร์ทบอร์ด</t>
        </is>
      </c>
      <c r="B31" s="434" t="inlineStr">
        <is>
          <t>สกรูยึดแผ่น</t>
        </is>
      </c>
      <c r="C31" s="434" t="inlineStr">
        <is>
          <t>ตัว</t>
        </is>
      </c>
      <c r="D31" s="667" t="n">
        <v>0.5</v>
      </c>
    </row>
    <row r="32">
      <c r="A32" s="434" t="inlineStr">
        <is>
          <t>สมาร์ทบอร์ด</t>
        </is>
      </c>
      <c r="B32" s="434" t="inlineStr">
        <is>
          <t>สกรูยึดโครง</t>
        </is>
      </c>
      <c r="C32" s="434" t="inlineStr">
        <is>
          <t>ตัว</t>
        </is>
      </c>
      <c r="D32" s="667" t="n">
        <v>0.5</v>
      </c>
    </row>
    <row r="33">
      <c r="A33" s="434" t="inlineStr">
        <is>
          <t>สมาร์ทบอร์ด</t>
        </is>
      </c>
      <c r="B33" s="434" t="inlineStr">
        <is>
          <t>ปูนฉาบรอยต่อ</t>
        </is>
      </c>
      <c r="C33" s="434" t="inlineStr">
        <is>
          <t>ถุง</t>
        </is>
      </c>
      <c r="D33" s="667" t="n">
        <v>240</v>
      </c>
    </row>
    <row r="34">
      <c r="A34" s="434" t="inlineStr">
        <is>
          <t>สมาร์ทบอร์ด</t>
        </is>
      </c>
      <c r="B34" s="434" t="inlineStr">
        <is>
          <t>เทป/ตาข่าย</t>
        </is>
      </c>
      <c r="C34" s="434" t="inlineStr">
        <is>
          <t>ม้วน</t>
        </is>
      </c>
      <c r="D34" s="667" t="n">
        <v>70</v>
      </c>
    </row>
    <row r="35">
      <c r="A35" s="666" t="inlineStr">
        <is>
          <t>▶ ไอโซวอล</t>
        </is>
      </c>
    </row>
    <row r="36">
      <c r="A36" s="433" t="inlineStr">
        <is>
          <t>งาน</t>
        </is>
      </c>
      <c r="B36" s="433" t="inlineStr">
        <is>
          <t>วัสดุ</t>
        </is>
      </c>
      <c r="C36" s="433" t="inlineStr">
        <is>
          <t>หน่วย</t>
        </is>
      </c>
      <c r="D36" s="433" t="inlineStr">
        <is>
          <t>ราคา (บาท)</t>
        </is>
      </c>
    </row>
    <row r="37">
      <c r="A37" s="434" t="inlineStr">
        <is>
          <t>ไอโซวอล</t>
        </is>
      </c>
      <c r="B37" s="434" t="inlineStr">
        <is>
          <t>แผ่นไอโซวอล ≤2.4ม</t>
        </is>
      </c>
      <c r="C37" s="434" t="inlineStr">
        <is>
          <t>แผ่น</t>
        </is>
      </c>
      <c r="D37" s="667" t="n">
        <v>2016</v>
      </c>
    </row>
    <row r="38">
      <c r="A38" s="434" t="inlineStr">
        <is>
          <t>ไอโซวอล</t>
        </is>
      </c>
      <c r="B38" s="434" t="inlineStr">
        <is>
          <t>แผ่นไอโซวอล &gt;2.4ม</t>
        </is>
      </c>
      <c r="C38" s="434" t="inlineStr">
        <is>
          <t>แผ่น</t>
        </is>
      </c>
      <c r="D38" s="667" t="n">
        <v>2520</v>
      </c>
    </row>
    <row r="39">
      <c r="A39" s="434" t="inlineStr">
        <is>
          <t>ไอโซวอล</t>
        </is>
      </c>
      <c r="B39" s="434" t="inlineStr">
        <is>
          <t>กล่อง 1.6×4" โครงรอบ</t>
        </is>
      </c>
      <c r="C39" s="434" t="inlineStr">
        <is>
          <t>เส้น</t>
        </is>
      </c>
      <c r="D39" s="667" t="n">
        <v>1220</v>
      </c>
    </row>
    <row r="40">
      <c r="A40" s="434" t="inlineStr">
        <is>
          <t>ไอโซวอล</t>
        </is>
      </c>
      <c r="B40" s="434" t="inlineStr">
        <is>
          <t>ฉาก 4หุน</t>
        </is>
      </c>
      <c r="C40" s="434" t="inlineStr">
        <is>
          <t>เส้น</t>
        </is>
      </c>
      <c r="D40" s="667" t="n">
        <v>70</v>
      </c>
    </row>
    <row r="41">
      <c r="A41" s="434" t="inlineStr">
        <is>
          <t>ไอโซวอล</t>
        </is>
      </c>
      <c r="B41" s="434" t="inlineStr">
        <is>
          <t>สกรู/รีเวท</t>
        </is>
      </c>
      <c r="C41" s="434" t="inlineStr">
        <is>
          <t>งาน</t>
        </is>
      </c>
      <c r="D41" s="667" t="n">
        <v>50</v>
      </c>
    </row>
    <row r="42">
      <c r="A42" s="434" t="inlineStr">
        <is>
          <t>ไอโซวอล</t>
        </is>
      </c>
      <c r="B42" s="434" t="inlineStr">
        <is>
          <t>ซิลิโคน/ซีล</t>
        </is>
      </c>
      <c r="C42" s="434" t="inlineStr">
        <is>
          <t>หลอด</t>
        </is>
      </c>
      <c r="D42" s="667" t="n">
        <v>90</v>
      </c>
    </row>
    <row r="43">
      <c r="A43" s="666" t="inlineStr">
        <is>
          <t>▶ ฝ้าไม้เทียม</t>
        </is>
      </c>
    </row>
    <row r="44">
      <c r="A44" s="433" t="inlineStr">
        <is>
          <t>งาน</t>
        </is>
      </c>
      <c r="B44" s="433" t="inlineStr">
        <is>
          <t>วัสดุ</t>
        </is>
      </c>
      <c r="C44" s="433" t="inlineStr">
        <is>
          <t>หน่วย</t>
        </is>
      </c>
      <c r="D44" s="433" t="inlineStr">
        <is>
          <t>ราคา (บาท)</t>
        </is>
      </c>
    </row>
    <row r="45">
      <c r="A45" s="434" t="inlineStr">
        <is>
          <t>ฝ้าไม้เทียม</t>
        </is>
      </c>
      <c r="B45" s="434" t="inlineStr">
        <is>
          <t>ขาจับฝ้า (ไม้ทิพย์)</t>
        </is>
      </c>
      <c r="C45" s="434" t="inlineStr">
        <is>
          <t>เส้น</t>
        </is>
      </c>
      <c r="D45" s="667" t="n">
        <v>190</v>
      </c>
    </row>
    <row r="46">
      <c r="A46" s="434" t="inlineStr">
        <is>
          <t>ฝ้าไม้เทียม</t>
        </is>
      </c>
      <c r="B46" s="434" t="inlineStr">
        <is>
          <t>โครงซีไลน์</t>
        </is>
      </c>
      <c r="C46" s="434" t="inlineStr">
        <is>
          <t>เส้น</t>
        </is>
      </c>
      <c r="D46" s="667" t="n">
        <v>50</v>
      </c>
    </row>
    <row r="47">
      <c r="A47" s="666" t="inlineStr">
        <is>
          <t>▶ ครอบวงกบ (ใช้ร่วม บาน/ระแนง/มุ้ง/ตู้)</t>
        </is>
      </c>
    </row>
    <row r="48" ht="22" customHeight="1" s="129">
      <c r="A48" s="434" t="inlineStr">
        <is>
          <t>ครอบวงกบ</t>
        </is>
      </c>
      <c r="B48" s="434" t="inlineStr">
        <is>
          <t>กล่องเรียบ เหมา 1 เส้น/วงกบ</t>
        </is>
      </c>
      <c r="C48" s="434" t="inlineStr">
        <is>
          <t>เส้น</t>
        </is>
      </c>
      <c r="D48" s="667" t="n">
        <v>1350</v>
      </c>
    </row>
  </sheetData>
  <hyperlinks>
    <hyperlink ref="G1" location="'สารบัญ'!A1" display="🏠 สารบัญ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H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.9" customWidth="1" style="129" min="1" max="1"/>
    <col width="24" customWidth="1" style="129" min="2" max="2"/>
    <col width="7.5" customWidth="1" style="129" min="3" max="3"/>
    <col width="6.5" customWidth="1" style="129" min="4" max="4"/>
    <col width="24" customWidth="1" style="129" min="5" max="5"/>
    <col width="8.6" customWidth="1" style="129" min="7" max="7"/>
  </cols>
  <sheetData>
    <row r="1">
      <c r="A1" s="771" t="inlineStr">
        <is>
          <t>⚠️ แก้ราคาที่นี่ → ราคาออโต้/มอเตอร์ (ทุน) — มดอัปเดตที่นี่ที่เดียว · ชีทบานติ๊กเลือกแล้วดึงมาใช้</t>
        </is>
      </c>
      <c r="F1" s="643" t="n"/>
      <c r="G1" s="753" t="inlineStr">
        <is>
          <t>🏠 สารบัญ</t>
        </is>
      </c>
      <c r="H1" s="754" t="n"/>
    </row>
    <row r="2">
      <c r="A2" s="392" t="inlineStr">
        <is>
          <t>หมวด/บาน</t>
        </is>
      </c>
      <c r="B2" s="392" t="inlineStr">
        <is>
          <t>รุ่น/รายการ</t>
        </is>
      </c>
      <c r="C2" s="392" t="inlineStr">
        <is>
          <t>ราคา</t>
        </is>
      </c>
      <c r="D2" s="392" t="inlineStr">
        <is>
          <t>ค่าส่ง</t>
        </is>
      </c>
      <c r="E2" s="392" t="inlineStr">
        <is>
          <t>หน่วย/เงื่อนไข</t>
        </is>
      </c>
    </row>
    <row r="3">
      <c r="A3" s="404" t="inlineStr">
        <is>
          <t>บานยก / เฟี้ยมยก</t>
        </is>
      </c>
      <c r="B3" s="404" t="inlineStr">
        <is>
          <t>ยก 80 กก.</t>
        </is>
      </c>
      <c r="C3" s="405" t="n">
        <v>4500</v>
      </c>
      <c r="D3" s="405" t="n">
        <v>1700</v>
      </c>
      <c r="E3" s="404" t="inlineStr"/>
    </row>
    <row r="4">
      <c r="A4" s="393" t="inlineStr"/>
      <c r="B4" s="393" t="inlineStr">
        <is>
          <t>ยก 300 กก.</t>
        </is>
      </c>
      <c r="C4" s="406" t="n">
        <v>12500</v>
      </c>
      <c r="D4" s="406" t="n">
        <v>1700</v>
      </c>
      <c r="E4" s="393" t="inlineStr"/>
    </row>
    <row r="5">
      <c r="A5" s="404" t="inlineStr">
        <is>
          <t>หลังคาเลื่อน</t>
        </is>
      </c>
      <c r="B5" s="404" t="inlineStr">
        <is>
          <t>80 กก.</t>
        </is>
      </c>
      <c r="C5" s="405" t="n">
        <v>4500</v>
      </c>
      <c r="D5" s="405" t="n">
        <v>1700</v>
      </c>
      <c r="E5" s="404" t="inlineStr"/>
    </row>
    <row r="6">
      <c r="A6" s="393" t="inlineStr"/>
      <c r="B6" s="393" t="inlineStr">
        <is>
          <t>300 กก.</t>
        </is>
      </c>
      <c r="C6" s="406" t="n">
        <v>12500</v>
      </c>
      <c r="D6" s="406" t="n">
        <v>1700</v>
      </c>
      <c r="E6" s="393" t="inlineStr"/>
    </row>
    <row r="7">
      <c r="A7" s="393" t="inlineStr"/>
      <c r="B7" s="393" t="inlineStr">
        <is>
          <t>1500 กก.</t>
        </is>
      </c>
      <c r="C7" s="406" t="n">
        <v>13325</v>
      </c>
      <c r="D7" s="406" t="n">
        <v>1700</v>
      </c>
      <c r="E7" s="393" t="inlineStr">
        <is>
          <t>มีฟันเฟือง+เซนเซอร์</t>
        </is>
      </c>
    </row>
    <row r="8">
      <c r="A8" s="393" t="inlineStr"/>
      <c r="B8" s="393" t="inlineStr">
        <is>
          <t>ฟันเฟือง (เฉพาะ1500)</t>
        </is>
      </c>
      <c r="C8" s="406" t="n">
        <v>340</v>
      </c>
      <c r="D8" s="406" t="n"/>
      <c r="E8" s="393" t="inlineStr">
        <is>
          <t>บาท/ม. × ระยะยื่น</t>
        </is>
      </c>
    </row>
    <row r="9">
      <c r="A9" s="393" t="inlineStr"/>
      <c r="B9" s="393" t="inlineStr">
        <is>
          <t>เซนเซอร์กันฝน (ออป,1500)</t>
        </is>
      </c>
      <c r="C9" s="406" t="n">
        <v>1100</v>
      </c>
      <c r="D9" s="406" t="n"/>
      <c r="E9" s="393" t="inlineStr">
        <is>
          <t>ออปชั่น</t>
        </is>
      </c>
    </row>
    <row r="10">
      <c r="A10" s="404" t="inlineStr">
        <is>
          <t>บานเกล็ด 38.1</t>
        </is>
      </c>
      <c r="B10" s="404" t="inlineStr">
        <is>
          <t>มอเตอร์บานเกล็ด</t>
        </is>
      </c>
      <c r="C10" s="405" t="n">
        <v>1800</v>
      </c>
      <c r="D10" s="405" t="n"/>
      <c r="E10" s="404" t="inlineStr">
        <is>
          <t>ไม่มีค่าส่ง</t>
        </is>
      </c>
    </row>
    <row r="11">
      <c r="A11" s="404" t="inlineStr">
        <is>
          <t>ระแนงหมุน</t>
        </is>
      </c>
      <c r="B11" s="404" t="inlineStr">
        <is>
          <t>มอเตอร์ระแนงหมุน</t>
        </is>
      </c>
      <c r="C11" s="405" t="n">
        <v>1800</v>
      </c>
      <c r="D11" s="405" t="n"/>
      <c r="E11" s="404" t="inlineStr">
        <is>
          <t>รวมส่งแล้ว</t>
        </is>
      </c>
    </row>
    <row r="12">
      <c r="A12" s="404" t="inlineStr">
        <is>
          <t>บานกระทุ้ง</t>
        </is>
      </c>
      <c r="B12" s="404" t="inlineStr">
        <is>
          <t>โช็ค เปิด 50</t>
        </is>
      </c>
      <c r="C12" s="405" t="n">
        <v>3575</v>
      </c>
      <c r="D12" s="405" t="n">
        <v>1700</v>
      </c>
      <c r="E12" s="404" t="inlineStr">
        <is>
          <t>2 ตัว→+อุปกรณ์พิเศษ</t>
        </is>
      </c>
    </row>
    <row r="13">
      <c r="A13" s="393" t="inlineStr"/>
      <c r="B13" s="393" t="inlineStr">
        <is>
          <t>โช็ค เปิด 80</t>
        </is>
      </c>
      <c r="C13" s="406" t="n">
        <v>3725</v>
      </c>
      <c r="D13" s="406" t="n">
        <v>1700</v>
      </c>
      <c r="E13" s="393" t="inlineStr">
        <is>
          <t>2 ตัว→+อุปกรณ์พิเศษ</t>
        </is>
      </c>
    </row>
    <row r="14">
      <c r="A14" s="393" t="inlineStr"/>
      <c r="B14" s="393" t="inlineStr">
        <is>
          <t>โซ่เดี่ยว 50</t>
        </is>
      </c>
      <c r="C14" s="406" t="n">
        <v>1900</v>
      </c>
      <c r="D14" s="406" t="n">
        <v>1700</v>
      </c>
      <c r="E14" s="393" t="inlineStr"/>
    </row>
    <row r="15">
      <c r="A15" s="393" t="inlineStr"/>
      <c r="B15" s="393" t="inlineStr">
        <is>
          <t>โซ่คู่ 50</t>
        </is>
      </c>
      <c r="C15" s="406" t="n">
        <v>2600</v>
      </c>
      <c r="D15" s="406" t="n">
        <v>1700</v>
      </c>
      <c r="E15" s="393" t="inlineStr"/>
    </row>
    <row r="16">
      <c r="A16" s="393" t="inlineStr"/>
      <c r="B16" s="393" t="inlineStr">
        <is>
          <t>อุปกรณ์พิเศษ (โช็ค 2 ตัว)</t>
        </is>
      </c>
      <c r="C16" s="406" t="n">
        <v>600</v>
      </c>
      <c r="D16" s="406" t="n"/>
      <c r="E16" s="393" t="inlineStr">
        <is>
          <t>บวกเมื่อใช้ 2 ตัว</t>
        </is>
      </c>
    </row>
    <row r="17">
      <c r="A17" s="404" t="inlineStr">
        <is>
          <t>เลื่อน SMS/ยูโร</t>
        </is>
      </c>
      <c r="B17" s="404" t="inlineStr">
        <is>
          <t>Evecca (จีน)</t>
        </is>
      </c>
      <c r="C17" s="405" t="n">
        <v>13480</v>
      </c>
      <c r="D17" s="405" t="n">
        <v>1700</v>
      </c>
      <c r="E17" s="404" t="inlineStr">
        <is>
          <t>1 บาน</t>
        </is>
      </c>
    </row>
    <row r="18">
      <c r="A18" s="393" t="inlineStr"/>
      <c r="B18" s="393" t="inlineStr">
        <is>
          <t>สายพาน Evecca</t>
        </is>
      </c>
      <c r="C18" s="406" t="n">
        <v>75</v>
      </c>
      <c r="D18" s="406" t="n"/>
      <c r="E18" s="393" t="inlineStr">
        <is>
          <t>บาท/ม. = กว้างช่อง×2</t>
        </is>
      </c>
    </row>
    <row r="19">
      <c r="A19" s="393" t="inlineStr"/>
      <c r="B19" s="393" t="inlineStr">
        <is>
          <t>ออป Smart lock</t>
        </is>
      </c>
      <c r="C19" s="406" t="n">
        <v>6500</v>
      </c>
      <c r="D19" s="406" t="n"/>
      <c r="E19" s="393" t="inlineStr">
        <is>
          <t>ออปชั่น Evecca</t>
        </is>
      </c>
    </row>
    <row r="20">
      <c r="A20" s="393" t="inlineStr"/>
      <c r="B20" s="393" t="inlineStr">
        <is>
          <t>ช่างแซก</t>
        </is>
      </c>
      <c r="C20" s="406" t="n">
        <v>8000</v>
      </c>
      <c r="D20" s="406" t="n"/>
      <c r="E20" s="393" t="inlineStr">
        <is>
          <t>ไม่มีค่าส่ง</t>
        </is>
      </c>
    </row>
    <row r="21">
      <c r="A21" s="393" t="inlineStr"/>
      <c r="B21" s="393" t="inlineStr">
        <is>
          <t>เซฟตี้ตาแมว (บังคับช่างแซก)</t>
        </is>
      </c>
      <c r="C21" s="406" t="n">
        <v>1000</v>
      </c>
      <c r="D21" s="406" t="n"/>
      <c r="E21" s="393" t="inlineStr">
        <is>
          <t>บวกทุกชุดช่างแซก</t>
        </is>
      </c>
    </row>
    <row r="22">
      <c r="A22" s="393" t="inlineStr"/>
      <c r="B22" s="393" t="inlineStr">
        <is>
          <t>ราง ช่างแซก</t>
        </is>
      </c>
      <c r="C22" s="406" t="n">
        <v>950</v>
      </c>
      <c r="D22" s="406" t="n"/>
      <c r="E22" s="393" t="inlineStr">
        <is>
          <t>บาท/ม. = กว้างช่อง</t>
        </is>
      </c>
    </row>
    <row r="23">
      <c r="A23" s="393" t="inlineStr"/>
      <c r="B23" s="393" t="inlineStr">
        <is>
          <t>ออป Touch Switch (ช่างแซก)</t>
        </is>
      </c>
      <c r="C23" s="406" t="n">
        <v>1000</v>
      </c>
      <c r="D23" s="406" t="n"/>
      <c r="E23" s="393" t="inlineStr">
        <is>
          <t>ออปชั่น</t>
        </is>
      </c>
    </row>
    <row r="24">
      <c r="A24" s="393" t="inlineStr"/>
      <c r="B24" s="393" t="inlineStr">
        <is>
          <t>ออป Infrared (ช่างแซก)</t>
        </is>
      </c>
      <c r="C24" s="406" t="n">
        <v>9000</v>
      </c>
      <c r="D24" s="406" t="n"/>
      <c r="E24" s="393" t="inlineStr">
        <is>
          <t>ออปชั่น</t>
        </is>
      </c>
    </row>
    <row r="25">
      <c r="A25" s="404" t="inlineStr">
        <is>
          <t>SlimLux</t>
        </is>
      </c>
      <c r="B25" s="404" t="inlineStr">
        <is>
          <t>ชุด SlimLux (บานแรก)</t>
        </is>
      </c>
      <c r="C25" s="405" t="n">
        <v>6900</v>
      </c>
      <c r="D25" s="405" t="n">
        <v>1700</v>
      </c>
      <c r="E25" s="404" t="inlineStr">
        <is>
          <t>บานแรก</t>
        </is>
      </c>
    </row>
    <row r="26">
      <c r="A26" s="393" t="inlineStr"/>
      <c r="B26" s="393" t="inlineStr">
        <is>
          <t>บานเพิ่ม</t>
        </is>
      </c>
      <c r="C26" s="406" t="n">
        <v>2250</v>
      </c>
      <c r="D26" s="406" t="n"/>
      <c r="E26" s="393" t="inlineStr">
        <is>
          <t>บาท/บานเพิ่ม</t>
        </is>
      </c>
    </row>
    <row r="27">
      <c r="A27" s="393" t="inlineStr"/>
      <c r="B27" s="393" t="inlineStr">
        <is>
          <t>ราง SlimLux</t>
        </is>
      </c>
      <c r="C27" s="406" t="n">
        <v>1100</v>
      </c>
      <c r="D27" s="406" t="n"/>
      <c r="E27" s="393" t="inlineStr">
        <is>
          <t>บาท/ม. = กว้างช่อง×จำนวนบาน</t>
        </is>
      </c>
    </row>
    <row r="28">
      <c r="A28" s="393" t="inlineStr"/>
      <c r="B28" s="393" t="inlineStr">
        <is>
          <t>ออป สแกนหน้า (บังคับเลือก1)</t>
        </is>
      </c>
      <c r="C28" s="406" t="n">
        <v>2750</v>
      </c>
      <c r="D28" s="406" t="n"/>
      <c r="E28" s="393" t="inlineStr">
        <is>
          <t>เลือก 1 ใน 2</t>
        </is>
      </c>
    </row>
    <row r="29">
      <c r="A29" s="393" t="inlineStr"/>
      <c r="B29" s="393" t="inlineStr">
        <is>
          <t>ออป Touch Switch (บังคับเลือก1)</t>
        </is>
      </c>
      <c r="C29" s="406" t="n">
        <v>100</v>
      </c>
      <c r="D29" s="406" t="n"/>
      <c r="E29" s="393" t="inlineStr">
        <is>
          <t>เลือก 1 ใน 2</t>
        </is>
      </c>
    </row>
    <row r="31" ht="22" customHeight="1" s="129">
      <c r="A31" s="772" t="n"/>
    </row>
  </sheetData>
  <mergeCells count="1">
    <mergeCell ref="A1:E1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19.1" customWidth="1" style="129" min="2" max="2"/>
    <col width="11.7" customWidth="1" style="129" min="3" max="3"/>
    <col width="11.7" customWidth="1" style="129" min="4" max="4"/>
    <col width="18" customWidth="1" style="129" min="5" max="5"/>
    <col width="8.6" customWidth="1" style="129" min="6" max="6"/>
    <col width="24" customWidth="1" style="129" min="7" max="7"/>
    <col width="4.5" customWidth="1" style="129" min="8" max="8"/>
    <col width="15.9" customWidth="1" style="129" min="9" max="9"/>
  </cols>
  <sheetData>
    <row r="1">
      <c r="A1" s="773" t="inlineStr">
        <is>
          <t>⚠️ แก้ราคาที่นี่ → 📋 ราคาวัสดุกลาง — แก้ที่นี่ที่เดียวเมื่อราคาขึ้น</t>
        </is>
      </c>
      <c r="F1" s="753" t="inlineStr">
        <is>
          <t>🏠 สารบัญ</t>
        </is>
      </c>
      <c r="G1" s="757" t="inlineStr">
        <is>
          <t>อลูเมืองทองขึ้นราคา? แก้ที่ชีท "อัปเดตราคาอลู" ช่องเมืองทอง (บาท/กก.) → จันทัน/แป/ฉาก/แซด/คาน ขยับเอง</t>
        </is>
      </c>
    </row>
    <row r="2">
      <c r="A2" s="452" t="inlineStr">
        <is>
          <t>โปรไฟล์อลูมิเนียม (เส้นยาว 6 ม.)</t>
        </is>
      </c>
      <c r="G2" s="276" t="inlineStr">
        <is>
          <t>◀ ราคาอลู (บาท/กก.) · เหล็กแก้ราคา/เส้น ในตารางเลย (สีเหลือง)</t>
        </is>
      </c>
      <c r="H2" s="453" t="n">
        <v>180</v>
      </c>
    </row>
    <row r="3">
      <c r="B3" s="454" t="inlineStr">
        <is>
          <t>วัสดุ</t>
        </is>
      </c>
      <c r="C3" s="454" t="inlineStr">
        <is>
          <t>หน่วย</t>
        </is>
      </c>
      <c r="D3" s="454" t="inlineStr">
        <is>
          <t>ราคา (บาท)</t>
        </is>
      </c>
      <c r="E3" s="454" t="inlineStr">
        <is>
          <t>หมายเหตุ</t>
        </is>
      </c>
      <c r="F3" s="276" t="inlineStr">
        <is>
          <t>ราคาฐาน</t>
        </is>
      </c>
      <c r="G3" s="276" t="n"/>
      <c r="H3" s="455" t="n"/>
      <c r="I3" s="456" t="inlineStr">
        <is>
          <t>น้ำหนัก/เส้น(กก.)</t>
        </is>
      </c>
    </row>
    <row r="4">
      <c r="B4" s="457" t="inlineStr">
        <is>
          <t>กล่อง 1.6"×4"</t>
        </is>
      </c>
      <c r="C4" s="458" t="inlineStr">
        <is>
          <t>เส้น</t>
        </is>
      </c>
      <c r="D4" s="459">
        <f>ROUND(F4*mult_mtong,0)</f>
        <v/>
      </c>
      <c r="E4" s="460" t="inlineStr">
        <is>
          <t>แกนหลัก / จันทัน</t>
        </is>
      </c>
      <c r="F4" s="387" t="n">
        <v>1220</v>
      </c>
      <c r="I4" s="461">
        <f>ROUND(F4/180,3)</f>
        <v/>
      </c>
    </row>
    <row r="5">
      <c r="B5" s="457" t="inlineStr">
        <is>
          <t>กล่อง 1.6"×1.6"</t>
        </is>
      </c>
      <c r="C5" s="458" t="inlineStr">
        <is>
          <t>เส้น</t>
        </is>
      </c>
      <c r="D5" s="459">
        <f>ROUND(F5*mult_mtong,0)</f>
        <v/>
      </c>
      <c r="E5" s="460" t="inlineStr">
        <is>
          <t>แป — แปเดี่ยว</t>
        </is>
      </c>
      <c r="F5" s="387" t="n">
        <v>770</v>
      </c>
      <c r="I5" s="461">
        <f>ROUND(F5/180,3)</f>
        <v/>
      </c>
    </row>
    <row r="6">
      <c r="B6" s="457" t="inlineStr">
        <is>
          <t>กล่อง 1"×1½"</t>
        </is>
      </c>
      <c r="C6" s="458" t="inlineStr">
        <is>
          <t>เส้น</t>
        </is>
      </c>
      <c r="D6" s="459">
        <f>ROUND(F6*mult_mtong,0)</f>
        <v/>
      </c>
      <c r="E6" s="460" t="inlineStr">
        <is>
          <t>แป — แปคู่</t>
        </is>
      </c>
      <c r="F6" s="387" t="n">
        <v>393</v>
      </c>
      <c r="I6" s="461">
        <f>ROUND(F6/180,3)</f>
        <v/>
      </c>
    </row>
    <row r="7">
      <c r="B7" s="457" t="inlineStr">
        <is>
          <t>ฉาก 6 หุน</t>
        </is>
      </c>
      <c r="C7" s="458" t="inlineStr">
        <is>
          <t>เส้น</t>
        </is>
      </c>
      <c r="D7" s="459">
        <f>ROUND(F7*mult_mtong,0)</f>
        <v/>
      </c>
      <c r="E7" s="460" t="inlineStr">
        <is>
          <t>ยึดติดผนัง</t>
        </is>
      </c>
      <c r="F7" s="387" t="n">
        <v>140</v>
      </c>
      <c r="I7" s="461">
        <f>ROUND(F7/180,3)</f>
        <v/>
      </c>
    </row>
    <row r="8">
      <c r="B8" s="457" t="inlineStr">
        <is>
          <t>แซด 4"</t>
        </is>
      </c>
      <c r="C8" s="458" t="inlineStr">
        <is>
          <t>เส้น</t>
        </is>
      </c>
      <c r="D8" s="459">
        <f>ROUND(F8*mult_mtong,0)</f>
        <v/>
      </c>
      <c r="E8" s="460" t="inlineStr">
        <is>
          <t>ร่องน้ำ / ขอบ</t>
        </is>
      </c>
      <c r="F8" s="387" t="n">
        <v>140</v>
      </c>
      <c r="I8" s="461">
        <f>ROUND(F8/180,3)</f>
        <v/>
      </c>
    </row>
    <row r="9">
      <c r="B9" s="457" t="inlineStr">
        <is>
          <t>กล่องเหล็ก 1"×1"</t>
        </is>
      </c>
      <c r="C9" s="458" t="inlineStr">
        <is>
          <t>เส้น</t>
        </is>
      </c>
      <c r="D9" s="462">
        <f>'ราคาเหล็ก'!D4</f>
        <v/>
      </c>
      <c r="E9" s="460" t="inlineStr">
        <is>
          <t>เสริมโครง</t>
        </is>
      </c>
      <c r="F9" s="387" t="n">
        <v>170</v>
      </c>
    </row>
    <row r="10">
      <c r="B10" s="457" t="inlineStr">
        <is>
          <t>เพลทเหล็ก</t>
        </is>
      </c>
      <c r="C10" s="458" t="inlineStr">
        <is>
          <t>แผ่น</t>
        </is>
      </c>
      <c r="D10" s="462" t="n">
        <v>15</v>
      </c>
      <c r="E10" s="460" t="inlineStr">
        <is>
          <t>ยึดด้านหลัง</t>
        </is>
      </c>
      <c r="F10" s="387" t="n">
        <v>15</v>
      </c>
    </row>
    <row r="11">
      <c r="B11" s="140" t="inlineStr">
        <is>
          <t>กล่อง 4"×4"</t>
        </is>
      </c>
      <c r="C11" s="140" t="inlineStr">
        <is>
          <t>เส้น</t>
        </is>
      </c>
      <c r="D11" s="140">
        <f>ROUND(2208*mult_mtong,0)</f>
        <v/>
      </c>
      <c r="E11" s="140" t="inlineStr">
        <is>
          <t>คาน T หลังคาจั่ว</t>
        </is>
      </c>
      <c r="F11" s="140" t="n">
        <v>2208</v>
      </c>
    </row>
    <row r="12">
      <c r="A12" s="452" t="inlineStr">
        <is>
          <t>วัสดุปิดผิว</t>
        </is>
      </c>
    </row>
    <row r="13">
      <c r="B13" s="454" t="inlineStr">
        <is>
          <t>วัสดุ</t>
        </is>
      </c>
      <c r="C13" s="454" t="inlineStr">
        <is>
          <t>หน่วย</t>
        </is>
      </c>
      <c r="D13" s="454" t="inlineStr">
        <is>
          <t>ราคา (บาท)</t>
        </is>
      </c>
      <c r="E13" s="454" t="inlineStr">
        <is>
          <t>หมายเหตุ</t>
        </is>
      </c>
    </row>
    <row r="14">
      <c r="B14" s="457" t="inlineStr">
        <is>
          <t>ไวนิล</t>
        </is>
      </c>
      <c r="C14" s="458" t="inlineStr">
        <is>
          <t>แผ่น (7 ม.)</t>
        </is>
      </c>
      <c r="D14" s="459" t="n">
        <v>1540</v>
      </c>
      <c r="E14" s="460" t="inlineStr">
        <is>
          <t>จันทันห่าง ≤100 ซม.</t>
        </is>
      </c>
    </row>
    <row r="15">
      <c r="B15" s="457" t="inlineStr">
        <is>
          <t>ฝาครอบไวนิล</t>
        </is>
      </c>
      <c r="C15" s="458" t="inlineStr">
        <is>
          <t>เส้น (7 ม.)</t>
        </is>
      </c>
      <c r="D15" s="459" t="n">
        <v>245</v>
      </c>
      <c r="E15" s="460" t="inlineStr">
        <is>
          <t>1 เส้น/แผ่นไวนิล</t>
        </is>
      </c>
    </row>
    <row r="16">
      <c r="B16" s="457" t="inlineStr">
        <is>
          <t>ดีไลท์</t>
        </is>
      </c>
      <c r="C16" s="458" t="inlineStr">
        <is>
          <t>แผ่น (6 ม.)</t>
        </is>
      </c>
      <c r="D16" s="459" t="n">
        <v>4700</v>
      </c>
      <c r="E16" s="460" t="inlineStr">
        <is>
          <t>ฝาครอบแถมฟรี</t>
        </is>
      </c>
    </row>
    <row r="17">
      <c r="B17" s="457" t="inlineStr">
        <is>
          <t>โพลีตัน</t>
        </is>
      </c>
      <c r="C17" s="458" t="inlineStr">
        <is>
          <t>เมตร</t>
        </is>
      </c>
      <c r="D17" s="459" t="n">
        <v>1200</v>
      </c>
      <c r="E17" s="460" t="inlineStr">
        <is>
          <t>จันทันห่าง ≤122 ซม.</t>
        </is>
      </c>
    </row>
    <row r="18">
      <c r="B18" s="457" t="inlineStr">
        <is>
          <t>ตัวครอบโพลีตัน</t>
        </is>
      </c>
      <c r="C18" s="458" t="inlineStr">
        <is>
          <t>จุด/จันทัน</t>
        </is>
      </c>
      <c r="D18" s="459" t="n">
        <v>420</v>
      </c>
      <c r="E18" s="460" t="inlineStr">
        <is>
          <t>1 จุดต่อ 1 จันทัน</t>
        </is>
      </c>
    </row>
    <row r="19">
      <c r="B19" s="457" t="inlineStr">
        <is>
          <t>ชินโคร์ไลท์ Heat Cut</t>
        </is>
      </c>
      <c r="C19" s="458" t="inlineStr">
        <is>
          <t>ตร.ม.</t>
        </is>
      </c>
      <c r="D19" s="459" t="n">
        <v>2800</v>
      </c>
      <c r="E19" s="460" t="inlineStr">
        <is>
          <t>รวมฝาครอบ</t>
        </is>
      </c>
    </row>
    <row r="20">
      <c r="B20" s="457" t="inlineStr">
        <is>
          <t>ชินโคร์ไลท์ Superior</t>
        </is>
      </c>
      <c r="C20" s="458" t="inlineStr">
        <is>
          <t>ตร.ม.</t>
        </is>
      </c>
      <c r="D20" s="459" t="n">
        <v>2100</v>
      </c>
      <c r="E20" s="460" t="inlineStr">
        <is>
          <t>รวมฝาครอบ</t>
        </is>
      </c>
    </row>
    <row r="21">
      <c r="B21" s="457" t="inlineStr">
        <is>
          <t>เมทัลชีท PU 2" Snap</t>
        </is>
      </c>
      <c r="C21" s="458" t="inlineStr">
        <is>
          <t>ตร.ม.</t>
        </is>
      </c>
      <c r="D21" s="459" t="n">
        <v>2200</v>
      </c>
      <c r="E21" s="460" t="inlineStr">
        <is>
          <t>จันทันห่าง ≤100 ซม.</t>
        </is>
      </c>
    </row>
    <row r="22">
      <c r="B22" s="457" t="inlineStr">
        <is>
          <t>กระจกลามิเนต 4+4</t>
        </is>
      </c>
      <c r="C22" s="458" t="inlineStr">
        <is>
          <t>ตร.ม.</t>
        </is>
      </c>
      <c r="D22" s="459" t="n">
        <v>1065</v>
      </c>
      <c r="E22" s="460" t="inlineStr">
        <is>
          <t>ฟิล์มเขียว/ใส 0.38</t>
        </is>
      </c>
    </row>
    <row r="23">
      <c r="B23" s="457" t="inlineStr">
        <is>
          <t>กระจกลามิเนต 5+5</t>
        </is>
      </c>
      <c r="C23" s="458" t="inlineStr">
        <is>
          <t>ตร.ม.</t>
        </is>
      </c>
      <c r="D23" s="459" t="n">
        <v>1270</v>
      </c>
      <c r="E23" s="460" t="inlineStr">
        <is>
          <t>ฟิล์มเขียว/ใส 0.38</t>
        </is>
      </c>
    </row>
    <row r="24">
      <c r="A24" s="774" t="n"/>
      <c r="B24" s="457" t="inlineStr">
        <is>
          <t>ชินโคร์ Shade 4มม.</t>
        </is>
      </c>
      <c r="C24" s="458" t="inlineStr">
        <is>
          <t>ตร.ม.</t>
        </is>
      </c>
      <c r="D24" s="459" t="n">
        <v>1050</v>
      </c>
      <c r="E24" s="460" t="inlineStr">
        <is>
          <t>กว้าง 1.38ม. · CPP 01-05-69</t>
        </is>
      </c>
    </row>
    <row r="25">
      <c r="B25" s="457" t="inlineStr">
        <is>
          <t>ชินโคร์ Prime 10มม.</t>
        </is>
      </c>
      <c r="C25" s="458" t="inlineStr">
        <is>
          <t>ตร.ม.</t>
        </is>
      </c>
      <c r="D25" s="459" t="n">
        <v>4348</v>
      </c>
      <c r="E25" s="460" t="inlineStr">
        <is>
          <t>กว้าง 1.38ม. · N828/562</t>
        </is>
      </c>
    </row>
    <row r="26">
      <c r="B26" s="457" t="inlineStr">
        <is>
          <t>รางหลังคาเลื่อน</t>
        </is>
      </c>
      <c r="C26" s="458" t="inlineStr">
        <is>
          <t>เส้น</t>
        </is>
      </c>
      <c r="D26" s="459" t="n">
        <v>4080</v>
      </c>
      <c r="E26" s="460" t="n"/>
    </row>
    <row r="27">
      <c r="B27" s="457" t="inlineStr">
        <is>
          <t>เมทัลชีท EPS 2"</t>
        </is>
      </c>
      <c r="C27" s="458" t="inlineStr">
        <is>
          <t>ตร.ม.</t>
        </is>
      </c>
      <c r="D27" s="459" t="n">
        <v>1400</v>
      </c>
      <c r="E27" s="460" t="inlineStr">
        <is>
          <t>จันทันห่าง ไม่เกิน 100 ซม.</t>
        </is>
      </c>
    </row>
  </sheetData>
  <mergeCells count="3">
    <mergeCell ref="A2:E2"/>
    <mergeCell ref="A1:E1"/>
    <mergeCell ref="A12:E12"/>
  </mergeCells>
  <hyperlinks>
    <hyperlink ref="F1" location="'สารบัญ'!A1" display="🏠 สารบัญ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style="129" min="1" max="1"/>
    <col width="12" customWidth="1" style="129" min="2" max="2"/>
    <col width="12" customWidth="1" style="129" min="3" max="3"/>
    <col width="15" customWidth="1" style="129" min="4" max="4"/>
    <col width="14" customWidth="1" style="129" min="5" max="5"/>
  </cols>
  <sheetData>
    <row r="1">
      <c r="A1" s="773" t="inlineStr">
        <is>
          <t>⚠️ แก้ราคาที่นี่ → ราคาเหล็กกล่อง (เส้นยาว 6 ม.) — แก้ช่อง "ราคา/เส้น" เมื่อเหล็กขึ้น</t>
        </is>
      </c>
    </row>
    <row r="2">
      <c r="A2" s="454" t="inlineStr">
        <is>
          <t>เหล็กกล่อง (โครงหลังคา / รั้ว / โครงเสริม)</t>
        </is>
      </c>
      <c r="B2" s="782" t="n"/>
      <c r="C2" s="782" t="n"/>
      <c r="D2" s="782" t="n"/>
      <c r="E2" s="465" t="n"/>
    </row>
    <row r="3">
      <c r="A3" s="454" t="inlineStr">
        <is>
          <t>รายการ</t>
        </is>
      </c>
      <c r="B3" s="454" t="inlineStr">
        <is>
          <t>ขนาด (นิ้ว)</t>
        </is>
      </c>
      <c r="C3" s="454" t="inlineStr">
        <is>
          <t>ยาว/เส้น (ม.)</t>
        </is>
      </c>
      <c r="D3" s="454" t="inlineStr">
        <is>
          <t>ราคา/เส้น (บาท)</t>
        </is>
      </c>
      <c r="E3" s="454" t="inlineStr">
        <is>
          <t>ราคา/เมตร (บาท)</t>
        </is>
      </c>
    </row>
    <row r="4">
      <c r="A4" s="457" t="inlineStr">
        <is>
          <t>กล่องเหล็ก</t>
        </is>
      </c>
      <c r="B4" s="457" t="inlineStr">
        <is>
          <t>1"×1"</t>
        </is>
      </c>
      <c r="C4" s="457" t="n">
        <v>6</v>
      </c>
      <c r="D4" s="459" t="n">
        <v>170</v>
      </c>
      <c r="E4" s="457">
        <f>ROUND(D4/C4,2)</f>
        <v/>
      </c>
    </row>
    <row r="5">
      <c r="A5" s="457" t="inlineStr">
        <is>
          <t>กล่องเหล็ก</t>
        </is>
      </c>
      <c r="B5" s="457" t="inlineStr">
        <is>
          <t>1½"×3"</t>
        </is>
      </c>
      <c r="C5" s="457" t="n">
        <v>6</v>
      </c>
      <c r="D5" s="459" t="n">
        <v>460</v>
      </c>
      <c r="E5" s="457">
        <f>ROUND(D5/C5,2)</f>
        <v/>
      </c>
    </row>
    <row r="6">
      <c r="A6" s="457" t="inlineStr">
        <is>
          <t>กล่องเหล็ก</t>
        </is>
      </c>
      <c r="B6" s="457" t="inlineStr">
        <is>
          <t>2"×4"</t>
        </is>
      </c>
      <c r="C6" s="457" t="n">
        <v>6</v>
      </c>
      <c r="D6" s="459" t="n">
        <v>600</v>
      </c>
      <c r="E6" s="457">
        <f>ROUND(D6/C6,2)</f>
        <v/>
      </c>
    </row>
    <row r="7">
      <c r="A7" s="457" t="inlineStr">
        <is>
          <t>กล่องเหล็ก</t>
        </is>
      </c>
      <c r="B7" s="457" t="inlineStr">
        <is>
          <t>4"×4"</t>
        </is>
      </c>
      <c r="C7" s="457" t="n">
        <v>6</v>
      </c>
      <c r="D7" s="459" t="n">
        <v>940</v>
      </c>
      <c r="E7" s="457">
        <f>ROUND(D7/C7,2)</f>
        <v/>
      </c>
    </row>
    <row r="8">
      <c r="A8" s="457" t="inlineStr">
        <is>
          <t>กล่องเหล็ก</t>
        </is>
      </c>
      <c r="B8" s="457" t="inlineStr">
        <is>
          <t>1"×2"</t>
        </is>
      </c>
      <c r="C8" s="457" t="n">
        <v>6</v>
      </c>
      <c r="D8" s="459" t="n">
        <v>280</v>
      </c>
      <c r="E8" s="457">
        <f>ROUND(D8/C8,2)</f>
        <v/>
      </c>
    </row>
    <row r="9">
      <c r="A9" s="457" t="n"/>
      <c r="B9" s="457" t="n"/>
      <c r="C9" s="457" t="n"/>
      <c r="D9" s="459" t="n"/>
      <c r="E9" s="457" t="n"/>
    </row>
    <row r="10">
      <c r="A10" s="457" t="n"/>
      <c r="B10" s="457" t="n"/>
      <c r="C10" s="457" t="n"/>
      <c r="D10" s="459" t="n"/>
      <c r="E10" s="457" t="n"/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 filterMode="0">
    <tabColor rgb="00FFC000"/>
    <outlinePr summaryBelow="1" summaryRight="1"/>
    <pageSetUpPr fitToPage="0"/>
  </sheetPr>
  <dimension ref="A1:N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3.8" customWidth="1" style="140" min="2" max="2"/>
    <col width="12.8" customWidth="1" style="140" min="3" max="3"/>
    <col width="14.8" customWidth="1" style="140" min="4" max="4"/>
    <col width="13.8" customWidth="1" style="140" min="5" max="5"/>
    <col width="10.7" customWidth="1" style="129" min="7" max="7"/>
    <col width="11.7" customWidth="1" style="129" min="8" max="8"/>
    <col width="10.7" customWidth="1" style="129" min="9" max="9"/>
    <col width="16.9" customWidth="1" style="129" min="10" max="10"/>
    <col width="18" customWidth="1" style="129" min="11" max="11"/>
    <col width="26" customWidth="1" style="129" min="14" max="14"/>
  </cols>
  <sheetData>
    <row r="1" ht="24" customHeight="1" s="129">
      <c r="A1" s="775" t="inlineStr">
        <is>
          <t>⚠️ แก้ราคาที่นี่ → ค่าแรง ผลิต + ติดตั้ง (สูตร: ค่าเริ่มต้น + เรต×ตร.ม.) — จากไฟล์ค่าแรง นิด</t>
        </is>
      </c>
      <c r="F1" s="643" t="n"/>
      <c r="G1" s="753" t="inlineStr">
        <is>
          <t>🏠 สารบัญ</t>
        </is>
      </c>
      <c r="H1" s="754" t="n"/>
    </row>
    <row r="3" ht="15" customHeight="1" s="129">
      <c r="A3" s="287" t="inlineStr">
        <is>
          <t>เลือกแบบ →</t>
        </is>
      </c>
      <c r="B3" s="283" t="inlineStr">
        <is>
          <t>บานเลื่อน SMS</t>
        </is>
      </c>
    </row>
    <row r="4" ht="15" customHeight="1" s="129">
      <c r="A4" s="287" t="inlineStr">
        <is>
          <t>พื้นที่ (ตร.ม.) →</t>
        </is>
      </c>
      <c r="B4" s="283" t="n">
        <v>5</v>
      </c>
    </row>
    <row r="5" ht="15" customHeight="1" s="129">
      <c r="A5" s="281" t="inlineStr">
        <is>
          <t>ค่าแรงผลิต =</t>
        </is>
      </c>
      <c r="B5" s="385">
        <f>MAX(0,VLOOKUP(B3,$A$12:$E$27,2,0)+VLOOKUP(B3,$A$12:$E$27,3,0)*B4)</f>
        <v/>
      </c>
    </row>
    <row r="6" ht="15" customHeight="1" s="129">
      <c r="A6" s="281" t="inlineStr">
        <is>
          <t>ค่าแรงติดตั้ง =</t>
        </is>
      </c>
      <c r="B6" s="385">
        <f>MAX(0,VLOOKUP(B3,$A$12:$E$27,4,0)+VLOOKUP(B3,$A$12:$E$27,5,0)*B4)</f>
        <v/>
      </c>
    </row>
    <row r="7" ht="15" customHeight="1" s="129">
      <c r="A7" s="281" t="inlineStr">
        <is>
          <t>รวมค่าแรง (ผลิต+ติดตั้ง) =</t>
        </is>
      </c>
      <c r="B7" s="386">
        <f>B5+B6</f>
        <v/>
      </c>
    </row>
    <row r="10" ht="15" customHeight="1" s="129">
      <c r="A10" s="324" t="inlineStr">
        <is>
          <t>ตารางค่าแรง (แก้ที่นี่ถ้าค่าแรงเปลี่ยน) — ค่าแรง/ชม.=87.5</t>
        </is>
      </c>
      <c r="N10" s="878" t="inlineStr">
        <is>
          <t>🟡 ช่องเหลือง = แก้ตรงนี้ · เทา = คิดให้อัตโนมัติ</t>
        </is>
      </c>
    </row>
    <row r="11" ht="15" customHeight="1" s="129">
      <c r="A11" s="339" t="inlineStr">
        <is>
          <t>แบบบาน</t>
        </is>
      </c>
      <c r="B11" s="339" t="inlineStr">
        <is>
          <t>ผลิต: ค่าเริ่มต้น</t>
        </is>
      </c>
      <c r="C11" s="339" t="inlineStr">
        <is>
          <t>ผลิต: /ตร.ม.</t>
        </is>
      </c>
      <c r="D11" s="339" t="inlineStr">
        <is>
          <t>ติดตั้ง: ค่าเริ่มต้น</t>
        </is>
      </c>
      <c r="E11" s="339" t="inlineStr">
        <is>
          <t>ติดตั้ง: /ตร.ม.</t>
        </is>
      </c>
      <c r="G11" s="276" t="inlineStr">
        <is>
          <t>ชม.ฐานผลิต</t>
        </is>
      </c>
      <c r="H11" s="276" t="inlineStr">
        <is>
          <t>ชม.ฐานติดตั้ง</t>
        </is>
      </c>
      <c r="I11" s="276" t="inlineStr">
        <is>
          <t>ค่าแรง/ชม.</t>
        </is>
      </c>
      <c r="J11" s="276" t="inlineStr">
        <is>
          <t>ชม.เพิ่มผลิต/ตร.ม.</t>
        </is>
      </c>
      <c r="K11" s="276" t="inlineStr">
        <is>
          <t>ชม.เพิ่มติดตั้ง/ตร.ม.</t>
        </is>
      </c>
      <c r="L11" s="276" t="inlineStr">
        <is>
          <t>คนผลิต</t>
        </is>
      </c>
      <c r="M11" s="276" t="inlineStr">
        <is>
          <t>คนติดตั้ง</t>
        </is>
      </c>
      <c r="N11" s="276" t="inlineStr">
        <is>
          <t>แก้ตรงไหน</t>
        </is>
      </c>
    </row>
    <row r="12" ht="15" customHeight="1" s="129">
      <c r="A12" s="316" t="inlineStr">
        <is>
          <t>บานเลื่อน SMS</t>
        </is>
      </c>
      <c r="B12" s="879">
        <f>G12*I12*L12</f>
        <v/>
      </c>
      <c r="C12" s="879">
        <f>J12*I12*L12</f>
        <v/>
      </c>
      <c r="D12" s="879">
        <f>H12*I12*M12</f>
        <v/>
      </c>
      <c r="E12" s="879">
        <f>K12*I12*M12</f>
        <v/>
      </c>
      <c r="G12" s="768" t="n">
        <v>5</v>
      </c>
      <c r="H12" s="768" t="n">
        <v>6.5</v>
      </c>
      <c r="I12" s="768" t="n">
        <v>87.5</v>
      </c>
      <c r="J12" s="768" t="n">
        <v>0.3333</v>
      </c>
      <c r="K12" s="768" t="n">
        <v>0.3333</v>
      </c>
      <c r="L12" s="555" t="n">
        <v>1</v>
      </c>
      <c r="M12" s="555" t="n">
        <v>1</v>
      </c>
      <c r="N12" s="883" t="inlineStr">
        <is>
          <t>ฐาน+เพิ่ม/ตร.ม. → แก้ G,H (ฐานชม.) · J,K (เพิ่มชม./ตร.ม.)</t>
        </is>
      </c>
    </row>
    <row r="13" ht="15" customHeight="1" s="129">
      <c r="A13" s="316" t="inlineStr">
        <is>
          <t>บานเลื่อน ยูโร</t>
        </is>
      </c>
      <c r="B13" s="879">
        <f>G13*I13*L13</f>
        <v/>
      </c>
      <c r="C13" s="879">
        <f>J13*I13*L13</f>
        <v/>
      </c>
      <c r="D13" s="879">
        <f>H13*I13*M13</f>
        <v/>
      </c>
      <c r="E13" s="879">
        <f>K13*I13*M13</f>
        <v/>
      </c>
      <c r="G13" s="768" t="n">
        <v>7</v>
      </c>
      <c r="H13" s="768" t="n">
        <v>8</v>
      </c>
      <c r="I13" s="768" t="n">
        <v>87.5</v>
      </c>
      <c r="J13" s="768" t="n">
        <v>0.5</v>
      </c>
      <c r="K13" s="768" t="n">
        <v>0.573</v>
      </c>
      <c r="L13" s="555" t="n">
        <v>1</v>
      </c>
      <c r="M13" s="555" t="n">
        <v>1</v>
      </c>
      <c r="N13" s="883" t="inlineStr">
        <is>
          <t>ฐาน+เพิ่ม/ตร.ม. → แก้ G,H (ฐานชม.) · J,K (เพิ่มชม./ตร.ม.)</t>
        </is>
      </c>
    </row>
    <row r="14" ht="15" customHeight="1" s="129">
      <c r="A14" s="316" t="inlineStr">
        <is>
          <t>SlimLux</t>
        </is>
      </c>
      <c r="B14" s="879">
        <f>G14*I14*L14</f>
        <v/>
      </c>
      <c r="C14" s="879">
        <f>J14*I14*L14</f>
        <v/>
      </c>
      <c r="D14" s="879">
        <f>H14*I14*M14</f>
        <v/>
      </c>
      <c r="E14" s="879">
        <f>K14*I14*M14</f>
        <v/>
      </c>
      <c r="G14" s="768" t="n">
        <v>11.9</v>
      </c>
      <c r="H14" s="768" t="n">
        <v>8</v>
      </c>
      <c r="I14" s="768" t="n">
        <v>87.5</v>
      </c>
      <c r="J14" s="768" t="n">
        <v>0.667</v>
      </c>
      <c r="K14" s="768" t="n">
        <v>0.667</v>
      </c>
      <c r="L14" s="555" t="n">
        <v>1</v>
      </c>
      <c r="M14" s="555" t="n">
        <v>1</v>
      </c>
      <c r="N14" s="883" t="inlineStr">
        <is>
          <t>ฐาน+เพิ่ม/ตร.ม. → แก้ G,H (ฐานชม.) · J,K (เพิ่มชม./ตร.ม.)</t>
        </is>
      </c>
    </row>
    <row r="15" ht="15" customHeight="1" s="129">
      <c r="A15" s="316" t="inlineStr">
        <is>
          <t>Velora</t>
        </is>
      </c>
      <c r="B15" s="879">
        <f>G15*I15*L15</f>
        <v/>
      </c>
      <c r="C15" s="879">
        <f>J15*I15*L15</f>
        <v/>
      </c>
      <c r="D15" s="879">
        <f>H15*I15*M15</f>
        <v/>
      </c>
      <c r="E15" s="879">
        <f>K15*I15*M15</f>
        <v/>
      </c>
      <c r="G15" s="768" t="n">
        <v>4.24</v>
      </c>
      <c r="H15" s="768" t="n">
        <v>6</v>
      </c>
      <c r="I15" s="768" t="n">
        <v>87.5</v>
      </c>
      <c r="J15" s="768" t="n">
        <v>0.3333</v>
      </c>
      <c r="K15" s="768" t="n">
        <v>0.3333</v>
      </c>
      <c r="L15" s="555" t="n">
        <v>1</v>
      </c>
      <c r="M15" s="555" t="n">
        <v>1</v>
      </c>
      <c r="N15" s="883" t="inlineStr">
        <is>
          <t>ฐาน+เพิ่ม/ตร.ม. → แก้ G,H (ฐานชม.) · J,K (เพิ่มชม./ตร.ม.)</t>
        </is>
      </c>
    </row>
    <row r="16" ht="15" customHeight="1" s="129">
      <c r="A16" s="316" t="inlineStr">
        <is>
          <t>บานเปิด (ยูโร)</t>
        </is>
      </c>
      <c r="B16" s="879">
        <f>G16*I16*L16</f>
        <v/>
      </c>
      <c r="C16" s="879">
        <f>J16*I16*L16</f>
        <v/>
      </c>
      <c r="D16" s="879">
        <f>H16*I16*M16</f>
        <v/>
      </c>
      <c r="E16" s="879">
        <f>K16*I16*M16</f>
        <v/>
      </c>
      <c r="G16" s="768" t="n">
        <v>6</v>
      </c>
      <c r="H16" s="768" t="n">
        <v>7.84</v>
      </c>
      <c r="I16" s="768" t="n">
        <v>87.5</v>
      </c>
      <c r="J16" s="768" t="n">
        <v>0.281</v>
      </c>
      <c r="K16" s="768" t="n">
        <v>0.542</v>
      </c>
      <c r="L16" s="555" t="n">
        <v>1</v>
      </c>
      <c r="M16" s="555" t="n">
        <v>1</v>
      </c>
      <c r="N16" s="883" t="inlineStr">
        <is>
          <t>ฐาน+เพิ่ม/ตร.ม. → แก้ G,H (ฐานชม.) · J,K (เพิ่มชม./ตร.ม.)</t>
        </is>
      </c>
    </row>
    <row r="17" ht="15" customHeight="1" s="129">
      <c r="A17" s="316" t="inlineStr">
        <is>
          <t>บานกระทุ้ง (ยูโร)</t>
        </is>
      </c>
      <c r="B17" s="879">
        <f>G17*I17*L17</f>
        <v/>
      </c>
      <c r="C17" s="879">
        <f>J17*I17*L17</f>
        <v/>
      </c>
      <c r="D17" s="879">
        <f>H17*I17*M17</f>
        <v/>
      </c>
      <c r="E17" s="879">
        <f>K17*I17*M17</f>
        <v/>
      </c>
      <c r="G17" s="768" t="n">
        <v>6</v>
      </c>
      <c r="H17" s="768" t="n">
        <v>4.25</v>
      </c>
      <c r="I17" s="768" t="n">
        <v>87.5</v>
      </c>
      <c r="J17" s="768" t="n">
        <v>0.667</v>
      </c>
      <c r="K17" s="768" t="n">
        <v>0.667</v>
      </c>
      <c r="L17" s="555" t="n">
        <v>1</v>
      </c>
      <c r="M17" s="555" t="n">
        <v>1</v>
      </c>
      <c r="N17" s="883" t="inlineStr">
        <is>
          <t>ฐาน+เพิ่ม/ตร.ม. → แก้ G,H (ฐานชม.) · J,K (เพิ่มชม./ตร.ม.)</t>
        </is>
      </c>
    </row>
    <row r="18" ht="15" customHeight="1" s="129">
      <c r="A18" s="316" t="inlineStr">
        <is>
          <t>บานเฟี้ยม (sms)</t>
        </is>
      </c>
      <c r="B18" s="879">
        <f>G18*I18*L18</f>
        <v/>
      </c>
      <c r="C18" s="879">
        <f>J18*I18*L18</f>
        <v/>
      </c>
      <c r="D18" s="879">
        <f>H18*I18*M18</f>
        <v/>
      </c>
      <c r="E18" s="879">
        <f>K18*I18*M18</f>
        <v/>
      </c>
      <c r="G18" s="768" t="n">
        <v>12</v>
      </c>
      <c r="H18" s="768" t="n">
        <v>14</v>
      </c>
      <c r="I18" s="768" t="n">
        <v>87.5</v>
      </c>
      <c r="J18" s="768" t="n">
        <v>1</v>
      </c>
      <c r="K18" s="768" t="n">
        <v>1</v>
      </c>
      <c r="L18" s="555" t="n">
        <v>1</v>
      </c>
      <c r="M18" s="555" t="n">
        <v>1</v>
      </c>
      <c r="N18" s="883" t="inlineStr">
        <is>
          <t>ฐาน+เพิ่ม/ตร.ม. → แก้ G,H (ฐานชม.) · J,K (เพิ่มชม./ตร.ม.)</t>
        </is>
      </c>
    </row>
    <row r="19" ht="15" customHeight="1" s="129">
      <c r="A19" s="316" t="inlineStr">
        <is>
          <t>บานยก (เซมิ)</t>
        </is>
      </c>
      <c r="B19" s="879">
        <f>G19*I19*L19</f>
        <v/>
      </c>
      <c r="C19" s="879">
        <f>J19*I19*L19</f>
        <v/>
      </c>
      <c r="D19" s="879">
        <f>H19*I19*M19</f>
        <v/>
      </c>
      <c r="E19" s="879">
        <f>K19*I19*M19</f>
        <v/>
      </c>
      <c r="G19" s="768" t="n">
        <v>16</v>
      </c>
      <c r="H19" s="768" t="n">
        <v>7</v>
      </c>
      <c r="I19" s="768" t="n">
        <v>87.5</v>
      </c>
      <c r="J19" s="768" t="n">
        <v>0.3333</v>
      </c>
      <c r="K19" s="768" t="n">
        <v>0.3333</v>
      </c>
      <c r="L19" s="555" t="n">
        <v>1</v>
      </c>
      <c r="M19" s="555" t="n">
        <v>1</v>
      </c>
      <c r="N19" s="883" t="inlineStr">
        <is>
          <t>ฐาน+เพิ่ม/ตร.ม. → แก้ G,H (ฐานชม.) · J,K (เพิ่มชม./ตร.ม.)</t>
        </is>
      </c>
    </row>
    <row r="20" ht="15" customHeight="1" s="129">
      <c r="A20" s="695" t="inlineStr">
        <is>
          <t>หลังคา</t>
        </is>
      </c>
      <c r="B20" s="751" t="n"/>
      <c r="C20" s="885" t="n">
        <v>597</v>
      </c>
      <c r="D20" s="751" t="n"/>
      <c r="E20" s="885" t="n">
        <v>852</v>
      </c>
      <c r="F20" s="697" t="n"/>
      <c r="G20" s="737" t="n"/>
      <c r="H20" s="737" t="n"/>
      <c r="L20" s="387" t="n"/>
      <c r="M20" s="387" t="n"/>
      <c r="N20" s="883" t="inlineStr">
        <is>
          <t>คิด /ตร.ม. → แก้ C (ผลิต), E (ติดตั้ง)</t>
        </is>
      </c>
    </row>
    <row r="21">
      <c r="A21" s="140" t="inlineStr">
        <is>
          <t>บานติดตาย</t>
        </is>
      </c>
      <c r="B21" s="887">
        <f>G21*I21*L21</f>
        <v/>
      </c>
      <c r="C21" s="887">
        <f>J21*I21*L21</f>
        <v/>
      </c>
      <c r="D21" s="887">
        <f>H21*I21*M21</f>
        <v/>
      </c>
      <c r="E21" s="887">
        <f>K21*I21*M21</f>
        <v/>
      </c>
      <c r="G21" s="768" t="n">
        <v>4</v>
      </c>
      <c r="H21" s="768" t="n">
        <v>4</v>
      </c>
      <c r="I21" s="768" t="n">
        <v>87.5</v>
      </c>
      <c r="J21" s="768" t="n">
        <v>0.25</v>
      </c>
      <c r="K21" s="768" t="n">
        <v>0.25</v>
      </c>
      <c r="L21" s="555" t="n">
        <v>1</v>
      </c>
      <c r="M21" s="555" t="n">
        <v>2</v>
      </c>
      <c r="N21" s="883" t="inlineStr">
        <is>
          <t>ฐาน+เพิ่ม/ตร.ม. → G,H (ฐานชม.) · J,K (เพิ่มชม./ตร.ม.) · L,M (คน)</t>
        </is>
      </c>
    </row>
    <row r="22">
      <c r="A22" s="140" t="inlineStr">
        <is>
          <t>ตายดัดโค้ง</t>
        </is>
      </c>
      <c r="B22" s="887">
        <f>G22*I22*L22</f>
        <v/>
      </c>
      <c r="C22" s="887">
        <f>J22*I22*L22</f>
        <v/>
      </c>
      <c r="D22" s="887">
        <f>H22*I22*M22</f>
        <v/>
      </c>
      <c r="E22" s="887">
        <f>K22*I22*M22</f>
        <v/>
      </c>
      <c r="G22" s="768" t="n">
        <v>8</v>
      </c>
      <c r="H22" s="768" t="n">
        <v>8</v>
      </c>
      <c r="I22" s="768" t="n">
        <v>87.5</v>
      </c>
      <c r="J22" s="768" t="n">
        <v>0.25</v>
      </c>
      <c r="K22" s="768" t="n">
        <v>0.25</v>
      </c>
      <c r="L22" s="555" t="n">
        <v>1</v>
      </c>
      <c r="M22" s="555" t="n">
        <v>2</v>
      </c>
      <c r="N22" s="883" t="inlineStr">
        <is>
          <t>ฐาน+เพิ่ม/ตร.ม. → G,H (ฐานชม.) · J,K (เพิ่มชม./ตร.ม.) · L,M (คน)</t>
        </is>
      </c>
    </row>
    <row r="23">
      <c r="A23" s="140" t="inlineStr">
        <is>
          <t>PC Door</t>
        </is>
      </c>
      <c r="B23" s="887">
        <f>G23*I23*L23</f>
        <v/>
      </c>
      <c r="C23" s="887">
        <f>J23*I23*L23</f>
        <v/>
      </c>
      <c r="D23" s="887">
        <f>H23*I23*M23</f>
        <v/>
      </c>
      <c r="E23" s="887">
        <f>K23*I23*M23</f>
        <v/>
      </c>
      <c r="G23" s="768" t="n">
        <v>14</v>
      </c>
      <c r="H23" s="768" t="n">
        <v>8</v>
      </c>
      <c r="I23" s="768" t="n">
        <v>87.5</v>
      </c>
      <c r="J23" s="768" t="n">
        <v>0.3333</v>
      </c>
      <c r="K23" s="768" t="n">
        <v>0.25</v>
      </c>
      <c r="L23" s="555" t="n">
        <v>1</v>
      </c>
      <c r="M23" s="555" t="n">
        <v>3</v>
      </c>
      <c r="N23" s="883" t="inlineStr">
        <is>
          <t>ฐาน+เพิ่ม/ตร.ม. → G,H (ฐานชม.) · J,K (เพิ่มชม./ตร.ม.) · L,M (คน)</t>
        </is>
      </c>
    </row>
    <row r="24">
      <c r="A24" s="140" t="inlineStr">
        <is>
          <t>บานเฟี้ยมยูโร</t>
        </is>
      </c>
      <c r="B24" s="887">
        <f>G24*I24*L24</f>
        <v/>
      </c>
      <c r="C24" s="887">
        <f>J24*I24*L24</f>
        <v/>
      </c>
      <c r="D24" s="887">
        <f>H24*I24*M24</f>
        <v/>
      </c>
      <c r="E24" s="887">
        <f>K24*I24*M24</f>
        <v/>
      </c>
      <c r="G24" s="768" t="n">
        <v>18</v>
      </c>
      <c r="H24" s="768" t="n">
        <v>14</v>
      </c>
      <c r="I24" s="768" t="n">
        <v>87.5</v>
      </c>
      <c r="J24" s="768" t="n">
        <v>0.5833</v>
      </c>
      <c r="K24" s="768" t="n">
        <v>0.5</v>
      </c>
      <c r="L24" s="555" t="n">
        <v>1</v>
      </c>
      <c r="M24" s="555" t="n">
        <v>4</v>
      </c>
      <c r="N24" s="883" t="inlineStr">
        <is>
          <t>ฐาน+เพิ่ม/ตร.ม. → G,H (ฐานชม.) · J,K (เพิ่มชม./ตร.ม.) · L,M (คน)</t>
        </is>
      </c>
    </row>
    <row r="25">
      <c r="A25" s="140" t="inlineStr">
        <is>
          <t>มุ้งเฟรมเล็ก</t>
        </is>
      </c>
      <c r="B25" s="887">
        <f>G25*I25*L25</f>
        <v/>
      </c>
      <c r="C25" s="887">
        <f>J25*I25*L25</f>
        <v/>
      </c>
      <c r="D25" s="887">
        <f>H25*I25*M25</f>
        <v/>
      </c>
      <c r="E25" s="887">
        <f>K25*I25*M25</f>
        <v/>
      </c>
      <c r="G25" s="768" t="n">
        <v>3</v>
      </c>
      <c r="H25" s="768" t="n">
        <v>2</v>
      </c>
      <c r="I25" s="768" t="n">
        <v>87.5</v>
      </c>
      <c r="J25" s="768" t="n">
        <v>0.1667</v>
      </c>
      <c r="K25" s="768" t="n">
        <v>0.0833</v>
      </c>
      <c r="L25" s="555" t="n">
        <v>1</v>
      </c>
      <c r="M25" s="555" t="n">
        <v>1</v>
      </c>
      <c r="N25" s="883" t="inlineStr">
        <is>
          <t>ฐาน+เพิ่ม/ตร.ม. → G,H (ฐานชม.) · J,K (เพิ่มชม./ตร.ม.) · L,M (คน)</t>
        </is>
      </c>
    </row>
    <row r="26">
      <c r="A26" s="698" t="inlineStr">
        <is>
          <t>หลังคาจั่ว</t>
        </is>
      </c>
      <c r="B26" s="752" t="n"/>
      <c r="C26" s="889" t="n">
        <v>707</v>
      </c>
      <c r="D26" s="752" t="n"/>
      <c r="E26" s="889" t="n">
        <v>982</v>
      </c>
      <c r="F26" s="697" t="n"/>
      <c r="G26" s="737" t="n"/>
      <c r="H26" s="737" t="n"/>
      <c r="L26" s="387" t="n"/>
      <c r="M26" s="387" t="n"/>
      <c r="N26" s="883" t="inlineStr">
        <is>
          <t>คิด /ตร.ม. → แก้ C (ผลิต), E (ติดตั้ง)</t>
        </is>
      </c>
    </row>
    <row r="27">
      <c r="A27" s="698" t="inlineStr">
        <is>
          <t>หลังคาเลื่อน</t>
        </is>
      </c>
      <c r="B27" s="752" t="n"/>
      <c r="C27" s="889" t="n">
        <v>804</v>
      </c>
      <c r="D27" s="752" t="n"/>
      <c r="E27" s="889" t="n">
        <v>1530</v>
      </c>
      <c r="F27" s="697" t="n"/>
      <c r="G27" s="737" t="n"/>
      <c r="H27" s="737" t="n"/>
      <c r="L27" s="387" t="n"/>
      <c r="M27" s="387" t="n"/>
      <c r="N27" s="883" t="inlineStr">
        <is>
          <t>คิด /ตร.ม. → แก้ C (ผลิต), E (ติดตั้ง)</t>
        </is>
      </c>
    </row>
    <row r="28">
      <c r="A28" s="140" t="inlineStr">
        <is>
          <t>บานเลื่อนรางบน</t>
        </is>
      </c>
      <c r="B28" s="887">
        <f>G28*I28*L28</f>
        <v/>
      </c>
      <c r="C28" s="887">
        <f>J28*I28*L28</f>
        <v/>
      </c>
      <c r="D28" s="887">
        <f>H28*I28*M28</f>
        <v/>
      </c>
      <c r="E28" s="887">
        <f>K28*I28*M28</f>
        <v/>
      </c>
      <c r="G28" s="770" t="n">
        <v>8</v>
      </c>
      <c r="H28" s="770" t="n">
        <v>8</v>
      </c>
      <c r="I28" s="770" t="n">
        <v>87.5</v>
      </c>
      <c r="J28" s="770" t="n">
        <v>0.3333</v>
      </c>
      <c r="K28" s="770" t="n">
        <v>0.3333</v>
      </c>
      <c r="L28" s="555" t="n">
        <v>1</v>
      </c>
      <c r="M28" s="555" t="n">
        <v>2</v>
      </c>
      <c r="N28" s="883" t="inlineStr">
        <is>
          <t>ฐาน+เพิ่ม/ตร.ม. → G,H (ฐานชม.) · J,K (เพิ่มชม./ตร.ม.) · L,M (คน)</t>
        </is>
      </c>
    </row>
    <row r="29">
      <c r="A29" s="140" t="inlineStr">
        <is>
          <t>บานหมุน</t>
        </is>
      </c>
      <c r="B29" s="887">
        <f>G29*I29*L29</f>
        <v/>
      </c>
      <c r="C29" s="887">
        <f>J29*I29*L29</f>
        <v/>
      </c>
      <c r="D29" s="887">
        <f>H29*I29*M29</f>
        <v/>
      </c>
      <c r="E29" s="887">
        <f>K29*I29*M29</f>
        <v/>
      </c>
      <c r="G29" s="770" t="n">
        <v>8</v>
      </c>
      <c r="H29" s="770" t="n">
        <v>8</v>
      </c>
      <c r="I29" s="770" t="n">
        <v>87.5</v>
      </c>
      <c r="J29" s="770" t="n">
        <v>0.4167</v>
      </c>
      <c r="K29" s="770" t="n">
        <v>0.4167</v>
      </c>
      <c r="L29" s="555" t="n">
        <v>1</v>
      </c>
      <c r="M29" s="555" t="n">
        <v>2</v>
      </c>
      <c r="N29" s="883" t="inlineStr">
        <is>
          <t>ฐาน+เพิ่ม/ตร.ม. → G,H (ฐานชม.) · J,K (เพิ่มชม./ตร.ม.) · L,M (คน)</t>
        </is>
      </c>
    </row>
    <row r="30">
      <c r="A30" s="656" t="inlineStr">
        <is>
          <t>▶ งานเสริม (ฝ้า/ผนัง/ไฟ) — บาท</t>
        </is>
      </c>
    </row>
    <row r="31">
      <c r="A31" s="668" t="inlineStr">
        <is>
          <t>งาน</t>
        </is>
      </c>
      <c r="B31" s="668" t="inlineStr">
        <is>
          <t>ค่าแรงผลิต/หลัก</t>
        </is>
      </c>
      <c r="C31" s="668" t="inlineStr">
        <is>
          <t>ค่าแรงติดตั้ง</t>
        </is>
      </c>
      <c r="D31" s="668" t="inlineStr">
        <is>
          <t>หน่วย</t>
        </is>
      </c>
    </row>
    <row r="32">
      <c r="A32" s="434" t="inlineStr">
        <is>
          <t>ฝ้ายิปซัมฉาบเรียบ</t>
        </is>
      </c>
      <c r="B32" s="669" t="inlineStr">
        <is>
          <t>— ไม่มี</t>
        </is>
      </c>
      <c r="C32" s="658" t="n">
        <v>280</v>
      </c>
      <c r="D32" s="434" t="inlineStr">
        <is>
          <t>/ตร.ม. (รวม)</t>
        </is>
      </c>
    </row>
    <row r="33">
      <c r="A33" s="434" t="inlineStr">
        <is>
          <t>ฝ้าไม้เทียม</t>
        </is>
      </c>
      <c r="B33" s="669" t="inlineStr">
        <is>
          <t>— ไม่มี</t>
        </is>
      </c>
      <c r="C33" s="658" t="n">
        <v>352</v>
      </c>
      <c r="D33" s="434" t="inlineStr">
        <is>
          <t>/ตร.ม. (รวม)</t>
        </is>
      </c>
    </row>
    <row r="34">
      <c r="A34" s="434" t="inlineStr">
        <is>
          <t>ผนังสมาร์ทบอร์ด</t>
        </is>
      </c>
      <c r="B34" s="658" t="n">
        <v>700</v>
      </c>
      <c r="C34" s="658" t="n">
        <v>400</v>
      </c>
      <c r="D34" s="434" t="inlineStr">
        <is>
          <t>/ตร.ม.</t>
        </is>
      </c>
    </row>
    <row r="35">
      <c r="A35" s="434" t="inlineStr">
        <is>
          <t>ผนังไอโซวอล</t>
        </is>
      </c>
      <c r="B35" s="658" t="n">
        <v>700</v>
      </c>
      <c r="C35" s="658" t="n">
        <v>440</v>
      </c>
      <c r="D35" s="434" t="inlineStr">
        <is>
          <t>/ตร.ม.</t>
        </is>
      </c>
    </row>
    <row r="36">
      <c r="A36" s="434" t="inlineStr">
        <is>
          <t>งานไฟ — เดินสายไฟ</t>
        </is>
      </c>
      <c r="B36" s="658" t="n">
        <v>90</v>
      </c>
      <c r="C36" s="434" t="n"/>
      <c r="D36" s="434" t="inlineStr">
        <is>
          <t>/เมตร</t>
        </is>
      </c>
    </row>
    <row r="37">
      <c r="A37" s="434" t="inlineStr">
        <is>
          <t>งานไฟ — ติดดาวน์ไลท์</t>
        </is>
      </c>
      <c r="B37" s="658" t="n">
        <v>90</v>
      </c>
      <c r="C37" s="434" t="n"/>
      <c r="D37" s="434" t="inlineStr">
        <is>
          <t>/ดวง</t>
        </is>
      </c>
    </row>
    <row r="38">
      <c r="A38" s="387" t="inlineStr">
        <is>
          <t>พื้นสมาร์ทบอร์ด</t>
        </is>
      </c>
      <c r="B38" s="387" t="n">
        <v>700</v>
      </c>
      <c r="C38" s="387" t="n">
        <v>450</v>
      </c>
      <c r="D38" s="387" t="inlineStr">
        <is>
          <t>/ตร.ม.</t>
        </is>
      </c>
    </row>
    <row r="39">
      <c r="A39" s="656" t="inlineStr">
        <is>
          <t>▶ บาน (งานใหม่ — โซลิด/ระแนง/เฟี้ยมยก)</t>
        </is>
      </c>
    </row>
    <row r="40">
      <c r="A40" s="316" t="inlineStr">
        <is>
          <t>บานโซลิด</t>
        </is>
      </c>
      <c r="B40" s="879">
        <f>G40*I40*L40</f>
        <v/>
      </c>
      <c r="C40" s="879">
        <f>J40*I40*L40</f>
        <v/>
      </c>
      <c r="D40" s="879">
        <f>H40*I40*M40</f>
        <v/>
      </c>
      <c r="E40" s="879">
        <f>K40*I40*M40</f>
        <v/>
      </c>
      <c r="G40" s="768" t="n">
        <v>17</v>
      </c>
      <c r="H40" s="768" t="n">
        <v>8</v>
      </c>
      <c r="I40" s="768" t="n">
        <v>87.5</v>
      </c>
      <c r="J40" s="768" t="n">
        <v>0.5833</v>
      </c>
      <c r="K40" s="768" t="n">
        <v>0.25</v>
      </c>
      <c r="L40" s="555" t="n">
        <v>1</v>
      </c>
      <c r="M40" s="555" t="n">
        <v>3</v>
      </c>
      <c r="N40" s="883" t="inlineStr">
        <is>
          <t>ฐาน+เพิ่ม/ตร.ม. → G,H (ฐานชม.) · J,K (เพิ่มชม./ตร.ม.) · L,M (คน)</t>
        </is>
      </c>
    </row>
    <row r="41">
      <c r="A41" s="316" t="inlineStr">
        <is>
          <t>บานระแนงเลื่อน</t>
        </is>
      </c>
      <c r="B41" s="879">
        <f>G41*I41*L41</f>
        <v/>
      </c>
      <c r="C41" s="879">
        <f>J41*I41*L41</f>
        <v/>
      </c>
      <c r="D41" s="879">
        <f>H41*I41*M41</f>
        <v/>
      </c>
      <c r="E41" s="879">
        <f>K41*I41*M41</f>
        <v/>
      </c>
      <c r="G41" s="768" t="n">
        <v>12</v>
      </c>
      <c r="H41" s="768" t="n">
        <v>8</v>
      </c>
      <c r="I41" s="768" t="n">
        <v>87.5</v>
      </c>
      <c r="J41" s="768" t="n">
        <v>0.3333</v>
      </c>
      <c r="K41" s="768" t="n">
        <v>0.3333</v>
      </c>
      <c r="L41" s="555" t="n">
        <v>2</v>
      </c>
      <c r="M41" s="555" t="n">
        <v>2</v>
      </c>
      <c r="N41" s="883" t="inlineStr">
        <is>
          <t>ฐาน+เพิ่ม/ตร.ม. → G,H (ฐานชม.) · J,K (เพิ่มชม./ตร.ม.) · L,M (คน)</t>
        </is>
      </c>
    </row>
    <row r="42">
      <c r="A42" s="316" t="inlineStr">
        <is>
          <t>บานเฟี้ยมยก</t>
        </is>
      </c>
      <c r="B42" s="879">
        <f>G42*I42*L42</f>
        <v/>
      </c>
      <c r="C42" s="879">
        <f>J42*I42*L42</f>
        <v/>
      </c>
      <c r="D42" s="879">
        <f>H42*I42*M42</f>
        <v/>
      </c>
      <c r="E42" s="879">
        <f>K42*I42*M42</f>
        <v/>
      </c>
      <c r="G42" s="768" t="n">
        <v>14</v>
      </c>
      <c r="H42" s="768" t="n">
        <v>8</v>
      </c>
      <c r="I42" s="768" t="n">
        <v>87.5</v>
      </c>
      <c r="J42" s="768" t="n">
        <v>0.4167</v>
      </c>
      <c r="K42" s="768" t="n">
        <v>0.25</v>
      </c>
      <c r="L42" s="555" t="n">
        <v>2</v>
      </c>
      <c r="M42" s="555" t="n">
        <v>2</v>
      </c>
      <c r="N42" s="883" t="inlineStr">
        <is>
          <t>ฐาน+เพิ่ม/ตร.ม. → G,H (ฐานชม.) · J,K (เพิ่มชม./ตร.ม.) · L,M (คน)</t>
        </is>
      </c>
    </row>
    <row r="43">
      <c r="A43" s="316" t="inlineStr">
        <is>
          <t>บานตู้ Futuretech</t>
        </is>
      </c>
      <c r="B43" s="316" t="n"/>
      <c r="C43" s="880" t="n">
        <v>589</v>
      </c>
      <c r="D43" s="316" t="n"/>
      <c r="E43" s="880" t="n">
        <v>280</v>
      </c>
      <c r="L43" s="387" t="n"/>
      <c r="M43" s="387" t="n"/>
      <c r="N43" s="883" t="inlineStr">
        <is>
          <t>คิด /ตร.ม. → แก้ C (ผลิต), E (ติดตั้ง)</t>
        </is>
      </c>
    </row>
    <row r="44">
      <c r="A44" s="316" t="inlineStr">
        <is>
          <t>ราวกันตก</t>
        </is>
      </c>
      <c r="B44" s="879">
        <f>G44*I44*L44</f>
        <v/>
      </c>
      <c r="C44" s="879">
        <f>J44*I44*L44</f>
        <v/>
      </c>
      <c r="D44" s="879">
        <f>H44*I44*M44</f>
        <v/>
      </c>
      <c r="E44" s="879">
        <f>K44*I44*M44</f>
        <v/>
      </c>
      <c r="G44" s="768" t="n">
        <v>4</v>
      </c>
      <c r="H44" s="768" t="n">
        <v>7</v>
      </c>
      <c r="I44" s="768" t="n">
        <v>87.5</v>
      </c>
      <c r="J44" s="768" t="n">
        <v>0.6667</v>
      </c>
      <c r="K44" s="768" t="n">
        <v>0.6667</v>
      </c>
      <c r="L44" s="555" t="n">
        <v>1</v>
      </c>
      <c r="M44" s="555" t="n">
        <v>2</v>
      </c>
      <c r="N44" s="883" t="inlineStr">
        <is>
          <t>ฐาน+เพิ่ม/ตร.ม. → G,H (ฐานชม.) · J,K (เพิ่มชม./ตร.ม.) · L,M (คน)</t>
        </is>
      </c>
    </row>
    <row r="45" ht="22" customHeight="1" s="129">
      <c r="A45" s="316" t="inlineStr">
        <is>
          <t>ชุด Shower</t>
        </is>
      </c>
      <c r="B45" s="879">
        <f>G45*I45*L45</f>
        <v/>
      </c>
      <c r="C45" s="879">
        <f>J45*I45*L45</f>
        <v/>
      </c>
      <c r="D45" s="879">
        <f>H45*I45*M45</f>
        <v/>
      </c>
      <c r="E45" s="879">
        <f>K45*I45*M45</f>
        <v/>
      </c>
      <c r="G45" s="768" t="n">
        <v>0</v>
      </c>
      <c r="H45" s="768" t="n">
        <v>5</v>
      </c>
      <c r="I45" s="768" t="n">
        <v>87.5</v>
      </c>
      <c r="J45" s="768" t="n"/>
      <c r="K45" s="768" t="n">
        <v>0.6667</v>
      </c>
      <c r="L45" s="555" t="n">
        <v>1</v>
      </c>
      <c r="M45" s="555" t="n">
        <v>1</v>
      </c>
      <c r="N45" s="883" t="inlineStr">
        <is>
          <t>ฐาน+เพิ่ม/ตร.ม. → G,H (ฐานชม.) · J,K (เพิ่มชม./ตร.ม.) · L,M (คน)</t>
        </is>
      </c>
    </row>
    <row r="46">
      <c r="A46" s="316" t="inlineStr">
        <is>
          <t>บานเปลือย</t>
        </is>
      </c>
      <c r="B46" s="316" t="n"/>
      <c r="C46" s="880" t="n">
        <v>0</v>
      </c>
      <c r="D46" s="316" t="n"/>
      <c r="E46" s="880" t="n">
        <v>280</v>
      </c>
      <c r="L46" s="387" t="n"/>
      <c r="M46" s="387" t="n"/>
      <c r="N46" s="883" t="inlineStr">
        <is>
          <t>คิด /ตร.ม. → แก้ C (ผลิต), E (ติดตั้ง)</t>
        </is>
      </c>
    </row>
    <row r="47">
      <c r="A47" s="890" t="inlineStr">
        <is>
          <t>ประตูรั้ว</t>
        </is>
      </c>
      <c r="B47" s="891" t="n">
        <v>0</v>
      </c>
      <c r="C47" s="892" t="n">
        <v>560</v>
      </c>
      <c r="D47" s="891" t="n">
        <v>0</v>
      </c>
      <c r="E47" s="892" t="n">
        <v>1120</v>
      </c>
      <c r="G47" s="706" t="n"/>
      <c r="H47" s="706" t="n"/>
      <c r="L47" s="387" t="n"/>
      <c r="M47" s="387" t="n"/>
      <c r="N47" s="883" t="inlineStr">
        <is>
          <t>คิด /ตร.ม. → แก้ C (ผลิต), E (ติดตั้ง)</t>
        </is>
      </c>
    </row>
    <row r="48">
      <c r="A48" s="890" t="inlineStr">
        <is>
          <t>บานเกล็ด</t>
        </is>
      </c>
      <c r="B48" s="891" t="n">
        <v>0</v>
      </c>
      <c r="C48" s="892" t="n">
        <v>196</v>
      </c>
      <c r="D48" s="891" t="n">
        <v>0</v>
      </c>
      <c r="E48" s="892" t="n">
        <v>196</v>
      </c>
      <c r="G48" s="706" t="n"/>
      <c r="H48" s="706" t="n"/>
      <c r="L48" s="387" t="n"/>
      <c r="M48" s="387" t="n"/>
      <c r="N48" s="883" t="inlineStr">
        <is>
          <t>คิด /ตร.ม. → แก้ C (ผลิต), E (ติดตั้ง)</t>
        </is>
      </c>
    </row>
    <row r="49">
      <c r="A49" s="890" t="inlineStr">
        <is>
          <t>เปิดดัดโค้ง</t>
        </is>
      </c>
      <c r="B49" s="891" t="n">
        <v>0</v>
      </c>
      <c r="C49" s="892" t="n">
        <v>90</v>
      </c>
      <c r="D49" s="893" t="n">
        <v>690</v>
      </c>
      <c r="E49" s="892" t="n">
        <v>47</v>
      </c>
      <c r="G49" s="706" t="n"/>
      <c r="H49" s="706" t="n"/>
      <c r="L49" s="387" t="n"/>
      <c r="M49" s="387" t="n"/>
      <c r="N49" s="883" t="inlineStr">
        <is>
          <t>คิด /ตร.ม. → แก้ C (ผลิต), E (ติดตั้ง) · D=ฐานติดตั้ง</t>
        </is>
      </c>
    </row>
    <row r="50">
      <c r="A50" s="140" t="inlineStr">
        <is>
          <t>ระแนงสลับ</t>
        </is>
      </c>
      <c r="B50" s="140" t="n">
        <v>0</v>
      </c>
      <c r="C50" s="768" t="n">
        <v>300</v>
      </c>
      <c r="D50" s="140" t="n">
        <v>0</v>
      </c>
      <c r="E50" s="768" t="n">
        <v>600</v>
      </c>
      <c r="N50" s="461" t="inlineStr">
        <is>
          <t>คิด /ตร.ม. → แก้ C (ผลิต), E (ติดตั้ง)</t>
        </is>
      </c>
    </row>
    <row r="51">
      <c r="A51" s="894" t="inlineStr">
        <is>
          <t>▶ ค่าแรงระแนง/ระแนงหมุน (ต่อกล่อง)</t>
        </is>
      </c>
    </row>
    <row r="52">
      <c r="A52" s="140" t="inlineStr">
        <is>
          <t>กล่อง 1×5 cm</t>
        </is>
      </c>
      <c r="B52" s="768" t="n">
        <v>500</v>
      </c>
    </row>
    <row r="53">
      <c r="A53" s="140" t="inlineStr">
        <is>
          <t>กล่อง 1"×1"</t>
        </is>
      </c>
      <c r="B53" s="768" t="n">
        <v>310</v>
      </c>
    </row>
    <row r="54">
      <c r="A54" s="140" t="inlineStr">
        <is>
          <t>กล่อง 1"×1.5"</t>
        </is>
      </c>
      <c r="B54" s="768" t="n">
        <v>395</v>
      </c>
    </row>
    <row r="55">
      <c r="A55" s="140" t="inlineStr">
        <is>
          <t>กล่อง 1"×1.6"</t>
        </is>
      </c>
      <c r="B55" s="768" t="n">
        <v>485</v>
      </c>
    </row>
    <row r="56">
      <c r="A56" s="140" t="inlineStr">
        <is>
          <t>กล่อง 1"×4"</t>
        </is>
      </c>
      <c r="B56" s="768" t="n">
        <v>905</v>
      </c>
    </row>
    <row r="57">
      <c r="A57" s="140" t="inlineStr">
        <is>
          <t>กล่อง 1.6"×1.6"</t>
        </is>
      </c>
      <c r="B57" s="768" t="n">
        <v>770</v>
      </c>
    </row>
    <row r="58">
      <c r="A58" s="140" t="inlineStr">
        <is>
          <t>กล่อง 1.6"×4"</t>
        </is>
      </c>
      <c r="B58" s="768" t="n">
        <v>1220</v>
      </c>
    </row>
  </sheetData>
  <mergeCells count="1">
    <mergeCell ref="A1:E1"/>
  </mergeCells>
  <dataValidations count="1">
    <dataValidation sqref="B3" showDropDown="0" showInputMessage="0" showErrorMessage="0" allowBlank="0" type="list" errorStyle="stop" operator="between">
      <formula1>$A$12:$A$20</formula1>
      <formula2>0</formula2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29" min="1" max="1"/>
    <col width="24" customWidth="1" style="129" min="2" max="2"/>
    <col width="24" customWidth="1" style="129" min="3" max="3"/>
    <col width="19.1" customWidth="1" style="129" min="4" max="4"/>
    <col width="24" customWidth="1" style="129" min="5" max="5"/>
    <col width="16.9" customWidth="1" style="129" min="6" max="6"/>
    <col hidden="1" width="22.2" customWidth="1" style="129" min="7" max="7"/>
    <col width="8.6" customWidth="1" style="129" min="8" max="8"/>
    <col width="24" customWidth="1" style="129" min="9" max="9"/>
    <col width="8.6" customWidth="1" style="129" min="10" max="10"/>
    <col width="23.2" customWidth="1" style="129" min="11" max="11"/>
    <col hidden="1" width="13.8" customWidth="1" style="129" min="12" max="12"/>
    <col hidden="1" width="18" customWidth="1" style="129" min="13" max="13"/>
    <col hidden="1" width="14.8" customWidth="1" style="129" min="14" max="14"/>
    <col hidden="1" width="19.1" customWidth="1" style="129" min="15" max="15"/>
  </cols>
  <sheetData>
    <row r="1" ht="30" customHeight="1" s="129">
      <c r="A1" s="776" t="inlineStr">
        <is>
          <t>⚠️ แก้ราคาช่องเหลืองที่นี่ — ทุกบานลิงก์อัตโนมัติ</t>
        </is>
      </c>
      <c r="B1" s="647" t="inlineStr">
        <is>
          <t>ราคา ฿/ตร.ม.</t>
        </is>
      </c>
      <c r="C1" s="647" t="inlineStr">
        <is>
          <t>ประเภท</t>
        </is>
      </c>
      <c r="D1" s="647" t="inlineStr">
        <is>
          <t>บานที่เข้าได้</t>
        </is>
      </c>
      <c r="E1" s="647" t="inlineStr">
        <is>
          <t>หมายเหตุ</t>
        </is>
      </c>
      <c r="F1" s="647" t="inlineStr">
        <is>
          <t>ค่าแรงติดตั้ง/ตร.ม.</t>
        </is>
      </c>
      <c r="G1" s="647" t="inlineStr">
        <is>
          <t>ไม่มีมุ้ง</t>
        </is>
      </c>
      <c r="H1" s="753" t="inlineStr">
        <is>
          <t>🏠 สารบัญ</t>
        </is>
      </c>
      <c r="I1" s="758" t="inlineStr">
        <is>
          <t>ผ้ามุ้ง (กรอกราคา/ม้วน เหลือง → /ตร.ม.คิดเอง)</t>
        </is>
      </c>
      <c r="J1" s="648" t="inlineStr">
        <is>
          <t>฿/ตร.ม.</t>
        </is>
      </c>
      <c r="K1" s="690" t="inlineStr">
        <is>
          <t>ราคา/ม้วน (36.6 ตร.ม.)</t>
        </is>
      </c>
      <c r="L1" s="647" t="inlineStr">
        <is>
          <t>แรงผลิต พื้นฐาน</t>
        </is>
      </c>
      <c r="M1" s="647" t="inlineStr">
        <is>
          <t>แรงผลิต เพิ่ม/ตร.ม.</t>
        </is>
      </c>
      <c r="N1" s="647" t="inlineStr">
        <is>
          <t>แรงติดตั้ง พื้นฐาน</t>
        </is>
      </c>
      <c r="O1" s="647" t="inlineStr">
        <is>
          <t>แรงติดตั้ง เพิ่ม/ตร.ม.</t>
        </is>
      </c>
    </row>
    <row r="2">
      <c r="A2" s="649" t="inlineStr">
        <is>
          <t>มุ้งจีบ</t>
        </is>
      </c>
      <c r="B2" s="685" t="n">
        <v>1179</v>
      </c>
      <c r="C2" s="649" t="inlineStr">
        <is>
          <t>ซื้อสำเร็จ</t>
        </is>
      </c>
      <c r="D2" s="649" t="inlineStr">
        <is>
          <t>ALL</t>
        </is>
      </c>
      <c r="E2" s="649" t="inlineStr">
        <is>
          <t>ทุกบาน</t>
        </is>
      </c>
      <c r="F2" s="686" t="n">
        <v>160</v>
      </c>
      <c r="G2" s="140" t="inlineStr">
        <is>
          <t>มุ้งจีบ</t>
        </is>
      </c>
      <c r="I2" s="650" t="inlineStr">
        <is>
          <t>ไฟเบอร์</t>
        </is>
      </c>
      <c r="J2" s="691">
        <f>ROUND(K2/36.6,0)</f>
        <v/>
      </c>
      <c r="K2" s="692" t="n">
        <v>842</v>
      </c>
      <c r="L2" s="140" t="n">
        <v>0</v>
      </c>
      <c r="M2" s="140" t="n">
        <v>0</v>
      </c>
      <c r="N2" s="140" t="n">
        <v>120</v>
      </c>
      <c r="O2" s="140" t="n">
        <v>40</v>
      </c>
    </row>
    <row r="3">
      <c r="A3" s="649" t="inlineStr">
        <is>
          <t>มุ้งม้วน ขาว/ดำ/น้ำตาล</t>
        </is>
      </c>
      <c r="B3" s="685" t="n">
        <v>1300</v>
      </c>
      <c r="C3" s="649" t="inlineStr">
        <is>
          <t>ซื้อสำเร็จ</t>
        </is>
      </c>
      <c r="D3" s="649" t="inlineStr">
        <is>
          <t>ALL</t>
        </is>
      </c>
      <c r="E3" s="649" t="inlineStr"/>
      <c r="F3" s="686" t="n">
        <v>160</v>
      </c>
      <c r="G3" s="140" t="inlineStr">
        <is>
          <t>มุ้งม้วน ขาว/ดำ/น้ำตาล</t>
        </is>
      </c>
      <c r="I3" s="650" t="inlineStr">
        <is>
          <t>ไนล่อน</t>
        </is>
      </c>
      <c r="J3" s="691">
        <f>ROUND(K3/36.6,0)</f>
        <v/>
      </c>
      <c r="K3" s="692" t="n">
        <v>1391</v>
      </c>
      <c r="L3" s="140" t="n">
        <v>0</v>
      </c>
      <c r="M3" s="140" t="n">
        <v>0</v>
      </c>
      <c r="N3" s="140" t="n">
        <v>120</v>
      </c>
      <c r="O3" s="140" t="n">
        <v>40</v>
      </c>
    </row>
    <row r="4">
      <c r="A4" s="649" t="inlineStr">
        <is>
          <t>มุ้งม้วน ซาฮาร่า</t>
        </is>
      </c>
      <c r="B4" s="685" t="n">
        <v>1500</v>
      </c>
      <c r="C4" s="649" t="inlineStr">
        <is>
          <t>ซื้อสำเร็จ</t>
        </is>
      </c>
      <c r="D4" s="649" t="inlineStr">
        <is>
          <t>ALL</t>
        </is>
      </c>
      <c r="E4" s="649" t="inlineStr"/>
      <c r="F4" s="686" t="n">
        <v>160</v>
      </c>
      <c r="G4" s="140" t="inlineStr">
        <is>
          <t>มุ้งม้วน ซาฮาร่า</t>
        </is>
      </c>
      <c r="I4" s="650" t="inlineStr">
        <is>
          <t>สแตนเลส</t>
        </is>
      </c>
      <c r="J4" s="691">
        <f>ROUND(K4/36.6,0)</f>
        <v/>
      </c>
      <c r="K4" s="692" t="n">
        <v>12883</v>
      </c>
      <c r="L4" s="140" t="n">
        <v>0</v>
      </c>
      <c r="M4" s="140" t="n">
        <v>0</v>
      </c>
      <c r="N4" s="140" t="n">
        <v>120</v>
      </c>
      <c r="O4" s="140" t="n">
        <v>40</v>
      </c>
    </row>
    <row r="5">
      <c r="A5" s="649" t="inlineStr">
        <is>
          <t>มุ้งม้วน ลายไม้สักทอง</t>
        </is>
      </c>
      <c r="B5" s="685" t="n">
        <v>1600</v>
      </c>
      <c r="C5" s="649" t="inlineStr">
        <is>
          <t>ซื้อสำเร็จ</t>
        </is>
      </c>
      <c r="D5" s="649" t="inlineStr">
        <is>
          <t>ALL</t>
        </is>
      </c>
      <c r="E5" s="649" t="inlineStr"/>
      <c r="F5" s="686" t="n">
        <v>160</v>
      </c>
      <c r="G5" s="140" t="inlineStr">
        <is>
          <t>มุ้งม้วน ลายไม้สักทอง</t>
        </is>
      </c>
      <c r="I5" s="650" t="inlineStr">
        <is>
          <t>กันแมว</t>
        </is>
      </c>
      <c r="J5" s="691">
        <f>ROUND(K5/36.6,0)</f>
        <v/>
      </c>
      <c r="K5" s="692" t="n">
        <v>3001</v>
      </c>
      <c r="L5" s="140" t="n">
        <v>0</v>
      </c>
      <c r="M5" s="140" t="n">
        <v>0</v>
      </c>
      <c r="N5" s="140" t="n">
        <v>120</v>
      </c>
      <c r="O5" s="140" t="n">
        <v>40</v>
      </c>
    </row>
    <row r="6">
      <c r="A6" s="649" t="inlineStr">
        <is>
          <t>มุ้งม้วน ไลท์โอ๊ค</t>
        </is>
      </c>
      <c r="B6" s="685" t="n">
        <v>1700</v>
      </c>
      <c r="C6" s="649" t="inlineStr">
        <is>
          <t>ซื้อสำเร็จ</t>
        </is>
      </c>
      <c r="D6" s="649" t="inlineStr">
        <is>
          <t>ALL</t>
        </is>
      </c>
      <c r="E6" s="649" t="inlineStr"/>
      <c r="F6" s="686" t="n">
        <v>160</v>
      </c>
      <c r="G6" s="140" t="inlineStr">
        <is>
          <t>มุ้งม้วน ไลท์โอ๊ค</t>
        </is>
      </c>
      <c r="L6" s="140" t="n">
        <v>0</v>
      </c>
      <c r="M6" s="140" t="n">
        <v>0</v>
      </c>
      <c r="N6" s="140" t="n">
        <v>120</v>
      </c>
      <c r="O6" s="140" t="n">
        <v>40</v>
      </c>
    </row>
    <row r="7">
      <c r="A7" s="649" t="inlineStr">
        <is>
          <t>มุ้งจีบนิรภัย ≤3ม. ขาว/ดำ</t>
        </is>
      </c>
      <c r="B7" s="685" t="n">
        <v>2750</v>
      </c>
      <c r="C7" s="649" t="inlineStr">
        <is>
          <t>ซื้อสำเร็จ</t>
        </is>
      </c>
      <c r="D7" s="649" t="inlineStr">
        <is>
          <t>ALL</t>
        </is>
      </c>
      <c r="E7" s="649" t="inlineStr"/>
      <c r="F7" s="686" t="n">
        <v>180</v>
      </c>
      <c r="G7" s="140" t="inlineStr">
        <is>
          <t>มุ้งจีบนิรภัย ≤3ม. ขาว/ดำ</t>
        </is>
      </c>
      <c r="L7" s="140" t="n">
        <v>0</v>
      </c>
      <c r="M7" s="140" t="n">
        <v>0</v>
      </c>
      <c r="N7" s="140" t="n">
        <v>150</v>
      </c>
      <c r="O7" s="140" t="n">
        <v>45</v>
      </c>
    </row>
    <row r="8">
      <c r="A8" s="649" t="inlineStr">
        <is>
          <t>มุ้งจีบนิรภัย ≤3ม. ซาฮาร่า</t>
        </is>
      </c>
      <c r="B8" s="685" t="n">
        <v>3150</v>
      </c>
      <c r="C8" s="649" t="inlineStr">
        <is>
          <t>ซื้อสำเร็จ</t>
        </is>
      </c>
      <c r="D8" s="649" t="inlineStr">
        <is>
          <t>ALL</t>
        </is>
      </c>
      <c r="E8" s="649" t="inlineStr">
        <is>
          <t>+400</t>
        </is>
      </c>
      <c r="F8" s="686" t="n">
        <v>180</v>
      </c>
      <c r="G8" s="140" t="inlineStr">
        <is>
          <t>มุ้งจีบนิรภัย ≤3ม. ซาฮาร่า</t>
        </is>
      </c>
      <c r="L8" s="140" t="n">
        <v>0</v>
      </c>
      <c r="M8" s="140" t="n">
        <v>0</v>
      </c>
      <c r="N8" s="140" t="n">
        <v>150</v>
      </c>
      <c r="O8" s="140" t="n">
        <v>45</v>
      </c>
    </row>
    <row r="9">
      <c r="A9" s="649" t="inlineStr">
        <is>
          <t>มุ้งจีบนิรภัย ≤3ม. สักทอง</t>
        </is>
      </c>
      <c r="B9" s="685" t="n">
        <v>3250</v>
      </c>
      <c r="C9" s="649" t="inlineStr">
        <is>
          <t>ซื้อสำเร็จ</t>
        </is>
      </c>
      <c r="D9" s="649" t="inlineStr">
        <is>
          <t>ALL</t>
        </is>
      </c>
      <c r="E9" s="649" t="inlineStr">
        <is>
          <t>+500</t>
        </is>
      </c>
      <c r="F9" s="686" t="n">
        <v>180</v>
      </c>
      <c r="G9" s="140" t="inlineStr">
        <is>
          <t>มุ้งจีบนิรภัย ≤3ม. สักทอง</t>
        </is>
      </c>
      <c r="L9" s="140" t="n">
        <v>0</v>
      </c>
      <c r="M9" s="140" t="n">
        <v>0</v>
      </c>
      <c r="N9" s="140" t="n">
        <v>150</v>
      </c>
      <c r="O9" s="140" t="n">
        <v>45</v>
      </c>
    </row>
    <row r="10">
      <c r="A10" s="649" t="inlineStr">
        <is>
          <t>มุ้งจีบนิรภัย &gt;3ม. ขาว/ดำ</t>
        </is>
      </c>
      <c r="B10" s="685" t="n">
        <v>4050</v>
      </c>
      <c r="C10" s="649" t="inlineStr">
        <is>
          <t>ซื้อสำเร็จ</t>
        </is>
      </c>
      <c r="D10" s="649" t="inlineStr">
        <is>
          <t>ALL</t>
        </is>
      </c>
      <c r="E10" s="649" t="inlineStr"/>
      <c r="F10" s="686" t="n">
        <v>180</v>
      </c>
      <c r="G10" s="140" t="inlineStr">
        <is>
          <t>มุ้งจีบนิรภัย &gt;3ม. ขาว/ดำ</t>
        </is>
      </c>
      <c r="L10" s="140" t="n">
        <v>0</v>
      </c>
      <c r="M10" s="140" t="n">
        <v>0</v>
      </c>
      <c r="N10" s="140" t="n">
        <v>150</v>
      </c>
      <c r="O10" s="140" t="n">
        <v>45</v>
      </c>
    </row>
    <row r="11">
      <c r="A11" s="649" t="inlineStr">
        <is>
          <t>มุ้งจีบนิรภัย &gt;3ม. ซาฮาร่า</t>
        </is>
      </c>
      <c r="B11" s="685" t="n">
        <v>4450</v>
      </c>
      <c r="C11" s="649" t="inlineStr">
        <is>
          <t>ซื้อสำเร็จ</t>
        </is>
      </c>
      <c r="D11" s="649" t="inlineStr">
        <is>
          <t>ALL</t>
        </is>
      </c>
      <c r="E11" s="649" t="inlineStr">
        <is>
          <t>+400</t>
        </is>
      </c>
      <c r="F11" s="686" t="n">
        <v>180</v>
      </c>
      <c r="G11" s="140" t="inlineStr">
        <is>
          <t>มุ้งจีบนิรภัย &gt;3ม. ซาฮาร่า</t>
        </is>
      </c>
      <c r="L11" s="140" t="n">
        <v>0</v>
      </c>
      <c r="M11" s="140" t="n">
        <v>0</v>
      </c>
      <c r="N11" s="140" t="n">
        <v>150</v>
      </c>
      <c r="O11" s="140" t="n">
        <v>45</v>
      </c>
    </row>
    <row r="12">
      <c r="A12" s="649" t="inlineStr">
        <is>
          <t>มุ้งจีบนิรภัย &gt;3ม. สักทอง</t>
        </is>
      </c>
      <c r="B12" s="685" t="n">
        <v>4550</v>
      </c>
      <c r="C12" s="649" t="inlineStr">
        <is>
          <t>ซื้อสำเร็จ</t>
        </is>
      </c>
      <c r="D12" s="649" t="inlineStr">
        <is>
          <t>ALL</t>
        </is>
      </c>
      <c r="E12" s="649" t="inlineStr">
        <is>
          <t>+500</t>
        </is>
      </c>
      <c r="F12" s="686" t="n">
        <v>180</v>
      </c>
      <c r="G12" s="140" t="inlineStr">
        <is>
          <t>มุ้งจีบนิรภัย &gt;3ม. สักทอง</t>
        </is>
      </c>
      <c r="L12" s="140" t="n">
        <v>0</v>
      </c>
      <c r="M12" s="140" t="n">
        <v>0</v>
      </c>
      <c r="N12" s="140" t="n">
        <v>150</v>
      </c>
      <c r="O12" s="140" t="n">
        <v>45</v>
      </c>
    </row>
    <row r="13" hidden="1" s="129">
      <c r="A13" s="651" t="inlineStr">
        <is>
          <t>มุ้งเฟรมเล็ก</t>
        </is>
      </c>
      <c r="B13" s="651" t="n">
        <v>0</v>
      </c>
      <c r="C13" s="651" t="inlineStr">
        <is>
          <t>ผลิตเอง</t>
        </is>
      </c>
      <c r="D13" s="651" t="inlineStr">
        <is>
          <t>SMS|เปิด|กระทุ้ง</t>
        </is>
      </c>
      <c r="E13" s="651" t="inlineStr">
        <is>
          <t>กรอบ+ยาง+ผ้า+ค่าแรง</t>
        </is>
      </c>
      <c r="F13" s="651" t="n">
        <v>0</v>
      </c>
      <c r="G13" s="140" t="inlineStr">
        <is>
          <t>มุ้งเฟรมเล็ก</t>
        </is>
      </c>
      <c r="L13" s="654" t="n">
        <v>120</v>
      </c>
      <c r="M13" s="655" t="n">
        <v>30</v>
      </c>
      <c r="N13" s="654" t="n">
        <v>70</v>
      </c>
      <c r="O13" s="655" t="n">
        <v>18</v>
      </c>
    </row>
    <row r="14" hidden="1" s="129">
      <c r="A14" s="651" t="inlineStr">
        <is>
          <t>มุ้งเฟรมใหญ่</t>
        </is>
      </c>
      <c r="B14" s="651" t="n">
        <v>0</v>
      </c>
      <c r="C14" s="651" t="inlineStr">
        <is>
          <t>ผลิตเอง</t>
        </is>
      </c>
      <c r="D14" s="651" t="inlineStr">
        <is>
          <t>SMS|ยูโร|เปิด|กระทุ้ง</t>
        </is>
      </c>
      <c r="E14" s="651" t="inlineStr">
        <is>
          <t>โปรไฟล์บาน+ยาง+ผ้า+ค่าแรง</t>
        </is>
      </c>
      <c r="F14" s="651" t="n">
        <v>0</v>
      </c>
      <c r="G14" s="140" t="inlineStr">
        <is>
          <t>มุ้งเฟรมใหญ่</t>
        </is>
      </c>
      <c r="L14" s="654" t="n">
        <v>140</v>
      </c>
      <c r="M14" s="655" t="n">
        <v>0</v>
      </c>
      <c r="N14" s="654" t="n">
        <v>44</v>
      </c>
      <c r="O14" s="655" t="n">
        <v>0</v>
      </c>
    </row>
    <row r="15" hidden="1" s="129">
      <c r="A15" s="651" t="inlineStr">
        <is>
          <t>มุ้งนิรภัย</t>
        </is>
      </c>
      <c r="B15" s="651" t="n">
        <v>0</v>
      </c>
      <c r="C15" s="651" t="inlineStr">
        <is>
          <t>ผลิตเอง</t>
        </is>
      </c>
      <c r="D15" s="651" t="inlineStr">
        <is>
          <t>SMS|ยูโร|เปิด|กระทุ้ง</t>
        </is>
      </c>
      <c r="E15" s="651" t="inlineStr">
        <is>
          <t>โปรไฟล์บาน+ยาง+ผ้านิรภัย650+ค่าแรง</t>
        </is>
      </c>
      <c r="F15" s="651" t="n">
        <v>0</v>
      </c>
      <c r="G15" s="140" t="inlineStr">
        <is>
          <t>มุ้งนิรภัย</t>
        </is>
      </c>
      <c r="L15" s="654" t="n">
        <v>88</v>
      </c>
      <c r="M15" s="655" t="n">
        <v>0</v>
      </c>
      <c r="N15" s="654" t="n">
        <v>44</v>
      </c>
      <c r="O15" s="655" t="n">
        <v>0</v>
      </c>
    </row>
    <row r="17">
      <c r="A17" s="656" t="inlineStr">
        <is>
          <t>🟢 มุ้งผลิตเอง — แก้ค่ากรอบ(เหลือง)/ยาง/ผ้า · ราคาโชว์อัตโนมัติ</t>
        </is>
      </c>
    </row>
    <row r="18">
      <c r="A18" s="657" t="inlineStr">
        <is>
          <t>รุ่นมุ้ง</t>
        </is>
      </c>
      <c r="B18" s="657" t="inlineStr">
        <is>
          <t>ค่ากรอบ /เส้น</t>
        </is>
      </c>
      <c r="C18" s="657" t="inlineStr">
        <is>
          <t>ผ้าที่ใช้ได้ (บาท/ตร.ม.)</t>
        </is>
      </c>
      <c r="D18" s="657" t="inlineStr">
        <is>
          <t>ยางอัด /ม.</t>
        </is>
      </c>
      <c r="E18" s="657" t="inlineStr">
        <is>
          <t>ค่าแรงผลิต</t>
        </is>
      </c>
      <c r="F18" s="657" t="inlineStr">
        <is>
          <t>ค่าแรงติดตั้ง</t>
        </is>
      </c>
    </row>
    <row r="19">
      <c r="A19" s="651" t="inlineStr">
        <is>
          <t>เฟรมเล็ก</t>
        </is>
      </c>
      <c r="B19" s="687" t="n">
        <v>625</v>
      </c>
      <c r="C19" s="659">
        <f>"ไฟเบอร์ "&amp;J2&amp;"  ·  ไนล่อน "&amp;J3&amp;"  ·  สแตนเลส "&amp;J4&amp;"  ·  กันแมว "&amp;J5</f>
        <v/>
      </c>
      <c r="D19" s="687" t="n">
        <v>5</v>
      </c>
      <c r="E19" s="659">
        <f>L13&amp;IF(M13&gt;0," +"&amp;M13&amp;"/ตร.ม.","  (เหมา)")</f>
        <v/>
      </c>
      <c r="F19" s="659">
        <f>N13&amp;IF(O13&gt;0," +"&amp;O13&amp;"/ตร.ม.","  (เหมา)")</f>
        <v/>
      </c>
    </row>
    <row r="20">
      <c r="A20" s="651" t="inlineStr">
        <is>
          <t>เฟรมใหญ่</t>
        </is>
      </c>
      <c r="B20" s="693" t="inlineStr">
        <is>
          <t>ขึ้นตามเสากุญแจบาน (อัตโนมัติ)</t>
        </is>
      </c>
      <c r="C20" s="659">
        <f>"ไฟเบอร์ "&amp;J2&amp;"  ·  ไนล่อน "&amp;J3&amp;"  ·  สแตนเลส "&amp;J4&amp;"  ·  กันแมว "&amp;J5</f>
        <v/>
      </c>
      <c r="D20" s="659">
        <f>$D$19</f>
        <v/>
      </c>
      <c r="E20" s="659">
        <f>L14&amp;IF(M14&gt;0," +"&amp;M14&amp;"/ตร.ม.","  (เหมา)")</f>
        <v/>
      </c>
      <c r="F20" s="659">
        <f>N14&amp;IF(O14&gt;0," +"&amp;O14&amp;"/ตร.ม.","  (เหมา)")</f>
        <v/>
      </c>
    </row>
    <row r="21">
      <c r="A21" s="651" t="inlineStr">
        <is>
          <t>นิรภัย</t>
        </is>
      </c>
      <c r="B21" s="687" t="n">
        <v>1030</v>
      </c>
      <c r="C21" s="659" t="inlineStr">
        <is>
          <t>สแตนเลสนิรภัย 650</t>
        </is>
      </c>
      <c r="D21" s="659">
        <f>$D$19</f>
        <v/>
      </c>
      <c r="E21" s="659">
        <f>L15&amp;IF(M15&gt;0," +"&amp;M15&amp;"/ตร.ม.","  (เหมา)")</f>
        <v/>
      </c>
      <c r="F21" s="659">
        <f>N15&amp;IF(O15&gt;0," +"&amp;O15&amp;"/ตร.ม.","  (เหมา)")</f>
        <v/>
      </c>
    </row>
    <row r="23">
      <c r="A23" s="689" t="inlineStr">
        <is>
          <t>📌 แก้ราคามุ้งตรงไหน — แก้เฉพาะช่องสีเหลืองเท่านั้น</t>
        </is>
      </c>
    </row>
    <row r="24">
      <c r="A24" s="387" t="inlineStr">
        <is>
          <t>① มุ้งซื้อสำเร็จขึ้นราคา → คอลัมน์ B (ราคา/ตร.ม.) แถว 2-12</t>
        </is>
      </c>
    </row>
    <row r="25">
      <c r="A25" s="387" t="inlineStr">
        <is>
          <t>② ค่าแรงติดตั้งมุ้งสำเร็จ → คอลัมน์ F แถว 2-12</t>
        </is>
      </c>
    </row>
    <row r="26">
      <c r="A26" s="387" t="inlineStr">
        <is>
          <t>③ ราคาผ้า (ไฟเบอร์/ไนล่อน/สแตนเลส/กันแมว) → คอลัมน์ J (บล็อกส้ม)</t>
        </is>
      </c>
    </row>
    <row r="27">
      <c r="A27" s="387" t="inlineStr">
        <is>
          <t>④ ค่ากรอบมุ้งผลิตเอง → B19 (เล็ก) · B21 (นิรภัย)  [เฟรมใหญ่ใช้เสากุญแจบาน ขึ้นเองตามราคาอลู]</t>
        </is>
      </c>
    </row>
    <row r="28">
      <c r="A28" s="387" t="inlineStr">
        <is>
          <t>⑤ ยางอัด → D19</t>
        </is>
      </c>
    </row>
    <row r="29">
      <c r="A29" s="387" t="inlineStr">
        <is>
          <t>ค่าแรงผลิตมุ้ง = คอลัมน์ L-O (ซ่อนไว้ ไม่ค่อยเปลี่ยน · จะแก้ คลิกขวาหัวคอลัมน์→ยกเลิกซ่อน)</t>
        </is>
      </c>
    </row>
    <row r="31" ht="22" customHeight="1" s="129">
      <c r="A31" s="772" t="n"/>
    </row>
  </sheetData>
  <hyperlinks>
    <hyperlink ref="H1" location="'สารบัญ'!A1" display="🏠 สารบัญ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H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4" customWidth="1" style="129" min="1" max="1"/>
    <col width="24" customWidth="1" style="129" min="2" max="2"/>
    <col width="15.9" customWidth="1" style="129" min="3" max="3"/>
    <col width="13.8" customWidth="1" style="129" min="4" max="4"/>
    <col width="16.9" customWidth="1" style="129" min="5" max="5"/>
    <col width="7.5" customWidth="1" style="129" min="6" max="6"/>
    <col width="24" customWidth="1" style="129" min="7" max="7"/>
  </cols>
  <sheetData>
    <row r="1">
      <c r="A1" s="391" t="inlineStr">
        <is>
          <t>log ราคากระจก — R3.9 เดิม vs ใหม่ (ร้าน×10.764) | ช่องว่าง=ยังไม่มีข้อมูลฝั่งนั้น | สี: ส้ม=อัปเดต เขียว=เพิ่ม เทา=ขาดราคา ฟ้า=PDFเกิน แดง=เดา</t>
        </is>
      </c>
      <c r="G1" s="753" t="inlineStr">
        <is>
          <t>🏠 สารบัญ</t>
        </is>
      </c>
      <c r="H1" s="759" t="n"/>
    </row>
    <row r="2">
      <c r="A2" s="392" t="inlineStr">
        <is>
          <t>ลำดับ</t>
        </is>
      </c>
      <c r="B2" s="392" t="inlineStr">
        <is>
          <t>ชื่อรุ่น</t>
        </is>
      </c>
      <c r="C2" s="392" t="inlineStr">
        <is>
          <t>สถานะ</t>
        </is>
      </c>
      <c r="D2" s="392" t="inlineStr">
        <is>
          <t>ราคาเดิม R3.9</t>
        </is>
      </c>
      <c r="E2" s="392" t="inlineStr">
        <is>
          <t>ราคาใหม่ ×10.764</t>
        </is>
      </c>
      <c r="F2" s="392" t="inlineStr">
        <is>
          <t>Δ</t>
        </is>
      </c>
      <c r="G2" s="392" t="inlineStr">
        <is>
          <t>หมายเหตุ</t>
        </is>
      </c>
    </row>
    <row r="3">
      <c r="A3" s="395" t="n">
        <v>1</v>
      </c>
      <c r="B3" s="393" t="inlineStr">
        <is>
          <t>เขียว 8มม.</t>
        </is>
      </c>
      <c r="C3" s="394" t="inlineStr">
        <is>
          <t>อัปเดต</t>
        </is>
      </c>
      <c r="D3" s="419" t="n">
        <v>646</v>
      </c>
      <c r="E3" s="419" t="n">
        <v>592</v>
      </c>
      <c r="F3" s="399" t="inlineStr">
        <is>
          <t>-54</t>
        </is>
      </c>
      <c r="G3" s="393" t="inlineStr">
        <is>
          <t>เขียว8</t>
        </is>
      </c>
    </row>
    <row r="4">
      <c r="A4" s="395" t="n">
        <v>2</v>
      </c>
      <c r="B4" s="393" t="inlineStr">
        <is>
          <t>เขียว 10มม.</t>
        </is>
      </c>
      <c r="C4" s="394" t="inlineStr">
        <is>
          <t>อัปเดต</t>
        </is>
      </c>
      <c r="D4" s="419" t="n">
        <v>754</v>
      </c>
      <c r="E4" s="419" t="n">
        <v>700</v>
      </c>
      <c r="F4" s="399" t="inlineStr">
        <is>
          <t>-54</t>
        </is>
      </c>
      <c r="G4" s="393" t="inlineStr">
        <is>
          <t>เขียว10</t>
        </is>
      </c>
    </row>
    <row r="5">
      <c r="A5" s="395" t="n">
        <v>3</v>
      </c>
      <c r="B5" s="393" t="inlineStr">
        <is>
          <t>ยูโรเกรย์ 10มม.</t>
        </is>
      </c>
      <c r="C5" s="394" t="inlineStr">
        <is>
          <t>อัปเดต</t>
        </is>
      </c>
      <c r="D5" s="419" t="n">
        <v>1023</v>
      </c>
      <c r="E5" s="419" t="n">
        <v>807</v>
      </c>
      <c r="F5" s="399" t="inlineStr">
        <is>
          <t>-216</t>
        </is>
      </c>
      <c r="G5" s="393" t="inlineStr">
        <is>
          <t>75</t>
        </is>
      </c>
    </row>
    <row r="6">
      <c r="A6" s="395" t="n">
        <v>4</v>
      </c>
      <c r="B6" s="393" t="inlineStr">
        <is>
          <t>ยูโรบรอนซ์ 6มม.</t>
        </is>
      </c>
      <c r="C6" s="394" t="inlineStr">
        <is>
          <t>อัปเดต</t>
        </is>
      </c>
      <c r="D6" s="419" t="n">
        <v>571</v>
      </c>
      <c r="E6" s="419" t="n">
        <v>570</v>
      </c>
      <c r="F6" s="399" t="inlineStr">
        <is>
          <t>-1</t>
        </is>
      </c>
      <c r="G6" s="393" t="inlineStr">
        <is>
          <t>53</t>
        </is>
      </c>
    </row>
    <row r="7">
      <c r="A7" s="395" t="n">
        <v>5</v>
      </c>
      <c r="B7" s="393" t="inlineStr">
        <is>
          <t>เทมเปอร์ 8มม.(เขียว)</t>
        </is>
      </c>
      <c r="C7" s="394" t="inlineStr">
        <is>
          <t>อัปเดต</t>
        </is>
      </c>
      <c r="D7" s="419" t="n">
        <v>820</v>
      </c>
      <c r="E7" s="419" t="n">
        <v>716</v>
      </c>
      <c r="F7" s="399" t="inlineStr">
        <is>
          <t>-104</t>
        </is>
      </c>
      <c r="G7" s="393" t="inlineStr">
        <is>
          <t>66.5</t>
        </is>
      </c>
    </row>
    <row r="8">
      <c r="A8" s="395" t="n">
        <v>6</v>
      </c>
      <c r="B8" s="393" t="inlineStr">
        <is>
          <t>เทมเปอร์ 10มม.</t>
        </is>
      </c>
      <c r="C8" s="394" t="inlineStr">
        <is>
          <t>อัปเดต</t>
        </is>
      </c>
      <c r="D8" s="419" t="n">
        <v>1023</v>
      </c>
      <c r="E8" s="419" t="n">
        <v>848</v>
      </c>
      <c r="F8" s="399" t="inlineStr">
        <is>
          <t>-175</t>
        </is>
      </c>
      <c r="G8" s="393" t="inlineStr">
        <is>
          <t>78.75</t>
        </is>
      </c>
    </row>
    <row r="9">
      <c r="A9" s="395" t="n">
        <v>7</v>
      </c>
      <c r="B9" s="393" t="inlineStr">
        <is>
          <t>เทมเปอร์ 12มม.</t>
        </is>
      </c>
      <c r="C9" s="394" t="inlineStr">
        <is>
          <t>อัปเดต</t>
        </is>
      </c>
      <c r="D9" s="419" t="n">
        <v>1159</v>
      </c>
      <c r="E9" s="419" t="n">
        <v>942</v>
      </c>
      <c r="F9" s="399" t="inlineStr">
        <is>
          <t>-217</t>
        </is>
      </c>
      <c r="G9" s="393" t="inlineStr">
        <is>
          <t>87.5</t>
        </is>
      </c>
    </row>
    <row r="10">
      <c r="A10" s="395" t="n">
        <v>8</v>
      </c>
      <c r="B10" s="393" t="inlineStr">
        <is>
          <t>ชา/ฝ้า 5-6มม.</t>
        </is>
      </c>
      <c r="C10" s="394" t="inlineStr">
        <is>
          <t>อัปเดต</t>
        </is>
      </c>
      <c r="D10" s="419" t="n">
        <v>400</v>
      </c>
      <c r="E10" s="419" t="n">
        <v>301</v>
      </c>
      <c r="F10" s="399" t="inlineStr">
        <is>
          <t>-99</t>
        </is>
      </c>
      <c r="G10" s="393" t="inlineStr">
        <is>
          <t>28</t>
        </is>
      </c>
    </row>
    <row r="11">
      <c r="A11" s="395" t="n">
        <v>9</v>
      </c>
      <c r="B11" s="393" t="inlineStr">
        <is>
          <t>เงา 5มม.</t>
        </is>
      </c>
      <c r="C11" s="394" t="inlineStr">
        <is>
          <t>อัปเดต</t>
        </is>
      </c>
      <c r="D11" s="419" t="n">
        <v>600</v>
      </c>
      <c r="E11" s="419" t="n">
        <v>398</v>
      </c>
      <c r="F11" s="399" t="inlineStr">
        <is>
          <t>-202</t>
        </is>
      </c>
      <c r="G11" s="393" t="inlineStr">
        <is>
          <t>37</t>
        </is>
      </c>
    </row>
    <row r="12">
      <c r="A12" s="395" t="n">
        <v>10</v>
      </c>
      <c r="B12" s="393" t="inlineStr">
        <is>
          <t>ลอนแก้ว 5มม.</t>
        </is>
      </c>
      <c r="C12" s="394" t="inlineStr">
        <is>
          <t>อัปเดต</t>
        </is>
      </c>
      <c r="D12" s="419" t="n">
        <v>700</v>
      </c>
      <c r="E12" s="419" t="n">
        <v>646</v>
      </c>
      <c r="F12" s="399" t="inlineStr">
        <is>
          <t>-54</t>
        </is>
      </c>
      <c r="G12" s="393" t="inlineStr">
        <is>
          <t>60</t>
        </is>
      </c>
    </row>
    <row r="13">
      <c r="A13" s="395" t="n">
        <v>11</v>
      </c>
      <c r="B13" s="393" t="inlineStr">
        <is>
          <t>เงาทอง</t>
        </is>
      </c>
      <c r="C13" s="394" t="inlineStr">
        <is>
          <t>อัปเดต</t>
        </is>
      </c>
      <c r="D13" s="419" t="n">
        <v>700</v>
      </c>
      <c r="E13" s="419" t="n">
        <v>872</v>
      </c>
      <c r="F13" s="399" t="inlineStr">
        <is>
          <t>+172</t>
        </is>
      </c>
      <c r="G13" s="393" t="inlineStr">
        <is>
          <t>81 ขึ้น!</t>
        </is>
      </c>
    </row>
    <row r="14">
      <c r="A14" s="395" t="n">
        <v>12</v>
      </c>
      <c r="B14" s="393" t="inlineStr">
        <is>
          <t>ลามิเนต 4+4 0.38</t>
        </is>
      </c>
      <c r="C14" s="394" t="inlineStr">
        <is>
          <t>อัปเดต</t>
        </is>
      </c>
      <c r="D14" s="419" t="n">
        <v>1065</v>
      </c>
      <c r="E14" s="419" t="n">
        <v>883</v>
      </c>
      <c r="F14" s="399" t="inlineStr">
        <is>
          <t>-182</t>
        </is>
      </c>
      <c r="G14" s="393" t="inlineStr">
        <is>
          <t>82</t>
        </is>
      </c>
    </row>
    <row r="15">
      <c r="A15" s="395" t="n">
        <v>13</v>
      </c>
      <c r="B15" s="393" t="inlineStr">
        <is>
          <t>ลามิเนต 5+5 0.38</t>
        </is>
      </c>
      <c r="C15" s="394" t="inlineStr">
        <is>
          <t>อัปเดต</t>
        </is>
      </c>
      <c r="D15" s="419" t="n">
        <v>1270</v>
      </c>
      <c r="E15" s="419" t="n">
        <v>861</v>
      </c>
      <c r="F15" s="399" t="inlineStr">
        <is>
          <t>-409</t>
        </is>
      </c>
      <c r="G15" s="393" t="inlineStr">
        <is>
          <t>80</t>
        </is>
      </c>
    </row>
    <row r="16">
      <c r="A16" s="395" t="n">
        <v>14</v>
      </c>
      <c r="B16" s="393" t="inlineStr">
        <is>
          <t>ลามิเนต 6+6 0.38</t>
        </is>
      </c>
      <c r="C16" s="394" t="inlineStr">
        <is>
          <t>อัปเดต</t>
        </is>
      </c>
      <c r="D16" s="419" t="n">
        <v>1400</v>
      </c>
      <c r="E16" s="419" t="n">
        <v>893</v>
      </c>
      <c r="F16" s="399" t="inlineStr">
        <is>
          <t>-507</t>
        </is>
      </c>
      <c r="G16" s="393" t="inlineStr">
        <is>
          <t>83</t>
        </is>
      </c>
    </row>
    <row r="17">
      <c r="A17" s="395" t="n">
        <v>15</v>
      </c>
      <c r="B17" s="393" t="inlineStr">
        <is>
          <t>ลามิเนตใส 4+4 ฟิล์มสี</t>
        </is>
      </c>
      <c r="C17" s="394" t="inlineStr">
        <is>
          <t>อัปเดต</t>
        </is>
      </c>
      <c r="D17" s="419" t="n">
        <v>2636</v>
      </c>
      <c r="E17" s="419" t="n">
        <v>1329</v>
      </c>
      <c r="F17" s="399" t="inlineStr">
        <is>
          <t>-1307</t>
        </is>
      </c>
      <c r="G17" s="393" t="inlineStr">
        <is>
          <t>123.5</t>
        </is>
      </c>
    </row>
    <row r="18">
      <c r="A18" s="395" t="n">
        <v>16</v>
      </c>
      <c r="B18" s="393" t="inlineStr">
        <is>
          <t>SolarMax 4+4 0.76</t>
        </is>
      </c>
      <c r="C18" s="394" t="inlineStr">
        <is>
          <t>อัปเดต</t>
        </is>
      </c>
      <c r="D18" s="419" t="n">
        <v>2679</v>
      </c>
      <c r="E18" s="419" t="n">
        <v>1766</v>
      </c>
      <c r="F18" s="399" t="inlineStr">
        <is>
          <t>-913</t>
        </is>
      </c>
      <c r="G18" s="393" t="inlineStr">
        <is>
          <t>164</t>
        </is>
      </c>
    </row>
    <row r="19">
      <c r="A19" s="395" t="n">
        <v>17</v>
      </c>
      <c r="B19" s="393" t="inlineStr">
        <is>
          <t>เขียว 6มม.</t>
        </is>
      </c>
      <c r="C19" s="396" t="inlineStr">
        <is>
          <t>✓ มีราคา</t>
        </is>
      </c>
      <c r="D19" s="443" t="n">
        <v>264</v>
      </c>
      <c r="E19" s="443" t="n">
        <v>264</v>
      </c>
      <c r="F19" s="399" t="inlineStr">
        <is>
          <t>+0</t>
        </is>
      </c>
      <c r="G19" s="393" t="inlineStr">
        <is>
          <t>ใบราคาร้าน (ฉิน/BGF)</t>
        </is>
      </c>
    </row>
    <row r="20">
      <c r="A20" s="395" t="n">
        <v>18</v>
      </c>
      <c r="B20" s="393" t="inlineStr">
        <is>
          <t>ยูโรเกรย์ 6มม.</t>
        </is>
      </c>
      <c r="C20" s="396" t="inlineStr">
        <is>
          <t>✓ มีราคา</t>
        </is>
      </c>
      <c r="D20" s="443" t="n">
        <v>517</v>
      </c>
      <c r="E20" s="443" t="n">
        <v>517</v>
      </c>
      <c r="F20" s="399" t="inlineStr">
        <is>
          <t>+0</t>
        </is>
      </c>
      <c r="G20" s="393" t="inlineStr">
        <is>
          <t>ใบราคาร้าน (ฉิน/BGF)</t>
        </is>
      </c>
    </row>
    <row r="21">
      <c r="A21" s="395" t="n">
        <v>19</v>
      </c>
      <c r="B21" s="393" t="inlineStr">
        <is>
          <t>ยูโรเกรย์ 8มม.</t>
        </is>
      </c>
      <c r="C21" s="395" t="inlineStr">
        <is>
          <t>เท่าเดิม</t>
        </is>
      </c>
      <c r="D21" s="399" t="n">
        <v>915</v>
      </c>
      <c r="E21" s="399" t="n">
        <v>915</v>
      </c>
      <c r="F21" s="399" t="inlineStr">
        <is>
          <t>+0</t>
        </is>
      </c>
      <c r="G21" s="393" t="inlineStr">
        <is>
          <t>เท่าเดิม</t>
        </is>
      </c>
    </row>
    <row r="22">
      <c r="A22" s="395" t="n">
        <v>20</v>
      </c>
      <c r="B22" s="393" t="inlineStr">
        <is>
          <t>เทมเปอร์ 6มม.</t>
        </is>
      </c>
      <c r="C22" s="396" t="inlineStr">
        <is>
          <t>✓ มีราคา</t>
        </is>
      </c>
      <c r="D22" s="443" t="n">
        <v>439</v>
      </c>
      <c r="E22" s="443" t="n">
        <v>403</v>
      </c>
      <c r="F22" s="399" t="inlineStr">
        <is>
          <t>+0</t>
        </is>
      </c>
      <c r="G22" s="393" t="inlineStr">
        <is>
          <t>ใบราคาร้าน (ฉิน/BGF)</t>
        </is>
      </c>
    </row>
    <row r="23">
      <c r="A23" s="395" t="n">
        <v>21</v>
      </c>
      <c r="B23" s="393" t="inlineStr">
        <is>
          <t>ใส 6มม.</t>
        </is>
      </c>
      <c r="C23" s="396" t="inlineStr">
        <is>
          <t>เพิ่ม(ใส)</t>
        </is>
      </c>
      <c r="D23" s="443" t="n"/>
      <c r="E23" s="443" t="n">
        <v>242</v>
      </c>
      <c r="F23" s="399" t="n"/>
      <c r="G23" s="393" t="inlineStr">
        <is>
          <t>แยกใส</t>
        </is>
      </c>
    </row>
    <row r="24">
      <c r="A24" s="395" t="n">
        <v>22</v>
      </c>
      <c r="B24" s="393" t="inlineStr">
        <is>
          <t>ใส 8มม.</t>
        </is>
      </c>
      <c r="C24" s="396" t="inlineStr">
        <is>
          <t>เพิ่ม(ใส)</t>
        </is>
      </c>
      <c r="D24" s="443" t="n"/>
      <c r="E24" s="443" t="n">
        <v>409</v>
      </c>
      <c r="F24" s="399" t="n"/>
      <c r="G24" s="393" t="inlineStr"/>
    </row>
    <row r="25">
      <c r="A25" s="395" t="n">
        <v>23</v>
      </c>
      <c r="B25" s="393" t="inlineStr">
        <is>
          <t>ใส 10มม.</t>
        </is>
      </c>
      <c r="C25" s="396" t="inlineStr">
        <is>
          <t>เพิ่ม(ใส)</t>
        </is>
      </c>
      <c r="D25" s="443" t="n"/>
      <c r="E25" s="443" t="n">
        <v>517</v>
      </c>
      <c r="F25" s="399" t="n"/>
      <c r="G25" s="393" t="inlineStr"/>
    </row>
    <row r="26">
      <c r="A26" s="395" t="n">
        <v>24</v>
      </c>
      <c r="B26" s="393" t="inlineStr">
        <is>
          <t>เทมเปอร์ใส 6มม.</t>
        </is>
      </c>
      <c r="C26" s="396" t="inlineStr">
        <is>
          <t>เพิ่ม(ใส)</t>
        </is>
      </c>
      <c r="D26" s="443" t="n"/>
      <c r="E26" s="443" t="n">
        <v>403</v>
      </c>
      <c r="F26" s="399" t="n"/>
      <c r="G26" s="393" t="inlineStr"/>
    </row>
    <row r="27">
      <c r="A27" s="395" t="n">
        <v>25</v>
      </c>
      <c r="B27" s="393" t="inlineStr">
        <is>
          <t>เทมเปอร์ใส 8มม.</t>
        </is>
      </c>
      <c r="C27" s="396" t="inlineStr">
        <is>
          <t>เพิ่ม(ใส)</t>
        </is>
      </c>
      <c r="D27" s="443" t="n"/>
      <c r="E27" s="443" t="n">
        <v>622</v>
      </c>
      <c r="F27" s="399" t="n"/>
      <c r="G27" s="393" t="inlineStr"/>
    </row>
    <row r="28">
      <c r="A28" s="395" t="n">
        <v>26</v>
      </c>
      <c r="B28" s="393" t="inlineStr">
        <is>
          <t>เทมเปอร์ใส 10มม.</t>
        </is>
      </c>
      <c r="C28" s="396" t="inlineStr">
        <is>
          <t>เพิ่ม(ใส)</t>
        </is>
      </c>
      <c r="D28" s="443" t="n"/>
      <c r="E28" s="443" t="n">
        <v>695</v>
      </c>
      <c r="F28" s="399" t="n"/>
      <c r="G28" s="393" t="inlineStr"/>
    </row>
    <row r="29">
      <c r="A29" s="395" t="n">
        <v>27</v>
      </c>
      <c r="B29" s="393" t="inlineStr">
        <is>
          <t>เทมเปอร์ใส 12มม.</t>
        </is>
      </c>
      <c r="C29" s="396" t="inlineStr">
        <is>
          <t>เพิ่ม(ใส)</t>
        </is>
      </c>
      <c r="D29" s="443" t="n"/>
      <c r="E29" s="443" t="n">
        <v>787</v>
      </c>
      <c r="F29" s="399" t="n"/>
      <c r="G29" s="393" t="inlineStr"/>
    </row>
    <row r="30">
      <c r="A30" s="395" t="n">
        <v>28</v>
      </c>
      <c r="B30" s="393" t="inlineStr">
        <is>
          <t>ลามิเนตกันเสียง 0.76</t>
        </is>
      </c>
      <c r="C30" s="444" t="inlineStr">
        <is>
          <t>เดา⚠</t>
        </is>
      </c>
      <c r="D30" s="445" t="n">
        <v>3314</v>
      </c>
      <c r="E30" s="445" t="n">
        <v>969</v>
      </c>
      <c r="F30" s="399" t="inlineStr">
        <is>
          <t>-2345</t>
        </is>
      </c>
      <c r="G30" s="393" t="inlineStr">
        <is>
          <t>เดา⚠</t>
        </is>
      </c>
    </row>
    <row r="31">
      <c r="A31" s="395" t="n">
        <v>29</v>
      </c>
      <c r="B31" s="393" t="inlineStr">
        <is>
          <t>ลามิเนตกันขโมย STG 1.52</t>
        </is>
      </c>
      <c r="C31" s="444" t="inlineStr">
        <is>
          <t>เดา⚠</t>
        </is>
      </c>
      <c r="D31" s="445" t="n">
        <v>4412</v>
      </c>
      <c r="E31" s="445" t="n">
        <v>1432</v>
      </c>
      <c r="F31" s="399" t="inlineStr">
        <is>
          <t>-2980</t>
        </is>
      </c>
      <c r="G31" s="393" t="inlineStr">
        <is>
          <t>เดา⚠</t>
        </is>
      </c>
    </row>
    <row r="32">
      <c r="A32" s="395" t="n">
        <v>30</v>
      </c>
      <c r="B32" s="393" t="inlineStr">
        <is>
          <t>เคลือบขาว 6มม.</t>
        </is>
      </c>
      <c r="C32" s="446" t="inlineStr">
        <is>
          <t>อัปเดต</t>
        </is>
      </c>
      <c r="D32" s="447" t="n">
        <v>915</v>
      </c>
      <c r="E32" s="447" t="n">
        <v>1023</v>
      </c>
      <c r="F32" s="399" t="n"/>
      <c r="G32" s="393" t="inlineStr">
        <is>
          <t>ร้านแจ้ง 95/ฟุต</t>
        </is>
      </c>
    </row>
    <row r="33">
      <c r="A33" s="395" t="n">
        <v>31</v>
      </c>
      <c r="B33" s="393" t="inlineStr">
        <is>
          <t>ยูโรบรอนซ์ 10มม.</t>
        </is>
      </c>
      <c r="C33" s="446" t="inlineStr">
        <is>
          <t>✂ ตัดออก (ไม่ใช้)</t>
        </is>
      </c>
      <c r="D33" s="447" t="n">
        <v>3917</v>
      </c>
      <c r="E33" s="447" t="n"/>
      <c r="F33" s="399" t="n"/>
      <c r="G33" s="393" t="inlineStr">
        <is>
          <t>PDF ไม่มี-รอเติม</t>
        </is>
      </c>
    </row>
    <row r="34">
      <c r="A34" s="395" t="n">
        <v>32</v>
      </c>
      <c r="B34" s="393" t="inlineStr">
        <is>
          <t>reflective เทา 6มม.</t>
        </is>
      </c>
      <c r="C34" s="446" t="inlineStr">
        <is>
          <t>อัปเดต</t>
        </is>
      </c>
      <c r="D34" s="447" t="n">
        <v>1216</v>
      </c>
      <c r="E34" s="447" t="n">
        <v>1184</v>
      </c>
      <c r="F34" s="399" t="n"/>
      <c r="G34" s="393" t="inlineStr">
        <is>
          <t>CH262853 17/6/69</t>
        </is>
      </c>
    </row>
    <row r="35">
      <c r="A35" s="395" t="n">
        <v>33</v>
      </c>
      <c r="B35" s="393" t="inlineStr">
        <is>
          <t>reflective เขียว 6มม.</t>
        </is>
      </c>
      <c r="C35" s="446" t="inlineStr">
        <is>
          <t>อัปเดต</t>
        </is>
      </c>
      <c r="D35" s="447" t="n">
        <v>1388</v>
      </c>
      <c r="E35" s="447" t="n">
        <v>1292</v>
      </c>
      <c r="F35" s="399" t="n"/>
      <c r="G35" s="393" t="inlineStr">
        <is>
          <t>CH262853 17/6/69</t>
        </is>
      </c>
    </row>
    <row r="36">
      <c r="A36" s="395" t="n">
        <v>34</v>
      </c>
      <c r="B36" s="393" t="inlineStr">
        <is>
          <t>reflective ฟ้า/เทา 6มม.</t>
        </is>
      </c>
      <c r="C36" s="446" t="inlineStr">
        <is>
          <t>อัปเดต</t>
        </is>
      </c>
      <c r="D36" s="447" t="n">
        <v>1517</v>
      </c>
      <c r="E36" s="447" t="n">
        <v>1399</v>
      </c>
      <c r="F36" s="399" t="n"/>
      <c r="G36" s="393" t="inlineStr">
        <is>
          <t>CH262853 17/6/69</t>
        </is>
      </c>
    </row>
    <row r="37">
      <c r="A37" s="395" t="n">
        <v>35</v>
      </c>
      <c r="B37" s="393" t="inlineStr">
        <is>
          <t>เทมเปอร์ 15มม.</t>
        </is>
      </c>
      <c r="C37" s="396" t="inlineStr">
        <is>
          <t>อัปเดต</t>
        </is>
      </c>
      <c r="D37" s="443" t="n">
        <v>3121</v>
      </c>
      <c r="E37" s="443" t="n">
        <v>3122</v>
      </c>
      <c r="F37" s="443" t="n">
        <v>-42</v>
      </c>
      <c r="G37" s="694" t="inlineStr">
        <is>
          <t>CH262853 17/6/69</t>
        </is>
      </c>
    </row>
    <row r="38">
      <c r="A38" s="395" t="n">
        <v>36</v>
      </c>
      <c r="B38" s="393" t="inlineStr">
        <is>
          <t>เทมเปอร์ใสพิเศษ 6มม.</t>
        </is>
      </c>
      <c r="C38" s="396" t="inlineStr">
        <is>
          <t>อัปเดต</t>
        </is>
      </c>
      <c r="D38" s="443" t="n">
        <v>1432</v>
      </c>
      <c r="E38" s="443" t="n">
        <v>1432</v>
      </c>
      <c r="F38" s="443" t="n">
        <v>178</v>
      </c>
      <c r="G38" s="694" t="inlineStr">
        <is>
          <t>CH262853 17/6/69</t>
        </is>
      </c>
    </row>
    <row r="39">
      <c r="A39" s="395" t="n">
        <v>37</v>
      </c>
      <c r="B39" s="393" t="inlineStr">
        <is>
          <t>เทมเปอร์ใสพิเศษ 8มม.</t>
        </is>
      </c>
      <c r="C39" s="396" t="inlineStr">
        <is>
          <t>อัปเดต</t>
        </is>
      </c>
      <c r="D39" s="443" t="n">
        <v>2200</v>
      </c>
      <c r="E39" s="443" t="n">
        <v>2336</v>
      </c>
      <c r="F39" s="443" t="n">
        <v>227</v>
      </c>
      <c r="G39" s="694" t="inlineStr">
        <is>
          <t>CH262853 17/6/69</t>
        </is>
      </c>
    </row>
    <row r="40">
      <c r="A40" s="395" t="n">
        <v>38</v>
      </c>
      <c r="B40" s="393" t="inlineStr">
        <is>
          <t>เทมเปอร์ใสพิเศษ 10มม.</t>
        </is>
      </c>
      <c r="C40" s="396" t="inlineStr">
        <is>
          <t>อัปเดต</t>
        </is>
      </c>
      <c r="D40" s="443" t="n">
        <v>3497</v>
      </c>
      <c r="E40" s="443" t="n">
        <v>3466</v>
      </c>
      <c r="F40" s="443" t="n">
        <v>-774</v>
      </c>
      <c r="G40" s="694" t="inlineStr">
        <is>
          <t>CH262853 17/6/69</t>
        </is>
      </c>
    </row>
    <row r="41">
      <c r="A41" s="395" t="n">
        <v>39</v>
      </c>
      <c r="B41" s="393" t="inlineStr">
        <is>
          <t>เทมเปอร์ฝ้า 6มม.</t>
        </is>
      </c>
      <c r="C41" s="396" t="inlineStr">
        <is>
          <t>อัปเดต</t>
        </is>
      </c>
      <c r="D41" s="443" t="n">
        <v>1076</v>
      </c>
      <c r="E41" s="443" t="n">
        <v>805</v>
      </c>
      <c r="F41" s="443" t="n">
        <v>-271</v>
      </c>
      <c r="G41" s="694" t="inlineStr">
        <is>
          <t>ร้านส่ง 74.8/ฟุต</t>
        </is>
      </c>
    </row>
    <row r="42">
      <c r="A42" s="395" t="n">
        <v>40</v>
      </c>
      <c r="B42" s="393" t="inlineStr">
        <is>
          <t>เทมเปอร์ฝ้า 8มม.</t>
        </is>
      </c>
      <c r="C42" s="396" t="inlineStr">
        <is>
          <t>อัปเดต</t>
        </is>
      </c>
      <c r="D42" s="443" t="n">
        <v>1937</v>
      </c>
      <c r="E42" s="443" t="n">
        <v>1113</v>
      </c>
      <c r="F42" s="443" t="n">
        <v>-824</v>
      </c>
      <c r="G42" s="694" t="inlineStr">
        <is>
          <t>ร้านส่ง 103.4/ฟุต</t>
        </is>
      </c>
    </row>
    <row r="43">
      <c r="A43" s="395" t="n">
        <v>41</v>
      </c>
      <c r="B43" s="393" t="inlineStr">
        <is>
          <t>เทมเปอร์ยูโรเกรย์ 4มม.</t>
        </is>
      </c>
      <c r="C43" s="396" t="inlineStr">
        <is>
          <t>อัปเดต</t>
        </is>
      </c>
      <c r="D43" s="443" t="n">
        <v>824</v>
      </c>
      <c r="E43" s="443" t="n">
        <v>646</v>
      </c>
      <c r="F43" s="443" t="n">
        <v>-178</v>
      </c>
      <c r="G43" s="694" t="inlineStr">
        <is>
          <t>CH262853 17/6/69</t>
        </is>
      </c>
    </row>
    <row r="44">
      <c r="A44" s="395" t="n">
        <v>42</v>
      </c>
      <c r="B44" s="393" t="inlineStr">
        <is>
          <t>เทมเปอร์ยูโรเกรย์ 5มม.</t>
        </is>
      </c>
      <c r="C44" s="396" t="inlineStr">
        <is>
          <t>อัปเดต</t>
        </is>
      </c>
      <c r="D44" s="443" t="n">
        <v>1006</v>
      </c>
      <c r="E44" s="443" t="n">
        <v>678</v>
      </c>
      <c r="F44" s="443" t="n">
        <v>-328</v>
      </c>
      <c r="G44" s="694" t="inlineStr">
        <is>
          <t>CH262853 17/6/69</t>
        </is>
      </c>
    </row>
    <row r="45">
      <c r="A45" s="395" t="n">
        <v>43</v>
      </c>
      <c r="B45" s="393" t="inlineStr">
        <is>
          <t>เทมเปอร์ยูโรเกรย์ 6มม.</t>
        </is>
      </c>
      <c r="C45" s="396" t="inlineStr">
        <is>
          <t>อัปเดต</t>
        </is>
      </c>
      <c r="D45" s="443" t="n">
        <v>1033</v>
      </c>
      <c r="E45" s="443" t="n">
        <v>732</v>
      </c>
      <c r="F45" s="443" t="n">
        <v>-301</v>
      </c>
      <c r="G45" s="694" t="inlineStr">
        <is>
          <t>CH262853 17/6/69</t>
        </is>
      </c>
    </row>
    <row r="46">
      <c r="A46" s="395" t="n">
        <v>44</v>
      </c>
      <c r="B46" s="393" t="inlineStr">
        <is>
          <t>เทมเปอร์ยูโรเกรย์ 10มม.</t>
        </is>
      </c>
      <c r="C46" s="396" t="inlineStr">
        <is>
          <t>อัปเดต</t>
        </is>
      </c>
      <c r="D46" s="443" t="n">
        <v>2637</v>
      </c>
      <c r="E46" s="443" t="n">
        <v>1423</v>
      </c>
      <c r="F46" s="443" t="n">
        <v>-1214</v>
      </c>
      <c r="G46" s="694" t="inlineStr">
        <is>
          <t>CH262853 17/6/69</t>
        </is>
      </c>
    </row>
    <row r="47">
      <c r="A47" s="395" t="n">
        <v>45</v>
      </c>
      <c r="B47" s="393" t="inlineStr">
        <is>
          <t>เทมเปอร์ยูโรบรอนซ์ 5มม.</t>
        </is>
      </c>
      <c r="C47" s="396" t="inlineStr">
        <is>
          <t>อัปเดต</t>
        </is>
      </c>
      <c r="D47" s="443" t="n">
        <v>1184</v>
      </c>
      <c r="E47" s="443" t="n">
        <v>732</v>
      </c>
      <c r="F47" s="443" t="n">
        <v>-452</v>
      </c>
      <c r="G47" s="694" t="inlineStr">
        <is>
          <t>CH262853 17/6/69</t>
        </is>
      </c>
    </row>
    <row r="48">
      <c r="A48" s="395" t="n">
        <v>46</v>
      </c>
      <c r="B48" s="393" t="inlineStr">
        <is>
          <t>เทมเปอร์ยูโรบรอนซ์ 6มม.</t>
        </is>
      </c>
      <c r="C48" s="396" t="inlineStr">
        <is>
          <t>อัปเดต</t>
        </is>
      </c>
      <c r="D48" s="443" t="n">
        <v>1291</v>
      </c>
      <c r="E48" s="443" t="n">
        <v>786</v>
      </c>
      <c r="F48" s="443" t="n">
        <v>-505</v>
      </c>
      <c r="G48" s="694" t="inlineStr">
        <is>
          <t>CH262853 17/6/69</t>
        </is>
      </c>
    </row>
    <row r="49">
      <c r="A49" s="395" t="n">
        <v>47</v>
      </c>
      <c r="B49" s="393" t="inlineStr">
        <is>
          <t>เทมเปอร์ยูโรบรอนซ์ 10มม.</t>
        </is>
      </c>
      <c r="C49" s="396" t="inlineStr">
        <is>
          <t>อัปเดต</t>
        </is>
      </c>
      <c r="D49" s="443" t="n">
        <v>4670</v>
      </c>
      <c r="E49" s="443" t="n">
        <v>1480</v>
      </c>
      <c r="F49" s="443" t="n">
        <v>-3190</v>
      </c>
      <c r="G49" s="694" t="inlineStr">
        <is>
          <t>ร้านส่ง 137.5/ฟุต</t>
        </is>
      </c>
    </row>
    <row r="50">
      <c r="A50" s="395" t="n">
        <v>48</v>
      </c>
      <c r="B50" s="393" t="inlineStr">
        <is>
          <t>เทมเปอร์ reflective เทา 6มม.</t>
        </is>
      </c>
      <c r="C50" s="396" t="inlineStr">
        <is>
          <t>✓ มีราคา</t>
        </is>
      </c>
      <c r="D50" s="443" t="n">
        <v>1937</v>
      </c>
      <c r="E50" s="443" t="n">
        <v>2422</v>
      </c>
      <c r="F50" s="399" t="n"/>
      <c r="G50" s="393" t="inlineStr">
        <is>
          <t>ใบราคาร้าน (TE/CS)</t>
        </is>
      </c>
    </row>
    <row r="51">
      <c r="A51" s="395" t="n">
        <v>49</v>
      </c>
      <c r="B51" s="393" t="inlineStr">
        <is>
          <t>เทมเปอร์ reflective เขียว 6มม.</t>
        </is>
      </c>
      <c r="C51" s="396" t="inlineStr">
        <is>
          <t>✓ มีราคา</t>
        </is>
      </c>
      <c r="D51" s="443" t="n">
        <v>2196</v>
      </c>
      <c r="E51" s="443" t="n">
        <v>2745</v>
      </c>
      <c r="F51" s="399" t="n"/>
      <c r="G51" s="393" t="inlineStr">
        <is>
          <t>ใบราคาร้าน (TE/CS)</t>
        </is>
      </c>
    </row>
    <row r="52">
      <c r="A52" s="395" t="n">
        <v>50</v>
      </c>
      <c r="B52" s="393" t="inlineStr">
        <is>
          <t>เทมเปอร์ reflective ฟ้า 6มม.</t>
        </is>
      </c>
      <c r="C52" s="396" t="inlineStr">
        <is>
          <t>✓ มีราคา</t>
        </is>
      </c>
      <c r="D52" s="443" t="n">
        <v>2368</v>
      </c>
      <c r="E52" s="443" t="n">
        <v>2960</v>
      </c>
      <c r="F52" s="399" t="n"/>
      <c r="G52" s="393" t="inlineStr">
        <is>
          <t>ใบราคาร้าน (TE/CS)</t>
        </is>
      </c>
    </row>
    <row r="53">
      <c r="A53" s="395" t="n">
        <v>51</v>
      </c>
      <c r="B53" s="393" t="inlineStr">
        <is>
          <t>เทมเปอร์สีชาดำ 6มม.</t>
        </is>
      </c>
      <c r="C53" s="396" t="inlineStr">
        <is>
          <t>อัปเดต</t>
        </is>
      </c>
      <c r="D53" s="443" t="n">
        <v>1100</v>
      </c>
      <c r="E53" s="443" t="n">
        <v>700</v>
      </c>
      <c r="F53" s="443" t="n">
        <v>-400</v>
      </c>
      <c r="G53" s="694" t="inlineStr">
        <is>
          <t>CH262853 17/6/69</t>
        </is>
      </c>
    </row>
    <row r="54">
      <c r="A54" s="395" t="n">
        <v>52</v>
      </c>
      <c r="B54" s="393" t="inlineStr">
        <is>
          <t>เทมเปอร์สีชาดำ 10มม.</t>
        </is>
      </c>
      <c r="C54" s="396" t="inlineStr">
        <is>
          <t>✓ มีราคา</t>
        </is>
      </c>
      <c r="D54" s="443" t="n">
        <v>1700</v>
      </c>
      <c r="E54" s="443" t="n">
        <v>6674</v>
      </c>
      <c r="F54" s="399" t="n"/>
      <c r="G54" s="393" t="inlineStr">
        <is>
          <t>ใบราคาร้าน (TE/CS)</t>
        </is>
      </c>
    </row>
    <row r="55">
      <c r="A55" s="395" t="n">
        <v>53</v>
      </c>
      <c r="B55" s="393" t="inlineStr">
        <is>
          <t>เทมเปอร์สีฟ้า 6มม.</t>
        </is>
      </c>
      <c r="C55" s="396" t="inlineStr">
        <is>
          <t>อัปเดต</t>
        </is>
      </c>
      <c r="D55" s="443" t="n">
        <v>900</v>
      </c>
      <c r="E55" s="443" t="n">
        <v>807</v>
      </c>
      <c r="F55" s="443" t="n">
        <v>-93</v>
      </c>
      <c r="G55" s="694" t="inlineStr">
        <is>
          <t>CH262853 17/6/69</t>
        </is>
      </c>
    </row>
    <row r="56">
      <c r="A56" s="395" t="n">
        <v>54</v>
      </c>
      <c r="B56" s="393" t="inlineStr">
        <is>
          <t>ลามิเนต 4+4 สูง&gt;2.5 0.76</t>
        </is>
      </c>
      <c r="C56" s="396" t="inlineStr">
        <is>
          <t>✓ มีราคา</t>
        </is>
      </c>
      <c r="D56" s="443" t="n">
        <v>1300</v>
      </c>
      <c r="E56" s="443" t="n">
        <v>1300</v>
      </c>
      <c r="F56" s="399" t="n"/>
      <c r="G56" s="393" t="inlineStr">
        <is>
          <t>PDF ไม่มี-รอเติม</t>
        </is>
      </c>
    </row>
    <row r="57">
      <c r="A57" s="395" t="n">
        <v>55</v>
      </c>
      <c r="B57" s="393" t="inlineStr">
        <is>
          <t>ลามิเนต 5+5 สูง&gt;2.5 0.76</t>
        </is>
      </c>
      <c r="C57" s="396" t="inlineStr">
        <is>
          <t>✓ มีราคา</t>
        </is>
      </c>
      <c r="D57" s="443" t="n">
        <v>1350</v>
      </c>
      <c r="E57" s="443" t="n">
        <v>1350</v>
      </c>
      <c r="F57" s="399" t="n"/>
      <c r="G57" s="393" t="inlineStr">
        <is>
          <t>PDF ไม่มี-รอเติม</t>
        </is>
      </c>
    </row>
    <row r="58">
      <c r="A58" s="395" t="n">
        <v>56</v>
      </c>
      <c r="B58" s="393" t="inlineStr">
        <is>
          <t>ลามิเนต 6+6 สูง&gt;2.5 0.76</t>
        </is>
      </c>
      <c r="C58" s="396" t="inlineStr">
        <is>
          <t>✓ มีราคา</t>
        </is>
      </c>
      <c r="D58" s="443" t="n">
        <v>1600</v>
      </c>
      <c r="E58" s="443" t="n">
        <v>1600</v>
      </c>
      <c r="F58" s="399" t="n"/>
      <c r="G58" s="393" t="inlineStr">
        <is>
          <t>PDF ไม่มี-รอเติม</t>
        </is>
      </c>
    </row>
    <row r="59">
      <c r="A59" s="395" t="n">
        <v>57</v>
      </c>
      <c r="B59" s="393" t="inlineStr">
        <is>
          <t>อินซูเลท 6+6+6มม.</t>
        </is>
      </c>
      <c r="C59" s="446" t="inlineStr">
        <is>
          <t>อัปเดต</t>
        </is>
      </c>
      <c r="D59" s="447" t="n">
        <v>2195</v>
      </c>
      <c r="E59" s="447" t="n">
        <v>2260</v>
      </c>
      <c r="F59" s="399" t="n"/>
      <c r="G59" s="393" t="inlineStr">
        <is>
          <t>CH262853 17/6/69</t>
        </is>
      </c>
    </row>
    <row r="60">
      <c r="A60" s="395" t="n">
        <v>58</v>
      </c>
      <c r="B60" s="393" t="inlineStr">
        <is>
          <t>ลามิเนตยูโรเกรย์+ใส 6+6</t>
        </is>
      </c>
      <c r="C60" s="446" t="inlineStr">
        <is>
          <t>✂ ตัดออก (ไม่ใช้)</t>
        </is>
      </c>
      <c r="D60" s="447" t="n">
        <v>1700</v>
      </c>
      <c r="E60" s="447" t="n"/>
      <c r="F60" s="399" t="n"/>
      <c r="G60" s="393" t="inlineStr">
        <is>
          <t>PDF ไม่มี-รอเติม</t>
        </is>
      </c>
    </row>
    <row r="61">
      <c r="A61" s="395" t="n">
        <v>59</v>
      </c>
      <c r="B61" s="393" t="inlineStr">
        <is>
          <t>ลามิเนตยูโรเกรย์+ยูโรเกรย์ 6+6</t>
        </is>
      </c>
      <c r="C61" s="396" t="inlineStr">
        <is>
          <t>✓ มีราคา</t>
        </is>
      </c>
      <c r="D61" s="443" t="n">
        <v>2000</v>
      </c>
      <c r="E61" s="443" t="n">
        <v>2540</v>
      </c>
      <c r="F61" s="399" t="n"/>
      <c r="G61" s="393" t="inlineStr">
        <is>
          <t>PDF ไม่มี-รอเติม</t>
        </is>
      </c>
    </row>
    <row r="62">
      <c r="A62" s="395" t="n">
        <v>60</v>
      </c>
      <c r="B62" s="393" t="inlineStr">
        <is>
          <t>ลามิเนตชาดำ+ใส 6+6</t>
        </is>
      </c>
      <c r="C62" s="396" t="inlineStr">
        <is>
          <t>✓ มีราคา</t>
        </is>
      </c>
      <c r="D62" s="443" t="n">
        <v>1700</v>
      </c>
      <c r="E62" s="443" t="n">
        <v>1938</v>
      </c>
      <c r="F62" s="399" t="n"/>
      <c r="G62" s="393" t="inlineStr">
        <is>
          <t>PDF ไม่มี-รอเติม</t>
        </is>
      </c>
    </row>
    <row r="63">
      <c r="A63" s="395" t="n">
        <v>61</v>
      </c>
      <c r="B63" s="393" t="inlineStr">
        <is>
          <t>ลามิเนตชาดำ+ชาดำ 6+6</t>
        </is>
      </c>
      <c r="C63" s="396" t="inlineStr">
        <is>
          <t>✓ มีราคา</t>
        </is>
      </c>
      <c r="D63" s="443" t="n">
        <v>2000</v>
      </c>
      <c r="E63" s="443" t="n">
        <v>2217</v>
      </c>
      <c r="F63" s="399" t="n"/>
      <c r="G63" s="393" t="inlineStr">
        <is>
          <t>PDF ไม่มี-รอเติม</t>
        </is>
      </c>
    </row>
    <row r="64">
      <c r="A64" s="395" t="n">
        <v>62</v>
      </c>
      <c r="B64" s="393" t="inlineStr">
        <is>
          <t>ลามิเนตคริสตัลเกรย์+ใส 6+6</t>
        </is>
      </c>
      <c r="C64" s="396" t="inlineStr">
        <is>
          <t>✓ มีราคา</t>
        </is>
      </c>
      <c r="D64" s="443" t="n">
        <v>1700</v>
      </c>
      <c r="E64" s="443" t="n">
        <v>2540</v>
      </c>
      <c r="F64" s="399" t="n"/>
      <c r="G64" s="393" t="inlineStr">
        <is>
          <t>PDF ไม่มี-รอเติม</t>
        </is>
      </c>
    </row>
    <row r="65">
      <c r="A65" s="395" t="n">
        <v>63</v>
      </c>
      <c r="B65" s="393" t="inlineStr">
        <is>
          <t>ลามิเนตคริสตัลเกรย์+คริสตัลเกรย์ 6+6</t>
        </is>
      </c>
      <c r="C65" s="446" t="inlineStr">
        <is>
          <t>✂ ตัดออก (ไม่ใช้)</t>
        </is>
      </c>
      <c r="D65" s="447" t="n">
        <v>2000</v>
      </c>
      <c r="E65" s="447" t="n"/>
      <c r="F65" s="399" t="n"/>
      <c r="G65" s="393" t="inlineStr">
        <is>
          <t>PDF ไม่มี-รอเติม</t>
        </is>
      </c>
    </row>
    <row r="66">
      <c r="A66" s="395" t="n">
        <v>64</v>
      </c>
      <c r="B66" s="393" t="inlineStr">
        <is>
          <t>ลามิเนตสีฟ้า+ใส 6+6</t>
        </is>
      </c>
      <c r="C66" s="396" t="inlineStr">
        <is>
          <t>✓ มีราคา</t>
        </is>
      </c>
      <c r="D66" s="443" t="n">
        <v>1600</v>
      </c>
      <c r="E66" s="443" t="n">
        <v>2702</v>
      </c>
      <c r="F66" s="399" t="n"/>
      <c r="G66" s="393" t="inlineStr">
        <is>
          <t>PDF ไม่มี-รอเติม</t>
        </is>
      </c>
    </row>
    <row r="67">
      <c r="A67" s="395" t="n">
        <v>65</v>
      </c>
      <c r="B67" s="393" t="inlineStr">
        <is>
          <t>ลามิเนตสีฟ้า+สีฟ้า 6+6</t>
        </is>
      </c>
      <c r="C67" s="396" t="inlineStr">
        <is>
          <t>✓ มีราคา</t>
        </is>
      </c>
      <c r="D67" s="443" t="n">
        <v>1900</v>
      </c>
      <c r="E67" s="443" t="n">
        <v>3531</v>
      </c>
      <c r="F67" s="399" t="n"/>
      <c r="G67" s="393" t="inlineStr">
        <is>
          <t>PDF ไม่มี-รอเติม</t>
        </is>
      </c>
    </row>
    <row r="68">
      <c r="A68" s="395" t="n">
        <v>66</v>
      </c>
      <c r="B68" s="393" t="inlineStr">
        <is>
          <t>ลามิเนตยูโรบรอนซ์+ใส 6+6</t>
        </is>
      </c>
      <c r="C68" s="396" t="inlineStr">
        <is>
          <t>✓ มีราคา</t>
        </is>
      </c>
      <c r="D68" s="443" t="n">
        <v>1600</v>
      </c>
      <c r="E68" s="443" t="n">
        <v>2562</v>
      </c>
      <c r="F68" s="399" t="n"/>
      <c r="G68" s="393" t="inlineStr">
        <is>
          <t>PDF ไม่มี-รอเติม</t>
        </is>
      </c>
    </row>
    <row r="69">
      <c r="A69" s="395" t="n">
        <v>67</v>
      </c>
      <c r="B69" s="393" t="inlineStr">
        <is>
          <t>ลามิเนตยูโรบรอนซ์+ยูโรบรอนซ์ 6+6</t>
        </is>
      </c>
      <c r="C69" s="446" t="inlineStr">
        <is>
          <t>✂ ตัดออก (ไม่ใช้)</t>
        </is>
      </c>
      <c r="D69" s="447" t="n">
        <v>1900</v>
      </c>
      <c r="E69" s="447" t="n"/>
      <c r="F69" s="399" t="n"/>
      <c r="G69" s="393" t="inlineStr">
        <is>
          <t>PDF ไม่มี-รอเติม</t>
        </is>
      </c>
    </row>
    <row r="70">
      <c r="A70" s="395" t="n">
        <v>68</v>
      </c>
      <c r="B70" s="393" t="inlineStr">
        <is>
          <t>ลามิเนต 4+4 ยูโรเกรย์</t>
        </is>
      </c>
      <c r="C70" s="396" t="inlineStr">
        <is>
          <t>✓ มีราคา</t>
        </is>
      </c>
      <c r="D70" s="443" t="n">
        <v>1700</v>
      </c>
      <c r="E70" s="443" t="n">
        <v>2282</v>
      </c>
      <c r="F70" s="399" t="n"/>
      <c r="G70" s="393" t="inlineStr">
        <is>
          <t>PDF ไม่มี-รอเติม</t>
        </is>
      </c>
    </row>
    <row r="71">
      <c r="A71" s="395" t="n">
        <v>69</v>
      </c>
      <c r="B71" s="393" t="inlineStr">
        <is>
          <t>ลามิเนตลอนแก้ว/เงาทอง 4+4</t>
        </is>
      </c>
      <c r="C71" s="446" t="inlineStr">
        <is>
          <t>✂ ตัดออก (ไม่ใช้)</t>
        </is>
      </c>
      <c r="D71" s="447" t="n">
        <v>2000</v>
      </c>
      <c r="E71" s="447" t="n"/>
      <c r="F71" s="399" t="n"/>
      <c r="G71" s="393" t="inlineStr">
        <is>
          <t>PDF ไม่มี-รอเติม</t>
        </is>
      </c>
    </row>
    <row r="72">
      <c r="A72" s="395" t="n">
        <v>70</v>
      </c>
      <c r="B72" s="393" t="inlineStr">
        <is>
          <t>เทมเปอร์ลามิเนต 6+6 1.52</t>
        </is>
      </c>
      <c r="C72" s="396" t="inlineStr">
        <is>
          <t>✓ มีราคา</t>
        </is>
      </c>
      <c r="D72" s="443" t="n">
        <v>3000</v>
      </c>
      <c r="E72" s="443" t="n">
        <v>2454</v>
      </c>
      <c r="F72" s="399" t="n"/>
      <c r="G72" s="393" t="inlineStr">
        <is>
          <t>PDF ไม่มี-รอเติม</t>
        </is>
      </c>
    </row>
    <row r="73">
      <c r="A73" s="395" t="n">
        <v>71</v>
      </c>
      <c r="B73" s="393" t="inlineStr">
        <is>
          <t>กระจกดัดโค้ง 10มม.</t>
        </is>
      </c>
      <c r="C73" s="446" t="inlineStr">
        <is>
          <t>อัปเดต</t>
        </is>
      </c>
      <c r="D73" s="447" t="n">
        <v>6750</v>
      </c>
      <c r="E73" s="447" t="n">
        <v>5328</v>
      </c>
      <c r="F73" s="399" t="n"/>
      <c r="G73" s="393" t="inlineStr">
        <is>
          <t>CH262853 17/6/69 (ไม่รวมค่าโมล)</t>
        </is>
      </c>
    </row>
    <row r="74">
      <c r="A74" s="395" t="n">
        <v>72</v>
      </c>
      <c r="B74" s="393" t="inlineStr">
        <is>
          <t>ดัดโค้งลามิเนตใส 5+5</t>
        </is>
      </c>
      <c r="C74" s="396" t="inlineStr">
        <is>
          <t>✓ มีราคา</t>
        </is>
      </c>
      <c r="D74" s="443" t="n">
        <v>8750</v>
      </c>
      <c r="E74" s="443" t="n">
        <v>7158</v>
      </c>
      <c r="F74" s="399" t="n"/>
      <c r="G74" s="393" t="inlineStr">
        <is>
          <t>PDF ไม่มี-รอเติม</t>
        </is>
      </c>
    </row>
    <row r="75">
      <c r="A75" s="395" t="n">
        <v>73</v>
      </c>
      <c r="B75" s="393" t="inlineStr">
        <is>
          <t>ใส 5มม.</t>
        </is>
      </c>
      <c r="C75" s="448" t="inlineStr">
        <is>
          <t>PDF เกิน</t>
        </is>
      </c>
      <c r="D75" s="449" t="n"/>
      <c r="E75" s="449" t="n">
        <v>205</v>
      </c>
      <c r="F75" s="399" t="n"/>
      <c r="G75" s="393" t="inlineStr">
        <is>
          <t>PDF เกิน-เพิ่มได้</t>
        </is>
      </c>
    </row>
    <row r="76">
      <c r="A76" s="395" t="n">
        <v>74</v>
      </c>
      <c r="B76" s="393" t="inlineStr">
        <is>
          <t>เขียว 5มม.</t>
        </is>
      </c>
      <c r="C76" s="448" t="inlineStr">
        <is>
          <t>PDF เกิน</t>
        </is>
      </c>
      <c r="D76" s="449" t="n"/>
      <c r="E76" s="449" t="n">
        <v>226</v>
      </c>
      <c r="F76" s="399" t="n"/>
      <c r="G76" s="393" t="inlineStr">
        <is>
          <t>PDF เกิน-เพิ่มได้</t>
        </is>
      </c>
    </row>
    <row r="77">
      <c r="A77" s="395" t="n">
        <v>75</v>
      </c>
      <c r="B77" s="393" t="inlineStr">
        <is>
          <t>ยูโรเกรย์ 5มม.</t>
        </is>
      </c>
      <c r="C77" s="448" t="inlineStr">
        <is>
          <t>PDF เกิน</t>
        </is>
      </c>
      <c r="D77" s="449" t="n"/>
      <c r="E77" s="449" t="n">
        <v>538</v>
      </c>
      <c r="F77" s="399" t="n"/>
      <c r="G77" s="393" t="inlineStr">
        <is>
          <t>PDF เกิน-เพิ่มได้</t>
        </is>
      </c>
    </row>
    <row r="78">
      <c r="A78" s="395" t="n">
        <v>76</v>
      </c>
      <c r="B78" s="393" t="inlineStr">
        <is>
          <t>ยูโรบรอนซ์ 5มม.</t>
        </is>
      </c>
      <c r="C78" s="448" t="inlineStr">
        <is>
          <t>PDF เกิน</t>
        </is>
      </c>
      <c r="D78" s="449" t="n"/>
      <c r="E78" s="449" t="n">
        <v>538</v>
      </c>
      <c r="F78" s="399" t="n"/>
      <c r="G78" s="393" t="inlineStr">
        <is>
          <t>PDF เกิน-เพิ่มได้</t>
        </is>
      </c>
    </row>
    <row r="79">
      <c r="A79" s="395" t="n">
        <v>77</v>
      </c>
      <c r="B79" s="393" t="inlineStr">
        <is>
          <t>ชาดา 3มม.</t>
        </is>
      </c>
      <c r="C79" s="448" t="inlineStr">
        <is>
          <t>PDF เกิน</t>
        </is>
      </c>
      <c r="D79" s="449" t="n"/>
      <c r="E79" s="449" t="n">
        <v>248</v>
      </c>
      <c r="F79" s="399" t="n"/>
      <c r="G79" s="393" t="inlineStr">
        <is>
          <t>PDF เกิน-เพิ่มได้</t>
        </is>
      </c>
    </row>
    <row r="80">
      <c r="A80" s="395" t="n">
        <v>78</v>
      </c>
      <c r="B80" s="393" t="inlineStr">
        <is>
          <t>ชาดา 5มม.</t>
        </is>
      </c>
      <c r="C80" s="448" t="inlineStr">
        <is>
          <t>PDF เกิน</t>
        </is>
      </c>
      <c r="D80" s="449" t="n"/>
      <c r="E80" s="449" t="n">
        <v>258</v>
      </c>
      <c r="F80" s="399" t="n"/>
      <c r="G80" s="393" t="inlineStr">
        <is>
          <t>PDF เกิน-เพิ่มได้</t>
        </is>
      </c>
    </row>
    <row r="81">
      <c r="A81" s="395" t="n">
        <v>79</v>
      </c>
      <c r="B81" s="393" t="inlineStr">
        <is>
          <t>เงา 6มม.</t>
        </is>
      </c>
      <c r="C81" s="448" t="inlineStr">
        <is>
          <t>PDF เกิน</t>
        </is>
      </c>
      <c r="D81" s="449" t="n"/>
      <c r="E81" s="449" t="n">
        <v>452</v>
      </c>
      <c r="F81" s="399" t="n"/>
      <c r="G81" s="393" t="inlineStr">
        <is>
          <t>PDF เกิน-เพิ่มได้</t>
        </is>
      </c>
    </row>
    <row r="82">
      <c r="A82" s="395" t="n">
        <v>80</v>
      </c>
      <c r="B82" s="393" t="inlineStr">
        <is>
          <t>ลามิเนต ใส5+5 0.76</t>
        </is>
      </c>
      <c r="C82" s="448" t="inlineStr">
        <is>
          <t>PDF เกิน</t>
        </is>
      </c>
      <c r="D82" s="449" t="n"/>
      <c r="E82" s="449" t="n">
        <v>1206</v>
      </c>
      <c r="F82" s="399" t="n"/>
      <c r="G82" s="393" t="inlineStr">
        <is>
          <t>PDF เกิน-เพิ่มได้</t>
        </is>
      </c>
    </row>
    <row r="83">
      <c r="A83" s="395" t="n">
        <v>81</v>
      </c>
      <c r="B83" s="393" t="inlineStr">
        <is>
          <t>ลามิเนต ใส5+5 1.52</t>
        </is>
      </c>
      <c r="C83" s="448" t="inlineStr">
        <is>
          <t>PDF เกิน</t>
        </is>
      </c>
      <c r="D83" s="449" t="n"/>
      <c r="E83" s="449" t="n">
        <v>1432</v>
      </c>
      <c r="F83" s="399" t="n"/>
      <c r="G83" s="393" t="inlineStr">
        <is>
          <t>PDF เกิน-เพิ่มได้</t>
        </is>
      </c>
    </row>
    <row r="84">
      <c r="A84" s="395" t="n">
        <v>82</v>
      </c>
      <c r="B84" s="393" t="inlineStr">
        <is>
          <t>ลามิเนต ใส6+6 1.52</t>
        </is>
      </c>
      <c r="C84" s="448" t="inlineStr">
        <is>
          <t>PDF เกิน</t>
        </is>
      </c>
      <c r="D84" s="449" t="n"/>
      <c r="E84" s="449" t="n">
        <v>1668</v>
      </c>
      <c r="F84" s="399" t="n"/>
      <c r="G84" s="393" t="inlineStr">
        <is>
          <t>PDF เกิน-เพิ่มได้</t>
        </is>
      </c>
    </row>
    <row r="85">
      <c r="A85" s="395" t="n">
        <v>83</v>
      </c>
      <c r="B85" s="393" t="inlineStr">
        <is>
          <t>ลามิเนต เขียว4+4 0.76</t>
        </is>
      </c>
      <c r="C85" s="448" t="inlineStr">
        <is>
          <t>PDF เกิน</t>
        </is>
      </c>
      <c r="D85" s="449" t="n"/>
      <c r="E85" s="449" t="n">
        <v>1211</v>
      </c>
      <c r="F85" s="399" t="n"/>
      <c r="G85" s="393" t="inlineStr">
        <is>
          <t>PDF เกิน-เพิ่มได้</t>
        </is>
      </c>
    </row>
    <row r="86">
      <c r="A86" s="395" t="n">
        <v>84</v>
      </c>
      <c r="B86" s="393" t="inlineStr">
        <is>
          <t>ลามิเนต ใส6HS SGP</t>
        </is>
      </c>
      <c r="C86" s="448" t="inlineStr">
        <is>
          <t>PDF เกิน</t>
        </is>
      </c>
      <c r="D86" s="449" t="n"/>
      <c r="E86" s="449" t="n">
        <v>3079</v>
      </c>
      <c r="F86" s="399" t="n"/>
      <c r="G86" s="393" t="inlineStr">
        <is>
          <t>PDF เกิน-เพิ่มได้</t>
        </is>
      </c>
    </row>
    <row r="87">
      <c r="A87" s="395" t="n">
        <v>85</v>
      </c>
      <c r="B87" s="393" t="inlineStr">
        <is>
          <t>ลามิเนต ใส5+5 SGP</t>
        </is>
      </c>
      <c r="C87" s="448" t="inlineStr">
        <is>
          <t>PDF เกิน</t>
        </is>
      </c>
      <c r="D87" s="449" t="n"/>
      <c r="E87" s="449" t="n">
        <v>1830</v>
      </c>
      <c r="F87" s="399" t="n"/>
      <c r="G87" s="393" t="inlineStr">
        <is>
          <t>PDF เกิน-เพิ่มได้</t>
        </is>
      </c>
    </row>
    <row r="88">
      <c r="A88" s="395" t="n">
        <v>86</v>
      </c>
      <c r="B88" s="393" t="inlineStr">
        <is>
          <t>ลามิเนตฟิล์มฝ้า 4+4</t>
        </is>
      </c>
      <c r="C88" s="448" t="inlineStr">
        <is>
          <t>PDF เกิน</t>
        </is>
      </c>
      <c r="D88" s="449" t="n"/>
      <c r="E88" s="449" t="n">
        <v>710</v>
      </c>
      <c r="F88" s="399" t="n"/>
      <c r="G88" s="393" t="inlineStr">
        <is>
          <t>PDF เกิน-เพิ่มได้</t>
        </is>
      </c>
    </row>
    <row r="89">
      <c r="A89" s="395" t="n">
        <v>87</v>
      </c>
      <c r="B89" s="393" t="inlineStr">
        <is>
          <t>ลามิเนตฟิล์มสีทั่วไป 4+4</t>
        </is>
      </c>
      <c r="C89" s="448" t="inlineStr">
        <is>
          <t>PDF เกิน</t>
        </is>
      </c>
      <c r="D89" s="449" t="n"/>
      <c r="E89" s="449" t="n">
        <v>904</v>
      </c>
      <c r="F89" s="399" t="n"/>
      <c r="G89" s="393" t="inlineStr">
        <is>
          <t>PDF เกิน-เพิ่มได้</t>
        </is>
      </c>
    </row>
    <row r="90">
      <c r="A90" s="395" t="n">
        <v>88</v>
      </c>
      <c r="B90" s="393" t="inlineStr">
        <is>
          <t>ลามิเนตฟิล์มขาวนม-ดำทึบ 4+4</t>
        </is>
      </c>
      <c r="C90" s="448" t="inlineStr">
        <is>
          <t>PDF เกิน</t>
        </is>
      </c>
      <c r="D90" s="449" t="n"/>
      <c r="E90" s="449" t="n">
        <v>2174</v>
      </c>
      <c r="F90" s="399" t="n"/>
      <c r="G90" s="393" t="inlineStr">
        <is>
          <t>PDF เกิน-เพิ่มได้</t>
        </is>
      </c>
    </row>
  </sheetData>
  <mergeCells count="1">
    <mergeCell ref="A1:F1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9.6" customWidth="1" style="129" min="2" max="2"/>
    <col width="19.1" customWidth="1" style="129" min="3" max="3"/>
    <col width="8.6" customWidth="1" style="129" min="4" max="4"/>
    <col width="6.5" customWidth="1" style="129" min="5" max="5"/>
    <col width="6.5" customWidth="1" style="129" min="6" max="6"/>
    <col width="8.6" customWidth="1" style="129" min="7" max="7"/>
    <col width="7.5" customWidth="1" style="129" min="8" max="8"/>
    <col width="9.6" customWidth="1" style="129" min="9" max="9"/>
    <col width="8.6" customWidth="1" style="129" min="10" max="10"/>
    <col width="8.6" customWidth="1" style="129" min="11" max="11"/>
    <col width="9.6" customWidth="1" style="129" min="14" max="14"/>
  </cols>
  <sheetData>
    <row r="1">
      <c r="A1" s="509" t="inlineStr">
        <is>
          <t>key</t>
        </is>
      </c>
      <c r="B1" s="509" t="inlineStr">
        <is>
          <t>ร้าน</t>
        </is>
      </c>
      <c r="C1" s="509" t="inlineStr">
        <is>
          <t>รุ่น</t>
        </is>
      </c>
      <c r="D1" s="509" t="inlineStr">
        <is>
          <t>width_m</t>
        </is>
      </c>
      <c r="E1" s="509" t="inlineStr">
        <is>
          <t>len_m</t>
        </is>
      </c>
      <c r="F1" s="509" t="inlineStr">
        <is>
          <t>price</t>
        </is>
      </c>
      <c r="G1" s="753" t="inlineStr">
        <is>
          <t>🏠 สารบัญ</t>
        </is>
      </c>
      <c r="H1" s="760" t="inlineStr">
        <is>
          <t>edge_p</t>
        </is>
      </c>
      <c r="I1" s="509" t="inlineStr">
        <is>
          <t>edge_len</t>
        </is>
      </c>
      <c r="J1" s="509" t="inlineStr">
        <is>
          <t>carrier</t>
        </is>
      </c>
      <c r="K1" s="509" t="inlineStr">
        <is>
          <t>bundled</t>
        </is>
      </c>
      <c r="L1" s="643" t="n"/>
      <c r="N1" s="510" t="inlineStr">
        <is>
          <t>ร้าน</t>
        </is>
      </c>
    </row>
    <row r="2">
      <c r="A2" s="511" t="inlineStr">
        <is>
          <t>ไม้ทิพย์|สีพื้น</t>
        </is>
      </c>
      <c r="B2" s="511" t="inlineStr">
        <is>
          <t>ไม้ทิพย์</t>
        </is>
      </c>
      <c r="C2" s="511" t="inlineStr">
        <is>
          <t>สีพื้น</t>
        </is>
      </c>
      <c r="D2" s="512" t="n">
        <v>0.08500000000000001</v>
      </c>
      <c r="E2" s="512" t="n">
        <v>6</v>
      </c>
      <c r="F2" s="512" t="n">
        <v>420</v>
      </c>
      <c r="G2" s="512" t="inlineStr">
        <is>
          <t>เส้น</t>
        </is>
      </c>
      <c r="H2" s="512" t="n">
        <v>70</v>
      </c>
      <c r="I2" s="512" t="n">
        <v>6</v>
      </c>
      <c r="J2" s="512" t="n">
        <v>1</v>
      </c>
      <c r="K2" s="512" t="n">
        <v>0</v>
      </c>
      <c r="N2" s="513" t="inlineStr">
        <is>
          <t>ไม้ทิพย์</t>
        </is>
      </c>
    </row>
    <row r="3">
      <c r="A3" s="511" t="inlineStr">
        <is>
          <t>ไม้ทิพย์|ลายไม้</t>
        </is>
      </c>
      <c r="B3" s="511" t="inlineStr">
        <is>
          <t>ไม้ทิพย์</t>
        </is>
      </c>
      <c r="C3" s="511" t="inlineStr">
        <is>
          <t>ลายไม้</t>
        </is>
      </c>
      <c r="D3" s="512" t="n">
        <v>0.08500000000000001</v>
      </c>
      <c r="E3" s="512" t="n">
        <v>6</v>
      </c>
      <c r="F3" s="512" t="n">
        <v>580</v>
      </c>
      <c r="G3" s="512" t="inlineStr">
        <is>
          <t>เส้น</t>
        </is>
      </c>
      <c r="H3" s="512" t="n">
        <v>70</v>
      </c>
      <c r="I3" s="512" t="n">
        <v>6</v>
      </c>
      <c r="J3" s="512" t="n">
        <v>1</v>
      </c>
      <c r="K3" s="512" t="n">
        <v>0</v>
      </c>
      <c r="N3" s="513" t="inlineStr">
        <is>
          <t>fameline</t>
        </is>
      </c>
    </row>
    <row r="4">
      <c r="A4" s="511" t="inlineStr">
        <is>
          <t>fameline|สีมาตรฐาน</t>
        </is>
      </c>
      <c r="B4" s="511" t="inlineStr">
        <is>
          <t>fameline</t>
        </is>
      </c>
      <c r="C4" s="511" t="inlineStr">
        <is>
          <t>สีมาตรฐาน</t>
        </is>
      </c>
      <c r="D4" s="512" t="n">
        <v>0.08500000000000001</v>
      </c>
      <c r="E4" s="512" t="n">
        <v>6</v>
      </c>
      <c r="F4" s="512" t="n">
        <v>1300</v>
      </c>
      <c r="G4" s="512" t="inlineStr">
        <is>
          <t>ตร.ม.</t>
        </is>
      </c>
      <c r="H4" s="512" t="n">
        <v>0</v>
      </c>
      <c r="I4" s="512" t="n">
        <v>1</v>
      </c>
      <c r="J4" s="512" t="n">
        <v>0</v>
      </c>
      <c r="K4" s="512" t="n">
        <v>1</v>
      </c>
      <c r="N4" s="513" t="inlineStr">
        <is>
          <t>HIGO</t>
        </is>
      </c>
    </row>
    <row r="5">
      <c r="A5" s="511" t="inlineStr">
        <is>
          <t>fameline|สีอื่น</t>
        </is>
      </c>
      <c r="B5" s="511" t="inlineStr">
        <is>
          <t>fameline</t>
        </is>
      </c>
      <c r="C5" s="511" t="inlineStr">
        <is>
          <t>สีอื่น</t>
        </is>
      </c>
      <c r="D5" s="512" t="n">
        <v>0.08500000000000001</v>
      </c>
      <c r="E5" s="512" t="n">
        <v>6</v>
      </c>
      <c r="F5" s="512" t="n">
        <v>1400</v>
      </c>
      <c r="G5" s="512" t="inlineStr">
        <is>
          <t>ตร.ม.</t>
        </is>
      </c>
      <c r="H5" s="512" t="n">
        <v>0</v>
      </c>
      <c r="I5" s="512" t="n">
        <v>1</v>
      </c>
      <c r="J5" s="512" t="n">
        <v>0</v>
      </c>
      <c r="K5" s="512" t="n">
        <v>1</v>
      </c>
      <c r="N5" s="513" t="inlineStr">
        <is>
          <t>remood</t>
        </is>
      </c>
    </row>
    <row r="6">
      <c r="A6" s="511" t="inlineStr">
        <is>
          <t>HIGO|C19 (ใน)</t>
        </is>
      </c>
      <c r="B6" s="511" t="inlineStr">
        <is>
          <t>HIGO</t>
        </is>
      </c>
      <c r="C6" s="511" t="inlineStr">
        <is>
          <t>C19 (ใน)</t>
        </is>
      </c>
      <c r="D6" s="512" t="n">
        <v>0.204</v>
      </c>
      <c r="E6" s="512" t="n">
        <v>3</v>
      </c>
      <c r="F6" s="512" t="n">
        <v>140</v>
      </c>
      <c r="G6" s="512" t="inlineStr">
        <is>
          <t>เส้น</t>
        </is>
      </c>
      <c r="H6" s="512" t="n">
        <v>130</v>
      </c>
      <c r="I6" s="512" t="n">
        <v>3</v>
      </c>
      <c r="J6" s="512" t="n">
        <v>0</v>
      </c>
      <c r="K6" s="512" t="n">
        <v>0</v>
      </c>
    </row>
    <row r="7">
      <c r="A7" s="511" t="inlineStr">
        <is>
          <t>HIGO|G15 (ใน)</t>
        </is>
      </c>
      <c r="B7" s="511" t="inlineStr">
        <is>
          <t>HIGO</t>
        </is>
      </c>
      <c r="C7" s="511" t="inlineStr">
        <is>
          <t>G15 (ใน)</t>
        </is>
      </c>
      <c r="D7" s="512" t="n">
        <v>0.153</v>
      </c>
      <c r="E7" s="512" t="n">
        <v>3</v>
      </c>
      <c r="F7" s="512" t="n">
        <v>140</v>
      </c>
      <c r="G7" s="512" t="inlineStr">
        <is>
          <t>เส้น</t>
        </is>
      </c>
      <c r="H7" s="512" t="n">
        <v>130</v>
      </c>
      <c r="I7" s="512" t="n">
        <v>3</v>
      </c>
      <c r="J7" s="512" t="n">
        <v>0</v>
      </c>
      <c r="K7" s="512" t="n">
        <v>0</v>
      </c>
    </row>
    <row r="8">
      <c r="A8" s="511" t="inlineStr">
        <is>
          <t>HIGO|R16 (ใน)</t>
        </is>
      </c>
      <c r="B8" s="511" t="inlineStr">
        <is>
          <t>HIGO</t>
        </is>
      </c>
      <c r="C8" s="511" t="inlineStr">
        <is>
          <t>R16 (ใน)</t>
        </is>
      </c>
      <c r="D8" s="512" t="n">
        <v>0.16</v>
      </c>
      <c r="E8" s="512" t="n">
        <v>3</v>
      </c>
      <c r="F8" s="512" t="n">
        <v>140</v>
      </c>
      <c r="G8" s="512" t="inlineStr">
        <is>
          <t>เส้น</t>
        </is>
      </c>
      <c r="H8" s="512" t="n">
        <v>130</v>
      </c>
      <c r="I8" s="512" t="n">
        <v>3</v>
      </c>
      <c r="J8" s="512" t="n">
        <v>0</v>
      </c>
      <c r="K8" s="512" t="n">
        <v>0</v>
      </c>
    </row>
    <row r="9">
      <c r="A9" s="511" t="inlineStr">
        <is>
          <t>HIGO|Y18 (ใน)</t>
        </is>
      </c>
      <c r="B9" s="511" t="inlineStr">
        <is>
          <t>HIGO</t>
        </is>
      </c>
      <c r="C9" s="511" t="inlineStr">
        <is>
          <t>Y18 (ใน)</t>
        </is>
      </c>
      <c r="D9" s="512" t="n">
        <v>0.158</v>
      </c>
      <c r="E9" s="512" t="n">
        <v>3</v>
      </c>
      <c r="F9" s="512" t="n">
        <v>140</v>
      </c>
      <c r="G9" s="512" t="inlineStr">
        <is>
          <t>เส้น</t>
        </is>
      </c>
      <c r="H9" s="512" t="n">
        <v>130</v>
      </c>
      <c r="I9" s="512" t="n">
        <v>3</v>
      </c>
      <c r="J9" s="512" t="n">
        <v>0</v>
      </c>
      <c r="K9" s="512" t="n">
        <v>0</v>
      </c>
    </row>
    <row r="10">
      <c r="A10" s="511" t="inlineStr">
        <is>
          <t>HIGO|P155 (นอก)</t>
        </is>
      </c>
      <c r="B10" s="511" t="inlineStr">
        <is>
          <t>HIGO</t>
        </is>
      </c>
      <c r="C10" s="511" t="inlineStr">
        <is>
          <t>P155 (นอก)</t>
        </is>
      </c>
      <c r="D10" s="512" t="n">
        <v>0.1524</v>
      </c>
      <c r="E10" s="512" t="n">
        <v>2.9</v>
      </c>
      <c r="F10" s="512" t="n">
        <v>310</v>
      </c>
      <c r="G10" s="512" t="inlineStr">
        <is>
          <t>เส้น</t>
        </is>
      </c>
      <c r="H10" s="512" t="n">
        <v>275</v>
      </c>
      <c r="I10" s="512" t="n">
        <v>2.9</v>
      </c>
      <c r="J10" s="512" t="n">
        <v>0</v>
      </c>
      <c r="K10" s="512" t="n">
        <v>0</v>
      </c>
    </row>
    <row r="11">
      <c r="A11" s="511" t="inlineStr">
        <is>
          <t>HIGO|WH200 (นอก)</t>
        </is>
      </c>
      <c r="B11" s="511" t="inlineStr">
        <is>
          <t>HIGO</t>
        </is>
      </c>
      <c r="C11" s="511" t="inlineStr">
        <is>
          <t>WH200 (นอก)</t>
        </is>
      </c>
      <c r="D11" s="512" t="n">
        <v>0.185</v>
      </c>
      <c r="E11" s="512" t="n">
        <v>2.9</v>
      </c>
      <c r="F11" s="512" t="n">
        <v>310</v>
      </c>
      <c r="G11" s="512" t="inlineStr">
        <is>
          <t>เส้น</t>
        </is>
      </c>
      <c r="H11" s="512" t="n">
        <v>275</v>
      </c>
      <c r="I11" s="512" t="n">
        <v>2.9</v>
      </c>
      <c r="J11" s="512" t="n">
        <v>0</v>
      </c>
      <c r="K11" s="512" t="n">
        <v>0</v>
      </c>
    </row>
    <row r="12">
      <c r="A12" s="511" t="inlineStr">
        <is>
          <t>remood|Entree เรียบ</t>
        </is>
      </c>
      <c r="B12" s="511" t="inlineStr">
        <is>
          <t>remood</t>
        </is>
      </c>
      <c r="C12" s="511" t="inlineStr">
        <is>
          <t>Entree เรียบ</t>
        </is>
      </c>
      <c r="D12" s="512" t="n">
        <v>0.14</v>
      </c>
      <c r="E12" s="512" t="n">
        <v>2.8</v>
      </c>
      <c r="F12" s="512" t="n">
        <v>500</v>
      </c>
      <c r="G12" s="512" t="inlineStr">
        <is>
          <t>แผ่น</t>
        </is>
      </c>
      <c r="H12" s="512" t="n">
        <v>300</v>
      </c>
      <c r="I12" s="512" t="n">
        <v>2.8</v>
      </c>
      <c r="J12" s="512" t="n">
        <v>0</v>
      </c>
      <c r="K12" s="512" t="n">
        <v>0</v>
      </c>
    </row>
    <row r="13">
      <c r="A13" s="511" t="inlineStr">
        <is>
          <t>remood|Entree มีลาย</t>
        </is>
      </c>
      <c r="B13" s="511" t="inlineStr">
        <is>
          <t>remood</t>
        </is>
      </c>
      <c r="C13" s="511" t="inlineStr">
        <is>
          <t>Entree มีลาย</t>
        </is>
      </c>
      <c r="D13" s="512" t="n">
        <v>0.165</v>
      </c>
      <c r="E13" s="512" t="n">
        <v>2.8</v>
      </c>
      <c r="F13" s="512" t="n">
        <v>600</v>
      </c>
      <c r="G13" s="512" t="inlineStr">
        <is>
          <t>แผ่น</t>
        </is>
      </c>
      <c r="H13" s="512" t="n">
        <v>300</v>
      </c>
      <c r="I13" s="512" t="n">
        <v>2.8</v>
      </c>
      <c r="J13" s="512" t="n">
        <v>0</v>
      </c>
      <c r="K13" s="512" t="n">
        <v>0</v>
      </c>
    </row>
    <row r="14">
      <c r="A14" s="511" t="inlineStr">
        <is>
          <t>remood|Entree ชักร่อง</t>
        </is>
      </c>
      <c r="B14" s="511" t="inlineStr">
        <is>
          <t>remood</t>
        </is>
      </c>
      <c r="C14" s="511" t="inlineStr">
        <is>
          <t>Entree ชักร่อง</t>
        </is>
      </c>
      <c r="D14" s="512" t="n">
        <v>0.219</v>
      </c>
      <c r="E14" s="512" t="n">
        <v>2.8</v>
      </c>
      <c r="F14" s="512" t="n">
        <v>950</v>
      </c>
      <c r="G14" s="512" t="inlineStr">
        <is>
          <t>แผ่น</t>
        </is>
      </c>
      <c r="H14" s="512" t="n">
        <v>300</v>
      </c>
      <c r="I14" s="512" t="n">
        <v>2.8</v>
      </c>
      <c r="J14" s="512" t="n">
        <v>0</v>
      </c>
      <c r="K14" s="512" t="n">
        <v>0</v>
      </c>
    </row>
    <row r="15">
      <c r="A15" s="511" t="inlineStr">
        <is>
          <t>remood|Duratech+ เรียบ13</t>
        </is>
      </c>
      <c r="B15" s="511" t="inlineStr">
        <is>
          <t>remood</t>
        </is>
      </c>
      <c r="C15" s="511" t="inlineStr">
        <is>
          <t>Duratech+ เรียบ13</t>
        </is>
      </c>
      <c r="D15" s="512" t="n">
        <v>0.13</v>
      </c>
      <c r="E15" s="512" t="n">
        <v>2.8</v>
      </c>
      <c r="F15" s="512" t="n">
        <v>730</v>
      </c>
      <c r="G15" s="512" t="inlineStr">
        <is>
          <t>แผ่น</t>
        </is>
      </c>
      <c r="H15" s="512" t="n">
        <v>300</v>
      </c>
      <c r="I15" s="512" t="n">
        <v>2.8</v>
      </c>
      <c r="J15" s="512" t="n">
        <v>0</v>
      </c>
      <c r="K15" s="512" t="n">
        <v>0</v>
      </c>
    </row>
    <row r="16">
      <c r="A16" s="511" t="inlineStr">
        <is>
          <t>remood|Duratech+ เรียบ16</t>
        </is>
      </c>
      <c r="B16" s="511" t="inlineStr">
        <is>
          <t>remood</t>
        </is>
      </c>
      <c r="C16" s="511" t="inlineStr">
        <is>
          <t>Duratech+ เรียบ16</t>
        </is>
      </c>
      <c r="D16" s="512" t="n">
        <v>0.162</v>
      </c>
      <c r="E16" s="512" t="n">
        <v>2.8</v>
      </c>
      <c r="F16" s="512" t="n">
        <v>900</v>
      </c>
      <c r="G16" s="512" t="inlineStr">
        <is>
          <t>แผ่น</t>
        </is>
      </c>
      <c r="H16" s="512" t="n">
        <v>300</v>
      </c>
      <c r="I16" s="512" t="n">
        <v>2.8</v>
      </c>
      <c r="J16" s="512" t="n">
        <v>0</v>
      </c>
      <c r="K16" s="512" t="n">
        <v>0</v>
      </c>
    </row>
    <row r="17">
      <c r="A17" s="511" t="inlineStr">
        <is>
          <t>remood|Duratech+ เรียบ14</t>
        </is>
      </c>
      <c r="B17" s="511" t="inlineStr">
        <is>
          <t>remood</t>
        </is>
      </c>
      <c r="C17" s="511" t="inlineStr">
        <is>
          <t>Duratech+ เรียบ14</t>
        </is>
      </c>
      <c r="D17" s="512" t="n">
        <v>0.14</v>
      </c>
      <c r="E17" s="512" t="n">
        <v>2.8</v>
      </c>
      <c r="F17" s="512" t="n">
        <v>850</v>
      </c>
      <c r="G17" s="512" t="inlineStr">
        <is>
          <t>แผ่น</t>
        </is>
      </c>
      <c r="H17" s="512" t="n">
        <v>300</v>
      </c>
      <c r="I17" s="512" t="n">
        <v>2.8</v>
      </c>
      <c r="J17" s="512" t="n">
        <v>0</v>
      </c>
      <c r="K17" s="512" t="n">
        <v>0</v>
      </c>
    </row>
    <row r="18">
      <c r="A18" s="511" t="inlineStr">
        <is>
          <t>remood|Duratech+ ชักร่อง15</t>
        </is>
      </c>
      <c r="B18" s="511" t="inlineStr">
        <is>
          <t>remood</t>
        </is>
      </c>
      <c r="C18" s="511" t="inlineStr">
        <is>
          <t>Duratech+ ชักร่อง15</t>
        </is>
      </c>
      <c r="D18" s="512" t="n">
        <v>0.15</v>
      </c>
      <c r="E18" s="512" t="n">
        <v>2.8</v>
      </c>
      <c r="F18" s="512" t="n">
        <v>950</v>
      </c>
      <c r="G18" s="512" t="inlineStr">
        <is>
          <t>แผ่น</t>
        </is>
      </c>
      <c r="H18" s="512" t="n">
        <v>300</v>
      </c>
      <c r="I18" s="512" t="n">
        <v>2.8</v>
      </c>
      <c r="J18" s="512" t="n">
        <v>0</v>
      </c>
      <c r="K18" s="512" t="n">
        <v>0</v>
      </c>
    </row>
    <row r="19">
      <c r="A19" s="511" t="inlineStr">
        <is>
          <t>remood|Duratech+ ชักร่อง21</t>
        </is>
      </c>
      <c r="B19" s="511" t="inlineStr">
        <is>
          <t>remood</t>
        </is>
      </c>
      <c r="C19" s="511" t="inlineStr">
        <is>
          <t>Duratech+ ชักร่อง21</t>
        </is>
      </c>
      <c r="D19" s="512" t="n">
        <v>0.219</v>
      </c>
      <c r="E19" s="512" t="n">
        <v>2.8</v>
      </c>
      <c r="F19" s="512" t="n">
        <v>1300</v>
      </c>
      <c r="G19" s="512" t="inlineStr">
        <is>
          <t>แผ่น</t>
        </is>
      </c>
      <c r="H19" s="512" t="n">
        <v>300</v>
      </c>
      <c r="I19" s="512" t="n">
        <v>2.8</v>
      </c>
      <c r="J19" s="512" t="n">
        <v>0</v>
      </c>
      <c r="K19" s="512" t="n">
        <v>0</v>
      </c>
    </row>
    <row r="20">
      <c r="A20" s="511" t="inlineStr">
        <is>
          <t>remood|LIGHT+ เรียบ12</t>
        </is>
      </c>
      <c r="B20" s="511" t="inlineStr">
        <is>
          <t>remood</t>
        </is>
      </c>
      <c r="C20" s="511" t="inlineStr">
        <is>
          <t>LIGHT+ เรียบ12</t>
        </is>
      </c>
      <c r="D20" s="512" t="n">
        <v>0.12</v>
      </c>
      <c r="E20" s="512" t="n">
        <v>2.8</v>
      </c>
      <c r="F20" s="512" t="n">
        <v>390</v>
      </c>
      <c r="G20" s="512" t="inlineStr">
        <is>
          <t>แผ่น</t>
        </is>
      </c>
      <c r="H20" s="512" t="n">
        <v>300</v>
      </c>
      <c r="I20" s="512" t="n">
        <v>2.8</v>
      </c>
      <c r="J20" s="512" t="n">
        <v>0</v>
      </c>
      <c r="K20" s="512" t="n">
        <v>0</v>
      </c>
    </row>
    <row r="21">
      <c r="A21" s="511" t="inlineStr">
        <is>
          <t>remood|LIGHT+ ลอนเล็ก</t>
        </is>
      </c>
      <c r="B21" s="511" t="inlineStr">
        <is>
          <t>remood</t>
        </is>
      </c>
      <c r="C21" s="511" t="inlineStr">
        <is>
          <t>LIGHT+ ลอนเล็ก</t>
        </is>
      </c>
      <c r="D21" s="512" t="n">
        <v>0.149</v>
      </c>
      <c r="E21" s="512" t="n">
        <v>2.8</v>
      </c>
      <c r="F21" s="512" t="n">
        <v>680</v>
      </c>
      <c r="G21" s="512" t="inlineStr">
        <is>
          <t>แผ่น</t>
        </is>
      </c>
      <c r="H21" s="512" t="n">
        <v>300</v>
      </c>
      <c r="I21" s="512" t="n">
        <v>2.8</v>
      </c>
      <c r="J21" s="512" t="n">
        <v>0</v>
      </c>
      <c r="K21" s="512" t="n">
        <v>0</v>
      </c>
    </row>
    <row r="22">
      <c r="A22" s="511" t="inlineStr">
        <is>
          <t>remood|LIGHT+ ชักร่อง16</t>
        </is>
      </c>
      <c r="B22" s="511" t="inlineStr">
        <is>
          <t>remood</t>
        </is>
      </c>
      <c r="C22" s="511" t="inlineStr">
        <is>
          <t>LIGHT+ ชักร่อง16</t>
        </is>
      </c>
      <c r="D22" s="512" t="n">
        <v>0.168</v>
      </c>
      <c r="E22" s="512" t="n">
        <v>2.8</v>
      </c>
      <c r="F22" s="512" t="n">
        <v>780</v>
      </c>
      <c r="G22" s="512" t="inlineStr">
        <is>
          <t>แผ่น</t>
        </is>
      </c>
      <c r="H22" s="512" t="n">
        <v>300</v>
      </c>
      <c r="I22" s="512" t="n">
        <v>2.8</v>
      </c>
      <c r="J22" s="512" t="n">
        <v>0</v>
      </c>
      <c r="K22" s="512" t="n">
        <v>0</v>
      </c>
    </row>
    <row r="23">
      <c r="A23" s="511" t="inlineStr">
        <is>
          <t>remood|LIGHT+ ชักร่อง21</t>
        </is>
      </c>
      <c r="B23" s="511" t="inlineStr">
        <is>
          <t>remood</t>
        </is>
      </c>
      <c r="C23" s="511" t="inlineStr">
        <is>
          <t>LIGHT+ ชักร่อง21</t>
        </is>
      </c>
      <c r="D23" s="512" t="n">
        <v>0.212</v>
      </c>
      <c r="E23" s="512" t="n">
        <v>2.8</v>
      </c>
      <c r="F23" s="512" t="n">
        <v>980</v>
      </c>
      <c r="G23" s="512" t="inlineStr">
        <is>
          <t>แผ่น</t>
        </is>
      </c>
      <c r="H23" s="512" t="n">
        <v>300</v>
      </c>
      <c r="I23" s="512" t="n">
        <v>2.8</v>
      </c>
      <c r="J23" s="512" t="n">
        <v>0</v>
      </c>
      <c r="K23" s="512" t="n">
        <v>0</v>
      </c>
    </row>
    <row r="24">
      <c r="A24" s="511" t="inlineStr">
        <is>
          <t>remood|Duralight+ เรียบ15</t>
        </is>
      </c>
      <c r="B24" s="511" t="inlineStr">
        <is>
          <t>remood</t>
        </is>
      </c>
      <c r="C24" s="511" t="inlineStr">
        <is>
          <t>Duralight+ เรียบ15</t>
        </is>
      </c>
      <c r="D24" s="512" t="n">
        <v>0.15</v>
      </c>
      <c r="E24" s="512" t="n">
        <v>2.8</v>
      </c>
      <c r="F24" s="512" t="n">
        <v>2500</v>
      </c>
      <c r="G24" s="512" t="inlineStr">
        <is>
          <t>แผ่น</t>
        </is>
      </c>
      <c r="H24" s="512" t="n">
        <v>300</v>
      </c>
      <c r="I24" s="512" t="n">
        <v>2.8</v>
      </c>
      <c r="J24" s="512" t="n">
        <v>0</v>
      </c>
      <c r="K24" s="512" t="n">
        <v>0</v>
      </c>
    </row>
    <row r="25">
      <c r="A25" s="511" t="inlineStr">
        <is>
          <t>remood|Duralight+ ชักร่อง</t>
        </is>
      </c>
      <c r="B25" s="511" t="inlineStr">
        <is>
          <t>remood</t>
        </is>
      </c>
      <c r="C25" s="511" t="inlineStr">
        <is>
          <t>Duralight+ ชักร่อง</t>
        </is>
      </c>
      <c r="D25" s="512" t="n">
        <v>0.116</v>
      </c>
      <c r="E25" s="512" t="n">
        <v>2.8</v>
      </c>
      <c r="F25" s="512" t="n">
        <v>2100</v>
      </c>
      <c r="G25" s="512" t="inlineStr">
        <is>
          <t>แผ่น</t>
        </is>
      </c>
      <c r="H25" s="512" t="n">
        <v>300</v>
      </c>
      <c r="I25" s="512" t="n">
        <v>2.8</v>
      </c>
      <c r="J25" s="512" t="n">
        <v>0</v>
      </c>
      <c r="K25" s="512" t="n">
        <v>0</v>
      </c>
    </row>
  </sheetData>
  <hyperlinks>
    <hyperlink ref="G1" location="'สารบัญ'!A1" display="🏠 สารบัญ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C000"/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24" customWidth="1" style="129" min="2" max="2"/>
    <col width="10.7" customWidth="1" style="129" min="3" max="3"/>
    <col width="16.9" customWidth="1" style="129" min="4" max="4"/>
    <col width="24" customWidth="1" style="129" min="5" max="5"/>
    <col width="8.6" customWidth="1" style="129" min="6" max="6"/>
    <col width="8.6" customWidth="1" style="129" min="7" max="7"/>
    <col width="8.6" customWidth="1" style="129" min="8" max="8"/>
    <col width="24" customWidth="1" style="129" min="9" max="9"/>
  </cols>
  <sheetData>
    <row r="1">
      <c r="A1" s="484" t="inlineStr">
        <is>
          <t>น้ำหนักโปรไฟล์อลูมิเนียม — เอาไปเสียบระบบ ราคาเส้น = น้ำหนัก × ราคา/กก.</t>
        </is>
      </c>
      <c r="B1" s="643" t="n"/>
      <c r="G1" s="753" t="inlineStr">
        <is>
          <t>🏠 สารบัญ</t>
        </is>
      </c>
      <c r="H1" s="754" t="n"/>
    </row>
    <row r="2">
      <c r="B2" s="509" t="inlineStr">
        <is>
          <t>แบรนด์</t>
        </is>
      </c>
      <c r="C2" s="509" t="inlineStr">
        <is>
          <t>รหัส</t>
        </is>
      </c>
      <c r="D2" s="509" t="inlineStr">
        <is>
          <t>หนา/ขนาด</t>
        </is>
      </c>
      <c r="E2" s="509" t="inlineStr">
        <is>
          <t>ชื่อ/รายการ</t>
        </is>
      </c>
      <c r="F2" s="509" t="inlineStr">
        <is>
          <t>ยาว(ม.)</t>
        </is>
      </c>
      <c r="G2" s="509" t="inlineStr">
        <is>
          <t>กก./ม.</t>
        </is>
      </c>
      <c r="H2" s="509" t="inlineStr">
        <is>
          <t>กก./เส้น</t>
        </is>
      </c>
      <c r="I2" s="509" t="inlineStr">
        <is>
          <t>หมายเหตุ</t>
        </is>
      </c>
    </row>
    <row r="3">
      <c r="B3" s="603" t="inlineStr">
        <is>
          <t>เมืองทอง — กล่องสี่เหลี่ยมด้านเท่า (ยาว 6 ม.)</t>
        </is>
      </c>
    </row>
    <row r="4">
      <c r="B4" s="511" t="inlineStr">
        <is>
          <t>เมืองทอง</t>
        </is>
      </c>
      <c r="C4" s="511" t="inlineStr">
        <is>
          <t>705</t>
        </is>
      </c>
      <c r="D4" s="511" t="inlineStr">
        <is>
          <t>1.00 มม.</t>
        </is>
      </c>
      <c r="E4" s="511" t="inlineStr">
        <is>
          <t>แป๊บ 6 หุน</t>
        </is>
      </c>
      <c r="F4" s="512" t="n">
        <v>6</v>
      </c>
      <c r="G4" s="604" t="n">
        <v>0.196</v>
      </c>
      <c r="H4" s="604" t="n">
        <v>1.18</v>
      </c>
      <c r="I4" s="511" t="n"/>
    </row>
    <row r="5">
      <c r="B5" s="511" t="inlineStr">
        <is>
          <t>เมืองทอง</t>
        </is>
      </c>
      <c r="C5" s="511" t="inlineStr">
        <is>
          <t>706</t>
        </is>
      </c>
      <c r="D5" s="511" t="inlineStr">
        <is>
          <t>1.20 มม.</t>
        </is>
      </c>
      <c r="E5" s="511" t="inlineStr">
        <is>
          <t>แป๊บ 6 หุน</t>
        </is>
      </c>
      <c r="F5" s="512" t="n">
        <v>6</v>
      </c>
      <c r="G5" s="604" t="n">
        <v>0.232</v>
      </c>
      <c r="H5" s="604" t="n">
        <v>1.39</v>
      </c>
      <c r="I5" s="511" t="n"/>
    </row>
    <row r="6">
      <c r="B6" s="511" t="inlineStr">
        <is>
          <t>เมืองทอง</t>
        </is>
      </c>
      <c r="C6" s="511" t="inlineStr">
        <is>
          <t>709</t>
        </is>
      </c>
      <c r="D6" s="511" t="inlineStr">
        <is>
          <t>1.00 มม.</t>
        </is>
      </c>
      <c r="E6" s="511" t="inlineStr">
        <is>
          <t>แป๊บ 1 นิ้ว</t>
        </is>
      </c>
      <c r="F6" s="512" t="n">
        <v>6</v>
      </c>
      <c r="G6" s="604" t="n">
        <v>0.262</v>
      </c>
      <c r="H6" s="604" t="n">
        <v>1.57</v>
      </c>
      <c r="I6" s="511" t="n"/>
    </row>
    <row r="7">
      <c r="B7" s="511" t="inlineStr">
        <is>
          <t>เมืองทอง</t>
        </is>
      </c>
      <c r="C7" s="511" t="inlineStr">
        <is>
          <t>710</t>
        </is>
      </c>
      <c r="D7" s="511" t="inlineStr">
        <is>
          <t>1.10 มม.</t>
        </is>
      </c>
      <c r="E7" s="511" t="inlineStr">
        <is>
          <t>แป๊บ 1 นิ้ว</t>
        </is>
      </c>
      <c r="F7" s="512" t="n">
        <v>6</v>
      </c>
      <c r="G7" s="604" t="n">
        <v>0.288</v>
      </c>
      <c r="H7" s="604" t="n">
        <v>1.73</v>
      </c>
      <c r="I7" s="511" t="n"/>
    </row>
    <row r="8">
      <c r="B8" s="511" t="inlineStr">
        <is>
          <t>เมืองทอง</t>
        </is>
      </c>
      <c r="C8" s="511" t="inlineStr">
        <is>
          <t>711</t>
        </is>
      </c>
      <c r="D8" s="511" t="inlineStr">
        <is>
          <t>1.20 มม.</t>
        </is>
      </c>
      <c r="E8" s="511" t="inlineStr">
        <is>
          <t>แป๊บ 1 นิ้ว</t>
        </is>
      </c>
      <c r="F8" s="512" t="n">
        <v>6</v>
      </c>
      <c r="G8" s="604" t="n">
        <v>0.314</v>
      </c>
      <c r="H8" s="604" t="n">
        <v>1.88</v>
      </c>
      <c r="I8" s="511" t="n"/>
    </row>
    <row r="9">
      <c r="B9" s="511" t="inlineStr">
        <is>
          <t>เมืองทอง</t>
        </is>
      </c>
      <c r="C9" s="511" t="inlineStr">
        <is>
          <t>715</t>
        </is>
      </c>
      <c r="D9" s="511" t="inlineStr">
        <is>
          <t>1.10 มม.</t>
        </is>
      </c>
      <c r="E9" s="511" t="inlineStr">
        <is>
          <t>แป๊บ 1¼ นิ้ว</t>
        </is>
      </c>
      <c r="F9" s="512" t="n">
        <v>6</v>
      </c>
      <c r="G9" s="604" t="n">
        <v>0.363</v>
      </c>
      <c r="H9" s="604" t="n">
        <v>2.18</v>
      </c>
      <c r="I9" s="511" t="n"/>
    </row>
    <row r="10">
      <c r="B10" s="511" t="inlineStr">
        <is>
          <t>เมืองทอง</t>
        </is>
      </c>
      <c r="C10" s="511" t="inlineStr">
        <is>
          <t>718</t>
        </is>
      </c>
      <c r="D10" s="511" t="inlineStr">
        <is>
          <t>1.10 มม.</t>
        </is>
      </c>
      <c r="E10" s="511" t="inlineStr">
        <is>
          <t>แป๊บ 1½ นิ้ว</t>
        </is>
      </c>
      <c r="F10" s="512" t="n">
        <v>6</v>
      </c>
      <c r="G10" s="604" t="n">
        <v>0.438</v>
      </c>
      <c r="H10" s="604" t="n">
        <v>2.63</v>
      </c>
      <c r="I10" s="511" t="n"/>
    </row>
    <row r="11">
      <c r="B11" s="511" t="inlineStr">
        <is>
          <t>เมืองทอง</t>
        </is>
      </c>
      <c r="C11" s="511" t="inlineStr">
        <is>
          <t>745</t>
        </is>
      </c>
      <c r="D11" s="511" t="inlineStr">
        <is>
          <t>1.50 มม.</t>
        </is>
      </c>
      <c r="E11" s="511" t="inlineStr">
        <is>
          <t>แป๊บ 1½ นิ้ว</t>
        </is>
      </c>
      <c r="F11" s="512" t="n">
        <v>6</v>
      </c>
      <c r="G11" s="604" t="n">
        <v>0.595</v>
      </c>
      <c r="H11" s="604" t="n">
        <v>3.57</v>
      </c>
      <c r="I11" s="511" t="n"/>
    </row>
    <row r="12">
      <c r="B12" s="511" t="inlineStr">
        <is>
          <t>เมืองทอง</t>
        </is>
      </c>
      <c r="C12" s="511" t="inlineStr">
        <is>
          <t>724A</t>
        </is>
      </c>
      <c r="D12" s="511" t="inlineStr">
        <is>
          <t>0.80 มม.</t>
        </is>
      </c>
      <c r="E12" s="511" t="inlineStr">
        <is>
          <t>แป๊บ 1¾ นิ้ว</t>
        </is>
      </c>
      <c r="F12" s="512" t="n">
        <v>6</v>
      </c>
      <c r="G12" s="604" t="n">
        <v>0.379</v>
      </c>
      <c r="H12" s="604" t="n">
        <v>2.27</v>
      </c>
      <c r="I12" s="511" t="n"/>
    </row>
    <row r="13">
      <c r="B13" s="511" t="inlineStr">
        <is>
          <t>เมืองทอง</t>
        </is>
      </c>
      <c r="C13" s="511" t="inlineStr">
        <is>
          <t>724B</t>
        </is>
      </c>
      <c r="D13" s="511" t="inlineStr">
        <is>
          <t>0.90 มม.</t>
        </is>
      </c>
      <c r="E13" s="511" t="inlineStr">
        <is>
          <t>แป๊บ 1¾ นิ้ว</t>
        </is>
      </c>
      <c r="F13" s="512" t="n">
        <v>6</v>
      </c>
      <c r="G13" s="604" t="n">
        <v>0.425</v>
      </c>
      <c r="H13" s="604" t="n">
        <v>2.55</v>
      </c>
      <c r="I13" s="511" t="n"/>
    </row>
    <row r="14">
      <c r="B14" s="511" t="inlineStr">
        <is>
          <t>เมืองทอง</t>
        </is>
      </c>
      <c r="C14" s="511" t="inlineStr">
        <is>
          <t>724F</t>
        </is>
      </c>
      <c r="D14" s="511" t="inlineStr">
        <is>
          <t>1.10 มม.</t>
        </is>
      </c>
      <c r="E14" s="511" t="inlineStr">
        <is>
          <t>แป๊บ 1¾ นิ้ว</t>
        </is>
      </c>
      <c r="F14" s="512" t="n">
        <v>6</v>
      </c>
      <c r="G14" s="604" t="n">
        <v>0.517</v>
      </c>
      <c r="H14" s="604" t="n">
        <v>3.1</v>
      </c>
      <c r="I14" s="511" t="n"/>
    </row>
    <row r="15">
      <c r="B15" s="511" t="inlineStr">
        <is>
          <t>เมืองทอง</t>
        </is>
      </c>
      <c r="C15" s="511" t="inlineStr">
        <is>
          <t>726A</t>
        </is>
      </c>
      <c r="D15" s="511" t="inlineStr">
        <is>
          <t>1.35 มม.</t>
        </is>
      </c>
      <c r="E15" s="511" t="inlineStr">
        <is>
          <t>แป๊บ 1¾ นิ้ว</t>
        </is>
      </c>
      <c r="F15" s="512" t="n">
        <v>6</v>
      </c>
      <c r="G15" s="604" t="n">
        <v>0.631</v>
      </c>
      <c r="H15" s="604" t="n">
        <v>3.79</v>
      </c>
      <c r="I15" s="511" t="n"/>
    </row>
    <row r="16">
      <c r="B16" s="511" t="inlineStr">
        <is>
          <t>เมืองทอง</t>
        </is>
      </c>
      <c r="C16" s="511" t="inlineStr">
        <is>
          <t>726F</t>
        </is>
      </c>
      <c r="D16" s="511" t="inlineStr">
        <is>
          <t>1.40 มม.</t>
        </is>
      </c>
      <c r="E16" s="511" t="inlineStr">
        <is>
          <t>แป๊บ 1¾ นิ้ว</t>
        </is>
      </c>
      <c r="F16" s="512" t="n">
        <v>6</v>
      </c>
      <c r="G16" s="604" t="n">
        <v>0.653</v>
      </c>
      <c r="H16" s="604" t="n">
        <v>3.92</v>
      </c>
      <c r="I16" s="511" t="n"/>
    </row>
    <row r="17">
      <c r="B17" s="511" t="inlineStr">
        <is>
          <t>เมืองทอง</t>
        </is>
      </c>
      <c r="C17" s="511" t="inlineStr">
        <is>
          <t>728</t>
        </is>
      </c>
      <c r="D17" s="511" t="inlineStr">
        <is>
          <t>1.20 มม.</t>
        </is>
      </c>
      <c r="E17" s="511" t="inlineStr">
        <is>
          <t>แป๊บ 2 นิ้ว</t>
        </is>
      </c>
      <c r="F17" s="512" t="n">
        <v>6</v>
      </c>
      <c r="G17" s="604" t="n">
        <v>0.645</v>
      </c>
      <c r="H17" s="604" t="n">
        <v>3.87</v>
      </c>
      <c r="I17" s="511" t="n"/>
    </row>
    <row r="18">
      <c r="B18" s="511" t="inlineStr">
        <is>
          <t>เมืองทอง</t>
        </is>
      </c>
      <c r="C18" s="511" t="inlineStr">
        <is>
          <t>749</t>
        </is>
      </c>
      <c r="D18" s="511" t="inlineStr">
        <is>
          <t>1.50 มม.</t>
        </is>
      </c>
      <c r="E18" s="511" t="inlineStr">
        <is>
          <t>แป๊บ 2 นิ้ว</t>
        </is>
      </c>
      <c r="F18" s="512" t="n">
        <v>6</v>
      </c>
      <c r="G18" s="604" t="n">
        <v>0.801</v>
      </c>
      <c r="H18" s="604" t="n">
        <v>4.81</v>
      </c>
      <c r="I18" s="511" t="n"/>
    </row>
    <row r="19">
      <c r="B19" s="603" t="inlineStr">
        <is>
          <t>เมืองทอง — กล่องสี่เหลี่ยมด้านไม่เท่า (ยาว 6 ม.)</t>
        </is>
      </c>
    </row>
    <row r="20">
      <c r="B20" s="511" t="inlineStr">
        <is>
          <t>เมืองทอง</t>
        </is>
      </c>
      <c r="C20" s="511" t="inlineStr">
        <is>
          <t>802</t>
        </is>
      </c>
      <c r="D20" s="511" t="inlineStr">
        <is>
          <t>1.00 มม.</t>
        </is>
      </c>
      <c r="E20" s="511" t="inlineStr">
        <is>
          <t>½×1 นิ้ว</t>
        </is>
      </c>
      <c r="F20" s="512" t="n">
        <v>6</v>
      </c>
      <c r="G20" s="604" t="n">
        <v>0.194</v>
      </c>
      <c r="H20" s="604" t="n">
        <v>1.16</v>
      </c>
      <c r="I20" s="511" t="n"/>
    </row>
    <row r="21">
      <c r="B21" s="511" t="inlineStr">
        <is>
          <t>เมืองทอง</t>
        </is>
      </c>
      <c r="C21" s="511" t="inlineStr">
        <is>
          <t>808</t>
        </is>
      </c>
      <c r="D21" s="511" t="inlineStr">
        <is>
          <t>1.00 มม.</t>
        </is>
      </c>
      <c r="E21" s="511" t="inlineStr">
        <is>
          <t>1½×1 นิ้ว</t>
        </is>
      </c>
      <c r="F21" s="512" t="n">
        <v>6</v>
      </c>
      <c r="G21" s="604" t="n">
        <v>0.332</v>
      </c>
      <c r="H21" s="604" t="n">
        <v>1.99</v>
      </c>
      <c r="I21" s="511" t="n"/>
    </row>
    <row r="22">
      <c r="B22" s="511" t="inlineStr">
        <is>
          <t>เมืองทอง</t>
        </is>
      </c>
      <c r="C22" s="511" t="inlineStr">
        <is>
          <t>812</t>
        </is>
      </c>
      <c r="D22" s="511" t="inlineStr">
        <is>
          <t>1.10 มม.</t>
        </is>
      </c>
      <c r="E22" s="511" t="inlineStr">
        <is>
          <t>1¾×1 นิ้ว</t>
        </is>
      </c>
      <c r="F22" s="512" t="n">
        <v>6</v>
      </c>
      <c r="G22" s="604" t="n">
        <v>0.401</v>
      </c>
      <c r="H22" s="604" t="n">
        <v>2.41</v>
      </c>
      <c r="I22" s="511" t="n"/>
    </row>
    <row r="23">
      <c r="B23" s="511" t="inlineStr">
        <is>
          <t>เมืองทอง</t>
        </is>
      </c>
      <c r="C23" s="511" t="inlineStr">
        <is>
          <t>0827</t>
        </is>
      </c>
      <c r="D23" s="511" t="inlineStr">
        <is>
          <t>1.00 มม.</t>
        </is>
      </c>
      <c r="E23" s="511" t="inlineStr">
        <is>
          <t>1×2 นิ้ว</t>
        </is>
      </c>
      <c r="F23" s="512" t="n">
        <v>6</v>
      </c>
      <c r="G23" s="604" t="n">
        <v>0.402</v>
      </c>
      <c r="H23" s="604" t="n">
        <v>2.41</v>
      </c>
      <c r="I23" s="511" t="n"/>
    </row>
    <row r="24">
      <c r="B24" s="511" t="inlineStr">
        <is>
          <t>เมืองทอง</t>
        </is>
      </c>
      <c r="C24" s="511" t="inlineStr">
        <is>
          <t>816</t>
        </is>
      </c>
      <c r="D24" s="511" t="inlineStr">
        <is>
          <t>1.20 มม.</t>
        </is>
      </c>
      <c r="E24" s="511" t="inlineStr">
        <is>
          <t>1×2 นิ้ว</t>
        </is>
      </c>
      <c r="F24" s="512" t="n">
        <v>6</v>
      </c>
      <c r="G24" s="604" t="n">
        <v>0.478</v>
      </c>
      <c r="H24" s="604" t="n">
        <v>2.87</v>
      </c>
      <c r="I24" s="511" t="n"/>
    </row>
    <row r="25">
      <c r="B25" s="511" t="inlineStr">
        <is>
          <t>เมืองทอง</t>
        </is>
      </c>
      <c r="C25" s="511" t="inlineStr">
        <is>
          <t>820</t>
        </is>
      </c>
      <c r="D25" s="511" t="inlineStr">
        <is>
          <t>1.20 มม.</t>
        </is>
      </c>
      <c r="E25" s="511" t="inlineStr">
        <is>
          <t>1×3 นิ้ว</t>
        </is>
      </c>
      <c r="F25" s="512" t="n">
        <v>6</v>
      </c>
      <c r="G25" s="604" t="n">
        <v>0.644</v>
      </c>
      <c r="H25" s="604" t="n">
        <v>3.86</v>
      </c>
      <c r="I25" s="511" t="n"/>
    </row>
    <row r="26">
      <c r="B26" s="511" t="inlineStr">
        <is>
          <t>เมืองทอง</t>
        </is>
      </c>
      <c r="C26" s="511" t="inlineStr">
        <is>
          <t>843</t>
        </is>
      </c>
      <c r="D26" s="511" t="inlineStr">
        <is>
          <t>1.40 มม.</t>
        </is>
      </c>
      <c r="E26" s="511" t="inlineStr">
        <is>
          <t>1×3 นิ้ว</t>
        </is>
      </c>
      <c r="F26" s="512" t="n">
        <v>6</v>
      </c>
      <c r="G26" s="604" t="n">
        <v>0.75</v>
      </c>
      <c r="H26" s="604" t="n">
        <v>4.5</v>
      </c>
      <c r="I26" s="511" t="n"/>
    </row>
    <row r="27">
      <c r="B27" s="511" t="inlineStr">
        <is>
          <t>เมืองทอง</t>
        </is>
      </c>
      <c r="C27" s="511" t="inlineStr">
        <is>
          <t>0828</t>
        </is>
      </c>
      <c r="D27" s="511" t="inlineStr">
        <is>
          <t>1.10 มม.</t>
        </is>
      </c>
      <c r="E27" s="511" t="inlineStr">
        <is>
          <t>1¾×3 นิ้ว</t>
        </is>
      </c>
      <c r="F27" s="512" t="n">
        <v>6</v>
      </c>
      <c r="G27" s="604" t="n">
        <v>0.706</v>
      </c>
      <c r="H27" s="604" t="n">
        <v>4.24</v>
      </c>
      <c r="I27" s="511" t="n"/>
    </row>
    <row r="28">
      <c r="B28" s="511" t="inlineStr">
        <is>
          <t>เมืองทอง</t>
        </is>
      </c>
      <c r="C28" s="511" t="inlineStr">
        <is>
          <t>823</t>
        </is>
      </c>
      <c r="D28" s="511" t="inlineStr">
        <is>
          <t>1.20 มม.</t>
        </is>
      </c>
      <c r="E28" s="511" t="inlineStr">
        <is>
          <t>1¾×3 นิ้ว</t>
        </is>
      </c>
      <c r="F28" s="512" t="n">
        <v>6</v>
      </c>
      <c r="G28" s="604" t="n">
        <v>0.769</v>
      </c>
      <c r="H28" s="604" t="n">
        <v>4.61</v>
      </c>
      <c r="I28" s="511" t="n"/>
    </row>
    <row r="29">
      <c r="B29" s="511" t="inlineStr">
        <is>
          <t>เมืองทอง</t>
        </is>
      </c>
      <c r="C29" s="511" t="inlineStr">
        <is>
          <t>848</t>
        </is>
      </c>
      <c r="D29" s="511" t="inlineStr">
        <is>
          <t>1.40 มม.</t>
        </is>
      </c>
      <c r="E29" s="511" t="inlineStr">
        <is>
          <t>1¾×3 นิ้ว</t>
        </is>
      </c>
      <c r="F29" s="512" t="n">
        <v>6</v>
      </c>
      <c r="G29" s="604" t="n">
        <v>0.894</v>
      </c>
      <c r="H29" s="604" t="n">
        <v>5.36</v>
      </c>
      <c r="I29" s="511" t="n"/>
    </row>
    <row r="30">
      <c r="B30" s="511" t="inlineStr">
        <is>
          <t>เมืองทอง</t>
        </is>
      </c>
      <c r="C30" s="511" t="inlineStr">
        <is>
          <t>0806</t>
        </is>
      </c>
      <c r="D30" s="511" t="inlineStr">
        <is>
          <t>1.20 มม.</t>
        </is>
      </c>
      <c r="E30" s="511" t="inlineStr">
        <is>
          <t>1×4 นิ้ว</t>
        </is>
      </c>
      <c r="F30" s="512" t="n">
        <v>6</v>
      </c>
      <c r="G30" s="604" t="n">
        <v>0.8100000000000001</v>
      </c>
      <c r="H30" s="604" t="n">
        <v>4.86</v>
      </c>
      <c r="I30" s="511" t="n"/>
    </row>
    <row r="31">
      <c r="B31" s="511" t="inlineStr">
        <is>
          <t>เมืองทอง</t>
        </is>
      </c>
      <c r="C31" s="511" t="inlineStr">
        <is>
          <t>831</t>
        </is>
      </c>
      <c r="D31" s="511" t="inlineStr">
        <is>
          <t>1.50 มม.</t>
        </is>
      </c>
      <c r="E31" s="511" t="inlineStr">
        <is>
          <t>1×4 นิ้ว</t>
        </is>
      </c>
      <c r="F31" s="512" t="n">
        <v>6</v>
      </c>
      <c r="G31" s="604" t="n">
        <v>1.008</v>
      </c>
      <c r="H31" s="604" t="n">
        <v>6.05</v>
      </c>
      <c r="I31" s="511" t="n"/>
    </row>
    <row r="32">
      <c r="B32" s="511" t="inlineStr">
        <is>
          <t>เมืองทอง</t>
        </is>
      </c>
      <c r="C32" s="511" t="inlineStr">
        <is>
          <t>0829</t>
        </is>
      </c>
      <c r="D32" s="511" t="inlineStr">
        <is>
          <t>1.10 มม.</t>
        </is>
      </c>
      <c r="E32" s="511" t="inlineStr">
        <is>
          <t>1¾×4 นิ้ว</t>
        </is>
      </c>
      <c r="F32" s="512" t="n">
        <v>6</v>
      </c>
      <c r="G32" s="604" t="n">
        <v>0.858</v>
      </c>
      <c r="H32" s="604" t="n">
        <v>5.15</v>
      </c>
      <c r="I32" s="511" t="n"/>
    </row>
    <row r="33">
      <c r="B33" s="511" t="inlineStr">
        <is>
          <t>เมืองทอง</t>
        </is>
      </c>
      <c r="C33" s="511" t="inlineStr">
        <is>
          <t>874</t>
        </is>
      </c>
      <c r="D33" s="511" t="inlineStr">
        <is>
          <t>1.20 มม.</t>
        </is>
      </c>
      <c r="E33" s="511" t="inlineStr">
        <is>
          <t>1¾×4 นิ้ว</t>
        </is>
      </c>
      <c r="F33" s="512" t="n">
        <v>6</v>
      </c>
      <c r="G33" s="604" t="n">
        <v>0.9360000000000001</v>
      </c>
      <c r="H33" s="604" t="n">
        <v>5.62</v>
      </c>
      <c r="I33" s="511" t="n"/>
    </row>
    <row r="34">
      <c r="B34" s="511" t="inlineStr">
        <is>
          <t>เมืองทอง</t>
        </is>
      </c>
      <c r="C34" s="511" t="inlineStr">
        <is>
          <t>837A</t>
        </is>
      </c>
      <c r="D34" s="511" t="inlineStr">
        <is>
          <t>1.30 มม.</t>
        </is>
      </c>
      <c r="E34" s="511" t="inlineStr">
        <is>
          <t>1¾×4 นิ้ว</t>
        </is>
      </c>
      <c r="F34" s="512" t="n">
        <v>6</v>
      </c>
      <c r="G34" s="604" t="n">
        <v>1.012</v>
      </c>
      <c r="H34" s="604" t="n">
        <v>6.07</v>
      </c>
      <c r="I34" s="511" t="n"/>
    </row>
    <row r="35">
      <c r="B35" s="511" t="inlineStr">
        <is>
          <t>เมืองทอง</t>
        </is>
      </c>
      <c r="C35" s="511" t="inlineStr">
        <is>
          <t>837B</t>
        </is>
      </c>
      <c r="D35" s="511" t="inlineStr">
        <is>
          <t>1.35 มม.</t>
        </is>
      </c>
      <c r="E35" s="511" t="inlineStr">
        <is>
          <t>1¾×4 นิ้ว</t>
        </is>
      </c>
      <c r="F35" s="512" t="n">
        <v>6</v>
      </c>
      <c r="G35" s="604" t="n">
        <v>1.049</v>
      </c>
      <c r="H35" s="604" t="n">
        <v>6.29</v>
      </c>
      <c r="I35" s="511" t="n"/>
    </row>
    <row r="36">
      <c r="B36" s="511" t="inlineStr">
        <is>
          <t>เมืองทอง</t>
        </is>
      </c>
      <c r="C36" s="511" t="inlineStr">
        <is>
          <t>837F</t>
        </is>
      </c>
      <c r="D36" s="511" t="inlineStr">
        <is>
          <t>1.50 มม.</t>
        </is>
      </c>
      <c r="E36" s="511" t="inlineStr">
        <is>
          <t>1¾×4 นิ้ว</t>
        </is>
      </c>
      <c r="F36" s="512" t="n">
        <v>6</v>
      </c>
      <c r="G36" s="604" t="n">
        <v>1.163</v>
      </c>
      <c r="H36" s="604" t="n">
        <v>6.98</v>
      </c>
      <c r="I36" s="511" t="n"/>
    </row>
    <row r="37">
      <c r="B37" s="511" t="inlineStr">
        <is>
          <t>เมืองทอง</t>
        </is>
      </c>
      <c r="C37" s="511" t="inlineStr">
        <is>
          <t>0821</t>
        </is>
      </c>
      <c r="D37" s="511" t="inlineStr">
        <is>
          <t>1.50 มม.</t>
        </is>
      </c>
      <c r="E37" s="511" t="inlineStr">
        <is>
          <t>2×4 นิ้ว</t>
        </is>
      </c>
      <c r="F37" s="512" t="n">
        <v>6</v>
      </c>
      <c r="G37" s="604" t="n">
        <v>1.215</v>
      </c>
      <c r="H37" s="604" t="n">
        <v>7.29</v>
      </c>
      <c r="I37" s="511" t="n"/>
    </row>
    <row r="38">
      <c r="B38" s="511" t="inlineStr">
        <is>
          <t>เมืองทอง</t>
        </is>
      </c>
      <c r="C38" s="511" t="inlineStr">
        <is>
          <t>0815</t>
        </is>
      </c>
      <c r="D38" s="511" t="inlineStr">
        <is>
          <t>2.00 มม.</t>
        </is>
      </c>
      <c r="E38" s="511" t="inlineStr">
        <is>
          <t>2×4 นิ้ว</t>
        </is>
      </c>
      <c r="F38" s="512" t="n">
        <v>6</v>
      </c>
      <c r="G38" s="604" t="n">
        <v>1.873</v>
      </c>
      <c r="H38" s="604" t="n">
        <v>11.24</v>
      </c>
      <c r="I38" s="511" t="n"/>
    </row>
    <row r="39">
      <c r="B39" s="603" t="inlineStr">
        <is>
          <t>เมืองทอง — ตัว Z</t>
        </is>
      </c>
    </row>
    <row r="40">
      <c r="B40" s="511" t="inlineStr">
        <is>
          <t>เมืองทอง</t>
        </is>
      </c>
      <c r="C40" s="511" t="inlineStr">
        <is>
          <t>TRT-1419</t>
        </is>
      </c>
      <c r="D40" s="511" t="inlineStr">
        <is>
          <t>126.3×77.7 ×1.3</t>
        </is>
      </c>
      <c r="E40" s="511" t="inlineStr">
        <is>
          <t>ตัว Z 4 นิ้ว</t>
        </is>
      </c>
      <c r="F40" s="512" t="n">
        <v>6</v>
      </c>
      <c r="G40" s="604" t="n">
        <v>0.677</v>
      </c>
      <c r="H40" s="604" t="n">
        <v>4.062</v>
      </c>
      <c r="I40" s="511" t="n"/>
    </row>
    <row r="41">
      <c r="B41" s="603" t="inlineStr">
        <is>
          <t>สลิม KOYO (SlimLux) — ยาว 6 ม.</t>
        </is>
      </c>
    </row>
    <row r="42">
      <c r="B42" s="511" t="inlineStr">
        <is>
          <t>SlimLux</t>
        </is>
      </c>
      <c r="C42" s="511" t="inlineStr">
        <is>
          <t>WM-K01</t>
        </is>
      </c>
      <c r="D42" s="511" t="inlineStr">
        <is>
          <t>-</t>
        </is>
      </c>
      <c r="E42" s="511" t="inlineStr">
        <is>
          <t>ไส้เสาบาน</t>
        </is>
      </c>
      <c r="F42" s="512" t="n">
        <v>6</v>
      </c>
      <c r="G42" s="604" t="n">
        <v>0.492</v>
      </c>
      <c r="H42" s="604" t="n">
        <v>2.95</v>
      </c>
      <c r="I42" s="511" t="inlineStr">
        <is>
          <t>9073 กลางบาน (เสากุญแจ)</t>
        </is>
      </c>
    </row>
    <row r="43">
      <c r="B43" s="511" t="inlineStr">
        <is>
          <t>SlimLux</t>
        </is>
      </c>
      <c r="C43" s="511" t="inlineStr">
        <is>
          <t>WM-K02</t>
        </is>
      </c>
      <c r="D43" s="511" t="inlineStr">
        <is>
          <t>-</t>
        </is>
      </c>
      <c r="E43" s="511" t="inlineStr">
        <is>
          <t>ฝาเสาเรียบ</t>
        </is>
      </c>
      <c r="F43" s="512" t="n">
        <v>6</v>
      </c>
      <c r="G43" s="604" t="n">
        <v>0.262</v>
      </c>
      <c r="H43" s="604" t="n">
        <v>1.57</v>
      </c>
      <c r="I43" s="511" t="n"/>
    </row>
    <row r="44">
      <c r="B44" s="511" t="inlineStr">
        <is>
          <t>SlimLux</t>
        </is>
      </c>
      <c r="C44" s="511" t="inlineStr">
        <is>
          <t>WM-K03</t>
        </is>
      </c>
      <c r="D44" s="511" t="inlineStr">
        <is>
          <t>-</t>
        </is>
      </c>
      <c r="E44" s="511" t="inlineStr">
        <is>
          <t>ฝาเสาเกี่ยว</t>
        </is>
      </c>
      <c r="F44" s="512" t="n">
        <v>6</v>
      </c>
      <c r="G44" s="604" t="n">
        <v>0.282</v>
      </c>
      <c r="H44" s="604" t="n">
        <v>1.692</v>
      </c>
      <c r="I44" s="511" t="n"/>
    </row>
    <row r="45">
      <c r="B45" s="511" t="inlineStr">
        <is>
          <t>SlimLux</t>
        </is>
      </c>
      <c r="C45" s="511" t="inlineStr">
        <is>
          <t>WM-K04</t>
        </is>
      </c>
      <c r="D45" s="511" t="inlineStr">
        <is>
          <t>-</t>
        </is>
      </c>
      <c r="E45" s="511" t="inlineStr">
        <is>
          <t>ขวางบนล่าง</t>
        </is>
      </c>
      <c r="F45" s="512" t="n">
        <v>6</v>
      </c>
      <c r="G45" s="604" t="n">
        <v>0.782</v>
      </c>
      <c r="H45" s="604" t="n">
        <v>4.69</v>
      </c>
      <c r="I45" s="511" t="inlineStr">
        <is>
          <t>9072 หัวบาน (ขวางบน/ล่าง)</t>
        </is>
      </c>
    </row>
    <row r="46">
      <c r="B46" s="511" t="inlineStr">
        <is>
          <t>SlimLux</t>
        </is>
      </c>
      <c r="C46" s="511" t="inlineStr">
        <is>
          <t>-</t>
        </is>
      </c>
      <c r="D46" s="511" t="inlineStr">
        <is>
          <t>-</t>
        </is>
      </c>
      <c r="E46" s="511" t="inlineStr">
        <is>
          <t>รางบน 3 ราง</t>
        </is>
      </c>
      <c r="F46" s="512" t="n">
        <v>6</v>
      </c>
      <c r="G46" s="604" t="n">
        <v>1.789</v>
      </c>
      <c r="H46" s="604" t="n">
        <v>10.734</v>
      </c>
      <c r="I46" s="511" t="n"/>
    </row>
    <row r="47">
      <c r="B47" s="511" t="inlineStr">
        <is>
          <t>SlimLux</t>
        </is>
      </c>
      <c r="C47" s="511" t="inlineStr">
        <is>
          <t>WM-K15</t>
        </is>
      </c>
      <c r="D47" s="511" t="inlineStr">
        <is>
          <t>-</t>
        </is>
      </c>
      <c r="E47" s="511" t="inlineStr">
        <is>
          <t>รางแขวน 1 ราง</t>
        </is>
      </c>
      <c r="F47" s="512" t="n">
        <v>6</v>
      </c>
      <c r="G47" s="604" t="n">
        <v>0.91</v>
      </c>
      <c r="H47" s="604" t="n">
        <v>5.46</v>
      </c>
      <c r="I47" s="511" t="n"/>
    </row>
    <row r="48">
      <c r="B48" s="511" t="inlineStr">
        <is>
          <t>SlimLux</t>
        </is>
      </c>
      <c r="C48" s="511" t="inlineStr">
        <is>
          <t>WM-K19</t>
        </is>
      </c>
      <c r="D48" s="511" t="inlineStr">
        <is>
          <t>-</t>
        </is>
      </c>
      <c r="E48" s="511" t="inlineStr">
        <is>
          <t>ข้อต่อรางแขวน</t>
        </is>
      </c>
      <c r="F48" s="512" t="n">
        <v>6</v>
      </c>
      <c r="G48" s="604" t="n">
        <v>0.114</v>
      </c>
      <c r="H48" s="604" t="n">
        <v>0.6840000000000001</v>
      </c>
      <c r="I48" s="511" t="n"/>
    </row>
    <row r="49">
      <c r="B49" s="511" t="inlineStr">
        <is>
          <t>SlimLux</t>
        </is>
      </c>
      <c r="C49" s="511" t="inlineStr">
        <is>
          <t>WM-K18</t>
        </is>
      </c>
      <c r="D49" s="511" t="inlineStr">
        <is>
          <t>-</t>
        </is>
      </c>
      <c r="E49" s="511" t="inlineStr">
        <is>
          <t>ฝาปิดข้างรางแขวน</t>
        </is>
      </c>
      <c r="F49" s="512" t="n">
        <v>6</v>
      </c>
      <c r="G49" s="604" t="n">
        <v>0.144</v>
      </c>
      <c r="H49" s="604" t="n">
        <v>0.864</v>
      </c>
      <c r="I49" s="511" t="n"/>
    </row>
    <row r="50">
      <c r="B50" s="511" t="inlineStr">
        <is>
          <t>SlimLux</t>
        </is>
      </c>
      <c r="C50" s="511" t="inlineStr">
        <is>
          <t>WM-K20</t>
        </is>
      </c>
      <c r="D50" s="511" t="inlineStr">
        <is>
          <t>-</t>
        </is>
      </c>
      <c r="E50" s="511" t="inlineStr">
        <is>
          <t>ฝาปิดล่างรางแขวน</t>
        </is>
      </c>
      <c r="F50" s="512" t="n">
        <v>6</v>
      </c>
      <c r="G50" s="604" t="n">
        <v>0.079</v>
      </c>
      <c r="H50" s="604" t="n">
        <v>0.474</v>
      </c>
      <c r="I50" s="511" t="n"/>
    </row>
    <row r="51">
      <c r="B51" s="511" t="inlineStr">
        <is>
          <t>SlimLux</t>
        </is>
      </c>
      <c r="C51" s="511" t="inlineStr">
        <is>
          <t>WM-K21A</t>
        </is>
      </c>
      <c r="D51" s="511" t="inlineStr">
        <is>
          <t>-</t>
        </is>
      </c>
      <c r="E51" s="511" t="inlineStr">
        <is>
          <t>ฝาปิดล่างรางแขวนตัวใหญ่</t>
        </is>
      </c>
      <c r="F51" s="512" t="n">
        <v>6</v>
      </c>
      <c r="G51" s="604" t="n">
        <v>0.14</v>
      </c>
      <c r="H51" s="604" t="n">
        <v>0.84</v>
      </c>
      <c r="I51" s="511" t="n"/>
    </row>
    <row r="52">
      <c r="B52" s="511" t="inlineStr">
        <is>
          <t>SlimLux</t>
        </is>
      </c>
      <c r="C52" s="511" t="inlineStr">
        <is>
          <t>-</t>
        </is>
      </c>
      <c r="D52" s="511" t="inlineStr">
        <is>
          <t>-</t>
        </is>
      </c>
      <c r="E52" s="511" t="inlineStr">
        <is>
          <t>วงกบ</t>
        </is>
      </c>
      <c r="F52" s="512" t="n">
        <v>6</v>
      </c>
      <c r="G52" s="604" t="n">
        <v>0.596</v>
      </c>
      <c r="H52" s="604" t="n">
        <v>3.576</v>
      </c>
      <c r="I52" s="511" t="n"/>
    </row>
    <row r="53">
      <c r="B53" s="511" t="inlineStr">
        <is>
          <t>SlimLux</t>
        </is>
      </c>
      <c r="C53" s="511" t="inlineStr">
        <is>
          <t>-</t>
        </is>
      </c>
      <c r="D53" s="511" t="inlineStr">
        <is>
          <t>-</t>
        </is>
      </c>
      <c r="E53" s="511" t="inlineStr">
        <is>
          <t>ลูกฟูก</t>
        </is>
      </c>
      <c r="F53" s="512" t="n">
        <v>6</v>
      </c>
      <c r="G53" s="604" t="n">
        <v>0.424</v>
      </c>
      <c r="H53" s="604" t="n">
        <v>2.544</v>
      </c>
      <c r="I53" s="511" t="n"/>
    </row>
    <row r="54">
      <c r="B54" s="511" t="inlineStr">
        <is>
          <t>SlimLux</t>
        </is>
      </c>
      <c r="C54" s="511" t="inlineStr">
        <is>
          <t>-</t>
        </is>
      </c>
      <c r="D54" s="511" t="inlineStr">
        <is>
          <t>-</t>
        </is>
      </c>
      <c r="E54" s="511" t="inlineStr">
        <is>
          <t>ซัพวงกบใน</t>
        </is>
      </c>
      <c r="F54" s="512" t="n">
        <v>6</v>
      </c>
      <c r="G54" s="604" t="n">
        <v>0.076</v>
      </c>
      <c r="H54" s="604" t="n">
        <v>0.456</v>
      </c>
      <c r="I54" s="511" t="n"/>
    </row>
    <row r="55">
      <c r="B55" s="511" t="inlineStr">
        <is>
          <t>SlimLux</t>
        </is>
      </c>
      <c r="C55" s="511" t="inlineStr">
        <is>
          <t>-</t>
        </is>
      </c>
      <c r="D55" s="511" t="inlineStr">
        <is>
          <t>-</t>
        </is>
      </c>
      <c r="E55" s="511" t="inlineStr">
        <is>
          <t>ซัพวงกบนอก</t>
        </is>
      </c>
      <c r="F55" s="512" t="n">
        <v>6</v>
      </c>
      <c r="G55" s="604" t="n">
        <v>0.28</v>
      </c>
      <c r="H55" s="604" t="n">
        <v>1.68</v>
      </c>
      <c r="I55" s="511" t="n"/>
    </row>
    <row r="56">
      <c r="B56" s="511" t="inlineStr">
        <is>
          <t>SlimLux</t>
        </is>
      </c>
      <c r="C56" s="511" t="inlineStr">
        <is>
          <t>-</t>
        </is>
      </c>
      <c r="D56" s="511" t="inlineStr">
        <is>
          <t>-</t>
        </is>
      </c>
      <c r="E56" s="511" t="inlineStr">
        <is>
          <t>บาน</t>
        </is>
      </c>
      <c r="F56" s="512" t="n">
        <v>6</v>
      </c>
      <c r="G56" s="604" t="n">
        <v>0.481</v>
      </c>
      <c r="H56" s="604" t="n">
        <v>2.886</v>
      </c>
      <c r="I56" s="511" t="n"/>
    </row>
    <row r="57">
      <c r="B57" s="603" t="inlineStr">
        <is>
          <t>Velora — ยาว 6 ม.</t>
        </is>
      </c>
    </row>
    <row r="58">
      <c r="B58" s="511" t="inlineStr">
        <is>
          <t>Velora</t>
        </is>
      </c>
      <c r="C58" s="511" t="inlineStr">
        <is>
          <t>-</t>
        </is>
      </c>
      <c r="D58" s="511" t="inlineStr">
        <is>
          <t>-</t>
        </is>
      </c>
      <c r="E58" s="511" t="inlineStr">
        <is>
          <t>บาน</t>
        </is>
      </c>
      <c r="F58" s="512" t="n">
        <v>6</v>
      </c>
      <c r="G58" s="604" t="n">
        <v>0.481</v>
      </c>
      <c r="H58" s="604" t="n">
        <v>2.886</v>
      </c>
      <c r="I58" s="511" t="n"/>
    </row>
    <row r="59">
      <c r="B59" s="511" t="inlineStr">
        <is>
          <t>Velora</t>
        </is>
      </c>
      <c r="C59" s="511" t="inlineStr">
        <is>
          <t>-</t>
        </is>
      </c>
      <c r="D59" s="511" t="inlineStr">
        <is>
          <t>-</t>
        </is>
      </c>
      <c r="E59" s="511" t="inlineStr">
        <is>
          <t>วงกบ</t>
        </is>
      </c>
      <c r="F59" s="512" t="n">
        <v>6</v>
      </c>
      <c r="G59" s="604" t="n">
        <v>0.596</v>
      </c>
      <c r="H59" s="604" t="n">
        <v>3.576</v>
      </c>
      <c r="I59" s="511" t="n"/>
    </row>
    <row r="60">
      <c r="B60" s="603" t="inlineStr">
        <is>
          <t>Fuji (Euro bi-fold) — เบอร์ดาย · ตรวจหน่วย/ความยาวเส้นอีกที</t>
        </is>
      </c>
    </row>
    <row r="61">
      <c r="B61" s="511" t="inlineStr">
        <is>
          <t>Fuji</t>
        </is>
      </c>
      <c r="C61" s="511" t="inlineStr">
        <is>
          <t>F7968</t>
        </is>
      </c>
      <c r="D61" s="511" t="inlineStr">
        <is>
          <t>-</t>
        </is>
      </c>
      <c r="E61" s="511" t="inlineStr">
        <is>
          <t>เฟรมบนบานเฟี้ยม A</t>
        </is>
      </c>
      <c r="F61" s="605" t="n">
        <v>6.4</v>
      </c>
      <c r="G61" s="604" t="n">
        <v>0.432</v>
      </c>
      <c r="H61" s="604" t="n">
        <v>2.767</v>
      </c>
      <c r="I61" s="606" t="inlineStr">
        <is>
          <t>ตรวจหน่วย</t>
        </is>
      </c>
    </row>
    <row r="62">
      <c r="B62" s="511" t="inlineStr">
        <is>
          <t>Fuji</t>
        </is>
      </c>
      <c r="C62" s="511" t="inlineStr">
        <is>
          <t>F7969</t>
        </is>
      </c>
      <c r="D62" s="511" t="inlineStr">
        <is>
          <t>-</t>
        </is>
      </c>
      <c r="E62" s="511" t="inlineStr">
        <is>
          <t>เฟรมล่างบานเฟี้ยม A</t>
        </is>
      </c>
      <c r="F62" s="605" t="n">
        <v>6.4</v>
      </c>
      <c r="G62" s="604" t="n">
        <v>0.24</v>
      </c>
      <c r="H62" s="604" t="n">
        <v>1.533</v>
      </c>
      <c r="I62" s="606" t="inlineStr">
        <is>
          <t>ตรวจหน่วย</t>
        </is>
      </c>
    </row>
    <row r="63">
      <c r="B63" s="511" t="inlineStr">
        <is>
          <t>Fuji</t>
        </is>
      </c>
      <c r="C63" s="511" t="inlineStr">
        <is>
          <t>F7970</t>
        </is>
      </c>
      <c r="D63" s="511" t="inlineStr">
        <is>
          <t>-</t>
        </is>
      </c>
      <c r="E63" s="511" t="inlineStr">
        <is>
          <t>เฟรมข้างบานเฟี้ยม</t>
        </is>
      </c>
      <c r="F63" s="605" t="n">
        <v>6.4</v>
      </c>
      <c r="G63" s="604" t="n">
        <v>0.146</v>
      </c>
      <c r="H63" s="604" t="n">
        <v>0.9340000000000001</v>
      </c>
      <c r="I63" s="606" t="inlineStr">
        <is>
          <t>ตรวจหน่วย</t>
        </is>
      </c>
    </row>
    <row r="64">
      <c r="B64" s="511" t="inlineStr">
        <is>
          <t>Fuji</t>
        </is>
      </c>
      <c r="C64" s="511" t="inlineStr">
        <is>
          <t>F7971</t>
        </is>
      </c>
      <c r="D64" s="511" t="inlineStr">
        <is>
          <t>-</t>
        </is>
      </c>
      <c r="E64" s="511" t="inlineStr">
        <is>
          <t>คิ้วตบเฟรมข้าง</t>
        </is>
      </c>
      <c r="F64" s="605" t="n">
        <v>6.4</v>
      </c>
      <c r="G64" s="604" t="n">
        <v>0.062</v>
      </c>
      <c r="H64" s="604" t="n">
        <v>0.4</v>
      </c>
      <c r="I64" s="606" t="inlineStr">
        <is>
          <t>ตรวจหน่วย</t>
        </is>
      </c>
    </row>
    <row r="65">
      <c r="B65" s="511" t="inlineStr">
        <is>
          <t>Fuji</t>
        </is>
      </c>
      <c r="C65" s="511" t="inlineStr">
        <is>
          <t>F7973</t>
        </is>
      </c>
      <c r="D65" s="511" t="inlineStr">
        <is>
          <t>-</t>
        </is>
      </c>
      <c r="E65" s="511" t="inlineStr">
        <is>
          <t>ตบปิดเฟรม (ตั้ง)</t>
        </is>
      </c>
      <c r="F65" s="605" t="n">
        <v>6.4</v>
      </c>
      <c r="G65" s="604" t="n">
        <v>0.03</v>
      </c>
      <c r="H65" s="604" t="n">
        <v>0.19</v>
      </c>
      <c r="I65" s="606" t="inlineStr">
        <is>
          <t>ตรวจหน่วย</t>
        </is>
      </c>
    </row>
    <row r="66">
      <c r="B66" s="511" t="inlineStr">
        <is>
          <t>Fuji</t>
        </is>
      </c>
      <c r="C66" s="511" t="inlineStr">
        <is>
          <t>F7972</t>
        </is>
      </c>
      <c r="D66" s="511" t="inlineStr">
        <is>
          <t>-</t>
        </is>
      </c>
      <c r="E66" s="511" t="inlineStr">
        <is>
          <t>กรอบบานเฟี้ยม (ตั้ง) A</t>
        </is>
      </c>
      <c r="F66" s="605" t="n">
        <v>6.4</v>
      </c>
      <c r="G66" s="604" t="n">
        <v>0.229</v>
      </c>
      <c r="H66" s="604" t="n">
        <v>1.466</v>
      </c>
      <c r="I66" s="606" t="inlineStr">
        <is>
          <t>ตรวจหน่วย</t>
        </is>
      </c>
    </row>
    <row r="67">
      <c r="B67" s="511" t="inlineStr">
        <is>
          <t>Fuji</t>
        </is>
      </c>
      <c r="C67" s="511" t="inlineStr">
        <is>
          <t>F7935</t>
        </is>
      </c>
      <c r="D67" s="511" t="inlineStr">
        <is>
          <t>-</t>
        </is>
      </c>
      <c r="E67" s="511" t="inlineStr">
        <is>
          <t>คิ้วกระจก 5-12มิล</t>
        </is>
      </c>
      <c r="F67" s="605" t="n">
        <v>6.4</v>
      </c>
      <c r="G67" s="604" t="n">
        <v>0.045</v>
      </c>
      <c r="H67" s="604" t="n">
        <v>0.285</v>
      </c>
      <c r="I67" s="606" t="inlineStr">
        <is>
          <t>ตรวจหน่วย</t>
        </is>
      </c>
    </row>
    <row r="68">
      <c r="B68" s="511" t="inlineStr">
        <is>
          <t>Fuji</t>
        </is>
      </c>
      <c r="C68" s="511" t="inlineStr">
        <is>
          <t>F7974</t>
        </is>
      </c>
      <c r="D68" s="511" t="inlineStr">
        <is>
          <t>-</t>
        </is>
      </c>
      <c r="E68" s="511" t="inlineStr">
        <is>
          <t>ชนกลางบานคู่</t>
        </is>
      </c>
      <c r="F68" s="605" t="n">
        <v>6.4</v>
      </c>
      <c r="G68" s="604" t="n">
        <v>0.125</v>
      </c>
      <c r="H68" s="604" t="n">
        <v>0.799</v>
      </c>
      <c r="I68" s="606" t="inlineStr">
        <is>
          <t>ตรวจหน่วย</t>
        </is>
      </c>
    </row>
    <row r="69">
      <c r="B69" s="511" t="inlineStr">
        <is>
          <t>Fuji</t>
        </is>
      </c>
      <c r="C69" s="511" t="inlineStr">
        <is>
          <t>F7963</t>
        </is>
      </c>
      <c r="D69" s="511" t="inlineStr">
        <is>
          <t>-</t>
        </is>
      </c>
      <c r="E69" s="511" t="inlineStr">
        <is>
          <t>รับล็อคเสาเข้ามุมบานคู่</t>
        </is>
      </c>
      <c r="F69" s="605" t="n">
        <v>6.4</v>
      </c>
      <c r="G69" s="604" t="n">
        <v>0.068</v>
      </c>
      <c r="H69" s="604" t="n">
        <v>0.438</v>
      </c>
      <c r="I69" s="606" t="inlineStr">
        <is>
          <t>ตรวจหน่วย</t>
        </is>
      </c>
    </row>
    <row r="70">
      <c r="B70" s="511" t="inlineStr">
        <is>
          <t>Fuji</t>
        </is>
      </c>
      <c r="C70" s="511" t="inlineStr">
        <is>
          <t>F7964</t>
        </is>
      </c>
      <c r="D70" s="511" t="inlineStr">
        <is>
          <t>-</t>
        </is>
      </c>
      <c r="E70" s="511" t="inlineStr">
        <is>
          <t>เสาเข้ามุม</t>
        </is>
      </c>
      <c r="F70" s="605" t="n">
        <v>6.4</v>
      </c>
      <c r="G70" s="604" t="n">
        <v>0.161</v>
      </c>
      <c r="H70" s="604" t="n">
        <v>1.03</v>
      </c>
      <c r="I70" s="606" t="inlineStr">
        <is>
          <t>ตรวจหน่วย</t>
        </is>
      </c>
    </row>
    <row r="71">
      <c r="B71" s="511" t="inlineStr">
        <is>
          <t>Fuji</t>
        </is>
      </c>
      <c r="C71" s="511" t="inlineStr">
        <is>
          <t>F7975</t>
        </is>
      </c>
      <c r="D71" s="511" t="inlineStr">
        <is>
          <t>-</t>
        </is>
      </c>
      <c r="E71" s="511" t="inlineStr">
        <is>
          <t>บังใบ</t>
        </is>
      </c>
      <c r="F71" s="605" t="n">
        <v>6.4</v>
      </c>
      <c r="G71" s="604" t="n">
        <v>0.07099999999999999</v>
      </c>
      <c r="H71" s="604" t="n">
        <v>0.452</v>
      </c>
      <c r="I71" s="606" t="inlineStr">
        <is>
          <t>ตรวจหน่วย</t>
        </is>
      </c>
    </row>
    <row r="72">
      <c r="B72" s="511" t="inlineStr">
        <is>
          <t>Fuji</t>
        </is>
      </c>
      <c r="C72" s="511" t="inlineStr">
        <is>
          <t>F7961</t>
        </is>
      </c>
      <c r="D72" s="511" t="inlineStr">
        <is>
          <t>-</t>
        </is>
      </c>
      <c r="E72" s="511" t="inlineStr">
        <is>
          <t>รับล็อคเฟรมข้างบานคู่</t>
        </is>
      </c>
      <c r="F72" s="605" t="n">
        <v>6.4</v>
      </c>
      <c r="G72" s="604" t="n">
        <v>0.077</v>
      </c>
      <c r="H72" s="604" t="n">
        <v>0.496</v>
      </c>
      <c r="I72" s="606" t="inlineStr">
        <is>
          <t>ตรวจหน่วย</t>
        </is>
      </c>
    </row>
    <row r="73">
      <c r="B73" s="511" t="inlineStr">
        <is>
          <t>Fuji</t>
        </is>
      </c>
      <c r="C73" s="511" t="inlineStr">
        <is>
          <t>F7962</t>
        </is>
      </c>
      <c r="D73" s="511" t="inlineStr">
        <is>
          <t>-</t>
        </is>
      </c>
      <c r="E73" s="511" t="inlineStr">
        <is>
          <t>รับล็อคบานคู่+บานคี่</t>
        </is>
      </c>
      <c r="F73" s="605" t="n">
        <v>6.4</v>
      </c>
      <c r="G73" s="604" t="n">
        <v>0.137</v>
      </c>
      <c r="H73" s="604" t="n">
        <v>0.874</v>
      </c>
      <c r="I73" s="606" t="inlineStr">
        <is>
          <t>ตรวจหน่วย</t>
        </is>
      </c>
    </row>
    <row r="74">
      <c r="B74" s="511" t="inlineStr">
        <is>
          <t>Fuji</t>
        </is>
      </c>
      <c r="C74" s="511" t="inlineStr">
        <is>
          <t>F7932</t>
        </is>
      </c>
      <c r="D74" s="511" t="inlineStr">
        <is>
          <t>-</t>
        </is>
      </c>
      <c r="E74" s="511" t="inlineStr">
        <is>
          <t>รางยู A</t>
        </is>
      </c>
      <c r="F74" s="605" t="n">
        <v>6.4</v>
      </c>
      <c r="G74" s="604" t="n">
        <v>0.047</v>
      </c>
      <c r="H74" s="604" t="n">
        <v>0.303</v>
      </c>
      <c r="I74" s="606" t="inlineStr">
        <is>
          <t>ตรวจหน่วย</t>
        </is>
      </c>
    </row>
    <row r="75">
      <c r="B75" s="511" t="inlineStr">
        <is>
          <t>Fuji</t>
        </is>
      </c>
      <c r="C75" s="511" t="inlineStr">
        <is>
          <t>F7949</t>
        </is>
      </c>
      <c r="D75" s="511" t="inlineStr">
        <is>
          <t>-</t>
        </is>
      </c>
      <c r="E75" s="511" t="inlineStr">
        <is>
          <t>คิ้วกระจก 14-20มิล</t>
        </is>
      </c>
      <c r="F75" s="605" t="n">
        <v>6.4</v>
      </c>
      <c r="G75" s="604" t="n">
        <v>0.039</v>
      </c>
      <c r="H75" s="604" t="n">
        <v>0.252</v>
      </c>
      <c r="I75" s="606" t="inlineStr">
        <is>
          <t>ตรวจหน่วย</t>
        </is>
      </c>
    </row>
    <row r="76">
      <c r="B76" s="607" t="inlineStr">
        <is>
          <t>Fuji</t>
        </is>
      </c>
      <c r="C76" s="607" t="inlineStr">
        <is>
          <t>F7859</t>
        </is>
      </c>
      <c r="D76" s="607" t="inlineStr">
        <is>
          <t>-</t>
        </is>
      </c>
      <c r="E76" s="607" t="inlineStr">
        <is>
          <t>วงกบ 3 ด้าน (บานเปิด/กระทุ้ง)</t>
        </is>
      </c>
      <c r="F76" s="608" t="n">
        <v>6.4</v>
      </c>
      <c r="G76" s="609" t="n">
        <v>0.877</v>
      </c>
      <c r="H76" s="609" t="n">
        <v>5.61</v>
      </c>
      <c r="I76" s="607" t="inlineStr">
        <is>
          <t>ยืนยัน /เส้น แล้ว</t>
        </is>
      </c>
    </row>
    <row r="78">
      <c r="B78" s="532" t="inlineStr">
        <is>
          <t>SMS — บานยก/Double Hung (ยาว 6.4 ม.)</t>
        </is>
      </c>
    </row>
    <row r="79">
      <c r="B79" s="607" t="inlineStr">
        <is>
          <t>SMS</t>
        </is>
      </c>
      <c r="C79" s="607" t="inlineStr">
        <is>
          <t>B28009-12</t>
        </is>
      </c>
      <c r="D79" s="607" t="inlineStr">
        <is>
          <t>-</t>
        </is>
      </c>
      <c r="E79" s="607" t="inlineStr">
        <is>
          <t>HEAD เฟรมบน</t>
        </is>
      </c>
      <c r="F79" s="610" t="n">
        <v>6.4</v>
      </c>
      <c r="G79" s="609" t="n">
        <v>0.897</v>
      </c>
      <c r="H79" s="609" t="n">
        <v>5.741</v>
      </c>
      <c r="I79" s="607" t="n"/>
    </row>
    <row r="80">
      <c r="B80" s="607" t="inlineStr">
        <is>
          <t>SMS</t>
        </is>
      </c>
      <c r="C80" s="607" t="inlineStr">
        <is>
          <t>B28010-12</t>
        </is>
      </c>
      <c r="D80" s="607" t="inlineStr">
        <is>
          <t>-</t>
        </is>
      </c>
      <c r="E80" s="607" t="inlineStr">
        <is>
          <t>COVER HEAD ตบปิดเฟรมบน</t>
        </is>
      </c>
      <c r="F80" s="610" t="n">
        <v>6.4</v>
      </c>
      <c r="G80" s="609" t="n">
        <v>0.35</v>
      </c>
      <c r="H80" s="609" t="n">
        <v>2.24</v>
      </c>
      <c r="I80" s="607" t="n"/>
    </row>
    <row r="81">
      <c r="B81" s="607" t="inlineStr">
        <is>
          <t>SMS</t>
        </is>
      </c>
      <c r="C81" s="607" t="inlineStr">
        <is>
          <t>B28011-12</t>
        </is>
      </c>
      <c r="D81" s="607" t="inlineStr">
        <is>
          <t>-</t>
        </is>
      </c>
      <c r="E81" s="607" t="inlineStr">
        <is>
          <t>SASH กรอบบาน</t>
        </is>
      </c>
      <c r="F81" s="610" t="n">
        <v>6.4</v>
      </c>
      <c r="G81" s="609" t="n">
        <v>0.528</v>
      </c>
      <c r="H81" s="609" t="n">
        <v>3.379</v>
      </c>
      <c r="I81" s="607" t="n"/>
    </row>
    <row r="82">
      <c r="B82" s="607" t="inlineStr">
        <is>
          <t>SMS</t>
        </is>
      </c>
      <c r="C82" s="607" t="inlineStr">
        <is>
          <t>B28012-12</t>
        </is>
      </c>
      <c r="D82" s="607" t="inlineStr">
        <is>
          <t>-</t>
        </is>
      </c>
      <c r="E82" s="607" t="inlineStr">
        <is>
          <t>ADAPTOR INTERLOCK ค้ำอินเตอร์ล็อก</t>
        </is>
      </c>
      <c r="F82" s="610" t="n">
        <v>6.4</v>
      </c>
      <c r="G82" s="609" t="n">
        <v>0.051</v>
      </c>
      <c r="H82" s="609" t="n">
        <v>0.326</v>
      </c>
      <c r="I82" s="607" t="n"/>
    </row>
    <row r="83">
      <c r="B83" s="607" t="inlineStr">
        <is>
          <t>SMS</t>
        </is>
      </c>
      <c r="C83" s="607" t="inlineStr">
        <is>
          <t>B28013-12</t>
        </is>
      </c>
      <c r="D83" s="607" t="inlineStr">
        <is>
          <t>-</t>
        </is>
      </c>
      <c r="E83" s="607" t="inlineStr">
        <is>
          <t>INTERLOCK เสาเกี่ยว</t>
        </is>
      </c>
      <c r="F83" s="610" t="n">
        <v>6.4</v>
      </c>
      <c r="G83" s="609" t="n">
        <v>0.171</v>
      </c>
      <c r="H83" s="609" t="n">
        <v>1.094</v>
      </c>
      <c r="I83" s="607" t="n"/>
    </row>
    <row r="84">
      <c r="B84" s="607" t="inlineStr">
        <is>
          <t>SMS</t>
        </is>
      </c>
      <c r="C84" s="607" t="inlineStr">
        <is>
          <t>B28014-12</t>
        </is>
      </c>
      <c r="D84" s="607" t="inlineStr">
        <is>
          <t>-</t>
        </is>
      </c>
      <c r="E84" s="607" t="inlineStr">
        <is>
          <t>SILL เฟรมล่าง</t>
        </is>
      </c>
      <c r="F84" s="610" t="n">
        <v>6.4</v>
      </c>
      <c r="G84" s="609" t="n">
        <v>0.736</v>
      </c>
      <c r="H84" s="609" t="n">
        <v>4.71</v>
      </c>
      <c r="I84" s="607" t="n"/>
    </row>
    <row r="85">
      <c r="B85" s="607" t="inlineStr">
        <is>
          <t>SMS</t>
        </is>
      </c>
      <c r="C85" s="607" t="inlineStr">
        <is>
          <t>B28015-12</t>
        </is>
      </c>
      <c r="D85" s="607" t="inlineStr">
        <is>
          <t>-</t>
        </is>
      </c>
      <c r="E85" s="607" t="inlineStr">
        <is>
          <t>JAMB ADAPTOR เสาเสริมเฟรมข้าง</t>
        </is>
      </c>
      <c r="F85" s="610" t="n">
        <v>6.4</v>
      </c>
      <c r="G85" s="609" t="n">
        <v>1.027</v>
      </c>
      <c r="H85" s="609" t="n">
        <v>6.573</v>
      </c>
      <c r="I85" s="607" t="n"/>
    </row>
    <row r="86">
      <c r="B86" s="607" t="inlineStr">
        <is>
          <t>SMS</t>
        </is>
      </c>
      <c r="C86" s="607" t="inlineStr">
        <is>
          <t>B10004-12</t>
        </is>
      </c>
      <c r="D86" s="607" t="inlineStr">
        <is>
          <t>-</t>
        </is>
      </c>
      <c r="E86" s="607" t="inlineStr">
        <is>
          <t>NARROW FRAME เฟรมข้าง</t>
        </is>
      </c>
      <c r="F86" s="610" t="n">
        <v>6.4</v>
      </c>
      <c r="G86" s="609" t="n">
        <v>0.993</v>
      </c>
      <c r="H86" s="609" t="n">
        <v>6.355</v>
      </c>
      <c r="I86" s="607" t="n"/>
    </row>
    <row r="87">
      <c r="B87" s="532" t="inlineStr">
        <is>
          <t>SMS — บานเฟี้ยม (B24) · ยาว 6.4 ม. (มาตรฐาน SMS)</t>
        </is>
      </c>
    </row>
    <row r="88">
      <c r="B88" s="607" t="inlineStr">
        <is>
          <t>SMS(เฟี้ยม)</t>
        </is>
      </c>
      <c r="C88" s="607" t="inlineStr">
        <is>
          <t>B24001-18</t>
        </is>
      </c>
      <c r="D88" s="607" t="inlineStr">
        <is>
          <t>1.80 มม.</t>
        </is>
      </c>
      <c r="E88" s="607" t="inlineStr">
        <is>
          <t>Head เฟรมบนกลาง</t>
        </is>
      </c>
      <c r="F88" s="610" t="n">
        <v>6.4</v>
      </c>
      <c r="G88" s="609" t="n">
        <v>1.603</v>
      </c>
      <c r="H88" s="609" t="n">
        <v>10.259</v>
      </c>
      <c r="I88" s="607" t="n"/>
    </row>
    <row r="89">
      <c r="B89" s="607" t="inlineStr">
        <is>
          <t>SMS(เฟี้ยม)</t>
        </is>
      </c>
      <c r="C89" s="607" t="inlineStr">
        <is>
          <t>B24002-14</t>
        </is>
      </c>
      <c r="D89" s="607" t="inlineStr">
        <is>
          <t>1.40 มม.</t>
        </is>
      </c>
      <c r="E89" s="607" t="inlineStr">
        <is>
          <t>Door Stop Head คิ้วเฟรมบน</t>
        </is>
      </c>
      <c r="F89" s="610" t="n">
        <v>6.4</v>
      </c>
      <c r="G89" s="609" t="n">
        <v>0.278</v>
      </c>
      <c r="H89" s="609" t="n">
        <v>1.779</v>
      </c>
      <c r="I89" s="607" t="n"/>
    </row>
    <row r="90">
      <c r="B90" s="607" t="inlineStr">
        <is>
          <t>SMS(เฟี้ยม)</t>
        </is>
      </c>
      <c r="C90" s="607" t="inlineStr">
        <is>
          <t>B24003-15</t>
        </is>
      </c>
      <c r="D90" s="607" t="inlineStr">
        <is>
          <t>1.50 มม.</t>
        </is>
      </c>
      <c r="E90" s="607" t="inlineStr">
        <is>
          <t>Sill เฟรมล่าง</t>
        </is>
      </c>
      <c r="F90" s="610" t="n">
        <v>6.4</v>
      </c>
      <c r="G90" s="609" t="n">
        <v>1.377</v>
      </c>
      <c r="H90" s="609" t="n">
        <v>8.813000000000001</v>
      </c>
      <c r="I90" s="607" t="n"/>
    </row>
    <row r="91">
      <c r="B91" s="607" t="inlineStr">
        <is>
          <t>SMS(เฟี้ยม)</t>
        </is>
      </c>
      <c r="C91" s="607" t="inlineStr">
        <is>
          <t>B24004-14</t>
        </is>
      </c>
      <c r="D91" s="607" t="inlineStr">
        <is>
          <t>1.40 มม.</t>
        </is>
      </c>
      <c r="E91" s="607" t="inlineStr">
        <is>
          <t>Door Stop Sill ตบธรณี</t>
        </is>
      </c>
      <c r="F91" s="610" t="n">
        <v>6.4</v>
      </c>
      <c r="G91" s="609" t="n">
        <v>0.516</v>
      </c>
      <c r="H91" s="609" t="n">
        <v>3.302</v>
      </c>
      <c r="I91" s="607" t="n"/>
    </row>
    <row r="92">
      <c r="B92" s="607" t="inlineStr">
        <is>
          <t>SMS(เฟี้ยม)</t>
        </is>
      </c>
      <c r="C92" s="607" t="inlineStr">
        <is>
          <t>B24005-15</t>
        </is>
      </c>
      <c r="D92" s="607" t="inlineStr">
        <is>
          <t>1.50 มม.</t>
        </is>
      </c>
      <c r="E92" s="607" t="inlineStr">
        <is>
          <t>Jamb เฟรมข้าง</t>
        </is>
      </c>
      <c r="F92" s="610" t="n">
        <v>6.4</v>
      </c>
      <c r="G92" s="609" t="n">
        <v>0.893</v>
      </c>
      <c r="H92" s="609" t="n">
        <v>5.715</v>
      </c>
      <c r="I92" s="607" t="n"/>
    </row>
    <row r="93">
      <c r="B93" s="607" t="inlineStr">
        <is>
          <t>SMS(เฟี้ยม)</t>
        </is>
      </c>
      <c r="C93" s="607" t="inlineStr">
        <is>
          <t>B24006-12</t>
        </is>
      </c>
      <c r="D93" s="607" t="inlineStr">
        <is>
          <t>1.20 มม.</t>
        </is>
      </c>
      <c r="E93" s="607" t="inlineStr">
        <is>
          <t>Door Stop Jamb คิ้วเฟรมข้างประตู</t>
        </is>
      </c>
      <c r="F93" s="610" t="n">
        <v>6.4</v>
      </c>
      <c r="G93" s="609" t="n">
        <v>0.235</v>
      </c>
      <c r="H93" s="609" t="n">
        <v>1.504</v>
      </c>
      <c r="I93" s="607" t="n"/>
    </row>
    <row r="94">
      <c r="B94" s="607" t="inlineStr">
        <is>
          <t>SMS(เฟี้ยม)</t>
        </is>
      </c>
      <c r="C94" s="607" t="inlineStr">
        <is>
          <t>B24007-15</t>
        </is>
      </c>
      <c r="D94" s="607" t="inlineStr">
        <is>
          <t>1.50 มม.</t>
        </is>
      </c>
      <c r="E94" s="607" t="inlineStr">
        <is>
          <t>Sash เสาบาน</t>
        </is>
      </c>
      <c r="F94" s="610" t="n">
        <v>6.4</v>
      </c>
      <c r="G94" s="609" t="n">
        <v>1.106</v>
      </c>
      <c r="H94" s="609" t="n">
        <v>7.078</v>
      </c>
      <c r="I94" s="607" t="n"/>
    </row>
    <row r="95">
      <c r="B95" s="607" t="inlineStr">
        <is>
          <t>SMS(เฟี้ยม)</t>
        </is>
      </c>
      <c r="C95" s="607" t="inlineStr">
        <is>
          <t>B24008-12</t>
        </is>
      </c>
      <c r="D95" s="607" t="inlineStr">
        <is>
          <t>1.20 มม.</t>
        </is>
      </c>
      <c r="E95" s="607" t="inlineStr">
        <is>
          <t>Glazing Bead คิ้วตบกระจก</t>
        </is>
      </c>
      <c r="F95" s="610" t="n">
        <v>6.4</v>
      </c>
      <c r="G95" s="609" t="n">
        <v>0.231</v>
      </c>
      <c r="H95" s="609" t="n">
        <v>1.478</v>
      </c>
      <c r="I95" s="607" t="n"/>
    </row>
    <row r="96">
      <c r="B96" s="607" t="inlineStr">
        <is>
          <t>SMS(เฟี้ยม)</t>
        </is>
      </c>
      <c r="C96" s="607" t="inlineStr">
        <is>
          <t>B24009-12</t>
        </is>
      </c>
      <c r="D96" s="607" t="inlineStr">
        <is>
          <t>1.20 มม.</t>
        </is>
      </c>
      <c r="E96" s="607" t="inlineStr">
        <is>
          <t>Sash Stop บังใบเสาประตู</t>
        </is>
      </c>
      <c r="F96" s="610" t="n">
        <v>6.4</v>
      </c>
      <c r="G96" s="609" t="n">
        <v>0.226</v>
      </c>
      <c r="H96" s="609" t="n">
        <v>1.446</v>
      </c>
      <c r="I96" s="607" t="n"/>
    </row>
    <row r="97">
      <c r="B97" s="607" t="inlineStr">
        <is>
          <t>SMS(เฟี้ยม)</t>
        </is>
      </c>
      <c r="C97" s="607" t="inlineStr">
        <is>
          <t>B24013-15</t>
        </is>
      </c>
      <c r="D97" s="607" t="inlineStr">
        <is>
          <t>1.50 มม.</t>
        </is>
      </c>
      <c r="E97" s="607" t="inlineStr">
        <is>
          <t>Butterfly Glazing Bead คิ้วกบ</t>
        </is>
      </c>
      <c r="F97" s="610" t="n">
        <v>6.4</v>
      </c>
      <c r="G97" s="609" t="n">
        <v>0.17</v>
      </c>
      <c r="H97" s="609" t="n">
        <v>1.088</v>
      </c>
      <c r="I97" s="607" t="n"/>
    </row>
    <row r="98">
      <c r="B98" s="607" t="inlineStr">
        <is>
          <t>SMS(เฟี้ยม)</t>
        </is>
      </c>
      <c r="C98" s="607" t="inlineStr">
        <is>
          <t>B24016-12</t>
        </is>
      </c>
      <c r="D98" s="607" t="inlineStr">
        <is>
          <t>1.20 มม.</t>
        </is>
      </c>
      <c r="E98" s="607" t="inlineStr">
        <is>
          <t>Glazing Bead คิ้วกบ</t>
        </is>
      </c>
      <c r="F98" s="610" t="n">
        <v>6.4</v>
      </c>
      <c r="G98" s="609" t="n">
        <v>0.215</v>
      </c>
      <c r="H98" s="609" t="n">
        <v>1.376</v>
      </c>
      <c r="I98" s="607" t="n"/>
    </row>
    <row r="99">
      <c r="B99" s="607" t="inlineStr">
        <is>
          <t>SMS(เฟี้ยม)</t>
        </is>
      </c>
      <c r="C99" s="607" t="inlineStr">
        <is>
          <t>B24017-15</t>
        </is>
      </c>
      <c r="D99" s="607" t="inlineStr">
        <is>
          <t>1.50 มม.</t>
        </is>
      </c>
      <c r="E99" s="607" t="inlineStr">
        <is>
          <t>Bifold Roller รางหู(ใหม่)</t>
        </is>
      </c>
      <c r="F99" s="610" t="n">
        <v>6.4</v>
      </c>
      <c r="G99" s="609" t="n">
        <v>0.281</v>
      </c>
      <c r="H99" s="609" t="n">
        <v>1.798</v>
      </c>
      <c r="I99" s="607" t="n"/>
    </row>
    <row r="100">
      <c r="B100" s="607" t="inlineStr">
        <is>
          <t>SMS(เฟี้ยม)</t>
        </is>
      </c>
      <c r="C100" s="607" t="inlineStr">
        <is>
          <t>B24018-15</t>
        </is>
      </c>
      <c r="D100" s="607" t="inlineStr">
        <is>
          <t>1.50 มม.</t>
        </is>
      </c>
      <c r="E100" s="607" t="inlineStr">
        <is>
          <t>Bifold Roller รางบานเฟี้ยมภายใน</t>
        </is>
      </c>
      <c r="F100" s="610" t="n">
        <v>6.4</v>
      </c>
      <c r="G100" s="609" t="n">
        <v>0.788</v>
      </c>
      <c r="H100" s="609" t="n">
        <v>5.043</v>
      </c>
      <c r="I100" s="607" t="n"/>
    </row>
    <row r="101">
      <c r="B101" s="532" t="inlineStr">
        <is>
          <t>เมืองทอง — กล่องเพิ่ม (เสา-คาน/ติดตาย/จันทัน) · ยาว 6 ม.</t>
        </is>
      </c>
    </row>
    <row r="102">
      <c r="B102" s="607" t="inlineStr">
        <is>
          <t>เมืองทอง</t>
        </is>
      </c>
      <c r="C102" s="607" t="inlineStr">
        <is>
          <t>-</t>
        </is>
      </c>
      <c r="D102" s="607" t="inlineStr">
        <is>
          <t>กล่อง 4"×4"</t>
        </is>
      </c>
      <c r="E102" s="607" t="inlineStr">
        <is>
          <t>ประตูรั้ว/เสา-คาน</t>
        </is>
      </c>
      <c r="F102" s="610" t="n">
        <v>6</v>
      </c>
      <c r="G102" s="609" t="n">
        <v>2.159</v>
      </c>
      <c r="H102" s="609" t="n">
        <v>12.954</v>
      </c>
      <c r="I102" s="607" t="n"/>
    </row>
    <row r="103">
      <c r="B103" s="607" t="inlineStr">
        <is>
          <t>เมืองทอง</t>
        </is>
      </c>
      <c r="C103" s="607" t="inlineStr">
        <is>
          <t>-</t>
        </is>
      </c>
      <c r="D103" s="607" t="inlineStr">
        <is>
          <t>กล่อง 1.6"×3"</t>
        </is>
      </c>
      <c r="E103" s="607" t="inlineStr">
        <is>
          <t>ติดตาย</t>
        </is>
      </c>
      <c r="F103" s="610" t="n">
        <v>6</v>
      </c>
      <c r="G103" s="609" t="n">
        <v>0.956</v>
      </c>
      <c r="H103" s="609" t="n">
        <v>5.736</v>
      </c>
      <c r="I103" s="607" t="n"/>
    </row>
    <row r="104">
      <c r="B104" s="607" t="inlineStr">
        <is>
          <t>เมืองทอง</t>
        </is>
      </c>
      <c r="C104" s="607" t="inlineStr">
        <is>
          <t>-</t>
        </is>
      </c>
      <c r="D104" s="607" t="inlineStr">
        <is>
          <t>กล่อง 1.6"×4"</t>
        </is>
      </c>
      <c r="E104" s="607" t="inlineStr">
        <is>
          <t>จันทันหลังคา</t>
        </is>
      </c>
      <c r="F104" s="610" t="n">
        <v>6</v>
      </c>
      <c r="G104" s="609" t="n">
        <v>1.163</v>
      </c>
      <c r="H104" s="609" t="n">
        <v>6.978</v>
      </c>
      <c r="I104" s="607" t="n"/>
    </row>
    <row r="105">
      <c r="B105" s="607" t="inlineStr">
        <is>
          <t>เมืองทอง</t>
        </is>
      </c>
      <c r="C105" s="607" t="inlineStr">
        <is>
          <t>ฉาก 6 หุน</t>
        </is>
      </c>
      <c r="D105" s="607" t="inlineStr">
        <is>
          <t>6 หุน</t>
        </is>
      </c>
      <c r="E105" s="607" t="inlineStr">
        <is>
          <t>ฉาก 6 หุน</t>
        </is>
      </c>
      <c r="F105" s="610" t="n">
        <v>6</v>
      </c>
      <c r="G105" s="609" t="n">
        <v>0.743</v>
      </c>
      <c r="H105" s="609" t="n">
        <v>4.458</v>
      </c>
      <c r="I105" s="607" t="n"/>
    </row>
    <row r="106">
      <c r="B106" s="532" t="inlineStr">
        <is>
          <t>E-series (SMS) · ยาว 6.4 ม.</t>
        </is>
      </c>
    </row>
    <row r="107">
      <c r="B107" s="607" t="inlineStr">
        <is>
          <t>E-series</t>
        </is>
      </c>
      <c r="C107" s="607" t="inlineStr">
        <is>
          <t>E-01</t>
        </is>
      </c>
      <c r="D107" s="607" t="inlineStr">
        <is>
          <t>-</t>
        </is>
      </c>
      <c r="E107" s="607" t="inlineStr">
        <is>
          <t>-</t>
        </is>
      </c>
      <c r="F107" s="610" t="n">
        <v>6.4</v>
      </c>
      <c r="G107" s="609" t="n">
        <v>1.115</v>
      </c>
      <c r="H107" s="609" t="n">
        <v>7.14</v>
      </c>
      <c r="I107" s="607" t="n"/>
    </row>
    <row r="108">
      <c r="B108" s="607" t="inlineStr">
        <is>
          <t>E-series</t>
        </is>
      </c>
      <c r="C108" s="607" t="inlineStr">
        <is>
          <t>E-01A</t>
        </is>
      </c>
      <c r="D108" s="607" t="inlineStr">
        <is>
          <t>-</t>
        </is>
      </c>
      <c r="E108" s="607" t="inlineStr">
        <is>
          <t>-</t>
        </is>
      </c>
      <c r="F108" s="610" t="n">
        <v>6.4</v>
      </c>
      <c r="G108" s="609" t="n">
        <v>0.134</v>
      </c>
      <c r="H108" s="609" t="n">
        <v>0.86</v>
      </c>
      <c r="I108" s="607" t="n"/>
    </row>
    <row r="109">
      <c r="B109" s="607" t="inlineStr">
        <is>
          <t>E-series</t>
        </is>
      </c>
      <c r="C109" s="607" t="inlineStr">
        <is>
          <t>E-03</t>
        </is>
      </c>
      <c r="D109" s="607" t="inlineStr">
        <is>
          <t>-</t>
        </is>
      </c>
      <c r="E109" s="607" t="inlineStr">
        <is>
          <t>-</t>
        </is>
      </c>
      <c r="F109" s="610" t="n">
        <v>6.4</v>
      </c>
      <c r="G109" s="609" t="n">
        <v>1.073</v>
      </c>
      <c r="H109" s="609" t="n">
        <v>6.87</v>
      </c>
      <c r="I109" s="607" t="n"/>
    </row>
    <row r="110">
      <c r="B110" s="607" t="inlineStr">
        <is>
          <t>E-series</t>
        </is>
      </c>
      <c r="C110" s="607" t="inlineStr">
        <is>
          <t>E-03C</t>
        </is>
      </c>
      <c r="D110" s="607" t="inlineStr">
        <is>
          <t>-</t>
        </is>
      </c>
      <c r="E110" s="607" t="inlineStr">
        <is>
          <t>-</t>
        </is>
      </c>
      <c r="F110" s="610" t="n">
        <v>6.4</v>
      </c>
      <c r="G110" s="609" t="n">
        <v>0.223</v>
      </c>
      <c r="H110" s="609" t="n">
        <v>1.43</v>
      </c>
      <c r="I110" s="607" t="n"/>
    </row>
    <row r="111">
      <c r="B111" s="607" t="inlineStr">
        <is>
          <t>E-series</t>
        </is>
      </c>
      <c r="C111" s="607" t="inlineStr">
        <is>
          <t>E-05</t>
        </is>
      </c>
      <c r="D111" s="607" t="inlineStr">
        <is>
          <t>-</t>
        </is>
      </c>
      <c r="E111" s="607" t="inlineStr">
        <is>
          <t>-</t>
        </is>
      </c>
      <c r="F111" s="610" t="n">
        <v>6.4</v>
      </c>
      <c r="G111" s="609" t="n">
        <v>0.912</v>
      </c>
      <c r="H111" s="609" t="n">
        <v>5.84</v>
      </c>
      <c r="I111" s="607" t="n"/>
    </row>
    <row r="112">
      <c r="B112" s="607" t="inlineStr">
        <is>
          <t>E-series</t>
        </is>
      </c>
      <c r="C112" s="607" t="inlineStr">
        <is>
          <t>E-02B</t>
        </is>
      </c>
      <c r="D112" s="607" t="inlineStr">
        <is>
          <t>-</t>
        </is>
      </c>
      <c r="E112" s="607" t="inlineStr">
        <is>
          <t>-</t>
        </is>
      </c>
      <c r="F112" s="610" t="n">
        <v>6.4</v>
      </c>
      <c r="G112" s="609" t="n">
        <v>1.067</v>
      </c>
      <c r="H112" s="609" t="n">
        <v>6.53</v>
      </c>
      <c r="I112" s="607" t="n"/>
    </row>
    <row r="113">
      <c r="B113" s="607" t="inlineStr">
        <is>
          <t>E-series</t>
        </is>
      </c>
      <c r="C113" s="607" t="inlineStr">
        <is>
          <t>E-02C</t>
        </is>
      </c>
      <c r="D113" s="607" t="inlineStr">
        <is>
          <t>-</t>
        </is>
      </c>
      <c r="E113" s="607" t="inlineStr">
        <is>
          <t>-</t>
        </is>
      </c>
      <c r="F113" s="610" t="n">
        <v>6.4</v>
      </c>
      <c r="G113" s="609" t="n">
        <v>0.993</v>
      </c>
      <c r="H113" s="609" t="n">
        <v>6.36</v>
      </c>
      <c r="I113" s="607" t="n"/>
    </row>
    <row r="114">
      <c r="B114" s="607" t="inlineStr">
        <is>
          <t>E-series</t>
        </is>
      </c>
      <c r="C114" s="607" t="inlineStr">
        <is>
          <t>E-04P</t>
        </is>
      </c>
      <c r="D114" s="607" t="inlineStr">
        <is>
          <t>-</t>
        </is>
      </c>
      <c r="E114" s="607" t="inlineStr">
        <is>
          <t>-</t>
        </is>
      </c>
      <c r="F114" s="610" t="n">
        <v>6.4</v>
      </c>
      <c r="G114" s="609" t="n">
        <v>0.826</v>
      </c>
      <c r="H114" s="609" t="n">
        <v>5.29</v>
      </c>
      <c r="I114" s="607" t="n"/>
    </row>
    <row r="115">
      <c r="B115" s="607" t="inlineStr">
        <is>
          <t>E-series</t>
        </is>
      </c>
      <c r="C115" s="607" t="inlineStr">
        <is>
          <t>E-04GP</t>
        </is>
      </c>
      <c r="D115" s="607" t="inlineStr">
        <is>
          <t>-</t>
        </is>
      </c>
      <c r="E115" s="607" t="inlineStr">
        <is>
          <t>-</t>
        </is>
      </c>
      <c r="F115" s="610" t="n">
        <v>6.4</v>
      </c>
      <c r="G115" s="609" t="n">
        <v>1.462</v>
      </c>
      <c r="H115" s="609" t="n">
        <v>9.390000000000001</v>
      </c>
      <c r="I115" s="607" t="n"/>
    </row>
    <row r="116">
      <c r="B116" s="607" t="inlineStr">
        <is>
          <t>E-series</t>
        </is>
      </c>
      <c r="C116" s="607" t="inlineStr">
        <is>
          <t>E-07</t>
        </is>
      </c>
      <c r="D116" s="607" t="inlineStr">
        <is>
          <t>-</t>
        </is>
      </c>
      <c r="E116" s="607" t="inlineStr">
        <is>
          <t>-</t>
        </is>
      </c>
      <c r="F116" s="610" t="n">
        <v>6.4</v>
      </c>
      <c r="G116" s="609" t="n">
        <v>0.912</v>
      </c>
      <c r="H116" s="609" t="n">
        <v>5.84</v>
      </c>
      <c r="I116" s="607" t="n"/>
    </row>
    <row r="117">
      <c r="B117" s="607" t="inlineStr">
        <is>
          <t>E-series</t>
        </is>
      </c>
      <c r="C117" s="607" t="inlineStr">
        <is>
          <t>E-07A</t>
        </is>
      </c>
      <c r="D117" s="607" t="inlineStr">
        <is>
          <t>-</t>
        </is>
      </c>
      <c r="E117" s="607" t="inlineStr">
        <is>
          <t>-</t>
        </is>
      </c>
      <c r="F117" s="610" t="n">
        <v>6.4</v>
      </c>
      <c r="G117" s="609" t="n">
        <v>1.012</v>
      </c>
      <c r="H117" s="609" t="n">
        <v>6.48</v>
      </c>
      <c r="I117" s="607" t="n"/>
    </row>
    <row r="118">
      <c r="B118" s="607" t="inlineStr">
        <is>
          <t>E-series</t>
        </is>
      </c>
      <c r="C118" s="607" t="inlineStr">
        <is>
          <t>E-04E</t>
        </is>
      </c>
      <c r="D118" s="607" t="inlineStr">
        <is>
          <t>-</t>
        </is>
      </c>
      <c r="E118" s="607" t="inlineStr">
        <is>
          <t>-</t>
        </is>
      </c>
      <c r="F118" s="610" t="n">
        <v>6.4</v>
      </c>
      <c r="G118" s="609" t="n">
        <v>0.535</v>
      </c>
      <c r="H118" s="609" t="n">
        <v>3.43</v>
      </c>
      <c r="I118" s="607" t="n"/>
    </row>
    <row r="119">
      <c r="B119" s="607" t="inlineStr">
        <is>
          <t>E-series</t>
        </is>
      </c>
      <c r="C119" s="607" t="inlineStr">
        <is>
          <t>E-05E</t>
        </is>
      </c>
      <c r="D119" s="607" t="inlineStr">
        <is>
          <t>-</t>
        </is>
      </c>
      <c r="E119" s="607" t="inlineStr">
        <is>
          <t>-</t>
        </is>
      </c>
      <c r="F119" s="610" t="n">
        <v>6.4</v>
      </c>
      <c r="G119" s="609" t="n">
        <v>0.534</v>
      </c>
      <c r="H119" s="609" t="n">
        <v>3.42</v>
      </c>
      <c r="I119" s="607" t="n"/>
    </row>
    <row r="120">
      <c r="B120" s="607" t="inlineStr">
        <is>
          <t>E-series</t>
        </is>
      </c>
      <c r="C120" s="607" t="inlineStr">
        <is>
          <t>E-06E</t>
        </is>
      </c>
      <c r="D120" s="607" t="inlineStr">
        <is>
          <t>-</t>
        </is>
      </c>
      <c r="E120" s="607" t="inlineStr">
        <is>
          <t>-</t>
        </is>
      </c>
      <c r="F120" s="610" t="n">
        <v>6.4</v>
      </c>
      <c r="G120" s="609" t="n">
        <v>0.662</v>
      </c>
      <c r="H120" s="609" t="n">
        <v>4.24</v>
      </c>
      <c r="I120" s="607" t="n"/>
    </row>
    <row r="121">
      <c r="B121" s="607" t="inlineStr">
        <is>
          <t>E-series</t>
        </is>
      </c>
      <c r="C121" s="607" t="inlineStr">
        <is>
          <t>E-07E</t>
        </is>
      </c>
      <c r="D121" s="607" t="inlineStr">
        <is>
          <t>-</t>
        </is>
      </c>
      <c r="E121" s="607" t="inlineStr">
        <is>
          <t>-</t>
        </is>
      </c>
      <c r="F121" s="610" t="n">
        <v>6.4</v>
      </c>
      <c r="G121" s="609" t="n">
        <v>0.578</v>
      </c>
      <c r="H121" s="609" t="n">
        <v>3.7</v>
      </c>
      <c r="I121" s="607" t="n"/>
    </row>
    <row r="122">
      <c r="B122" s="607" t="inlineStr">
        <is>
          <t>E-series</t>
        </is>
      </c>
      <c r="C122" s="607" t="inlineStr">
        <is>
          <t>E-01L</t>
        </is>
      </c>
      <c r="D122" s="607" t="inlineStr">
        <is>
          <t>-</t>
        </is>
      </c>
      <c r="E122" s="607" t="inlineStr">
        <is>
          <t>-</t>
        </is>
      </c>
      <c r="F122" s="610" t="n">
        <v>6.4</v>
      </c>
      <c r="G122" s="609" t="n">
        <v>1.273</v>
      </c>
      <c r="H122" s="609" t="n">
        <v>8.15</v>
      </c>
      <c r="I122" s="607" t="n"/>
    </row>
    <row r="123">
      <c r="B123" s="607" t="inlineStr">
        <is>
          <t>E-series</t>
        </is>
      </c>
      <c r="C123" s="607" t="inlineStr">
        <is>
          <t>E-02L</t>
        </is>
      </c>
      <c r="D123" s="607" t="inlineStr">
        <is>
          <t>-</t>
        </is>
      </c>
      <c r="E123" s="607" t="inlineStr">
        <is>
          <t>-</t>
        </is>
      </c>
      <c r="F123" s="610" t="n">
        <v>6.4</v>
      </c>
      <c r="G123" s="609" t="n">
        <v>1.234</v>
      </c>
      <c r="H123" s="609" t="n">
        <v>7.9</v>
      </c>
      <c r="I123" s="607" t="n"/>
    </row>
    <row r="124">
      <c r="B124" s="607" t="inlineStr">
        <is>
          <t>E-series</t>
        </is>
      </c>
      <c r="C124" s="607" t="inlineStr">
        <is>
          <t>E-03L</t>
        </is>
      </c>
      <c r="D124" s="607" t="inlineStr">
        <is>
          <t>-</t>
        </is>
      </c>
      <c r="E124" s="607" t="inlineStr">
        <is>
          <t>-</t>
        </is>
      </c>
      <c r="F124" s="610" t="n">
        <v>6.4</v>
      </c>
      <c r="G124" s="609" t="n">
        <v>1.395</v>
      </c>
      <c r="H124" s="609" t="n">
        <v>8.93</v>
      </c>
      <c r="I124" s="607" t="n"/>
    </row>
    <row r="125">
      <c r="B125" s="607" t="inlineStr">
        <is>
          <t>E-series</t>
        </is>
      </c>
      <c r="C125" s="607" t="inlineStr">
        <is>
          <t>X-01</t>
        </is>
      </c>
      <c r="D125" s="607" t="inlineStr">
        <is>
          <t>-</t>
        </is>
      </c>
      <c r="E125" s="607" t="inlineStr">
        <is>
          <t>-</t>
        </is>
      </c>
      <c r="F125" s="610" t="n">
        <v>6.4</v>
      </c>
      <c r="G125" s="609" t="n">
        <v>1.078</v>
      </c>
      <c r="H125" s="609" t="n">
        <v>6.9</v>
      </c>
      <c r="I125" s="607" t="n"/>
    </row>
    <row r="126">
      <c r="B126" s="607" t="inlineStr">
        <is>
          <t>E-series</t>
        </is>
      </c>
      <c r="C126" s="607" t="inlineStr">
        <is>
          <t>X-02</t>
        </is>
      </c>
      <c r="D126" s="607" t="inlineStr">
        <is>
          <t>-</t>
        </is>
      </c>
      <c r="E126" s="607" t="inlineStr">
        <is>
          <t>-</t>
        </is>
      </c>
      <c r="F126" s="610" t="n">
        <v>6.4</v>
      </c>
      <c r="G126" s="609" t="n">
        <v>1.043</v>
      </c>
      <c r="H126" s="609" t="n">
        <v>6.68</v>
      </c>
      <c r="I126" s="607" t="n"/>
    </row>
    <row r="127">
      <c r="B127" s="607" t="inlineStr">
        <is>
          <t>E-series</t>
        </is>
      </c>
      <c r="C127" s="607" t="inlineStr">
        <is>
          <t>X-03</t>
        </is>
      </c>
      <c r="D127" s="607" t="inlineStr">
        <is>
          <t>-</t>
        </is>
      </c>
      <c r="E127" s="607" t="inlineStr">
        <is>
          <t>-</t>
        </is>
      </c>
      <c r="F127" s="610" t="n">
        <v>6.4</v>
      </c>
      <c r="G127" s="609" t="n">
        <v>1.335</v>
      </c>
      <c r="H127" s="609" t="n">
        <v>8.550000000000001</v>
      </c>
      <c r="I127" s="607" t="n"/>
    </row>
    <row r="128">
      <c r="B128" s="607" t="inlineStr">
        <is>
          <t>E-series</t>
        </is>
      </c>
      <c r="C128" s="607" t="inlineStr">
        <is>
          <t>X-J</t>
        </is>
      </c>
      <c r="D128" s="607" t="inlineStr">
        <is>
          <t>-</t>
        </is>
      </c>
      <c r="E128" s="607" t="inlineStr">
        <is>
          <t>-</t>
        </is>
      </c>
      <c r="F128" s="610" t="n">
        <v>6.4</v>
      </c>
      <c r="G128" s="609" t="n">
        <v>0.25</v>
      </c>
      <c r="H128" s="609" t="n">
        <v>1.64</v>
      </c>
      <c r="I128" s="607" t="n"/>
    </row>
    <row r="129">
      <c r="B129" s="607" t="inlineStr">
        <is>
          <t>E-series</t>
        </is>
      </c>
      <c r="C129" s="611" t="n"/>
      <c r="D129" s="611" t="n"/>
      <c r="E129" s="611" t="n"/>
      <c r="F129" s="611" t="n"/>
      <c r="G129" s="611" t="n"/>
      <c r="H129" s="611" t="n"/>
      <c r="I129" s="612" t="n"/>
    </row>
    <row r="130">
      <c r="B130" s="532" t="inlineStr">
        <is>
          <t>Fuji เพิ่ม — กก./ม. (รอความยาวเส้น Fuji เพื่อคิด /เส้น)</t>
        </is>
      </c>
    </row>
    <row r="131">
      <c r="B131" s="607" t="inlineStr">
        <is>
          <t>Fuji</t>
        </is>
      </c>
      <c r="C131" s="607" t="inlineStr">
        <is>
          <t>F7863</t>
        </is>
      </c>
      <c r="D131" s="607" t="inlineStr">
        <is>
          <t>-</t>
        </is>
      </c>
      <c r="E131" s="607" t="inlineStr">
        <is>
          <t>วงกบ/เฟรม บานเปิด</t>
        </is>
      </c>
      <c r="F131" s="608" t="n">
        <v>6.4</v>
      </c>
      <c r="G131" s="609" t="n">
        <v>0.344</v>
      </c>
      <c r="H131" s="609" t="n">
        <v>2.202</v>
      </c>
      <c r="I131" s="607" t="n"/>
    </row>
    <row r="132">
      <c r="B132" s="607" t="inlineStr">
        <is>
          <t>Fuji</t>
        </is>
      </c>
      <c r="C132" s="607" t="inlineStr">
        <is>
          <t>F7960</t>
        </is>
      </c>
      <c r="D132" s="607" t="inlineStr">
        <is>
          <t>-</t>
        </is>
      </c>
      <c r="E132" s="607" t="inlineStr">
        <is>
          <t>เฟรม บานเปิด/PC</t>
        </is>
      </c>
      <c r="F132" s="608" t="n">
        <v>6.4</v>
      </c>
      <c r="G132" s="609" t="n">
        <v>0.488</v>
      </c>
      <c r="H132" s="609" t="n">
        <v>3.123</v>
      </c>
      <c r="I132" s="607" t="n"/>
    </row>
    <row r="133">
      <c r="B133" s="607" t="inlineStr">
        <is>
          <t>Fuji</t>
        </is>
      </c>
      <c r="C133" s="607" t="inlineStr">
        <is>
          <t>F7938B</t>
        </is>
      </c>
      <c r="D133" s="607" t="inlineStr">
        <is>
          <t>-</t>
        </is>
      </c>
      <c r="E133" s="607" t="inlineStr">
        <is>
          <t>เฟรมบานกระทุ้ง(เดิม)</t>
        </is>
      </c>
      <c r="F133" s="608" t="n">
        <v>6.4</v>
      </c>
      <c r="G133" s="609" t="n">
        <v>1.192</v>
      </c>
      <c r="H133" s="609" t="n">
        <v>7.629</v>
      </c>
      <c r="I133" s="607" t="n"/>
    </row>
    <row r="134">
      <c r="B134" s="607" t="inlineStr">
        <is>
          <t>Fuji</t>
        </is>
      </c>
      <c r="C134" s="607" t="inlineStr">
        <is>
          <t>F7939B</t>
        </is>
      </c>
      <c r="D134" s="607" t="inlineStr">
        <is>
          <t>-</t>
        </is>
      </c>
      <c r="E134" s="607" t="inlineStr">
        <is>
          <t>เฟรมบานกระทุ้ง (ใช้ตัวนี้)</t>
        </is>
      </c>
      <c r="F134" s="608" t="n">
        <v>6.4</v>
      </c>
      <c r="G134" s="609" t="n">
        <v>1.151</v>
      </c>
      <c r="H134" s="609" t="n">
        <v>7.366</v>
      </c>
      <c r="I134" s="607" t="n"/>
    </row>
    <row r="135">
      <c r="B135" s="521" t="inlineStr">
        <is>
          <t>หมายเหตุ: เมืองทองมีน้ำหนัก/เส้นในตารางตรงๆ · สลิม/Velora แปลง /ม.=/6 · Fuji ค่าจาก guide ยังต้องยืนยันหน่วย(กก./เส้นหรือ/ม.)+ความยาวเส้น · ฉ(ฉาก)เมืองทองยังไม่ใส่ (แคปเพิ่มได้)</t>
        </is>
      </c>
    </row>
    <row r="136">
      <c r="B136" s="140" t="inlineStr">
        <is>
          <t>เมืองทอง</t>
        </is>
      </c>
      <c r="C136" s="140" t="inlineStr">
        <is>
          <t>Z-1.6</t>
        </is>
      </c>
      <c r="E136" s="140" t="inlineStr">
        <is>
          <t>ตัว Z 1.6 นิ้ว</t>
        </is>
      </c>
      <c r="F136" s="140" t="n">
        <v>6</v>
      </c>
      <c r="G136" s="140" t="n">
        <v>0.067</v>
      </c>
      <c r="H136" s="140" t="n">
        <v>0.401</v>
      </c>
    </row>
    <row r="138" s="129">
      <c r="B138" s="707" t="inlineStr">
        <is>
          <t>━━━ น้ำหนักคำนวณจาก Stock (ราคาขาว÷180÷ยาว) — รหัสตรงร้าน ━━━</t>
        </is>
      </c>
    </row>
    <row r="139" s="129">
      <c r="B139" s="708" t="inlineStr">
        <is>
          <t>── SMS (33 เส้น) ──</t>
        </is>
      </c>
      <c r="C139" s="140" t="n"/>
      <c r="E139" s="140" t="n"/>
      <c r="F139" s="140" t="n"/>
      <c r="G139" s="140" t="n"/>
      <c r="H139" s="140" t="n"/>
    </row>
    <row r="140" s="129">
      <c r="B140" s="140" t="inlineStr">
        <is>
          <t>SMS</t>
        </is>
      </c>
      <c r="C140" s="140" t="inlineStr">
        <is>
          <t>B20001</t>
        </is>
      </c>
      <c r="E140" s="140" t="inlineStr">
        <is>
          <t>เฟรมบนบานเลื่อน</t>
        </is>
      </c>
      <c r="F140" s="140" t="n">
        <v>6.4</v>
      </c>
      <c r="G140" s="140" t="n">
        <v>0.977</v>
      </c>
      <c r="H140" s="140" t="n">
        <v>6.25</v>
      </c>
      <c r="I140" s="140" t="inlineStr">
        <is>
          <t>ราคา 1125</t>
        </is>
      </c>
    </row>
    <row r="141" s="129">
      <c r="B141" s="140" t="inlineStr">
        <is>
          <t>SMS</t>
        </is>
      </c>
      <c r="C141" s="140" t="inlineStr">
        <is>
          <t>B20002</t>
        </is>
      </c>
      <c r="E141" s="140" t="inlineStr">
        <is>
          <t>เฟรมล่างบานเลื่อน</t>
        </is>
      </c>
      <c r="F141" s="140" t="n">
        <v>6.4</v>
      </c>
      <c r="G141" s="140" t="n">
        <v>1.046</v>
      </c>
      <c r="H141" s="140" t="n">
        <v>6.694</v>
      </c>
      <c r="I141" s="140" t="inlineStr">
        <is>
          <t>ราคา 1205</t>
        </is>
      </c>
    </row>
    <row r="142" s="129">
      <c r="B142" s="140" t="inlineStr">
        <is>
          <t>SMS</t>
        </is>
      </c>
      <c r="C142" s="140" t="inlineStr">
        <is>
          <t>B20003</t>
        </is>
      </c>
      <c r="E142" s="140" t="inlineStr">
        <is>
          <t>เฟรมข้างบานเลื่อน</t>
        </is>
      </c>
      <c r="F142" s="140" t="n">
        <v>6.4</v>
      </c>
      <c r="G142" s="140" t="n">
        <v>0.755</v>
      </c>
      <c r="H142" s="140" t="n">
        <v>4.833</v>
      </c>
      <c r="I142" s="140" t="inlineStr">
        <is>
          <t>ราคา 870</t>
        </is>
      </c>
    </row>
    <row r="143" s="129">
      <c r="B143" s="140" t="inlineStr">
        <is>
          <t>SMS</t>
        </is>
      </c>
      <c r="C143" s="140" t="inlineStr">
        <is>
          <t>B20004</t>
        </is>
      </c>
      <c r="E143" s="140" t="inlineStr">
        <is>
          <t>เฟรมบนเสริมร่องกระจก</t>
        </is>
      </c>
      <c r="F143" s="140" t="n">
        <v>6.4</v>
      </c>
      <c r="G143" s="140" t="n">
        <v>0.755</v>
      </c>
      <c r="H143" s="140" t="n">
        <v>4.833</v>
      </c>
      <c r="I143" s="140" t="inlineStr">
        <is>
          <t>ราคา 870</t>
        </is>
      </c>
    </row>
    <row r="144" s="129">
      <c r="B144" s="140" t="inlineStr">
        <is>
          <t>SMS</t>
        </is>
      </c>
      <c r="C144" s="140" t="inlineStr">
        <is>
          <t>B20007</t>
        </is>
      </c>
      <c r="E144" s="140" t="inlineStr">
        <is>
          <t>เสากุญแจ (ตูดตัน)</t>
        </is>
      </c>
      <c r="F144" s="140" t="n">
        <v>6.4</v>
      </c>
      <c r="G144" s="140" t="n">
        <v>0.573</v>
      </c>
      <c r="H144" s="140" t="n">
        <v>3.667</v>
      </c>
      <c r="I144" s="140" t="inlineStr">
        <is>
          <t>ราคา 660</t>
        </is>
      </c>
    </row>
    <row r="145" s="129">
      <c r="B145" s="140" t="inlineStr">
        <is>
          <t>SMS</t>
        </is>
      </c>
      <c r="C145" s="140" t="inlineStr">
        <is>
          <t>B20008</t>
        </is>
      </c>
      <c r="E145" s="140" t="inlineStr">
        <is>
          <t>เสากุญแจแบบรับแรง</t>
        </is>
      </c>
      <c r="F145" s="140" t="n">
        <v>6.4</v>
      </c>
      <c r="G145" s="140" t="n">
        <v>0.977</v>
      </c>
      <c r="H145" s="140" t="n">
        <v>6.25</v>
      </c>
      <c r="I145" s="140" t="inlineStr">
        <is>
          <t>ราคา 1125</t>
        </is>
      </c>
    </row>
    <row r="146" s="129">
      <c r="B146" s="140" t="inlineStr">
        <is>
          <t>SMS</t>
        </is>
      </c>
      <c r="C146" s="140" t="inlineStr">
        <is>
          <t>B20009</t>
        </is>
      </c>
      <c r="E146" s="140" t="inlineStr">
        <is>
          <t>เสาเกี่ยว (ธรรมดา)</t>
        </is>
      </c>
      <c r="F146" s="140" t="n">
        <v>6.4</v>
      </c>
      <c r="G146" s="140" t="n">
        <v>0.599</v>
      </c>
      <c r="H146" s="140" t="n">
        <v>3.833</v>
      </c>
      <c r="I146" s="140" t="inlineStr">
        <is>
          <t>ราคา 690</t>
        </is>
      </c>
    </row>
    <row r="147" s="129">
      <c r="B147" s="140" t="inlineStr">
        <is>
          <t>SMS</t>
        </is>
      </c>
      <c r="C147" s="140" t="inlineStr">
        <is>
          <t>B20010</t>
        </is>
      </c>
      <c r="E147" s="140" t="inlineStr">
        <is>
          <t>เสาเกี่ยวนอก (สูง 2.4 m)</t>
        </is>
      </c>
      <c r="F147" s="140" t="n">
        <v>6.4</v>
      </c>
      <c r="G147" s="140" t="n">
        <v>1.072</v>
      </c>
      <c r="H147" s="140" t="n">
        <v>6.861</v>
      </c>
      <c r="I147" s="140" t="inlineStr">
        <is>
          <t>ราคา 1235</t>
        </is>
      </c>
    </row>
    <row r="148" s="129">
      <c r="B148" s="140" t="inlineStr">
        <is>
          <t>SMS</t>
        </is>
      </c>
      <c r="C148" s="140" t="inlineStr">
        <is>
          <t>B20019</t>
        </is>
      </c>
      <c r="E148" s="140" t="inlineStr">
        <is>
          <t>ฝาปิดเฟรมข้าง</t>
        </is>
      </c>
      <c r="F148" s="140" t="n">
        <v>6.4</v>
      </c>
      <c r="G148" s="140" t="n">
        <v>0.152</v>
      </c>
      <c r="H148" s="140" t="n">
        <v>0.972</v>
      </c>
      <c r="I148" s="140" t="inlineStr">
        <is>
          <t>ราคา 175</t>
        </is>
      </c>
    </row>
    <row r="149" s="129">
      <c r="B149" s="684" t="inlineStr">
        <is>
          <t>SMS</t>
        </is>
      </c>
      <c r="C149" s="140" t="inlineStr">
        <is>
          <t>B20024</t>
        </is>
      </c>
      <c r="E149" s="140" t="inlineStr">
        <is>
          <t>คิ้วกันตก</t>
        </is>
      </c>
      <c r="F149" s="140" t="n">
        <v>6.4</v>
      </c>
      <c r="G149" s="140" t="n">
        <v>0.312</v>
      </c>
      <c r="H149" s="140" t="n">
        <v>2</v>
      </c>
      <c r="I149" s="140" t="inlineStr">
        <is>
          <t>ราคา 360</t>
        </is>
      </c>
    </row>
    <row r="150" s="129">
      <c r="B150" s="140" t="inlineStr">
        <is>
          <t>SMS</t>
        </is>
      </c>
      <c r="C150" s="140" t="inlineStr">
        <is>
          <t>B20041</t>
        </is>
      </c>
      <c r="E150" s="140" t="inlineStr">
        <is>
          <t>เฟรมบานเลื่อน (3รางเสียบ)</t>
        </is>
      </c>
      <c r="F150" s="140" t="n">
        <v>6.4</v>
      </c>
      <c r="G150" s="140" t="n">
        <v>1.797</v>
      </c>
      <c r="H150" s="140" t="n">
        <v>11.5</v>
      </c>
      <c r="I150" s="140" t="inlineStr">
        <is>
          <t>ราคา 2070</t>
        </is>
      </c>
    </row>
    <row r="151" s="129">
      <c r="B151" s="140" t="inlineStr">
        <is>
          <t>SMS</t>
        </is>
      </c>
      <c r="C151" s="140" t="inlineStr">
        <is>
          <t>B20048</t>
        </is>
      </c>
      <c r="E151" s="140" t="inlineStr">
        <is>
          <t>ตัวตบรางมุ้ง</t>
        </is>
      </c>
      <c r="F151" s="140" t="n">
        <v>6.4</v>
      </c>
      <c r="G151" s="140" t="n">
        <v>0.269</v>
      </c>
      <c r="H151" s="140" t="n">
        <v>1.722</v>
      </c>
      <c r="I151" s="140" t="inlineStr">
        <is>
          <t>ราคา 310</t>
        </is>
      </c>
    </row>
    <row r="152" s="129">
      <c r="B152" s="140" t="inlineStr">
        <is>
          <t>SMS</t>
        </is>
      </c>
      <c r="C152" s="140" t="inlineStr">
        <is>
          <t>B20046</t>
        </is>
      </c>
      <c r="E152" s="140" t="inlineStr">
        <is>
          <t>ตัวต่อมัลติพ้อยท์ล็อค (ชนกลางบานเลื่อน)</t>
        </is>
      </c>
      <c r="F152" s="140" t="n">
        <v>6.4</v>
      </c>
      <c r="G152" s="140" t="n">
        <v>0.208</v>
      </c>
      <c r="H152" s="140" t="n">
        <v>1.333</v>
      </c>
      <c r="I152" s="140" t="inlineStr">
        <is>
          <t>ราคา 240</t>
        </is>
      </c>
    </row>
    <row r="153" s="129">
      <c r="B153" s="140" t="inlineStr">
        <is>
          <t>SMS</t>
        </is>
      </c>
      <c r="C153" s="140" t="inlineStr">
        <is>
          <t>B20047</t>
        </is>
      </c>
      <c r="E153" s="140" t="inlineStr">
        <is>
          <t>เฟรมล่างบานเลื่อนภายใน 3 รางเสียบภายใน</t>
        </is>
      </c>
      <c r="F153" s="140" t="n">
        <v>6.4</v>
      </c>
      <c r="G153" s="140" t="n">
        <v>0.716</v>
      </c>
      <c r="H153" s="140" t="n">
        <v>4.583</v>
      </c>
      <c r="I153" s="140" t="inlineStr">
        <is>
          <t>ราคา 825</t>
        </is>
      </c>
    </row>
    <row r="154" s="129">
      <c r="B154" s="140" t="inlineStr">
        <is>
          <t>SMS</t>
        </is>
      </c>
      <c r="C154" s="140" t="inlineStr">
        <is>
          <t>B20050</t>
        </is>
      </c>
      <c r="E154" s="140" t="inlineStr">
        <is>
          <t>ฝาตบปิดรางภายใน</t>
        </is>
      </c>
      <c r="F154" s="140" t="n">
        <v>6.4</v>
      </c>
      <c r="G154" s="140" t="n">
        <v>0.126</v>
      </c>
      <c r="H154" s="140" t="n">
        <v>0.806</v>
      </c>
      <c r="I154" s="140" t="inlineStr">
        <is>
          <t>ราคา 145</t>
        </is>
      </c>
    </row>
    <row r="155" s="129">
      <c r="B155" s="140" t="inlineStr">
        <is>
          <t>SMS</t>
        </is>
      </c>
      <c r="C155" s="140" t="inlineStr">
        <is>
          <t>B20051</t>
        </is>
      </c>
      <c r="E155" s="140" t="inlineStr">
        <is>
          <t>กรอบบานมัลติพ้อยท์ล็อค</t>
        </is>
      </c>
      <c r="F155" s="140" t="n">
        <v>6.4</v>
      </c>
      <c r="G155" s="140" t="n">
        <v>0.768</v>
      </c>
      <c r="H155" s="140" t="n">
        <v>4.917</v>
      </c>
      <c r="I155" s="140" t="inlineStr">
        <is>
          <t>ราคา 885</t>
        </is>
      </c>
    </row>
    <row r="156" s="129">
      <c r="B156" s="140" t="inlineStr">
        <is>
          <t>SMS</t>
        </is>
      </c>
      <c r="C156" s="140" t="inlineStr">
        <is>
          <t>B20053</t>
        </is>
      </c>
      <c r="E156" s="140" t="inlineStr">
        <is>
          <t>กรอบบานมัลติพ้อยท์ล็อคร่องปกติมีมือจับ</t>
        </is>
      </c>
      <c r="F156" s="140" t="n">
        <v>6.4</v>
      </c>
      <c r="G156" s="140" t="n">
        <v>1.345</v>
      </c>
      <c r="H156" s="140" t="n">
        <v>8.611000000000001</v>
      </c>
      <c r="I156" s="140" t="inlineStr">
        <is>
          <t>ราคา 1550</t>
        </is>
      </c>
    </row>
    <row r="157" s="129">
      <c r="B157" s="140" t="inlineStr">
        <is>
          <t>SMS</t>
        </is>
      </c>
      <c r="C157" s="140" t="inlineStr">
        <is>
          <t>B20054</t>
        </is>
      </c>
      <c r="E157" s="140" t="inlineStr">
        <is>
          <t>ขวางล่างใส่ล้อตลับขวางบน/ขวางล่าง</t>
        </is>
      </c>
      <c r="F157" s="140" t="n">
        <v>6.4</v>
      </c>
      <c r="G157" s="140" t="n">
        <v>0.92</v>
      </c>
      <c r="H157" s="140" t="n">
        <v>5.889</v>
      </c>
      <c r="I157" s="140" t="inlineStr">
        <is>
          <t>ราคา 1060</t>
        </is>
      </c>
    </row>
    <row r="158" s="129">
      <c r="B158" s="140" t="inlineStr">
        <is>
          <t>SMS</t>
        </is>
      </c>
      <c r="C158" s="140" t="inlineStr">
        <is>
          <t>B22001</t>
        </is>
      </c>
      <c r="E158" s="140" t="inlineStr">
        <is>
          <t>เฟรมบนบานเลื่อน 45 มม.</t>
        </is>
      </c>
      <c r="F158" s="140" t="n">
        <v>6.4</v>
      </c>
      <c r="G158" s="140" t="n">
        <v>1.072</v>
      </c>
      <c r="H158" s="140" t="n">
        <v>6.861</v>
      </c>
      <c r="I158" s="140" t="inlineStr">
        <is>
          <t>ราคา 1235</t>
        </is>
      </c>
    </row>
    <row r="159" s="129">
      <c r="B159" s="140" t="inlineStr">
        <is>
          <t>SMS</t>
        </is>
      </c>
      <c r="C159" s="140" t="inlineStr">
        <is>
          <t>B22002</t>
        </is>
      </c>
      <c r="E159" s="140" t="inlineStr">
        <is>
          <t>เฟรมข้างบานเลื่อน 45 มม.</t>
        </is>
      </c>
      <c r="F159" s="140" t="n">
        <v>6.4</v>
      </c>
      <c r="G159" s="140" t="n">
        <v>0.894</v>
      </c>
      <c r="H159" s="140" t="n">
        <v>5.722</v>
      </c>
      <c r="I159" s="140" t="inlineStr">
        <is>
          <t>ราคา 1030</t>
        </is>
      </c>
    </row>
    <row r="160" s="129">
      <c r="B160" s="140" t="inlineStr">
        <is>
          <t>SMS</t>
        </is>
      </c>
      <c r="C160" s="140" t="inlineStr">
        <is>
          <t>B22004</t>
        </is>
      </c>
      <c r="E160" s="140" t="inlineStr">
        <is>
          <t>คิ้วรางข้างตบร่อง</t>
        </is>
      </c>
      <c r="F160" s="140" t="n">
        <v>6.4</v>
      </c>
      <c r="G160" s="140" t="n">
        <v>0.265</v>
      </c>
      <c r="H160" s="140" t="n">
        <v>1.694</v>
      </c>
      <c r="I160" s="140" t="inlineStr">
        <is>
          <t>ราคา 305</t>
        </is>
      </c>
    </row>
    <row r="161" s="129">
      <c r="B161" s="140" t="inlineStr">
        <is>
          <t>SMS</t>
        </is>
      </c>
      <c r="C161" s="140" t="inlineStr">
        <is>
          <t>B24001</t>
        </is>
      </c>
      <c r="E161" s="140" t="inlineStr">
        <is>
          <t>เฟรมบนบานเฟี้ยม</t>
        </is>
      </c>
      <c r="F161" s="140" t="n">
        <v>6.4</v>
      </c>
      <c r="G161" s="140" t="n">
        <v>1.827</v>
      </c>
      <c r="H161" s="140" t="n">
        <v>11.694</v>
      </c>
      <c r="I161" s="140" t="inlineStr">
        <is>
          <t>ราคา 2105</t>
        </is>
      </c>
    </row>
    <row r="162" s="129">
      <c r="B162" s="140" t="inlineStr">
        <is>
          <t>SMS</t>
        </is>
      </c>
      <c r="C162" s="140" t="inlineStr">
        <is>
          <t>B24002</t>
        </is>
      </c>
      <c r="E162" s="140" t="inlineStr">
        <is>
          <t>คิ้วเฟรมบน</t>
        </is>
      </c>
      <c r="F162" s="140" t="n">
        <v>6.4</v>
      </c>
      <c r="G162" s="140" t="n">
        <v>0.278</v>
      </c>
      <c r="H162" s="140" t="n">
        <v>1.778</v>
      </c>
      <c r="I162" s="140" t="inlineStr">
        <is>
          <t>ราคา 320</t>
        </is>
      </c>
    </row>
    <row r="163" s="129">
      <c r="B163" s="140" t="inlineStr">
        <is>
          <t>SMS</t>
        </is>
      </c>
      <c r="C163" s="140" t="inlineStr">
        <is>
          <t>B24003</t>
        </is>
      </c>
      <c r="E163" s="140" t="inlineStr">
        <is>
          <t>เฟรมล่างบานเฟี้ยม</t>
        </is>
      </c>
      <c r="F163" s="140" t="n">
        <v>6.4</v>
      </c>
      <c r="G163" s="140" t="n">
        <v>1.263</v>
      </c>
      <c r="H163" s="140" t="n">
        <v>8.083</v>
      </c>
      <c r="I163" s="140" t="inlineStr">
        <is>
          <t>ราคา 1455</t>
        </is>
      </c>
    </row>
    <row r="164" s="129">
      <c r="B164" s="140" t="inlineStr">
        <is>
          <t>SMS</t>
        </is>
      </c>
      <c r="C164" s="140" t="inlineStr">
        <is>
          <t>B24004</t>
        </is>
      </c>
      <c r="E164" s="140" t="inlineStr">
        <is>
          <t>ตบธรณี</t>
        </is>
      </c>
      <c r="F164" s="140" t="n">
        <v>6.4</v>
      </c>
      <c r="G164" s="140" t="n">
        <v>0.495</v>
      </c>
      <c r="H164" s="140" t="n">
        <v>3.167</v>
      </c>
      <c r="I164" s="140" t="inlineStr">
        <is>
          <t>ราคา 570</t>
        </is>
      </c>
    </row>
    <row r="165" s="129">
      <c r="B165" s="140" t="inlineStr">
        <is>
          <t>SMS</t>
        </is>
      </c>
      <c r="C165" s="140" t="inlineStr">
        <is>
          <t>B24005</t>
        </is>
      </c>
      <c r="E165" s="140" t="inlineStr">
        <is>
          <t>เฟรมข้างบานเฟี้ยม</t>
        </is>
      </c>
      <c r="F165" s="140" t="n">
        <v>6.4</v>
      </c>
      <c r="G165" s="140" t="n">
        <v>0.868</v>
      </c>
      <c r="H165" s="140" t="n">
        <v>5.556</v>
      </c>
      <c r="I165" s="140" t="inlineStr">
        <is>
          <t>ราคา 1000</t>
        </is>
      </c>
    </row>
    <row r="166" s="129">
      <c r="B166" s="140" t="inlineStr">
        <is>
          <t>SMS</t>
        </is>
      </c>
      <c r="C166" s="140" t="inlineStr">
        <is>
          <t>B24006</t>
        </is>
      </c>
      <c r="E166" s="140" t="inlineStr">
        <is>
          <t>คิ้วเฟรมข้างประตู</t>
        </is>
      </c>
      <c r="F166" s="140" t="n">
        <v>6.4</v>
      </c>
      <c r="G166" s="140" t="n">
        <v>0.243</v>
      </c>
      <c r="H166" s="140" t="n">
        <v>1.556</v>
      </c>
      <c r="I166" s="140" t="inlineStr">
        <is>
          <t>ราคา 280</t>
        </is>
      </c>
    </row>
    <row r="167" s="129">
      <c r="B167" s="140" t="inlineStr">
        <is>
          <t>SMS</t>
        </is>
      </c>
      <c r="C167" s="140" t="inlineStr">
        <is>
          <t>B24007</t>
        </is>
      </c>
      <c r="E167" s="140" t="inlineStr">
        <is>
          <t>เสาบานเฟี้ยม</t>
        </is>
      </c>
      <c r="F167" s="140" t="n">
        <v>6.4</v>
      </c>
      <c r="G167" s="140" t="n">
        <v>1.05</v>
      </c>
      <c r="H167" s="140" t="n">
        <v>6.722</v>
      </c>
      <c r="I167" s="140" t="inlineStr">
        <is>
          <t>ราคา 1210</t>
        </is>
      </c>
    </row>
    <row r="168" s="129">
      <c r="B168" s="140" t="inlineStr">
        <is>
          <t>SMS</t>
        </is>
      </c>
      <c r="C168" s="140" t="inlineStr">
        <is>
          <t>B24008</t>
        </is>
      </c>
      <c r="E168" s="140" t="inlineStr">
        <is>
          <t>คิ้วตบกระจก 5-6 มม.</t>
        </is>
      </c>
      <c r="F168" s="140" t="n">
        <v>6.4</v>
      </c>
      <c r="G168" s="140" t="n">
        <v>0.23</v>
      </c>
      <c r="H168" s="140" t="n">
        <v>1.472</v>
      </c>
      <c r="I168" s="140" t="inlineStr">
        <is>
          <t>ราคา 265</t>
        </is>
      </c>
    </row>
    <row r="169" s="129">
      <c r="B169" s="140" t="inlineStr">
        <is>
          <t>SMS</t>
        </is>
      </c>
      <c r="C169" s="140" t="inlineStr">
        <is>
          <t>B24009</t>
        </is>
      </c>
      <c r="E169" s="140" t="inlineStr">
        <is>
          <t>บังใบเสาประตูบานเฟี้ยม</t>
        </is>
      </c>
      <c r="F169" s="140" t="n">
        <v>6.4</v>
      </c>
      <c r="G169" s="140" t="n">
        <v>0.234</v>
      </c>
      <c r="H169" s="140" t="n">
        <v>1.5</v>
      </c>
      <c r="I169" s="140" t="inlineStr">
        <is>
          <t>ราคา 270</t>
        </is>
      </c>
    </row>
    <row r="170" s="129">
      <c r="B170" s="140" t="inlineStr">
        <is>
          <t>SMS</t>
        </is>
      </c>
      <c r="C170" s="140" t="inlineStr">
        <is>
          <t>B24017</t>
        </is>
      </c>
      <c r="E170" s="140" t="inlineStr">
        <is>
          <t>รางยู sms</t>
        </is>
      </c>
      <c r="F170" s="140" t="n">
        <v>6.4</v>
      </c>
      <c r="G170" s="140" t="n">
        <v>0.265</v>
      </c>
      <c r="H170" s="140" t="n">
        <v>1.694</v>
      </c>
      <c r="I170" s="140" t="inlineStr">
        <is>
          <t>ราคา 305</t>
        </is>
      </c>
    </row>
    <row r="171" s="129">
      <c r="B171" s="140" t="inlineStr">
        <is>
          <t>SMS</t>
        </is>
      </c>
      <c r="C171" s="140" t="inlineStr">
        <is>
          <t>B24018</t>
        </is>
      </c>
      <c r="E171" s="140" t="inlineStr">
        <is>
          <t>รางบานเฟี้ยมภายใน sms</t>
        </is>
      </c>
      <c r="F171" s="140" t="n">
        <v>6.4</v>
      </c>
      <c r="G171" s="140" t="n">
        <v>0.786</v>
      </c>
      <c r="H171" s="140" t="n">
        <v>5.028</v>
      </c>
      <c r="I171" s="140" t="inlineStr">
        <is>
          <t>ราคา 905</t>
        </is>
      </c>
    </row>
    <row r="172" s="129">
      <c r="B172" s="140" t="inlineStr">
        <is>
          <t>SMS</t>
        </is>
      </c>
      <c r="C172" s="140" t="inlineStr">
        <is>
          <t>B30006</t>
        </is>
      </c>
      <c r="E172" s="140" t="inlineStr">
        <is>
          <t>กรอบมุ้ง</t>
        </is>
      </c>
      <c r="F172" s="140" t="n">
        <v>6.4</v>
      </c>
      <c r="G172" s="140" t="n">
        <v>0.543</v>
      </c>
      <c r="H172" s="140" t="n">
        <v>3.472</v>
      </c>
      <c r="I172" s="140" t="inlineStr">
        <is>
          <t>ราคา 625</t>
        </is>
      </c>
    </row>
    <row r="173" s="129">
      <c r="B173" s="708" t="inlineStr">
        <is>
          <t>── Fuji (74 เส้น) ──</t>
        </is>
      </c>
      <c r="C173" s="140" t="n"/>
      <c r="E173" s="140" t="n"/>
      <c r="F173" s="140" t="n"/>
      <c r="G173" s="140" t="n"/>
      <c r="H173" s="140" t="n"/>
    </row>
    <row r="174" s="129">
      <c r="B174" s="684" t="inlineStr">
        <is>
          <t>Fuji</t>
        </is>
      </c>
      <c r="C174" s="140" t="inlineStr">
        <is>
          <t>F7976</t>
        </is>
      </c>
      <c r="E174" s="140" t="inlineStr">
        <is>
          <t>เฟรมบน-ล่างบานเลื่อน 3 ราง</t>
        </is>
      </c>
      <c r="F174" s="140" t="n">
        <v>6.4</v>
      </c>
      <c r="G174" s="140" t="n">
        <v>1.832</v>
      </c>
      <c r="H174" s="140" t="n">
        <v>11.722</v>
      </c>
      <c r="I174" s="140" t="inlineStr">
        <is>
          <t>ราคา 2110</t>
        </is>
      </c>
    </row>
    <row r="175" s="129">
      <c r="B175" s="140" t="inlineStr">
        <is>
          <t>Fuji</t>
        </is>
      </c>
      <c r="C175" s="140" t="inlineStr">
        <is>
          <t>F7869</t>
        </is>
      </c>
      <c r="E175" s="140" t="inlineStr">
        <is>
          <t>เฟรมบน-ล่างบานเลื่อน 3 ราง (ตัวหนา)</t>
        </is>
      </c>
      <c r="F175" s="140" t="n">
        <v>6.4</v>
      </c>
      <c r="G175" s="140" t="n">
        <v>2.192</v>
      </c>
      <c r="H175" s="140" t="n">
        <v>14.028</v>
      </c>
      <c r="I175" s="140" t="inlineStr">
        <is>
          <t>ราคา 2525</t>
        </is>
      </c>
    </row>
    <row r="176" s="129">
      <c r="B176" s="140" t="inlineStr">
        <is>
          <t>Fuji</t>
        </is>
      </c>
      <c r="C176" s="140" t="inlineStr">
        <is>
          <t>F7977</t>
        </is>
      </c>
      <c r="E176" s="140" t="inlineStr">
        <is>
          <t>เฟรมบน-ล่างบานเลื่อน 2 ราง</t>
        </is>
      </c>
      <c r="F176" s="140" t="n">
        <v>6.4</v>
      </c>
      <c r="G176" s="140" t="n">
        <v>1.233</v>
      </c>
      <c r="H176" s="140" t="n">
        <v>7.889</v>
      </c>
      <c r="I176" s="140" t="inlineStr">
        <is>
          <t>ราคา 1420</t>
        </is>
      </c>
    </row>
    <row r="177" s="129">
      <c r="B177" s="140" t="inlineStr">
        <is>
          <t>Fuji</t>
        </is>
      </c>
      <c r="C177" s="140" t="inlineStr">
        <is>
          <t>F7990</t>
        </is>
      </c>
      <c r="E177" s="140" t="inlineStr">
        <is>
          <t>ต่อเฟรมบน-ล่างบานเลื่อน</t>
        </is>
      </c>
      <c r="F177" s="140" t="n">
        <v>6.4</v>
      </c>
      <c r="G177" s="140" t="n">
        <v>0.8159999999999999</v>
      </c>
      <c r="H177" s="140" t="n">
        <v>5.222</v>
      </c>
      <c r="I177" s="140" t="inlineStr">
        <is>
          <t>ราคา 940</t>
        </is>
      </c>
    </row>
    <row r="178" s="129">
      <c r="B178" s="140" t="inlineStr">
        <is>
          <t>Fuji</t>
        </is>
      </c>
      <c r="C178" s="140" t="inlineStr">
        <is>
          <t>F7902</t>
        </is>
      </c>
      <c r="E178" s="140" t="inlineStr">
        <is>
          <t>เฟรมล่างบานเลื่อน 3 ราง (ตัวเตี้ย)</t>
        </is>
      </c>
      <c r="F178" s="140" t="n">
        <v>6.4</v>
      </c>
      <c r="G178" s="140" t="n">
        <v>0.981</v>
      </c>
      <c r="H178" s="140" t="n">
        <v>6.278</v>
      </c>
      <c r="I178" s="140" t="inlineStr">
        <is>
          <t>ราคา 1130</t>
        </is>
      </c>
    </row>
    <row r="179" s="129">
      <c r="B179" s="140" t="inlineStr">
        <is>
          <t>Fuji</t>
        </is>
      </c>
      <c r="C179" s="140" t="inlineStr">
        <is>
          <t>F7978</t>
        </is>
      </c>
      <c r="E179" s="140" t="inlineStr">
        <is>
          <t>เฟรมข้างบานเลื่อน 3 ราง</t>
        </is>
      </c>
      <c r="F179" s="140" t="n">
        <v>6.4</v>
      </c>
      <c r="G179" s="140" t="n">
        <v>0.764</v>
      </c>
      <c r="H179" s="140" t="n">
        <v>4.889</v>
      </c>
      <c r="I179" s="140" t="inlineStr">
        <is>
          <t>ราคา 880</t>
        </is>
      </c>
    </row>
    <row r="180" s="129">
      <c r="B180" s="140" t="inlineStr">
        <is>
          <t>Fuji</t>
        </is>
      </c>
      <c r="C180" s="140" t="inlineStr">
        <is>
          <t>F7870</t>
        </is>
      </c>
      <c r="E180" s="140" t="inlineStr">
        <is>
          <t>เฟรมข้างบานเลื่อน 3 ราง (ตัวหนา)</t>
        </is>
      </c>
      <c r="F180" s="140" t="n">
        <v>6.4</v>
      </c>
      <c r="G180" s="140" t="n">
        <v>0.894</v>
      </c>
      <c r="H180" s="140" t="n">
        <v>5.722</v>
      </c>
      <c r="I180" s="140" t="inlineStr">
        <is>
          <t>ราคา 1030</t>
        </is>
      </c>
    </row>
    <row r="181" s="129">
      <c r="B181" s="140" t="inlineStr">
        <is>
          <t>Fuji</t>
        </is>
      </c>
      <c r="C181" s="140" t="inlineStr">
        <is>
          <t>F7979</t>
        </is>
      </c>
      <c r="E181" s="140" t="inlineStr">
        <is>
          <t>เฟรมข้างบานเลื่อน 2 ราง</t>
        </is>
      </c>
      <c r="F181" s="140" t="n">
        <v>6.4</v>
      </c>
      <c r="G181" s="140" t="n">
        <v>0.5639999999999999</v>
      </c>
      <c r="H181" s="140" t="n">
        <v>3.611</v>
      </c>
      <c r="I181" s="140" t="inlineStr">
        <is>
          <t>ราคา 650</t>
        </is>
      </c>
    </row>
    <row r="182" s="129">
      <c r="B182" s="140" t="inlineStr">
        <is>
          <t>Fuji</t>
        </is>
      </c>
      <c r="C182" s="140" t="inlineStr">
        <is>
          <t>F7986</t>
        </is>
      </c>
      <c r="E182" s="140" t="inlineStr">
        <is>
          <t>ตบรับล็อกเฟรมข้าง</t>
        </is>
      </c>
      <c r="F182" s="140" t="n">
        <v>6.4</v>
      </c>
      <c r="G182" s="140" t="n">
        <v>0.234</v>
      </c>
      <c r="H182" s="140" t="n">
        <v>1.5</v>
      </c>
      <c r="I182" s="140" t="inlineStr">
        <is>
          <t>ราคา 270</t>
        </is>
      </c>
    </row>
    <row r="183" s="129">
      <c r="B183" s="140" t="inlineStr">
        <is>
          <t>Fuji</t>
        </is>
      </c>
      <c r="C183" s="140" t="inlineStr">
        <is>
          <t>F7989</t>
        </is>
      </c>
      <c r="E183" s="140" t="inlineStr">
        <is>
          <t>กล่องต่อเฟรมข้างบานเลื่อน</t>
        </is>
      </c>
      <c r="F183" s="140" t="n">
        <v>6.4</v>
      </c>
      <c r="G183" s="140" t="n">
        <v>0.265</v>
      </c>
      <c r="H183" s="140" t="n">
        <v>1.694</v>
      </c>
      <c r="I183" s="140" t="inlineStr">
        <is>
          <t>ราคา 305</t>
        </is>
      </c>
    </row>
    <row r="184" s="129">
      <c r="B184" s="140" t="inlineStr">
        <is>
          <t>Fuji</t>
        </is>
      </c>
      <c r="C184" s="140" t="inlineStr">
        <is>
          <t>F7867</t>
        </is>
      </c>
      <c r="E184" s="140" t="inlineStr">
        <is>
          <t>กรอบบานเลื่อน ประตู (ตัวบาง)</t>
        </is>
      </c>
      <c r="F184" s="140" t="n">
        <v>6.4</v>
      </c>
      <c r="G184" s="140" t="n">
        <v>0.959</v>
      </c>
      <c r="H184" s="140" t="n">
        <v>6.139</v>
      </c>
      <c r="I184" s="140" t="inlineStr">
        <is>
          <t>ราคา 1105</t>
        </is>
      </c>
    </row>
    <row r="185" s="129">
      <c r="B185" s="140" t="inlineStr">
        <is>
          <t>Fuji</t>
        </is>
      </c>
      <c r="C185" s="140" t="inlineStr">
        <is>
          <t>F7980</t>
        </is>
      </c>
      <c r="E185" s="140" t="inlineStr">
        <is>
          <t>กรอบบานเลื่อนประตู</t>
        </is>
      </c>
      <c r="F185" s="140" t="n">
        <v>6.4</v>
      </c>
      <c r="G185" s="140" t="n">
        <v>1.189</v>
      </c>
      <c r="H185" s="140" t="n">
        <v>7.611</v>
      </c>
      <c r="I185" s="140" t="inlineStr">
        <is>
          <t>ราคา 1370</t>
        </is>
      </c>
    </row>
    <row r="186" s="129">
      <c r="B186" s="140" t="inlineStr">
        <is>
          <t>Fuji</t>
        </is>
      </c>
      <c r="C186" s="140" t="inlineStr">
        <is>
          <t>F7981</t>
        </is>
      </c>
      <c r="E186" s="140" t="inlineStr">
        <is>
          <t>กรอบบานเลื่อนหน้าต่าง</t>
        </is>
      </c>
      <c r="F186" s="140" t="n">
        <v>6.4</v>
      </c>
      <c r="G186" s="140" t="n">
        <v>0.9330000000000001</v>
      </c>
      <c r="H186" s="140" t="n">
        <v>5.972</v>
      </c>
      <c r="I186" s="140" t="inlineStr">
        <is>
          <t>ราคา 1075</t>
        </is>
      </c>
    </row>
    <row r="187" s="129">
      <c r="B187" s="140" t="inlineStr">
        <is>
          <t>Fuji</t>
        </is>
      </c>
      <c r="C187" s="140" t="inlineStr">
        <is>
          <t>F7991</t>
        </is>
      </c>
      <c r="E187" s="140" t="inlineStr">
        <is>
          <t>ตบธรณีบานเลื่อน</t>
        </is>
      </c>
      <c r="F187" s="140" t="n">
        <v>6.4</v>
      </c>
      <c r="G187" s="140" t="n">
        <v>0.247</v>
      </c>
      <c r="H187" s="140" t="n">
        <v>1.583</v>
      </c>
      <c r="I187" s="140" t="inlineStr">
        <is>
          <t>ราคา 285</t>
        </is>
      </c>
    </row>
    <row r="188" s="129">
      <c r="B188" s="140" t="inlineStr">
        <is>
          <t>Fuji</t>
        </is>
      </c>
      <c r="C188" s="140" t="inlineStr">
        <is>
          <t>F7992</t>
        </is>
      </c>
      <c r="E188" s="140" t="inlineStr">
        <is>
          <t>ตบฝังเฟรมบานเลื่อน</t>
        </is>
      </c>
      <c r="F188" s="140" t="n">
        <v>6.4</v>
      </c>
      <c r="G188" s="140" t="n">
        <v>0.425</v>
      </c>
      <c r="H188" s="140" t="n">
        <v>2.722</v>
      </c>
      <c r="I188" s="140" t="inlineStr">
        <is>
          <t>ราคา 490</t>
        </is>
      </c>
    </row>
    <row r="189" s="129">
      <c r="B189" s="140" t="inlineStr">
        <is>
          <t>Fuji</t>
        </is>
      </c>
      <c r="C189" s="140" t="inlineStr">
        <is>
          <t>F7982</t>
        </is>
      </c>
      <c r="E189" s="140" t="inlineStr">
        <is>
          <t>ตบเกี่ยวทางเดียว หน้าต่าง</t>
        </is>
      </c>
      <c r="F189" s="140" t="n">
        <v>6.4</v>
      </c>
      <c r="G189" s="140" t="n">
        <v>0.343</v>
      </c>
      <c r="H189" s="140" t="n">
        <v>2.194</v>
      </c>
      <c r="I189" s="140" t="inlineStr">
        <is>
          <t>ราคา 395</t>
        </is>
      </c>
    </row>
    <row r="190" s="129">
      <c r="B190" s="140" t="inlineStr">
        <is>
          <t>Fuji</t>
        </is>
      </c>
      <c r="C190" s="140" t="inlineStr">
        <is>
          <t>F7983</t>
        </is>
      </c>
      <c r="E190" s="140" t="inlineStr">
        <is>
          <t>ตบเกี่ยวทางเดียว ประตู</t>
        </is>
      </c>
      <c r="F190" s="140" t="n">
        <v>6.4</v>
      </c>
      <c r="G190" s="140" t="n">
        <v>0.395</v>
      </c>
      <c r="H190" s="140" t="n">
        <v>2.528</v>
      </c>
      <c r="I190" s="140" t="inlineStr">
        <is>
          <t>ราคา 455</t>
        </is>
      </c>
    </row>
    <row r="191" s="129">
      <c r="B191" s="140" t="inlineStr">
        <is>
          <t>Fuji</t>
        </is>
      </c>
      <c r="C191" s="140" t="inlineStr">
        <is>
          <t>F7984</t>
        </is>
      </c>
      <c r="E191" s="140" t="inlineStr">
        <is>
          <t>ตบเกี่ยวสองทาง หน้าต่าง</t>
        </is>
      </c>
      <c r="F191" s="140" t="n">
        <v>6.4</v>
      </c>
      <c r="G191" s="140" t="n">
        <v>0.543</v>
      </c>
      <c r="H191" s="140" t="n">
        <v>3.472</v>
      </c>
      <c r="I191" s="140" t="inlineStr">
        <is>
          <t>ราคา 625</t>
        </is>
      </c>
    </row>
    <row r="192" s="129">
      <c r="B192" s="140" t="inlineStr">
        <is>
          <t>Fuji</t>
        </is>
      </c>
      <c r="C192" s="140" t="inlineStr">
        <is>
          <t>F7985</t>
        </is>
      </c>
      <c r="E192" s="140" t="inlineStr">
        <is>
          <t>ตบเกี่ยวสองทาง ประตู</t>
        </is>
      </c>
      <c r="F192" s="140" t="n">
        <v>6.4</v>
      </c>
      <c r="G192" s="140" t="n">
        <v>0.651</v>
      </c>
      <c r="H192" s="140" t="n">
        <v>4.167</v>
      </c>
      <c r="I192" s="140" t="inlineStr">
        <is>
          <t>ราคา 750</t>
        </is>
      </c>
    </row>
    <row r="193" s="129">
      <c r="B193" s="140" t="inlineStr">
        <is>
          <t>Fuji</t>
        </is>
      </c>
      <c r="C193" s="140" t="inlineStr">
        <is>
          <t>F7966</t>
        </is>
      </c>
      <c r="E193" s="140" t="inlineStr">
        <is>
          <t>แบ่งบานมุ้งบานเลื่อน</t>
        </is>
      </c>
      <c r="F193" s="140" t="n">
        <v>6.4</v>
      </c>
      <c r="G193" s="140" t="n">
        <v>0.66</v>
      </c>
      <c r="H193" s="140" t="n">
        <v>4.222</v>
      </c>
      <c r="I193" s="140" t="inlineStr">
        <is>
          <t>ราคา 760</t>
        </is>
      </c>
    </row>
    <row r="194" s="129">
      <c r="B194" s="140" t="inlineStr">
        <is>
          <t>Fuji</t>
        </is>
      </c>
      <c r="C194" s="140" t="inlineStr">
        <is>
          <t>F7925</t>
        </is>
      </c>
      <c r="E194" s="140" t="inlineStr">
        <is>
          <t>ต่อชนกลาง</t>
        </is>
      </c>
      <c r="F194" s="140" t="n">
        <v>6.4</v>
      </c>
      <c r="G194" s="140" t="n">
        <v>0.343</v>
      </c>
      <c r="H194" s="140" t="n">
        <v>2.194</v>
      </c>
      <c r="I194" s="140" t="inlineStr">
        <is>
          <t>ราคา 395</t>
        </is>
      </c>
    </row>
    <row r="195" s="129">
      <c r="B195" s="140" t="inlineStr">
        <is>
          <t>Fuji</t>
        </is>
      </c>
      <c r="C195" s="140" t="inlineStr">
        <is>
          <t>F7855</t>
        </is>
      </c>
      <c r="E195" s="140" t="inlineStr">
        <is>
          <t>ชนกลางบานเลื่อนรับแรง</t>
        </is>
      </c>
      <c r="F195" s="140" t="n">
        <v>6.4</v>
      </c>
      <c r="G195" s="140" t="n">
        <v>0.651</v>
      </c>
      <c r="H195" s="140" t="n">
        <v>4.167</v>
      </c>
      <c r="I195" s="140" t="inlineStr">
        <is>
          <t>ราคา 750</t>
        </is>
      </c>
    </row>
    <row r="196" s="129">
      <c r="B196" s="140" t="inlineStr">
        <is>
          <t>Fuji</t>
        </is>
      </c>
      <c r="C196" s="140" t="inlineStr">
        <is>
          <t>F7951</t>
        </is>
      </c>
      <c r="E196" s="140" t="inlineStr">
        <is>
          <t>เสารับแรงบานเลื่อน</t>
        </is>
      </c>
      <c r="F196" s="140" t="n">
        <v>6.4</v>
      </c>
      <c r="G196" s="140" t="n">
        <v>1.701</v>
      </c>
      <c r="H196" s="140" t="n">
        <v>10.889</v>
      </c>
      <c r="I196" s="140" t="inlineStr">
        <is>
          <t>ราคา 1960</t>
        </is>
      </c>
    </row>
    <row r="197" s="129">
      <c r="B197" s="140" t="inlineStr">
        <is>
          <t>Fuji</t>
        </is>
      </c>
      <c r="C197" s="140" t="inlineStr">
        <is>
          <t>F7856</t>
        </is>
      </c>
      <c r="E197" s="140" t="inlineStr">
        <is>
          <t>อแดปเตอร์ประตูดิจิตอล</t>
        </is>
      </c>
      <c r="F197" s="140" t="n">
        <v>6.4</v>
      </c>
      <c r="G197" s="140" t="n">
        <v>0.764</v>
      </c>
      <c r="H197" s="140" t="n">
        <v>4.889</v>
      </c>
      <c r="I197" s="140" t="inlineStr">
        <is>
          <t>ราคา 880</t>
        </is>
      </c>
    </row>
    <row r="198" s="129">
      <c r="B198" s="140" t="inlineStr">
        <is>
          <t>Fuji</t>
        </is>
      </c>
      <c r="C198" s="140" t="inlineStr">
        <is>
          <t>F7857</t>
        </is>
      </c>
      <c r="E198" s="140" t="inlineStr">
        <is>
          <t>อแดปเตอร์บานเลือนดิจิตอล</t>
        </is>
      </c>
      <c r="F198" s="140" t="n">
        <v>6.4</v>
      </c>
      <c r="G198" s="140" t="n">
        <v>0.577</v>
      </c>
      <c r="H198" s="140" t="n">
        <v>3.694</v>
      </c>
      <c r="I198" s="140" t="inlineStr">
        <is>
          <t>ราคา 665</t>
        </is>
      </c>
    </row>
    <row r="199" s="129">
      <c r="B199" s="140" t="inlineStr">
        <is>
          <t>Fuji</t>
        </is>
      </c>
      <c r="C199" s="140" t="inlineStr">
        <is>
          <t>F7918</t>
        </is>
      </c>
      <c r="E199" s="140" t="inlineStr">
        <is>
          <t>เสาต่อหักมุม 90</t>
        </is>
      </c>
      <c r="F199" s="140" t="n">
        <v>6.4</v>
      </c>
      <c r="G199" s="140" t="n">
        <v>0.673</v>
      </c>
      <c r="H199" s="140" t="n">
        <v>4.306</v>
      </c>
      <c r="I199" s="140" t="inlineStr">
        <is>
          <t>ราคา 775</t>
        </is>
      </c>
    </row>
    <row r="200" s="129">
      <c r="B200" s="140" t="inlineStr">
        <is>
          <t>Fuji</t>
        </is>
      </c>
      <c r="C200" s="140" t="inlineStr">
        <is>
          <t>F7993</t>
        </is>
      </c>
      <c r="E200" s="140" t="inlineStr">
        <is>
          <t>ตบปิดร่องรางเลื่อน</t>
        </is>
      </c>
      <c r="F200" s="140" t="n">
        <v>6.4</v>
      </c>
      <c r="G200" s="140" t="n">
        <v>0.104</v>
      </c>
      <c r="H200" s="140" t="n">
        <v>0.667</v>
      </c>
      <c r="I200" s="140" t="inlineStr">
        <is>
          <t>ราคา 120</t>
        </is>
      </c>
    </row>
    <row r="201" s="129">
      <c r="B201" s="140" t="inlineStr">
        <is>
          <t>Fuji</t>
        </is>
      </c>
      <c r="C201" s="140" t="inlineStr">
        <is>
          <t>F7988</t>
        </is>
      </c>
      <c r="E201" s="140" t="inlineStr">
        <is>
          <t>ตบปิดร่อง</t>
        </is>
      </c>
      <c r="F201" s="140" t="n">
        <v>6.4</v>
      </c>
      <c r="G201" s="140" t="n">
        <v>0.104</v>
      </c>
      <c r="H201" s="140" t="n">
        <v>0.667</v>
      </c>
      <c r="I201" s="140" t="inlineStr">
        <is>
          <t>ราคา 120</t>
        </is>
      </c>
    </row>
    <row r="202" s="129">
      <c r="B202" s="140" t="inlineStr">
        <is>
          <t>Fuji</t>
        </is>
      </c>
      <c r="C202" s="140" t="inlineStr">
        <is>
          <t>F7994</t>
        </is>
      </c>
      <c r="E202" s="140" t="inlineStr">
        <is>
          <t>เส้นรางเลื่อน</t>
        </is>
      </c>
      <c r="F202" s="140" t="n">
        <v>6.4</v>
      </c>
      <c r="G202" s="140" t="n">
        <v>0.113</v>
      </c>
      <c r="H202" s="140" t="n">
        <v>0.722</v>
      </c>
      <c r="I202" s="140" t="inlineStr">
        <is>
          <t>ราคา 130</t>
        </is>
      </c>
    </row>
    <row r="203" s="129">
      <c r="B203" s="140" t="inlineStr">
        <is>
          <t>Fuji</t>
        </is>
      </c>
      <c r="C203" s="140" t="inlineStr">
        <is>
          <t>F7987</t>
        </is>
      </c>
      <c r="E203" s="140" t="inlineStr">
        <is>
          <t>คิ้วมุ้งบานเลื่อน</t>
        </is>
      </c>
      <c r="F203" s="140" t="n">
        <v>6.4</v>
      </c>
      <c r="G203" s="140" t="n">
        <v>0.13</v>
      </c>
      <c r="H203" s="140" t="n">
        <v>0.833</v>
      </c>
      <c r="I203" s="140" t="inlineStr">
        <is>
          <t>ราคา 150</t>
        </is>
      </c>
    </row>
    <row r="204" s="129">
      <c r="B204" s="140" t="inlineStr">
        <is>
          <t>Fuji</t>
        </is>
      </c>
      <c r="C204" s="140" t="inlineStr">
        <is>
          <t>F7996</t>
        </is>
      </c>
      <c r="E204" s="140" t="inlineStr">
        <is>
          <t>คิ้วลอยช่องแสง</t>
        </is>
      </c>
      <c r="F204" s="140" t="n">
        <v>6.4</v>
      </c>
      <c r="G204" s="140" t="n">
        <v>0.395</v>
      </c>
      <c r="H204" s="140" t="n">
        <v>2.528</v>
      </c>
      <c r="I204" s="140" t="inlineStr">
        <is>
          <t>ราคา 455</t>
        </is>
      </c>
    </row>
    <row r="205" s="129">
      <c r="B205" s="140" t="inlineStr">
        <is>
          <t>Fuji</t>
        </is>
      </c>
      <c r="C205" s="140" t="inlineStr">
        <is>
          <t>F7919</t>
        </is>
      </c>
      <c r="E205" s="140" t="inlineStr">
        <is>
          <t>คิ้วกรอบบาน</t>
        </is>
      </c>
      <c r="F205" s="140" t="n">
        <v>6.4</v>
      </c>
      <c r="G205" s="140" t="n">
        <v>0.161</v>
      </c>
      <c r="H205" s="140" t="n">
        <v>1.028</v>
      </c>
      <c r="I205" s="140" t="inlineStr">
        <is>
          <t>ราคา 185</t>
        </is>
      </c>
    </row>
    <row r="206" s="129">
      <c r="B206" s="140" t="inlineStr">
        <is>
          <t>Fuji</t>
        </is>
      </c>
      <c r="C206" s="140" t="inlineStr">
        <is>
          <t>F7917</t>
        </is>
      </c>
      <c r="E206" s="140" t="inlineStr">
        <is>
          <t>คิ้วกรอบบาน</t>
        </is>
      </c>
      <c r="F206" s="140" t="n">
        <v>6.4</v>
      </c>
      <c r="G206" s="140" t="n">
        <v>0.139</v>
      </c>
      <c r="H206" s="140" t="n">
        <v>0.889</v>
      </c>
      <c r="I206" s="140" t="inlineStr">
        <is>
          <t>ราคา 160</t>
        </is>
      </c>
    </row>
    <row r="207" s="129">
      <c r="B207" s="140" t="inlineStr">
        <is>
          <t>Fuji</t>
        </is>
      </c>
      <c r="C207" s="140" t="inlineStr">
        <is>
          <t>F7950</t>
        </is>
      </c>
      <c r="E207" s="140" t="inlineStr">
        <is>
          <t>คิ้วกรอบบาน</t>
        </is>
      </c>
      <c r="F207" s="140" t="n">
        <v>6.4</v>
      </c>
      <c r="G207" s="140" t="n">
        <v>0.139</v>
      </c>
      <c r="H207" s="140" t="n">
        <v>0.889</v>
      </c>
      <c r="I207" s="140" t="inlineStr">
        <is>
          <t>ราคา 160</t>
        </is>
      </c>
    </row>
    <row r="208" s="129">
      <c r="B208" s="140" t="inlineStr">
        <is>
          <t>Fuji</t>
        </is>
      </c>
      <c r="C208" s="140" t="inlineStr">
        <is>
          <t>F7952</t>
        </is>
      </c>
      <c r="E208" s="140" t="inlineStr">
        <is>
          <t>แผ่นยึดเฟรมล่าง</t>
        </is>
      </c>
      <c r="F208" s="140" t="n">
        <v>6.4</v>
      </c>
      <c r="G208" s="140" t="n">
        <v>0.469</v>
      </c>
      <c r="H208" s="140" t="n">
        <v>3</v>
      </c>
      <c r="I208" s="140" t="inlineStr">
        <is>
          <t>ราคา 540</t>
        </is>
      </c>
    </row>
    <row r="209" s="129">
      <c r="B209" s="140" t="inlineStr">
        <is>
          <t>Fuji</t>
        </is>
      </c>
      <c r="C209" s="140" t="inlineStr">
        <is>
          <t>F7879</t>
        </is>
      </c>
      <c r="E209" s="140" t="inlineStr">
        <is>
          <t>ตบธรณีเรียบตัวกลาง</t>
        </is>
      </c>
      <c r="F209" s="140" t="n">
        <v>6.4</v>
      </c>
      <c r="G209" s="140" t="n">
        <v>0.308</v>
      </c>
      <c r="H209" s="140" t="n">
        <v>1.972</v>
      </c>
      <c r="I209" s="140" t="inlineStr">
        <is>
          <t>ราคา 355</t>
        </is>
      </c>
    </row>
    <row r="210" s="129">
      <c r="B210" s="140" t="inlineStr">
        <is>
          <t>Fuji</t>
        </is>
      </c>
      <c r="C210" s="140" t="inlineStr">
        <is>
          <t>F7880</t>
        </is>
      </c>
      <c r="E210" s="140" t="inlineStr">
        <is>
          <t>ตบธรณีเรียบตัวริม</t>
        </is>
      </c>
      <c r="F210" s="140" t="n">
        <v>6.4</v>
      </c>
      <c r="G210" s="140" t="n">
        <v>0.308</v>
      </c>
      <c r="H210" s="140" t="n">
        <v>1.972</v>
      </c>
      <c r="I210" s="140" t="inlineStr">
        <is>
          <t>ราคา 355</t>
        </is>
      </c>
    </row>
    <row r="211" s="129">
      <c r="B211" s="140" t="inlineStr">
        <is>
          <t>Fuji</t>
        </is>
      </c>
      <c r="C211" s="140" t="inlineStr">
        <is>
          <t>10.0</t>
        </is>
      </c>
      <c r="E211" s="140" t="inlineStr">
        <is>
          <t>เฟรมบานกระทุ้ง ไม่มีรูระบายน้ำ</t>
        </is>
      </c>
      <c r="F211" s="140" t="n">
        <v>6.4</v>
      </c>
      <c r="G211" s="140" t="n">
        <v>0.9330000000000001</v>
      </c>
      <c r="H211" s="140" t="n">
        <v>5.972</v>
      </c>
      <c r="I211" s="140" t="inlineStr">
        <is>
          <t>ราคา 1075</t>
        </is>
      </c>
    </row>
    <row r="212" s="129">
      <c r="B212" s="140" t="inlineStr">
        <is>
          <t>Fuji</t>
        </is>
      </c>
      <c r="C212" s="140" t="inlineStr">
        <is>
          <t>F7858</t>
        </is>
      </c>
      <c r="E212" s="140" t="inlineStr">
        <is>
          <t>เฟรมบานตายคิ้วไม่มีรูระบายน้ำ</t>
        </is>
      </c>
      <c r="F212" s="140" t="n">
        <v>6.4</v>
      </c>
      <c r="G212" s="140" t="n">
        <v>1.168</v>
      </c>
      <c r="H212" s="140" t="n">
        <v>7.472</v>
      </c>
      <c r="I212" s="140" t="inlineStr">
        <is>
          <t>ราคา 1345</t>
        </is>
      </c>
    </row>
    <row r="213" s="129">
      <c r="B213" s="140" t="inlineStr">
        <is>
          <t>Fuji</t>
        </is>
      </c>
      <c r="C213" s="140" t="inlineStr">
        <is>
          <t>F7937</t>
        </is>
      </c>
      <c r="E213" s="140" t="inlineStr">
        <is>
          <t>เฟรมบานตายคิ้วใน</t>
        </is>
      </c>
      <c r="F213" s="140" t="n">
        <v>6.4</v>
      </c>
      <c r="G213" s="140" t="n">
        <v>1.024</v>
      </c>
      <c r="H213" s="140" t="n">
        <v>6.556</v>
      </c>
      <c r="I213" s="140" t="inlineStr">
        <is>
          <t>ราคา 1180</t>
        </is>
      </c>
    </row>
    <row r="214" s="129">
      <c r="B214" s="140" t="inlineStr">
        <is>
          <t>Fuji</t>
        </is>
      </c>
      <c r="C214" s="140" t="inlineStr">
        <is>
          <t>F7871</t>
        </is>
      </c>
      <c r="E214" s="140" t="inlineStr">
        <is>
          <t>เฟรมบานตายคิ้วใน (ตัวหนา)</t>
        </is>
      </c>
      <c r="F214" s="140" t="n">
        <v>6.4</v>
      </c>
      <c r="G214" s="140" t="n">
        <v>1.306</v>
      </c>
      <c r="H214" s="140" t="n">
        <v>8.361000000000001</v>
      </c>
      <c r="I214" s="140" t="inlineStr">
        <is>
          <t>ราคา 1505</t>
        </is>
      </c>
    </row>
    <row r="215" s="129">
      <c r="B215" s="140" t="inlineStr">
        <is>
          <t>Fuji</t>
        </is>
      </c>
      <c r="C215" s="140" t="inlineStr">
        <is>
          <t>F7939B</t>
        </is>
      </c>
      <c r="E215" s="140" t="inlineStr">
        <is>
          <t>เฟรมบานกระทุ้ง</t>
        </is>
      </c>
      <c r="F215" s="140" t="n">
        <v>6.4</v>
      </c>
      <c r="G215" s="140" t="n">
        <v>1.172</v>
      </c>
      <c r="H215" s="140" t="n">
        <v>7.5</v>
      </c>
      <c r="I215" s="140" t="inlineStr">
        <is>
          <t>ราคา 1350</t>
        </is>
      </c>
    </row>
    <row r="216" s="129">
      <c r="B216" s="140" t="inlineStr">
        <is>
          <t>Fuji</t>
        </is>
      </c>
      <c r="C216" s="140" t="inlineStr">
        <is>
          <t>F7938B</t>
        </is>
      </c>
      <c r="E216" s="140" t="inlineStr">
        <is>
          <t>เฟรมบานกระทุ้ง (ติดมุ้ง)</t>
        </is>
      </c>
      <c r="F216" s="140" t="n">
        <v>6.4</v>
      </c>
      <c r="G216" s="140" t="n">
        <v>1.172</v>
      </c>
      <c r="H216" s="140" t="n">
        <v>7.5</v>
      </c>
      <c r="I216" s="140" t="inlineStr">
        <is>
          <t>ราคา 1350</t>
        </is>
      </c>
    </row>
    <row r="217" s="129">
      <c r="B217" s="140" t="inlineStr">
        <is>
          <t>Fuji</t>
        </is>
      </c>
      <c r="C217" s="140" t="inlineStr">
        <is>
          <t>F7861</t>
        </is>
      </c>
      <c r="E217" s="140" t="inlineStr">
        <is>
          <t>ตบเฟรมแบ่งบาน</t>
        </is>
      </c>
      <c r="F217" s="140" t="n">
        <v>6.4</v>
      </c>
      <c r="G217" s="140" t="n">
        <v>0.638</v>
      </c>
      <c r="H217" s="140" t="n">
        <v>4.083</v>
      </c>
      <c r="I217" s="140" t="inlineStr">
        <is>
          <t>ราคา 735</t>
        </is>
      </c>
    </row>
    <row r="218" s="129">
      <c r="B218" s="140" t="inlineStr">
        <is>
          <t>Fuji</t>
        </is>
      </c>
      <c r="C218" s="140" t="inlineStr">
        <is>
          <t>F7944B</t>
        </is>
      </c>
      <c r="E218" s="140" t="inlineStr">
        <is>
          <t>กรอบมุ้ง-มุ้งนิรภัย</t>
        </is>
      </c>
      <c r="F218" s="140" t="n">
        <v>6.4</v>
      </c>
      <c r="G218" s="140" t="n">
        <v>0.894</v>
      </c>
      <c r="H218" s="140" t="n">
        <v>5.722</v>
      </c>
      <c r="I218" s="140" t="inlineStr">
        <is>
          <t>ราคา 1030</t>
        </is>
      </c>
    </row>
    <row r="219" s="129">
      <c r="B219" s="140" t="inlineStr">
        <is>
          <t>Fuji</t>
        </is>
      </c>
      <c r="C219" s="140" t="inlineStr">
        <is>
          <t>F7958B</t>
        </is>
      </c>
      <c r="E219" s="140" t="inlineStr">
        <is>
          <t>รับล็อคปิดกลางบานมุ้ง</t>
        </is>
      </c>
      <c r="F219" s="140" t="n">
        <v>6.4</v>
      </c>
      <c r="G219" s="140" t="n">
        <v>0.482</v>
      </c>
      <c r="H219" s="140" t="n">
        <v>3.083</v>
      </c>
      <c r="I219" s="140" t="inlineStr">
        <is>
          <t>ราคา 555</t>
        </is>
      </c>
    </row>
    <row r="220" s="129">
      <c r="B220" s="140" t="inlineStr">
        <is>
          <t>Fuji</t>
        </is>
      </c>
      <c r="C220" s="140" t="inlineStr">
        <is>
          <t>F7998</t>
        </is>
      </c>
      <c r="E220" s="140" t="inlineStr">
        <is>
          <t>กล่องก้านบานตายคิ้วใน</t>
        </is>
      </c>
      <c r="F220" s="140" t="n">
        <v>6.4</v>
      </c>
      <c r="G220" s="140" t="n">
        <v>1.458</v>
      </c>
      <c r="H220" s="140" t="n">
        <v>9.333</v>
      </c>
      <c r="I220" s="140" t="inlineStr">
        <is>
          <t>ราคา 1680</t>
        </is>
      </c>
    </row>
    <row r="221" s="129">
      <c r="B221" s="140" t="inlineStr">
        <is>
          <t>Fuji</t>
        </is>
      </c>
      <c r="C221" s="140" t="inlineStr">
        <is>
          <t>F7940B</t>
        </is>
      </c>
      <c r="E221" s="140" t="inlineStr">
        <is>
          <t>กล่องก้านคิ้วนิก</t>
        </is>
      </c>
      <c r="F221" s="140" t="n">
        <v>6.4</v>
      </c>
      <c r="G221" s="140" t="n">
        <v>1.545</v>
      </c>
      <c r="H221" s="140" t="n">
        <v>9.888999999999999</v>
      </c>
      <c r="I221" s="140" t="inlineStr">
        <is>
          <t>ราคา 1780</t>
        </is>
      </c>
    </row>
    <row r="222" s="129">
      <c r="B222" s="140" t="inlineStr">
        <is>
          <t>Fuji</t>
        </is>
      </c>
      <c r="C222" s="140" t="inlineStr">
        <is>
          <t>F7868</t>
        </is>
      </c>
      <c r="E222" s="140" t="inlineStr">
        <is>
          <t>กล่องก้าน 2 ทางคิ้วนอก (ติดมุ้ง)</t>
        </is>
      </c>
      <c r="F222" s="140" t="n">
        <v>6.4</v>
      </c>
      <c r="G222" s="140" t="n">
        <v>1.584</v>
      </c>
      <c r="H222" s="140" t="n">
        <v>10.139</v>
      </c>
      <c r="I222" s="140" t="inlineStr">
        <is>
          <t>ราคา 1825</t>
        </is>
      </c>
    </row>
    <row r="223" s="129">
      <c r="B223" s="140" t="inlineStr">
        <is>
          <t>Fuji</t>
        </is>
      </c>
      <c r="C223" s="140" t="inlineStr">
        <is>
          <t>F7997</t>
        </is>
      </c>
      <c r="E223" s="140" t="inlineStr">
        <is>
          <t>กล่องก้านสลับ</t>
        </is>
      </c>
      <c r="F223" s="140" t="n">
        <v>6.4</v>
      </c>
      <c r="G223" s="140" t="n">
        <v>1.458</v>
      </c>
      <c r="H223" s="140" t="n">
        <v>9.333</v>
      </c>
      <c r="I223" s="140" t="inlineStr">
        <is>
          <t>ราคา 1680</t>
        </is>
      </c>
    </row>
    <row r="224" s="129">
      <c r="B224" s="140" t="inlineStr">
        <is>
          <t>Fuji</t>
        </is>
      </c>
      <c r="C224" s="140" t="inlineStr">
        <is>
          <t>F7854</t>
        </is>
      </c>
      <c r="E224" s="140" t="inlineStr">
        <is>
          <t>เฟรมแบ่งบานคิ้วนอก</t>
        </is>
      </c>
      <c r="F224" s="140" t="n">
        <v>6.4</v>
      </c>
      <c r="G224" s="140" t="n">
        <v>1.146</v>
      </c>
      <c r="H224" s="140" t="n">
        <v>7.333</v>
      </c>
      <c r="I224" s="140" t="inlineStr">
        <is>
          <t>ราคา 1320</t>
        </is>
      </c>
    </row>
    <row r="225" s="129">
      <c r="B225" s="140" t="inlineStr">
        <is>
          <t>Fuji</t>
        </is>
      </c>
      <c r="C225" s="140" t="inlineStr">
        <is>
          <t>F7852</t>
        </is>
      </c>
      <c r="E225" s="140" t="inlineStr">
        <is>
          <t>ตบเฟรมแบ่งบานคิ้วใน</t>
        </is>
      </c>
      <c r="F225" s="140" t="n">
        <v>6.4</v>
      </c>
      <c r="G225" s="140" t="n">
        <v>0.66</v>
      </c>
      <c r="H225" s="140" t="n">
        <v>4.222</v>
      </c>
      <c r="I225" s="140" t="inlineStr">
        <is>
          <t>ราคา 760</t>
        </is>
      </c>
    </row>
    <row r="226" s="129">
      <c r="B226" s="140" t="inlineStr">
        <is>
          <t>Fuji</t>
        </is>
      </c>
      <c r="C226" s="140" t="inlineStr">
        <is>
          <t>F7999</t>
        </is>
      </c>
      <c r="E226" s="140" t="inlineStr">
        <is>
          <t>เฟรมแบ่งบานคิ้วใน</t>
        </is>
      </c>
      <c r="F226" s="140" t="n">
        <v>6.4</v>
      </c>
      <c r="G226" s="140" t="n">
        <v>1.159</v>
      </c>
      <c r="H226" s="140" t="n">
        <v>7.417</v>
      </c>
      <c r="I226" s="140" t="inlineStr">
        <is>
          <t>ราคา 1335</t>
        </is>
      </c>
    </row>
    <row r="227" s="129">
      <c r="B227" s="140" t="inlineStr">
        <is>
          <t>Fuji</t>
        </is>
      </c>
      <c r="C227" s="140" t="inlineStr">
        <is>
          <t>F7942</t>
        </is>
      </c>
      <c r="E227" s="140" t="inlineStr">
        <is>
          <t>ตบเฟรมแบ่งบานคิ้วนอก</t>
        </is>
      </c>
      <c r="F227" s="140" t="n">
        <v>6.4</v>
      </c>
      <c r="G227" s="140" t="n">
        <v>0.694</v>
      </c>
      <c r="H227" s="140" t="n">
        <v>4.444</v>
      </c>
      <c r="I227" s="140" t="inlineStr">
        <is>
          <t>ราคา 800</t>
        </is>
      </c>
    </row>
    <row r="228" s="129">
      <c r="B228" s="140" t="inlineStr">
        <is>
          <t>Fuji</t>
        </is>
      </c>
      <c r="C228" s="140" t="inlineStr">
        <is>
          <t>F7943B</t>
        </is>
      </c>
      <c r="E228" s="140" t="inlineStr">
        <is>
          <t>กรอบบานกระทุ้ง</t>
        </is>
      </c>
      <c r="F228" s="140" t="n">
        <v>6.4</v>
      </c>
      <c r="G228" s="140" t="n">
        <v>1.189</v>
      </c>
      <c r="H228" s="140" t="n">
        <v>7.611</v>
      </c>
      <c r="I228" s="140" t="inlineStr">
        <is>
          <t>ราคา 1370</t>
        </is>
      </c>
    </row>
    <row r="229" s="129">
      <c r="B229" s="140" t="inlineStr">
        <is>
          <t>Fuji</t>
        </is>
      </c>
      <c r="C229" s="140" t="inlineStr">
        <is>
          <t>F7945C</t>
        </is>
      </c>
      <c r="E229" s="140" t="inlineStr">
        <is>
          <t>เสารับล็อกเปิดกลาง</t>
        </is>
      </c>
      <c r="F229" s="140" t="n">
        <v>6.4</v>
      </c>
      <c r="G229" s="140" t="n">
        <v>0.603</v>
      </c>
      <c r="H229" s="140" t="n">
        <v>3.861</v>
      </c>
      <c r="I229" s="140" t="inlineStr">
        <is>
          <t>ราคา 695</t>
        </is>
      </c>
    </row>
    <row r="230" s="129">
      <c r="B230" s="140" t="inlineStr">
        <is>
          <t>Fuji</t>
        </is>
      </c>
      <c r="C230" s="140" t="inlineStr">
        <is>
          <t>F7960</t>
        </is>
      </c>
      <c r="E230" s="140" t="inlineStr">
        <is>
          <t>ตบธรณี</t>
        </is>
      </c>
      <c r="F230" s="140" t="n">
        <v>6.4</v>
      </c>
      <c r="G230" s="140" t="n">
        <v>0.477</v>
      </c>
      <c r="H230" s="140" t="n">
        <v>3.056</v>
      </c>
      <c r="I230" s="140" t="inlineStr">
        <is>
          <t>ราคา 550</t>
        </is>
      </c>
    </row>
    <row r="231" s="129">
      <c r="B231" s="140" t="inlineStr">
        <is>
          <t>Fuji</t>
        </is>
      </c>
      <c r="C231" s="140" t="inlineStr">
        <is>
          <t>F7959</t>
        </is>
      </c>
      <c r="E231" s="140" t="inlineStr">
        <is>
          <t>กล่องค้ำบานมุ้ง</t>
        </is>
      </c>
      <c r="F231" s="140" t="n">
        <v>6.4</v>
      </c>
      <c r="G231" s="140" t="n">
        <v>0.438</v>
      </c>
      <c r="H231" s="140" t="n">
        <v>2.806</v>
      </c>
      <c r="I231" s="140" t="inlineStr">
        <is>
          <t>ราคา 505</t>
        </is>
      </c>
    </row>
    <row r="232">
      <c r="B232" s="140" t="inlineStr">
        <is>
          <t>Fuji</t>
        </is>
      </c>
      <c r="C232" s="140" t="inlineStr">
        <is>
          <t>F7865B</t>
        </is>
      </c>
      <c r="E232" s="140" t="inlineStr">
        <is>
          <t>แผงประตู</t>
        </is>
      </c>
      <c r="F232" s="140" t="n">
        <v>6.4</v>
      </c>
      <c r="G232" s="140" t="n">
        <v>1.289</v>
      </c>
      <c r="H232" s="140" t="n">
        <v>8.25</v>
      </c>
      <c r="I232" s="140" t="inlineStr">
        <is>
          <t>ราคา 1485</t>
        </is>
      </c>
    </row>
    <row r="233">
      <c r="B233" s="140" t="inlineStr">
        <is>
          <t>Fuji</t>
        </is>
      </c>
      <c r="C233" s="140" t="inlineStr">
        <is>
          <t>F7965</t>
        </is>
      </c>
      <c r="E233" s="140" t="inlineStr">
        <is>
          <t>ลูกฟักแบ่งบาน</t>
        </is>
      </c>
      <c r="F233" s="140" t="n">
        <v>6.4</v>
      </c>
      <c r="G233" s="140" t="n">
        <v>0.864</v>
      </c>
      <c r="H233" s="140" t="n">
        <v>5.528</v>
      </c>
      <c r="I233" s="140" t="inlineStr">
        <is>
          <t>ราคา 995</t>
        </is>
      </c>
    </row>
    <row r="234">
      <c r="B234" s="140" t="inlineStr">
        <is>
          <t>Fuji</t>
        </is>
      </c>
      <c r="C234" s="140" t="inlineStr">
        <is>
          <t>F7946</t>
        </is>
      </c>
      <c r="E234" s="140" t="inlineStr">
        <is>
          <t>คิ้วตบในบานตาย</t>
        </is>
      </c>
      <c r="F234" s="140" t="n">
        <v>6.4</v>
      </c>
      <c r="G234" s="140" t="n">
        <v>0.2</v>
      </c>
      <c r="H234" s="140" t="n">
        <v>1.278</v>
      </c>
      <c r="I234" s="140" t="inlineStr">
        <is>
          <t>ราคา 230</t>
        </is>
      </c>
    </row>
    <row r="235">
      <c r="B235" s="140" t="inlineStr">
        <is>
          <t>Fuji</t>
        </is>
      </c>
      <c r="C235" s="140" t="inlineStr">
        <is>
          <t>F7947</t>
        </is>
      </c>
      <c r="E235" s="140" t="inlineStr">
        <is>
          <t>คิ้วตบนอกบานตาย</t>
        </is>
      </c>
      <c r="F235" s="140" t="n">
        <v>6.4</v>
      </c>
      <c r="G235" s="140" t="n">
        <v>0.226</v>
      </c>
      <c r="H235" s="140" t="n">
        <v>1.444</v>
      </c>
      <c r="I235" s="140" t="inlineStr">
        <is>
          <t>ราคา 260</t>
        </is>
      </c>
    </row>
    <row r="236">
      <c r="B236" s="140" t="inlineStr">
        <is>
          <t>Fuji</t>
        </is>
      </c>
      <c r="C236" s="140" t="inlineStr">
        <is>
          <t>F7968</t>
        </is>
      </c>
      <c r="E236" s="140" t="inlineStr">
        <is>
          <t>เฟรมบานเฟี้ยม</t>
        </is>
      </c>
      <c r="F236" s="140" t="n">
        <v>6.4</v>
      </c>
      <c r="G236" s="140" t="n">
        <v>2.726</v>
      </c>
      <c r="H236" s="140" t="n">
        <v>17.444</v>
      </c>
      <c r="I236" s="140" t="inlineStr">
        <is>
          <t>ราคา 3140</t>
        </is>
      </c>
    </row>
    <row r="237">
      <c r="B237" s="140" t="inlineStr">
        <is>
          <t>Fuji</t>
        </is>
      </c>
      <c r="C237" s="140" t="inlineStr">
        <is>
          <t>F7969</t>
        </is>
      </c>
      <c r="E237" s="140" t="inlineStr">
        <is>
          <t>เฟรมล่างบานเฟี้ยม</t>
        </is>
      </c>
      <c r="F237" s="140" t="n">
        <v>6.4</v>
      </c>
      <c r="G237" s="140" t="n">
        <v>1.502</v>
      </c>
      <c r="H237" s="140" t="n">
        <v>9.611000000000001</v>
      </c>
      <c r="I237" s="140" t="inlineStr">
        <is>
          <t>ราคา 1730</t>
        </is>
      </c>
    </row>
    <row r="238">
      <c r="B238" s="140" t="inlineStr">
        <is>
          <t>Fuji</t>
        </is>
      </c>
      <c r="C238" s="140" t="inlineStr">
        <is>
          <t>F7970</t>
        </is>
      </c>
      <c r="E238" s="140" t="inlineStr">
        <is>
          <t>เฟรมข้างบานเฟี้ยม</t>
        </is>
      </c>
      <c r="F238" s="140" t="n">
        <v>6.4</v>
      </c>
      <c r="G238" s="140" t="n">
        <v>0.924</v>
      </c>
      <c r="H238" s="140" t="n">
        <v>5.917</v>
      </c>
      <c r="I238" s="140" t="inlineStr">
        <is>
          <t>ราคา 1065</t>
        </is>
      </c>
    </row>
    <row r="239">
      <c r="B239" s="140" t="inlineStr">
        <is>
          <t>Fuji</t>
        </is>
      </c>
      <c r="C239" s="140" t="inlineStr">
        <is>
          <t>F7972</t>
        </is>
      </c>
      <c r="E239" s="140" t="inlineStr">
        <is>
          <t>กรอบบานเฟี้ยม</t>
        </is>
      </c>
      <c r="F239" s="140" t="n">
        <v>6.4</v>
      </c>
      <c r="G239" s="140" t="n">
        <v>1.45</v>
      </c>
      <c r="H239" s="140" t="n">
        <v>9.278</v>
      </c>
      <c r="I239" s="140" t="inlineStr">
        <is>
          <t>ราคา 1670</t>
        </is>
      </c>
    </row>
    <row r="240">
      <c r="B240" s="140" t="inlineStr">
        <is>
          <t>Fuji</t>
        </is>
      </c>
      <c r="C240" s="140" t="inlineStr">
        <is>
          <t>F7932</t>
        </is>
      </c>
      <c r="E240" s="140" t="inlineStr">
        <is>
          <t>รางยู</t>
        </is>
      </c>
      <c r="F240" s="140" t="n">
        <v>6.4</v>
      </c>
      <c r="G240" s="140" t="n">
        <v>0.339</v>
      </c>
      <c r="H240" s="140" t="n">
        <v>2.167</v>
      </c>
      <c r="I240" s="140" t="inlineStr">
        <is>
          <t>ราคา 390</t>
        </is>
      </c>
    </row>
    <row r="241">
      <c r="B241" s="140" t="inlineStr">
        <is>
          <t>Fuji</t>
        </is>
      </c>
      <c r="C241" s="140" t="inlineStr">
        <is>
          <t>F7962</t>
        </is>
      </c>
      <c r="E241" s="140" t="inlineStr">
        <is>
          <t>รับล็อกบานคู่ + บานคี่</t>
        </is>
      </c>
      <c r="F241" s="140" t="n">
        <v>6.4</v>
      </c>
      <c r="G241" s="140" t="n">
        <v>0.838</v>
      </c>
      <c r="H241" s="140" t="n">
        <v>5.361</v>
      </c>
      <c r="I241" s="140" t="inlineStr">
        <is>
          <t>ราคา 965</t>
        </is>
      </c>
    </row>
    <row r="242">
      <c r="B242" s="140" t="inlineStr">
        <is>
          <t>Fuji</t>
        </is>
      </c>
      <c r="C242" s="140" t="inlineStr">
        <is>
          <t>F7961</t>
        </is>
      </c>
      <c r="E242" s="140" t="inlineStr">
        <is>
          <t>รับล็อกเฟรมข้างบานคู่</t>
        </is>
      </c>
      <c r="F242" s="140" t="n">
        <v>6.4</v>
      </c>
      <c r="G242" s="140" t="n">
        <v>0.512</v>
      </c>
      <c r="H242" s="140" t="n">
        <v>3.278</v>
      </c>
      <c r="I242" s="140" t="inlineStr">
        <is>
          <t>ราคา 590</t>
        </is>
      </c>
    </row>
    <row r="243">
      <c r="B243" s="140" t="inlineStr">
        <is>
          <t>Fuji</t>
        </is>
      </c>
      <c r="C243" s="140" t="inlineStr">
        <is>
          <t>F7963</t>
        </is>
      </c>
      <c r="E243" s="140" t="inlineStr">
        <is>
          <t>รับล็อกเข้ามุมบานคู่</t>
        </is>
      </c>
      <c r="F243" s="140" t="n">
        <v>6.4</v>
      </c>
      <c r="G243" s="140" t="n">
        <v>0.438</v>
      </c>
      <c r="H243" s="140" t="n">
        <v>2.806</v>
      </c>
      <c r="I243" s="140" t="inlineStr">
        <is>
          <t>ราคา 505</t>
        </is>
      </c>
    </row>
    <row r="244">
      <c r="B244" s="140" t="inlineStr">
        <is>
          <t>Fuji</t>
        </is>
      </c>
      <c r="C244" s="140" t="inlineStr">
        <is>
          <t>F7964</t>
        </is>
      </c>
      <c r="E244" s="140" t="inlineStr">
        <is>
          <t>เสาเข้ามุม</t>
        </is>
      </c>
      <c r="F244" s="140" t="n">
        <v>6.4</v>
      </c>
      <c r="G244" s="140" t="n">
        <v>0.968</v>
      </c>
      <c r="H244" s="140" t="n">
        <v>6.194</v>
      </c>
      <c r="I244" s="140" t="inlineStr">
        <is>
          <t>ราคา 1115</t>
        </is>
      </c>
    </row>
    <row r="245">
      <c r="B245" s="140" t="inlineStr">
        <is>
          <t>Fuji</t>
        </is>
      </c>
      <c r="C245" s="140" t="inlineStr">
        <is>
          <t>F7974</t>
        </is>
      </c>
      <c r="E245" s="140" t="inlineStr">
        <is>
          <t>ชนกลางบานคู่</t>
        </is>
      </c>
      <c r="F245" s="140" t="n">
        <v>6.4</v>
      </c>
      <c r="G245" s="140" t="n">
        <v>0.8070000000000001</v>
      </c>
      <c r="H245" s="140" t="n">
        <v>5.167</v>
      </c>
      <c r="I245" s="140" t="inlineStr">
        <is>
          <t>ราคา 930</t>
        </is>
      </c>
    </row>
    <row r="246">
      <c r="B246" s="140" t="inlineStr">
        <is>
          <t>Fuji</t>
        </is>
      </c>
      <c r="C246" s="140" t="inlineStr">
        <is>
          <t>F7973</t>
        </is>
      </c>
      <c r="E246" s="140" t="inlineStr">
        <is>
          <t>ตบเรียบบานเฟี้ยม</t>
        </is>
      </c>
      <c r="F246" s="140" t="n">
        <v>6.4</v>
      </c>
      <c r="G246" s="140" t="n">
        <v>0.2</v>
      </c>
      <c r="H246" s="140" t="n">
        <v>1.278</v>
      </c>
      <c r="I246" s="140" t="inlineStr">
        <is>
          <t>ราคา 230</t>
        </is>
      </c>
    </row>
    <row r="247">
      <c r="B247" s="140" t="inlineStr">
        <is>
          <t>Fuji</t>
        </is>
      </c>
      <c r="C247" s="140" t="inlineStr">
        <is>
          <t>F7975</t>
        </is>
      </c>
      <c r="E247" s="140" t="inlineStr">
        <is>
          <t>บังใบสำหรับใส่กลอน</t>
        </is>
      </c>
      <c r="F247" s="140" t="n">
        <v>6.4</v>
      </c>
      <c r="G247" s="140" t="n">
        <v>0.469</v>
      </c>
      <c r="H247" s="140" t="n">
        <v>3</v>
      </c>
      <c r="I247" s="140" t="inlineStr">
        <is>
          <t>ราคา 540</t>
        </is>
      </c>
    </row>
  </sheetData>
  <hyperlinks>
    <hyperlink ref="G1" location="'สารบัญ'!A1" display="🏠 สารบัญ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 filterMode="0">
    <tabColor rgb="00FFC000"/>
    <outlinePr summaryBelow="1" summaryRight="1"/>
    <pageSetUpPr fitToPage="0"/>
  </sheetPr>
  <dimension ref="A1:J11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9.1" customWidth="1" style="140" min="2" max="2"/>
    <col width="10.7" customWidth="1" style="140" min="3" max="3"/>
    <col width="13.8" customWidth="1" style="140" min="4" max="4"/>
    <col width="11.7" customWidth="1" style="140" min="5" max="5"/>
    <col width="24" customWidth="1" style="140" min="6" max="6"/>
    <col width="8.6" customWidth="1" style="129" min="7" max="7"/>
    <col width="24" customWidth="1" style="129" min="8" max="8"/>
    <col width="9.6" customWidth="1" style="129" min="9" max="9"/>
    <col width="22.2" customWidth="1" style="129" min="10" max="10"/>
  </cols>
  <sheetData>
    <row r="1" ht="24" customHeight="1" s="129">
      <c r="A1" s="775" t="inlineStr">
        <is>
          <t>⚠️ แก้ราคาที่นี่ → ราคาวัสดุกลาง — แก้ราคา/กก. ที่นี่ที่เดียว</t>
        </is>
      </c>
      <c r="G1" s="753" t="inlineStr">
        <is>
          <t>🏠 สารบัญ</t>
        </is>
      </c>
      <c r="H1" s="755" t="inlineStr">
        <is>
          <t>ชื่อกระจก (R3.9 ข้อ 31.1)</t>
        </is>
      </c>
      <c r="I1" s="287" t="inlineStr">
        <is>
          <t>ทุน/ตร.ม.</t>
        </is>
      </c>
    </row>
    <row r="2" ht="15" customHeight="1" s="129">
      <c r="H2" s="287" t="inlineStr">
        <is>
          <t>เขียว 6มม.</t>
        </is>
      </c>
      <c r="I2" s="769" t="n">
        <v>264</v>
      </c>
    </row>
    <row r="3" ht="15" customHeight="1" s="129">
      <c r="A3" s="288" t="inlineStr">
        <is>
          <t>ราคาอลู SMS (บาท/กก.) →</t>
        </is>
      </c>
      <c r="B3" s="289" t="n">
        <v>180</v>
      </c>
      <c r="C3" s="290" t="inlineStr">
        <is>
          <t>ราคาขึ้น พิมพ์เลขบาท/กก.ใหม่ ช่องเดียว ทุกอย่างขยับเอง</t>
        </is>
      </c>
      <c r="D3" s="154" t="n"/>
      <c r="E3" s="154" t="n"/>
      <c r="F3" s="155" t="n"/>
      <c r="H3" s="287" t="inlineStr">
        <is>
          <t>เขียว 8มม.</t>
        </is>
      </c>
      <c r="I3" s="769" t="n">
        <v>592</v>
      </c>
    </row>
    <row r="4" ht="15" customHeight="1" s="129">
      <c r="A4" s="288" t="inlineStr">
        <is>
          <t>ความยาวเส้น (ม.) →</t>
        </is>
      </c>
      <c r="B4" s="291" t="n">
        <v>6.4</v>
      </c>
      <c r="C4" s="290" t="inlineStr">
        <is>
          <t>เส้นเต็ม 6.4 ม.</t>
        </is>
      </c>
      <c r="D4" s="154" t="n"/>
      <c r="E4" s="154" t="n"/>
      <c r="F4" s="155" t="n"/>
      <c r="H4" s="287" t="inlineStr">
        <is>
          <t>เขียว 10มม.</t>
        </is>
      </c>
      <c r="I4" s="769" t="n">
        <v>700</v>
      </c>
    </row>
    <row r="5" ht="15" customHeight="1" s="129">
      <c r="A5" s="288" t="inlineStr">
        <is>
          <t>ราคาอลู ยูโร (บาท/กก.) →</t>
        </is>
      </c>
      <c r="B5" s="289" t="n">
        <v>185</v>
      </c>
      <c r="C5" s="290" t="inlineStr">
        <is>
          <t>* สำหรับบานยูโร (รอบหน้า)</t>
        </is>
      </c>
      <c r="D5" s="154" t="n"/>
      <c r="E5" s="154" t="n"/>
      <c r="F5" s="155" t="n"/>
      <c r="H5" s="287" t="inlineStr">
        <is>
          <t>เคลือบขาว 6มม.</t>
        </is>
      </c>
      <c r="I5" s="769" t="n">
        <v>1023</v>
      </c>
    </row>
    <row r="6" ht="15" customHeight="1" s="129">
      <c r="H6" s="287" t="inlineStr">
        <is>
          <t>ยูโรเกรย์ 6มม.</t>
        </is>
      </c>
      <c r="I6" s="769" t="n">
        <v>517</v>
      </c>
    </row>
    <row r="7" ht="15" customHeight="1" s="129">
      <c r="A7" s="292" t="inlineStr">
        <is>
          <t>ตัวคูณสี</t>
        </is>
      </c>
      <c r="B7" s="155" t="n"/>
      <c r="H7" s="287" t="inlineStr">
        <is>
          <t>ยูโรเกรย์ 8มม.</t>
        </is>
      </c>
      <c r="I7" s="769" t="n">
        <v>915</v>
      </c>
    </row>
    <row r="8" ht="15" customHeight="1" s="129">
      <c r="A8" s="290" t="inlineStr">
        <is>
          <t>อบขาว/ดำ</t>
        </is>
      </c>
      <c r="B8" s="293" t="n">
        <v>1</v>
      </c>
      <c r="H8" s="287" t="inlineStr">
        <is>
          <t>ยูโรเกรย์ 10มม.</t>
        </is>
      </c>
      <c r="I8" s="769" t="n">
        <v>807</v>
      </c>
    </row>
    <row r="9" ht="15" customHeight="1" s="129">
      <c r="A9" s="290" t="inlineStr">
        <is>
          <t>เทาซาฮาร่า</t>
        </is>
      </c>
      <c r="B9" s="293" t="n">
        <v>1.09</v>
      </c>
      <c r="H9" s="287" t="inlineStr">
        <is>
          <t>ยูโรบรอนซ์ 6มม.</t>
        </is>
      </c>
      <c r="I9" s="769" t="n">
        <v>570</v>
      </c>
    </row>
    <row r="10" ht="15" customHeight="1" s="129">
      <c r="A10" s="290" t="inlineStr">
        <is>
          <t>ลายไม้สักทอง</t>
        </is>
      </c>
      <c r="B10" s="293" t="n">
        <v>1.6</v>
      </c>
      <c r="H10" s="287" t="inlineStr">
        <is>
          <t>reflective เทา 6มม.</t>
        </is>
      </c>
      <c r="I10" s="769" t="n">
        <v>1184</v>
      </c>
    </row>
    <row r="11" ht="15" customHeight="1" s="129">
      <c r="H11" s="287" t="inlineStr">
        <is>
          <t>reflective เขียว 6มม.</t>
        </is>
      </c>
      <c r="I11" s="769" t="n">
        <v>1292</v>
      </c>
    </row>
    <row r="12" ht="34.5" customHeight="1" s="129">
      <c r="A12" s="292" t="inlineStr">
        <is>
          <t>รหัส Stock</t>
        </is>
      </c>
      <c r="B12" s="292" t="inlineStr">
        <is>
          <t>ชื่อโปรไฟล์ (คีย์)</t>
        </is>
      </c>
      <c r="C12" s="292" t="inlineStr">
        <is>
          <t>น้ำหนักเส้น
(กก. ล็อก)</t>
        </is>
      </c>
      <c r="D12" s="292" t="inlineStr">
        <is>
          <t>น้ำหนัก/ม.</t>
        </is>
      </c>
      <c r="E12" s="292" t="inlineStr">
        <is>
          <t>ราคาเส้นขาว</t>
        </is>
      </c>
      <c r="F12" s="292" t="inlineStr">
        <is>
          <t>หมายเหตุ</t>
        </is>
      </c>
      <c r="H12" s="287" t="inlineStr">
        <is>
          <t>reflective ฟ้า/เทา 6มม.</t>
        </is>
      </c>
      <c r="I12" s="769" t="n">
        <v>1399</v>
      </c>
    </row>
    <row r="13" ht="15" customHeight="1" s="129">
      <c r="A13" s="294" t="inlineStr">
        <is>
          <t>B22001</t>
        </is>
      </c>
      <c r="B13" s="290" t="inlineStr">
        <is>
          <t>เฟรมบน</t>
        </is>
      </c>
      <c r="C13" s="295" t="n">
        <v>6.86111</v>
      </c>
      <c r="D13" s="296">
        <f>C13/$B$4</f>
        <v/>
      </c>
      <c r="E13" s="297">
        <f>C13*$B$3</f>
        <v/>
      </c>
      <c r="F13" s="163" t="n"/>
      <c r="H13" s="287" t="inlineStr">
        <is>
          <t>เทมเปอร์ 6มม.</t>
        </is>
      </c>
      <c r="I13" s="769" t="n">
        <v>403</v>
      </c>
    </row>
    <row r="14" ht="15" customHeight="1" s="129">
      <c r="A14" s="294" t="inlineStr">
        <is>
          <t>B22002</t>
        </is>
      </c>
      <c r="B14" s="290" t="inlineStr">
        <is>
          <t>เฟรมข้าง</t>
        </is>
      </c>
      <c r="C14" s="295" t="n">
        <v>5.80556</v>
      </c>
      <c r="D14" s="296">
        <f>C14/$B$4</f>
        <v/>
      </c>
      <c r="E14" s="297">
        <f>C14*$B$3</f>
        <v/>
      </c>
      <c r="F14" s="290" t="inlineStr">
        <is>
          <t>Stock=1,030 ใช้ 1,045 ตามไฟล์</t>
        </is>
      </c>
      <c r="H14" s="287" t="inlineStr">
        <is>
          <t>เทมเปอร์ 10มม.</t>
        </is>
      </c>
      <c r="I14" s="769" t="n">
        <v>848</v>
      </c>
    </row>
    <row r="15" ht="15" customHeight="1" s="129">
      <c r="A15" s="294" t="inlineStr">
        <is>
          <t>B20041</t>
        </is>
      </c>
      <c r="B15" s="290" t="inlineStr">
        <is>
          <t>เฟรมล่างกันน้ำ</t>
        </is>
      </c>
      <c r="C15" s="295" t="n">
        <v>11.5</v>
      </c>
      <c r="D15" s="296">
        <f>C15/$B$4</f>
        <v/>
      </c>
      <c r="E15" s="297">
        <f>C15*$B$3</f>
        <v/>
      </c>
      <c r="F15" s="290" t="inlineStr">
        <is>
          <t>ใช้ภายนอก (เลือกในชีทคิดทุน)</t>
        </is>
      </c>
      <c r="H15" s="287" t="inlineStr">
        <is>
          <t>เทมเปอร์ 12มม.</t>
        </is>
      </c>
      <c r="I15" s="769" t="n">
        <v>942</v>
      </c>
    </row>
    <row r="16" ht="15" customHeight="1" s="129">
      <c r="A16" s="294" t="inlineStr">
        <is>
          <t>B20047</t>
        </is>
      </c>
      <c r="B16" s="290" t="inlineStr">
        <is>
          <t>เฟรมล่างภายใน</t>
        </is>
      </c>
      <c r="C16" s="295" t="n">
        <v>4.58333</v>
      </c>
      <c r="D16" s="296">
        <f>C16/$B$4</f>
        <v/>
      </c>
      <c r="E16" s="297">
        <f>C16*$B$3</f>
        <v/>
      </c>
      <c r="F16" s="290" t="inlineStr">
        <is>
          <t>ใช้ภายใน (เลือกในชีทคิดทุน)</t>
        </is>
      </c>
      <c r="H16" s="287" t="inlineStr">
        <is>
          <t>เทมเปอร์ 15มม.</t>
        </is>
      </c>
      <c r="I16" s="769" t="n">
        <v>3122</v>
      </c>
    </row>
    <row r="17" ht="15" customHeight="1" s="129">
      <c r="A17" s="294" t="inlineStr">
        <is>
          <t>B20051</t>
        </is>
      </c>
      <c r="B17" s="290" t="inlineStr">
        <is>
          <t>เสากุญแจ ML</t>
        </is>
      </c>
      <c r="C17" s="295" t="n">
        <v>4.91667</v>
      </c>
      <c r="D17" s="296">
        <f>C17/$B$4</f>
        <v/>
      </c>
      <c r="E17" s="297">
        <f>C17*$B$3</f>
        <v/>
      </c>
      <c r="F17" s="290" t="inlineStr">
        <is>
          <t>ชิดเฟรม 2 ต้นเสมอ</t>
        </is>
      </c>
      <c r="H17" s="287" t="inlineStr">
        <is>
          <t>เทมเปอร์ใสพิเศษ 6มม.</t>
        </is>
      </c>
      <c r="I17" s="769" t="n">
        <v>1432</v>
      </c>
    </row>
    <row r="18" ht="15" customHeight="1" s="129">
      <c r="A18" s="294" t="inlineStr">
        <is>
          <t>B20009</t>
        </is>
      </c>
      <c r="B18" s="290" t="inlineStr">
        <is>
          <t>เสาเกี่ยวธรรมดา</t>
        </is>
      </c>
      <c r="C18" s="295" t="n">
        <v>4.13889</v>
      </c>
      <c r="D18" s="296">
        <f>C18/$B$4</f>
        <v/>
      </c>
      <c r="E18" s="297">
        <f>C18*$B$3</f>
        <v/>
      </c>
      <c r="F18" s="290" t="inlineStr">
        <is>
          <t>ใช้ 745 (พี่นัทเคาะ) Stock=690</t>
        </is>
      </c>
      <c r="H18" s="287" t="inlineStr">
        <is>
          <t>เทมเปอร์ใสพิเศษ 10มม.</t>
        </is>
      </c>
      <c r="I18" s="769" t="n">
        <v>3466</v>
      </c>
    </row>
    <row r="19" ht="15" customHeight="1" s="129">
      <c r="A19" s="294" t="inlineStr">
        <is>
          <t>B20010</t>
        </is>
      </c>
      <c r="B19" s="290" t="inlineStr">
        <is>
          <t>เสาเกี่ยวรับแรง</t>
        </is>
      </c>
      <c r="C19" s="295" t="n">
        <v>6.86111</v>
      </c>
      <c r="D19" s="296">
        <f>C19/$B$4</f>
        <v/>
      </c>
      <c r="E19" s="297">
        <f>C19*$B$3</f>
        <v/>
      </c>
      <c r="F19" s="290" t="inlineStr">
        <is>
          <t>เฉพาะสูง&gt;2.4ม.</t>
        </is>
      </c>
      <c r="H19" s="287" t="inlineStr">
        <is>
          <t>เทมเปอร์ฝ้า 6มม.</t>
        </is>
      </c>
      <c r="I19" s="769" t="n">
        <v>805</v>
      </c>
    </row>
    <row r="20" ht="15" customHeight="1" s="129">
      <c r="A20" s="294" t="inlineStr">
        <is>
          <t>B20054</t>
        </is>
      </c>
      <c r="B20" s="290" t="inlineStr">
        <is>
          <t>ขวางบน/ล่าง</t>
        </is>
      </c>
      <c r="C20" s="295" t="n">
        <v>5.88889</v>
      </c>
      <c r="D20" s="296">
        <f>C20/$B$4</f>
        <v/>
      </c>
      <c r="E20" s="297">
        <f>C20*$B$3</f>
        <v/>
      </c>
      <c r="F20" s="163" t="n"/>
      <c r="H20" s="287" t="inlineStr">
        <is>
          <t>เทมเปอร์ฝ้า 8มม.</t>
        </is>
      </c>
      <c r="I20" s="769" t="n">
        <v>1113</v>
      </c>
    </row>
    <row r="21" ht="15" customHeight="1" s="129">
      <c r="A21" s="294" t="inlineStr">
        <is>
          <t>B20019</t>
        </is>
      </c>
      <c r="B21" s="290" t="inlineStr">
        <is>
          <t>ตบปิดเฟรม</t>
        </is>
      </c>
      <c r="C21" s="295" t="n">
        <v>0.97222</v>
      </c>
      <c r="D21" s="296">
        <f>C21/$B$4</f>
        <v/>
      </c>
      <c r="E21" s="297">
        <f>C21*$B$3</f>
        <v/>
      </c>
      <c r="F21" s="290" t="inlineStr">
        <is>
          <t>⚠ ยืนยันขึ้นกับจำนวนบานไหม</t>
        </is>
      </c>
      <c r="H21" s="287" t="inlineStr">
        <is>
          <t>เทมเปอร์ยูโรเกรย์ 4มม.</t>
        </is>
      </c>
      <c r="I21" s="769" t="n">
        <v>823</v>
      </c>
    </row>
    <row r="22" ht="15" customHeight="1" s="129">
      <c r="A22" s="294" t="inlineStr">
        <is>
          <t>B20050</t>
        </is>
      </c>
      <c r="B22" s="290" t="inlineStr">
        <is>
          <t>ตบปิดเฟรมล่างเตี้ย</t>
        </is>
      </c>
      <c r="C22" s="295" t="n">
        <v>0.8055600000000001</v>
      </c>
      <c r="D22" s="296">
        <f>C22/$B$4</f>
        <v/>
      </c>
      <c r="E22" s="297">
        <f>C22*$B$3</f>
        <v/>
      </c>
      <c r="F22" s="163" t="n"/>
      <c r="H22" s="287" t="inlineStr">
        <is>
          <t>เทมเปอร์ยูโรเกรย์ 5มม.</t>
        </is>
      </c>
      <c r="I22" s="769" t="n">
        <v>1006</v>
      </c>
    </row>
    <row r="23" ht="15" customHeight="1" s="129">
      <c r="A23" s="294" t="inlineStr">
        <is>
          <t>F7994</t>
        </is>
      </c>
      <c r="B23" s="290" t="inlineStr">
        <is>
          <t>ตบรางล้อ</t>
        </is>
      </c>
      <c r="C23" s="295" t="n">
        <v>0.83333</v>
      </c>
      <c r="D23" s="296">
        <f>C23/$B$4</f>
        <v/>
      </c>
      <c r="E23" s="297">
        <f>C23*$B$3</f>
        <v/>
      </c>
      <c r="F23" s="290" t="inlineStr">
        <is>
          <t>F7994 เส้นรางเลื่อน (ราคา150 ตามไฟล์)</t>
        </is>
      </c>
      <c r="H23" s="287" t="inlineStr">
        <is>
          <t>เทมเปอร์ยูโรเกรย์ 6มม.</t>
        </is>
      </c>
      <c r="I23" s="769" t="n">
        <v>1033</v>
      </c>
    </row>
    <row r="24" ht="15" customHeight="1" s="129">
      <c r="H24" s="287" t="inlineStr">
        <is>
          <t>เทมเปอร์ยูโรเกรย์ 10มม.</t>
        </is>
      </c>
      <c r="I24" s="769" t="n">
        <v>1938</v>
      </c>
    </row>
    <row r="25" ht="15" customHeight="1" s="129">
      <c r="A25" s="298" t="inlineStr">
        <is>
          <t>กระจก (ทุน/ตร.ม.)</t>
        </is>
      </c>
      <c r="B25" s="155" t="n"/>
      <c r="H25" s="287" t="inlineStr">
        <is>
          <t>เทมเปอร์ยูโรบรอนซ์ 5มม.</t>
        </is>
      </c>
      <c r="I25" s="769" t="n">
        <v>1098</v>
      </c>
    </row>
    <row r="26" ht="15" customHeight="1" s="129">
      <c r="A26" s="290" t="inlineStr">
        <is>
          <t>เขียว/ใส 6 มม.</t>
        </is>
      </c>
      <c r="B26" s="299" t="n">
        <v>264</v>
      </c>
      <c r="C26" s="290" t="inlineStr">
        <is>
          <t>R3.9 v11 ข้อ 31.1 (ฐานเขียว/ใส 6มม. 264)</t>
        </is>
      </c>
      <c r="D26" s="166" t="n"/>
      <c r="E26" s="166" t="n"/>
      <c r="F26" s="167" t="n"/>
      <c r="H26" s="287" t="inlineStr">
        <is>
          <t>เทมเปอร์ยูโรบรอนซ์ 6มม.</t>
        </is>
      </c>
      <c r="I26" s="769" t="n">
        <v>1189</v>
      </c>
    </row>
    <row r="27" ht="15" customHeight="1" s="129">
      <c r="A27" s="290" t="inlineStr">
        <is>
          <t>เขียว/ใส 8 มม.</t>
        </is>
      </c>
      <c r="B27" s="299" t="n">
        <v>646</v>
      </c>
      <c r="C27" s="168" t="n"/>
      <c r="F27" s="169" t="n"/>
      <c r="H27" s="287" t="inlineStr">
        <is>
          <t>เทมเปอร์ยูโรบรอนซ์ 10มม.</t>
        </is>
      </c>
      <c r="I27" s="769" t="n">
        <v>1480</v>
      </c>
    </row>
    <row r="28" ht="15" customHeight="1" s="129">
      <c r="A28" s="290" t="inlineStr">
        <is>
          <t>เทมเปอร์ 6 มม.</t>
        </is>
      </c>
      <c r="B28" s="299" t="n">
        <v>439</v>
      </c>
      <c r="C28" s="168" t="n"/>
      <c r="F28" s="169" t="n"/>
      <c r="H28" s="287" t="inlineStr">
        <is>
          <t>เทมเปอร์ reflective เทา 6มม.</t>
        </is>
      </c>
      <c r="I28" s="769" t="n">
        <v>2422</v>
      </c>
    </row>
    <row r="29" ht="15" customHeight="1" s="129">
      <c r="A29" s="290" t="inlineStr">
        <is>
          <t>เทมเปอร์ 10 มม.</t>
        </is>
      </c>
      <c r="B29" s="299" t="n">
        <v>1023</v>
      </c>
      <c r="C29" s="168" t="n"/>
      <c r="F29" s="169" t="n"/>
      <c r="H29" s="287" t="inlineStr">
        <is>
          <t>เทมเปอร์ reflective เขียว 6มม.</t>
        </is>
      </c>
      <c r="I29" s="769" t="n">
        <v>2745</v>
      </c>
    </row>
    <row r="30" ht="15" customHeight="1" s="129">
      <c r="A30" s="290" t="inlineStr">
        <is>
          <t>ลามิเนต 4+4 (6.38)</t>
        </is>
      </c>
      <c r="B30" s="299" t="n">
        <v>1065</v>
      </c>
      <c r="C30" s="168" t="n"/>
      <c r="F30" s="169" t="n"/>
      <c r="H30" s="287" t="inlineStr">
        <is>
          <t>เทมเปอร์ reflective ฟ้า 6มม.</t>
        </is>
      </c>
      <c r="I30" s="769" t="n">
        <v>2960</v>
      </c>
    </row>
    <row r="31" ht="15" customHeight="1" s="129">
      <c r="A31" s="290" t="inlineStr">
        <is>
          <t>ยูโรเกรย์ 6 มม.</t>
        </is>
      </c>
      <c r="B31" s="299" t="n">
        <v>517</v>
      </c>
      <c r="C31" s="170" t="n"/>
      <c r="D31" s="171" t="n"/>
      <c r="E31" s="171" t="n"/>
      <c r="F31" s="172" t="n"/>
      <c r="H31" s="287" t="inlineStr">
        <is>
          <t>ลามิเนต 4+4 ฟิล์ม 0.38</t>
        </is>
      </c>
      <c r="I31" s="769" t="n">
        <v>767</v>
      </c>
    </row>
    <row r="32" ht="15" customHeight="1" s="129">
      <c r="A32" s="292" t="inlineStr">
        <is>
          <t>อุปกรณ์ (ราคา/ชุด)</t>
        </is>
      </c>
      <c r="B32" s="155" t="n"/>
      <c r="H32" s="287" t="inlineStr">
        <is>
          <t>ลามิเนต 5+5 ฟิล์ม 0.38</t>
        </is>
      </c>
      <c r="I32" s="769" t="n">
        <v>1012</v>
      </c>
    </row>
    <row r="33" ht="15" customHeight="1" s="129">
      <c r="A33" s="290" t="inlineStr">
        <is>
          <t>ชุดอุปกรณ์บานเลื่อน</t>
        </is>
      </c>
      <c r="B33" s="299" t="n">
        <v>1700</v>
      </c>
      <c r="H33" s="287" t="inlineStr">
        <is>
          <t>ลามิเนตใส 4+4 ฟิล์มสี 0.38</t>
        </is>
      </c>
      <c r="I33" s="769" t="n">
        <v>1329</v>
      </c>
    </row>
    <row r="34" ht="15" customHeight="1" s="129">
      <c r="H34" s="287" t="inlineStr">
        <is>
          <t>ลามิเนตใส 4+4 กันเสียง 0.76</t>
        </is>
      </c>
      <c r="I34" s="769" t="n">
        <v>2583</v>
      </c>
    </row>
    <row r="35" ht="15" customHeight="1" s="129">
      <c r="H35" s="287" t="inlineStr">
        <is>
          <t>ลามิเนต 4+4 Solar Max 0.76</t>
        </is>
      </c>
      <c r="I35" s="769" t="n">
        <v>1766</v>
      </c>
      <c r="J35" s="140" t="inlineStr">
        <is>
          <t>240 บาท/ตร.ฟ ×10.764</t>
        </is>
      </c>
    </row>
    <row r="36" ht="15" customHeight="1" s="129">
      <c r="A36" s="292" t="inlineStr">
        <is>
          <t>ยูโร — น้ำหนักเส้น + ราคาเส้นขาว (=นน.×ราคา/กก.ยูโร 185)</t>
        </is>
      </c>
      <c r="B36" s="154" t="n"/>
      <c r="C36" s="154" t="n"/>
      <c r="D36" s="154" t="n"/>
      <c r="E36" s="154" t="n"/>
      <c r="F36" s="155" t="n"/>
      <c r="H36" s="287" t="inlineStr">
        <is>
          <t>ลามิเนตใส 4+4 STG 1.52</t>
        </is>
      </c>
      <c r="I36" s="769" t="n">
        <v>3789</v>
      </c>
    </row>
    <row r="37" ht="23.25" customHeight="1" s="129">
      <c r="A37" s="292" t="inlineStr">
        <is>
          <t>รหัส</t>
        </is>
      </c>
      <c r="B37" s="292" t="inlineStr">
        <is>
          <t>ชื่อโปรไฟล์ (คีย์)</t>
        </is>
      </c>
      <c r="C37" s="292" t="inlineStr">
        <is>
          <t>น้ำหนักเส้น</t>
        </is>
      </c>
      <c r="D37" s="292" t="inlineStr">
        <is>
          <t>น้ำหนัก/ม.</t>
        </is>
      </c>
      <c r="E37" s="292" t="inlineStr">
        <is>
          <t>ราคาเส้นขาว</t>
        </is>
      </c>
      <c r="F37" s="292" t="inlineStr">
        <is>
          <t>หมายเหตุ</t>
        </is>
      </c>
      <c r="H37" s="287" t="inlineStr">
        <is>
          <t>อินซูเลท 6+6+6มม.</t>
        </is>
      </c>
      <c r="I37" s="769" t="n">
        <v>2260</v>
      </c>
      <c r="J37" s="140" t="inlineStr">
        <is>
          <t>352 บาท/ตร.ฟ ×10.764</t>
        </is>
      </c>
    </row>
    <row r="38" ht="15" customHeight="1" s="129">
      <c r="A38" s="294" t="inlineStr">
        <is>
          <t>F7869</t>
        </is>
      </c>
      <c r="B38" s="290" t="inlineStr">
        <is>
          <t>กรอบเฟรมบน/ล่างนอก</t>
        </is>
      </c>
      <c r="C38" s="295" t="n">
        <v>14.13514</v>
      </c>
      <c r="D38" s="296">
        <f>C38/$B$4</f>
        <v/>
      </c>
      <c r="E38" s="297">
        <f>C38*$B$5</f>
        <v/>
      </c>
      <c r="F38" s="163" t="n"/>
      <c r="H38" s="287" t="inlineStr">
        <is>
          <t>กระจกชา/ฝ้า/ลายผ้า 5-6มม.</t>
        </is>
      </c>
      <c r="I38" s="769" t="n">
        <v>301</v>
      </c>
    </row>
    <row r="39" ht="15" customHeight="1" s="129">
      <c r="A39" s="294" t="inlineStr">
        <is>
          <t>F7978</t>
        </is>
      </c>
      <c r="B39" s="290" t="inlineStr">
        <is>
          <t>เฟรมข้าง</t>
        </is>
      </c>
      <c r="C39" s="295" t="n">
        <v>5.05405</v>
      </c>
      <c r="D39" s="296">
        <f>C39/$B$4</f>
        <v/>
      </c>
      <c r="E39" s="297">
        <f>C39*$B$5</f>
        <v/>
      </c>
      <c r="F39" s="163" t="n"/>
      <c r="H39" s="287" t="inlineStr">
        <is>
          <t>กระจกเงา 5มม.</t>
        </is>
      </c>
      <c r="I39" s="769" t="n">
        <v>398</v>
      </c>
    </row>
    <row r="40" ht="15" customHeight="1" s="129">
      <c r="A40" s="294" t="inlineStr">
        <is>
          <t>F7902</t>
        </is>
      </c>
      <c r="B40" s="290" t="inlineStr">
        <is>
          <t>เฟรมล่างใน</t>
        </is>
      </c>
      <c r="C40" s="295" t="n">
        <v>6.21622</v>
      </c>
      <c r="D40" s="296">
        <f>C40/$B$4</f>
        <v/>
      </c>
      <c r="E40" s="297">
        <f>C40*$B$5</f>
        <v/>
      </c>
      <c r="F40" s="163" t="n"/>
      <c r="H40" s="287" t="inlineStr">
        <is>
          <t>กระจกลอนแก้ว 5มม.</t>
        </is>
      </c>
      <c r="I40" s="769" t="n">
        <v>646</v>
      </c>
    </row>
    <row r="41" ht="15" customHeight="1" s="129">
      <c r="A41" s="294" t="inlineStr">
        <is>
          <t>F7980</t>
        </is>
      </c>
      <c r="B41" s="290" t="inlineStr">
        <is>
          <t>กรอบบาน</t>
        </is>
      </c>
      <c r="C41" s="295" t="n">
        <v>7.81081</v>
      </c>
      <c r="D41" s="296">
        <f>C41/$B$4</f>
        <v/>
      </c>
      <c r="E41" s="297">
        <f>C41*$B$5</f>
        <v/>
      </c>
      <c r="F41" s="290" t="inlineStr">
        <is>
          <t>วิ่งรอบบาน เสา+ขวาง รหัสเดียว</t>
        </is>
      </c>
      <c r="H41" s="287" t="inlineStr">
        <is>
          <t>เทมเปอร์ 8มม.</t>
        </is>
      </c>
      <c r="I41" s="769" t="n">
        <v>716</v>
      </c>
    </row>
    <row r="42" ht="15" customHeight="1" s="129">
      <c r="A42" s="294" t="inlineStr">
        <is>
          <t>F7919</t>
        </is>
      </c>
      <c r="B42" s="290" t="inlineStr">
        <is>
          <t>คิ้วกระจก</t>
        </is>
      </c>
      <c r="C42" s="295" t="n">
        <v>1.08108</v>
      </c>
      <c r="D42" s="296">
        <f>C42/$B$4</f>
        <v/>
      </c>
      <c r="E42" s="297">
        <f>C42*$B$5</f>
        <v/>
      </c>
      <c r="F42" s="290" t="inlineStr">
        <is>
          <t>เท่ากรอบบาน</t>
        </is>
      </c>
      <c r="H42" s="287" t="inlineStr">
        <is>
          <t>เทมเปอร์สีชาดำ 6มม.</t>
        </is>
      </c>
      <c r="I42" s="769" t="n">
        <v>1033</v>
      </c>
    </row>
    <row r="43" ht="15" customHeight="1" s="129">
      <c r="A43" s="294" t="inlineStr">
        <is>
          <t>F7986</t>
        </is>
      </c>
      <c r="B43" s="290" t="inlineStr">
        <is>
          <t>เดือยเฟรมข้าง</t>
        </is>
      </c>
      <c r="C43" s="295" t="n">
        <v>1.54054</v>
      </c>
      <c r="D43" s="296">
        <f>C43/$B$4</f>
        <v/>
      </c>
      <c r="E43" s="297">
        <f>C43*$B$5</f>
        <v/>
      </c>
      <c r="F43" s="163" t="n"/>
      <c r="H43" s="287" t="inlineStr">
        <is>
          <t>เทมเปอร์สีชาดำ 10มม.</t>
        </is>
      </c>
      <c r="I43" s="769" t="n">
        <v>6674</v>
      </c>
    </row>
    <row r="44" ht="15" customHeight="1" s="129">
      <c r="A44" s="294" t="inlineStr">
        <is>
          <t>F7983</t>
        </is>
      </c>
      <c r="B44" s="290" t="inlineStr">
        <is>
          <t>ตบเกี่ยว</t>
        </is>
      </c>
      <c r="C44" s="295" t="n">
        <v>2.51351</v>
      </c>
      <c r="D44" s="296">
        <f>C44/$B$4</f>
        <v/>
      </c>
      <c r="E44" s="297">
        <f>C44*$B$5</f>
        <v/>
      </c>
      <c r="F44" s="163" t="n"/>
      <c r="H44" s="287" t="inlineStr">
        <is>
          <t>เทมเปอร์สีฟ้า 6มม.</t>
        </is>
      </c>
      <c r="I44" s="769" t="n">
        <v>1507</v>
      </c>
    </row>
    <row r="45" ht="15" customHeight="1" s="129">
      <c r="A45" s="294" t="inlineStr">
        <is>
          <t>F7988</t>
        </is>
      </c>
      <c r="B45" s="290" t="inlineStr">
        <is>
          <t>ตบปิดน๊อต</t>
        </is>
      </c>
      <c r="C45" s="295" t="n">
        <v>0.48649</v>
      </c>
      <c r="D45" s="296">
        <f>C45/$B$4</f>
        <v/>
      </c>
      <c r="E45" s="297">
        <f>C45*$B$5</f>
        <v/>
      </c>
      <c r="F45" s="163" t="n"/>
      <c r="H45" s="287" t="inlineStr">
        <is>
          <t>เทมเปอร์ใสพิเศษ 8มม.</t>
        </is>
      </c>
      <c r="I45" s="769" t="n">
        <v>2336</v>
      </c>
    </row>
    <row r="46" ht="15" customHeight="1" s="129">
      <c r="A46" s="294" t="inlineStr">
        <is>
          <t>F7993</t>
        </is>
      </c>
      <c r="B46" s="290" t="inlineStr">
        <is>
          <t>ตบปิดรางล้อ</t>
        </is>
      </c>
      <c r="C46" s="295" t="n">
        <v>0.48649</v>
      </c>
      <c r="D46" s="296">
        <f>C46/$B$4</f>
        <v/>
      </c>
      <c r="E46" s="297">
        <f>C46*$B$5</f>
        <v/>
      </c>
      <c r="F46" s="163" t="n"/>
      <c r="H46" s="287" t="inlineStr">
        <is>
          <t>ลามิเนต 6+6 ฟิล์ม 0.38</t>
        </is>
      </c>
      <c r="I46" s="769" t="n">
        <v>1259</v>
      </c>
    </row>
    <row r="47" ht="15" customHeight="1" s="129">
      <c r="A47" s="294" t="inlineStr">
        <is>
          <t>F7994</t>
        </is>
      </c>
      <c r="B47" s="290" t="inlineStr">
        <is>
          <t>ตบรางล้อ(ยูโร)</t>
        </is>
      </c>
      <c r="C47" s="295" t="n">
        <v>0.6486499999999999</v>
      </c>
      <c r="D47" s="296">
        <f>C47/$B$4</f>
        <v/>
      </c>
      <c r="E47" s="297">
        <f>C47*$B$5</f>
        <v/>
      </c>
      <c r="F47" s="163" t="n"/>
      <c r="H47" s="287" t="inlineStr">
        <is>
          <t>ลามิเนต 4+4 สูง&gt;2.5ม. 0.76</t>
        </is>
      </c>
      <c r="I47" s="769" t="n">
        <v>1300</v>
      </c>
    </row>
    <row r="48" ht="15" customHeight="1" s="129">
      <c r="A48" s="294" t="inlineStr">
        <is>
          <t>F7992</t>
        </is>
      </c>
      <c r="B48" s="290" t="inlineStr">
        <is>
          <t>ตบปิดร่องข้างเฟรมบน</t>
        </is>
      </c>
      <c r="C48" s="295" t="n">
        <v>2.72973</v>
      </c>
      <c r="D48" s="296">
        <f>C48/$B$4</f>
        <v/>
      </c>
      <c r="E48" s="297">
        <f>C48*$B$5</f>
        <v/>
      </c>
      <c r="F48" s="163" t="n"/>
      <c r="H48" s="287" t="inlineStr">
        <is>
          <t>ลามิเนต 5+5 สูง&gt;2.5ม. 0.76</t>
        </is>
      </c>
      <c r="I48" s="769" t="n">
        <v>1350</v>
      </c>
    </row>
    <row r="49" ht="15" customHeight="1" s="129">
      <c r="A49" s="294" t="inlineStr">
        <is>
          <t>F7951</t>
        </is>
      </c>
      <c r="B49" s="290" t="inlineStr">
        <is>
          <t>โหนกเกี่ยว</t>
        </is>
      </c>
      <c r="C49" s="295" t="n">
        <v>10.91892</v>
      </c>
      <c r="D49" s="296">
        <f>C49/$B$4</f>
        <v/>
      </c>
      <c r="E49" s="297">
        <f>C49*$B$5</f>
        <v/>
      </c>
      <c r="F49" s="290" t="inlineStr">
        <is>
          <t>เสริมแรง เมื่อสูง&gt;3ม.</t>
        </is>
      </c>
      <c r="H49" s="287" t="inlineStr">
        <is>
          <t>ลามิเนต 6+6 สูง&gt;2.5ม. 0.76</t>
        </is>
      </c>
      <c r="I49" s="769" t="n">
        <v>1600</v>
      </c>
    </row>
    <row r="50" ht="15" customHeight="1" s="129">
      <c r="A50" s="294" t="inlineStr">
        <is>
          <t>F7855</t>
        </is>
      </c>
      <c r="B50" s="290" t="inlineStr">
        <is>
          <t>ชนกลาง</t>
        </is>
      </c>
      <c r="C50" s="295" t="n">
        <v>6.64865</v>
      </c>
      <c r="D50" s="296">
        <f>C50/$B$4</f>
        <v/>
      </c>
      <c r="E50" s="297">
        <f>C50*$B$5</f>
        <v/>
      </c>
      <c r="F50" s="290" t="inlineStr">
        <is>
          <t>จุดบานชนกลาง (เปิดคู่กลาง)</t>
        </is>
      </c>
      <c r="H50" s="287" t="inlineStr">
        <is>
          <t>ลามิเนตยูโรเกรย์+ยูโรเกรย์ 6+6</t>
        </is>
      </c>
      <c r="I50" s="769" t="n">
        <v>2540</v>
      </c>
    </row>
    <row r="51" ht="15" customHeight="1" s="129">
      <c r="A51" s="294" t="inlineStr">
        <is>
          <t>F7880</t>
        </is>
      </c>
      <c r="B51" s="290" t="inlineStr">
        <is>
          <t>ตบปิดเฟรมร่องใน</t>
        </is>
      </c>
      <c r="C51" s="295" t="n">
        <v>1.86486</v>
      </c>
      <c r="D51" s="296">
        <f>C51/$B$4</f>
        <v/>
      </c>
      <c r="E51" s="297">
        <f>C51*$B$5</f>
        <v/>
      </c>
      <c r="F51" s="163" t="n"/>
      <c r="H51" s="287" t="inlineStr">
        <is>
          <t>ลามิเนตชาดำ+ใส 6+6</t>
        </is>
      </c>
      <c r="I51" s="769" t="n">
        <v>1938</v>
      </c>
    </row>
    <row r="52" ht="15" customHeight="1" s="129">
      <c r="A52" s="294" t="inlineStr">
        <is>
          <t>F7879</t>
        </is>
      </c>
      <c r="B52" s="290" t="inlineStr">
        <is>
          <t>ตบปิดเฟรมร่องกลาง</t>
        </is>
      </c>
      <c r="C52" s="295" t="n">
        <v>1.91892</v>
      </c>
      <c r="D52" s="296">
        <f>C52/$B$4</f>
        <v/>
      </c>
      <c r="E52" s="297">
        <f>C52*$B$5</f>
        <v/>
      </c>
      <c r="F52" s="163" t="n"/>
      <c r="H52" s="287" t="inlineStr">
        <is>
          <t>ลามิเนตชาดำ+ชาดำ 6+6</t>
        </is>
      </c>
      <c r="I52" s="769" t="n">
        <v>2217</v>
      </c>
    </row>
    <row r="53" ht="15" customHeight="1" s="129">
      <c r="H53" s="287" t="inlineStr">
        <is>
          <t>ลามิเนตคริสตัลเกรย์+ใส 6+6</t>
        </is>
      </c>
      <c r="I53" s="769" t="n">
        <v>2540</v>
      </c>
    </row>
    <row r="54" ht="15" customHeight="1" s="129">
      <c r="A54" s="287" t="inlineStr">
        <is>
          <t>B24009 ต่อกลาง — แก้ราคาที่นี่ที่เดียว</t>
        </is>
      </c>
      <c r="H54" s="287" t="inlineStr">
        <is>
          <t>ลามิเนตสีฟ้า+ใส 6+6</t>
        </is>
      </c>
      <c r="I54" s="769" t="n">
        <v>2702</v>
      </c>
    </row>
    <row r="55" ht="15" customHeight="1" s="129">
      <c r="A55" s="287" t="inlineStr">
        <is>
          <t>ขาว/ดำ</t>
        </is>
      </c>
      <c r="B55" s="300" t="n">
        <v>325</v>
      </c>
      <c r="H55" s="287" t="inlineStr">
        <is>
          <t>ลามิเนตสีฟ้า+สีฟ้า 6+6</t>
        </is>
      </c>
      <c r="I55" s="769" t="n">
        <v>3531</v>
      </c>
    </row>
    <row r="56" ht="15" customHeight="1" s="129">
      <c r="A56" s="287" t="inlineStr">
        <is>
          <t>เทาซาฮาร่า</t>
        </is>
      </c>
      <c r="B56" s="300" t="n">
        <v>355</v>
      </c>
      <c r="H56" s="287" t="inlineStr">
        <is>
          <t>ลามิเนตยูโรบรอนซ์+ใส 6+6</t>
        </is>
      </c>
      <c r="I56" s="769" t="n">
        <v>2562</v>
      </c>
    </row>
    <row r="57" ht="15" customHeight="1" s="129">
      <c r="A57" s="287" t="inlineStr">
        <is>
          <t>ลายไม้สักทอง</t>
        </is>
      </c>
      <c r="B57" s="300" t="n">
        <v>495</v>
      </c>
      <c r="H57" s="287" t="inlineStr">
        <is>
          <t>กระจกดัดโค้ง 10มม.</t>
        </is>
      </c>
      <c r="I57" s="769" t="n">
        <v>5328</v>
      </c>
    </row>
    <row r="58" ht="15" customHeight="1" s="129">
      <c r="H58" s="287" t="inlineStr">
        <is>
          <t>กระจกดัดโค้งลามิเนตใส 5+5</t>
        </is>
      </c>
      <c r="I58" s="769" t="n">
        <v>7158</v>
      </c>
    </row>
    <row r="59" ht="15" customHeight="1" s="129">
      <c r="H59" s="287" t="inlineStr">
        <is>
          <t>ลามิเนต 4+4 ยูโรเกรย์</t>
        </is>
      </c>
      <c r="I59" s="769" t="n">
        <v>2282</v>
      </c>
    </row>
    <row r="60" ht="15" customHeight="1" s="129">
      <c r="H60" s="287" t="inlineStr">
        <is>
          <t>กระจกเงาทอง</t>
        </is>
      </c>
      <c r="I60" s="769" t="n">
        <v>872</v>
      </c>
    </row>
    <row r="61" ht="15" customHeight="1" s="129">
      <c r="H61" s="287" t="inlineStr">
        <is>
          <t>เทมเปอร์ลามิเนต 6+6 PVB 1.52</t>
        </is>
      </c>
      <c r="I61" s="769" t="n">
        <v>2454</v>
      </c>
    </row>
    <row r="62" ht="15" customHeight="1" s="129">
      <c r="H62" s="287" t="inlineStr">
        <is>
          <t>ใส 6มม.</t>
        </is>
      </c>
      <c r="I62" s="769" t="n">
        <v>242</v>
      </c>
    </row>
    <row r="63" ht="15" customHeight="1" s="129">
      <c r="H63" s="287" t="inlineStr">
        <is>
          <t>ใส 8มม.</t>
        </is>
      </c>
      <c r="I63" s="769" t="n">
        <v>409</v>
      </c>
    </row>
    <row r="64" ht="15" customHeight="1" s="129">
      <c r="H64" s="287" t="inlineStr">
        <is>
          <t>ใส 10มม.</t>
        </is>
      </c>
      <c r="I64" s="769" t="n">
        <v>517</v>
      </c>
    </row>
    <row r="65" ht="15" customHeight="1" s="129">
      <c r="H65" s="287" t="inlineStr">
        <is>
          <t>เทมเปอร์ใส 6มม.</t>
        </is>
      </c>
      <c r="I65" s="769" t="n">
        <v>403</v>
      </c>
    </row>
    <row r="66" ht="15" customHeight="1" s="129">
      <c r="H66" s="287" t="inlineStr">
        <is>
          <t>เทมเปอร์ใส 8มม.</t>
        </is>
      </c>
      <c r="I66" s="769" t="n">
        <v>622</v>
      </c>
    </row>
    <row r="67">
      <c r="H67" s="387" t="inlineStr">
        <is>
          <t>เทมเปอร์ใส 10มม.</t>
        </is>
      </c>
      <c r="I67" s="555" t="n">
        <v>695</v>
      </c>
    </row>
    <row r="68">
      <c r="H68" s="387" t="inlineStr">
        <is>
          <t>เทมเปอร์ใส 12มม.</t>
        </is>
      </c>
      <c r="I68" s="555" t="n">
        <v>787</v>
      </c>
    </row>
    <row r="69">
      <c r="H69" s="387" t="inlineStr">
        <is>
          <t>ใส 5มม.</t>
        </is>
      </c>
      <c r="I69" s="555" t="n">
        <v>205</v>
      </c>
    </row>
    <row r="70">
      <c r="H70" s="387" t="inlineStr">
        <is>
          <t>เขียว 5มม.</t>
        </is>
      </c>
      <c r="I70" s="555" t="n">
        <v>226</v>
      </c>
    </row>
    <row r="71">
      <c r="H71" s="387" t="inlineStr">
        <is>
          <t>ยูโรเกรย์ 5มม.</t>
        </is>
      </c>
      <c r="I71" s="555" t="n">
        <v>538</v>
      </c>
    </row>
    <row r="72">
      <c r="H72" s="387" t="inlineStr">
        <is>
          <t>ยูโรบรอนซ์ 5มม.</t>
        </is>
      </c>
      <c r="I72" s="555" t="n">
        <v>538</v>
      </c>
    </row>
    <row r="73">
      <c r="H73" s="387" t="inlineStr">
        <is>
          <t>ชาดา 3มม.</t>
        </is>
      </c>
      <c r="I73" s="555" t="n">
        <v>248</v>
      </c>
    </row>
    <row r="74">
      <c r="H74" s="387" t="inlineStr">
        <is>
          <t>ชาดา 5มม.</t>
        </is>
      </c>
      <c r="I74" s="555" t="n">
        <v>258</v>
      </c>
    </row>
    <row r="75">
      <c r="H75" s="387" t="inlineStr">
        <is>
          <t>เงา 6มม.</t>
        </is>
      </c>
      <c r="I75" s="555" t="n">
        <v>452</v>
      </c>
    </row>
    <row r="76">
      <c r="H76" s="387" t="inlineStr">
        <is>
          <t>ลามิเนตใส 5+5 กันเสียง 0.76</t>
        </is>
      </c>
      <c r="I76" s="555" t="n">
        <v>2928</v>
      </c>
    </row>
    <row r="77">
      <c r="H77" s="387" t="inlineStr">
        <is>
          <t>ลามิเนตใส 5+5 STG 1.52</t>
        </is>
      </c>
      <c r="I77" s="555" t="n">
        <v>3789</v>
      </c>
    </row>
    <row r="78">
      <c r="H78" s="387" t="inlineStr">
        <is>
          <t>ลามิเนต ใส6+6 1.52</t>
        </is>
      </c>
      <c r="I78" s="555" t="n">
        <v>1668</v>
      </c>
    </row>
    <row r="79">
      <c r="H79" s="387" t="inlineStr">
        <is>
          <t>ลามิเนต เขียว4+4 0.76</t>
        </is>
      </c>
      <c r="I79" s="555" t="n">
        <v>1211</v>
      </c>
    </row>
    <row r="80">
      <c r="H80" s="387" t="inlineStr">
        <is>
          <t>ลามิเนต ใส6HS SGP0.89</t>
        </is>
      </c>
      <c r="I80" s="555" t="n">
        <v>3079</v>
      </c>
    </row>
    <row r="81">
      <c r="H81" s="387" t="inlineStr">
        <is>
          <t>ลามิเนต ใส5+5 SGP0.89</t>
        </is>
      </c>
      <c r="I81" s="555" t="n">
        <v>1830</v>
      </c>
      <c r="J81" s="140" t="inlineStr">
        <is>
          <t>272 บาท/ตร.ฟ ×10.764</t>
        </is>
      </c>
    </row>
    <row r="82">
      <c r="H82" s="387" t="inlineStr">
        <is>
          <t>ลามิเนตฟิล์มฝ้า 4+4</t>
        </is>
      </c>
      <c r="I82" s="555" t="n">
        <v>710</v>
      </c>
      <c r="J82" s="140" t="inlineStr">
        <is>
          <t>352 บาท/ตร.ฟ ×10.764</t>
        </is>
      </c>
    </row>
    <row r="83">
      <c r="H83" s="387" t="inlineStr">
        <is>
          <t>ลามิเนตฟิล์มสีทั่วไป 4+4</t>
        </is>
      </c>
      <c r="I83" s="555" t="n">
        <v>904</v>
      </c>
    </row>
    <row r="84">
      <c r="H84" s="387" t="inlineStr">
        <is>
          <t>ลามิเนตฟิล์มขาวนม-ดำทึบ 4+4</t>
        </is>
      </c>
      <c r="I84" s="555" t="n">
        <v>2174</v>
      </c>
    </row>
    <row r="85">
      <c r="H85" s="387" t="inlineStr">
        <is>
          <t>ลามิเนตลอนแก้วเล็ก เงาทอง 5+5</t>
        </is>
      </c>
      <c r="I85" s="555" t="n">
        <v>4898</v>
      </c>
    </row>
    <row r="86">
      <c r="H86" s="387" t="inlineStr">
        <is>
          <t>ลามิเนตลอนแก้วกลาง เงาทอง 5+5</t>
        </is>
      </c>
      <c r="I86" s="555" t="n">
        <v>4898</v>
      </c>
    </row>
    <row r="87">
      <c r="H87" s="387" t="inlineStr">
        <is>
          <t>ลามิเนตลอนแก้วใหญ่ เงาทอง 5+5</t>
        </is>
      </c>
      <c r="I87" s="555" t="n">
        <v>4898</v>
      </c>
    </row>
    <row r="88">
      <c r="H88" s="387" t="inlineStr">
        <is>
          <t>ลามิเนตลอนแก้วเล็ก เงาทอง 5+6</t>
        </is>
      </c>
      <c r="I88" s="555" t="n">
        <v>5005</v>
      </c>
    </row>
    <row r="89">
      <c r="H89" s="387" t="inlineStr">
        <is>
          <t>ลามิเนตลอนแก้วกลาง เงาทอง 5+6</t>
        </is>
      </c>
      <c r="I89" s="555" t="n">
        <v>5005</v>
      </c>
    </row>
    <row r="90">
      <c r="H90" s="140" t="inlineStr">
        <is>
          <t>ลามิเนตลอนแก้วใหญ่ เงาทอง 5+6</t>
        </is>
      </c>
      <c r="I90" s="770" t="n">
        <v>5005</v>
      </c>
    </row>
    <row r="91">
      <c r="H91" s="140" t="inlineStr">
        <is>
          <t>เทมเปอร์ยูโรบรอนซ์ 8มม.</t>
        </is>
      </c>
      <c r="I91" s="770" t="n">
        <v>1738</v>
      </c>
    </row>
    <row r="92">
      <c r="H92" s="140" t="inlineStr">
        <is>
          <t>เทมเปอร์ใสพ่นสีขาว 6มม.</t>
        </is>
      </c>
      <c r="I92" s="770" t="n">
        <v>592</v>
      </c>
    </row>
    <row r="93">
      <c r="H93" s="140" t="inlineStr">
        <is>
          <t>เทมเปอร์ใสพ่นสีขาว 8มม.</t>
        </is>
      </c>
      <c r="I93" s="770" t="n">
        <v>915</v>
      </c>
    </row>
    <row r="94">
      <c r="H94" s="140" t="inlineStr">
        <is>
          <t>กระจกเส้นลวดใส 6มม.</t>
        </is>
      </c>
      <c r="I94" s="770" t="n">
        <v>3800</v>
      </c>
    </row>
    <row r="95">
      <c r="H95" s="140" t="inlineStr">
        <is>
          <t>เทมเปอร์เขียว 6มม.</t>
        </is>
      </c>
      <c r="I95" s="770" t="n">
        <v>439</v>
      </c>
    </row>
    <row r="96">
      <c r="H96" s="140" t="inlineStr">
        <is>
          <t>เทมเปอร์เขียว 8มม.</t>
        </is>
      </c>
      <c r="I96" s="770" t="n">
        <v>716</v>
      </c>
    </row>
    <row r="97">
      <c r="H97" s="140" t="inlineStr">
        <is>
          <t>เทมเปอร์เขียว 10มม.</t>
        </is>
      </c>
      <c r="I97" s="770" t="n">
        <v>848</v>
      </c>
    </row>
    <row r="98">
      <c r="H98" s="140" t="inlineStr">
        <is>
          <t>เทมเปอร์เขียว 12มม.</t>
        </is>
      </c>
      <c r="I98" s="770" t="n">
        <v>942</v>
      </c>
    </row>
    <row r="99">
      <c r="H99" s="140" t="inlineStr">
        <is>
          <t>ชาดำ 3มม.</t>
        </is>
      </c>
      <c r="I99" s="770" t="n">
        <v>248</v>
      </c>
    </row>
    <row r="100">
      <c r="H100" s="140" t="inlineStr">
        <is>
          <t>ชาดำ 5มม.</t>
        </is>
      </c>
      <c r="I100" s="768" t="n">
        <v>258</v>
      </c>
    </row>
    <row r="101" ht="22" customHeight="1" s="129">
      <c r="A101" s="772" t="n"/>
      <c r="H101" s="140" t="n"/>
    </row>
    <row r="102">
      <c r="H102" s="140" t="inlineStr">
        <is>
          <t>ลามิเนตชาเทา+ใส 6+6</t>
        </is>
      </c>
      <c r="I102" s="768" t="n">
        <v>3229</v>
      </c>
    </row>
    <row r="103">
      <c r="H103" s="140" t="inlineStr">
        <is>
          <t>ลามิเนตชาเทา+ชาเทา 6+6</t>
        </is>
      </c>
      <c r="I103" s="768" t="n">
        <v>4252</v>
      </c>
    </row>
    <row r="104">
      <c r="H104" s="140" t="inlineStr">
        <is>
          <t>ลามิเนตชาทอง+ชาทอง 6+6</t>
        </is>
      </c>
      <c r="I104" s="768" t="n">
        <v>4252</v>
      </c>
    </row>
    <row r="105">
      <c r="H105" s="140" t="inlineStr">
        <is>
          <t>เทมเปอร์ชาทอง 10มม.</t>
        </is>
      </c>
      <c r="I105" s="768" t="n">
        <v>6674</v>
      </c>
    </row>
    <row r="106">
      <c r="H106" s="140" t="inlineStr">
        <is>
          <t>ลามิเนตลอนแก้วใส+เงาชาทอง 5+5</t>
        </is>
      </c>
      <c r="I106" s="768" t="n">
        <v>5974</v>
      </c>
    </row>
    <row r="107">
      <c r="H107" s="140" t="n"/>
    </row>
    <row r="108">
      <c r="H108" s="140" t="n"/>
    </row>
    <row r="109">
      <c r="H109" s="140" t="n"/>
    </row>
    <row r="110">
      <c r="H110" s="140" t="n"/>
    </row>
    <row r="111">
      <c r="H111" s="140" t="n"/>
    </row>
  </sheetData>
  <mergeCells count="9">
    <mergeCell ref="C3:F3"/>
    <mergeCell ref="A7:B7"/>
    <mergeCell ref="A25:B25"/>
    <mergeCell ref="A36:F36"/>
    <mergeCell ref="C4:F4"/>
    <mergeCell ref="C26:F31"/>
    <mergeCell ref="A1:F1"/>
    <mergeCell ref="A32:B32"/>
    <mergeCell ref="C5:F5"/>
  </mergeCell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H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2.8" customWidth="1" style="140" min="2" max="2"/>
    <col width="10.7" customWidth="1" style="140" min="3" max="3"/>
    <col width="24" customWidth="1" style="140" min="4" max="5"/>
    <col width="24" customWidth="1" style="129" min="5" max="5"/>
    <col width="24" customWidth="1" style="140" min="6" max="6"/>
    <col width="8.6" customWidth="1" style="129" min="7" max="7"/>
    <col width="4.5" customWidth="1" style="129" min="8" max="8"/>
  </cols>
  <sheetData>
    <row r="1" ht="24" customHeight="1" s="129">
      <c r="A1" s="286" t="inlineStr">
        <is>
          <t>คิดทุนบานเลื่อน SMS — เลือกรูปแบบ + อุปกรณ์แยกชิ้น</t>
        </is>
      </c>
      <c r="E1" s="643" t="n"/>
      <c r="G1" s="753" t="inlineStr">
        <is>
          <t>🏠 สารบัญ</t>
        </is>
      </c>
      <c r="H1" s="754" t="n"/>
    </row>
    <row r="2" ht="15" customHeight="1" s="129">
      <c r="A2" s="288" t="inlineStr">
        <is>
          <t>กว้างรวม (ซม.) →</t>
        </is>
      </c>
      <c r="B2" s="289" t="n">
        <v>600</v>
      </c>
      <c r="E2" s="310" t="inlineStr">
        <is>
          <t>เลื่อน(ล้อ)=</t>
        </is>
      </c>
      <c r="F2" s="336">
        <f>IF(B5="อิสระ",B4,IF(B5="ลากจูง",B4-1,B4-2))</f>
        <v/>
      </c>
    </row>
    <row r="3" ht="15" customHeight="1" s="129">
      <c r="A3" s="288" t="inlineStr">
        <is>
          <t>สูง (ซม.) →</t>
        </is>
      </c>
      <c r="B3" s="289" t="n">
        <v>300</v>
      </c>
      <c r="E3" s="310" t="inlineStr">
        <is>
          <t>มือจับบาน=</t>
        </is>
      </c>
      <c r="F3" s="336">
        <f>IF(B5="ลากจูง",1,2)</f>
        <v/>
      </c>
    </row>
    <row r="4" ht="15" customHeight="1" s="129">
      <c r="A4" s="288" t="inlineStr">
        <is>
          <t>จำนวนบาน →</t>
        </is>
      </c>
      <c r="B4" s="289" t="n">
        <v>3</v>
      </c>
      <c r="E4" s="310" t="inlineStr">
        <is>
          <t>ล็อคบาน=</t>
        </is>
      </c>
      <c r="F4" s="336">
        <f>IF(B5="อิสระ",2,1)</f>
        <v/>
      </c>
    </row>
    <row r="5" ht="15" customHeight="1" s="129">
      <c r="A5" s="288" t="inlineStr">
        <is>
          <t>รูปแบบ → (อิสระ/ลากจูง/เปิดคู่กลาง)</t>
        </is>
      </c>
      <c r="B5" s="301" t="inlineStr">
        <is>
          <t>อิสระ</t>
        </is>
      </c>
      <c r="E5" s="310" t="inlineStr">
        <is>
          <t>เสากุญแจ=</t>
        </is>
      </c>
      <c r="F5" s="336">
        <f>IF(B5="เปิดคู่กลาง",4,2)</f>
        <v/>
      </c>
    </row>
    <row r="6" ht="15" customHeight="1" s="129">
      <c r="A6" s="310" t="inlineStr">
        <is>
          <t>พื้นที่ (ตร.ม.) =</t>
        </is>
      </c>
      <c r="B6" s="311">
        <f>(B2/100)*(B3/100)</f>
        <v/>
      </c>
      <c r="E6" s="310" t="inlineStr">
        <is>
          <t>รอยต่อ=</t>
        </is>
      </c>
      <c r="F6" s="336">
        <f>IF(B5="เปิดคู่กลาง",B4-2,B4-1)</f>
        <v/>
      </c>
    </row>
    <row r="7" ht="15" customHeight="1" s="129">
      <c r="A7" s="288" t="inlineStr">
        <is>
          <t>บวกกำไร % →</t>
        </is>
      </c>
      <c r="B7" s="301" t="n">
        <v>100</v>
      </c>
      <c r="E7" s="287" t="inlineStr">
        <is>
          <t>รางล่าง →</t>
        </is>
      </c>
      <c r="F7" s="283" t="inlineStr">
        <is>
          <t>ภายนอก</t>
        </is>
      </c>
    </row>
    <row r="8" ht="15" customHeight="1" s="129">
      <c r="A8" s="288" t="inlineStr">
        <is>
          <t>ราคาซิลิโคน/หลอด →</t>
        </is>
      </c>
      <c r="B8" s="289" t="n">
        <v>90</v>
      </c>
    </row>
    <row r="9" ht="15" customHeight="1" s="129">
      <c r="A9" s="287" t="inlineStr">
        <is>
          <t>กระจก →</t>
        </is>
      </c>
      <c r="B9" s="283" t="inlineStr">
        <is>
          <t>เขียว 6มม.</t>
        </is>
      </c>
      <c r="C9" s="312">
        <f>INDEX(ราคาวัสดุกลาง!$I$2:$I$106,MATCH(B9,ราคาวัสดุกลาง!$H$2:$H$106,0))</f>
        <v/>
      </c>
      <c r="D9" s="287" t="inlineStr">
        <is>
          <t>← ราคากระจก/ตร.ม. (อัตโนมัติ)</t>
        </is>
      </c>
      <c r="E9" s="287" t="inlineStr">
        <is>
          <t>สี →</t>
        </is>
      </c>
      <c r="F9" s="283" t="inlineStr">
        <is>
          <t>สีอบขาว/ดำ</t>
        </is>
      </c>
      <c r="G9" s="287" t="n"/>
    </row>
    <row r="10" ht="23.25" customHeight="1" s="129">
      <c r="A10" s="313" t="inlineStr">
        <is>
          <t>วัสดุ</t>
        </is>
      </c>
      <c r="B10" s="313" t="inlineStr">
        <is>
          <t>จำนวน</t>
        </is>
      </c>
      <c r="C10" s="313" t="inlineStr">
        <is>
          <t>ราคา/หน่วย</t>
        </is>
      </c>
      <c r="D10" s="313" t="inlineStr">
        <is>
          <t>ทุน(บาท)</t>
        </is>
      </c>
    </row>
    <row r="11" ht="15" customHeight="1" s="129">
      <c r="A11" s="290" t="inlineStr">
        <is>
          <t>เฟรมบน</t>
        </is>
      </c>
      <c r="B11" s="314">
        <f>(1*(B2/100)/6.4)*buf_scrap</f>
        <v/>
      </c>
      <c r="C11" s="315">
        <f>IF(F9="สีอบขาว/ดำ",IFERROR(VLOOKUP("B22001",ราคาสี!$A:$D,4,0),1235),IF(OR(F9="เทาซาฮาร่า",F9="สีดำซาฮาร่า"),VLOOKUP("B22001",ราคาสี!$A:$F,5,0),IF(F9="ลายไม้ stock",(VLOOKUP("B22001",ราคาสี!$A:$H,8,0)*mult_wood/mult_sms),IFERROR(VLOOKUP("B22001",ราคาสี!$A:$D,4,0),1235)+IF(F9="สีอบพิเศษ",rate_special,rate_woodbake)*6.86111)))</f>
        <v/>
      </c>
      <c r="D11" s="305">
        <f>B11*C11*mult_sms</f>
        <v/>
      </c>
    </row>
    <row r="12" ht="15" customHeight="1" s="129">
      <c r="A12" s="290" t="inlineStr">
        <is>
          <t>เฟรมข้าง</t>
        </is>
      </c>
      <c r="B12" s="314">
        <f>(2*(B3/100)/6.4)*buf_scrap</f>
        <v/>
      </c>
      <c r="C12" s="315">
        <f>IF(F9="สีอบขาว/ดำ",IFERROR(VLOOKUP("B22002",ราคาสี!$A:$D,4,0),1045),IF(OR(F9="เทาซาฮาร่า",F9="สีดำซาฮาร่า"),VLOOKUP("B22002",ราคาสี!$A:$F,5,0),IF(F9="ลายไม้ stock",(VLOOKUP("B22002",ราคาสี!$A:$H,8,0)*mult_wood/mult_sms),IFERROR(VLOOKUP("B22002",ราคาสี!$A:$D,4,0),1045)+IF(F9="สีอบพิเศษ",rate_special,rate_woodbake)*5.80556)))</f>
        <v/>
      </c>
      <c r="D12" s="305">
        <f>B12*C12*mult_sms</f>
        <v/>
      </c>
    </row>
    <row r="13" ht="15" customHeight="1" s="129">
      <c r="A13" s="290" t="inlineStr">
        <is>
          <t>เฟรมล่างกันน้ำ</t>
        </is>
      </c>
      <c r="B13" s="314">
        <f>(1*(B2/100)/6.4)*buf_scrap</f>
        <v/>
      </c>
      <c r="C13" s="315">
        <f>IF(F9="สีอบขาว/ดำ",IF($F$7="ภายใน",825,2070),IF(OR(F9="เทาซาฮาร่า",F9="สีดำซาฮาร่า"),IF($F$7="ภายใน",VLOOKUP("B20047",ราคาสี!$A:$F,5,0),VLOOKUP("B20041",ราคาสี!$A:$F,5,0)),IF(F9="ลายไม้ stock",IF($F$7="ภายใน",(VLOOKUP("B20047",ราคาสี!$A:$H,8,0)*mult_wood/mult_sms),(VLOOKUP("B20041",ราคาสี!$A:$H,8,0)*mult_wood/mult_sms)),IF($F$7="ภายใน",825,2070)+IF(F9="สีอบพิเศษ",rate_special,rate_woodbake)*IF($F$7="ภายใน",4.58333,11.5))))</f>
        <v/>
      </c>
      <c r="D13" s="305">
        <f>B13*C13*mult_sms</f>
        <v/>
      </c>
    </row>
    <row r="14" ht="15" customHeight="1" s="129">
      <c r="A14" s="290" t="inlineStr">
        <is>
          <t>เสากุญแจ ML</t>
        </is>
      </c>
      <c r="B14" s="314">
        <f>($F$5*(B3/100)/6.4)*buf_scrap</f>
        <v/>
      </c>
      <c r="C14" s="315">
        <f>IF(F9="สีอบขาว/ดำ",IFERROR(VLOOKUP("B20051",ราคาสี!$A:$D,4,0),885),IF(OR(F9="เทาซาฮาร่า",F9="สีดำซาฮาร่า"),VLOOKUP("B20051",ราคาสี!$A:$F,5,0),IF(F9="ลายไม้ stock",(VLOOKUP("B20051",ราคาสี!$A:$H,8,0)*mult_wood/mult_sms),IFERROR(VLOOKUP("B20051",ราคาสี!$A:$D,4,0),885)+IF(F9="สีอบพิเศษ",rate_special,rate_woodbake)*4.91667)))</f>
        <v/>
      </c>
      <c r="D14" s="305">
        <f>B14*C14*mult_sms</f>
        <v/>
      </c>
    </row>
    <row r="15" ht="15" customHeight="1" s="129">
      <c r="A15" s="290" t="inlineStr">
        <is>
          <t>เสาเกี่ยวธรรมดา</t>
        </is>
      </c>
      <c r="B15" s="314">
        <f>(IF((B3/100)&gt;2.4,$F$6,2*$F$6)*(B3/100)/6.4)*buf_scrap</f>
        <v/>
      </c>
      <c r="C15" s="315">
        <f>IF(F9="สีอบขาว/ดำ",IFERROR(VLOOKUP("B20009",ราคาสี!$A:$D,4,0),745),IF(OR(F9="เทาซาฮาร่า",F9="สีดำซาฮาร่า"),VLOOKUP("B20009",ราคาสี!$A:$F,5,0),IF(F9="ลายไม้ stock",(VLOOKUP("B20009",ราคาสี!$A:$H,8,0)*mult_wood/mult_sms),IFERROR(VLOOKUP("B20009",ราคาสี!$A:$D,4,0),745)+IF(F9="สีอบพิเศษ",rate_special,rate_woodbake)*4.13889)))</f>
        <v/>
      </c>
      <c r="D15" s="305">
        <f>B15*C15*mult_sms</f>
        <v/>
      </c>
    </row>
    <row r="16" ht="15" customHeight="1" s="129">
      <c r="A16" s="290" t="inlineStr">
        <is>
          <t>เสาเกี่ยวรับแรง</t>
        </is>
      </c>
      <c r="B16" s="314">
        <f>(IF((B3/100)&gt;2.4,$F$6,0)*(B3/100)/6.4)*buf_scrap</f>
        <v/>
      </c>
      <c r="C16" s="315">
        <f>IF(F9="สีอบขาว/ดำ",IFERROR(VLOOKUP("B20010",ราคาสี!$A:$D,4,0),1235),IF(OR(F9="เทาซาฮาร่า",F9="สีดำซาฮาร่า"),VLOOKUP("B20010",ราคาสี!$A:$F,5,0),IF(F9="ลายไม้ stock",(VLOOKUP("B20010",ราคาสี!$A:$H,8,0)*mult_wood/mult_sms),IFERROR(VLOOKUP("B20010",ราคาสี!$A:$D,4,0),1235)+IF(F9="สีอบพิเศษ",rate_special,rate_woodbake)*6.86111)))</f>
        <v/>
      </c>
      <c r="D16" s="305">
        <f>B16*C16*mult_sms</f>
        <v/>
      </c>
    </row>
    <row r="17" ht="15" customHeight="1" s="129">
      <c r="A17" s="290" t="inlineStr">
        <is>
          <t>ขวางบน/ล่าง</t>
        </is>
      </c>
      <c r="B17" s="314">
        <f>(2*(B2/100)/6.4)*buf_scrap</f>
        <v/>
      </c>
      <c r="C17" s="315">
        <f>IF(F9="สีอบขาว/ดำ",IFERROR(VLOOKUP("B20054",ราคาสี!$A:$D,4,0),1060),IF(OR(F9="เทาซาฮาร่า",F9="สีดำซาฮาร่า"),VLOOKUP("B20054",ราคาสี!$A:$F,5,0),IF(F9="ลายไม้ stock",(VLOOKUP("B20054",ราคาสี!$A:$H,8,0)*mult_wood/mult_sms),IFERROR(VLOOKUP("B20054",ราคาสี!$A:$D,4,0),1060)+IF(F9="สีอบพิเศษ",rate_special,rate_woodbake)*5.88889)))</f>
        <v/>
      </c>
      <c r="D17" s="305">
        <f>B17*C17*mult_sms</f>
        <v/>
      </c>
    </row>
    <row r="18" ht="15" customHeight="1" s="129">
      <c r="A18" s="290" t="inlineStr">
        <is>
          <t>ตบปิดเฟรม</t>
        </is>
      </c>
      <c r="B18" s="314">
        <f>(4*(B3/100)/6.4)*buf_scrap</f>
        <v/>
      </c>
      <c r="C18" s="315">
        <f>IF(F9="สีอบขาว/ดำ",IFERROR(VLOOKUP("B20019",ราคาสี!$A:$D,4,0),175),IF(OR(F9="เทาซาฮาร่า",F9="สีดำซาฮาร่า"),VLOOKUP("B20019",ราคาสี!$A:$F,5,0),IF(F9="ลายไม้ stock",(VLOOKUP("B20019",ราคาสี!$A:$H,8,0)*mult_wood/mult_sms),IFERROR(VLOOKUP("B20019",ราคาสี!$A:$D,4,0),175)+IF(F9="สีอบพิเศษ",rate_special,rate_woodbake)*0.97222)))</f>
        <v/>
      </c>
      <c r="D18" s="305">
        <f>B18*C18*mult_sms</f>
        <v/>
      </c>
    </row>
    <row r="19" ht="15" customHeight="1" s="129">
      <c r="A19" s="290" t="inlineStr">
        <is>
          <t>ตบราง(นอก)/ตบปิดรางเตี้ย20050(ใน)</t>
        </is>
      </c>
      <c r="B19" s="314">
        <f>IF(F7="ภายใน",(2*(B2/100)/6.4)*buf_scrap,($F$2*(B2/100)/6.4)*buf_scrap)</f>
        <v/>
      </c>
      <c r="C19" s="315">
        <f>IF(F7="ภายใน",IF(F9="สีอบขาว/ดำ",IFERROR(VLOOKUP("B20050",ราคาสี!$A:$D,4,0),145),IF(OR(F9="เทาซาฮาร่า",F9="สีดำซาฮาร่า"),VLOOKUP("B20050",ราคาสี!$A:$F,5,0),IF(F9="ลายไม้ stock",(VLOOKUP("B20050",ราคาสี!$A:$H,8,0)*mult_wood/mult_sms),IFERROR(VLOOKUP("B20050",ราคาสี!$A:$D,4,0),145)+IF(F9="สีอบพิเศษ",rate_special,rate_woodbake)*0.81))),150)</f>
        <v/>
      </c>
      <c r="D19" s="305">
        <f>B19*C19*mult_sms</f>
        <v/>
      </c>
    </row>
    <row r="20" ht="15" customHeight="1" s="129">
      <c r="A20" s="290" t="inlineStr">
        <is>
          <t>กระจก (ตร.ม.)</t>
        </is>
      </c>
      <c r="B20" s="314">
        <f>((B2/100)+(B4-1)*0.1)*(B3/100)</f>
        <v/>
      </c>
      <c r="C20" s="315">
        <f>INDEX(ราคาวัสดุกลาง!$I$2:$I$106,MATCH(B9,ราคาวัสดุกลาง!$H$2:$H$106,0))</f>
        <v/>
      </c>
      <c r="D20" s="305">
        <f>B20*C20</f>
        <v/>
      </c>
    </row>
    <row r="21" ht="15" customHeight="1" s="129">
      <c r="A21" s="290" t="inlineStr">
        <is>
          <t>ล้อ 27 (2/บาน)</t>
        </is>
      </c>
      <c r="B21" s="314">
        <f>2*$F$2</f>
        <v/>
      </c>
      <c r="C21" s="315" t="n">
        <v>80</v>
      </c>
      <c r="D21" s="305">
        <f>B21*C21</f>
        <v/>
      </c>
    </row>
    <row r="22" ht="15" customHeight="1" s="129">
      <c r="A22" s="290" t="inlineStr">
        <is>
          <t>มือจับ Align (2/บาน)</t>
        </is>
      </c>
      <c r="B22" s="314">
        <f>2*$F$3</f>
        <v/>
      </c>
      <c r="C22" s="315" t="n">
        <v>99</v>
      </c>
      <c r="D22" s="305">
        <f>B22*C22</f>
        <v/>
      </c>
    </row>
    <row r="23" ht="15" customHeight="1" s="129">
      <c r="A23" s="290" t="inlineStr">
        <is>
          <t>ชุดล็อค</t>
        </is>
      </c>
      <c r="B23" s="314">
        <f>$F$4</f>
        <v/>
      </c>
      <c r="C23" s="315" t="n">
        <v>189</v>
      </c>
      <c r="D23" s="305">
        <f>B23*C23</f>
        <v/>
      </c>
    </row>
    <row r="24" ht="15" customHeight="1" s="129">
      <c r="A24" s="290" t="inlineStr">
        <is>
          <t>สักหลาด (ม.)</t>
        </is>
      </c>
      <c r="B24" s="314">
        <f>6*(B3/100)+9*(B2/100)+2*($F$5+$F$6)*(B3/100)</f>
        <v/>
      </c>
      <c r="C24" s="315" t="n">
        <v>1.5</v>
      </c>
      <c r="D24" s="305">
        <f>B24*C24</f>
        <v/>
      </c>
    </row>
    <row r="25" ht="15" customHeight="1" s="129">
      <c r="A25" s="290" t="inlineStr">
        <is>
          <t>น็อต</t>
        </is>
      </c>
      <c r="B25" s="314">
        <f>8+4*B4</f>
        <v/>
      </c>
      <c r="C25" s="315" t="n">
        <v>1</v>
      </c>
      <c r="D25" s="305">
        <f>B25*C25</f>
        <v/>
      </c>
    </row>
    <row r="26" ht="15" customHeight="1" s="129">
      <c r="A26" s="290" t="inlineStr">
        <is>
          <t>ซิลิโคน (หลอด) ใน+นอก</t>
        </is>
      </c>
      <c r="B26" s="314">
        <f>ROUNDUP(2*((B2/100)+(B3/100))*2/12.5,0)</f>
        <v/>
      </c>
      <c r="C26" s="315">
        <f>B8</f>
        <v/>
      </c>
      <c r="D26" s="305">
        <f>B26*C26</f>
        <v/>
      </c>
    </row>
    <row r="27" ht="15" customHeight="1" s="129">
      <c r="A27" s="316" t="inlineStr">
        <is>
          <t>ค่าเปิดตู้อบ</t>
        </is>
      </c>
      <c r="B27" s="316">
        <f>IF(OR(F9="สีอบพิเศษ",F9="สีลายไม้อบพิเศษ"),1,0)</f>
        <v/>
      </c>
      <c r="C27" s="312" t="n">
        <v>2000</v>
      </c>
      <c r="D27" s="312">
        <f>B27*C27</f>
        <v/>
      </c>
      <c r="E27" s="316" t="inlineStr">
        <is>
          <t>สีอบพิเศษ / ลายไม้อบพิเศษ เท่านั้น</t>
        </is>
      </c>
    </row>
    <row r="28" ht="15" customHeight="1" s="129">
      <c r="A28" s="317" t="inlineStr">
        <is>
          <t>ทุนรวม</t>
        </is>
      </c>
      <c r="D28" s="318">
        <f>SUM(D11:D27)+D57+D36+D37+D38+D39</f>
        <v/>
      </c>
      <c r="F28" s="677" t="inlineStr">
        <is>
          <t>🔍 แยกก้อนต้นทุน</t>
        </is>
      </c>
    </row>
    <row r="29" ht="15" customHeight="1" s="129">
      <c r="A29" s="317" t="inlineStr">
        <is>
          <t>ทุน/ตร.ม.</t>
        </is>
      </c>
      <c r="D29" s="318">
        <f>IFERROR(D28/B6,0)</f>
        <v/>
      </c>
      <c r="F29" s="658" t="inlineStr">
        <is>
          <t>ทุนอลู (×ราคา/กก.)</t>
        </is>
      </c>
      <c r="G29" s="678">
        <f>SUM(D11:D19)</f>
        <v/>
      </c>
    </row>
    <row r="30" ht="15" customHeight="1" s="129">
      <c r="A30" s="319" t="inlineStr">
        <is>
          <t>ราคาขาย/ตร.ม. (ทุน+กำไร%)</t>
        </is>
      </c>
      <c r="D30" s="321">
        <f>ROUNDUP(D28*(1+B7/100)/100,0)*100</f>
        <v/>
      </c>
      <c r="F30" s="434" t="inlineStr">
        <is>
          <t>ทุนกระจก</t>
        </is>
      </c>
      <c r="G30" s="679">
        <f>D20</f>
        <v/>
      </c>
    </row>
    <row r="31" ht="15" customHeight="1" s="129">
      <c r="A31" s="322" t="inlineStr">
        <is>
          <t>%กำไรจริง</t>
        </is>
      </c>
      <c r="D31" s="323">
        <f>IFERROR((D30-D28)/D28,0)</f>
        <v/>
      </c>
      <c r="F31" s="434" t="inlineStr">
        <is>
          <t>ทุนอุปกรณ์+ซิลิโคน</t>
        </is>
      </c>
      <c r="G31" s="679">
        <f>SUM(D21:D27)</f>
        <v/>
      </c>
    </row>
    <row r="32" ht="15" customHeight="1" s="129">
      <c r="A32" s="331" t="inlineStr">
        <is>
          <t>ราคาขายรวม/ชุด</t>
        </is>
      </c>
      <c r="D32" s="284">
        <f>D30</f>
        <v/>
      </c>
      <c r="F32" s="434" t="inlineStr">
        <is>
          <t>รวมวัสดุ</t>
        </is>
      </c>
      <c r="G32" s="679">
        <f>SUM(G29:G31)</f>
        <v/>
      </c>
    </row>
    <row r="33">
      <c r="A33" s="532" t="inlineStr">
        <is>
          <t>— มุ้ง (ออปชั่น) — บวกเข้าทุน —</t>
        </is>
      </c>
      <c r="F33" s="680" t="inlineStr">
        <is>
          <t>อลูเท่านั้นที่ ×ราคา/กก. · กระจก/อุปกรณ์คงที่</t>
        </is>
      </c>
    </row>
    <row r="34" ht="15" customHeight="1" s="129">
      <c r="A34" s="219" t="inlineStr">
        <is>
          <t>เลือกมุ้ง →</t>
        </is>
      </c>
      <c r="B34" s="483" t="inlineStr">
        <is>
          <t>ไม่มีมุ้ง</t>
        </is>
      </c>
      <c r="C34" s="140">
        <f>IF(B34="ไม่มีมุ้ง","—",IF(H35=1,"✓ ใช้ได้","⚠ ใช้กับบานนี้ไม่ได้(ทุน=0)"))</f>
        <v/>
      </c>
      <c r="D34" s="140">
        <f>IF(B34="ไม่มีมุ้ง","",H40&amp;" บาน")</f>
        <v/>
      </c>
      <c r="H34" s="586">
        <f>IFERROR(VLOOKUP(B34,ราคามุ้ง!$A$2:$O$15,3,0),"")</f>
        <v/>
      </c>
    </row>
    <row r="35" ht="15" customHeight="1" s="129">
      <c r="A35" s="150" t="inlineStr">
        <is>
          <t>ชนิดผ้า / สี →</t>
        </is>
      </c>
      <c r="B35" s="483" t="inlineStr">
        <is>
          <t>ไฟเบอร์</t>
        </is>
      </c>
      <c r="C35" s="483" t="inlineStr">
        <is>
          <t>เทา</t>
        </is>
      </c>
      <c r="D35" s="424" t="n"/>
      <c r="H35" s="586">
        <f>IF(B34="ไม่มีมุ้ง",0,IF(OR(IFERROR(VLOOKUP(B34,ราคามุ้ง!$A$2:$O$15,4,0),"ALL")="ALL",ISNUMBER(SEARCH("SMS",IFERROR(VLOOKUP(B34,ราคามุ้ง!$A$2:$O$15,4,0),"")))),1,0))</f>
        <v/>
      </c>
    </row>
    <row r="36" ht="15" customHeight="1" s="129">
      <c r="A36" s="150" t="inlineStr">
        <is>
          <t>› เสา (เส้น 6ม.)</t>
        </is>
      </c>
      <c r="B36" s="590">
        <f>IF(AND(H35=1,H36=1),ROUND(H40*2*H39/6,2),0)</f>
        <v/>
      </c>
      <c r="C36" s="587">
        <f>IF(B34="มุ้งเฟรมเล็ก",'ราคามุ้ง'!$B$19,IF(B34="มุ้งเฟรมใหญ่",ROUND(C14*mult_sms,0),IF(B34="มุ้งนิรภัย",'ราคามุ้ง'!$B$21,0)))</f>
        <v/>
      </c>
      <c r="D36" s="424">
        <f>ROUND(B36*C36,0)</f>
        <v/>
      </c>
      <c r="H36" s="586">
        <f>IF(OR(B34="มุ้งเฟรมเล็ก",B34="มุ้งเฟรมใหญ่",B34="มุ้งนิรภัย"),1,0)</f>
        <v/>
      </c>
    </row>
    <row r="37" ht="15" customHeight="1" s="129">
      <c r="A37" s="150" t="inlineStr">
        <is>
          <t>› ขวาง (เส้น 6ม.)</t>
        </is>
      </c>
      <c r="B37" s="591">
        <f>IF(AND(H35=1,H36=1),ROUND(H40*2*H38/6,2),0)</f>
        <v/>
      </c>
      <c r="C37" s="587">
        <f>IF(B34="มุ้งเฟรมเล็ก",'ราคามุ้ง'!$B$19,IF(B34="มุ้งเฟรมใหญ่",ROUND(C14*mult_sms,0),IF(B34="มุ้งนิรภัย",'ราคามุ้ง'!$B$21,0)))</f>
        <v/>
      </c>
      <c r="D37" s="587">
        <f>ROUND(B37*C37,0)</f>
        <v/>
      </c>
      <c r="H37" s="586">
        <f>IFERROR(VLOOKUP(B35,ราคามุ้ง!$I$2:$J$5,2,0),0)</f>
        <v/>
      </c>
    </row>
    <row r="38" ht="15" customHeight="1" s="129">
      <c r="A38" s="219" t="inlineStr">
        <is>
          <t>› ยางอัด (ม.)</t>
        </is>
      </c>
      <c r="B38" s="592">
        <f>IF(AND(H35=1,H36=1),ROUND(H40*2*(H38+H39),2),0)</f>
        <v/>
      </c>
      <c r="C38" s="587">
        <f>'ราคามุ้ง'!$D$19</f>
        <v/>
      </c>
      <c r="D38" s="426">
        <f>ROUND(B38*C38,0)</f>
        <v/>
      </c>
      <c r="H38" s="593">
        <f>B2/(B4*100)</f>
        <v/>
      </c>
    </row>
    <row r="39" ht="15" customHeight="1" s="129">
      <c r="A39" s="219" t="inlineStr">
        <is>
          <t>› ผ้า / มุ้งสำเร็จ</t>
        </is>
      </c>
      <c r="B39" s="592">
        <f>IF(H35=0,0,ROUND(H40*H38*H39,2))</f>
        <v/>
      </c>
      <c r="C39" s="587">
        <f>IF(B34="มุ้งนิรภัย",650,IF(OR(B34="มุ้งเฟรมเล็ก",B34="มุ้งเฟรมใหญ่"),H37,IF(H34="ซื้อสำเร็จ",IFERROR(VLOOKUP(B34,ราคามุ้ง!$A$2:$O$15,2,0),0),0)))</f>
        <v/>
      </c>
      <c r="D39" s="426">
        <f>ROUND(B39*C39,0)</f>
        <v/>
      </c>
      <c r="H39" s="592">
        <f>B3/100</f>
        <v/>
      </c>
    </row>
    <row r="40" ht="15" customHeight="1" s="129">
      <c r="A40" s="219" t="inlineStr">
        <is>
          <t>› ค่าแรงผลิตมุ้ง</t>
        </is>
      </c>
      <c r="D40" s="426">
        <f>IF(H35=0,0,ROUND(H40*(VLOOKUP(B34,ราคามุ้ง!$A$2:$O$15,12,0)+VLOOKUP(B34,ราคามุ้ง!$A$2:$O$15,13,0)*H38*H39),0))</f>
        <v/>
      </c>
      <c r="H40" s="140">
        <f>IF(AND(B5="อิสระ",B4=2),1,F2)</f>
        <v/>
      </c>
    </row>
    <row r="41">
      <c r="A41" s="140" t="inlineStr">
        <is>
          <t>› ค่าแรงติดตั้งมุ้ง</t>
        </is>
      </c>
      <c r="C41" s="587" t="n"/>
      <c r="D41" s="587">
        <f>IF(H35=0,0,ROUND(H40*(VLOOKUP(B34,ราคามุ้ง!$A$2:$O$15,14,0)+VLOOKUP(B34,ราคามุ้ง!$A$2:$O$15,15,0)*H38*H39),0))</f>
        <v/>
      </c>
      <c r="E41" s="663" t="inlineStr">
        <is>
          <t>รวมมุ้ง →</t>
        </is>
      </c>
      <c r="F41" s="664">
        <f>SUM(D36:D41)</f>
        <v/>
      </c>
    </row>
    <row r="42">
      <c r="A42" s="276" t="inlineStr">
        <is>
          <t>— ผูกค่าแรง (ราคาขายรวมค่าแรง) —</t>
        </is>
      </c>
    </row>
    <row r="43">
      <c r="A43" s="324" t="inlineStr">
        <is>
          <t>ค่าแรงผลิต (จากชีทค่าแรง)</t>
        </is>
      </c>
      <c r="D43" s="277">
        <f>MAX(0,VLOOKUP("บานเลื่อน SMS",'ค่าแรง'!$A$12:$E$27,2,0)+VLOOKUP("บานเลื่อน SMS",'ค่าแรง'!$A$12:$E$27,3,0)*B6)</f>
        <v/>
      </c>
    </row>
    <row r="44">
      <c r="A44" s="324" t="inlineStr">
        <is>
          <t>ค่าแรงติดตั้ง (จากชีทค่าแรง)</t>
        </is>
      </c>
      <c r="D44" s="277">
        <f>MAX(0,VLOOKUP("บานเลื่อน SMS",'ค่าแรง'!$A$12:$E$27,4,0)+VLOOKUP("บานเลื่อน SMS",'ค่าแรง'!$A$12:$E$27,5,0)*B6)</f>
        <v/>
      </c>
    </row>
    <row r="45">
      <c r="A45" s="324" t="inlineStr">
        <is>
          <t>กำไรติดตั้ง % →</t>
        </is>
      </c>
      <c r="B45" s="278" t="n">
        <v>100</v>
      </c>
    </row>
    <row r="46">
      <c r="A46" s="276" t="inlineStr">
        <is>
          <t>ราคาขาย ผลิตอย่างเดียว</t>
        </is>
      </c>
      <c r="D46" s="279">
        <f>ROUNDUP((D28+D43+D40)*(1+B7/100)/100,0)*100</f>
        <v/>
      </c>
    </row>
    <row r="47">
      <c r="A47" s="276" t="inlineStr">
        <is>
          <t>ราคาขาย ผลิต+ติดตั้ง</t>
        </is>
      </c>
      <c r="D47" s="279">
        <f>D46+ROUNDUP((D44+D41)*(1+B45/100)/100,0)*100</f>
        <v/>
      </c>
    </row>
    <row r="48">
      <c r="A48" s="276" t="inlineStr">
        <is>
          <t>%กำไรจริง (ผลิต+ติดตั้ง)</t>
        </is>
      </c>
      <c r="D48" s="280">
        <f>(D47-(D28+D43+D44+D40+D41))/(D28+D43+D44+D40+D41)</f>
        <v/>
      </c>
    </row>
    <row r="50">
      <c r="A50" s="433" t="inlineStr">
        <is>
          <t>— ชุด auto (ออปชั่น) — บวกเข้าทุน × กำไ%</t>
        </is>
      </c>
      <c r="B50" s="434" t="n"/>
      <c r="C50" s="434" t="n"/>
      <c r="D50" s="434" t="n"/>
    </row>
    <row r="51">
      <c r="A51" s="134" t="inlineStr">
        <is>
          <t>ใส่ auto? →</t>
        </is>
      </c>
      <c r="B51" s="435" t="inlineStr">
        <is>
          <t>ไม่มี</t>
        </is>
      </c>
      <c r="C51" s="434" t="n"/>
      <c r="D51" s="434" t="n"/>
      <c r="F51" s="134" t="inlineStr">
        <is>
          <t>Evecca base</t>
        </is>
      </c>
      <c r="G51" s="134">
        <f>INDEX(ราคาออโต้!$C:$C,MATCH("Evecca (จีน)",ราคาออโต้!$B:$B,0))</f>
        <v/>
      </c>
    </row>
    <row r="52">
      <c r="A52" s="134" t="inlineStr">
        <is>
          <t>ชุด auto →</t>
        </is>
      </c>
      <c r="B52" s="435" t="inlineStr">
        <is>
          <t>Evecca (จีน)</t>
        </is>
      </c>
      <c r="C52" s="434" t="n"/>
      <c r="D52" s="434" t="n"/>
      <c r="F52" s="134" t="inlineStr">
        <is>
          <t>สายพาน/ม</t>
        </is>
      </c>
      <c r="G52" s="134">
        <f>INDEX(ราคาออโต้!$C:$C,MATCH("สายพาน Evecca",ราคาออโต้!$B:$B,0))</f>
        <v/>
      </c>
    </row>
    <row r="53">
      <c r="A53" s="134" t="inlineStr">
        <is>
          <t>ออป Smart lock (Evecca) →</t>
        </is>
      </c>
      <c r="B53" s="435" t="inlineStr">
        <is>
          <t>ไม่มี</t>
        </is>
      </c>
      <c r="C53" s="434" t="n"/>
      <c r="D53" s="434" t="n"/>
      <c r="F53" s="134" t="inlineStr">
        <is>
          <t>ส่ง Evecca</t>
        </is>
      </c>
      <c r="G53" s="134">
        <f>INDEX(ราคาออโต้!$D:$D,MATCH("Evecca (จีน)",ราคาออโต้!$B:$B,0))</f>
        <v/>
      </c>
    </row>
    <row r="54">
      <c r="A54" s="134" t="inlineStr">
        <is>
          <t>ออป Touch (ช่างแซก) →</t>
        </is>
      </c>
      <c r="B54" s="435" t="inlineStr">
        <is>
          <t>ไม่มี</t>
        </is>
      </c>
      <c r="C54" s="434" t="n"/>
      <c r="D54" s="434" t="n"/>
      <c r="F54" s="134" t="inlineStr">
        <is>
          <t>Smart lock</t>
        </is>
      </c>
      <c r="G54" s="134">
        <f>INDEX(ราคาออโต้!$C:$C,MATCH("ออป Smart lock",ราคาออโต้!$B:$B,0))</f>
        <v/>
      </c>
    </row>
    <row r="55">
      <c r="A55" s="134" t="inlineStr">
        <is>
          <t>ออป Infrared (ช่างแซก) →</t>
        </is>
      </c>
      <c r="B55" s="435" t="inlineStr">
        <is>
          <t>ไม่มี</t>
        </is>
      </c>
      <c r="C55" s="434" t="n"/>
      <c r="D55" s="434" t="n"/>
      <c r="F55" s="134" t="inlineStr">
        <is>
          <t>ช่างแซก base</t>
        </is>
      </c>
      <c r="G55" s="134">
        <f>INDEX(ราคาออโต้!$C:$C,MATCH("ช่างแซก",ราคาออโต้!$B:$B,0))</f>
        <v/>
      </c>
    </row>
    <row r="56">
      <c r="A56" s="434" t="n"/>
      <c r="B56" s="434" t="n"/>
      <c r="C56" s="434" t="n"/>
      <c r="D56" s="434" t="n"/>
      <c r="F56" s="134" t="inlineStr">
        <is>
          <t>เซฟตี้ตาแมว</t>
        </is>
      </c>
      <c r="G56" s="134">
        <f>INDEX(ราคาออโต้!$C:$C,MATCH("เซฟตี้ตาแมว (บังคับช่างแซก)",ราคาออโต้!$B:$B,0))</f>
        <v/>
      </c>
    </row>
    <row r="57">
      <c r="A57" s="436" t="inlineStr">
        <is>
          <t>ทุนชุด auto</t>
        </is>
      </c>
      <c r="B57" s="434" t="n"/>
      <c r="C57" s="434" t="n"/>
      <c r="D57" s="437">
        <f>IF(B51="ไม่มี",0,IF(B52="Evecca (จีน)",G51+ROUND(G52*B2*2/100,0)+G53+IF(B53="มี",G54,0),(G55+G56+ROUND(G57*B2/100,0)+IF(B54="มี",G58,0)+IF(B55="มี",G59,0))*IF(B5="เปิดคู่กลาง",1,MIN(B4,3))))</f>
        <v/>
      </c>
      <c r="F57" s="134" t="inlineStr">
        <is>
          <t>ราง/ม</t>
        </is>
      </c>
      <c r="G57" s="134">
        <f>INDEX(ราคาออโต้!$C:$C,MATCH("ราง ช่างแซก",ราคาออโต้!$B:$B,0))</f>
        <v/>
      </c>
    </row>
    <row r="58">
      <c r="F58" s="134" t="inlineStr">
        <is>
          <t>Touch</t>
        </is>
      </c>
      <c r="G58" s="134">
        <f>INDEX(ราคาออโต้!$C:$C,MATCH("ออป Touch Switch (ช่างแซก)",ราคาออโต้!$B:$B,0))</f>
        <v/>
      </c>
    </row>
    <row r="59">
      <c r="F59" s="134" t="inlineStr">
        <is>
          <t>Infrared</t>
        </is>
      </c>
      <c r="G59" s="134">
        <f>INDEX(ราคาออโต้!$C:$C,MATCH("ออป Infrared (ช่างแซก)",ราคาออโต้!$B:$B,0))</f>
        <v/>
      </c>
    </row>
  </sheetData>
  <mergeCells count="1">
    <mergeCell ref="A1:D1"/>
  </mergeCells>
  <dataValidations count="12">
    <dataValidation sqref="B5" showDropDown="0" showInputMessage="0" showErrorMessage="0" allowBlank="0" type="list" errorStyle="stop" operator="between">
      <formula1>"อิสระ,ลากจูง,เปิดคู่กลาง"</formula1>
      <formula2>0</formula2>
    </dataValidation>
    <dataValidation sqref="B9" showDropDown="0" showInputMessage="0" showErrorMessage="0" allowBlank="0" type="list" errorStyle="stop" operator="between">
      <formula1>GlassNames</formula1>
      <formula2>0</formula2>
    </dataValidation>
    <dataValidation sqref="F9" showDropDown="0" showInputMessage="0" showErrorMessage="0" allowBlank="0" type="list" errorStyle="stop" operator="between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sqref="F7" showDropDown="0" showInputMessage="0" showErrorMessage="0" allowBlank="0" type="list" errorStyle="stop" operator="between">
      <formula1>"ภายนอก,ภายใน"</formula1>
      <formula2>0</formula2>
    </dataValidation>
    <dataValidation sqref="B51" showDropDown="0" showInputMessage="0" showErrorMessage="0" allowBlank="1" type="list">
      <formula1>"มี,ไม่มี"</formula1>
    </dataValidation>
    <dataValidation sqref="B52" showDropDown="0" showInputMessage="0" showErrorMessage="0" allowBlank="1" type="list">
      <formula1>"Evecca (จีน),ช่างแซก"</formula1>
    </dataValidation>
    <dataValidation sqref="B53" showDropDown="0" showInputMessage="0" showErrorMessage="0" allowBlank="1" type="list">
      <formula1>"มี,ไม่มี"</formula1>
    </dataValidation>
    <dataValidation sqref="B54" showDropDown="0" showInputMessage="0" showErrorMessage="0" allowBlank="1" type="list">
      <formula1>"มี,ไม่มี"</formula1>
    </dataValidation>
    <dataValidation sqref="B55" showDropDown="0" showInputMessage="0" showErrorMessage="0" allowBlank="1" type="list">
      <formula1>"มี,ไม่มี"</formula1>
    </dataValidation>
    <dataValidation sqref="B34" showDropDown="0" showInputMessage="0" showErrorMessage="0" allowBlank="1" type="list">
      <formula1>MungList</formula1>
    </dataValidation>
    <dataValidation sqref="B35" showDropDown="0" showInputMessage="0" showErrorMessage="0" allowBlank="1" type="list">
      <formula1>ClothList</formula1>
    </dataValidation>
    <dataValidation sqref="C35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8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2.8" customWidth="1" style="140" min="2" max="2"/>
    <col width="10.7" customWidth="1" style="140" min="3" max="3"/>
    <col width="24" customWidth="1" style="140" min="4" max="5"/>
    <col width="24" customWidth="1" style="129" min="5" max="5"/>
    <col width="12.8" customWidth="1" style="140" min="6" max="6"/>
    <col width="8.6" customWidth="1" style="129" min="7" max="7"/>
    <col width="4.5" customWidth="1" style="129" min="8" max="8"/>
  </cols>
  <sheetData>
    <row r="1" ht="24" customHeight="1" s="129">
      <c r="A1" s="286" t="inlineStr">
        <is>
          <t>คิดทุนบานเลื่อนยูโร — เลือกรูปแบบ + อุปกรณ์แยกชิ้น</t>
        </is>
      </c>
      <c r="E1" s="643" t="n"/>
      <c r="G1" s="753" t="inlineStr">
        <is>
          <t>🏠 สารบัญ</t>
        </is>
      </c>
      <c r="H1" s="754" t="n"/>
    </row>
    <row r="2" ht="15" customHeight="1" s="129">
      <c r="A2" s="288" t="inlineStr">
        <is>
          <t>กว้างรวม (ซม.) →</t>
        </is>
      </c>
      <c r="B2" s="289" t="n">
        <v>600</v>
      </c>
      <c r="E2" s="310" t="inlineStr">
        <is>
          <t>เลื่อน(ล้อ)=</t>
        </is>
      </c>
      <c r="F2" s="336">
        <f>IF(B5="อิสระ",B4,IF(B5="ลากจูง",B4-1,B4-2))</f>
        <v/>
      </c>
    </row>
    <row r="3" ht="15" customHeight="1" s="129">
      <c r="A3" s="288" t="inlineStr">
        <is>
          <t>สูง (ซม.) →</t>
        </is>
      </c>
      <c r="B3" s="289" t="n">
        <v>300</v>
      </c>
      <c r="E3" s="310" t="inlineStr">
        <is>
          <t>มือจับบาน=</t>
        </is>
      </c>
      <c r="F3" s="336">
        <f>IF(B5="ลากจูง",1,2)</f>
        <v/>
      </c>
    </row>
    <row r="4" ht="15" customHeight="1" s="129">
      <c r="A4" s="288" t="inlineStr">
        <is>
          <t>จำนวนบาน →</t>
        </is>
      </c>
      <c r="B4" s="289" t="n">
        <v>3</v>
      </c>
      <c r="E4" s="310" t="inlineStr">
        <is>
          <t>ล็อคบาน=</t>
        </is>
      </c>
      <c r="F4" s="336">
        <f>IF(B5="อิสระ",2,1)</f>
        <v/>
      </c>
    </row>
    <row r="5" ht="15" customHeight="1" s="129">
      <c r="A5" s="288" t="inlineStr">
        <is>
          <t>รูปแบบ → (อิสระ/ลากจูง/เปิดคู่กลาง)</t>
        </is>
      </c>
      <c r="B5" s="301" t="inlineStr">
        <is>
          <t>อิสระ</t>
        </is>
      </c>
      <c r="E5" s="310" t="inlineStr">
        <is>
          <t>เสากุญแจ=</t>
        </is>
      </c>
      <c r="F5" s="336">
        <f>IF(B5="เปิดคู่กลาง",4,2)</f>
        <v/>
      </c>
    </row>
    <row r="6" ht="15" customHeight="1" s="129">
      <c r="A6" s="310" t="inlineStr">
        <is>
          <t>พื้นที่ (ตร.ม.) =</t>
        </is>
      </c>
      <c r="B6" s="311">
        <f>(B2/100)*(B3/100)</f>
        <v/>
      </c>
      <c r="E6" s="310" t="inlineStr">
        <is>
          <t>รอยต่อ=</t>
        </is>
      </c>
      <c r="F6" s="336">
        <f>IF(B5="เปิดคู่กลาง",B4-2,B4-1)</f>
        <v/>
      </c>
    </row>
    <row r="7" ht="15" customHeight="1" s="129">
      <c r="A7" s="288" t="inlineStr">
        <is>
          <t>บวกกำไร % →</t>
        </is>
      </c>
      <c r="B7" s="301" t="n">
        <v>100</v>
      </c>
      <c r="E7" s="287" t="inlineStr">
        <is>
          <t>รางล่าง →</t>
        </is>
      </c>
      <c r="F7" s="283" t="inlineStr">
        <is>
          <t>ภายนอก</t>
        </is>
      </c>
    </row>
    <row r="8" ht="15" customHeight="1" s="129">
      <c r="A8" s="288" t="inlineStr">
        <is>
          <t>ราคาซิลิโคน/หลอด →</t>
        </is>
      </c>
      <c r="B8" s="289" t="n">
        <v>90</v>
      </c>
    </row>
    <row r="9" ht="15" customHeight="1" s="129">
      <c r="A9" s="287" t="inlineStr">
        <is>
          <t>กระจก →</t>
        </is>
      </c>
      <c r="B9" s="283" t="inlineStr">
        <is>
          <t>เขียว 6มม.</t>
        </is>
      </c>
      <c r="C9" s="312">
        <f>INDEX(ราคาวัสดุกลาง!$I$2:$I$106,MATCH(B9,ราคาวัสดุกลาง!$H$2:$H$106,0))</f>
        <v/>
      </c>
      <c r="D9" s="287" t="inlineStr">
        <is>
          <t>← ราคากระจก/ตร.ม. (อัตโนมัติ)</t>
        </is>
      </c>
      <c r="E9" s="287" t="inlineStr">
        <is>
          <t>สี →</t>
        </is>
      </c>
      <c r="F9" s="283" t="inlineStr">
        <is>
          <t>สีอบขาว/ดำ</t>
        </is>
      </c>
      <c r="G9" s="287" t="n"/>
    </row>
    <row r="10" ht="23.25" customHeight="1" s="129">
      <c r="A10" s="313" t="inlineStr">
        <is>
          <t>วัสดุ</t>
        </is>
      </c>
      <c r="B10" s="313" t="inlineStr">
        <is>
          <t>จำนวน</t>
        </is>
      </c>
      <c r="C10" s="313" t="inlineStr">
        <is>
          <t>ราคา/หน่วย</t>
        </is>
      </c>
      <c r="D10" s="313" t="inlineStr">
        <is>
          <t>ทุน(บาท)</t>
        </is>
      </c>
    </row>
    <row r="11" ht="15" customHeight="1" s="129">
      <c r="A11" s="290" t="inlineStr">
        <is>
          <t>กรอบบาน (รอบ)</t>
        </is>
      </c>
      <c r="B11" s="314">
        <f>((2*(B3/100)*B4+2*(B2/100))/6.4)*buf_scrap</f>
        <v/>
      </c>
      <c r="C11" s="315">
        <f>IF(F9="สีอบขาว/ดำ",IFERROR(VLOOKUP("F7980",ราคาสี!$A:$D,4,0),1445),IF(OR(F9="เทาซาฮาร่า",F9="สีดำซาฮาร่า"),VLOOKUP("F7980",ราคาสี!$A:$F,5,0),IF(F9="แอทแทคเกรย์",VLOOKUP("F7980",ราคาสี!$A:$J,7,0),IF(F9="ลายไม้สักทอง",(VLOOKUP("F7980",ราคาสี!$A:$H,8,0)*mult_wood/mult_euro),IF(F9="ลายไม้มะฮอกกานี",(VLOOKUP("F7980",ราคาสี!$A:$J,9,0)*mult_wood/mult_euro),IF(F9="ลายไม้ไวท์โอ๊ค",(VLOOKUP("F7980",ราคาสี!$A:$J,10,0)*mult_wood/mult_euro),IFERROR(VLOOKUP("F7980",ราคาสี!$A:$D,4,0),1445)+IF(F9="สีอบพิเศษ",rate_special,rate_woodbake)*7.81081))))))</f>
        <v/>
      </c>
      <c r="D11" s="305">
        <f>B11*C11*mult_euro</f>
        <v/>
      </c>
    </row>
    <row r="12" ht="15" customHeight="1" s="129">
      <c r="A12" s="290" t="inlineStr">
        <is>
          <t>คิ้วกระจก</t>
        </is>
      </c>
      <c r="B12" s="314">
        <f>((2*(B3/100)*B4+2*(B2/100))/6.4)*buf_scrap</f>
        <v/>
      </c>
      <c r="C12" s="315">
        <f>IF(F9="สีอบขาว/ดำ",IFERROR(VLOOKUP("F7919",ราคาสี!$A:$D,4,0),200),IF(OR(F9="เทาซาฮาร่า",F9="สีดำซาฮาร่า"),VLOOKUP("F7919",ราคาสี!$A:$F,5,0),IF(F9="แอทแทคเกรย์",VLOOKUP("F7919",ราคาสี!$A:$J,7,0),IF(F9="ลายไม้สักทอง",(VLOOKUP("F7919",ราคาสี!$A:$H,8,0)*mult_wood/mult_euro),IF(F9="ลายไม้มะฮอกกานี",(VLOOKUP("F7919",ราคาสี!$A:$J,9,0)*mult_wood/mult_euro),IF(F9="ลายไม้ไวท์โอ๊ค",(VLOOKUP("F7919",ราคาสี!$A:$J,10,0)*mult_wood/mult_euro),IFERROR(VLOOKUP("F7919",ราคาสี!$A:$D,4,0),200)+IF(F9="สีอบพิเศษ",rate_special,rate_woodbake)*1.08108))))))</f>
        <v/>
      </c>
      <c r="D12" s="305">
        <f>B12*C12*mult_euro</f>
        <v/>
      </c>
    </row>
    <row r="13" ht="15" customHeight="1" s="129">
      <c r="A13" s="290" t="inlineStr">
        <is>
          <t>เฟรมบน+ล่างนอก (F7869 ตัดรวม)</t>
        </is>
      </c>
      <c r="B13" s="314">
        <f>((2*(B2/100))/6.4)*buf_scrap</f>
        <v/>
      </c>
      <c r="C13" s="315">
        <f>IF(F9="สีอบขาว/ดำ",IFERROR(VLOOKUP("F7869",ราคาสี!$A:$D,4,0),2615),IF(OR(F9="เทาซาฮาร่า",F9="สีดำซาฮาร่า"),VLOOKUP("F7869",ราคาสี!$A:$F,5,0),IF(F9="แอทแทคเกรย์",VLOOKUP("F7869",ราคาสี!$A:$J,7,0),IF(F9="ลายไม้สักทอง",(VLOOKUP("F7869",ราคาสี!$A:$H,8,0)*mult_wood/mult_euro),IF(F9="ลายไม้มะฮอกกานี",(VLOOKUP("F7869",ราคาสี!$A:$J,9,0)*mult_wood/mult_euro),IF(F9="ลายไม้ไวท์โอ๊ค",(VLOOKUP("F7869",ราคาสี!$A:$J,10,0)*mult_wood/mult_euro),IFERROR(VLOOKUP("F7869",ราคาสี!$A:$D,4,0),2615)+IF(F9="สีอบพิเศษ",rate_special,rate_woodbake)*14.13514))))))</f>
        <v/>
      </c>
      <c r="D13" s="305">
        <f>B13*C13*mult_euro</f>
        <v/>
      </c>
    </row>
    <row r="14" ht="15" customHeight="1" s="129">
      <c r="A14" s="290" t="inlineStr">
        <is>
          <t>└ รวมกับเฟรมบนแล้ว</t>
        </is>
      </c>
      <c r="B14" s="314" t="n">
        <v>0</v>
      </c>
      <c r="C14" s="315">
        <f>IF(F9="สีอบขาว/ดำ",IFERROR(VLOOKUP("F7869",ราคาสี!$A:$D,4,0),2615),IF(OR(F9="เทาซาฮาร่า",F9="สีดำซาฮาร่า"),VLOOKUP("F7869",ราคาสี!$A:$F,5,0),IF(F9="แอทแทคเกรย์",VLOOKUP("F7869",ราคาสี!$A:$J,7,0),IF(F9="ลายไม้สักทอง",(VLOOKUP("F7869",ราคาสี!$A:$H,8,0)*mult_wood/mult_euro),IF(F9="ลายไม้มะฮอกกานี",(VLOOKUP("F7869",ราคาสี!$A:$J,9,0)*mult_wood/mult_euro),IF(F9="ลายไม้ไวท์โอ๊ค",(VLOOKUP("F7869",ราคาสี!$A:$J,10,0)*mult_wood/mult_euro),IFERROR(VLOOKUP("F7869",ราคาสี!$A:$D,4,0),2615)+IF(F9="สีอบพิเศษ",rate_special,rate_woodbake)*14.13514))))))</f>
        <v/>
      </c>
      <c r="D14" s="305">
        <f>B14*C14*mult_euro</f>
        <v/>
      </c>
    </row>
    <row r="15" ht="15" customHeight="1" s="129">
      <c r="A15" s="290" t="inlineStr">
        <is>
          <t>เฟรมข้าง</t>
        </is>
      </c>
      <c r="B15" s="314">
        <f>(2*(B3/100)/6.4)*buf_scrap</f>
        <v/>
      </c>
      <c r="C15" s="315">
        <f>IF(F9="สีอบขาว/ดำ",IFERROR(VLOOKUP("F7978",ราคาสี!$A:$D,4,0),935),IF(OR(F9="เทาซาฮาร่า",F9="สีดำซาฮาร่า"),VLOOKUP("F7978",ราคาสี!$A:$F,5,0),IF(F9="แอทแทคเกรย์",VLOOKUP("F7978",ราคาสี!$A:$J,7,0),IF(F9="ลายไม้สักทอง",(VLOOKUP("F7978",ราคาสี!$A:$H,8,0)*mult_wood/mult_euro),IF(F9="ลายไม้มะฮอกกานี",(VLOOKUP("F7978",ราคาสี!$A:$J,9,0)*mult_wood/mult_euro),IF(F9="ลายไม้ไวท์โอ๊ค",(VLOOKUP("F7978",ราคาสี!$A:$J,10,0)*mult_wood/mult_euro),IFERROR(VLOOKUP("F7978",ราคาสี!$A:$D,4,0),935)+IF(F9="สีอบพิเศษ",rate_special,rate_woodbake)*5.05405))))))</f>
        <v/>
      </c>
      <c r="D15" s="305">
        <f>B15*C15*mult_euro</f>
        <v/>
      </c>
    </row>
    <row r="16" ht="15" customHeight="1" s="129">
      <c r="A16" s="290" t="inlineStr">
        <is>
          <t>เดือย</t>
        </is>
      </c>
      <c r="B16" s="314">
        <f>1</f>
        <v/>
      </c>
      <c r="C16" s="315">
        <f>IF(F9="สีอบขาว/ดำ",IFERROR(VLOOKUP("F7986",ราคาสี!$A:$D,4,0),285),IF(OR(F9="เทาซาฮาร่า",F9="สีดำซาฮาร่า"),VLOOKUP("F7986",ราคาสี!$A:$F,5,0),IF(F9="แอทแทคเกรย์",VLOOKUP("F7986",ราคาสี!$A:$J,7,0),IF(F9="ลายไม้สักทอง",(VLOOKUP("F7986",ราคาสี!$A:$H,8,0)*mult_wood/mult_euro),IF(F9="ลายไม้มะฮอกกานี",(VLOOKUP("F7986",ราคาสี!$A:$J,9,0)*mult_wood/mult_euro),IF(F9="ลายไม้ไวท์โอ๊ค",(VLOOKUP("F7986",ราคาสี!$A:$J,10,0)*mult_wood/mult_euro),IFERROR(VLOOKUP("F7986",ราคาสี!$A:$D,4,0),285)+IF(F9="สีอบพิเศษ",rate_special,rate_woodbake)*1.54054))))))</f>
        <v/>
      </c>
      <c r="D16" s="305">
        <f>B16*C16*mult_euro</f>
        <v/>
      </c>
    </row>
    <row r="17" ht="15" customHeight="1" s="129">
      <c r="A17" s="290" t="inlineStr">
        <is>
          <t>ตบเกี่ยว</t>
        </is>
      </c>
      <c r="B17" s="314">
        <f>IF(B5="เปิดคู่กลาง",2,B4-1)</f>
        <v/>
      </c>
      <c r="C17" s="315">
        <f>IF(F9="สีอบขาว/ดำ",IFERROR(VLOOKUP("F7983",ราคาสี!$A:$D,4,0),465),IF(OR(F9="เทาซาฮาร่า",F9="สีดำซาฮาร่า"),VLOOKUP("F7983",ราคาสี!$A:$F,5,0),IF(F9="แอทแทคเกรย์",VLOOKUP("F7983",ราคาสี!$A:$J,7,0),IF(F9="ลายไม้สักทอง",(VLOOKUP("F7983",ราคาสี!$A:$H,8,0)*mult_wood/mult_euro),IF(F9="ลายไม้มะฮอกกานี",(VLOOKUP("F7983",ราคาสี!$A:$J,9,0)*mult_wood/mult_euro),IF(F9="ลายไม้ไวท์โอ๊ค",(VLOOKUP("F7983",ราคาสี!$A:$J,10,0)*mult_wood/mult_euro),IFERROR(VLOOKUP("F7983",ราคาสี!$A:$D,4,0),465)+IF(F9="สีอบพิเศษ",rate_special,rate_woodbake)*2.51351))))))</f>
        <v/>
      </c>
      <c r="D17" s="305">
        <f>B17*C17*mult_euro</f>
        <v/>
      </c>
    </row>
    <row r="18" ht="15" customHeight="1" s="129">
      <c r="A18" s="290" t="inlineStr">
        <is>
          <t>โหนกเกี่ยว(≥3ม.)</t>
        </is>
      </c>
      <c r="B18" s="314">
        <f>IF((B3/100)&gt;=3,$F$6,0)</f>
        <v/>
      </c>
      <c r="C18" s="315">
        <f>IF(F9="สีอบขาว/ดำ",IFERROR(VLOOKUP("F7951",ราคาสี!$A:$D,4,0),2020),IF(OR(F9="เทาซาฮาร่า",F9="สีดำซาฮาร่า"),VLOOKUP("F7951",ราคาสี!$A:$F,5,0),IF(F9="แอทแทคเกรย์",VLOOKUP("F7951",ราคาสี!$A:$J,7,0),IF(F9="ลายไม้สักทอง",(VLOOKUP("F7951",ราคาสี!$A:$H,8,0)*mult_wood/mult_euro),IF(F9="ลายไม้มะฮอกกานี",(VLOOKUP("F7951",ราคาสี!$A:$J,9,0)*mult_wood/mult_euro),IF(F9="ลายไม้ไวท์โอ๊ค",(VLOOKUP("F7951",ราคาสี!$A:$J,10,0)*mult_wood/mult_euro),IFERROR(VLOOKUP("F7951",ราคาสี!$A:$D,4,0),2020)+IF(F9="สีอบพิเศษ",rate_special,rate_woodbake)*10.91892))))))</f>
        <v/>
      </c>
      <c r="D18" s="305">
        <f>B18*C18*mult_euro</f>
        <v/>
      </c>
    </row>
    <row r="19" ht="15" customHeight="1" s="129">
      <c r="A19" s="290" t="inlineStr">
        <is>
          <t>ตบปิดน๊อต F7988</t>
        </is>
      </c>
      <c r="B19" s="314">
        <f>2*MAX(B4-1,0)</f>
        <v/>
      </c>
      <c r="C19" s="315">
        <f>IF(F9="สีอบขาว/ดำ",IFERROR(VLOOKUP("F7988",ราคาสี!$A:$D,4,0),120),IF(OR(F9="เทาซาฮาร่า",F9="สีดำซาฮาร่า"),VLOOKUP("F7988",ราคาสี!$A:$F,5,0),IF(F9="แอทแทคเกรย์",VLOOKUP("F7988",ราคาสี!$A:$J,7,0),IF(F9="ลายไม้สักทอง",(VLOOKUP("F7988",ราคาสี!$A:$H,8,0)*mult_wood/mult_euro),IF(F9="ลายไม้มะฮอกกานี",(VLOOKUP("F7988",ราคาสี!$A:$J,9,0)*mult_wood/mult_euro),IF(F9="ลายไม้ไวท์โอ๊ค",(VLOOKUP("F7988",ราคาสี!$A:$J,10,0)*mult_wood/mult_euro),IFERROR(VLOOKUP("F7988",ราคาสี!$A:$D,4,0),120)+IF(F9="สีอบพิเศษ",rate_special,rate_woodbake)*0.66667))))))</f>
        <v/>
      </c>
      <c r="D19" s="305">
        <f>B19*C19*mult_euro</f>
        <v/>
      </c>
    </row>
    <row r="20" ht="15" customHeight="1" s="129">
      <c r="A20" s="290" t="inlineStr">
        <is>
          <t>ตบปิดราง F7993</t>
        </is>
      </c>
      <c r="B20" s="314">
        <f>($F$2*(B2/100)/6.4)*buf_scrap</f>
        <v/>
      </c>
      <c r="C20" s="315">
        <f>IF(F9="สีอบขาว/ดำ",IFERROR(VLOOKUP("F7993",ราคาสี!$A:$D,4,0),120),IF(OR(F9="เทาซาฮาร่า",F9="สีดำซาฮาร่า"),VLOOKUP("F7993",ราคาสี!$A:$F,5,0),IF(F9="แอทแทคเกรย์",VLOOKUP("F7993",ราคาสี!$A:$J,7,0),IF(F9="ลายไม้สักทอง",(VLOOKUP("F7993",ราคาสี!$A:$H,8,0)*mult_wood/mult_euro),IF(F9="ลายไม้มะฮอกกานี",(VLOOKUP("F7993",ราคาสี!$A:$J,9,0)*mult_wood/mult_euro),IF(F9="ลายไม้ไวท์โอ๊ค",(VLOOKUP("F7993",ราคาสี!$A:$J,10,0)*mult_wood/mult_euro),IFERROR(VLOOKUP("F7993",ราคาสี!$A:$D,4,0),120)+IF(F9="สีอบพิเศษ",rate_special,rate_woodbake)*0.66667))))))</f>
        <v/>
      </c>
      <c r="D20" s="305">
        <f>B20*C20*mult_euro</f>
        <v/>
      </c>
    </row>
    <row r="21" ht="15" customHeight="1" s="129">
      <c r="A21" s="290" t="inlineStr">
        <is>
          <t>ตบราง F7994</t>
        </is>
      </c>
      <c r="B21" s="314">
        <f>($F$2*(B2/100)/6.4)*buf_scrap</f>
        <v/>
      </c>
      <c r="C21" s="315">
        <f>IF(F9="สีอบขาว/ดำ",IFERROR(VLOOKUP("F7994",ราคาสี!$A:$D,4,0),150),IF(OR(F9="เทาซาฮาร่า",F9="สีดำซาฮาร่า"),VLOOKUP("F7994",ราคาสี!$A:$F,5,0),IF(F9="แอทแทคเกรย์",VLOOKUP("F7994",ราคาสี!$A:$J,7,0),IF(F9="ลายไม้สักทอง",(VLOOKUP("F7994",ราคาสี!$A:$H,8,0)*mult_wood/mult_euro),IF(F9="ลายไม้มะฮอกกานี",(VLOOKUP("F7994",ราคาสี!$A:$J,9,0)*mult_wood/mult_euro),IF(F9="ลายไม้ไวท์โอ๊ค",(VLOOKUP("F7994",ราคาสี!$A:$J,10,0)*mult_wood/mult_euro),IFERROR(VLOOKUP("F7994",ราคาสี!$A:$D,4,0),150)+IF(F9="สีอบพิเศษ",rate_special,rate_woodbake)*0.83333))))))</f>
        <v/>
      </c>
      <c r="D21" s="305">
        <f>B21*C21*mult_euro</f>
        <v/>
      </c>
    </row>
    <row r="22" ht="15" customHeight="1" s="129">
      <c r="A22" s="290" t="inlineStr">
        <is>
          <t>ตบปิดร่องบน</t>
        </is>
      </c>
      <c r="B22" s="314">
        <f>1</f>
        <v/>
      </c>
      <c r="C22" s="315">
        <f>IF(F9="สีอบขาว/ดำ",IFERROR(VLOOKUP("F7992",ราคาสี!$A:$D,4,0),505),IF(OR(F9="เทาซาฮาร่า",F9="สีดำซาฮาร่า"),VLOOKUP("F7992",ราคาสี!$A:$F,5,0),IF(F9="แอทแทคเกรย์",VLOOKUP("F7992",ราคาสี!$A:$J,7,0),IF(F9="ลายไม้สักทอง",(VLOOKUP("F7992",ราคาสี!$A:$H,8,0)*mult_wood/mult_euro),IF(F9="ลายไม้มะฮอกกานี",(VLOOKUP("F7992",ราคาสี!$A:$J,9,0)*mult_wood/mult_euro),IF(F9="ลายไม้ไวท์โอ๊ค",(VLOOKUP("F7992",ราคาสี!$A:$J,10,0)*mult_wood/mult_euro),IFERROR(VLOOKUP("F7992",ราคาสี!$A:$D,4,0),505)+IF(F9="สีอบพิเศษ",rate_special,rate_woodbake)*2.72973))))))</f>
        <v/>
      </c>
      <c r="D22" s="305">
        <f>B22*C22*mult_euro</f>
        <v/>
      </c>
    </row>
    <row r="23" ht="15" customHeight="1" s="129">
      <c r="A23" s="290" t="inlineStr">
        <is>
          <t>ชนกลาง(เปิดคู่กลาง)</t>
        </is>
      </c>
      <c r="B23" s="314">
        <f>IF(B5="เปิดคู่กลาง",1,0)</f>
        <v/>
      </c>
      <c r="C23" s="315">
        <f>IF(F9="สีอบขาว/ดำ",IFERROR(VLOOKUP("F7855",ราคาสี!$A:$D,4,0),1230),IF(OR(F9="เทาซาฮาร่า",F9="สีดำซาฮาร่า"),VLOOKUP("F7855",ราคาสี!$A:$F,5,0),IF(F9="แอทแทคเกรย์",VLOOKUP("F7855",ราคาสี!$A:$J,7,0),IF(F9="ลายไม้สักทอง",(VLOOKUP("F7855",ราคาสี!$A:$H,8,0)*mult_wood/mult_euro),IF(F9="ลายไม้มะฮอกกานี",(VLOOKUP("F7855",ราคาสี!$A:$J,9,0)*mult_wood/mult_euro),IF(F9="ลายไม้ไวท์โอ๊ค",(VLOOKUP("F7855",ราคาสี!$A:$J,10,0)*mult_wood/mult_euro),IFERROR(VLOOKUP("F7855",ราคาสี!$A:$D,4,0),1230)+IF(F9="สีอบพิเศษ",rate_special,rate_woodbake)*6.64865))))))</f>
        <v/>
      </c>
      <c r="D23" s="305">
        <f>B23*C23*mult_euro</f>
        <v/>
      </c>
    </row>
    <row r="24" ht="15" customHeight="1" s="129">
      <c r="A24" s="290" t="inlineStr">
        <is>
          <t>ตบปิดเฟรมร่องใน</t>
        </is>
      </c>
      <c r="B24" s="314">
        <f>IF(B5="เปิดคู่กลาง",2,0)</f>
        <v/>
      </c>
      <c r="C24" s="315">
        <f>IF(F9="สีอบขาว/ดำ",IFERROR(VLOOKUP("F7880",ราคาสี!$A:$D,4,0),345),IF(OR(F9="เทาซาฮาร่า",F9="สีดำซาฮาร่า"),VLOOKUP("F7880",ราคาสี!$A:$F,5,0),IF(F9="แอทแทคเกรย์",VLOOKUP("F7880",ราคาสี!$A:$J,7,0),IF(F9="ลายไม้สักทอง",(VLOOKUP("F7880",ราคาสี!$A:$H,8,0)*mult_wood/mult_euro),IF(F9="ลายไม้มะฮอกกานี",(VLOOKUP("F7880",ราคาสี!$A:$J,9,0)*mult_wood/mult_euro),IF(F9="ลายไม้ไวท์โอ๊ค",(VLOOKUP("F7880",ราคาสี!$A:$J,10,0)*mult_wood/mult_euro),IFERROR(VLOOKUP("F7880",ราคาสี!$A:$D,4,0),345)+IF(F9="สีอบพิเศษ",rate_special,rate_woodbake)*1.86486))))))</f>
        <v/>
      </c>
      <c r="D24" s="305">
        <f>B24*C24*mult_euro</f>
        <v/>
      </c>
    </row>
    <row r="25" ht="15" customHeight="1" s="129">
      <c r="A25" s="290" t="inlineStr">
        <is>
          <t>ตบปิดเฟรมร่องกลาง</t>
        </is>
      </c>
      <c r="B25" s="314">
        <f>IF(B5="เปิดคู่กลาง",2,0)</f>
        <v/>
      </c>
      <c r="C25" s="315">
        <f>IF(F9="สีอบขาว/ดำ",IFERROR(VLOOKUP("F7879",ราคาสี!$A:$D,4,0),355),IF(OR(F9="เทาซาฮาร่า",F9="สีดำซาฮาร่า"),VLOOKUP("F7879",ราคาสี!$A:$F,5,0),IF(F9="แอทแทคเกรย์",VLOOKUP("F7879",ราคาสี!$A:$J,7,0),IF(F9="ลายไม้สักทอง",(VLOOKUP("F7879",ราคาสี!$A:$H,8,0)*mult_wood/mult_euro),IF(F9="ลายไม้มะฮอกกานี",(VLOOKUP("F7879",ราคาสี!$A:$J,9,0)*mult_wood/mult_euro),IF(F9="ลายไม้ไวท์โอ๊ค",(VLOOKUP("F7879",ราคาสี!$A:$J,10,0)*mult_wood/mult_euro),IFERROR(VLOOKUP("F7879",ราคาสี!$A:$D,4,0),355)+IF(F9="สีอบพิเศษ",rate_special,rate_woodbake)*1.91892))))))</f>
        <v/>
      </c>
      <c r="D25" s="305">
        <f>B25*C25*mult_euro</f>
        <v/>
      </c>
    </row>
    <row r="26" ht="15" customHeight="1" s="129">
      <c r="A26" s="290" t="inlineStr">
        <is>
          <t>กระจก (ตร.ม.)</t>
        </is>
      </c>
      <c r="B26" s="314">
        <f>((B2/100)+(B4-1)*0.1)*(B3/100)</f>
        <v/>
      </c>
      <c r="C26" s="315">
        <f>INDEX(ราคาวัสดุกลาง!$I$2:$I$106,MATCH(B9,ราคาวัสดุกลาง!$H$2:$H$106,0))</f>
        <v/>
      </c>
      <c r="D26" s="305">
        <f>B26*C26</f>
        <v/>
      </c>
    </row>
    <row r="27" ht="15" customHeight="1" s="129">
      <c r="A27" s="290" t="inlineStr">
        <is>
          <t>ล้อ 27 (2/บาน)</t>
        </is>
      </c>
      <c r="B27" s="314">
        <f>2*$F$2</f>
        <v/>
      </c>
      <c r="C27" s="315" t="n">
        <v>80</v>
      </c>
      <c r="D27" s="305">
        <f>B27*C27</f>
        <v/>
      </c>
    </row>
    <row r="28" ht="15" customHeight="1" s="129">
      <c r="A28" s="290" t="inlineStr">
        <is>
          <t>มือจับ Align (2/บาน)</t>
        </is>
      </c>
      <c r="B28" s="314">
        <f>2*$F$3</f>
        <v/>
      </c>
      <c r="C28" s="315" t="n">
        <v>99</v>
      </c>
      <c r="D28" s="305">
        <f>B28*C28</f>
        <v/>
      </c>
    </row>
    <row r="29" ht="15" customHeight="1" s="129">
      <c r="A29" s="290" t="inlineStr">
        <is>
          <t>ชุดล็อค</t>
        </is>
      </c>
      <c r="B29" s="314">
        <f>$F$4</f>
        <v/>
      </c>
      <c r="C29" s="315" t="n">
        <v>189</v>
      </c>
      <c r="D29" s="305">
        <f>B29*C29</f>
        <v/>
      </c>
    </row>
    <row r="30" ht="15" customHeight="1" s="129">
      <c r="A30" s="290" t="inlineStr">
        <is>
          <t>มุมเลื่อน (8/บาน)</t>
        </is>
      </c>
      <c r="B30" s="314">
        <f>8*B4</f>
        <v/>
      </c>
      <c r="C30" s="315" t="n">
        <v>2</v>
      </c>
      <c r="D30" s="305">
        <f>B30*C30</f>
        <v/>
      </c>
    </row>
    <row r="31" ht="15" customHeight="1" s="129">
      <c r="A31" s="290" t="inlineStr">
        <is>
          <t>สปริงก็อต (4/บาน)</t>
        </is>
      </c>
      <c r="B31" s="314">
        <f>4*B4</f>
        <v/>
      </c>
      <c r="C31" s="315" t="n">
        <v>29</v>
      </c>
      <c r="D31" s="305">
        <f>B31*C31</f>
        <v/>
      </c>
    </row>
    <row r="32" ht="15" customHeight="1" s="129">
      <c r="A32" s="290" t="inlineStr">
        <is>
          <t>สักหลาด (ม.)</t>
        </is>
      </c>
      <c r="B32" s="314">
        <f>6*(B3/100)+9*(B2/100)+2*($F$5+$F$6)*(B3/100)</f>
        <v/>
      </c>
      <c r="C32" s="315" t="n">
        <v>1.5</v>
      </c>
      <c r="D32" s="305">
        <f>B32*C32</f>
        <v/>
      </c>
    </row>
    <row r="33" ht="15" customHeight="1" s="129">
      <c r="A33" s="290" t="inlineStr">
        <is>
          <t>น็อต</t>
        </is>
      </c>
      <c r="B33" s="314">
        <f>8+4*B4</f>
        <v/>
      </c>
      <c r="C33" s="315" t="n">
        <v>1</v>
      </c>
      <c r="D33" s="305">
        <f>B33*C33</f>
        <v/>
      </c>
    </row>
    <row r="34" ht="15" customHeight="1" s="129">
      <c r="A34" s="290" t="inlineStr">
        <is>
          <t>ซิลิโคน (หลอด) ใน+นอก</t>
        </is>
      </c>
      <c r="B34" s="314">
        <f>ROUNDUP(2*((B2/100)+(B3/100))*2/12.5,0)</f>
        <v/>
      </c>
      <c r="C34" s="315">
        <f>B8</f>
        <v/>
      </c>
      <c r="D34" s="305">
        <f>B34*C34</f>
        <v/>
      </c>
    </row>
    <row r="35" ht="15" customHeight="1" s="129">
      <c r="A35" s="316" t="inlineStr">
        <is>
          <t>ค่าเปิดตู้อบ</t>
        </is>
      </c>
      <c r="B35" s="316">
        <f>IF(OR(F9="สีอบพิเศษ",F9="สีลายไม้อบพิเศษ"),1,0)</f>
        <v/>
      </c>
      <c r="C35" s="312" t="n">
        <v>2000</v>
      </c>
      <c r="D35" s="312">
        <f>B35*C35</f>
        <v/>
      </c>
      <c r="E35" s="316" t="inlineStr">
        <is>
          <t>สีอบพิเศษ / ลายไม้อบพิเศษ เท่านั้น</t>
        </is>
      </c>
    </row>
    <row r="36" ht="15" customHeight="1" s="129">
      <c r="A36" s="317" t="inlineStr">
        <is>
          <t>ทุนรวม</t>
        </is>
      </c>
      <c r="D36" s="318">
        <f>SUM(D11:D35)+D57+D64+D65+D66+D67</f>
        <v/>
      </c>
    </row>
    <row r="37" ht="15" customHeight="1" s="129">
      <c r="A37" s="317" t="inlineStr">
        <is>
          <t>ทุน/ตร.ม.</t>
        </is>
      </c>
      <c r="D37" s="318">
        <f>IFERROR(D36/B6,0)</f>
        <v/>
      </c>
    </row>
    <row r="38" ht="15" customHeight="1" s="129">
      <c r="A38" s="319" t="inlineStr">
        <is>
          <t>ราคาขาย/ตร.ม. (ทุน+กำไร%)</t>
        </is>
      </c>
      <c r="D38" s="321">
        <f>ROUNDUP(D36*(1+B7/100)/100,0)*100</f>
        <v/>
      </c>
    </row>
    <row r="39" ht="15" customHeight="1" s="129">
      <c r="A39" s="322" t="inlineStr">
        <is>
          <t>%กำไรจริง</t>
        </is>
      </c>
      <c r="D39" s="323">
        <f>IFERROR((D38-D36)/D36,0)</f>
        <v/>
      </c>
    </row>
    <row r="40" ht="15" customHeight="1" s="129">
      <c r="A40" s="331" t="inlineStr">
        <is>
          <t>ราคาขายรวม/ชุด</t>
        </is>
      </c>
      <c r="D40" s="284">
        <f>D38</f>
        <v/>
      </c>
    </row>
    <row r="42">
      <c r="A42" s="276" t="inlineStr">
        <is>
          <t>— ผูกค่าแรง (ราคาขายรวมค่าแรง) —</t>
        </is>
      </c>
    </row>
    <row r="43">
      <c r="A43" s="324" t="inlineStr">
        <is>
          <t>ค่าแรงผลิต (จากชีทค่าแรง)</t>
        </is>
      </c>
      <c r="D43" s="277">
        <f>MAX(0,VLOOKUP("บานเลื่อน ยูโร",'ค่าแรง'!$A$12:$E$27,2,0)+VLOOKUP("บานเลื่อน ยูโร",'ค่าแรง'!$A$12:$E$27,3,0)*B6)</f>
        <v/>
      </c>
    </row>
    <row r="44">
      <c r="A44" s="324" t="inlineStr">
        <is>
          <t>ค่าแรงติดตั้ง (จากชีทค่าแรง)</t>
        </is>
      </c>
      <c r="D44" s="277">
        <f>MAX(0,VLOOKUP("บานเลื่อน ยูโร",'ค่าแรง'!$A$12:$E$27,4,0)+VLOOKUP("บานเลื่อน ยูโร",'ค่าแรง'!$A$12:$E$27,5,0)*B6)</f>
        <v/>
      </c>
    </row>
    <row r="45">
      <c r="A45" s="324" t="inlineStr">
        <is>
          <t>กำไรติดตั้ง % →</t>
        </is>
      </c>
      <c r="B45" s="278" t="n">
        <v>100</v>
      </c>
    </row>
    <row r="46">
      <c r="A46" s="276" t="inlineStr">
        <is>
          <t>ราคาขาย ผลิตอย่างเดียว</t>
        </is>
      </c>
      <c r="D46" s="279">
        <f>ROUNDUP((D36+D43+D68)*(1+B7/100)/100,0)*100</f>
        <v/>
      </c>
    </row>
    <row r="47">
      <c r="A47" s="276" t="inlineStr">
        <is>
          <t>ราคาขาย ผลิต+ติดตั้ง</t>
        </is>
      </c>
      <c r="D47" s="279">
        <f>D46+ROUNDUP((D44+D69)*(1+B45/100)/100,0)*100</f>
        <v/>
      </c>
    </row>
    <row r="48">
      <c r="A48" s="276" t="inlineStr">
        <is>
          <t>%กำไรจริง (ผลิต+ติดตั้ง)</t>
        </is>
      </c>
      <c r="D48" s="280">
        <f>(D47-(D36+D43+D44+D68+D69))/(D36+D43+D44+D68+D69)</f>
        <v/>
      </c>
    </row>
    <row r="50">
      <c r="A50" s="433" t="inlineStr">
        <is>
          <t>— ชุด auto (ออปชั่น) — บวกเข้าทุน × กำไร%</t>
        </is>
      </c>
      <c r="B50" s="434" t="n"/>
      <c r="C50" s="434" t="n"/>
      <c r="D50" s="434" t="n"/>
    </row>
    <row r="51">
      <c r="A51" s="134" t="inlineStr">
        <is>
          <t>ใส่ auto? →</t>
        </is>
      </c>
      <c r="B51" s="435" t="inlineStr">
        <is>
          <t>ไม่มี</t>
        </is>
      </c>
      <c r="C51" s="434" t="n"/>
      <c r="D51" s="434" t="n"/>
      <c r="F51" s="134" t="inlineStr">
        <is>
          <t>Evecca base</t>
        </is>
      </c>
      <c r="G51" s="134">
        <f>INDEX(ราคาออโต้!$C:$C,MATCH("Evecca (จีน)",ราคาออโต้!$B:$B,0))</f>
        <v/>
      </c>
    </row>
    <row r="52">
      <c r="A52" s="134" t="inlineStr">
        <is>
          <t>ชุด auto →</t>
        </is>
      </c>
      <c r="B52" s="435" t="inlineStr">
        <is>
          <t>Evecca (จีน)</t>
        </is>
      </c>
      <c r="C52" s="434" t="n"/>
      <c r="D52" s="434" t="n"/>
      <c r="F52" s="134" t="inlineStr">
        <is>
          <t>สายพาน/ม</t>
        </is>
      </c>
      <c r="G52" s="134">
        <f>INDEX(ราคาออโต้!$C:$C,MATCH("สายพาน Evecca",ราคาออโต้!$B:$B,0))</f>
        <v/>
      </c>
    </row>
    <row r="53">
      <c r="A53" s="134" t="inlineStr">
        <is>
          <t>ออป Smart lock (Evecca) →</t>
        </is>
      </c>
      <c r="B53" s="435" t="inlineStr">
        <is>
          <t>ไม่มี</t>
        </is>
      </c>
      <c r="C53" s="434" t="n"/>
      <c r="D53" s="434" t="n"/>
      <c r="F53" s="134" t="inlineStr">
        <is>
          <t>ส่ง Evecca</t>
        </is>
      </c>
      <c r="G53" s="134">
        <f>INDEX(ราคาออโต้!$D:$D,MATCH("Evecca (จีน)",ราคาออโต้!$B:$B,0))</f>
        <v/>
      </c>
    </row>
    <row r="54">
      <c r="A54" s="134" t="inlineStr">
        <is>
          <t>ออป Touch (ช่างแซก) →</t>
        </is>
      </c>
      <c r="B54" s="435" t="inlineStr">
        <is>
          <t>ไม่มี</t>
        </is>
      </c>
      <c r="C54" s="434" t="n"/>
      <c r="D54" s="434" t="n"/>
      <c r="F54" s="134" t="inlineStr">
        <is>
          <t>Smart lock</t>
        </is>
      </c>
      <c r="G54" s="134">
        <f>INDEX(ราคาออโต้!$C:$C,MATCH("ออป Smart lock",ราคาออโต้!$B:$B,0))</f>
        <v/>
      </c>
    </row>
    <row r="55">
      <c r="A55" s="134" t="inlineStr">
        <is>
          <t>ออป Infrared (ช่างแซก) →</t>
        </is>
      </c>
      <c r="B55" s="435" t="inlineStr">
        <is>
          <t>ไม่มี</t>
        </is>
      </c>
      <c r="C55" s="434" t="n"/>
      <c r="D55" s="434" t="n"/>
      <c r="F55" s="134" t="inlineStr">
        <is>
          <t>ช่างแซก base</t>
        </is>
      </c>
      <c r="G55" s="134">
        <f>INDEX(ราคาออโต้!$C:$C,MATCH("ช่างแซก",ราคาออโต้!$B:$B,0))</f>
        <v/>
      </c>
    </row>
    <row r="56">
      <c r="A56" s="434" t="n"/>
      <c r="B56" s="434" t="n"/>
      <c r="C56" s="434" t="n"/>
      <c r="D56" s="434" t="n"/>
      <c r="F56" s="134" t="inlineStr">
        <is>
          <t>เซฟตี้ตาแมว</t>
        </is>
      </c>
      <c r="G56" s="134">
        <f>INDEX(ราคาออโต้!$C:$C,MATCH("เซฟตี้ตาแมว (บังคับช่างแซก)",ราคาออโต้!$B:$B,0))</f>
        <v/>
      </c>
    </row>
    <row r="57">
      <c r="A57" s="436" t="inlineStr">
        <is>
          <t>ทุนชุด auto</t>
        </is>
      </c>
      <c r="B57" s="434" t="n"/>
      <c r="C57" s="434" t="n"/>
      <c r="D57" s="437">
        <f>IF(B51="ไม่มี",0,IF(B52="Evecca (จีน)",G51+ROUND(G52*B2*2/100,0)+G53+IF(B53="มี",G54,0),(G55+G56+ROUND(G57*B2/100,0)+IF(B54="มี",G58,0)+IF(B55="มี",G59,0))*IF(B5="เปิดคู่กลาง",1,MIN(B4,3))))</f>
        <v/>
      </c>
      <c r="F57" s="134" t="inlineStr">
        <is>
          <t>ราง/ม</t>
        </is>
      </c>
      <c r="G57" s="134">
        <f>INDEX(ราคาออโต้!$C:$C,MATCH("ราง ช่างแซก",ราคาออโต้!$B:$B,0))</f>
        <v/>
      </c>
    </row>
    <row r="58">
      <c r="F58" s="134" t="inlineStr">
        <is>
          <t>Touch</t>
        </is>
      </c>
      <c r="G58" s="134">
        <f>INDEX(ราคาออโต้!$C:$C,MATCH("ออป Touch Switch (ช่างแซก)",ราคาออโต้!$B:$B,0))</f>
        <v/>
      </c>
    </row>
    <row r="59">
      <c r="F59" s="134" t="inlineStr">
        <is>
          <t>Infrared</t>
        </is>
      </c>
      <c r="G59" s="134">
        <f>INDEX(ราคาออโต้!$C:$C,MATCH("ออป Infrared (ช่างแซก)",ราคาออโต้!$B:$B,0))</f>
        <v/>
      </c>
    </row>
    <row r="61">
      <c r="A61" s="532" t="inlineStr">
        <is>
          <t>— มุ้ง (ออปชั่น) — บวกเข้าทุน —</t>
        </is>
      </c>
    </row>
    <row r="62">
      <c r="A62" s="276" t="inlineStr">
        <is>
          <t>เลือกมุ้ง →</t>
        </is>
      </c>
      <c r="B62" s="594" t="inlineStr">
        <is>
          <t>ไม่มีมุ้ง</t>
        </is>
      </c>
      <c r="C62" s="595">
        <f>IF(B62="ไม่มีมุ้ง","—",IF(H63=1,"✓ ใช้ได้","⚠ ใช้กับบานนี้ไม่ได้(ทุน=0)"))</f>
        <v/>
      </c>
      <c r="D62" s="595">
        <f>IF(B62="ไม่มีมุ้ง","",H68&amp;" บาน")</f>
        <v/>
      </c>
      <c r="H62" s="596">
        <f>IFERROR(VLOOKUP(B62,ราคามุ้ง!$A$2:$O$15,3,0),"")</f>
        <v/>
      </c>
    </row>
    <row r="63">
      <c r="A63" s="387" t="inlineStr">
        <is>
          <t>ชนิดผ้า / สี →</t>
        </is>
      </c>
      <c r="B63" s="594" t="inlineStr">
        <is>
          <t>ไฟเบอร์</t>
        </is>
      </c>
      <c r="C63" s="594" t="inlineStr">
        <is>
          <t>เทา</t>
        </is>
      </c>
      <c r="H63" s="596">
        <f>IF(B62="ไม่มีมุ้ง",0,IF(OR(IFERROR(VLOOKUP(B62,ราคามุ้ง!$A$2:$O$15,4,0),"ALL")="ALL",ISNUMBER(SEARCH("ยูโร",IFERROR(VLOOKUP(B62,ราคามุ้ง!$A$2:$O$15,4,0),"")))),1,0))</f>
        <v/>
      </c>
    </row>
    <row r="64">
      <c r="A64" s="387" t="inlineStr">
        <is>
          <t>› เสา (เส้น 6ม.)</t>
        </is>
      </c>
      <c r="B64" s="597">
        <f>IF(AND(H63=1,H64=1),ROUND(H68*2*H67/6,2),0)</f>
        <v/>
      </c>
      <c r="C64" s="598">
        <f>IF(B62="มุ้งเฟรมเล็ก",'ราคามุ้ง'!$B$19,IF(B62="มุ้งเฟรมใหญ่",ROUND(C11*mult_euro,0),IF(B62="มุ้งนิรภัย",'ราคามุ้ง'!$B$21,0)))</f>
        <v/>
      </c>
      <c r="D64" s="599">
        <f>ROUND(B64*C64,0)</f>
        <v/>
      </c>
      <c r="H64" s="596">
        <f>IF(OR(B62="มุ้งเฟรมเล็ก",B62="มุ้งเฟรมใหญ่",B62="มุ้งนิรภัย"),1,0)</f>
        <v/>
      </c>
    </row>
    <row r="65">
      <c r="A65" s="387" t="inlineStr">
        <is>
          <t>› ขวาง (เส้น 6ม.)</t>
        </is>
      </c>
      <c r="B65" s="600">
        <f>IF(AND(H63=1,H64=1),ROUND(H68*2*H66/6,2),0)</f>
        <v/>
      </c>
      <c r="C65" s="598">
        <f>IF(B62="มุ้งเฟรมเล็ก",'ราคามุ้ง'!$B$19,IF(B62="มุ้งเฟรมใหญ่",ROUND(C11*mult_euro,0),IF(B62="มุ้งนิรภัย",'ราคามุ้ง'!$B$21,0)))</f>
        <v/>
      </c>
      <c r="D65" s="598">
        <f>ROUND(B65*C65,0)</f>
        <v/>
      </c>
      <c r="H65" s="596">
        <f>IFERROR(VLOOKUP(B63,ราคามุ้ง!$I$2:$J$5,2,0),0)</f>
        <v/>
      </c>
    </row>
    <row r="66">
      <c r="A66" s="276" t="inlineStr">
        <is>
          <t>› ยางอัด (ม.)</t>
        </is>
      </c>
      <c r="B66" s="601">
        <f>IF(AND(H63=1,H64=1),ROUND(H68*2*(H66+H67),2),0)</f>
        <v/>
      </c>
      <c r="C66" s="598">
        <f>'ราคามุ้ง'!$D$19</f>
        <v/>
      </c>
      <c r="D66" s="599">
        <f>ROUND(B66*C66,0)</f>
        <v/>
      </c>
      <c r="H66" s="602">
        <f>B2/(B4*100)</f>
        <v/>
      </c>
    </row>
    <row r="67">
      <c r="A67" s="276" t="inlineStr">
        <is>
          <t>› ผ้า / มุ้งสำเร็จ</t>
        </is>
      </c>
      <c r="B67" s="601">
        <f>IF(H63=0,0,ROUND(H68*H66*H67,2))</f>
        <v/>
      </c>
      <c r="C67" s="598">
        <f>IF(B62="มุ้งนิรภัย",650,IF(OR(B62="มุ้งเฟรมเล็ก",B62="มุ้งเฟรมใหญ่"),H65,IF(H62="ซื้อสำเร็จ",IFERROR(VLOOKUP(B62,ราคามุ้ง!$A$2:$O$15,2,0),0),0)))</f>
        <v/>
      </c>
      <c r="D67" s="599">
        <f>ROUND(B67*C67,0)</f>
        <v/>
      </c>
      <c r="H67" s="601">
        <f>B3/100</f>
        <v/>
      </c>
    </row>
    <row r="68">
      <c r="A68" s="276" t="inlineStr">
        <is>
          <t>› ค่าแรงผลิตมุ้ง</t>
        </is>
      </c>
      <c r="D68" s="599">
        <f>IF(H63=0,0,ROUND(H68*(VLOOKUP(B62,ราคามุ้ง!$A$2:$O$15,12,0)+VLOOKUP(B62,ราคามุ้ง!$A$2:$O$15,13,0)*H66*H67),0))</f>
        <v/>
      </c>
      <c r="H68" s="595">
        <f>IF(AND(B5="อิสระ",B4=2),1,F2)</f>
        <v/>
      </c>
    </row>
    <row r="69">
      <c r="A69" s="595" t="inlineStr">
        <is>
          <t>› ค่าแรงติดตั้งมุ้ง</t>
        </is>
      </c>
      <c r="D69" s="598">
        <f>IF(H63=0,0,ROUND(H68*(VLOOKUP(B62,ราคามุ้ง!$A$2:$O$15,14,0)+VLOOKUP(B62,ราคามุ้ง!$A$2:$O$15,15,0)*H66*H67),0))</f>
        <v/>
      </c>
    </row>
    <row r="70">
      <c r="A70" s="663" t="inlineStr">
        <is>
          <t>รวมราคามุ้ง (บวกเข้าทุนแล้ว)</t>
        </is>
      </c>
      <c r="D70" s="664">
        <f>SUM(D64:D69)</f>
        <v/>
      </c>
    </row>
    <row r="71">
      <c r="A71" s="745" t="n"/>
      <c r="B71" s="745" t="n"/>
      <c r="C71" s="745" t="n"/>
      <c r="D71" s="745" t="n"/>
      <c r="E71" s="745" t="n"/>
      <c r="F71" s="745" t="n"/>
      <c r="G71" s="745" t="n"/>
      <c r="H71" s="745" t="n"/>
      <c r="I71" s="745" t="n"/>
      <c r="J71" s="745" t="n"/>
      <c r="K71" s="745" t="n"/>
    </row>
    <row r="72">
      <c r="A72" s="746" t="n"/>
      <c r="B72" s="745" t="n"/>
      <c r="C72" s="745" t="n"/>
      <c r="D72" s="745" t="n"/>
      <c r="E72" s="745" t="n"/>
      <c r="F72" s="745" t="n"/>
      <c r="G72" s="745" t="n"/>
      <c r="H72" s="745" t="n"/>
      <c r="I72" s="745" t="n"/>
      <c r="J72" s="745" t="n"/>
      <c r="K72" s="745" t="n"/>
    </row>
    <row r="73">
      <c r="A73" s="747" t="n"/>
      <c r="B73" s="748" t="n"/>
      <c r="C73" s="745" t="n"/>
      <c r="D73" s="745" t="n"/>
      <c r="E73" s="745" t="n"/>
      <c r="F73" s="745" t="n"/>
      <c r="G73" s="745" t="n"/>
      <c r="H73" s="745" t="n"/>
      <c r="I73" s="745" t="n"/>
      <c r="J73" s="745" t="n"/>
      <c r="K73" s="745" t="n"/>
    </row>
    <row r="74">
      <c r="A74" s="747" t="n"/>
      <c r="B74" s="748" t="n"/>
      <c r="C74" s="745" t="n"/>
      <c r="D74" s="745" t="n"/>
      <c r="E74" s="745" t="n"/>
      <c r="F74" s="745" t="n"/>
      <c r="G74" s="745" t="n"/>
      <c r="H74" s="745" t="n"/>
      <c r="I74" s="745" t="n"/>
      <c r="J74" s="745" t="n"/>
      <c r="K74" s="745" t="n"/>
    </row>
    <row r="75">
      <c r="A75" s="747" t="n"/>
      <c r="B75" s="748" t="n"/>
      <c r="C75" s="745" t="n"/>
      <c r="D75" s="745" t="n"/>
      <c r="E75" s="745" t="n"/>
      <c r="F75" s="745" t="n"/>
      <c r="G75" s="745" t="n"/>
      <c r="H75" s="745" t="n"/>
      <c r="I75" s="745" t="n"/>
      <c r="J75" s="745" t="n"/>
      <c r="K75" s="745" t="n"/>
    </row>
    <row r="76">
      <c r="A76" s="747" t="n"/>
      <c r="B76" s="749" t="n"/>
      <c r="C76" s="745" t="n"/>
      <c r="D76" s="745" t="n"/>
      <c r="E76" s="745" t="n"/>
      <c r="F76" s="745" t="n"/>
      <c r="G76" s="745" t="n"/>
      <c r="H76" s="745" t="n"/>
      <c r="I76" s="745" t="n"/>
      <c r="J76" s="745" t="n"/>
      <c r="K76" s="745" t="n"/>
    </row>
    <row r="77">
      <c r="A77" s="745" t="n"/>
      <c r="B77" s="745" t="n"/>
      <c r="C77" s="745" t="n"/>
      <c r="D77" s="745" t="n"/>
      <c r="E77" s="745" t="n"/>
      <c r="F77" s="745" t="n"/>
      <c r="G77" s="745" t="n"/>
      <c r="H77" s="745" t="n"/>
      <c r="I77" s="745" t="n"/>
      <c r="J77" s="745" t="n"/>
      <c r="K77" s="745" t="n"/>
    </row>
    <row r="78">
      <c r="A78" s="738" t="inlineStr">
        <is>
          <t>🔍 แยกก้อนต้นทุน</t>
        </is>
      </c>
    </row>
    <row r="79">
      <c r="A79" s="739" t="inlineStr">
        <is>
          <t>ทุนอลู (×ราคา/กก.)</t>
        </is>
      </c>
      <c r="B79" s="740">
        <f>D11+D13+D14+D15+D16+D17+D18+D19+D20+D21+D22+D23+D24+D25+D34</f>
        <v/>
      </c>
    </row>
    <row r="80">
      <c r="A80" s="741" t="inlineStr">
        <is>
          <t>ทุนกระจก</t>
        </is>
      </c>
      <c r="B80" s="742">
        <f>D12+D26</f>
        <v/>
      </c>
    </row>
    <row r="81">
      <c r="A81" s="741" t="inlineStr">
        <is>
          <t>ทุนอุปกรณ์+ซิลิโคน</t>
        </is>
      </c>
      <c r="B81" s="742">
        <f>D27+D28+D29+D30+D31+D32+D33+D35</f>
        <v/>
      </c>
    </row>
    <row r="82">
      <c r="A82" s="741" t="inlineStr">
        <is>
          <t>รวมวัสดุ</t>
        </is>
      </c>
      <c r="B82" s="743">
        <f>B79+B80+B81</f>
        <v/>
      </c>
    </row>
  </sheetData>
  <mergeCells count="1">
    <mergeCell ref="A1:D1"/>
  </mergeCells>
  <dataValidations count="12">
    <dataValidation sqref="B5" showDropDown="0" showInputMessage="0" showErrorMessage="0" allowBlank="0" type="list" errorStyle="stop" operator="between">
      <formula1>"อิสระ,ลากจูง,เปิดคู่กลาง"</formula1>
      <formula2>0</formula2>
    </dataValidation>
    <dataValidation sqref="B9" showDropDown="0" showInputMessage="0" showErrorMessage="0" allowBlank="0" type="list" errorStyle="stop" operator="between">
      <formula1>GlassNames</formula1>
      <formula2>0</formula2>
    </dataValidation>
    <dataValidation sqref="F9" showDropDown="0" showInputMessage="0" showErrorMessage="0" allowBlank="0" type="list" errorStyle="stop" operator="between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  <formula2>0</formula2>
    </dataValidation>
    <dataValidation sqref="F7" showDropDown="0" showInputMessage="0" showErrorMessage="0" allowBlank="0" type="list" errorStyle="stop" operator="between">
      <formula1>"ภายนอก,ภายใน"</formula1>
      <formula2>0</formula2>
    </dataValidation>
    <dataValidation sqref="B51" showDropDown="0" showInputMessage="0" showErrorMessage="0" allowBlank="1" type="list">
      <formula1>"มี,ไม่มี"</formula1>
    </dataValidation>
    <dataValidation sqref="B52" showDropDown="0" showInputMessage="0" showErrorMessage="0" allowBlank="1" type="list">
      <formula1>"Evecca (จีน),ช่างแซก"</formula1>
    </dataValidation>
    <dataValidation sqref="B53" showDropDown="0" showInputMessage="0" showErrorMessage="0" allowBlank="1" type="list">
      <formula1>"มี,ไม่มี"</formula1>
    </dataValidation>
    <dataValidation sqref="B54" showDropDown="0" showInputMessage="0" showErrorMessage="0" allowBlank="1" type="list">
      <formula1>"มี,ไม่มี"</formula1>
    </dataValidation>
    <dataValidation sqref="B55" showDropDown="0" showInputMessage="0" showErrorMessage="0" allowBlank="1" type="list">
      <formula1>"มี,ไม่มี"</formula1>
    </dataValidation>
    <dataValidation sqref="B62" showDropDown="0" showInputMessage="0" showErrorMessage="0" allowBlank="1" type="list">
      <formula1>MungList</formula1>
    </dataValidation>
    <dataValidation sqref="B63" showDropDown="0" showInputMessage="0" showErrorMessage="0" allowBlank="1" type="list">
      <formula1>ClothList</formula1>
    </dataValidation>
    <dataValidation sqref="C63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AC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3.8" customWidth="1" style="140" min="2" max="4"/>
    <col width="10.7" customWidth="1" style="129" min="3" max="3"/>
    <col width="24" customWidth="1" style="129" min="4" max="4"/>
    <col width="24" customWidth="1" style="140" min="5" max="5"/>
    <col width="10.7" customWidth="1" style="129" min="6" max="6"/>
    <col hidden="1" width="11.7" customWidth="1" style="140" min="7" max="24"/>
    <col width="4.5" customWidth="1" style="129" min="8" max="8"/>
    <col width="4.5" customWidth="1" style="129" min="9" max="9"/>
    <col width="4.5" customWidth="1" style="129" min="10" max="10"/>
    <col width="4.5" customWidth="1" style="129" min="11" max="11"/>
    <col width="4.5" customWidth="1" style="129" min="12" max="12"/>
    <col width="4.5" customWidth="1" style="129" min="13" max="13"/>
    <col width="4.5" customWidth="1" style="129" min="14" max="14"/>
    <col width="4.5" customWidth="1" style="129" min="15" max="15"/>
    <col width="4.5" customWidth="1" style="129" min="16" max="16"/>
    <col width="4.5" customWidth="1" style="129" min="17" max="17"/>
    <col width="4.5" customWidth="1" style="129" min="18" max="18"/>
    <col width="4.5" customWidth="1" style="129" min="19" max="19"/>
    <col width="4.5" customWidth="1" style="129" min="20" max="20"/>
    <col width="4.5" customWidth="1" style="129" min="21" max="21"/>
    <col width="4.5" customWidth="1" style="129" min="22" max="22"/>
    <col width="4.5" customWidth="1" style="129" min="23" max="23"/>
    <col width="4.5" customWidth="1" style="129" min="24" max="24"/>
    <col hidden="1" width="24" customWidth="1" style="129" min="27" max="27"/>
    <col width="4.5" customWidth="1" style="129" min="29" max="29"/>
  </cols>
  <sheetData>
    <row r="1" ht="24" customHeight="1" s="129">
      <c r="A1" s="286" t="inlineStr">
        <is>
          <t>คิดทุนบานเลื่อน SlimLux — เลือกรูปแบบ + จำนวนบาน</t>
        </is>
      </c>
      <c r="G1" s="875" t="n"/>
      <c r="H1" s="876" t="inlineStr">
        <is>
          <t>🏠 สารบัญ</t>
        </is>
      </c>
      <c r="K1" s="643" t="n"/>
      <c r="AA1" s="140" t="inlineStr">
        <is>
          <t>เทมเปอร์ 6มม.</t>
        </is>
      </c>
    </row>
    <row r="2" ht="15" customHeight="1" s="129">
      <c r="A2" s="287" t="inlineStr">
        <is>
          <t>รูปแบบ →</t>
        </is>
      </c>
      <c r="B2" s="283" t="inlineStr">
        <is>
          <t>อิสระ</t>
        </is>
      </c>
      <c r="E2" s="287">
        <f>B2&amp;"-"&amp;B3</f>
        <v/>
      </c>
      <c r="AA2" s="140" t="inlineStr">
        <is>
          <t>เทมเปอร์ใสพิเศษ 6มม.</t>
        </is>
      </c>
    </row>
    <row r="3" ht="15" customHeight="1" s="129">
      <c r="A3" s="287" t="inlineStr">
        <is>
          <t>จำนวนบาน →</t>
        </is>
      </c>
      <c r="B3" s="283" t="n">
        <v>2</v>
      </c>
      <c r="C3" s="677">
        <f>IF(ISNA(MATCH(E2,G41:G48,0)),"⚠ "&amp;B2&amp;" "&amp;B3&amp;" บาน ไม่มีในระบบ — อิสระ 2-5 · ลากจูง 3-5 · เปิดคู่กลาง 4,6","")</f>
        <v/>
      </c>
      <c r="AA3" s="140" t="inlineStr">
        <is>
          <t>เทมเปอร์ฝ้า 6มม.</t>
        </is>
      </c>
    </row>
    <row r="4" ht="15" customHeight="1" s="129">
      <c r="A4" s="287" t="inlineStr">
        <is>
          <t>กว้างรวม (ซม.) →</t>
        </is>
      </c>
      <c r="B4" s="283" t="n">
        <v>200</v>
      </c>
      <c r="AA4" s="140" t="inlineStr">
        <is>
          <t>เทมเปอร์ฝ้า 8มม.</t>
        </is>
      </c>
    </row>
    <row r="5" ht="15" customHeight="1" s="129">
      <c r="A5" s="287" t="inlineStr">
        <is>
          <t>สูง (ซม.) →</t>
        </is>
      </c>
      <c r="B5" s="283" t="n">
        <v>200</v>
      </c>
      <c r="AA5" s="140" t="inlineStr">
        <is>
          <t>เทมเปอร์ยูโรเกรย์ 4มม.</t>
        </is>
      </c>
    </row>
    <row r="6" ht="15" customHeight="1" s="129">
      <c r="A6" s="287" t="inlineStr">
        <is>
          <t>พื้นที่ (ตร.ม.) =</t>
        </is>
      </c>
      <c r="B6" s="287">
        <f>(B4/100)*(B5/100)</f>
        <v/>
      </c>
      <c r="AA6" s="140" t="inlineStr">
        <is>
          <t>เทมเปอร์ยูโรเกรย์ 5มม.</t>
        </is>
      </c>
    </row>
    <row r="7" ht="15" customHeight="1" s="129">
      <c r="A7" s="287" t="inlineStr">
        <is>
          <t>มือจับ →</t>
        </is>
      </c>
      <c r="B7" s="283" t="inlineStr">
        <is>
          <t>มือจับล็อค</t>
        </is>
      </c>
      <c r="AA7" s="140" t="inlineStr">
        <is>
          <t>เทมเปอร์ยูโรเกรย์ 6มม.</t>
        </is>
      </c>
    </row>
    <row r="8" ht="15" customHeight="1" s="129">
      <c r="A8" s="287" t="inlineStr">
        <is>
          <t>บวกกำไร % →</t>
        </is>
      </c>
      <c r="B8" s="283" t="n">
        <v>100</v>
      </c>
      <c r="AA8" s="140" t="inlineStr">
        <is>
          <t>เทมเปอร์ยูโรบรอนซ์ 5มม.</t>
        </is>
      </c>
    </row>
    <row r="9" ht="15" customHeight="1" s="129">
      <c r="A9" s="287" t="inlineStr">
        <is>
          <t>ราคาซิลิโคน/หลอด →</t>
        </is>
      </c>
      <c r="B9" s="283" t="n">
        <v>90</v>
      </c>
      <c r="AA9" s="140" t="inlineStr">
        <is>
          <t>เทมเปอร์ยูโรบรอนซ์ 6มม.</t>
        </is>
      </c>
    </row>
    <row r="10" ht="15" customHeight="1" s="129">
      <c r="A10" s="287" t="inlineStr">
        <is>
          <t>กระจก →</t>
        </is>
      </c>
      <c r="B10" s="283" t="inlineStr">
        <is>
          <t>เทมเปอร์ 6มม.</t>
        </is>
      </c>
      <c r="C10" s="312">
        <f>INDEX(ราคาวัสดุกลาง!$I$2:$I$106,MATCH(B10,ราคาวัสดุกลาง!$H$2:$H$106,0))</f>
        <v/>
      </c>
      <c r="D10" s="287" t="inlineStr">
        <is>
          <t>← ราคากระจก/ตร.ม. (อัตโนมัติ)</t>
        </is>
      </c>
      <c r="E10" s="287" t="inlineStr">
        <is>
          <t>สี →</t>
        </is>
      </c>
      <c r="F10" s="283" t="inlineStr">
        <is>
          <t>สีอบขาว/ดำ</t>
        </is>
      </c>
      <c r="G10" s="287" t="n"/>
      <c r="AA10" s="140" t="inlineStr">
        <is>
          <t>เทมเปอร์ reflective เทา 6มม.</t>
        </is>
      </c>
    </row>
    <row r="11" ht="15" customHeight="1" s="129">
      <c r="A11" s="339" t="inlineStr">
        <is>
          <t>วัสดุ</t>
        </is>
      </c>
      <c r="B11" s="339" t="inlineStr">
        <is>
          <t>จำนวน</t>
        </is>
      </c>
      <c r="C11" s="339" t="inlineStr">
        <is>
          <t>ราคา/หน่วย</t>
        </is>
      </c>
      <c r="D11" s="339" t="inlineStr">
        <is>
          <t>ทุน(บาท)</t>
        </is>
      </c>
      <c r="AA11" s="140" t="inlineStr">
        <is>
          <t>เทมเปอร์ reflective เขียว 6มม.</t>
        </is>
      </c>
    </row>
    <row r="12" ht="15" customHeight="1" s="129">
      <c r="A12" s="316" t="inlineStr">
        <is>
          <t>ขวางบน/ล่าง (WM-K04)</t>
        </is>
      </c>
      <c r="B12" s="312">
        <f>(IFERROR('SlimLux_ตัด'!E22*'SlimLux_ตัด'!F22,0))/640*buf_scrap</f>
        <v/>
      </c>
      <c r="C12" s="312">
        <f>IF(F10="สีอบขาว/ดำ",750,IF(F10="เทาซาฮาร่า",750+rate_grey*4.7,750+IF(F10="สีอบพิเศษ",rate_special,rate_woodbake)*4.7))</f>
        <v/>
      </c>
      <c r="D12" s="312">
        <f>B12*C12*mult_slim</f>
        <v/>
      </c>
      <c r="AA12" s="140" t="inlineStr">
        <is>
          <t>เทมเปอร์ reflective ฟ้า 6มม.</t>
        </is>
      </c>
    </row>
    <row r="13" ht="15" customHeight="1" s="129">
      <c r="A13" s="316" t="inlineStr">
        <is>
          <t>เสาบาน (WM-K01)</t>
        </is>
      </c>
      <c r="B13" s="312">
        <f>(IFERROR('SlimLux_ตัด'!E23*'SlimLux_ตัด'!F23,0))/640*buf_scrap</f>
        <v/>
      </c>
      <c r="C13" s="312">
        <f>IF(F10="สีอบขาว/ดำ",850,IF(F10="เทาซาฮาร่า",850+rate_grey*2.95,850+IF(F10="สีอบพิเศษ",rate_special,rate_woodbake)*2.95))</f>
        <v/>
      </c>
      <c r="D13" s="312">
        <f>B13*C13*mult_slim</f>
        <v/>
      </c>
      <c r="AA13" s="140" t="inlineStr">
        <is>
          <t>เทมเปอร์ 8มม.</t>
        </is>
      </c>
    </row>
    <row r="14" ht="15" customHeight="1" s="129">
      <c r="A14" s="316" t="inlineStr">
        <is>
          <t>ตบเรียบ (WM-K02)</t>
        </is>
      </c>
      <c r="B14" s="312">
        <f>(IFERROR('SlimLux_ตัด'!E24*'SlimLux_ตัด'!F24,0)+IFERROR('SlimLux_ตัด'!E25*'SlimLux_ตัด'!F25,0))/640*buf_scrap</f>
        <v/>
      </c>
      <c r="C14" s="312">
        <f>IF(F10="สีอบขาว/ดำ",343,IF(F10="เทาซาฮาร่า",343+rate_grey*1.57,343+IF(F10="สีอบพิเศษ",rate_special,rate_woodbake)*1.57))</f>
        <v/>
      </c>
      <c r="D14" s="312">
        <f>B14*C14*mult_slim</f>
        <v/>
      </c>
      <c r="AA14" s="140" t="inlineStr">
        <is>
          <t>เทมเปอร์สีชาดำ 6มม.</t>
        </is>
      </c>
    </row>
    <row r="15" ht="15" customHeight="1" s="129">
      <c r="A15" s="316" t="inlineStr">
        <is>
          <t>ตบเกี่ยว (WM-K03)</t>
        </is>
      </c>
      <c r="B15" s="316">
        <f>(IFERROR('SlimLux_ตัด'!E26*'SlimLux_ตัด'!F26,0))/640*buf_scrap</f>
        <v/>
      </c>
      <c r="C15" s="312">
        <f>IF(F10="สีอบขาว/ดำ",343,IF(F10="เทาซาฮาร่า",343+rate_grey*1.69,343+IF(F10="สีอบพิเศษ",rate_special,rate_woodbake)*1.69))</f>
        <v/>
      </c>
      <c r="D15" s="312">
        <f>B15*C15*mult_slim</f>
        <v/>
      </c>
      <c r="AA15" s="140" t="inlineStr">
        <is>
          <t>เทมเปอร์สีฟ้า 6มม.</t>
        </is>
      </c>
    </row>
    <row r="16" ht="15" customHeight="1" s="129">
      <c r="A16" s="316" t="inlineStr">
        <is>
          <t>รางแขวน (WM-K15)</t>
        </is>
      </c>
      <c r="B16" s="316">
        <f>(IFERROR('SlimLux_ตัด'!E19*'SlimLux_ตัด'!F19,0))/640*buf_scrap</f>
        <v/>
      </c>
      <c r="C16" s="312" t="n">
        <v>988</v>
      </c>
      <c r="D16" s="312">
        <f>B16*C16</f>
        <v/>
      </c>
      <c r="AA16" s="140" t="inlineStr">
        <is>
          <t>เทมเปอร์ใสพิเศษ 8มม.</t>
        </is>
      </c>
    </row>
    <row r="17" ht="15" customHeight="1" s="129">
      <c r="A17" s="316" t="inlineStr">
        <is>
          <t>ฝาล่างเล็ก (WM-K20)</t>
        </is>
      </c>
      <c r="B17" s="316">
        <f>(IFERROR('SlimLux_ตัด'!E29*'SlimLux_ตัด'!F29,0)+IFERROR('SlimLux_ตัด'!E30*'SlimLux_ตัด'!F30,0))/640*buf_scrap</f>
        <v/>
      </c>
      <c r="C17" s="312">
        <f>IF(F10="สีอบขาว/ดำ",197,IF(F10="เทาซาฮาร่า",197+rate_grey*0.5,197+IF(F10="สีอบพิเศษ",rate_special,rate_woodbake)*0.5))</f>
        <v/>
      </c>
      <c r="D17" s="312">
        <f>B17*C17*mult_slim</f>
        <v/>
      </c>
      <c r="AA17" s="140" t="inlineStr">
        <is>
          <t>เทมเปอร์ใส 6มม.</t>
        </is>
      </c>
    </row>
    <row r="18" ht="15" customHeight="1" s="129">
      <c r="A18" s="316" t="inlineStr">
        <is>
          <t>บังใบ 4หุน</t>
        </is>
      </c>
      <c r="B18" s="316">
        <f>(IFERROR('SlimLux_ตัด'!E21*'SlimLux_ตัด'!F21,0))/640*buf_scrap</f>
        <v/>
      </c>
      <c r="C18" s="312" t="n">
        <v>170</v>
      </c>
      <c r="D18" s="312">
        <f>B18*C18*mult_slim</f>
        <v/>
      </c>
      <c r="AA18" s="140" t="inlineStr">
        <is>
          <t>เทมเปอร์ใส 8มม.</t>
        </is>
      </c>
    </row>
    <row r="19" ht="15" customHeight="1" s="129">
      <c r="A19" s="316" t="inlineStr">
        <is>
          <t>ฉากปิดราง</t>
        </is>
      </c>
      <c r="B19" s="316">
        <f>(IFERROR('SlimLux_ตัด'!E28*'SlimLux_ตัด'!F28,0))/640*buf_scrap</f>
        <v/>
      </c>
      <c r="C19" s="312">
        <f>IF(F10="สีอบขาว/ดำ",320,IF(F10="เทาซาฮาร่า",320+rate_grey*1,320+IF(F10="สีอบพิเศษ",rate_special,rate_woodbake)*1))</f>
        <v/>
      </c>
      <c r="D19" s="312">
        <f>B19*C19*mult_slim</f>
        <v/>
      </c>
      <c r="AA19" s="140" t="inlineStr">
        <is>
          <t>เทมเปอร์ยูโรบรอนซ์ 8มม.</t>
        </is>
      </c>
    </row>
    <row r="20" ht="15" customHeight="1" s="129">
      <c r="A20" s="316" t="inlineStr">
        <is>
          <t>กล่องเฟรม/คาน</t>
        </is>
      </c>
      <c r="B20" s="316">
        <f>(IFERROR('SlimLux_ตัด'!E18*'SlimLux_ตัด'!F18,0)+IFERROR('SlimLux_ตัด'!E20*'SlimLux_ตัด'!F20,0))/640*buf_scrap</f>
        <v/>
      </c>
      <c r="C20" s="312">
        <f>IF(F10="สีอบขาว/ดำ",1400,IF(F10="เทาซาฮาร่า",1400+rate_grey*5.98,1400+IF(F10="สีอบพิเศษ",rate_special,rate_woodbake)*5.98))</f>
        <v/>
      </c>
      <c r="D20" s="312">
        <f>B20*C20*mult_slim</f>
        <v/>
      </c>
      <c r="AA20" s="140" t="inlineStr">
        <is>
          <t>เทมเปอร์ใสพ่นสีขาว 6มม.</t>
        </is>
      </c>
    </row>
    <row r="21" ht="15" customHeight="1" s="129">
      <c r="A21" s="316" t="n"/>
      <c r="B21" s="316" t="n"/>
      <c r="C21" s="312" t="n"/>
      <c r="D21" s="312" t="n"/>
      <c r="AA21" s="140" t="inlineStr">
        <is>
          <t>เทมเปอร์ใสพ่นสีขาว 8มม.</t>
        </is>
      </c>
    </row>
    <row r="22" ht="15" customHeight="1" s="129">
      <c r="A22" s="316" t="n"/>
      <c r="B22" s="316" t="n"/>
      <c r="C22" s="312" t="n"/>
      <c r="D22" s="312" t="n"/>
    </row>
    <row r="23" ht="15" customHeight="1" s="129">
      <c r="A23" s="316" t="inlineStr">
        <is>
          <t>ตัวต่อ+สักหลาด (ชุด)</t>
        </is>
      </c>
      <c r="B23" s="316">
        <f>IFERROR(INDEX($T$40:$T$48,MATCH($E$2,$G$40:$G$48,0)),0)</f>
        <v/>
      </c>
      <c r="C23" s="312" t="n">
        <v>100</v>
      </c>
      <c r="D23" s="312">
        <f>B23*C23</f>
        <v/>
      </c>
    </row>
    <row r="24" ht="15" customHeight="1" s="129">
      <c r="A24" s="316" t="inlineStr">
        <is>
          <t>ข้อต่อบาน</t>
        </is>
      </c>
      <c r="B24" s="316">
        <f>IFERROR(INDEX($U$40:$U$48,MATCH($E$2,$G$40:$G$48,0)),0)</f>
        <v/>
      </c>
      <c r="C24" s="312" t="n">
        <v>42</v>
      </c>
      <c r="D24" s="312">
        <f>B24*C24</f>
        <v/>
      </c>
    </row>
    <row r="25" ht="15" customHeight="1" s="129">
      <c r="A25" s="316" t="inlineStr">
        <is>
          <t>ล้อล่าง (ตัว)</t>
        </is>
      </c>
      <c r="B25" s="316">
        <f>IFERROR(INDEX($V$40:$V$48,MATCH($E$2,$G$40:$G$48,0)),0)</f>
        <v/>
      </c>
      <c r="C25" s="312" t="n">
        <v>100</v>
      </c>
      <c r="D25" s="312">
        <f>B25*C25</f>
        <v/>
      </c>
    </row>
    <row r="26" ht="15" customHeight="1" s="129">
      <c r="A26" s="316" t="inlineStr">
        <is>
          <t>soft close (ชุด)</t>
        </is>
      </c>
      <c r="B26" s="316">
        <f>IFERROR(INDEX($W$40:$W$48,MATCH($E$2,$G$40:$G$48,0)),0)</f>
        <v/>
      </c>
      <c r="C26" s="312" t="n">
        <v>650</v>
      </c>
      <c r="D26" s="312">
        <f>B26*C26</f>
        <v/>
      </c>
    </row>
    <row r="27" ht="15" customHeight="1" s="129">
      <c r="A27" s="316" t="inlineStr">
        <is>
          <t>สลิง (ชุด)</t>
        </is>
      </c>
      <c r="B27" s="316">
        <f>IFERROR(INDEX($X$40:$X$48,MATCH($E$2,$G$40:$G$48,0)),0)</f>
        <v/>
      </c>
      <c r="C27" s="312" t="n">
        <v>700</v>
      </c>
      <c r="D27" s="312">
        <f>B27*C27</f>
        <v/>
      </c>
    </row>
    <row r="28" ht="15" customHeight="1" s="129">
      <c r="A28" s="316" t="inlineStr">
        <is>
          <t>มือจับ</t>
        </is>
      </c>
      <c r="B28" s="316">
        <f>IFERROR(INDEX($S$40:$S$48,MATCH($E$2,$G$40:$G$48,0)),0)</f>
        <v/>
      </c>
      <c r="C28" s="312">
        <f>IF(B7="มือจับล็อค",200,IF(B7="X-J",860,0))</f>
        <v/>
      </c>
      <c r="D28" s="312">
        <f>B28*C28</f>
        <v/>
      </c>
      <c r="E28" s="316" t="inlineStr">
        <is>
          <t>มือจับล็อค=200/ชุด · X-J=860/บาน · ลูกค้าเตรียมเอง=0</t>
        </is>
      </c>
    </row>
    <row r="29" ht="15" customHeight="1" s="129">
      <c r="A29" s="316" t="inlineStr">
        <is>
          <t>ซิลิโคน (หลอด)</t>
        </is>
      </c>
      <c r="B29" s="316">
        <f>ROUNDUP(2*(B4+B5)/100*2/12.5,0)</f>
        <v/>
      </c>
      <c r="C29" s="312">
        <f>B9</f>
        <v/>
      </c>
      <c r="D29" s="312">
        <f>B29*C29</f>
        <v/>
      </c>
    </row>
    <row r="30" ht="15" customHeight="1" s="129">
      <c r="A30" s="316" t="inlineStr">
        <is>
          <t>กระจก (ตร.ม.)</t>
        </is>
      </c>
      <c r="B30" s="316">
        <f>B6</f>
        <v/>
      </c>
      <c r="C30" s="312">
        <f>INDEX(ราคาวัสดุกลาง!$I$2:$I$106,MATCH(B10,ราคาวัสดุกลาง!$H$2:$H$106,0))</f>
        <v/>
      </c>
      <c r="D30" s="312">
        <f>B30*C30</f>
        <v/>
      </c>
    </row>
    <row r="31" ht="15" customHeight="1" s="129">
      <c r="A31" s="316" t="inlineStr">
        <is>
          <t>ค่าเปิดตู้อบ</t>
        </is>
      </c>
      <c r="B31" s="316">
        <f>IF(OR(F10="สีอบพิเศษ",F10="สีลายไม้อบพิเศษ"),1,0)</f>
        <v/>
      </c>
      <c r="C31" s="312" t="n">
        <v>2000</v>
      </c>
      <c r="D31" s="312">
        <f>B31*C31</f>
        <v/>
      </c>
      <c r="E31" s="316" t="inlineStr">
        <is>
          <t>สีอบพิเศษ / ลายไม้อบพิเศษ เท่านั้น</t>
        </is>
      </c>
    </row>
    <row r="32" ht="15" customHeight="1" s="129">
      <c r="A32" s="331" t="inlineStr">
        <is>
          <t>ทุนรวม</t>
        </is>
      </c>
      <c r="D32" s="332">
        <f>SUM(D12:D31)+D58+D63+D64+D65+D66</f>
        <v/>
      </c>
      <c r="E32" s="877">
        <f>IF(COUNTIFS(B12:B31,"&gt;0",C12:C31,0)+COUNTIFS(B12:B31,"&gt;0",C12:C31,"")&gt;0,"⚠ ราคาบางรายการ = 0 (เช็ค dropdown/รหัส)","✅ ราคาครบ")</f>
        <v/>
      </c>
    </row>
    <row r="33" ht="15" customHeight="1" s="129">
      <c r="A33" s="331" t="inlineStr">
        <is>
          <t>ทุน/ตร.ม.</t>
        </is>
      </c>
      <c r="D33" s="332">
        <f>IFERROR(D32/B6,0)</f>
        <v/>
      </c>
    </row>
    <row r="34" ht="15" customHeight="1" s="129">
      <c r="A34" s="331" t="inlineStr">
        <is>
          <t>ราคาขาย/ตร.ม. (markup%)</t>
        </is>
      </c>
      <c r="D34" s="284">
        <f>ROUNDUP(D32*(1+B8/100)/100,0)*100</f>
        <v/>
      </c>
    </row>
    <row r="35" ht="15" customHeight="1" s="129">
      <c r="A35" s="331" t="inlineStr">
        <is>
          <t>ราคาขายรวม/ชุด</t>
        </is>
      </c>
      <c r="D35" s="284">
        <f>D34</f>
        <v/>
      </c>
    </row>
    <row r="36" ht="15" customHeight="1" s="129">
      <c r="A36" s="331" t="inlineStr">
        <is>
          <t>%กำไรจริง (บนทุน)</t>
        </is>
      </c>
      <c r="D36" s="285">
        <f>IFERROR((D34-D32)/D32,0)</f>
        <v/>
      </c>
    </row>
    <row r="37" ht="15" customHeight="1" s="129">
      <c r="A37" s="316" t="inlineStr">
        <is>
          <t>อิสระ: 2/3/4/5 บาน · ลากจูง: 3/4/5 บาน · เปิดคู่กลาง: 4/6 บาน</t>
        </is>
      </c>
    </row>
    <row r="39">
      <c r="A39" s="276" t="inlineStr">
        <is>
          <t>— ผูกค่าแรง (ราคาขายรวมค่าแรง) —</t>
        </is>
      </c>
    </row>
    <row r="40">
      <c r="A40" s="324" t="inlineStr">
        <is>
          <t>ค่าแรงผลิต (จากชีทค่าแรง)</t>
        </is>
      </c>
      <c r="D40" s="277">
        <f>MAX(0,VLOOKUP("SlimLux",'ค่าแรง'!$A$12:$E$27,2,0)+VLOOKUP("SlimLux",'ค่าแรง'!$A$12:$E$27,3,0)*B6)</f>
        <v/>
      </c>
    </row>
    <row r="41" ht="15" customHeight="1" s="129">
      <c r="A41" s="324" t="inlineStr">
        <is>
          <t>ค่าแรงติดตั้ง (จากชีทค่าแรง)</t>
        </is>
      </c>
      <c r="D41" s="277">
        <f>MAX(0,VLOOKUP("SlimLux",'ค่าแรง'!$A$12:$E$27,4,0)+VLOOKUP("SlimLux",'ค่าแรง'!$A$12:$E$27,5,0)*B6)</f>
        <v/>
      </c>
      <c r="G41" s="349" t="inlineStr">
        <is>
          <t>อิสระ-2</t>
        </is>
      </c>
      <c r="H41" s="350" t="n">
        <v>1</v>
      </c>
      <c r="I41" s="350" t="n">
        <v>2</v>
      </c>
      <c r="J41" s="350" t="n">
        <v>1</v>
      </c>
      <c r="K41" s="351" t="n">
        <v>1</v>
      </c>
      <c r="L41" s="351" t="n">
        <v>1</v>
      </c>
      <c r="M41" s="402" t="n">
        <v>1</v>
      </c>
      <c r="N41" s="402" t="n">
        <v>1</v>
      </c>
      <c r="O41" s="402" t="n">
        <v>1</v>
      </c>
      <c r="P41" s="402" t="n">
        <v>2</v>
      </c>
      <c r="Q41" s="402" t="n">
        <v>2</v>
      </c>
      <c r="R41" s="402" t="n">
        <v>1</v>
      </c>
      <c r="S41" s="402" t="n">
        <v>2</v>
      </c>
      <c r="T41" s="402" t="n">
        <v>1</v>
      </c>
      <c r="U41" s="402" t="n">
        <v>8</v>
      </c>
      <c r="V41" s="402" t="n">
        <v>4</v>
      </c>
      <c r="W41" s="402" t="n">
        <v>2</v>
      </c>
      <c r="X41" s="402" t="n">
        <v>0</v>
      </c>
    </row>
    <row r="42" ht="15" customHeight="1" s="129">
      <c r="A42" s="324" t="inlineStr">
        <is>
          <t>กำไรติดตั้ง % →</t>
        </is>
      </c>
      <c r="B42" s="278" t="n">
        <v>100</v>
      </c>
      <c r="G42" s="349" t="inlineStr">
        <is>
          <t>อิสระ-3</t>
        </is>
      </c>
      <c r="H42" s="350" t="n">
        <v>1</v>
      </c>
      <c r="I42" s="350" t="n">
        <v>3</v>
      </c>
      <c r="J42" s="350" t="n">
        <v>1</v>
      </c>
      <c r="K42" s="351" t="n">
        <v>2</v>
      </c>
      <c r="L42" s="351" t="n">
        <v>2</v>
      </c>
      <c r="M42" s="402" t="n">
        <v>2</v>
      </c>
      <c r="N42" s="402" t="n">
        <v>1</v>
      </c>
      <c r="O42" s="402" t="n">
        <v>1</v>
      </c>
      <c r="P42" s="402" t="n">
        <v>2</v>
      </c>
      <c r="Q42" s="402" t="n">
        <v>2</v>
      </c>
      <c r="R42" s="402" t="n">
        <v>1</v>
      </c>
      <c r="S42" s="402" t="n">
        <v>1</v>
      </c>
      <c r="T42" s="402" t="n">
        <v>1</v>
      </c>
      <c r="U42" s="402" t="n">
        <v>12</v>
      </c>
      <c r="V42" s="402" t="n">
        <v>6</v>
      </c>
      <c r="W42" s="402" t="n">
        <v>2</v>
      </c>
      <c r="X42" s="402" t="n">
        <v>1</v>
      </c>
    </row>
    <row r="43" ht="15" customHeight="1" s="129">
      <c r="A43" s="276" t="inlineStr">
        <is>
          <t>ราคาขาย ผลิตอย่างเดียว</t>
        </is>
      </c>
      <c r="D43" s="279">
        <f>ROUNDUP((D32+D40+D67)*(1+B8/100)/100,0)*100</f>
        <v/>
      </c>
      <c r="G43" s="349" t="inlineStr">
        <is>
          <t>อิสระ-4</t>
        </is>
      </c>
      <c r="H43" s="350" t="n">
        <v>2</v>
      </c>
      <c r="I43" s="350" t="n">
        <v>4</v>
      </c>
      <c r="J43" s="350" t="n">
        <v>1</v>
      </c>
      <c r="K43" s="351" t="n">
        <v>3</v>
      </c>
      <c r="L43" s="351" t="n">
        <v>3</v>
      </c>
      <c r="M43" s="402" t="n">
        <v>2</v>
      </c>
      <c r="N43" s="402" t="n">
        <v>2</v>
      </c>
      <c r="O43" s="402" t="n">
        <v>2</v>
      </c>
      <c r="P43" s="402" t="n">
        <v>2</v>
      </c>
      <c r="Q43" s="402" t="n">
        <v>2</v>
      </c>
      <c r="R43" s="402" t="n">
        <v>1</v>
      </c>
      <c r="S43" s="402" t="n">
        <v>1</v>
      </c>
      <c r="T43" s="402" t="n">
        <v>1</v>
      </c>
      <c r="U43" s="402" t="n">
        <v>16</v>
      </c>
      <c r="V43" s="402" t="n">
        <v>8</v>
      </c>
      <c r="W43" s="402" t="n">
        <v>2</v>
      </c>
      <c r="X43" s="402" t="n">
        <v>1</v>
      </c>
    </row>
    <row r="44" ht="15" customHeight="1" s="129">
      <c r="A44" s="276" t="inlineStr">
        <is>
          <t>ราคาขาย ผลิต+ติดตั้ง</t>
        </is>
      </c>
      <c r="D44" s="279">
        <f>D43+ROUNDUP((D41+D68)*(1+B42/100)/100,0)*100</f>
        <v/>
      </c>
      <c r="G44" s="349" t="inlineStr">
        <is>
          <t>อิสระ-5</t>
        </is>
      </c>
      <c r="H44" s="350" t="n">
        <v>2</v>
      </c>
      <c r="I44" s="350" t="n">
        <v>5</v>
      </c>
      <c r="J44" s="350" t="n">
        <v>1</v>
      </c>
      <c r="K44" s="351" t="n">
        <v>4</v>
      </c>
      <c r="L44" s="351" t="n">
        <v>4</v>
      </c>
      <c r="M44" s="402" t="n">
        <v>2</v>
      </c>
      <c r="N44" s="402" t="n">
        <v>3</v>
      </c>
      <c r="O44" s="402" t="n">
        <v>2</v>
      </c>
      <c r="P44" s="402" t="n">
        <v>3</v>
      </c>
      <c r="Q44" s="402" t="n">
        <v>2</v>
      </c>
      <c r="R44" s="402" t="n">
        <v>2</v>
      </c>
      <c r="S44" s="402" t="n">
        <v>1</v>
      </c>
      <c r="T44" s="402" t="n">
        <v>1</v>
      </c>
      <c r="U44" s="402" t="n">
        <v>20</v>
      </c>
      <c r="V44" s="402" t="n">
        <v>10</v>
      </c>
      <c r="W44" s="402" t="n">
        <v>2</v>
      </c>
      <c r="X44" s="402" t="n">
        <v>1</v>
      </c>
    </row>
    <row r="45" ht="15" customHeight="1" s="129">
      <c r="A45" s="276" t="inlineStr">
        <is>
          <t>%กำไรจริง (ผลิต+ติดตั้ง)</t>
        </is>
      </c>
      <c r="D45" s="280">
        <f>(D44-(D32+D40+D41+D67+D68))/(D32+D40+D41+D67+D68)</f>
        <v/>
      </c>
      <c r="G45" s="349" t="inlineStr">
        <is>
          <t>ลากจูง-3</t>
        </is>
      </c>
      <c r="H45" s="350" t="n">
        <v>1</v>
      </c>
      <c r="I45" s="350" t="n">
        <v>3</v>
      </c>
      <c r="J45" s="350" t="n">
        <v>1</v>
      </c>
      <c r="K45" s="351" t="n">
        <v>1</v>
      </c>
      <c r="L45" s="351" t="n">
        <v>2</v>
      </c>
      <c r="M45" s="402" t="n">
        <v>1</v>
      </c>
      <c r="N45" s="402" t="n">
        <v>1</v>
      </c>
      <c r="O45" s="402" t="n">
        <v>1</v>
      </c>
      <c r="P45" s="402" t="n">
        <v>2</v>
      </c>
      <c r="Q45" s="402" t="n">
        <v>1</v>
      </c>
      <c r="R45" s="402" t="n">
        <v>1</v>
      </c>
      <c r="S45" s="402" t="n">
        <v>1</v>
      </c>
      <c r="T45" s="402" t="n">
        <v>1</v>
      </c>
      <c r="U45" s="402" t="n">
        <v>8</v>
      </c>
      <c r="V45" s="402" t="n">
        <v>4</v>
      </c>
      <c r="W45" s="402" t="n">
        <v>1</v>
      </c>
      <c r="X45" s="402" t="n">
        <v>1</v>
      </c>
    </row>
    <row r="46" ht="15" customHeight="1" s="129">
      <c r="G46" s="349" t="inlineStr">
        <is>
          <t>ลากจูง-4</t>
        </is>
      </c>
      <c r="H46" s="350" t="n">
        <v>2</v>
      </c>
      <c r="I46" s="350" t="n">
        <v>4</v>
      </c>
      <c r="J46" s="350" t="n">
        <v>1</v>
      </c>
      <c r="K46" s="351" t="n">
        <v>2</v>
      </c>
      <c r="L46" s="351" t="n">
        <v>3</v>
      </c>
      <c r="M46" s="402" t="n">
        <v>2</v>
      </c>
      <c r="N46" s="402" t="n">
        <v>2</v>
      </c>
      <c r="O46" s="402" t="n">
        <v>2</v>
      </c>
      <c r="P46" s="402" t="n">
        <v>2</v>
      </c>
      <c r="Q46" s="402" t="n">
        <v>1</v>
      </c>
      <c r="R46" s="402" t="n">
        <v>1</v>
      </c>
      <c r="S46" s="402" t="n">
        <v>1</v>
      </c>
      <c r="T46" s="402" t="n">
        <v>1</v>
      </c>
      <c r="U46" s="402" t="n">
        <v>12</v>
      </c>
      <c r="V46" s="402" t="n">
        <v>6</v>
      </c>
      <c r="W46" s="402" t="n">
        <v>1</v>
      </c>
      <c r="X46" s="402" t="n">
        <v>1</v>
      </c>
    </row>
    <row r="47" ht="15" customHeight="1" s="129">
      <c r="G47" s="349" t="inlineStr">
        <is>
          <t>ลากจูง-5</t>
        </is>
      </c>
      <c r="H47" s="350" t="n">
        <v>2</v>
      </c>
      <c r="I47" s="350" t="n">
        <v>5</v>
      </c>
      <c r="J47" s="350" t="n">
        <v>1</v>
      </c>
      <c r="K47" s="351" t="n">
        <v>3</v>
      </c>
      <c r="L47" s="351" t="n">
        <v>4</v>
      </c>
      <c r="M47" s="402" t="n">
        <v>2</v>
      </c>
      <c r="N47" s="402" t="n">
        <v>2</v>
      </c>
      <c r="O47" s="402" t="n">
        <v>2</v>
      </c>
      <c r="P47" s="402" t="n">
        <v>2</v>
      </c>
      <c r="Q47" s="402" t="n">
        <v>1</v>
      </c>
      <c r="R47" s="402" t="n">
        <v>2</v>
      </c>
      <c r="S47" s="402" t="n">
        <v>1</v>
      </c>
      <c r="T47" s="402" t="n">
        <v>1</v>
      </c>
      <c r="U47" s="402" t="n">
        <v>16</v>
      </c>
      <c r="V47" s="402" t="n">
        <v>8</v>
      </c>
      <c r="W47" s="402" t="n">
        <v>1</v>
      </c>
      <c r="X47" s="402" t="n">
        <v>1</v>
      </c>
    </row>
    <row r="48" ht="15" customHeight="1" s="129">
      <c r="G48" s="349" t="inlineStr">
        <is>
          <t>เปิดคู่กลาง-4</t>
        </is>
      </c>
      <c r="H48" s="350" t="n">
        <v>2</v>
      </c>
      <c r="I48" s="350" t="n">
        <v>4</v>
      </c>
      <c r="J48" s="350" t="n">
        <v>2</v>
      </c>
      <c r="K48" s="351" t="n">
        <v>2</v>
      </c>
      <c r="L48" s="351" t="n">
        <v>2</v>
      </c>
      <c r="M48" s="402" t="n">
        <v>1</v>
      </c>
      <c r="N48" s="402" t="n">
        <v>2</v>
      </c>
      <c r="O48" s="402" t="n">
        <v>2</v>
      </c>
      <c r="P48" s="402" t="n">
        <v>2</v>
      </c>
      <c r="Q48" s="402" t="n">
        <v>2</v>
      </c>
      <c r="R48" s="402" t="n">
        <v>1</v>
      </c>
      <c r="S48" s="402" t="n">
        <v>2</v>
      </c>
      <c r="T48" s="402" t="n">
        <v>1</v>
      </c>
      <c r="U48" s="402" t="n">
        <v>8</v>
      </c>
      <c r="V48" s="402" t="n">
        <v>4</v>
      </c>
      <c r="W48" s="402" t="n">
        <v>2</v>
      </c>
      <c r="X48" s="402" t="n">
        <v>0</v>
      </c>
    </row>
    <row r="49" ht="15" customHeight="1" s="129">
      <c r="G49" s="349" t="inlineStr">
        <is>
          <t>เปิดคู่กลาง-6</t>
        </is>
      </c>
      <c r="H49" s="350" t="n">
        <v>2</v>
      </c>
      <c r="I49" s="350" t="n">
        <v>6</v>
      </c>
      <c r="J49" s="350" t="n">
        <v>2</v>
      </c>
      <c r="K49" s="351" t="n">
        <v>4</v>
      </c>
      <c r="L49" s="351" t="n">
        <v>4</v>
      </c>
      <c r="M49" s="402" t="n">
        <v>2</v>
      </c>
      <c r="N49" s="402" t="n">
        <v>3</v>
      </c>
      <c r="O49" s="402" t="n">
        <v>2</v>
      </c>
      <c r="P49" s="402" t="n">
        <v>2</v>
      </c>
      <c r="Q49" s="402" t="n">
        <v>2</v>
      </c>
      <c r="R49" s="402" t="n">
        <v>1</v>
      </c>
      <c r="S49" s="402" t="n">
        <v>2</v>
      </c>
      <c r="T49" s="402" t="n">
        <v>1</v>
      </c>
      <c r="U49" s="402" t="n">
        <v>16</v>
      </c>
      <c r="V49" s="402" t="n">
        <v>8</v>
      </c>
      <c r="W49" s="402" t="n">
        <v>2</v>
      </c>
      <c r="X49" s="402" t="n">
        <v>1</v>
      </c>
    </row>
    <row r="51">
      <c r="A51" s="433" t="inlineStr">
        <is>
          <t>— ชุด auto (ออปชั่น) — บวกเข้าทุน × กำไร%</t>
        </is>
      </c>
      <c r="B51" s="434" t="n"/>
      <c r="C51" s="434" t="n"/>
      <c r="D51" s="434" t="n"/>
    </row>
    <row r="52">
      <c r="A52" s="134" t="inlineStr">
        <is>
          <t>ใส่ auto? →</t>
        </is>
      </c>
      <c r="B52" s="435" t="inlineStr">
        <is>
          <t>ไม่มี</t>
        </is>
      </c>
      <c r="C52" s="434" t="n"/>
      <c r="D52" s="434" t="n"/>
    </row>
    <row r="53">
      <c r="A53" s="134" t="inlineStr">
        <is>
          <t>ชุด auto →</t>
        </is>
      </c>
      <c r="B53" s="435" t="inlineStr">
        <is>
          <t>ชุด SlimLux</t>
        </is>
      </c>
      <c r="C53" s="434" t="n"/>
      <c r="D53" s="434" t="n"/>
    </row>
    <row r="54">
      <c r="A54" s="134" t="inlineStr">
        <is>
          <t>ออป SlimLux (บังคับเลือก1) →</t>
        </is>
      </c>
      <c r="B54" s="435" t="inlineStr">
        <is>
          <t>สแกนหน้า</t>
        </is>
      </c>
      <c r="C54" s="434" t="n"/>
      <c r="D54" s="434" t="n"/>
    </row>
    <row r="55">
      <c r="A55" s="134" t="inlineStr">
        <is>
          <t>ออป Touch (ช่างแซก) →</t>
        </is>
      </c>
      <c r="B55" s="435" t="inlineStr">
        <is>
          <t>ไม่มี</t>
        </is>
      </c>
      <c r="C55" s="434" t="n"/>
      <c r="D55" s="434" t="n"/>
    </row>
    <row r="56">
      <c r="A56" s="134" t="inlineStr">
        <is>
          <t>ออป Infrared (ช่างแซก) →</t>
        </is>
      </c>
      <c r="B56" s="435" t="inlineStr">
        <is>
          <t>ไม่มี</t>
        </is>
      </c>
      <c r="C56" s="434" t="n"/>
      <c r="D56" s="434" t="n"/>
    </row>
    <row r="57">
      <c r="A57" s="434" t="n"/>
      <c r="B57" s="434" t="n"/>
      <c r="C57" s="434" t="n"/>
      <c r="D57" s="434" t="n"/>
    </row>
    <row r="58">
      <c r="A58" s="436" t="inlineStr">
        <is>
          <t>ทุนชุด auto</t>
        </is>
      </c>
      <c r="B58" s="434" t="n"/>
      <c r="C58" s="434" t="n"/>
      <c r="D58" s="437">
        <f>IF(B52="ไม่มี",0,IF(B53="ชุด SlimLux",INDEX(ราคาออโต้!$C:$C,MATCH("ชุด SlimLux (บานแรก)",ราคาออโต้!$B:$B,0))+INDEX(ราคาออโต้!$C:$C,MATCH("บานเพิ่ม",ราคาออโต้!$B:$B,0))*(B3-1)+ROUND(INDEX(ราคาออโต้!$C:$C,MATCH("ราง SlimLux",ราคาออโต้!$B:$B,0))*B4/100*B3,0)+IF(B54="สแกนหน้า",INDEX(ราคาออโต้!$C:$C,MATCH("ออป สแกนหน้า (บังคับเลือก1)",ราคาออโต้!$B:$B,0)),INDEX(ราคาออโต้!$C:$C,MATCH("ออป Touch Switch (บังคับเลือก1)",ราคาออโต้!$B:$B,0)))+INDEX(ราคาออโต้!$D:$D,MATCH("ชุด SlimLux (บานแรก)",ราคาออโต้!$B:$B,0)),INDEX(ราคาออโต้!$C:$C,MATCH("ช่างแซก",ราคาออโต้!$B:$B,0))+INDEX(ราคาออโต้!$C:$C,MATCH("เซฟตี้ตาแมว (บังคับช่างแซก)",ราคาออโต้!$B:$B,0))+ROUND(INDEX(ราคาออโต้!$C:$C,MATCH("ราง ช่างแซก",ราคาออโต้!$B:$B,0))*B4/100,0)+IF(B55="มี",INDEX(ราคาออโต้!$C:$C,MATCH("ออป Touch Switch (ช่างแซก)",ราคาออโต้!$B:$B,0)),0)+IF(B56="มี",INDEX(ราคาออโต้!$C:$C,MATCH("ออป Infrared (ช่างแซก)",ราคาออโต้!$B:$B,0)),0)))</f>
        <v/>
      </c>
    </row>
    <row r="60">
      <c r="A60" s="532" t="inlineStr">
        <is>
          <t>— มุ้ง (ออปชั่น) — บวกเข้าทุน —</t>
        </is>
      </c>
    </row>
    <row r="61">
      <c r="A61" s="276" t="inlineStr">
        <is>
          <t>เลือกมุ้ง →</t>
        </is>
      </c>
      <c r="B61" s="594" t="inlineStr">
        <is>
          <t>ไม่มีมุ้ง</t>
        </is>
      </c>
      <c r="C61" s="595">
        <f>IF(B61="ไม่มีมุ้ง","—",IF(AC62=1,"✓ ใช้ได้","⚠ ใช้กับบานนี้ไม่ได้(ทุน=0)"))</f>
        <v/>
      </c>
      <c r="D61" s="595">
        <f>IF(B61="ไม่มีมุ้ง","",AC67&amp;" บาน")</f>
        <v/>
      </c>
      <c r="AC61" s="596">
        <f>IFERROR(VLOOKUP(B61,ราคามุ้ง!$A$2:$O$15,3,0),"")</f>
        <v/>
      </c>
    </row>
    <row r="62">
      <c r="A62" s="387" t="inlineStr">
        <is>
          <t>ชนิดผ้า / สี →</t>
        </is>
      </c>
      <c r="B62" s="594" t="inlineStr">
        <is>
          <t>ไฟเบอร์</t>
        </is>
      </c>
      <c r="C62" s="594" t="inlineStr">
        <is>
          <t>เทา</t>
        </is>
      </c>
      <c r="AC62" s="596">
        <f>IF(B61="ไม่มีมุ้ง",0,IF(OR(IFERROR(VLOOKUP(B61,ราคามุ้ง!$A$2:$O$15,4,0),"ALL")="ALL",ISNUMBER(SEARCH("SlimLux",IFERROR(VLOOKUP(B61,ราคามุ้ง!$A$2:$O$15,4,0),"")))),1,0))</f>
        <v/>
      </c>
    </row>
    <row r="63">
      <c r="A63" s="387" t="inlineStr">
        <is>
          <t>› เสา (เส้น 6ม.)</t>
        </is>
      </c>
      <c r="B63" s="597">
        <f>IF(AND(AC62=1,AC63=1),ROUND(AC67*2*AC66/6,2),0)</f>
        <v/>
      </c>
      <c r="C63" s="598">
        <f>IF(B61="มุ้งเฟรมเล็ก",'ราคามุ้ง'!$B$19,IF(B61="มุ้งเฟรมใหญ่",0,IF(B61="มุ้งนิรภัย",'ราคามุ้ง'!$B$21,0)))</f>
        <v/>
      </c>
      <c r="D63" s="599">
        <f>ROUND(B63*C63,0)</f>
        <v/>
      </c>
      <c r="AC63" s="596">
        <f>IF(OR(B61="มุ้งเฟรมเล็ก",B61="มุ้งเฟรมใหญ่",B61="มุ้งนิรภัย"),1,0)</f>
        <v/>
      </c>
    </row>
    <row r="64">
      <c r="A64" s="387" t="inlineStr">
        <is>
          <t>› ขวาง (เส้น 6ม.)</t>
        </is>
      </c>
      <c r="B64" s="600">
        <f>IF(AND(AC62=1,AC63=1),ROUND(AC67*2*AC65/6,2),0)</f>
        <v/>
      </c>
      <c r="C64" s="598">
        <f>IF(B61="มุ้งเฟรมเล็ก",'ราคามุ้ง'!$B$19,IF(B61="มุ้งเฟรมใหญ่",0,IF(B61="มุ้งนิรภัย",'ราคามุ้ง'!$B$21,0)))</f>
        <v/>
      </c>
      <c r="D64" s="598">
        <f>ROUND(B64*C64,0)</f>
        <v/>
      </c>
      <c r="AC64" s="596">
        <f>IFERROR(VLOOKUP(B62,ราคามุ้ง!$I$2:$J$5,2,0),0)</f>
        <v/>
      </c>
    </row>
    <row r="65">
      <c r="A65" s="276" t="inlineStr">
        <is>
          <t>› ยางอัด (ม.)</t>
        </is>
      </c>
      <c r="B65" s="601">
        <f>IF(AND(AC62=1,AC63=1),ROUND(AC67*2*(AC65+AC66),2),0)</f>
        <v/>
      </c>
      <c r="C65" s="598">
        <f>'ราคามุ้ง'!$D$19</f>
        <v/>
      </c>
      <c r="D65" s="599">
        <f>ROUND(B65*C65,0)</f>
        <v/>
      </c>
      <c r="AC65" s="602">
        <f>IF(AC67&gt;0,B4/(AC67*100),0)</f>
        <v/>
      </c>
    </row>
    <row r="66">
      <c r="A66" s="276" t="inlineStr">
        <is>
          <t>› ผ้า / มุ้งสำเร็จ</t>
        </is>
      </c>
      <c r="B66" s="601">
        <f>IF(AC62=0,0,ROUND(AC67*AC65*AC66,2))</f>
        <v/>
      </c>
      <c r="C66" s="598">
        <f>IF(B61="มุ้งนิรภัย",650,IF(OR(B61="มุ้งเฟรมเล็ก",B61="มุ้งเฟรมใหญ่"),AC64,IF(AC61="ซื้อสำเร็จ",IFERROR(VLOOKUP(B61,ราคามุ้ง!$A$2:$O$15,2,0),0),0)))</f>
        <v/>
      </c>
      <c r="D66" s="599">
        <f>ROUND(B66*C66,0)</f>
        <v/>
      </c>
      <c r="AC66" s="601">
        <f>B5/100</f>
        <v/>
      </c>
    </row>
    <row r="67">
      <c r="A67" s="276" t="inlineStr">
        <is>
          <t>› ค่าแรงผลิตมุ้ง</t>
        </is>
      </c>
      <c r="D67" s="599">
        <f>IF(AC62=0,0,ROUND(AC67*(VLOOKUP(B61,ราคามุ้ง!$A$2:$O$15,12,0)+VLOOKUP(B61,ราคามุ้ง!$A$2:$O$15,13,0)*AC65*AC66),0))</f>
        <v/>
      </c>
      <c r="AC67" s="595">
        <f>IF(AND(B2="อิสระ",B3=2),1,IF(B2="อิสระ",B3,IF(B2="ลากจูง",B3-1,B3-2)))</f>
        <v/>
      </c>
    </row>
    <row r="68">
      <c r="A68" s="595" t="inlineStr">
        <is>
          <t>› ค่าแรงติดตั้งมุ้ง</t>
        </is>
      </c>
      <c r="D68" s="598">
        <f>IF(AC62=0,0,ROUND(AC67*(VLOOKUP(B61,ราคามุ้ง!$A$2:$O$15,14,0)+VLOOKUP(B61,ราคามุ้ง!$A$2:$O$15,15,0)*AC65*AC66),0))</f>
        <v/>
      </c>
    </row>
    <row r="69">
      <c r="A69" s="663" t="inlineStr">
        <is>
          <t>รวมราคามุ้ง (บวกเข้าทุนแล้ว)</t>
        </is>
      </c>
      <c r="D69" s="664">
        <f>SUM(D63:D68)</f>
        <v/>
      </c>
    </row>
    <row r="70">
      <c r="A70" s="745" t="n"/>
      <c r="B70" s="745" t="n"/>
      <c r="C70" s="745" t="n"/>
      <c r="D70" s="745" t="n"/>
      <c r="E70" s="745" t="n"/>
      <c r="F70" s="745" t="n"/>
      <c r="G70" s="745" t="n"/>
      <c r="H70" s="745" t="n"/>
      <c r="I70" s="745" t="n"/>
      <c r="J70" s="745" t="n"/>
      <c r="K70" s="745" t="n"/>
    </row>
    <row r="71">
      <c r="A71" s="746" t="n"/>
      <c r="B71" s="745" t="n"/>
      <c r="C71" s="745" t="n"/>
      <c r="D71" s="745" t="n"/>
      <c r="E71" s="745" t="n"/>
      <c r="F71" s="745" t="n"/>
      <c r="G71" s="745" t="n"/>
      <c r="H71" s="745" t="n"/>
      <c r="I71" s="745" t="n"/>
      <c r="J71" s="745" t="n"/>
      <c r="K71" s="745" t="n"/>
    </row>
    <row r="72">
      <c r="A72" s="747" t="n"/>
      <c r="B72" s="748" t="n"/>
      <c r="C72" s="745" t="n"/>
      <c r="D72" s="745" t="n"/>
      <c r="E72" s="745" t="n"/>
      <c r="F72" s="745" t="n"/>
      <c r="G72" s="745" t="n"/>
      <c r="H72" s="745" t="n"/>
      <c r="I72" s="745" t="n"/>
      <c r="J72" s="745" t="n"/>
      <c r="K72" s="745" t="n"/>
    </row>
    <row r="73">
      <c r="A73" s="747" t="n"/>
      <c r="B73" s="748" t="n"/>
      <c r="C73" s="745" t="n"/>
      <c r="D73" s="745" t="n"/>
      <c r="E73" s="745" t="n"/>
      <c r="F73" s="745" t="n"/>
      <c r="G73" s="745" t="n"/>
      <c r="H73" s="745" t="n"/>
      <c r="I73" s="745" t="n"/>
      <c r="J73" s="745" t="n"/>
      <c r="K73" s="745" t="n"/>
    </row>
    <row r="74">
      <c r="A74" s="747" t="n"/>
      <c r="B74" s="748" t="n"/>
      <c r="C74" s="745" t="n"/>
      <c r="D74" s="745" t="n"/>
      <c r="E74" s="745" t="n"/>
      <c r="F74" s="745" t="n"/>
      <c r="G74" s="745" t="n"/>
      <c r="H74" s="745" t="n"/>
      <c r="I74" s="745" t="n"/>
      <c r="J74" s="745" t="n"/>
      <c r="K74" s="745" t="n"/>
    </row>
    <row r="75">
      <c r="A75" s="747" t="n"/>
      <c r="B75" s="749" t="n"/>
      <c r="C75" s="745" t="n"/>
      <c r="D75" s="745" t="n"/>
      <c r="E75" s="745" t="n"/>
      <c r="F75" s="745" t="n"/>
      <c r="G75" s="745" t="n"/>
      <c r="H75" s="745" t="n"/>
      <c r="I75" s="745" t="n"/>
      <c r="J75" s="745" t="n"/>
      <c r="K75" s="745" t="n"/>
    </row>
    <row r="76">
      <c r="A76" s="745" t="n"/>
      <c r="B76" s="745" t="n"/>
      <c r="C76" s="745" t="n"/>
      <c r="D76" s="745" t="n"/>
      <c r="E76" s="745" t="n"/>
      <c r="F76" s="745" t="n"/>
      <c r="G76" s="745" t="n"/>
      <c r="H76" s="745" t="n"/>
      <c r="I76" s="745" t="n"/>
      <c r="J76" s="745" t="n"/>
      <c r="K76" s="745" t="n"/>
    </row>
    <row r="77">
      <c r="A77" s="738" t="inlineStr">
        <is>
          <t>🔍 แยกก้อนต้นทุน</t>
        </is>
      </c>
    </row>
    <row r="78">
      <c r="A78" s="739" t="inlineStr">
        <is>
          <t>ทุนอลู (×ราคา/กก.)</t>
        </is>
      </c>
      <c r="B78" s="740">
        <f>D12+D13+D14+D15+D16+D17+D18+D19+D20</f>
        <v/>
      </c>
    </row>
    <row r="79">
      <c r="A79" s="741" t="inlineStr">
        <is>
          <t>ทุนกระจก</t>
        </is>
      </c>
      <c r="B79" s="742">
        <f>D30</f>
        <v/>
      </c>
    </row>
    <row r="80">
      <c r="A80" s="741" t="inlineStr">
        <is>
          <t>ทุนอุปกรณ์+ซิลิโคน</t>
        </is>
      </c>
      <c r="B80" s="742">
        <f>D21+D22+D23+D24+D25+D26+D27+D28+D29+D31</f>
        <v/>
      </c>
    </row>
    <row r="81">
      <c r="A81" s="741" t="inlineStr">
        <is>
          <t>รวมวัสดุ</t>
        </is>
      </c>
      <c r="B81" s="743">
        <f>B78+B79+B80</f>
        <v/>
      </c>
    </row>
  </sheetData>
  <mergeCells count="1">
    <mergeCell ref="A1:F1"/>
  </mergeCells>
  <dataValidations count="13">
    <dataValidation sqref="B2" showDropDown="0" showInputMessage="0" showErrorMessage="0" allowBlank="0" type="list" errorStyle="stop" operator="between">
      <formula1>"อิสระ,ลากจูง,เปิดคู่กลาง"</formula1>
      <formula2>0</formula2>
    </dataValidation>
    <dataValidation sqref="B3" showDropDown="0" showInputMessage="0" showErrorMessage="0" allowBlank="0" type="list" errorStyle="stop" operator="between">
      <formula1>"2,3,4,5,6"</formula1>
      <formula2>0</formula2>
    </dataValidation>
    <dataValidation sqref="B7" showDropDown="0" showInputMessage="0" showErrorMessage="0" allowBlank="0" type="list" errorStyle="stop" operator="between">
      <formula1>"มือจับล็อค,X-J,ลูกค้าเตรียมเอง"</formula1>
      <formula2>0</formula2>
    </dataValidation>
    <dataValidation sqref="B52" showDropDown="0" showInputMessage="0" showErrorMessage="0" allowBlank="1" type="list">
      <formula1>"มี,ไม่มี"</formula1>
    </dataValidation>
    <dataValidation sqref="B53" showDropDown="0" showInputMessage="0" showErrorMessage="0" allowBlank="1" type="list">
      <formula1>"ชุด SlimLux,ช่างแซก"</formula1>
    </dataValidation>
    <dataValidation sqref="B54" showDropDown="0" showInputMessage="0" showErrorMessage="0" allowBlank="1" type="list">
      <formula1>"สแกนหน้า,Touch"</formula1>
    </dataValidation>
    <dataValidation sqref="B55" showDropDown="0" showInputMessage="0" showErrorMessage="0" allowBlank="1" type="list">
      <formula1>"มี,ไม่มี"</formula1>
    </dataValidation>
    <dataValidation sqref="B56" showDropDown="0" showInputMessage="0" showErrorMessage="0" allowBlank="1" type="list">
      <formula1>"มี,ไม่มี"</formula1>
    </dataValidation>
    <dataValidation sqref="F10" showDropDown="0" showInputMessage="0" showErrorMessage="0" allowBlank="1" type="list">
      <formula1>"สีอบขาว/ดำ,เทาซาฮาร่า,สีอบพิเศษ,สีลายไม้อบพิเศษ"</formula1>
    </dataValidation>
    <dataValidation sqref="B10" showDropDown="0" showInputMessage="0" showErrorMessage="0" allowBlank="1" type="list">
      <formula1>SlimLuxGlass</formula1>
    </dataValidation>
    <dataValidation sqref="B61" showDropDown="0" showInputMessage="0" showErrorMessage="0" allowBlank="1" type="list">
      <formula1>MungList</formula1>
    </dataValidation>
    <dataValidation sqref="B62" showDropDown="0" showInputMessage="0" showErrorMessage="0" allowBlank="1" type="list">
      <formula1>ClothList</formula1>
    </dataValidation>
    <dataValidation sqref="C62" showDropDown="0" showInputMessage="0" showErrorMessage="0" allowBlank="1" type="list">
      <formula1>"เทา,ดำ"</formula1>
    </dataValidation>
  </dataValidations>
  <hyperlinks>
    <hyperlink ref="H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tabColor rgb="005B9BD5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10.7" customWidth="1" style="129" min="2" max="2"/>
    <col width="10.7" customWidth="1" style="129" min="3" max="3"/>
    <col width="18" customWidth="1" style="129" min="4" max="4"/>
    <col width="19.1" customWidth="1" style="129" min="5" max="5"/>
    <col width="5.4" customWidth="1" style="129" min="6" max="6"/>
    <col width="8.6" customWidth="1" style="129" min="7" max="7"/>
  </cols>
  <sheetData>
    <row r="1">
      <c r="A1" s="613" t="inlineStr">
        <is>
          <t>คิดทุน บานเลื่อนรางบน (Hafele · เลื่อนซ้อน) — ข้อ14</t>
        </is>
      </c>
      <c r="E1" s="643" t="n"/>
      <c r="G1" s="753" t="inlineStr">
        <is>
          <t>🏠 สารบัญ</t>
        </is>
      </c>
      <c r="H1" s="754" t="n"/>
    </row>
    <row r="2">
      <c r="A2" s="276" t="inlineStr">
        <is>
          <t>กว้างช่อง (ซม.) →</t>
        </is>
      </c>
      <c r="B2" s="422" t="n">
        <v>360</v>
      </c>
      <c r="E2" s="489" t="inlineStr">
        <is>
          <t>กว้าง/บาน=</t>
        </is>
      </c>
      <c r="F2" s="140">
        <f>B2/B4</f>
        <v/>
      </c>
    </row>
    <row r="3">
      <c r="A3" s="276" t="inlineStr">
        <is>
          <t>สูงช่อง (ซม.) →</t>
        </is>
      </c>
      <c r="B3" s="422" t="n">
        <v>240</v>
      </c>
      <c r="E3" s="489" t="inlineStr">
        <is>
          <t>พื้นที่ ตร.ม.=</t>
        </is>
      </c>
      <c r="F3" s="140">
        <f>(B2/100)*(B3/100)</f>
        <v/>
      </c>
    </row>
    <row r="4">
      <c r="A4" s="276" t="inlineStr">
        <is>
          <t>จำนวนบาน →</t>
        </is>
      </c>
      <c r="B4" s="422" t="n">
        <v>2</v>
      </c>
      <c r="E4" s="489" t="inlineStr">
        <is>
          <t>ราง/บาน (เส้น6ม.)=</t>
        </is>
      </c>
      <c r="F4" s="140">
        <f>ROUNDUP(B2*2/600,0)</f>
        <v/>
      </c>
    </row>
    <row r="5">
      <c r="A5" s="276" t="inlineStr">
        <is>
          <t>สีอลู →</t>
        </is>
      </c>
      <c r="B5" s="422" t="inlineStr">
        <is>
          <t>สีอบขาว/ดำ</t>
        </is>
      </c>
      <c r="E5" s="489" t="inlineStr">
        <is>
          <t>ราคากระจก/ตร.ม.=</t>
        </is>
      </c>
      <c r="F5" s="140">
        <f>INDEX(ราคาวัสดุกลาง!$I$2:$I$106,MATCH(B6,ราคาวัสดุกลาง!$H$2:$H$106,0))</f>
        <v/>
      </c>
    </row>
    <row r="6">
      <c r="A6" s="276" t="inlineStr">
        <is>
          <t>กระจก →</t>
        </is>
      </c>
      <c r="B6" s="422" t="inlineStr">
        <is>
          <t>เขียว 6มม.</t>
        </is>
      </c>
      <c r="E6" s="489" t="inlineStr">
        <is>
          <t>สีพิเศษ?=</t>
        </is>
      </c>
      <c r="F6" s="140">
        <f>IF(OR(B5="สีอบพิเศษ",B5="สีลายไม้อบพิเศษ"),1,0)</f>
        <v/>
      </c>
    </row>
    <row r="7">
      <c r="A7" s="276" t="inlineStr">
        <is>
          <t>บวกกำไร % →</t>
        </is>
      </c>
      <c r="B7" s="422" t="n">
        <v>100</v>
      </c>
      <c r="E7" s="489" t="inlineStr">
        <is>
          <t>เสากุญแจ/เส้น(สี)=</t>
        </is>
      </c>
      <c r="F7" s="140">
        <f>IF(B5="สีอบขาว/ดำ",IFERROR(VLOOKUP("B20051",ราคาสี!$A:$D,4,0),885),IF(OR(B5="เทาซาฮาร่า",B5="สีดำซาฮาร่า"),VLOOKUP("B20051",ราคาสี!$A:$F,5,0),IF(B5="ลายไม้ stock",VLOOKUP("B20051",ราคาสี!$A:$H,8,0),IFERROR(VLOOKUP("B20051",ราคาสี!$A:$D,4,0),885)+IF(B5="สีอบพิเศษ",rate_special,rate_woodbake)*4.91667)))</f>
        <v/>
      </c>
    </row>
    <row r="8">
      <c r="A8" s="276" t="inlineStr">
        <is>
          <t>ราคาซิลิโคน/หลอด →</t>
        </is>
      </c>
      <c r="B8" s="422" t="n">
        <v>90</v>
      </c>
      <c r="E8" s="489" t="inlineStr">
        <is>
          <t>ปัจจัยสีกล่อง=</t>
        </is>
      </c>
      <c r="F8" s="140">
        <f>IF(B5="สีอบขาว/ดำ",mult_mtong,IF(OR(B5="เทาซาฮาร่า",B5="สีดำซาฮาร่า"),mult_mtong+rate_grey/192,IF(B5="ลายไม้ stock",mult_mtong+rate_woodstock/192,IF(B5="สีอบพิเศษ",mult_mtong+rate_special/192,mult_mtong+rate_woodbake/192))))</f>
        <v/>
      </c>
    </row>
    <row r="10">
      <c r="A10" s="614" t="inlineStr">
        <is>
          <t>รายการวัสดุ</t>
        </is>
      </c>
      <c r="B10" s="614" t="inlineStr">
        <is>
          <t>จำนวน</t>
        </is>
      </c>
      <c r="C10" s="614" t="inlineStr">
        <is>
          <t>ราคา/หน่วย</t>
        </is>
      </c>
      <c r="D10" s="614" t="inlineStr">
        <is>
          <t>ทุน (บาท)</t>
        </is>
      </c>
    </row>
    <row r="11">
      <c r="A11" s="134" t="inlineStr">
        <is>
          <t>รางบน Hafele (กว้าง×2/บาน · เส้น6ม.)</t>
        </is>
      </c>
      <c r="B11" s="615">
        <f>F4*B4</f>
        <v/>
      </c>
      <c r="C11" s="616" t="n">
        <v>2010</v>
      </c>
      <c r="D11" s="622">
        <f>B11*C11</f>
        <v/>
      </c>
    </row>
    <row r="12">
      <c r="A12" s="134" t="inlineStr">
        <is>
          <t>ล้อ Hafele (1 กล่อง/บาน)</t>
        </is>
      </c>
      <c r="B12" s="615">
        <f>B4</f>
        <v/>
      </c>
      <c r="C12" s="616" t="n">
        <v>1170</v>
      </c>
      <c r="D12" s="622">
        <f>B12*C12</f>
        <v/>
      </c>
    </row>
    <row r="13">
      <c r="A13" s="134" t="inlineStr">
        <is>
          <t>เสารับ 1"×4" (1 ต้น · ยาว=สูง)</t>
        </is>
      </c>
      <c r="B13" s="615">
        <f>(B3/600)*buf_scrap</f>
        <v/>
      </c>
      <c r="C13" s="616">
        <f>ROUND(905*$F$8/5,0)*5</f>
        <v/>
      </c>
      <c r="D13" s="622">
        <f>B13*C13</f>
        <v/>
      </c>
    </row>
    <row r="14">
      <c r="A14" s="134" t="inlineStr">
        <is>
          <t>คานรับราง 1.6"×4" (1 เส้น · ยาว=ราง)</t>
        </is>
      </c>
      <c r="B14" s="615">
        <f>(B2*2/600)*buf_scrap</f>
        <v/>
      </c>
      <c r="C14" s="616">
        <f>ROUND(1220*$F$8/5,0)*5</f>
        <v/>
      </c>
      <c r="D14" s="622">
        <f>B14*C14</f>
        <v/>
      </c>
    </row>
    <row r="15">
      <c r="A15" s="134" t="inlineStr">
        <is>
          <t>กรอบบาน เสากุญแจ 20051 (รอบ4ด้าน×บาน)</t>
        </is>
      </c>
      <c r="B15" s="615">
        <f>(2*(B2+B4*B3)/600)*buf_scrap</f>
        <v/>
      </c>
      <c r="C15" s="616">
        <f>ROUND(F7*mult_sms/5,0)*5</f>
        <v/>
      </c>
      <c r="D15" s="622">
        <f>B15*C15</f>
        <v/>
      </c>
    </row>
    <row r="16">
      <c r="A16" s="134" t="inlineStr">
        <is>
          <t>กระจก (ตร.ม.)</t>
        </is>
      </c>
      <c r="B16" s="615">
        <f>F3</f>
        <v/>
      </c>
      <c r="C16" s="616">
        <f>F5</f>
        <v/>
      </c>
      <c r="D16" s="622">
        <f>B16*C16</f>
        <v/>
      </c>
    </row>
    <row r="17">
      <c r="A17" s="134" t="inlineStr">
        <is>
          <t>ชนกลางรับบาน (1 ท่อน · ยาว=สูง)</t>
        </is>
      </c>
      <c r="B17" s="615">
        <f>(B3/600)*buf_scrap</f>
        <v/>
      </c>
      <c r="C17" s="616">
        <f>ROUND(300*$F$8/5,0)*5</f>
        <v/>
      </c>
      <c r="D17" s="622">
        <f>B17*C17</f>
        <v/>
      </c>
    </row>
    <row r="18">
      <c r="A18" s="134" t="inlineStr">
        <is>
          <t>ฉาก 4" ปิดราง (2 ท่อน · ยาว=ราง)</t>
        </is>
      </c>
      <c r="B18" s="615">
        <f>2*(B2*2/600)*buf_scrap</f>
        <v/>
      </c>
      <c r="C18" s="616">
        <f>ROUND(280*$F$8/5,0)*5</f>
        <v/>
      </c>
      <c r="D18" s="622">
        <f>B18*C18</f>
        <v/>
      </c>
    </row>
    <row r="19">
      <c r="A19" s="134" t="inlineStr">
        <is>
          <t>มือจับ Align (2/บาน)</t>
        </is>
      </c>
      <c r="B19" s="615">
        <f>2*B4</f>
        <v/>
      </c>
      <c r="C19" s="616" t="n">
        <v>99</v>
      </c>
      <c r="D19" s="622">
        <f>B19*C19</f>
        <v/>
      </c>
    </row>
    <row r="20">
      <c r="A20" s="134" t="inlineStr">
        <is>
          <t>ชุดล็อค (1/บาน)</t>
        </is>
      </c>
      <c r="B20" s="615">
        <f>B4</f>
        <v/>
      </c>
      <c r="C20" s="616" t="n">
        <v>189</v>
      </c>
      <c r="D20" s="622">
        <f>B20*C20</f>
        <v/>
      </c>
    </row>
    <row r="21">
      <c r="A21" s="134" t="inlineStr">
        <is>
          <t>ซิลิโคน (หลอด) ใน+นอก</t>
        </is>
      </c>
      <c r="B21" s="615">
        <f>ROUNDUP(2*(B2+B3)/100*2/12.5,0)</f>
        <v/>
      </c>
      <c r="C21" s="616">
        <f>B8</f>
        <v/>
      </c>
      <c r="D21" s="622">
        <f>B21*C21</f>
        <v/>
      </c>
    </row>
    <row r="22">
      <c r="A22" s="134" t="inlineStr">
        <is>
          <t>ค่าเปิดตู้อบ (สีพิเศษ)</t>
        </is>
      </c>
      <c r="B22" s="615">
        <f>F6</f>
        <v/>
      </c>
      <c r="C22" s="616" t="n">
        <v>2000</v>
      </c>
      <c r="D22" s="622">
        <f>B22*C22</f>
        <v/>
      </c>
    </row>
    <row r="23">
      <c r="A23" s="617" t="inlineStr">
        <is>
          <t>ทุนรวม</t>
        </is>
      </c>
      <c r="D23" s="623">
        <f>SUM(D11:D22)</f>
        <v/>
      </c>
    </row>
    <row r="24">
      <c r="A24" s="276" t="inlineStr">
        <is>
          <t>ทุน/ตร.ม.</t>
        </is>
      </c>
      <c r="D24" s="624">
        <f>IFERROR(ROUND(D23/F3,0),0)</f>
        <v/>
      </c>
    </row>
    <row r="25">
      <c r="A25" s="276" t="inlineStr">
        <is>
          <t>ราคาขาย/ตร.ม. (ทุน+กำไร%)</t>
        </is>
      </c>
      <c r="D25" s="625">
        <f>ROUNDUP(D23*(1+B7/100)/100,0)*100</f>
        <v/>
      </c>
    </row>
    <row r="26">
      <c r="A26" s="276" t="inlineStr">
        <is>
          <t>ราคาขายรวม/ชุด</t>
        </is>
      </c>
      <c r="D26" s="625">
        <f>D25*F3</f>
        <v/>
      </c>
    </row>
    <row r="27">
      <c r="A27" s="276" t="inlineStr">
        <is>
          <t>%กำไรจริง</t>
        </is>
      </c>
      <c r="D27" s="621">
        <f>IFERROR((D25-D23/F3)/(D23/F3),0)</f>
        <v/>
      </c>
    </row>
    <row r="28">
      <c r="A28" s="514" t="inlineStr">
        <is>
          <t>หมายเหตุ: เพิ่มบาน=เพิ่มราง+ล้อ (รางบน 1 บาน/ราง) · ราง/ฉาก/คานคิดเส้น 6ม. · เสากุญแจ20051 คิด นน.×ราคา/กก.(mult_sms) ราคาสีในช่อง F7 · ค่าแรงยังไม่รวม (รอเรต)</t>
        </is>
      </c>
    </row>
    <row r="30">
      <c r="A30" s="626" t="inlineStr">
        <is>
          <t>— ค่าแรง (ผลิต 6ชม×1 · ติดตั้ง 2คน×4ชม · เพิ่ม/ตร.ม. อ้าง SMS) —</t>
        </is>
      </c>
    </row>
    <row r="31">
      <c r="A31" s="276" t="inlineStr">
        <is>
          <t>ค่าแรงผลิต</t>
        </is>
      </c>
      <c r="D31" s="627">
        <f>MAX(0,VLOOKUP("บานเลื่อนรางบน",ค่าแรง!$A$12:$E$28,2,0)+VLOOKUP("บานเลื่อนรางบน",ค่าแรง!$A$12:$E$28,3,0)*F3)</f>
        <v/>
      </c>
    </row>
    <row r="32">
      <c r="A32" s="276" t="inlineStr">
        <is>
          <t>ค่าแรงติดตั้ง</t>
        </is>
      </c>
      <c r="D32" s="627">
        <f>MAX(0,VLOOKUP("บานเลื่อนรางบน",ค่าแรง!$A$12:$E$28,4,0)+VLOOKUP("บานเลื่อนรางบน",ค่าแรง!$A$12:$E$28,5,0)*F3)</f>
        <v/>
      </c>
    </row>
    <row r="33">
      <c r="A33" s="276" t="inlineStr">
        <is>
          <t>ราคาขาย ผลิต+ติดตั้ง (ทุน×2)</t>
        </is>
      </c>
      <c r="D33" s="627">
        <f>ROUNDUP((D23+D31+D32)*(1+B7/100)/100,0)*100</f>
        <v/>
      </c>
    </row>
    <row r="34">
      <c r="A34" s="745" t="n"/>
      <c r="B34" s="745" t="n"/>
      <c r="C34" s="745" t="n"/>
      <c r="D34" s="745" t="n"/>
      <c r="E34" s="745" t="n"/>
      <c r="F34" s="745" t="n"/>
      <c r="G34" s="745" t="n"/>
      <c r="H34" s="745" t="n"/>
      <c r="I34" s="745" t="n"/>
      <c r="J34" s="745" t="n"/>
      <c r="K34" s="745" t="n"/>
    </row>
    <row r="35">
      <c r="A35" s="746" t="n"/>
      <c r="B35" s="745" t="n"/>
      <c r="C35" s="745" t="n"/>
      <c r="D35" s="745" t="n"/>
      <c r="E35" s="745" t="n"/>
      <c r="F35" s="745" t="n"/>
      <c r="G35" s="745" t="n"/>
      <c r="H35" s="745" t="n"/>
      <c r="I35" s="745" t="n"/>
      <c r="J35" s="745" t="n"/>
      <c r="K35" s="745" t="n"/>
    </row>
    <row r="36">
      <c r="A36" s="747" t="n"/>
      <c r="B36" s="748" t="n"/>
      <c r="C36" s="745" t="n"/>
      <c r="D36" s="745" t="n"/>
      <c r="E36" s="745" t="n"/>
      <c r="F36" s="745" t="n"/>
      <c r="G36" s="745" t="n"/>
      <c r="H36" s="745" t="n"/>
      <c r="I36" s="745" t="n"/>
      <c r="J36" s="745" t="n"/>
      <c r="K36" s="745" t="n"/>
    </row>
    <row r="37">
      <c r="A37" s="747" t="n"/>
      <c r="B37" s="748" t="n"/>
      <c r="C37" s="745" t="n"/>
      <c r="D37" s="745" t="n"/>
      <c r="E37" s="745" t="n"/>
      <c r="F37" s="745" t="n"/>
      <c r="G37" s="745" t="n"/>
      <c r="H37" s="745" t="n"/>
      <c r="I37" s="745" t="n"/>
      <c r="J37" s="745" t="n"/>
      <c r="K37" s="745" t="n"/>
    </row>
    <row r="38">
      <c r="A38" s="747" t="n"/>
      <c r="B38" s="748" t="n"/>
      <c r="C38" s="745" t="n"/>
      <c r="D38" s="745" t="n"/>
      <c r="E38" s="745" t="n"/>
      <c r="F38" s="745" t="n"/>
      <c r="G38" s="745" t="n"/>
      <c r="H38" s="745" t="n"/>
      <c r="I38" s="745" t="n"/>
      <c r="J38" s="745" t="n"/>
      <c r="K38" s="745" t="n"/>
    </row>
    <row r="39">
      <c r="A39" s="747" t="n"/>
      <c r="B39" s="749" t="n"/>
      <c r="C39" s="745" t="n"/>
      <c r="D39" s="745" t="n"/>
      <c r="E39" s="745" t="n"/>
      <c r="F39" s="745" t="n"/>
      <c r="G39" s="745" t="n"/>
      <c r="H39" s="745" t="n"/>
      <c r="I39" s="745" t="n"/>
      <c r="J39" s="745" t="n"/>
      <c r="K39" s="745" t="n"/>
    </row>
    <row r="40">
      <c r="A40" s="745" t="n"/>
      <c r="B40" s="745" t="n"/>
      <c r="C40" s="745" t="n"/>
      <c r="D40" s="745" t="n"/>
      <c r="E40" s="745" t="n"/>
      <c r="F40" s="745" t="n"/>
      <c r="G40" s="745" t="n"/>
      <c r="H40" s="745" t="n"/>
      <c r="I40" s="745" t="n"/>
      <c r="J40" s="745" t="n"/>
      <c r="K40" s="745" t="n"/>
    </row>
    <row r="41">
      <c r="A41" s="738" t="inlineStr">
        <is>
          <t>🔍 แยกก้อนต้นทุน</t>
        </is>
      </c>
    </row>
    <row r="42">
      <c r="A42" s="739" t="inlineStr">
        <is>
          <t>ทุนอลู (×ราคา/กก.)</t>
        </is>
      </c>
      <c r="B42" s="740">
        <f>D11+D12+D13+D14+D15+D18+D21</f>
        <v/>
      </c>
    </row>
    <row r="43">
      <c r="A43" s="741" t="inlineStr">
        <is>
          <t>ทุนกระจก</t>
        </is>
      </c>
      <c r="B43" s="742">
        <f>D16</f>
        <v/>
      </c>
    </row>
    <row r="44">
      <c r="A44" s="741" t="inlineStr">
        <is>
          <t>ทุนอุปกรณ์+ซิลิโคน</t>
        </is>
      </c>
      <c r="B44" s="742">
        <f>D17+D19+D20+D22</f>
        <v/>
      </c>
    </row>
    <row r="45">
      <c r="A45" s="741" t="inlineStr">
        <is>
          <t>รวมวัสดุ</t>
        </is>
      </c>
      <c r="B45" s="743">
        <f>B42+B43+B44</f>
        <v/>
      </c>
    </row>
  </sheetData>
  <mergeCells count="1">
    <mergeCell ref="A1:D1"/>
  </mergeCells>
  <dataValidations count="2">
    <dataValidation sqref="B5" showDropDown="0" showInputMessage="0" showErrorMessage="0" allowBlank="0" type="list">
      <formula1>"สีอบขาว/ดำ,เทาซาฮาร่า,สีดำซาฮาร่า,ลายไม้ stock,สีอบพิเศษ,สีลายไม้อบพิเศษ"</formula1>
    </dataValidation>
    <dataValidation sqref="B6" showDropDown="0" showInputMessage="0" showErrorMessage="0" allowBlank="0" type="list">
      <formula1>GlassNames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6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0.7" customWidth="1" style="140" min="2" max="3"/>
    <col width="10.7" customWidth="1" style="129" min="3" max="3"/>
    <col width="24" customWidth="1" style="140" min="4" max="4"/>
    <col width="24" customWidth="1" style="129" min="5" max="5"/>
    <col width="10.7" customWidth="1" style="129" min="6" max="6"/>
    <col width="8.6" customWidth="1" style="129" min="7" max="7"/>
    <col width="4.5" customWidth="1" style="129" min="8" max="8"/>
  </cols>
  <sheetData>
    <row r="1" ht="24" customHeight="1" s="129">
      <c r="A1" s="286" t="inlineStr">
        <is>
          <t>คิดทุนบานเปิด (Fuji, ขาวดำ) — นับเส้นเต็ม</t>
        </is>
      </c>
      <c r="E1" s="643" t="n"/>
      <c r="G1" s="753" t="inlineStr">
        <is>
          <t>🏠 สารบัญ</t>
        </is>
      </c>
      <c r="H1" s="754" t="n"/>
    </row>
    <row r="3" ht="15" customHeight="1" s="129">
      <c r="A3" s="288" t="inlineStr">
        <is>
          <t>กว้างรวม (ซม.) →</t>
        </is>
      </c>
      <c r="B3" s="289" t="n">
        <v>150</v>
      </c>
    </row>
    <row r="4" ht="15" customHeight="1" s="129">
      <c r="A4" s="288" t="inlineStr">
        <is>
          <t>สูง (ซม.) →</t>
        </is>
      </c>
      <c r="B4" s="289" t="n">
        <v>200</v>
      </c>
    </row>
    <row r="5" ht="15" customHeight="1" s="129">
      <c r="A5" s="288" t="inlineStr">
        <is>
          <t>จำนวนบาน →</t>
        </is>
      </c>
      <c r="B5" s="289" t="n">
        <v>1</v>
      </c>
    </row>
    <row r="6" ht="15" customHeight="1" s="129">
      <c r="A6" s="288" t="inlineStr">
        <is>
          <t>ธรณี (มี/ไม่มี) →</t>
        </is>
      </c>
      <c r="B6" s="301" t="inlineStr">
        <is>
          <t>มี</t>
        </is>
      </c>
    </row>
    <row r="7" ht="15" customHeight="1" s="129">
      <c r="A7" s="310" t="inlineStr">
        <is>
          <t>พื้นที่ (ตร.ม.) =</t>
        </is>
      </c>
      <c r="B7" s="311">
        <f>(B3/100)*(B4/100)</f>
        <v/>
      </c>
    </row>
    <row r="8" ht="15" customHeight="1" s="129">
      <c r="A8" s="288" t="inlineStr">
        <is>
          <t>บวกกำไร % →</t>
        </is>
      </c>
      <c r="B8" s="301" t="n">
        <v>100</v>
      </c>
    </row>
    <row r="9" ht="15" customHeight="1" s="129">
      <c r="A9" s="288" t="inlineStr">
        <is>
          <t>ราคาซิลิโคน/หลอด →</t>
        </is>
      </c>
      <c r="B9" s="289" t="n">
        <v>90</v>
      </c>
    </row>
    <row r="10" ht="15" customHeight="1" s="129">
      <c r="A10" s="287" t="inlineStr">
        <is>
          <t>กระจก →</t>
        </is>
      </c>
      <c r="B10" s="283" t="inlineStr">
        <is>
          <t>เขียว 6มม.</t>
        </is>
      </c>
      <c r="C10" s="312">
        <f>INDEX(ราคาวัสดุกลาง!$I$2:$I$106,MATCH(B10,ราคาวัสดุกลาง!$H$2:$H$106,0))</f>
        <v/>
      </c>
      <c r="D10" s="287" t="inlineStr">
        <is>
          <t>← ราคากระจก/ตร.ม. (อัตโนมัติ)</t>
        </is>
      </c>
      <c r="E10" s="287" t="inlineStr">
        <is>
          <t>สี →</t>
        </is>
      </c>
      <c r="F10" s="283" t="inlineStr">
        <is>
          <t>สีอบขาว/ดำ</t>
        </is>
      </c>
      <c r="G10" s="287" t="n"/>
    </row>
    <row r="11" ht="15" customHeight="1" s="129">
      <c r="A11" s="313" t="inlineStr">
        <is>
          <t>วัสดุ</t>
        </is>
      </c>
      <c r="B11" s="313" t="inlineStr">
        <is>
          <t>จำนวน</t>
        </is>
      </c>
      <c r="C11" s="313" t="inlineStr">
        <is>
          <t>ราคา/หน่วย</t>
        </is>
      </c>
      <c r="D11" s="313" t="inlineStr">
        <is>
          <t>ทุน(บาท)</t>
        </is>
      </c>
    </row>
    <row r="12" ht="15" customHeight="1" s="129">
      <c r="A12" s="290" t="inlineStr">
        <is>
          <t>วงกบ 3 ด้าน F7859</t>
        </is>
      </c>
      <c r="B12" s="314">
        <f>((B3+2*B4)/640)*buf_scrap</f>
        <v/>
      </c>
      <c r="C12" s="315">
        <f>IF(F10="สีอบขาว/ดำ",IFERROR(VLOOKUP("F7859",ราคาสี!$A:$D,4,0),1100),IF(OR(F10="เทาซาฮาร่า",F10="สีดำซาฮาร่า"),VLOOKUP("F7859",ราคาสี!$A:$F,5,0),IF(F10="แอทแทคเกรย์",VLOOKUP("F7859",ราคาสี!$A:$J,7,0),IF(F10="ลายไม้สักทอง",(VLOOKUP("F7859",ราคาสี!$A:$H,8,0)*mult_wood/mult_euro),IF(F10="ลายไม้มะฮอกกานี",(VLOOKUP("F7859",ราคาสี!$A:$J,9,0)*mult_wood/mult_euro),IF(F10="ลายไม้ไวท์โอ๊ค",(VLOOKUP("F7859",ราคาสี!$A:$J,10,0)*mult_wood/mult_euro),IFERROR(VLOOKUP("F7859",ราคาสี!$A:$D,4,0),1100)+IF(F10="สีอบพิเศษ",rate_special,rate_woodbake)*6.11111))))))</f>
        <v/>
      </c>
      <c r="D12" s="305">
        <f>B12*C12*mult_euro</f>
        <v/>
      </c>
    </row>
    <row r="13" ht="15" customHeight="1" s="129">
      <c r="A13" s="290" t="inlineStr">
        <is>
          <t>ธรณี F7938B</t>
        </is>
      </c>
      <c r="B13" s="314">
        <f>IF(B6="มี",(B3/640)*buf_scrap,0)</f>
        <v/>
      </c>
      <c r="C13" s="315">
        <f>IF(F10="สีอบขาว/ดำ",IFERROR(VLOOKUP("F7938B",ราคาสี!$A:$D,4,0),1400),IF(OR(F10="เทาซาฮาร่า",F10="สีดำซาฮาร่า"),VLOOKUP("F7938B",ราคาสี!$A:$F,5,0),IF(F10="แอทแทคเกรย์",VLOOKUP("F7938B",ราคาสี!$A:$J,7,0),IF(F10="ลายไม้สักทอง",(VLOOKUP("F7938B",ราคาสี!$A:$H,8,0)*mult_wood/mult_euro),IF(F10="ลายไม้มะฮอกกานี",(VLOOKUP("F7938B",ราคาสี!$A:$J,9,0)*mult_wood/mult_euro),IF(F10="ลายไม้ไวท์โอ๊ค",(VLOOKUP("F7938B",ราคาสี!$A:$J,10,0)*mult_wood/mult_euro),IFERROR(VLOOKUP("F7938B",ราคาสี!$A:$D,4,0),1400)+IF(F10="สีอบพิเศษ",rate_special,rate_woodbake)*7.77778))))))</f>
        <v/>
      </c>
      <c r="D13" s="305">
        <f>B13*C13*mult_euro</f>
        <v/>
      </c>
    </row>
    <row r="14" ht="15" customHeight="1" s="129">
      <c r="A14" s="290" t="inlineStr">
        <is>
          <t>ตบธรณี F7960</t>
        </is>
      </c>
      <c r="B14" s="314">
        <f>IF(B6="มี",(B3/640)*buf_scrap,0)</f>
        <v/>
      </c>
      <c r="C14" s="315">
        <f>IF(F10="สีอบขาว/ดำ",IFERROR(VLOOKUP("F7960",ราคาสี!$A:$D,4,0),575),IF(OR(F10="เทาซาฮาร่า",F10="สีดำซาฮาร่า"),VLOOKUP("F7960",ราคาสี!$A:$F,5,0),IF(F10="แอทแทคเกรย์",VLOOKUP("F7960",ราคาสี!$A:$J,7,0),IF(F10="ลายไม้สักทอง",(VLOOKUP("F7960",ราคาสี!$A:$H,8,0)*mult_wood/mult_euro),IF(F10="ลายไม้มะฮอกกานี",(VLOOKUP("F7960",ราคาสี!$A:$J,9,0)*mult_wood/mult_euro),IF(F10="ลายไม้ไวท์โอ๊ค",(VLOOKUP("F7960",ราคาสี!$A:$J,10,0)*mult_wood/mult_euro),IFERROR(VLOOKUP("F7960",ราคาสี!$A:$D,4,0),575)+IF(F10="สีอบพิเศษ",rate_special,rate_woodbake)*3.19444))))))</f>
        <v/>
      </c>
      <c r="D14" s="305">
        <f>B14*C14*mult_euro</f>
        <v/>
      </c>
    </row>
    <row r="15" ht="15" customHeight="1" s="129">
      <c r="A15" s="290" t="inlineStr">
        <is>
          <t>เสริมใต้บาน F7863</t>
        </is>
      </c>
      <c r="B15" s="314">
        <f>IF(B6="ไม่มี",(B3/640)*buf_scrap,0)</f>
        <v/>
      </c>
      <c r="C15" s="315">
        <f>IF(F10="สีอบขาว/ดำ",435,IF(OR(F10="เทาซาฮาร่า",F10="สีดำซาฮาร่า"),435+rate_grey*2.41667,IF(F10="แอทแทคเกรย์",435+rate_grey*2.41667,IF(F10="ลายไม้สักทอง",645,IF(F10="ลายไม้มะฮอกกานี",645,IF(F10="ลายไม้ไวท์โอ๊ค",645,435+IF(F10="สีอบพิเศษ",rate_special,rate_woodbake)*2.41667))))))</f>
        <v/>
      </c>
      <c r="D15" s="305">
        <f>B15*C15*mult_euro</f>
        <v/>
      </c>
    </row>
    <row r="16" ht="15" customHeight="1" s="129">
      <c r="A16" s="290" t="inlineStr">
        <is>
          <t>กรอบประตู 7864</t>
        </is>
      </c>
      <c r="B16" s="314">
        <f>((2*B5*B4+2*B3)/640)*buf_scrap</f>
        <v/>
      </c>
      <c r="C16" s="315">
        <f>IF(F10="สีอบขาว/ดำ",1995,IF(OR(F10="เทาซาฮาร่า",F10="สีดำซาฮาร่า"),1995+rate_grey*11.08333,IF(F10="แอทแทคเกรย์",1995+rate_grey*11.08333,IF(F10="ลายไม้สักทอง",3170,IF(F10="ลายไม้มะฮอกกานี",3170,IF(F10="ลายไม้ไวท์โอ๊ค",3170,1995+IF(F10="สีอบพิเศษ",rate_special,rate_woodbake)*11.08333))))))</f>
        <v/>
      </c>
      <c r="D16" s="305">
        <f>B16*C16*mult_euro</f>
        <v/>
      </c>
    </row>
    <row r="17" ht="15" customHeight="1" s="129">
      <c r="A17" s="290" t="inlineStr">
        <is>
          <t>คิ้ว F7935</t>
        </is>
      </c>
      <c r="B17" s="314">
        <f>((2*B5*B4+2*B3)/640)*buf_scrap</f>
        <v/>
      </c>
      <c r="C17" s="315">
        <f>IF(F10="สีอบขาว/ดำ",360,IF(OR(F10="เทาซาฮาร่า",F10="สีดำซาฮาร่า"),360+rate_grey*2.0,IF(F10="แอทแทคเกรย์",360+rate_grey*2.0,IF(F10="ลายไม้สักทอง",570,IF(F10="ลายไม้มะฮอกกานี",570,IF(F10="ลายไม้ไวท์โอ๊ค",570,360+IF(F10="สีอบพิเศษ",rate_special,rate_woodbake)*2.0))))))</f>
        <v/>
      </c>
      <c r="D17" s="305">
        <f>B17*C17*mult_euro</f>
        <v/>
      </c>
    </row>
    <row r="18" ht="15" customHeight="1" s="129">
      <c r="A18" s="290" t="inlineStr">
        <is>
          <t>เปิดกลาง F7945c</t>
        </is>
      </c>
      <c r="B18" s="314">
        <f>IF(B5&gt;1,1,0)</f>
        <v/>
      </c>
      <c r="C18" s="315">
        <f>IF(F10="สีอบขาว/ดำ",775,IF(OR(F10="เทาซาฮาร่า",F10="สีดำซาฮาร่า"),775+rate_grey*4.30556,IF(F10="แอทแทคเกรย์",775+rate_grey*4.30556,IF(F10="ลายไม้สักทอง",1080,IF(F10="ลายไม้มะฮอกกานี",1080,IF(F10="ลายไม้ไวท์โอ๊ค",1080,775+IF(F10="สีอบพิเศษ",rate_special,rate_woodbake)*4.30556))))))</f>
        <v/>
      </c>
      <c r="D18" s="305">
        <f>B18*C18*mult_euro</f>
        <v/>
      </c>
    </row>
    <row r="19" ht="15" customHeight="1" s="129">
      <c r="A19" s="290" t="inlineStr">
        <is>
          <t>บานพับ hyda</t>
        </is>
      </c>
      <c r="B19" s="314">
        <f>IF(OR(B4&gt;300,B3/B5&gt;120),5,4)*B5</f>
        <v/>
      </c>
      <c r="C19" s="315" t="n">
        <v>117</v>
      </c>
      <c r="D19" s="305">
        <f>B19*C19</f>
        <v/>
      </c>
    </row>
    <row r="20" ht="15" customHeight="1" s="129">
      <c r="A20" s="290" t="inlineStr">
        <is>
          <t>มือจับ+ล็อค ใบหลัก</t>
        </is>
      </c>
      <c r="B20" s="314">
        <f>1</f>
        <v/>
      </c>
      <c r="C20" s="315" t="n">
        <v>1045</v>
      </c>
      <c r="D20" s="305">
        <f>B20*C20</f>
        <v/>
      </c>
    </row>
    <row r="21" ht="15" customHeight="1" s="129">
      <c r="A21" s="290" t="inlineStr">
        <is>
          <t>ชุดกลอน ใบลอง</t>
        </is>
      </c>
      <c r="B21" s="314">
        <f>MAX(B5-1,0)</f>
        <v/>
      </c>
      <c r="C21" s="315" t="n">
        <v>450</v>
      </c>
      <c r="D21" s="305">
        <f>B21*C21</f>
        <v/>
      </c>
    </row>
    <row r="22" ht="15" customHeight="1" s="129">
      <c r="A22" s="290" t="inlineStr">
        <is>
          <t>น็อตเฟรม</t>
        </is>
      </c>
      <c r="B22" s="314">
        <f>IF(B6="มี",8,6)</f>
        <v/>
      </c>
      <c r="C22" s="315" t="n">
        <v>1</v>
      </c>
      <c r="D22" s="305">
        <f>B22*C22</f>
        <v/>
      </c>
    </row>
    <row r="23" ht="15" customHeight="1" s="129">
      <c r="A23" s="290" t="inlineStr">
        <is>
          <t>ยาง (ม.)</t>
        </is>
      </c>
      <c r="B23" s="314">
        <f>ROUND(2*(B3+B4)/100*B5,0)</f>
        <v/>
      </c>
      <c r="C23" s="315" t="n">
        <v>11</v>
      </c>
      <c r="D23" s="305">
        <f>B23*C23</f>
        <v/>
      </c>
    </row>
    <row r="24" ht="15" customHeight="1" s="129">
      <c r="A24" s="290" t="inlineStr">
        <is>
          <t>กระจก (ตร.ม.)</t>
        </is>
      </c>
      <c r="B24" s="314">
        <f>B7</f>
        <v/>
      </c>
      <c r="C24" s="315">
        <f>INDEX(ราคาวัสดุกลาง!$I$2:$I$106,MATCH(B10,ราคาวัสดุกลาง!$H$2:$H$106,0))</f>
        <v/>
      </c>
      <c r="D24" s="305">
        <f>B24*C24</f>
        <v/>
      </c>
    </row>
    <row r="25" ht="15" customHeight="1" s="129">
      <c r="A25" s="290" t="inlineStr">
        <is>
          <t>ซิลิโคน (หลอด) ใน+นอก</t>
        </is>
      </c>
      <c r="B25" s="314">
        <f>ROUNDUP(2*(B3+B4)/100*2/12.5,0)</f>
        <v/>
      </c>
      <c r="C25" s="315">
        <f>B9</f>
        <v/>
      </c>
      <c r="D25" s="305">
        <f>B25*C25</f>
        <v/>
      </c>
    </row>
    <row r="26" ht="15" customHeight="1" s="129">
      <c r="A26" s="316" t="inlineStr">
        <is>
          <t>ค่าเปิดตู้อบ</t>
        </is>
      </c>
      <c r="B26" s="316">
        <f>IF(OR(F10="สีอบพิเศษ",F10="สีลายไม้อบพิเศษ"),1,0)</f>
        <v/>
      </c>
      <c r="C26" s="312" t="n">
        <v>2000</v>
      </c>
      <c r="D26" s="312">
        <f>B26*C26</f>
        <v/>
      </c>
      <c r="E26" s="316" t="inlineStr">
        <is>
          <t>สีอบพิเศษ / ลายไม้อบพิเศษ เท่านั้น</t>
        </is>
      </c>
    </row>
    <row r="27" ht="15" customHeight="1" s="129">
      <c r="A27" s="317" t="inlineStr">
        <is>
          <t>ทุนรวม</t>
        </is>
      </c>
      <c r="D27" s="318">
        <f>SUM(D12:D26)+D46+D47+D48+D49</f>
        <v/>
      </c>
    </row>
    <row r="28" ht="15" customHeight="1" s="129">
      <c r="A28" s="317" t="inlineStr">
        <is>
          <t>ทุน/ตร.ม.</t>
        </is>
      </c>
      <c r="D28" s="318">
        <f>IFERROR(D27/B7,0)</f>
        <v/>
      </c>
    </row>
    <row r="29" ht="15" customHeight="1" s="129">
      <c r="A29" s="319" t="inlineStr">
        <is>
          <t>ราคาขาย/ตร.ม. (ทุน+กำไร%)</t>
        </is>
      </c>
      <c r="D29" s="321">
        <f>ROUNDUP(D27*(1+B8/100)/100,0)*100</f>
        <v/>
      </c>
    </row>
    <row r="30" ht="15" customHeight="1" s="129">
      <c r="A30" s="319" t="inlineStr">
        <is>
          <t>ราคาขายรวม/ชุด</t>
        </is>
      </c>
      <c r="D30" s="321">
        <f>D29</f>
        <v/>
      </c>
    </row>
    <row r="31" ht="15" customHeight="1" s="129">
      <c r="A31" s="322" t="inlineStr">
        <is>
          <t>%กำไรจริง (บนทุน)</t>
        </is>
      </c>
      <c r="D31" s="323">
        <f>IFERROR((D29-D27)/D27,0)</f>
        <v/>
      </c>
    </row>
    <row r="32" ht="15" customHeight="1" s="129">
      <c r="A32" s="200" t="n"/>
      <c r="D32" s="169" t="n"/>
    </row>
    <row r="33" ht="15" customHeight="1" s="129">
      <c r="D33" s="169" t="n"/>
    </row>
    <row r="34" ht="15" customHeight="1" s="129">
      <c r="A34" s="201" t="n"/>
      <c r="B34" s="202" t="n"/>
      <c r="C34" s="202" t="n"/>
      <c r="D34" s="203" t="n"/>
    </row>
    <row r="35">
      <c r="A35" s="276" t="inlineStr">
        <is>
          <t>— ผูกค่าแรง (ราคาขายรวมค่าแรง) —</t>
        </is>
      </c>
    </row>
    <row r="36">
      <c r="A36" s="324" t="inlineStr">
        <is>
          <t>ค่าแรงผลิต (จากชีทค่าแรง)</t>
        </is>
      </c>
      <c r="D36" s="277">
        <f>MAX(0,VLOOKUP("บานเปิด (ยูโร)",'ค่าแรง'!$A$12:$E$27,2,0)+VLOOKUP("บานเปิด (ยูโร)",'ค่าแรง'!$A$12:$E$27,3,0)*B7)</f>
        <v/>
      </c>
    </row>
    <row r="37">
      <c r="A37" s="324" t="inlineStr">
        <is>
          <t>ค่าแรงติดตั้ง (จากชีทค่าแรง)</t>
        </is>
      </c>
      <c r="D37" s="277">
        <f>MAX(0,VLOOKUP("บานเปิด (ยูโร)",'ค่าแรง'!$A$12:$E$27,4,0)+VLOOKUP("บานเปิด (ยูโร)",'ค่าแรง'!$A$12:$E$27,5,0)*B7)</f>
        <v/>
      </c>
    </row>
    <row r="38">
      <c r="A38" s="324" t="inlineStr">
        <is>
          <t>กำไรติดตั้ง % →</t>
        </is>
      </c>
      <c r="B38" s="278" t="n">
        <v>100</v>
      </c>
    </row>
    <row r="39">
      <c r="A39" s="276" t="inlineStr">
        <is>
          <t>ราคาขาย ผลิตอย่างเดียว</t>
        </is>
      </c>
      <c r="D39" s="279">
        <f>ROUNDUP((D27+D36+D50)*(1+B8/100)/100,0)*100</f>
        <v/>
      </c>
    </row>
    <row r="40">
      <c r="A40" s="276" t="inlineStr">
        <is>
          <t>ราคาขาย ผลิต+ติดตั้ง</t>
        </is>
      </c>
      <c r="D40" s="279">
        <f>D39+ROUNDUP((D37+D51)*(1+B38/100)/100,0)*100</f>
        <v/>
      </c>
    </row>
    <row r="41">
      <c r="A41" s="276" t="inlineStr">
        <is>
          <t>%กำไรจริง (ผลิต+ติดตั้ง)</t>
        </is>
      </c>
      <c r="D41" s="280">
        <f>(D40-(D27+D36+D37+D50+D51))/(D27+D36+D37+D50+D51)</f>
        <v/>
      </c>
    </row>
    <row r="43">
      <c r="A43" s="532" t="inlineStr">
        <is>
          <t>— มุ้ง (ออปชั่น) — บวกเข้าทุน —</t>
        </is>
      </c>
    </row>
    <row r="44">
      <c r="A44" s="276" t="inlineStr">
        <is>
          <t>เลือกมุ้ง →</t>
        </is>
      </c>
      <c r="B44" s="594" t="inlineStr">
        <is>
          <t>ไม่มีมุ้ง</t>
        </is>
      </c>
      <c r="C44" s="140">
        <f>IF(B44="ไม่มีมุ้ง","—",IF(H45=1,"✓ ใช้ได้","⚠ ใช้กับบานนี้ไม่ได้(ทุน=0)"))</f>
        <v/>
      </c>
      <c r="D44" s="140">
        <f>IF(B44="ไม่มีมุ้ง","",H50&amp;" บาน")</f>
        <v/>
      </c>
      <c r="H44" s="514">
        <f>IFERROR(VLOOKUP(B44,ราคามุ้ง!$A$2:$O$15,3,0),"")</f>
        <v/>
      </c>
    </row>
    <row r="45">
      <c r="A45" s="387" t="inlineStr">
        <is>
          <t>ชนิดผ้า / สี →</t>
        </is>
      </c>
      <c r="B45" s="594" t="inlineStr">
        <is>
          <t>ไฟเบอร์</t>
        </is>
      </c>
      <c r="C45" s="594" t="inlineStr">
        <is>
          <t>เทา</t>
        </is>
      </c>
      <c r="H45" s="514">
        <f>IF(B44="ไม่มีมุ้ง",0,IF(OR(IFERROR(VLOOKUP(B44,ราคามุ้ง!$A$2:$O$15,4,0),"ALL")="ALL",ISNUMBER(SEARCH("เปิด",IFERROR(VLOOKUP(B44,ราคามุ้ง!$A$2:$O$15,4,0),"")))),1,0))</f>
        <v/>
      </c>
    </row>
    <row r="46">
      <c r="A46" s="387" t="inlineStr">
        <is>
          <t>› เสา (เส้น 6ม.)</t>
        </is>
      </c>
      <c r="B46" s="601">
        <f>IF(AND(H45=1,H46=1),ROUND(H50*2*H49/6,2),0)</f>
        <v/>
      </c>
      <c r="C46" s="598">
        <f>IF(B44="มุ้งเฟรมเล็ก",'ราคามุ้ง'!$B$19,IF(B44="มุ้งเฟรมใหญ่",ROUND(C16*mult_euro,0),IF(B44="มุ้งนิรภัย",'ราคามุ้ง'!$B$21,0)))</f>
        <v/>
      </c>
      <c r="D46" s="389">
        <f>ROUND(B46*C46,0)</f>
        <v/>
      </c>
      <c r="H46" s="514">
        <f>IF(OR(B44="มุ้งเฟรมเล็ก",B44="มุ้งเฟรมใหญ่",B44="มุ้งนิรภัย"),1,0)</f>
        <v/>
      </c>
    </row>
    <row r="47">
      <c r="A47" s="387" t="inlineStr">
        <is>
          <t>› ขวาง (เส้น 6ม.)</t>
        </is>
      </c>
      <c r="B47" s="601">
        <f>IF(AND(H45=1,H46=1),ROUND(H50*2*H48/6,2),0)</f>
        <v/>
      </c>
      <c r="C47" s="598">
        <f>IF(B44="มุ้งเฟรมเล็ก",'ราคามุ้ง'!$B$19,IF(B44="มุ้งเฟรมใหญ่",ROUND(C16*mult_euro,0),IF(B44="มุ้งนิรภัย",'ราคามุ้ง'!$B$21,0)))</f>
        <v/>
      </c>
      <c r="D47" s="389">
        <f>ROUND(B47*C47,0)</f>
        <v/>
      </c>
      <c r="H47" s="514">
        <f>IFERROR(VLOOKUP(B45,ราคามุ้ง!$I$2:$J$5,2,0),0)</f>
        <v/>
      </c>
    </row>
    <row r="48">
      <c r="A48" s="387" t="inlineStr">
        <is>
          <t>› ยางอัด (ม.)</t>
        </is>
      </c>
      <c r="B48" s="601">
        <f>IF(AND(H45=1,H46=1),ROUND(H50*2*(H48+H49),2),0)</f>
        <v/>
      </c>
      <c r="C48" s="598">
        <f>'ราคามุ้ง'!$D$19</f>
        <v/>
      </c>
      <c r="D48" s="389">
        <f>ROUND(B48*C48,0)</f>
        <v/>
      </c>
      <c r="H48" s="514">
        <f>B3/(B5*100)</f>
        <v/>
      </c>
    </row>
    <row r="49">
      <c r="A49" s="387" t="inlineStr">
        <is>
          <t>› ผ้า / มุ้งสำเร็จ</t>
        </is>
      </c>
      <c r="B49" s="601">
        <f>IF(H45=0,0,ROUND(H50*H48*H49,2))</f>
        <v/>
      </c>
      <c r="C49" s="598">
        <f>IF(B44="มุ้งนิรภัย",650,IF(OR(B44="มุ้งเฟรมเล็ก",B44="มุ้งเฟรมใหญ่"),H47,IF(H44="ซื้อสำเร็จ",IFERROR(VLOOKUP(B44,ราคามุ้ง!$A$2:$O$15,2,0),0),0)))</f>
        <v/>
      </c>
      <c r="D49" s="389">
        <f>ROUND(B49*C49,0)</f>
        <v/>
      </c>
      <c r="H49" s="514">
        <f>B4/100</f>
        <v/>
      </c>
    </row>
    <row r="50">
      <c r="A50" s="387" t="inlineStr">
        <is>
          <t>› ค่าแรงผลิตมุ้ง</t>
        </is>
      </c>
      <c r="D50" s="389">
        <f>IF(H45=0,0,ROUND(H50*(VLOOKUP(B44,ราคามุ้ง!$A$2:$O$15,12,0)+VLOOKUP(B44,ราคามุ้ง!$A$2:$O$15,13,0)*H48*H49),0))</f>
        <v/>
      </c>
      <c r="H50" s="514">
        <f>B5</f>
        <v/>
      </c>
    </row>
    <row r="51">
      <c r="A51" s="387" t="inlineStr">
        <is>
          <t>› ค่าแรงติดตั้งมุ้ง</t>
        </is>
      </c>
      <c r="D51" s="389">
        <f>IF(H45=0,0,ROUND(H50*(VLOOKUP(B44,ราคามุ้ง!$A$2:$O$15,14,0)+VLOOKUP(B44,ราคามุ้ง!$A$2:$O$15,15,0)*H48*H49),0))</f>
        <v/>
      </c>
    </row>
    <row r="52">
      <c r="A52" s="663" t="inlineStr">
        <is>
          <t>รวมราคามุ้ง (บวกเข้าทุนแล้ว)</t>
        </is>
      </c>
      <c r="D52" s="664">
        <f>SUM(D46:D51)</f>
        <v/>
      </c>
    </row>
    <row r="53">
      <c r="A53" s="745" t="n"/>
      <c r="B53" s="745" t="n"/>
      <c r="C53" s="745" t="n"/>
      <c r="D53" s="745" t="n"/>
      <c r="E53" s="745" t="n"/>
      <c r="F53" s="745" t="n"/>
      <c r="G53" s="745" t="n"/>
      <c r="H53" s="745" t="n"/>
      <c r="I53" s="745" t="n"/>
      <c r="J53" s="745" t="n"/>
      <c r="K53" s="745" t="n"/>
    </row>
    <row r="54">
      <c r="A54" s="746" t="n"/>
      <c r="B54" s="745" t="n"/>
      <c r="C54" s="745" t="n"/>
      <c r="D54" s="745" t="n"/>
      <c r="E54" s="745" t="n"/>
      <c r="F54" s="745" t="n"/>
      <c r="G54" s="745" t="n"/>
      <c r="H54" s="745" t="n"/>
      <c r="I54" s="745" t="n"/>
      <c r="J54" s="745" t="n"/>
      <c r="K54" s="745" t="n"/>
    </row>
    <row r="55">
      <c r="A55" s="747" t="n"/>
      <c r="B55" s="748" t="n"/>
      <c r="C55" s="745" t="n"/>
      <c r="D55" s="745" t="n"/>
      <c r="E55" s="745" t="n"/>
      <c r="F55" s="745" t="n"/>
      <c r="G55" s="745" t="n"/>
      <c r="H55" s="745" t="n"/>
      <c r="I55" s="745" t="n"/>
      <c r="J55" s="745" t="n"/>
      <c r="K55" s="745" t="n"/>
    </row>
    <row r="56">
      <c r="A56" s="747" t="n"/>
      <c r="B56" s="748" t="n"/>
      <c r="C56" s="745" t="n"/>
      <c r="D56" s="745" t="n"/>
      <c r="E56" s="745" t="n"/>
      <c r="F56" s="745" t="n"/>
      <c r="G56" s="745" t="n"/>
      <c r="H56" s="745" t="n"/>
      <c r="I56" s="745" t="n"/>
      <c r="J56" s="745" t="n"/>
      <c r="K56" s="745" t="n"/>
    </row>
    <row r="57">
      <c r="A57" s="747" t="n"/>
      <c r="B57" s="748" t="n"/>
      <c r="C57" s="745" t="n"/>
      <c r="D57" s="745" t="n"/>
      <c r="E57" s="745" t="n"/>
      <c r="F57" s="745" t="n"/>
      <c r="G57" s="745" t="n"/>
      <c r="H57" s="745" t="n"/>
      <c r="I57" s="745" t="n"/>
      <c r="J57" s="745" t="n"/>
      <c r="K57" s="745" t="n"/>
    </row>
    <row r="58">
      <c r="A58" s="747" t="n"/>
      <c r="B58" s="749" t="n"/>
      <c r="C58" s="745" t="n"/>
      <c r="D58" s="745" t="n"/>
      <c r="E58" s="745" t="n"/>
      <c r="F58" s="745" t="n"/>
      <c r="G58" s="745" t="n"/>
      <c r="H58" s="745" t="n"/>
      <c r="I58" s="745" t="n"/>
      <c r="J58" s="745" t="n"/>
      <c r="K58" s="745" t="n"/>
    </row>
    <row r="59">
      <c r="A59" s="745" t="n"/>
      <c r="B59" s="745" t="n"/>
      <c r="C59" s="745" t="n"/>
      <c r="D59" s="745" t="n"/>
      <c r="E59" s="745" t="n"/>
      <c r="F59" s="745" t="n"/>
      <c r="G59" s="745" t="n"/>
      <c r="H59" s="745" t="n"/>
      <c r="I59" s="745" t="n"/>
      <c r="J59" s="745" t="n"/>
      <c r="K59" s="745" t="n"/>
    </row>
    <row r="60">
      <c r="A60" s="738" t="inlineStr">
        <is>
          <t>🔍 แยกก้อนต้นทุน</t>
        </is>
      </c>
    </row>
    <row r="61">
      <c r="A61" s="739" t="inlineStr">
        <is>
          <t>ทุนอลู (×ราคา/กก.)</t>
        </is>
      </c>
      <c r="B61" s="740">
        <f>D12+D13+D14+D15+D16+D17+D18+D20+D21+D22+D25</f>
        <v/>
      </c>
    </row>
    <row r="62">
      <c r="A62" s="741" t="inlineStr">
        <is>
          <t>ทุนกระจก</t>
        </is>
      </c>
      <c r="B62" s="742">
        <f>D24</f>
        <v/>
      </c>
    </row>
    <row r="63">
      <c r="A63" s="741" t="inlineStr">
        <is>
          <t>ทุนอุปกรณ์+ซิลิโคน</t>
        </is>
      </c>
      <c r="B63" s="742">
        <f>D19+D23+D26</f>
        <v/>
      </c>
    </row>
    <row r="64">
      <c r="A64" s="741" t="inlineStr">
        <is>
          <t>รวมวัสดุ</t>
        </is>
      </c>
      <c r="B64" s="743">
        <f>B61+B62+B63</f>
        <v/>
      </c>
    </row>
  </sheetData>
  <mergeCells count="2">
    <mergeCell ref="A1:D1"/>
    <mergeCell ref="A32:D33"/>
  </mergeCells>
  <dataValidations count="6">
    <dataValidation sqref="B6" showDropDown="0" showInputMessage="0" showErrorMessage="0" allowBlank="0" type="list" errorStyle="stop" operator="between">
      <formula1>"มี,ไม่มี"</formula1>
      <formula2>0</formula2>
    </dataValidation>
    <dataValidation sqref="B10" showDropDown="0" showInputMessage="0" showErrorMessage="0" allowBlank="0" type="list" errorStyle="stop" operator="between">
      <formula1>GlassNames</formula1>
      <formula2>0</formula2>
    </dataValidation>
    <dataValidation sqref="F10" showDropDown="0" showInputMessage="0" showErrorMessage="0" allowBlank="0" type="list" errorStyle="stop" operator="between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  <formula2>0</formula2>
    </dataValidation>
    <dataValidation sqref="B44" showDropDown="0" showInputMessage="0" showErrorMessage="0" allowBlank="1" type="list">
      <formula1>MungList</formula1>
    </dataValidation>
    <dataValidation sqref="B45" showDropDown="0" showInputMessage="0" showErrorMessage="0" allowBlank="1" type="list">
      <formula1>ClothList</formula1>
    </dataValidation>
    <dataValidation sqref="C45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64"/>
  <sheetViews>
    <sheetView workbookViewId="0">
      <selection activeCell="A1" sqref="A1"/>
    </sheetView>
  </sheetViews>
  <sheetFormatPr baseColWidth="8" defaultColWidth="8.6796875" defaultRowHeight="15" customHeight="0" zeroHeight="0" outlineLevelRow="0"/>
  <cols>
    <col width="24" customWidth="1" style="140" min="1" max="1"/>
    <col width="10.7" customWidth="1" style="140" min="2" max="3"/>
    <col width="10.7" customWidth="1" style="129" min="3" max="3"/>
    <col width="24" customWidth="1" style="140" min="4" max="4"/>
    <col width="24" customWidth="1" style="129" min="5" max="5"/>
    <col width="10.7" customWidth="1" style="129" min="6" max="6"/>
    <col width="8.6" customWidth="1" style="129" min="7" max="7"/>
    <col width="4.5" customWidth="1" style="129" min="8" max="8"/>
  </cols>
  <sheetData>
    <row r="1" ht="24" customHeight="1" s="129">
      <c r="A1" s="286" t="inlineStr">
        <is>
          <t>คิดทุนบานหมุน (Fuji) — เหมือนบานเปิด แต่จุดหมุนแทนบานพับ</t>
        </is>
      </c>
      <c r="E1" s="643" t="n"/>
      <c r="G1" s="753" t="inlineStr">
        <is>
          <t>🏠 สารบัญ</t>
        </is>
      </c>
      <c r="H1" s="754" t="n"/>
    </row>
    <row r="3" ht="15" customHeight="1" s="129">
      <c r="A3" s="288" t="inlineStr">
        <is>
          <t>กว้างรวม (ซม.) →</t>
        </is>
      </c>
      <c r="B3" s="289" t="n">
        <v>150</v>
      </c>
    </row>
    <row r="4" ht="15" customHeight="1" s="129">
      <c r="A4" s="288" t="inlineStr">
        <is>
          <t>สูง (ซม.) →</t>
        </is>
      </c>
      <c r="B4" s="289" t="n">
        <v>200</v>
      </c>
    </row>
    <row r="5" ht="15" customHeight="1" s="129">
      <c r="A5" s="288" t="inlineStr">
        <is>
          <t>จำนวนบาน →</t>
        </is>
      </c>
      <c r="B5" s="289" t="n">
        <v>1</v>
      </c>
    </row>
    <row r="6" ht="15" customHeight="1" s="129">
      <c r="A6" s="288" t="inlineStr">
        <is>
          <t>ธรณี (มี/ไม่มี) →</t>
        </is>
      </c>
      <c r="B6" s="301" t="inlineStr">
        <is>
          <t>มี</t>
        </is>
      </c>
    </row>
    <row r="7" ht="15" customHeight="1" s="129">
      <c r="A7" s="310" t="inlineStr">
        <is>
          <t>พื้นที่ (ตร.ม.) =</t>
        </is>
      </c>
      <c r="B7" s="311">
        <f>(B3/100)*(B4/100)</f>
        <v/>
      </c>
    </row>
    <row r="8" ht="15" customHeight="1" s="129">
      <c r="A8" s="288" t="inlineStr">
        <is>
          <t>บวกกำไร % →</t>
        </is>
      </c>
      <c r="B8" s="301" t="n">
        <v>100</v>
      </c>
    </row>
    <row r="9" ht="15" customHeight="1" s="129">
      <c r="A9" s="288" t="inlineStr">
        <is>
          <t>ราคาซิลิโคน/หลอด →</t>
        </is>
      </c>
      <c r="B9" s="289" t="n">
        <v>90</v>
      </c>
    </row>
    <row r="10" ht="15" customHeight="1" s="129">
      <c r="A10" s="287" t="inlineStr">
        <is>
          <t>กระจก →</t>
        </is>
      </c>
      <c r="B10" s="283" t="inlineStr">
        <is>
          <t>เขียว 6มม.</t>
        </is>
      </c>
      <c r="C10" s="312">
        <f>INDEX(ราคาวัสดุกลาง!$I$2:$I$106,MATCH(B10,ราคาวัสดุกลาง!$H$2:$H$106,0))</f>
        <v/>
      </c>
      <c r="D10" s="287" t="inlineStr">
        <is>
          <t>← ราคากระจก/ตร.ม. (อัตโนมัติ)</t>
        </is>
      </c>
      <c r="E10" s="287" t="inlineStr">
        <is>
          <t>สี →</t>
        </is>
      </c>
      <c r="F10" s="283" t="inlineStr">
        <is>
          <t>สีอบขาว/ดำ</t>
        </is>
      </c>
      <c r="G10" s="287" t="n"/>
    </row>
    <row r="11" ht="15" customHeight="1" s="129">
      <c r="A11" s="313" t="inlineStr">
        <is>
          <t>วัสดุ</t>
        </is>
      </c>
      <c r="B11" s="313" t="inlineStr">
        <is>
          <t>จำนวน</t>
        </is>
      </c>
      <c r="C11" s="313" t="inlineStr">
        <is>
          <t>ราคา/หน่วย</t>
        </is>
      </c>
      <c r="D11" s="313" t="inlineStr">
        <is>
          <t>ทุน(บาท)</t>
        </is>
      </c>
    </row>
    <row r="12" ht="15" customHeight="1" s="129">
      <c r="A12" s="290" t="inlineStr">
        <is>
          <t>วงกบ 3 ด้าน F7859</t>
        </is>
      </c>
      <c r="B12" s="314">
        <f>ROUNDUP((B3+2*B4)/640,0)</f>
        <v/>
      </c>
      <c r="C12" s="315">
        <f>IF(F10="สีอบขาว/ดำ",IFERROR(VLOOKUP("F7859",ราคาสี!$A:$D,4,0),1100),IF(OR(F10="เทาซาฮาร่า",F10="สีดำซาฮาร่า"),VLOOKUP("F7859",ราคาสี!$A:$F,5,0),IF(F10="แอทแทคเกรย์",VLOOKUP("F7859",ราคาสี!$A:$J,7,0),IF(F10="ลายไม้สักทอง",(VLOOKUP("F7859",ราคาสี!$A:$H,8,0)*mult_wood/mult_euro),IF(F10="ลายไม้มะฮอกกานี",(VLOOKUP("F7859",ราคาสี!$A:$J,9,0)*mult_wood/mult_euro),IF(F10="ลายไม้ไวท์โอ๊ค",(VLOOKUP("F7859",ราคาสี!$A:$J,10,0)*mult_wood/mult_euro),IFERROR(VLOOKUP("F7859",ราคาสี!$A:$D,4,0),1100)+IF(F10="สีอบพิเศษ",rate_special,rate_woodbake)*6.11111))))))</f>
        <v/>
      </c>
      <c r="D12" s="305">
        <f>B12*C12*mult_euro</f>
        <v/>
      </c>
    </row>
    <row r="13" ht="15" customHeight="1" s="129">
      <c r="A13" s="290" t="inlineStr">
        <is>
          <t>ธรณี F7938B</t>
        </is>
      </c>
      <c r="B13" s="314">
        <f>IF(B6="มี",ROUNDUP(B3/640,0),0)</f>
        <v/>
      </c>
      <c r="C13" s="315">
        <f>IF(F10="สีอบขาว/ดำ",IFERROR(VLOOKUP("F7938B",ราคาสี!$A:$D,4,0),1400),IF(OR(F10="เทาซาฮาร่า",F10="สีดำซาฮาร่า"),VLOOKUP("F7938B",ราคาสี!$A:$F,5,0),IF(F10="แอทแทคเกรย์",VLOOKUP("F7938B",ราคาสี!$A:$J,7,0),IF(F10="ลายไม้สักทอง",(VLOOKUP("F7938B",ราคาสี!$A:$H,8,0)*mult_wood/mult_euro),IF(F10="ลายไม้มะฮอกกานี",(VLOOKUP("F7938B",ราคาสี!$A:$J,9,0)*mult_wood/mult_euro),IF(F10="ลายไม้ไวท์โอ๊ค",(VLOOKUP("F7938B",ราคาสี!$A:$J,10,0)*mult_wood/mult_euro),IFERROR(VLOOKUP("F7938B",ราคาสี!$A:$D,4,0),1400)+IF(F10="สีอบพิเศษ",rate_special,rate_woodbake)*7.77778))))))</f>
        <v/>
      </c>
      <c r="D13" s="305">
        <f>B13*C13*mult_euro</f>
        <v/>
      </c>
    </row>
    <row r="14" ht="15" customHeight="1" s="129">
      <c r="A14" s="290" t="inlineStr">
        <is>
          <t>ตบธรณี F7960</t>
        </is>
      </c>
      <c r="B14" s="314">
        <f>IF(B6="มี",ROUNDUP(B3/640,0),0)</f>
        <v/>
      </c>
      <c r="C14" s="315">
        <f>IF(F10="สีอบขาว/ดำ",IFERROR(VLOOKUP("F7960",ราคาสี!$A:$D,4,0),575),IF(OR(F10="เทาซาฮาร่า",F10="สีดำซาฮาร่า"),VLOOKUP("F7960",ราคาสี!$A:$F,5,0),IF(F10="แอทแทคเกรย์",VLOOKUP("F7960",ราคาสี!$A:$J,7,0),IF(F10="ลายไม้สักทอง",(VLOOKUP("F7960",ราคาสี!$A:$H,8,0)*mult_wood/mult_euro),IF(F10="ลายไม้มะฮอกกานี",(VLOOKUP("F7960",ราคาสี!$A:$J,9,0)*mult_wood/mult_euro),IF(F10="ลายไม้ไวท์โอ๊ค",(VLOOKUP("F7960",ราคาสี!$A:$J,10,0)*mult_wood/mult_euro),IFERROR(VLOOKUP("F7960",ราคาสี!$A:$D,4,0),575)+IF(F10="สีอบพิเศษ",rate_special,rate_woodbake)*3.19444))))))</f>
        <v/>
      </c>
      <c r="D14" s="305">
        <f>B14*C14*mult_euro</f>
        <v/>
      </c>
    </row>
    <row r="15" ht="15" customHeight="1" s="129">
      <c r="A15" s="290" t="inlineStr">
        <is>
          <t>เสริมใต้บาน F7863</t>
        </is>
      </c>
      <c r="B15" s="314">
        <f>IF(B6="ไม่มี",ROUNDUP(B3/640,0),0)</f>
        <v/>
      </c>
      <c r="C15" s="315">
        <f>IF(F10="สีอบขาว/ดำ",435,IF(OR(F10="เทาซาฮาร่า",F10="สีดำซาฮาร่า"),435+rate_grey*2.41667,IF(F10="แอทแทคเกรย์",435+rate_grey*2.41667,IF(F10="ลายไม้สักทอง",645,IF(F10="ลายไม้มะฮอกกานี",645,IF(F10="ลายไม้ไวท์โอ๊ค",645,435+IF(F10="สีอบพิเศษ",rate_special,rate_woodbake)*2.41667))))))</f>
        <v/>
      </c>
      <c r="D15" s="305">
        <f>B15*C15*mult_euro</f>
        <v/>
      </c>
    </row>
    <row r="16" ht="15" customHeight="1" s="129">
      <c r="A16" s="290" t="inlineStr">
        <is>
          <t>กรอบประตู 7864</t>
        </is>
      </c>
      <c r="B16" s="314">
        <f>ROUNDUP((2*B5*B4+2*B3)/640,0)</f>
        <v/>
      </c>
      <c r="C16" s="315">
        <f>IF(F10="สีอบขาว/ดำ",1995,IF(OR(F10="เทาซาฮาร่า",F10="สีดำซาฮาร่า"),1995+rate_grey*11.08333,IF(F10="แอทแทคเกรย์",1995+rate_grey*11.08333,IF(F10="ลายไม้สักทอง",3170,IF(F10="ลายไม้มะฮอกกานี",3170,IF(F10="ลายไม้ไวท์โอ๊ค",3170,1995+IF(F10="สีอบพิเศษ",rate_special,rate_woodbake)*11.08333))))))</f>
        <v/>
      </c>
      <c r="D16" s="305">
        <f>B16*C16*mult_euro</f>
        <v/>
      </c>
    </row>
    <row r="17" ht="15" customHeight="1" s="129">
      <c r="A17" s="290" t="inlineStr">
        <is>
          <t>คิ้ว F7935</t>
        </is>
      </c>
      <c r="B17" s="314">
        <f>ROUNDUP((2*B5*B4+2*B3)/640,0)</f>
        <v/>
      </c>
      <c r="C17" s="315">
        <f>IF(F10="สีอบขาว/ดำ",360,IF(OR(F10="เทาซาฮาร่า",F10="สีดำซาฮาร่า"),360+rate_grey*2.0,IF(F10="แอทแทคเกรย์",360+rate_grey*2.0,IF(F10="ลายไม้สักทอง",570,IF(F10="ลายไม้มะฮอกกานี",570,IF(F10="ลายไม้ไวท์โอ๊ค",570,360+IF(F10="สีอบพิเศษ",rate_special,rate_woodbake)*2.0))))))</f>
        <v/>
      </c>
      <c r="D17" s="305">
        <f>B17*C17*mult_euro</f>
        <v/>
      </c>
    </row>
    <row r="18" ht="15" customHeight="1" s="129">
      <c r="A18" s="290" t="inlineStr">
        <is>
          <t>เปิดกลาง F7945c</t>
        </is>
      </c>
      <c r="B18" s="314">
        <f>IF(B5&gt;1,1,0)</f>
        <v/>
      </c>
      <c r="C18" s="315">
        <f>IF(F10="สีอบขาว/ดำ",775,IF(OR(F10="เทาซาฮาร่า",F10="สีดำซาฮาร่า"),775+rate_grey*4.30556,IF(F10="แอทแทคเกรย์",775+rate_grey*4.30556,IF(F10="ลายไม้สักทอง",1080,IF(F10="ลายไม้มะฮอกกานี",1080,IF(F10="ลายไม้ไวท์โอ๊ค",1080,775+IF(F10="สีอบพิเศษ",rate_special,rate_woodbake)*4.30556))))))</f>
        <v/>
      </c>
      <c r="D18" s="305">
        <f>B18*C18*mult_euro</f>
        <v/>
      </c>
    </row>
    <row r="19" ht="15" customHeight="1" s="129">
      <c r="A19" s="290" t="inlineStr">
        <is>
          <t>จุดหมุน (2 ตัว/บาน)</t>
        </is>
      </c>
      <c r="B19" s="314">
        <f>2*B5</f>
        <v/>
      </c>
      <c r="C19" s="315" t="n">
        <v>450</v>
      </c>
      <c r="D19" s="305">
        <f>B19*C19</f>
        <v/>
      </c>
    </row>
    <row r="20" ht="15" customHeight="1" s="129">
      <c r="A20" s="290" t="inlineStr">
        <is>
          <t>มือจับ+ล็อค ใบหลัก</t>
        </is>
      </c>
      <c r="B20" s="314">
        <f>1</f>
        <v/>
      </c>
      <c r="C20" s="315" t="n">
        <v>1045</v>
      </c>
      <c r="D20" s="305">
        <f>B20*C20</f>
        <v/>
      </c>
    </row>
    <row r="21" ht="15" customHeight="1" s="129">
      <c r="A21" s="290" t="inlineStr">
        <is>
          <t>ชุดกลอน ใบลอง</t>
        </is>
      </c>
      <c r="B21" s="314">
        <f>MAX(B5-1,0)</f>
        <v/>
      </c>
      <c r="C21" s="315" t="n">
        <v>450</v>
      </c>
      <c r="D21" s="305">
        <f>B21*C21</f>
        <v/>
      </c>
    </row>
    <row r="22" ht="15" customHeight="1" s="129">
      <c r="A22" s="290" t="inlineStr">
        <is>
          <t>น็อตเฟรม</t>
        </is>
      </c>
      <c r="B22" s="314">
        <f>IF(B6="มี",8,6)</f>
        <v/>
      </c>
      <c r="C22" s="315" t="n">
        <v>1</v>
      </c>
      <c r="D22" s="305">
        <f>B22*C22</f>
        <v/>
      </c>
    </row>
    <row r="23" ht="15" customHeight="1" s="129">
      <c r="A23" s="290" t="inlineStr">
        <is>
          <t>ยาง (ม.)</t>
        </is>
      </c>
      <c r="B23" s="314">
        <f>ROUND(2*(B3+B4)/100*B5,0)</f>
        <v/>
      </c>
      <c r="C23" s="315" t="n">
        <v>11</v>
      </c>
      <c r="D23" s="305">
        <f>B23*C23</f>
        <v/>
      </c>
    </row>
    <row r="24" ht="15" customHeight="1" s="129">
      <c r="A24" s="290" t="inlineStr">
        <is>
          <t>กระจก (ตร.ม.)</t>
        </is>
      </c>
      <c r="B24" s="314">
        <f>B7</f>
        <v/>
      </c>
      <c r="C24" s="315">
        <f>INDEX(ราคาวัสดุกลาง!$I$2:$I$106,MATCH(B10,ราคาวัสดุกลาง!$H$2:$H$106,0))</f>
        <v/>
      </c>
      <c r="D24" s="305">
        <f>B24*C24</f>
        <v/>
      </c>
    </row>
    <row r="25" ht="15" customHeight="1" s="129">
      <c r="A25" s="290" t="inlineStr">
        <is>
          <t>ซิลิโคน (หลอด) ใน+นอก</t>
        </is>
      </c>
      <c r="B25" s="314">
        <f>ROUNDUP(2*(B3+B4)/100*2/12.5,0)</f>
        <v/>
      </c>
      <c r="C25" s="315">
        <f>B9</f>
        <v/>
      </c>
      <c r="D25" s="305">
        <f>B25*C25</f>
        <v/>
      </c>
    </row>
    <row r="26" ht="15" customHeight="1" s="129">
      <c r="A26" s="316" t="inlineStr">
        <is>
          <t>ค่าเปิดตู้อบ</t>
        </is>
      </c>
      <c r="B26" s="316">
        <f>IF(OR(F10="สีอบพิเศษ",F10="สีลายไม้อบพิเศษ"),1,0)</f>
        <v/>
      </c>
      <c r="C26" s="312" t="n">
        <v>2000</v>
      </c>
      <c r="D26" s="312">
        <f>B26*C26</f>
        <v/>
      </c>
      <c r="E26" s="316" t="inlineStr">
        <is>
          <t>สีอบพิเศษ / ลายไม้อบพิเศษ เท่านั้น</t>
        </is>
      </c>
    </row>
    <row r="27" ht="15" customHeight="1" s="129">
      <c r="A27" s="317" t="inlineStr">
        <is>
          <t>ทุนรวม</t>
        </is>
      </c>
      <c r="D27" s="318">
        <f>SUM(D12:D26)+D46+D47+D48+D49</f>
        <v/>
      </c>
    </row>
    <row r="28" ht="15" customHeight="1" s="129">
      <c r="A28" s="317" t="inlineStr">
        <is>
          <t>ทุน/ตร.ม.</t>
        </is>
      </c>
      <c r="D28" s="318">
        <f>IFERROR(D27/B7,0)</f>
        <v/>
      </c>
    </row>
    <row r="29" ht="15" customHeight="1" s="129">
      <c r="A29" s="319" t="inlineStr">
        <is>
          <t>ราคาขาย/ตร.ม. (ทุน+กำไร%)</t>
        </is>
      </c>
      <c r="D29" s="321">
        <f>ROUNDUP(D27*(1+B8/100)/100,0)*100</f>
        <v/>
      </c>
    </row>
    <row r="30" ht="15" customHeight="1" s="129">
      <c r="A30" s="319" t="inlineStr">
        <is>
          <t>ราคาขายรวม/ชุด</t>
        </is>
      </c>
      <c r="D30" s="321">
        <f>D29</f>
        <v/>
      </c>
    </row>
    <row r="31" ht="15" customHeight="1" s="129">
      <c r="A31" s="322" t="inlineStr">
        <is>
          <t>%กำไรจริง (บนทุน)</t>
        </is>
      </c>
      <c r="D31" s="323">
        <f>IFERROR((D29-D27)/D27,0)</f>
        <v/>
      </c>
    </row>
    <row r="32" ht="15" customHeight="1" s="129">
      <c r="A32" s="200" t="n"/>
      <c r="D32" s="169" t="n"/>
    </row>
    <row r="33" ht="15" customHeight="1" s="129">
      <c r="D33" s="169" t="n"/>
    </row>
    <row r="34" ht="15" customHeight="1" s="129">
      <c r="A34" s="201" t="n"/>
      <c r="B34" s="202" t="n"/>
      <c r="C34" s="202" t="n"/>
      <c r="D34" s="203" t="n"/>
    </row>
    <row r="35">
      <c r="A35" s="276" t="inlineStr">
        <is>
          <t>— ผูกค่าแรง (ราคาขายรวมค่าแรง) —</t>
        </is>
      </c>
    </row>
    <row r="36">
      <c r="A36" s="324" t="inlineStr">
        <is>
          <t>ค่าแรงผลิต (จากชีทค่าแรง)</t>
        </is>
      </c>
      <c r="D36" s="277">
        <f>MAX(0,VLOOKUP("บานหมุน",'ค่าแรง'!$A$12:$E$29,2,0)+VLOOKUP("บานหมุน",'ค่าแรง'!$A$12:$E$29,3,0)*B7)</f>
        <v/>
      </c>
    </row>
    <row r="37">
      <c r="A37" s="324" t="inlineStr">
        <is>
          <t>ค่าแรงติดตั้ง (จากชีทค่าแรง)</t>
        </is>
      </c>
      <c r="D37" s="277">
        <f>MAX(0,VLOOKUP("บานหมุน",'ค่าแรง'!$A$12:$E$29,4,0)+VLOOKUP("บานหมุน",'ค่าแรง'!$A$12:$E$29,5,0)*B7)</f>
        <v/>
      </c>
    </row>
    <row r="38">
      <c r="A38" s="324" t="inlineStr">
        <is>
          <t>กำไรติดตั้ง % →</t>
        </is>
      </c>
      <c r="B38" s="278" t="n">
        <v>100</v>
      </c>
    </row>
    <row r="39">
      <c r="A39" s="276" t="inlineStr">
        <is>
          <t>ราคาขาย ผลิตอย่างเดียว</t>
        </is>
      </c>
      <c r="D39" s="279">
        <f>ROUNDUP((D27+D36+D50)*(1+B8/100)/100,0)*100</f>
        <v/>
      </c>
    </row>
    <row r="40">
      <c r="A40" s="276" t="inlineStr">
        <is>
          <t>ราคาขาย ผลิต+ติดตั้ง</t>
        </is>
      </c>
      <c r="D40" s="279">
        <f>D39+ROUNDUP((D37+D51)*(1+B38/100)/100,0)*100</f>
        <v/>
      </c>
    </row>
    <row r="41">
      <c r="A41" s="276" t="inlineStr">
        <is>
          <t>%กำไรจริง (ผลิต+ติดตั้ง)</t>
        </is>
      </c>
      <c r="D41" s="280">
        <f>(D40-(D27+D36+D37+D50+D51))/(D27+D36+D37+D50+D51)</f>
        <v/>
      </c>
    </row>
    <row r="43">
      <c r="A43" s="532" t="inlineStr">
        <is>
          <t>— มุ้ง (ออปชั่น) — บวกเข้าทุน —</t>
        </is>
      </c>
    </row>
    <row r="44">
      <c r="A44" s="276" t="inlineStr">
        <is>
          <t>เลือกมุ้ง →</t>
        </is>
      </c>
      <c r="B44" s="594" t="inlineStr">
        <is>
          <t>ไม่มีมุ้ง</t>
        </is>
      </c>
      <c r="C44" s="140">
        <f>IF(B44="ไม่มีมุ้ง","—",IF(H45=1,"✓ ใช้ได้","⚠ ใช้กับบานนี้ไม่ได้(ทุน=0)"))</f>
        <v/>
      </c>
      <c r="D44" s="140">
        <f>IF(B44="ไม่มีมุ้ง","",H50&amp;" บาน")</f>
        <v/>
      </c>
      <c r="H44" s="514">
        <f>IFERROR(VLOOKUP(B44,ราคามุ้ง!$A$2:$O$15,3,0),"")</f>
        <v/>
      </c>
    </row>
    <row r="45">
      <c r="A45" s="387" t="inlineStr">
        <is>
          <t>ชนิดผ้า / สี →</t>
        </is>
      </c>
      <c r="B45" s="594" t="inlineStr">
        <is>
          <t>ไฟเบอร์</t>
        </is>
      </c>
      <c r="C45" s="594" t="inlineStr">
        <is>
          <t>เทา</t>
        </is>
      </c>
      <c r="H45" s="514">
        <f>IF(B44="ไม่มีมุ้ง",0,IF(OR(IFERROR(VLOOKUP(B44,ราคามุ้ง!$A$2:$O$15,4,0),"ALL")="ALL",ISNUMBER(SEARCH("เปิด",IFERROR(VLOOKUP(B44,ราคามุ้ง!$A$2:$O$15,4,0),"")))),1,0))</f>
        <v/>
      </c>
    </row>
    <row r="46">
      <c r="A46" s="387" t="inlineStr">
        <is>
          <t>› เสา (เส้น 6ม.)</t>
        </is>
      </c>
      <c r="B46" s="601">
        <f>IF(AND(H45=1,H46=1),ROUND(H50*2*H49/6,2),0)</f>
        <v/>
      </c>
      <c r="C46" s="598">
        <f>IF(B44="มุ้งเฟรมเล็ก",'ราคามุ้ง'!$B$19,IF(B44="มุ้งเฟรมใหญ่",ROUND(C16*mult_euro,0),IF(B44="มุ้งนิรภัย",'ราคามุ้ง'!$B$21,0)))</f>
        <v/>
      </c>
      <c r="D46" s="389">
        <f>ROUND(B46*C46,0)</f>
        <v/>
      </c>
      <c r="H46" s="514">
        <f>IF(OR(B44="มุ้งเฟรมเล็ก",B44="มุ้งเฟรมใหญ่",B44="มุ้งนิรภัย"),1,0)</f>
        <v/>
      </c>
    </row>
    <row r="47">
      <c r="A47" s="387" t="inlineStr">
        <is>
          <t>› ขวาง (เส้น 6ม.)</t>
        </is>
      </c>
      <c r="B47" s="601">
        <f>IF(AND(H45=1,H46=1),ROUND(H50*2*H48/6,2),0)</f>
        <v/>
      </c>
      <c r="C47" s="598">
        <f>IF(B44="มุ้งเฟรมเล็ก",'ราคามุ้ง'!$B$19,IF(B44="มุ้งเฟรมใหญ่",ROUND(C16*mult_euro,0),IF(B44="มุ้งนิรภัย",'ราคามุ้ง'!$B$21,0)))</f>
        <v/>
      </c>
      <c r="D47" s="389">
        <f>ROUND(B47*C47,0)</f>
        <v/>
      </c>
      <c r="H47" s="514">
        <f>IFERROR(VLOOKUP(B45,ราคามุ้ง!$I$2:$J$5,2,0),0)</f>
        <v/>
      </c>
    </row>
    <row r="48">
      <c r="A48" s="387" t="inlineStr">
        <is>
          <t>› ยางอัด (ม.)</t>
        </is>
      </c>
      <c r="B48" s="601">
        <f>IF(AND(H45=1,H46=1),ROUND(H50*2*(H48+H49),2),0)</f>
        <v/>
      </c>
      <c r="C48" s="598">
        <f>'ราคามุ้ง'!$D$19</f>
        <v/>
      </c>
      <c r="D48" s="389">
        <f>ROUND(B48*C48,0)</f>
        <v/>
      </c>
      <c r="H48" s="514">
        <f>B3/(B5*100)</f>
        <v/>
      </c>
    </row>
    <row r="49">
      <c r="A49" s="387" t="inlineStr">
        <is>
          <t>› ผ้า / มุ้งสำเร็จ</t>
        </is>
      </c>
      <c r="B49" s="601">
        <f>IF(H45=0,0,ROUND(H50*H48*H49,2))</f>
        <v/>
      </c>
      <c r="C49" s="598">
        <f>IF(B44="มุ้งนิรภัย",650,IF(OR(B44="มุ้งเฟรมเล็ก",B44="มุ้งเฟรมใหญ่"),H47,IF(H44="ซื้อสำเร็จ",IFERROR(VLOOKUP(B44,ราคามุ้ง!$A$2:$O$15,2,0),0),0)))</f>
        <v/>
      </c>
      <c r="D49" s="389">
        <f>ROUND(B49*C49,0)</f>
        <v/>
      </c>
      <c r="H49" s="514">
        <f>B4/100</f>
        <v/>
      </c>
    </row>
    <row r="50">
      <c r="A50" s="387" t="inlineStr">
        <is>
          <t>› ค่าแรงผลิตมุ้ง</t>
        </is>
      </c>
      <c r="D50" s="389">
        <f>IF(H45=0,0,ROUND(H50*(VLOOKUP(B44,ราคามุ้ง!$A$2:$O$15,12,0)+VLOOKUP(B44,ราคามุ้ง!$A$2:$O$15,13,0)*H48*H49),0))</f>
        <v/>
      </c>
      <c r="H50" s="514">
        <f>B5</f>
        <v/>
      </c>
    </row>
    <row r="51">
      <c r="A51" s="387" t="inlineStr">
        <is>
          <t>› ค่าแรงติดตั้งมุ้ง</t>
        </is>
      </c>
      <c r="D51" s="389">
        <f>IF(H45=0,0,ROUND(H50*(VLOOKUP(B44,ราคามุ้ง!$A$2:$O$15,14,0)+VLOOKUP(B44,ราคามุ้ง!$A$2:$O$15,15,0)*H48*H49),0))</f>
        <v/>
      </c>
    </row>
    <row r="52">
      <c r="A52" s="663" t="inlineStr">
        <is>
          <t>รวมราคามุ้ง (บวกเข้าทุนแล้ว)</t>
        </is>
      </c>
      <c r="D52" s="664">
        <f>SUM(D46:D51)</f>
        <v/>
      </c>
    </row>
    <row r="53">
      <c r="A53" s="745" t="n"/>
      <c r="B53" s="745" t="n"/>
      <c r="C53" s="745" t="n"/>
      <c r="D53" s="745" t="n"/>
      <c r="E53" s="745" t="n"/>
      <c r="F53" s="745" t="n"/>
      <c r="G53" s="745" t="n"/>
      <c r="H53" s="745" t="n"/>
      <c r="I53" s="745" t="n"/>
      <c r="J53" s="745" t="n"/>
      <c r="K53" s="745" t="n"/>
    </row>
    <row r="54">
      <c r="A54" s="746" t="n"/>
      <c r="B54" s="745" t="n"/>
      <c r="C54" s="745" t="n"/>
      <c r="D54" s="745" t="n"/>
      <c r="E54" s="745" t="n"/>
      <c r="F54" s="745" t="n"/>
      <c r="G54" s="745" t="n"/>
      <c r="H54" s="745" t="n"/>
      <c r="I54" s="745" t="n"/>
      <c r="J54" s="745" t="n"/>
      <c r="K54" s="745" t="n"/>
    </row>
    <row r="55">
      <c r="A55" s="747" t="n"/>
      <c r="B55" s="748" t="n"/>
      <c r="C55" s="745" t="n"/>
      <c r="D55" s="745" t="n"/>
      <c r="E55" s="745" t="n"/>
      <c r="F55" s="745" t="n"/>
      <c r="G55" s="745" t="n"/>
      <c r="H55" s="745" t="n"/>
      <c r="I55" s="745" t="n"/>
      <c r="J55" s="745" t="n"/>
      <c r="K55" s="745" t="n"/>
    </row>
    <row r="56">
      <c r="A56" s="747" t="n"/>
      <c r="B56" s="748" t="n"/>
      <c r="C56" s="745" t="n"/>
      <c r="D56" s="745" t="n"/>
      <c r="E56" s="745" t="n"/>
      <c r="F56" s="745" t="n"/>
      <c r="G56" s="745" t="n"/>
      <c r="H56" s="745" t="n"/>
      <c r="I56" s="745" t="n"/>
      <c r="J56" s="745" t="n"/>
      <c r="K56" s="745" t="n"/>
    </row>
    <row r="57">
      <c r="A57" s="747" t="n"/>
      <c r="B57" s="748" t="n"/>
      <c r="C57" s="745" t="n"/>
      <c r="D57" s="745" t="n"/>
      <c r="E57" s="745" t="n"/>
      <c r="F57" s="745" t="n"/>
      <c r="G57" s="745" t="n"/>
      <c r="H57" s="745" t="n"/>
      <c r="I57" s="745" t="n"/>
      <c r="J57" s="745" t="n"/>
      <c r="K57" s="745" t="n"/>
    </row>
    <row r="58">
      <c r="A58" s="747" t="n"/>
      <c r="B58" s="749" t="n"/>
      <c r="C58" s="745" t="n"/>
      <c r="D58" s="745" t="n"/>
      <c r="E58" s="745" t="n"/>
      <c r="F58" s="745" t="n"/>
      <c r="G58" s="745" t="n"/>
      <c r="H58" s="745" t="n"/>
      <c r="I58" s="745" t="n"/>
      <c r="J58" s="745" t="n"/>
      <c r="K58" s="745" t="n"/>
    </row>
    <row r="59">
      <c r="A59" s="745" t="n"/>
      <c r="B59" s="745" t="n"/>
      <c r="C59" s="745" t="n"/>
      <c r="D59" s="745" t="n"/>
      <c r="E59" s="745" t="n"/>
      <c r="F59" s="745" t="n"/>
      <c r="G59" s="745" t="n"/>
      <c r="H59" s="745" t="n"/>
      <c r="I59" s="745" t="n"/>
      <c r="J59" s="745" t="n"/>
      <c r="K59" s="745" t="n"/>
    </row>
    <row r="60">
      <c r="A60" s="738" t="inlineStr">
        <is>
          <t>🔍 แยกก้อนต้นทุน</t>
        </is>
      </c>
    </row>
    <row r="61">
      <c r="A61" s="739" t="inlineStr">
        <is>
          <t>ทุนอลู (×ราคา/กก.)</t>
        </is>
      </c>
      <c r="B61" s="740">
        <f>D12+D13+D14+D15+D16+D17+D18+D20+D21+D22+D25</f>
        <v/>
      </c>
    </row>
    <row r="62">
      <c r="A62" s="741" t="inlineStr">
        <is>
          <t>ทุนกระจก</t>
        </is>
      </c>
      <c r="B62" s="742">
        <f>D24</f>
        <v/>
      </c>
    </row>
    <row r="63">
      <c r="A63" s="741" t="inlineStr">
        <is>
          <t>ทุนอุปกรณ์+ซิลิโคน</t>
        </is>
      </c>
      <c r="B63" s="742">
        <f>D19+D23+D26</f>
        <v/>
      </c>
    </row>
    <row r="64">
      <c r="A64" s="741" t="inlineStr">
        <is>
          <t>รวมวัสดุ</t>
        </is>
      </c>
      <c r="B64" s="743">
        <f>B61+B62+B63</f>
        <v/>
      </c>
    </row>
  </sheetData>
  <mergeCells count="2">
    <mergeCell ref="A1:D1"/>
    <mergeCell ref="A32:D33"/>
  </mergeCells>
  <dataValidations count="6">
    <dataValidation sqref="B6" showDropDown="0" showInputMessage="0" showErrorMessage="0" allowBlank="0" type="list">
      <formula1>"มี,ไม่มี"</formula1>
    </dataValidation>
    <dataValidation sqref="B10" showDropDown="0" showInputMessage="0" showErrorMessage="0" allowBlank="0" type="list">
      <formula1>GlassNames</formula1>
    </dataValidation>
    <dataValidation sqref="F10" showDropDown="0" showInputMessage="0" showErrorMessage="0" allowBlank="0" type="list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</dataValidation>
    <dataValidation sqref="B44" showDropDown="0" showInputMessage="0" showErrorMessage="0" allowBlank="1" type="list">
      <formula1>MungList</formula1>
    </dataValidation>
    <dataValidation sqref="B45" showDropDown="0" showInputMessage="0" showErrorMessage="0" allowBlank="1" type="list">
      <formula1>ClothList</formula1>
    </dataValidation>
    <dataValidation sqref="C45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7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0.7" customWidth="1" style="140" min="2" max="3"/>
    <col width="10.7" customWidth="1" style="129" min="3" max="3"/>
    <col width="24" customWidth="1" style="140" min="4" max="4"/>
    <col width="24" customWidth="1" style="129" min="5" max="5"/>
    <col width="10.7" customWidth="1" style="129" min="6" max="6"/>
    <col width="8.6" customWidth="1" style="129" min="7" max="7"/>
    <col width="4.5" customWidth="1" style="129" min="8" max="8"/>
  </cols>
  <sheetData>
    <row r="1" ht="24" customHeight="1" s="129">
      <c r="A1" s="286" t="inlineStr">
        <is>
          <t>คิดทุนบานกระทุ้ง (Fuji, ขาวดำ) — นับเส้นเต็ม</t>
        </is>
      </c>
      <c r="E1" s="643" t="n"/>
      <c r="G1" s="753" t="inlineStr">
        <is>
          <t>🏠 สารบัญ</t>
        </is>
      </c>
      <c r="H1" s="754" t="n"/>
    </row>
    <row r="3" ht="15" customHeight="1" s="129">
      <c r="A3" s="288" t="inlineStr">
        <is>
          <t>กว้างรวม (ซม.) →</t>
        </is>
      </c>
      <c r="B3" s="289" t="n">
        <v>40</v>
      </c>
    </row>
    <row r="4" ht="15" customHeight="1" s="129">
      <c r="A4" s="288" t="inlineStr">
        <is>
          <t>สูง (ซม.) →</t>
        </is>
      </c>
      <c r="B4" s="289" t="n">
        <v>40</v>
      </c>
    </row>
    <row r="5" ht="15" customHeight="1" s="129">
      <c r="A5" s="288" t="inlineStr">
        <is>
          <t>จำนวนบาน →</t>
        </is>
      </c>
      <c r="B5" s="289" t="n">
        <v>1</v>
      </c>
    </row>
    <row r="6" ht="15" customHeight="1" s="129">
      <c r="A6" s="429" t="n"/>
      <c r="B6" s="430" t="n"/>
    </row>
    <row r="7" ht="15" customHeight="1" s="129">
      <c r="A7" s="310" t="inlineStr">
        <is>
          <t>พื้นที่ (ตร.ม.) =</t>
        </is>
      </c>
      <c r="B7" s="311">
        <f>(B3/100)*(B4/100)</f>
        <v/>
      </c>
    </row>
    <row r="8" ht="15" customHeight="1" s="129">
      <c r="A8" s="288" t="inlineStr">
        <is>
          <t>บวกกำไร % →</t>
        </is>
      </c>
      <c r="B8" s="301" t="n">
        <v>100</v>
      </c>
    </row>
    <row r="9" ht="15" customHeight="1" s="129">
      <c r="A9" s="288" t="inlineStr">
        <is>
          <t>ราคาซิลิโคน/หลอด →</t>
        </is>
      </c>
      <c r="B9" s="289" t="n">
        <v>90</v>
      </c>
    </row>
    <row r="10" ht="15" customHeight="1" s="129">
      <c r="A10" s="287" t="inlineStr">
        <is>
          <t>กระจก →</t>
        </is>
      </c>
      <c r="B10" s="283" t="inlineStr">
        <is>
          <t>เขียว 6มม.</t>
        </is>
      </c>
      <c r="C10" s="312">
        <f>INDEX(ราคาวัสดุกลาง!$I$2:$I$106,MATCH(B10,ราคาวัสดุกลาง!$H$2:$H$106,0))</f>
        <v/>
      </c>
      <c r="D10" s="287" t="inlineStr">
        <is>
          <t>← ราคากระจก/ตร.ม. (อัตโนมัติ)</t>
        </is>
      </c>
      <c r="E10" s="287" t="inlineStr">
        <is>
          <t>สี →</t>
        </is>
      </c>
      <c r="F10" s="283" t="inlineStr">
        <is>
          <t>สีอบขาว/ดำ</t>
        </is>
      </c>
      <c r="G10" s="287" t="n"/>
    </row>
    <row r="11" ht="15" customHeight="1" s="129">
      <c r="A11" s="313" t="inlineStr">
        <is>
          <t>วัสดุ</t>
        </is>
      </c>
      <c r="B11" s="313" t="inlineStr">
        <is>
          <t>จำนวน</t>
        </is>
      </c>
      <c r="C11" s="313" t="inlineStr">
        <is>
          <t>ราคา/หน่วย</t>
        </is>
      </c>
      <c r="D11" s="313" t="inlineStr">
        <is>
          <t>ทุน(บาท)</t>
        </is>
      </c>
    </row>
    <row r="12" ht="15" customHeight="1" s="129">
      <c r="A12" s="290" t="inlineStr">
        <is>
          <t>วงกบ 3 ด้าน F7859</t>
        </is>
      </c>
      <c r="B12" s="314">
        <f>((B3+2*B4)/640)*buf_scrap</f>
        <v/>
      </c>
      <c r="C12" s="315">
        <f>IF(F10="สีอบขาว/ดำ",IFERROR(VLOOKUP("F7859",ราคาสี!$A:$D,4,0),1100),IF(OR(F10="เทาซาฮาร่า",F10="สีดำซาฮาร่า"),VLOOKUP("F7859",ราคาสี!$A:$F,5,0),IF(F10="แอทแทคเกรย์",VLOOKUP("F7859",ราคาสี!$A:$J,7,0),IF(F10="ลายไม้สักทอง",(VLOOKUP("F7859",ราคาสี!$A:$H,8,0)*mult_wood/mult_euro),IF(F10="ลายไม้มะฮอกกานี",(VLOOKUP("F7859",ราคาสี!$A:$J,9,0)*mult_wood/mult_euro),IF(F10="ลายไม้ไวท์โอ๊ค",(VLOOKUP("F7859",ราคาสี!$A:$J,10,0)*mult_wood/mult_euro),IFERROR(VLOOKUP("F7859",ราคาสี!$A:$D,4,0),1100)+IF(F10="สีอบพิเศษ",rate_special,rate_woodbake)*6.11111))))))</f>
        <v/>
      </c>
      <c r="D12" s="305">
        <f>B12*C12*mult_euro</f>
        <v/>
      </c>
    </row>
    <row r="13" ht="15" customHeight="1" s="129">
      <c r="A13" s="290" t="inlineStr">
        <is>
          <t>ธรณี F7939B</t>
        </is>
      </c>
      <c r="B13" s="314">
        <f>(B3/640)*buf_scrap</f>
        <v/>
      </c>
      <c r="C13" s="315">
        <f>IF(F10="สีอบขาว/ดำ",IFERROR(VLOOKUP("F7939B",ราคาสี!$A:$D,4,0),1400),IF(OR(F10="เทาซาฮาร่า",F10="สีดำซาฮาร่า"),VLOOKUP("F7939B",ราคาสี!$A:$F,5,0),IF(F10="แอทแทคเกรย์",VLOOKUP("F7939B",ราคาสี!$A:$J,7,0),IF(F10="ลายไม้สักทอง",(VLOOKUP("F7939B",ราคาสี!$A:$H,8,0)*mult_wood/mult_euro),IF(F10="ลายไม้มะฮอกกานี",(VLOOKUP("F7939B",ราคาสี!$A:$J,9,0)*mult_wood/mult_euro),IF(F10="ลายไม้ไวท์โอ๊ค",(VLOOKUP("F7939B",ราคาสี!$A:$J,10,0)*mult_wood/mult_euro),IFERROR(VLOOKUP("F7939B",ราคาสี!$A:$D,4,0),1400)+IF(F10="สีอบพิเศษ",rate_special,rate_woodbake)*7.77778))))))</f>
        <v/>
      </c>
      <c r="D13" s="305">
        <f>B13*C13*mult_euro</f>
        <v/>
      </c>
    </row>
    <row r="14" ht="15" customHeight="1" s="129">
      <c r="A14" s="290" t="inlineStr">
        <is>
          <t>กรอบ 7943B</t>
        </is>
      </c>
      <c r="B14" s="314">
        <f>((2*B5*B4+2*B3)/640)*buf_scrap</f>
        <v/>
      </c>
      <c r="C14" s="315">
        <f>IF(F10="สีอบขาว/ดำ",IFERROR(VLOOKUP("F7943B",ราคาสี!$A:$D,4,0),1480),IF(OR(F10="เทาซาฮาร่า",F10="สีดำซาฮาร่า"),VLOOKUP("F7943B",ราคาสี!$A:$F,5,0),IF(F10="แอทแทคเกรย์",VLOOKUP("F7943B",ราคาสี!$A:$J,7,0),IF(F10="ลายไม้สักทอง",(VLOOKUP("F7943B",ราคาสี!$A:$H,8,0)*mult_wood/mult_euro),IF(F10="ลายไม้มะฮอกกานี",(VLOOKUP("F7943B",ราคาสี!$A:$J,9,0)*mult_wood/mult_euro),IF(F10="ลายไม้ไวท์โอ๊ค",(VLOOKUP("F7943B",ราคาสี!$A:$J,10,0)*mult_wood/mult_euro),IFERROR(VLOOKUP("F7943B",ราคาสี!$A:$D,4,0),1480)+IF(F10="สีอบพิเศษ",rate_special,rate_woodbake)*8.22222))))))</f>
        <v/>
      </c>
      <c r="D14" s="305">
        <f>B14*C14*mult_euro</f>
        <v/>
      </c>
    </row>
    <row r="15" ht="15" customHeight="1" s="129">
      <c r="A15" s="290" t="inlineStr">
        <is>
          <t>คิ้ว F7935</t>
        </is>
      </c>
      <c r="B15" s="314">
        <f>((2*B5*B4+2*B3)/640)*buf_scrap</f>
        <v/>
      </c>
      <c r="C15" s="315">
        <f>IF(F10="สีอบขาว/ดำ",360,IF(OR(F10="เทาซาฮาร่า",F10="สีดำซาฮาร่า"),360+rate_grey*2.0,IF(F10="แอทแทคเกรย์",360+rate_grey*2.0,IF(F10="ลายไม้สักทอง",570,IF(F10="ลายไม้มะฮอกกานี",570,IF(F10="ลายไม้ไวท์โอ๊ค",570,360+IF(F10="สีอบพิเศษ",rate_special,rate_woodbake)*2.0))))))</f>
        <v/>
      </c>
      <c r="D15" s="305">
        <f>B15*C15*mult_euro</f>
        <v/>
      </c>
    </row>
    <row r="16" ht="15" customHeight="1" s="129">
      <c r="A16" s="290" t="inlineStr">
        <is>
          <t>เปิดกลาง F7945c</t>
        </is>
      </c>
      <c r="B16" s="314">
        <f>IF(B5&gt;1,1,0)</f>
        <v/>
      </c>
      <c r="C16" s="315">
        <f>IF(F10="สีอบขาว/ดำ",775,IF(OR(F10="เทาซาฮาร่า",F10="สีดำซาฮาร่า"),775+rate_grey*4.30556,IF(F10="แอทแทคเกรย์",775+rate_grey*4.30556,IF(F10="ลายไม้สักทอง",1080,IF(F10="ลายไม้มะฮอกกานี",1080,IF(F10="ลายไม้ไวท์โอ๊ค",1080,775+IF(F10="สีอบพิเศษ",rate_special,rate_woodbake)*4.30556))))))</f>
        <v/>
      </c>
      <c r="D16" s="305">
        <f>B16*C16*mult_euro</f>
        <v/>
      </c>
    </row>
    <row r="17" ht="15" customHeight="1" s="129">
      <c r="A17" s="290" t="inlineStr">
        <is>
          <t>มือจับ</t>
        </is>
      </c>
      <c r="B17" s="314">
        <f>1</f>
        <v/>
      </c>
      <c r="C17" s="315" t="n">
        <v>140</v>
      </c>
      <c r="D17" s="305">
        <f>B17*C17</f>
        <v/>
      </c>
    </row>
    <row r="18" ht="15" customHeight="1" s="129">
      <c r="A18" s="290" t="inlineStr">
        <is>
          <t>วิทโก้ (2/บาน)</t>
        </is>
      </c>
      <c r="B18" s="314">
        <f>2*B5</f>
        <v/>
      </c>
      <c r="C18" s="315" t="n">
        <v>200</v>
      </c>
      <c r="D18" s="305">
        <f>B18*C18</f>
        <v/>
      </c>
    </row>
    <row r="19" ht="15" customHeight="1" s="129">
      <c r="A19" s="290" t="inlineStr">
        <is>
          <t>CDQ</t>
        </is>
      </c>
      <c r="B19" s="314">
        <f>B5</f>
        <v/>
      </c>
      <c r="C19" s="315" t="n">
        <v>150</v>
      </c>
      <c r="D19" s="305">
        <f>B19*C19</f>
        <v/>
      </c>
    </row>
    <row r="20" ht="15" customHeight="1" s="129">
      <c r="A20" s="290" t="inlineStr">
        <is>
          <t>รับล็อคลูกเบี้ยว</t>
        </is>
      </c>
      <c r="B20" s="314">
        <f>2</f>
        <v/>
      </c>
      <c r="C20" s="315" t="n">
        <v>15</v>
      </c>
      <c r="D20" s="305">
        <f>B20*C20</f>
        <v/>
      </c>
    </row>
    <row r="21" ht="15" customHeight="1" s="129">
      <c r="A21" s="290" t="inlineStr">
        <is>
          <t>ลูกเบี้ยว</t>
        </is>
      </c>
      <c r="B21" s="314">
        <f>2</f>
        <v/>
      </c>
      <c r="C21" s="315" t="n">
        <v>17</v>
      </c>
      <c r="D21" s="305">
        <f>B21*C21</f>
        <v/>
      </c>
    </row>
    <row r="22" ht="15" customHeight="1" s="129">
      <c r="A22" s="290" t="inlineStr">
        <is>
          <t>แกนล็อค</t>
        </is>
      </c>
      <c r="B22" s="314">
        <f>2*B5</f>
        <v/>
      </c>
      <c r="C22" s="315" t="n">
        <v>63</v>
      </c>
      <c r="D22" s="305">
        <f>B22*C22</f>
        <v/>
      </c>
    </row>
    <row r="23" ht="15" customHeight="1" s="129">
      <c r="A23" s="290" t="inlineStr">
        <is>
          <t>แป้นรับล็อค</t>
        </is>
      </c>
      <c r="B23" s="314">
        <f>2*B5</f>
        <v/>
      </c>
      <c r="C23" s="315" t="n">
        <v>45</v>
      </c>
      <c r="D23" s="305">
        <f>B23*C23</f>
        <v/>
      </c>
    </row>
    <row r="24" ht="15" customHeight="1" s="129">
      <c r="A24" s="290" t="inlineStr">
        <is>
          <t>สปริก็อต</t>
        </is>
      </c>
      <c r="B24" s="314">
        <f>4*B5</f>
        <v/>
      </c>
      <c r="C24" s="315" t="n">
        <v>12</v>
      </c>
      <c r="D24" s="305">
        <f>B24*C24</f>
        <v/>
      </c>
    </row>
    <row r="25" ht="15" customHeight="1" s="129">
      <c r="A25" s="290" t="inlineStr">
        <is>
          <t>คลิปเข้ามุม</t>
        </is>
      </c>
      <c r="B25" s="314">
        <f>12*B5</f>
        <v/>
      </c>
      <c r="C25" s="315" t="n">
        <v>5</v>
      </c>
      <c r="D25" s="305">
        <f>B25*C25</f>
        <v/>
      </c>
    </row>
    <row r="26" ht="15" customHeight="1" s="129">
      <c r="A26" s="290" t="inlineStr">
        <is>
          <t>น็อตประกอบบาน</t>
        </is>
      </c>
      <c r="B26" s="314">
        <f>8</f>
        <v/>
      </c>
      <c r="C26" s="315" t="n">
        <v>1</v>
      </c>
      <c r="D26" s="305">
        <f>B26*C26</f>
        <v/>
      </c>
    </row>
    <row r="27" ht="15" customHeight="1" s="129">
      <c r="A27" s="290" t="inlineStr">
        <is>
          <t>ยางอัดกระจก (ม.)</t>
        </is>
      </c>
      <c r="B27" s="314">
        <f>ROUND(2*(B3+B4)/100,1)</f>
        <v/>
      </c>
      <c r="C27" s="315" t="n">
        <v>11</v>
      </c>
      <c r="D27" s="305">
        <f>B27*C27</f>
        <v/>
      </c>
    </row>
    <row r="28" ht="15" customHeight="1" s="129">
      <c r="A28" s="290" t="inlineStr">
        <is>
          <t>ยาง foam (ม.)</t>
        </is>
      </c>
      <c r="B28" s="314">
        <f>ROUND(4*(B3+B4)/100,1)</f>
        <v/>
      </c>
      <c r="C28" s="315" t="n">
        <v>5</v>
      </c>
      <c r="D28" s="305">
        <f>B28*C28</f>
        <v/>
      </c>
    </row>
    <row r="29" ht="15" customHeight="1" s="129">
      <c r="A29" s="290" t="inlineStr">
        <is>
          <t>วาวล์ระบายน้ำ</t>
        </is>
      </c>
      <c r="B29" s="314">
        <f>2</f>
        <v/>
      </c>
      <c r="C29" s="315" t="n">
        <v>14</v>
      </c>
      <c r="D29" s="305">
        <f>B29*C29</f>
        <v/>
      </c>
    </row>
    <row r="30" ht="15" customHeight="1" s="129">
      <c r="A30" s="290" t="inlineStr">
        <is>
          <t>กระจก (ตร.ม.)</t>
        </is>
      </c>
      <c r="B30" s="314">
        <f>B7</f>
        <v/>
      </c>
      <c r="C30" s="315">
        <f>INDEX(ราคาวัสดุกลาง!$I$2:$I$106,MATCH(B10,ราคาวัสดุกลาง!$H$2:$H$106,0))</f>
        <v/>
      </c>
      <c r="D30" s="305">
        <f>B30*C30</f>
        <v/>
      </c>
    </row>
    <row r="31" ht="15" customHeight="1" s="129">
      <c r="A31" s="290" t="inlineStr">
        <is>
          <t>ซิลิโคน (หลอด) ใน+นอก</t>
        </is>
      </c>
      <c r="B31" s="314">
        <f>ROUNDUP(2*(B3+B4)/100*2/12.5,0)</f>
        <v/>
      </c>
      <c r="C31" s="315">
        <f>B9</f>
        <v/>
      </c>
      <c r="D31" s="305">
        <f>B31*C31</f>
        <v/>
      </c>
    </row>
    <row r="32" ht="15" customHeight="1" s="129">
      <c r="A32" s="316" t="inlineStr">
        <is>
          <t>ค่าเปิดตู้อบ</t>
        </is>
      </c>
      <c r="B32" s="316">
        <f>IF(OR(F10="สีอบพิเศษ",F10="สีลายไม้อบพิเศษ"),1,0)</f>
        <v/>
      </c>
      <c r="C32" s="312" t="n">
        <v>2000</v>
      </c>
      <c r="D32" s="312">
        <f>B32*C32</f>
        <v/>
      </c>
      <c r="E32" s="316" t="inlineStr">
        <is>
          <t>สีอบพิเศษ / ลายไม้อบพิเศษ เท่านั้น</t>
        </is>
      </c>
    </row>
    <row r="33" ht="15" customHeight="1" s="129">
      <c r="A33" s="317" t="inlineStr">
        <is>
          <t>ทุนรวม</t>
        </is>
      </c>
      <c r="D33" s="318">
        <f>SUM(D12:D32)+D54+D59+D60+D61+D62</f>
        <v/>
      </c>
    </row>
    <row r="34" ht="15" customHeight="1" s="129">
      <c r="A34" s="317" t="inlineStr">
        <is>
          <t>ทุน/ตร.ม.</t>
        </is>
      </c>
      <c r="D34" s="318">
        <f>IFERROR(D33/B7,0)</f>
        <v/>
      </c>
    </row>
    <row r="35" ht="15" customHeight="1" s="129">
      <c r="A35" s="319" t="inlineStr">
        <is>
          <t>ราคาขาย/ตร.ม. (ทุน+กำไร%)</t>
        </is>
      </c>
      <c r="D35" s="321">
        <f>ROUNDUP(D33*(1+B8/100)/100,0)*100</f>
        <v/>
      </c>
    </row>
    <row r="36" ht="15" customHeight="1" s="129">
      <c r="A36" s="319" t="inlineStr">
        <is>
          <t>ราคาขายรวม/ชุด</t>
        </is>
      </c>
      <c r="D36" s="321">
        <f>D35</f>
        <v/>
      </c>
    </row>
    <row r="37" ht="15" customHeight="1" s="129">
      <c r="A37" s="322" t="inlineStr">
        <is>
          <t>%กำไรจริง (บนทุน)</t>
        </is>
      </c>
      <c r="D37" s="323">
        <f>IFERROR((D35-D33)/D33,0)</f>
        <v/>
      </c>
    </row>
    <row r="38" ht="15" customHeight="1" s="129">
      <c r="A38" s="200" t="n"/>
      <c r="D38" s="169" t="n"/>
    </row>
    <row r="39" ht="15" customHeight="1" s="129">
      <c r="D39" s="169" t="n"/>
    </row>
    <row r="40" ht="15" customHeight="1" s="129">
      <c r="A40" s="201" t="n"/>
      <c r="B40" s="202" t="n"/>
      <c r="C40" s="202" t="n"/>
      <c r="D40" s="203" t="n"/>
    </row>
    <row r="41">
      <c r="A41" s="276" t="inlineStr">
        <is>
          <t>— ผูกค่าแรง (ราคาขายรวมค่าแรง) —</t>
        </is>
      </c>
    </row>
    <row r="42">
      <c r="A42" s="324" t="inlineStr">
        <is>
          <t>ค่าแรงผลิต (จากชีทค่าแรง)</t>
        </is>
      </c>
      <c r="D42" s="277">
        <f>MAX(0,VLOOKUP("บานกระทุ้ง (ยูโร)",'ค่าแรง'!$A$12:$E$27,2,0)+VLOOKUP("บานกระทุ้ง (ยูโร)",'ค่าแรง'!$A$12:$E$27,3,0)*B7)</f>
        <v/>
      </c>
    </row>
    <row r="43">
      <c r="A43" s="324" t="inlineStr">
        <is>
          <t>ค่าแรงติดตั้ง (จากชีทค่าแรง)</t>
        </is>
      </c>
      <c r="D43" s="277">
        <f>MAX(0,VLOOKUP("บานกระทุ้ง (ยูโร)",'ค่าแรง'!$A$12:$E$27,4,0)+VLOOKUP("บานกระทุ้ง (ยูโร)",'ค่าแรง'!$A$12:$E$27,5,0)*B7)</f>
        <v/>
      </c>
    </row>
    <row r="44">
      <c r="A44" s="324" t="inlineStr">
        <is>
          <t>กำไรติดตั้ง % →</t>
        </is>
      </c>
      <c r="B44" s="278" t="n">
        <v>100</v>
      </c>
    </row>
    <row r="45">
      <c r="A45" s="276" t="inlineStr">
        <is>
          <t>ราคาขาย ผลิตอย่างเดียว</t>
        </is>
      </c>
      <c r="D45" s="279">
        <f>ROUNDUP((D33+D42+D63)*(1+B8/100)/100,0)*100</f>
        <v/>
      </c>
    </row>
    <row r="46">
      <c r="A46" s="276" t="inlineStr">
        <is>
          <t>ราคาขาย ผลิต+ติดตั้ง</t>
        </is>
      </c>
      <c r="D46" s="279">
        <f>D45+ROUNDUP((D43+D64)*(1+B44/100)/100,0)*100</f>
        <v/>
      </c>
    </row>
    <row r="47">
      <c r="A47" s="276" t="inlineStr">
        <is>
          <t>%กำไรจริง (ผลิต+ติดตั้ง)</t>
        </is>
      </c>
      <c r="D47" s="280">
        <f>(D46-(D33+D42+D43+D63+D64))/(D33+D42+D43+D63+D64)</f>
        <v/>
      </c>
    </row>
    <row r="49">
      <c r="A49" s="433" t="inlineStr">
        <is>
          <t>— ชุด auto (ออปชั่น) — บวกเข้าทุน × กำไร%</t>
        </is>
      </c>
      <c r="B49" s="434" t="n"/>
      <c r="C49" s="434" t="n"/>
      <c r="D49" s="434" t="n"/>
    </row>
    <row r="50">
      <c r="A50" s="134" t="inlineStr">
        <is>
          <t>ใส่ auto? →</t>
        </is>
      </c>
      <c r="B50" s="435" t="inlineStr">
        <is>
          <t>ไม่มี</t>
        </is>
      </c>
      <c r="C50" s="434" t="n"/>
      <c r="D50" s="434" t="n"/>
    </row>
    <row r="51">
      <c r="A51" s="134" t="inlineStr">
        <is>
          <t>ชุด auto →</t>
        </is>
      </c>
      <c r="B51" s="435" t="inlineStr">
        <is>
          <t>โซ่เดี่ยว 50</t>
        </is>
      </c>
      <c r="C51" s="434" t="n"/>
      <c r="D51" s="434" t="n"/>
    </row>
    <row r="52">
      <c r="A52" s="134" t="inlineStr">
        <is>
          <t>จำนวนมอเตอร์ (=จำนวนบาน) →</t>
        </is>
      </c>
      <c r="B52" s="395">
        <f>B5</f>
        <v/>
      </c>
      <c r="C52" s="434" t="n"/>
      <c r="D52" s="434" t="n"/>
    </row>
    <row r="53">
      <c r="A53" s="434" t="n"/>
      <c r="B53" s="434" t="n"/>
      <c r="C53" s="434" t="n"/>
      <c r="D53" s="434" t="n"/>
    </row>
    <row r="54">
      <c r="A54" s="436" t="inlineStr">
        <is>
          <t>ทุนชุด auto</t>
        </is>
      </c>
      <c r="B54" s="434" t="n"/>
      <c r="C54" s="434" t="n"/>
      <c r="D54" s="437">
        <f>IF(B50="ไม่มี",0,B52*INDEX(ราคาออโต้!$C:$C,MATCH(B51,ราคาออโต้!$B:$B,0))+INDEX(ราคาออโต้!$D:$D,MATCH(B51,ราคาออโต้!$B:$B,0))+IF(AND(B52&gt;=2,OR(B51="โช็ค เปิด 50",B51="โช็ค เปิด 80")),INDEX(ราคาออโต้!$C:$C,MATCH("อุปกรณ์พิเศษ (โช็ค 2 ตัว)",ราคาออโต้!$B:$B,0)),0))</f>
        <v/>
      </c>
    </row>
    <row r="56">
      <c r="A56" s="532" t="inlineStr">
        <is>
          <t>— มุ้ง (ออปชั่น) — บวกเข้าทุน —</t>
        </is>
      </c>
    </row>
    <row r="57">
      <c r="A57" s="276" t="inlineStr">
        <is>
          <t>เลือกมุ้ง →</t>
        </is>
      </c>
      <c r="B57" s="594" t="inlineStr">
        <is>
          <t>ไม่มีมุ้ง</t>
        </is>
      </c>
      <c r="C57" s="140">
        <f>IF(B57="ไม่มีมุ้ง","—",IF(H58=1,"✓ ใช้ได้","⚠ ใช้กับบานนี้ไม่ได้(ทุน=0)"))</f>
        <v/>
      </c>
      <c r="D57" s="140">
        <f>IF(B57="ไม่มีมุ้ง","",H63&amp;" บาน")</f>
        <v/>
      </c>
      <c r="H57" s="514">
        <f>IFERROR(VLOOKUP(B57,ราคามุ้ง!$A$2:$O$15,3,0),"")</f>
        <v/>
      </c>
    </row>
    <row r="58">
      <c r="A58" s="387" t="inlineStr">
        <is>
          <t>ชนิดผ้า / สี →</t>
        </is>
      </c>
      <c r="B58" s="594" t="inlineStr">
        <is>
          <t>ไฟเบอร์</t>
        </is>
      </c>
      <c r="C58" s="594" t="inlineStr">
        <is>
          <t>เทา</t>
        </is>
      </c>
      <c r="H58" s="514">
        <f>IF(B57="ไม่มีมุ้ง",0,IF(OR(IFERROR(VLOOKUP(B57,ราคามุ้ง!$A$2:$O$15,4,0),"ALL")="ALL",ISNUMBER(SEARCH("กระทุ้ง",IFERROR(VLOOKUP(B57,ราคามุ้ง!$A$2:$O$15,4,0),"")))),1,0))</f>
        <v/>
      </c>
    </row>
    <row r="59">
      <c r="A59" s="387" t="inlineStr">
        <is>
          <t>› เสา (เส้น 6ม.)</t>
        </is>
      </c>
      <c r="B59" s="601">
        <f>IF(AND(H58=1,H59=1),ROUND(H63*2*H62/6,2),0)</f>
        <v/>
      </c>
      <c r="C59" s="598">
        <f>IF(B57="มุ้งเฟรมเล็ก",'ราคามุ้ง'!$B$19,IF(B57="มุ้งเฟรมใหญ่",ROUND(C14*mult_euro,0),IF(B57="มุ้งนิรภัย",'ราคามุ้ง'!$B$21,0)))</f>
        <v/>
      </c>
      <c r="D59" s="389">
        <f>ROUND(B59*C59,0)</f>
        <v/>
      </c>
      <c r="H59" s="514">
        <f>IF(OR(B57="มุ้งเฟรมเล็ก",B57="มุ้งเฟรมใหญ่",B57="มุ้งนิรภัย"),1,0)</f>
        <v/>
      </c>
    </row>
    <row r="60">
      <c r="A60" s="387" t="inlineStr">
        <is>
          <t>› ขวาง (เส้น 6ม.)</t>
        </is>
      </c>
      <c r="B60" s="601">
        <f>IF(AND(H58=1,H59=1),ROUND(H63*2*H61/6,2),0)</f>
        <v/>
      </c>
      <c r="C60" s="598">
        <f>IF(B57="มุ้งเฟรมเล็ก",'ราคามุ้ง'!$B$19,IF(B57="มุ้งเฟรมใหญ่",ROUND(C14*mult_euro,0),IF(B57="มุ้งนิรภัย",'ราคามุ้ง'!$B$21,0)))</f>
        <v/>
      </c>
      <c r="D60" s="389">
        <f>ROUND(B60*C60,0)</f>
        <v/>
      </c>
      <c r="H60" s="514">
        <f>IFERROR(VLOOKUP(B58,ราคามุ้ง!$I$2:$J$5,2,0),0)</f>
        <v/>
      </c>
    </row>
    <row r="61">
      <c r="A61" s="387" t="inlineStr">
        <is>
          <t>› ยางอัด (ม.)</t>
        </is>
      </c>
      <c r="B61" s="601">
        <f>IF(AND(H58=1,H59=1),ROUND(H63*2*(H61+H62),2),0)</f>
        <v/>
      </c>
      <c r="C61" s="598">
        <f>'ราคามุ้ง'!$D$19</f>
        <v/>
      </c>
      <c r="D61" s="389">
        <f>ROUND(B61*C61,0)</f>
        <v/>
      </c>
      <c r="H61" s="514">
        <f>B3/(B5*100)</f>
        <v/>
      </c>
    </row>
    <row r="62">
      <c r="A62" s="387" t="inlineStr">
        <is>
          <t>› ผ้า / มุ้งสำเร็จ</t>
        </is>
      </c>
      <c r="B62" s="601">
        <f>IF(H58=0,0,ROUND(H63*H61*H62,2))</f>
        <v/>
      </c>
      <c r="C62" s="598">
        <f>IF(B57="มุ้งนิรภัย",650,IF(OR(B57="มุ้งเฟรมเล็ก",B57="มุ้งเฟรมใหญ่"),H60,IF(H57="ซื้อสำเร็จ",IFERROR(VLOOKUP(B57,ราคามุ้ง!$A$2:$O$15,2,0),0),0)))</f>
        <v/>
      </c>
      <c r="D62" s="389">
        <f>ROUND(B62*C62,0)</f>
        <v/>
      </c>
      <c r="H62" s="514">
        <f>B4/100</f>
        <v/>
      </c>
    </row>
    <row r="63">
      <c r="A63" s="387" t="inlineStr">
        <is>
          <t>› ค่าแรงผลิตมุ้ง</t>
        </is>
      </c>
      <c r="D63" s="389">
        <f>IF(H58=0,0,ROUND(H63*(VLOOKUP(B57,ราคามุ้ง!$A$2:$O$15,12,0)+VLOOKUP(B57,ราคามุ้ง!$A$2:$O$15,13,0)*H61*H62),0))</f>
        <v/>
      </c>
      <c r="H63" s="514">
        <f>B5</f>
        <v/>
      </c>
    </row>
    <row r="64">
      <c r="A64" s="387" t="inlineStr">
        <is>
          <t>› ค่าแรงติดตั้งมุ้ง</t>
        </is>
      </c>
      <c r="D64" s="389">
        <f>IF(H58=0,0,ROUND(H63*(VLOOKUP(B57,ราคามุ้ง!$A$2:$O$15,14,0)+VLOOKUP(B57,ราคามุ้ง!$A$2:$O$15,15,0)*H61*H62),0))</f>
        <v/>
      </c>
    </row>
    <row r="65">
      <c r="A65" s="663" t="inlineStr">
        <is>
          <t>รวมราคามุ้ง (บวกเข้าทุนแล้ว)</t>
        </is>
      </c>
      <c r="D65" s="664">
        <f>SUM(D59:D64)</f>
        <v/>
      </c>
    </row>
    <row r="66">
      <c r="A66" s="745" t="n"/>
      <c r="B66" s="745" t="n"/>
      <c r="C66" s="745" t="n"/>
      <c r="D66" s="745" t="n"/>
      <c r="E66" s="745" t="n"/>
      <c r="F66" s="745" t="n"/>
      <c r="G66" s="745" t="n"/>
      <c r="H66" s="745" t="n"/>
      <c r="I66" s="745" t="n"/>
      <c r="J66" s="745" t="n"/>
      <c r="K66" s="745" t="n"/>
    </row>
    <row r="67">
      <c r="A67" s="746" t="n"/>
      <c r="B67" s="745" t="n"/>
      <c r="C67" s="745" t="n"/>
      <c r="D67" s="745" t="n"/>
      <c r="E67" s="745" t="n"/>
      <c r="F67" s="745" t="n"/>
      <c r="G67" s="745" t="n"/>
      <c r="H67" s="745" t="n"/>
      <c r="I67" s="745" t="n"/>
      <c r="J67" s="745" t="n"/>
      <c r="K67" s="745" t="n"/>
    </row>
    <row r="68">
      <c r="A68" s="747" t="n"/>
      <c r="B68" s="748" t="n"/>
      <c r="C68" s="745" t="n"/>
      <c r="D68" s="745" t="n"/>
      <c r="E68" s="745" t="n"/>
      <c r="F68" s="745" t="n"/>
      <c r="G68" s="745" t="n"/>
      <c r="H68" s="745" t="n"/>
      <c r="I68" s="745" t="n"/>
      <c r="J68" s="745" t="n"/>
      <c r="K68" s="745" t="n"/>
    </row>
    <row r="69">
      <c r="A69" s="747" t="n"/>
      <c r="B69" s="748" t="n"/>
      <c r="C69" s="745" t="n"/>
      <c r="D69" s="745" t="n"/>
      <c r="E69" s="745" t="n"/>
      <c r="F69" s="745" t="n"/>
      <c r="G69" s="745" t="n"/>
      <c r="H69" s="745" t="n"/>
      <c r="I69" s="745" t="n"/>
      <c r="J69" s="745" t="n"/>
      <c r="K69" s="745" t="n"/>
    </row>
    <row r="70">
      <c r="A70" s="747" t="n"/>
      <c r="B70" s="748" t="n"/>
      <c r="C70" s="745" t="n"/>
      <c r="D70" s="745" t="n"/>
      <c r="E70" s="745" t="n"/>
      <c r="F70" s="745" t="n"/>
      <c r="G70" s="745" t="n"/>
      <c r="H70" s="745" t="n"/>
      <c r="I70" s="745" t="n"/>
      <c r="J70" s="745" t="n"/>
      <c r="K70" s="745" t="n"/>
    </row>
    <row r="71">
      <c r="A71" s="747" t="n"/>
      <c r="B71" s="749" t="n"/>
      <c r="C71" s="745" t="n"/>
      <c r="D71" s="745" t="n"/>
      <c r="E71" s="745" t="n"/>
      <c r="F71" s="745" t="n"/>
      <c r="G71" s="745" t="n"/>
      <c r="H71" s="745" t="n"/>
      <c r="I71" s="745" t="n"/>
      <c r="J71" s="745" t="n"/>
      <c r="K71" s="745" t="n"/>
    </row>
    <row r="72">
      <c r="A72" s="745" t="n"/>
      <c r="B72" s="745" t="n"/>
      <c r="C72" s="745" t="n"/>
      <c r="D72" s="745" t="n"/>
      <c r="E72" s="745" t="n"/>
      <c r="F72" s="745" t="n"/>
      <c r="G72" s="745" t="n"/>
      <c r="H72" s="745" t="n"/>
      <c r="I72" s="745" t="n"/>
      <c r="J72" s="745" t="n"/>
      <c r="K72" s="745" t="n"/>
    </row>
    <row r="73">
      <c r="A73" s="738" t="inlineStr">
        <is>
          <t>🔍 แยกก้อนต้นทุน</t>
        </is>
      </c>
    </row>
    <row r="74">
      <c r="A74" s="739" t="inlineStr">
        <is>
          <t>ทุนอลู (×ราคา/กก.)</t>
        </is>
      </c>
      <c r="B74" s="740">
        <f>D12+D13+D14+D15+D16+D23+D31</f>
        <v/>
      </c>
    </row>
    <row r="75">
      <c r="A75" s="741" t="inlineStr">
        <is>
          <t>ทุนกระจก</t>
        </is>
      </c>
      <c r="B75" s="742">
        <f>D27+D30</f>
        <v/>
      </c>
    </row>
    <row r="76">
      <c r="A76" s="741" t="inlineStr">
        <is>
          <t>ทุนอุปกรณ์+ซิลิโคน</t>
        </is>
      </c>
      <c r="B76" s="742">
        <f>D17+D18+D19+D20+D21+D22+D24+D25+D26+D28+D29+D32</f>
        <v/>
      </c>
    </row>
    <row r="77">
      <c r="A77" s="741" t="inlineStr">
        <is>
          <t>รวมวัสดุ</t>
        </is>
      </c>
      <c r="B77" s="743">
        <f>B74+B75+B76</f>
        <v/>
      </c>
    </row>
  </sheetData>
  <mergeCells count="2">
    <mergeCell ref="A1:D1"/>
    <mergeCell ref="A38:D39"/>
  </mergeCells>
  <dataValidations count="8">
    <dataValidation sqref="B10" showDropDown="0" showInputMessage="0" showErrorMessage="0" allowBlank="0" type="list" errorStyle="stop" operator="between">
      <formula1>GlassNames</formula1>
      <formula2>0</formula2>
    </dataValidation>
    <dataValidation sqref="F10" showDropDown="0" showInputMessage="0" showErrorMessage="0" allowBlank="0" type="list" errorStyle="stop" operator="between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  <formula2>0</formula2>
    </dataValidation>
    <dataValidation sqref="B50" showDropDown="0" showInputMessage="0" showErrorMessage="0" allowBlank="1" type="list">
      <formula1>"มี,ไม่มี"</formula1>
    </dataValidation>
    <dataValidation sqref="B51" showDropDown="0" showInputMessage="0" showErrorMessage="0" allowBlank="1" type="list">
      <formula1>"โช็ค เปิด 50,โช็ค เปิด 80,โซ่เดี่ยว 50,โซ่คู่ 50"</formula1>
    </dataValidation>
    <dataValidation sqref="B52" showDropDown="0" showInputMessage="0" showErrorMessage="0" allowBlank="1" type="list">
      <formula1>"1,2"</formula1>
    </dataValidation>
    <dataValidation sqref="B57" showDropDown="0" showInputMessage="0" showErrorMessage="0" allowBlank="1" type="list">
      <formula1>MungList</formula1>
    </dataValidation>
    <dataValidation sqref="B58" showDropDown="0" showInputMessage="0" showErrorMessage="0" allowBlank="1" type="list">
      <formula1>ClothList</formula1>
    </dataValidation>
    <dataValidation sqref="C58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O1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24" customWidth="1" style="140" min="2" max="4"/>
    <col width="12.8" customWidth="1" style="129" min="3" max="3"/>
    <col width="24" customWidth="1" style="129" min="4" max="4"/>
    <col width="24" customWidth="1" style="140" min="5" max="5"/>
    <col width="10.7" customWidth="1" style="129" min="6" max="6"/>
    <col hidden="1" width="23.2" customWidth="1" style="140" min="7" max="9"/>
    <col width="23.2" customWidth="1" style="129" min="8" max="8"/>
    <col width="7.5" customWidth="1" style="129" min="9" max="9"/>
    <col width="18" customWidth="1" style="129" min="10" max="10"/>
    <col width="9.6" customWidth="1" style="129" min="11" max="11"/>
    <col width="22.2" customWidth="1" style="129" min="12" max="12"/>
    <col width="6.5" customWidth="1" style="129" min="13" max="13"/>
  </cols>
  <sheetData>
    <row r="1" ht="24" customHeight="1" s="129">
      <c r="A1" s="286" t="inlineStr">
        <is>
          <t>ถอดทุนบานเฟี้ยม (sms, ขาวดำ) — นับเส้นเต็ม</t>
        </is>
      </c>
      <c r="G1" s="875" t="n"/>
      <c r="H1" s="876" t="inlineStr">
        <is>
          <t>🏠 สารบัญ</t>
        </is>
      </c>
      <c r="J1" s="643" t="n"/>
    </row>
    <row r="2" ht="15" customHeight="1" s="129">
      <c r="A2" s="287" t="inlineStr">
        <is>
          <t>กว้างรวม (ซม.) →</t>
        </is>
      </c>
      <c r="B2" s="283" t="n">
        <v>180</v>
      </c>
      <c r="G2" s="337" t="inlineStr">
        <is>
          <t>2บาน: 2-0 พับข้างเดียว</t>
        </is>
      </c>
      <c r="H2" s="337" t="inlineStr">
        <is>
          <t>2บาน: 2-0 พับข้างเดียว</t>
        </is>
      </c>
      <c r="I2" s="287" t="n">
        <v>5958</v>
      </c>
    </row>
    <row r="3" ht="15" customHeight="1" s="129">
      <c r="A3" s="287" t="inlineStr">
        <is>
          <t>สูง (ซม.) →</t>
        </is>
      </c>
      <c r="B3" s="283" t="n">
        <v>280</v>
      </c>
      <c r="G3" s="337" t="inlineStr">
        <is>
          <t>2บาน: 1-1 เปิดกลาง</t>
        </is>
      </c>
      <c r="H3" s="337" t="inlineStr">
        <is>
          <t>2บาน: 1-1 เปิดกลาง</t>
        </is>
      </c>
      <c r="I3" s="287" t="n">
        <v>5958</v>
      </c>
    </row>
    <row r="4" ht="15" customHeight="1" s="129">
      <c r="A4" s="287" t="inlineStr">
        <is>
          <t>จำนวนบาน (auto) →</t>
        </is>
      </c>
      <c r="B4" s="283">
        <f>IFERROR(VALUE(LEFT(B5,FIND("บาน",B5)-1)),2)</f>
        <v/>
      </c>
      <c r="G4" s="337" t="inlineStr">
        <is>
          <t>2บาน: 0-2 พับข้างเดียว</t>
        </is>
      </c>
      <c r="H4" s="337" t="inlineStr">
        <is>
          <t>2บาน: 0-2 พับข้างเดียว</t>
        </is>
      </c>
      <c r="I4" s="287" t="n">
        <v>5958</v>
      </c>
    </row>
    <row r="5" ht="15" customHeight="1" s="129">
      <c r="A5" s="287" t="inlineStr">
        <is>
          <t>รูปแบบพับ →</t>
        </is>
      </c>
      <c r="B5" s="338" t="inlineStr">
        <is>
          <t>2บาน: 2-0 พับข้างเดียว</t>
        </is>
      </c>
      <c r="G5" s="337" t="inlineStr">
        <is>
          <t>3บาน: 3-0 พับข้างเดียว</t>
        </is>
      </c>
      <c r="H5" s="337" t="inlineStr">
        <is>
          <t>3บาน: 3-0 พับข้างเดียว</t>
        </is>
      </c>
      <c r="I5" s="287" t="n">
        <v>7504</v>
      </c>
    </row>
    <row r="6" ht="15" customHeight="1" s="129">
      <c r="A6" s="287" t="inlineStr">
        <is>
          <t>เฟรมล่าง →</t>
        </is>
      </c>
      <c r="B6" s="283" t="inlineStr">
        <is>
          <t>ธรณี</t>
        </is>
      </c>
      <c r="G6" s="337" t="inlineStr">
        <is>
          <t>3บาน: 2-1 พับสลับ</t>
        </is>
      </c>
      <c r="H6" s="337" t="inlineStr">
        <is>
          <t>3บาน: 2-1 พับสลับ</t>
        </is>
      </c>
      <c r="I6" s="287" t="n">
        <v>9112</v>
      </c>
    </row>
    <row r="7" ht="15" customHeight="1" s="129">
      <c r="A7" s="287" t="inlineStr">
        <is>
          <t>พื้นที่ (ตร.ม.) =</t>
        </is>
      </c>
      <c r="B7" s="287">
        <f>(B2/100)*(B3/100)</f>
        <v/>
      </c>
      <c r="G7" s="337" t="inlineStr">
        <is>
          <t>3บาน: 1-2 พับสลับ</t>
        </is>
      </c>
      <c r="H7" s="337" t="inlineStr">
        <is>
          <t>3บาน: 1-2 พับสลับ</t>
        </is>
      </c>
      <c r="I7" s="287" t="n">
        <v>9112</v>
      </c>
    </row>
    <row r="8" ht="15" customHeight="1" s="129">
      <c r="A8" s="287" t="inlineStr">
        <is>
          <t>บวกกำไร % →</t>
        </is>
      </c>
      <c r="B8" s="283" t="n">
        <v>100</v>
      </c>
      <c r="G8" s="337" t="inlineStr">
        <is>
          <t>3บาน: 0-3 พับข้างเดียว</t>
        </is>
      </c>
      <c r="H8" s="337" t="inlineStr">
        <is>
          <t>3บาน: 0-3 พับข้างเดียว</t>
        </is>
      </c>
      <c r="I8" s="287" t="n">
        <v>7504</v>
      </c>
    </row>
    <row r="9" ht="15" customHeight="1" s="129">
      <c r="A9" s="287" t="inlineStr">
        <is>
          <t>ราคาซิลิโคน/หลอด →</t>
        </is>
      </c>
      <c r="B9" s="283" t="n">
        <v>90</v>
      </c>
      <c r="G9" s="337" t="inlineStr">
        <is>
          <t>4บาน: 4-0 พับข้างเดียว</t>
        </is>
      </c>
      <c r="H9" s="337" t="inlineStr">
        <is>
          <t>4บาน: 4-0 พับข้างเดียว</t>
        </is>
      </c>
      <c r="I9" s="287" t="n">
        <v>10308</v>
      </c>
    </row>
    <row r="10" ht="15" customHeight="1" s="129">
      <c r="A10" s="287" t="inlineStr">
        <is>
          <t>กระจก →</t>
        </is>
      </c>
      <c r="B10" s="283" t="inlineStr">
        <is>
          <t>เขียว 6มม.</t>
        </is>
      </c>
      <c r="C10" s="312">
        <f>INDEX(ราคาวัสดุกลาง!$I$2:$I$106,MATCH(B10,ราคาวัสดุกลาง!$H$2:$H$106,0))</f>
        <v/>
      </c>
      <c r="D10" s="287" t="inlineStr">
        <is>
          <t>← ราคากระจก/ตร.ม. (อัตโนมัติ)</t>
        </is>
      </c>
      <c r="E10" s="287" t="inlineStr">
        <is>
          <t>สี →</t>
        </is>
      </c>
      <c r="F10" s="283" t="inlineStr">
        <is>
          <t>สีอบขาว/ดำ</t>
        </is>
      </c>
      <c r="G10" s="337" t="n"/>
      <c r="H10" s="337" t="inlineStr">
        <is>
          <t>4บาน: 3-1 พับสลับ</t>
        </is>
      </c>
      <c r="I10" s="287" t="n">
        <v>9658</v>
      </c>
    </row>
    <row r="11" ht="15" customHeight="1" s="129">
      <c r="A11" s="339" t="inlineStr">
        <is>
          <t>วัสดุ</t>
        </is>
      </c>
      <c r="B11" s="339" t="inlineStr">
        <is>
          <t>จำนวน</t>
        </is>
      </c>
      <c r="C11" s="339" t="inlineStr">
        <is>
          <t>ราคา/หน่วย</t>
        </is>
      </c>
      <c r="D11" s="339" t="inlineStr">
        <is>
          <t>ทุน(บาท)</t>
        </is>
      </c>
      <c r="G11" s="340" t="inlineStr">
        <is>
          <t>4บาน: 2-2 เปิดกลาง</t>
        </is>
      </c>
      <c r="H11" s="340" t="inlineStr">
        <is>
          <t>4บาน: 2-2 เปิดกลาง</t>
        </is>
      </c>
      <c r="I11" s="339" t="n">
        <v>11916</v>
      </c>
    </row>
    <row r="12" ht="15" customHeight="1" s="129">
      <c r="A12" s="316" t="inlineStr">
        <is>
          <t>B24001 เฟรมบน</t>
        </is>
      </c>
      <c r="B12" s="316">
        <f>IF(FLOOR(6.4/(B2/100),1)&gt;=1,ROUNDUP(1/FLOOR(6.4/(B2/100),1),0),ROUNDUP((B2/100)/6.4,0))</f>
        <v/>
      </c>
      <c r="C12" s="312">
        <f>IF(F10="สีอบขาว/ดำ",IFERROR(VLOOKUP("B24001",ราคาสี!$A:$D,4,0),2105),IF(OR(F10="เทาซาฮาร่า",F10="สีดำซาฮาร่า"),VLOOKUP("B24001",ราคาสี!$A:$F,5,0),IF(F10="ลายไม้ stock",(VLOOKUP("B24001",ราคาสี!$A:$H,8,0)*mult_wood/mult_euro),IFERROR(VLOOKUP("B24001",ราคาสี!$A:$D,4,0),2105)+IF(F10="สีอบพิเศษ",rate_special,rate_woodbake)*11.69444)))</f>
        <v/>
      </c>
      <c r="D12" s="312">
        <f>B12*C12*mult_euro</f>
        <v/>
      </c>
      <c r="G12" s="341" t="inlineStr">
        <is>
          <t>4บาน: 1-3 พับสลับ</t>
        </is>
      </c>
      <c r="H12" s="341" t="inlineStr">
        <is>
          <t>4บาน: 1-3 พับสลับ</t>
        </is>
      </c>
      <c r="I12" s="312" t="n">
        <v>9658</v>
      </c>
      <c r="L12" s="684" t="inlineStr">
        <is>
          <t>— มุ้ง (ออปชั่น · ซื้อสำเร็จ) — บวกเข้าทุนแล้ว</t>
        </is>
      </c>
    </row>
    <row r="13" ht="15" customHeight="1" s="129">
      <c r="A13" s="316" t="inlineStr">
        <is>
          <t>B24002 คิ้วเฟรมบน</t>
        </is>
      </c>
      <c r="B13" s="316">
        <f>IF(FLOOR(6.4/(B2/100),1)&gt;=1,ROUNDUP(1/FLOOR(6.4/(B2/100),1),0),ROUNDUP((B2/100)/6.4,0))</f>
        <v/>
      </c>
      <c r="C13" s="312">
        <f>IF(F10="สีอบขาว/ดำ",IFERROR(VLOOKUP("B24002",ราคาสี!$A:$D,4,0),320),IF(OR(F10="เทาซาฮาร่า",F10="สีดำซาฮาร่า"),VLOOKUP("B24002",ราคาสี!$A:$F,5,0),IF(F10="ลายไม้ stock",(VLOOKUP("B24002",ราคาสี!$A:$H,8,0)*mult_wood/mult_euro),IFERROR(VLOOKUP("B24002",ราคาสี!$A:$D,4,0),320)+IF(F10="สีอบพิเศษ",rate_special,rate_woodbake)*1.77778)))</f>
        <v/>
      </c>
      <c r="D13" s="312">
        <f>B13*C13*mult_euro</f>
        <v/>
      </c>
      <c r="G13" s="341" t="inlineStr">
        <is>
          <t>4บาน: 0-4 พับข้างเดียว</t>
        </is>
      </c>
      <c r="H13" s="341" t="inlineStr">
        <is>
          <t>4บาน: 0-4 พับข้างเดียว</t>
        </is>
      </c>
      <c r="I13" s="312" t="n">
        <v>10308</v>
      </c>
      <c r="L13" s="706" t="inlineStr">
        <is>
          <t>เลือกมุ้ง →</t>
        </is>
      </c>
      <c r="M13" s="780" t="inlineStr">
        <is>
          <t>ไม่มีมุ้ง</t>
        </is>
      </c>
    </row>
    <row r="14" ht="15" customHeight="1" s="129">
      <c r="A14" s="316" t="inlineStr">
        <is>
          <t>เฟรมล่าง (เลือกที่ B6)</t>
        </is>
      </c>
      <c r="B14" s="316">
        <f>IF(FLOOR(6.4/(B2/100),1)&gt;=1,ROUNDUP(1/FLOOR(6.4/(B2/100),1),0),ROUNDUP((B2/100)/6.4,0))</f>
        <v/>
      </c>
      <c r="C14" s="312">
        <f>IF(B6="ธรณีหลังเต่า",IF(F10="สีอบขาว/ดำ",IFERROR(VLOOKUP("B24018",ราคาสี!$A:$D,4,0),905),IF(OR(F10="เทาซาฮาร่า",F10="สีดำซาฮาร่า"),VLOOKUP("B24018",ราคาสี!$A:$F,5,0),IF(F10="ลายไม้ stock",(VLOOKUP("B24018",ราคาสี!$A:$H,8,0)*mult_wood/mult_euro),IFERROR(VLOOKUP("B24018",ราคาสี!$A:$D,4,0),905)+IF(F10="สีอบพิเศษ",rate_special,rate_woodbake)*5.0278))),IF(B6="รางยู",IF(F10="สีอบขาว/ดำ",305,IF(OR(F10="เทาซาฮาร่า",F10="สีดำซาฮาร่า"),VLOOKUP("B24017",ราคาสี!$A:$F,5,0),IF(F10="ลายไม้ stock",(VLOOKUP("B24017",ราคาสี!$A:$H,8,0)*mult_wood/mult_euro),305+IF(F10="สีอบพิเศษ",rate_special,rate_woodbake)*1.6944))),IF(F10="สีอบขาว/ดำ",1445,IF(OR(F10="เทาซาฮาร่า",F10="สีดำซาฮาร่า"),VLOOKUP("B24003",ราคาสี!$A:$F,5,0),IF(F10="ลายไม้ stock",(VLOOKUP("B24003",ราคาสี!$A:$H,8,0)*mult_wood/mult_euro),1445+IF(F10="สีอบพิเศษ",rate_special,rate_woodbake)*8.0278)))))</f>
        <v/>
      </c>
      <c r="D14" s="312">
        <f>B14*C14*mult_euro</f>
        <v/>
      </c>
      <c r="G14" s="341" t="inlineStr">
        <is>
          <t>5บาน: 5-0 พับข้างเดียว</t>
        </is>
      </c>
      <c r="H14" s="341" t="inlineStr">
        <is>
          <t>5บาน: 5-0 พับข้างเดียว</t>
        </is>
      </c>
      <c r="I14" s="312" t="n">
        <v>12034</v>
      </c>
      <c r="L14" s="706" t="inlineStr">
        <is>
          <t>รวมราคามุ้ง (บวกเข้าทุน)</t>
        </is>
      </c>
      <c r="M14" s="706">
        <f>IF(M13="ไม่มีมุ้ง",0,ROUND((VLOOKUP(M13,ราคามุ้ง!$A:$F,2,0)+VLOOKUP(M13,ราคามุ้ง!$A:$F,6,0))*B7,0))</f>
        <v/>
      </c>
    </row>
    <row r="15" ht="15" customHeight="1" s="129">
      <c r="A15" s="316" t="inlineStr">
        <is>
          <t>B24004 ตบธรณี</t>
        </is>
      </c>
      <c r="B15" s="316">
        <f>IF(FLOOR(6.4/(B2/100),1)&gt;=1,ROUNDUP(1/FLOOR(6.4/(B2/100),1),0),ROUNDUP((B2/100)/6.4,0))</f>
        <v/>
      </c>
      <c r="C15" s="312">
        <f>IF(F10="สีอบขาว/ดำ",IFERROR(VLOOKUP("B24004",ราคาสี!$A:$D,4,0),570),IF(OR(F10="เทาซาฮาร่า",F10="สีดำซาฮาร่า"),VLOOKUP("B24004",ราคาสี!$A:$F,5,0),IF(F10="ลายไม้ stock",(VLOOKUP("B24004",ราคาสี!$A:$H,8,0)*mult_wood/mult_euro),IFERROR(VLOOKUP("B24004",ราคาสี!$A:$D,4,0),570)+IF(F10="สีอบพิเศษ",rate_special,rate_woodbake)*3.16667)))</f>
        <v/>
      </c>
      <c r="D15" s="312">
        <f>B15*C15*mult_euro</f>
        <v/>
      </c>
      <c r="G15" s="341" t="inlineStr">
        <is>
          <t>5บาน: 4-1 พับสลับ</t>
        </is>
      </c>
      <c r="H15" s="341" t="inlineStr">
        <is>
          <t>5บาน: 4-1 พับสลับ</t>
        </is>
      </c>
      <c r="I15" s="312" t="n">
        <v>13462</v>
      </c>
    </row>
    <row r="16" ht="15" customHeight="1" s="129">
      <c r="A16" s="316" t="inlineStr">
        <is>
          <t>B24005 เฟรมข้าง</t>
        </is>
      </c>
      <c r="B16" s="316">
        <f>IF(FLOOR(6.4/(B3/100),1)&gt;=1,ROUNDUP(2/FLOOR(6.4/(B3/100),1),0),ROUNDUP((B3/100)/6.4,0)*2)</f>
        <v/>
      </c>
      <c r="C16" s="312">
        <f>IF(F10="สีอบขาว/ดำ",IFERROR(VLOOKUP("B24005",ราคาสี!$A:$D,4,0),1000),IF(OR(F10="เทาซาฮาร่า",F10="สีดำซาฮาร่า"),VLOOKUP("B24005",ราคาสี!$A:$F,5,0),IF(F10="ลายไม้ stock",(VLOOKUP("B24005",ราคาสี!$A:$H,8,0)*mult_wood/mult_euro),IFERROR(VLOOKUP("B24005",ราคาสี!$A:$D,4,0),1000)+IF(F10="สีอบพิเศษ",rate_special,rate_woodbake)*5.55556)))</f>
        <v/>
      </c>
      <c r="D16" s="312">
        <f>B16*C16*mult_euro</f>
        <v/>
      </c>
      <c r="G16" s="341" t="inlineStr">
        <is>
          <t>5บาน: 3-2 พับสลับ</t>
        </is>
      </c>
      <c r="H16" s="341" t="inlineStr">
        <is>
          <t>5บาน: 3-2 พับสลับ</t>
        </is>
      </c>
      <c r="I16" s="312" t="n">
        <v>13462</v>
      </c>
    </row>
    <row r="17" ht="15" customHeight="1" s="129">
      <c r="A17" s="316" t="inlineStr">
        <is>
          <t>B24006 คิ้วเฟรมข้าง</t>
        </is>
      </c>
      <c r="B17" s="316">
        <f>IF(FLOOR(6.4/(B3/100),1)&gt;=1,ROUNDUP(2/FLOOR(6.4/(B3/100),1),0),ROUNDUP((B3/100)/6.4,0)*2)</f>
        <v/>
      </c>
      <c r="C17" s="312">
        <f>IF(F10="สีอบขาว/ดำ",IFERROR(VLOOKUP("B24006",ราคาสี!$A:$D,4,0),280),IF(OR(F10="เทาซาฮาร่า",F10="สีดำซาฮาร่า"),VLOOKUP("B24006",ราคาสี!$A:$F,5,0),IF(F10="ลายไม้ stock",(VLOOKUP("B24006",ราคาสี!$A:$H,8,0)*mult_wood/mult_euro),IFERROR(VLOOKUP("B24006",ราคาสี!$A:$D,4,0),280)+IF(F10="สีอบพิเศษ",rate_special,rate_woodbake)*1.55556)))</f>
        <v/>
      </c>
      <c r="D17" s="312">
        <f>B17*C17*mult_euro</f>
        <v/>
      </c>
      <c r="G17" s="341" t="inlineStr">
        <is>
          <t>5บาน: 2-3 พับสลับ</t>
        </is>
      </c>
      <c r="H17" s="341" t="inlineStr">
        <is>
          <t>5บาน: 2-3 พับสลับ</t>
        </is>
      </c>
      <c r="I17" s="312" t="n">
        <v>13462</v>
      </c>
    </row>
    <row r="18" ht="15" customHeight="1" s="129">
      <c r="A18" s="316" t="inlineStr">
        <is>
          <t>B24007 เสาบาน</t>
        </is>
      </c>
      <c r="B18" s="316">
        <f>(2*((B3/100)*B4+(B2/100))/6.4)*buf_scrap</f>
        <v/>
      </c>
      <c r="C18" s="312">
        <f>IF(F10="สีอบขาว/ดำ",IFERROR(VLOOKUP("B24007",ราคาสี!$A:$D,4,0),1210),IF(OR(F10="เทาซาฮาร่า",F10="สีดำซาฮาร่า"),VLOOKUP("B24007",ราคาสี!$A:$F,5,0),IF(F10="ลายไม้ stock",(VLOOKUP("B24007",ราคาสี!$A:$H,8,0)*mult_wood/mult_euro),IFERROR(VLOOKUP("B24007",ราคาสี!$A:$D,4,0),1210)+IF(F10="สีอบพิเศษ",rate_special,rate_woodbake)*6.72222)))</f>
        <v/>
      </c>
      <c r="D18" s="312">
        <f>B18*C18*mult_euro</f>
        <v/>
      </c>
      <c r="G18" s="341" t="inlineStr">
        <is>
          <t>5บาน: 1-4 พับสลับ</t>
        </is>
      </c>
      <c r="H18" s="341" t="inlineStr">
        <is>
          <t>5บาน: 1-4 พับสลับ</t>
        </is>
      </c>
      <c r="I18" s="312" t="n">
        <v>13462</v>
      </c>
    </row>
    <row r="19" ht="15" customHeight="1" s="129">
      <c r="A19" s="316" t="inlineStr">
        <is>
          <t>B24008 คิ้วตบกระจก</t>
        </is>
      </c>
      <c r="B19" s="316">
        <f>(2*((B3/100)*B4+(B2/100))/6.4)*buf_scrap</f>
        <v/>
      </c>
      <c r="C19" s="312">
        <f>IF(F10="สีอบขาว/ดำ",IFERROR(VLOOKUP("B24008",ราคาสี!$A:$D,4,0),265),IF(OR(F10="เทาซาฮาร่า",F10="สีดำซาฮาร่า"),VLOOKUP("B24008",ราคาสี!$A:$F,5,0),IF(F10="ลายไม้ stock",(VLOOKUP("B24008",ราคาสี!$A:$H,8,0)*mult_wood/mult_euro),IFERROR(VLOOKUP("B24008",ราคาสี!$A:$D,4,0),265)+IF(F10="สีอบพิเศษ",rate_special,rate_woodbake)*1.47222)))</f>
        <v/>
      </c>
      <c r="D19" s="312">
        <f>B19*C19*mult_euro</f>
        <v/>
      </c>
      <c r="G19" s="341" t="inlineStr">
        <is>
          <t>5บาน: 0-5 พับข้างเดียว</t>
        </is>
      </c>
      <c r="H19" s="341" t="inlineStr">
        <is>
          <t>5บาน: 0-5 พับข้างเดียว</t>
        </is>
      </c>
      <c r="I19" s="312" t="n">
        <v>12034</v>
      </c>
    </row>
    <row r="20" ht="15" customHeight="1" s="129">
      <c r="A20" s="316" t="inlineStr">
        <is>
          <t>B24009 ต่อกลาง</t>
        </is>
      </c>
      <c r="B20" s="316">
        <f>IF(ISEVEN(B4),((B3/100)/6.4)*buf_scrap,0)</f>
        <v/>
      </c>
      <c r="C20" s="312">
        <f>IF(F10="สีอบขาว/ดำ",IFERROR(VLOOKUP("B24009",ราคาสี!$A:$D,4,0),325),IF(OR(F10="เทาซาฮาร่า",F10="สีดำซาฮาร่า"),VLOOKUP("B24009",ราคาสี!$A:$F,5,0),IF(F10="ลายไม้ stock",(VLOOKUP("B24009",ราคาสี!$A:$H,8,0)*mult_wood/mult_euro),IFERROR(VLOOKUP("B24009",ราคาสี!$A:$D,4,0),325)+IF(F10="สีอบพิเศษ",rate_special,rate_woodbake)*1.80556)))</f>
        <v/>
      </c>
      <c r="D20" s="312">
        <f>B20*C20*mult_euro</f>
        <v/>
      </c>
      <c r="G20" s="341" t="inlineStr">
        <is>
          <t>6บาน: 6-0 พับข้างเดียว</t>
        </is>
      </c>
      <c r="H20" s="341" t="inlineStr">
        <is>
          <t>6บาน: 6-0 พับข้างเดียว</t>
        </is>
      </c>
      <c r="I20" s="312" t="n">
        <v>14838</v>
      </c>
    </row>
    <row r="21" ht="15" customHeight="1" s="129">
      <c r="A21" s="316" t="inlineStr">
        <is>
          <t>ยาง (ม.)</t>
        </is>
      </c>
      <c r="B21" s="316">
        <f>ROUND(2*((B3/100)*B4+(B2/100)),1)</f>
        <v/>
      </c>
      <c r="C21" s="312" t="n">
        <v>11</v>
      </c>
      <c r="D21" s="312">
        <f>B21*C21</f>
        <v/>
      </c>
      <c r="G21" s="341" t="inlineStr">
        <is>
          <t>6บาน: 5-1 พับสลับ</t>
        </is>
      </c>
      <c r="H21" s="341" t="inlineStr">
        <is>
          <t>6บาน: 5-1 พับสลับ</t>
        </is>
      </c>
      <c r="I21" s="312" t="n">
        <v>14008</v>
      </c>
    </row>
    <row r="22" ht="15" customHeight="1" s="129">
      <c r="A22" s="316" t="inlineStr">
        <is>
          <t>กระจก (ตร.ม.)</t>
        </is>
      </c>
      <c r="B22" s="316">
        <f>B7</f>
        <v/>
      </c>
      <c r="C22" s="312">
        <f>INDEX(ราคาวัสดุกลาง!$I$2:$I$106,MATCH(B10,ราคาวัสดุกลาง!$H$2:$H$106,0))</f>
        <v/>
      </c>
      <c r="D22" s="312">
        <f>B22*C22</f>
        <v/>
      </c>
      <c r="G22" s="341" t="inlineStr">
        <is>
          <t>6บาน: 4-2 พับสลับ</t>
        </is>
      </c>
      <c r="H22" s="341" t="inlineStr">
        <is>
          <t>6บาน: 4-2 พับสลับ</t>
        </is>
      </c>
      <c r="I22" s="312" t="n">
        <v>14008</v>
      </c>
    </row>
    <row r="23" ht="15" customHeight="1" s="129">
      <c r="A23" s="316" t="inlineStr">
        <is>
          <t>อุปกรณ์</t>
        </is>
      </c>
      <c r="B23" s="316" t="n">
        <v>1</v>
      </c>
      <c r="C23" s="342">
        <f>IFERROR(INDEX($I$2:$I$99,MATCH(B5,$H$2:$H$99,0)),5958)</f>
        <v/>
      </c>
      <c r="D23" s="312">
        <f>B23*C23</f>
        <v/>
      </c>
      <c r="E23" s="316" t="inlineStr">
        <is>
          <t>auto-lookup จาก B5</t>
        </is>
      </c>
      <c r="G23" s="341" t="inlineStr">
        <is>
          <t>6บาน: 3-3 เปิดกลาง</t>
        </is>
      </c>
      <c r="H23" s="341" t="inlineStr">
        <is>
          <t>6บาน: 3-3 เปิดกลาง</t>
        </is>
      </c>
      <c r="I23" s="312" t="n">
        <v>14008</v>
      </c>
    </row>
    <row r="24" ht="15" customHeight="1" s="129">
      <c r="A24" s="316" t="inlineStr">
        <is>
          <t>ซิลิโคน (หลอด) ใน+นอก</t>
        </is>
      </c>
      <c r="B24" s="316">
        <f>ROUNDUP(2*((B2/100)+(B3/100))*2/12.5,0)</f>
        <v/>
      </c>
      <c r="C24" s="312">
        <f>B9</f>
        <v/>
      </c>
      <c r="D24" s="312">
        <f>B24*C24</f>
        <v/>
      </c>
      <c r="G24" s="341" t="inlineStr">
        <is>
          <t>6บาน: 2-4 พับสลับ</t>
        </is>
      </c>
      <c r="H24" s="341" t="inlineStr">
        <is>
          <t>6บาน: 2-4 พับสลับ</t>
        </is>
      </c>
      <c r="I24" s="312" t="n">
        <v>14008</v>
      </c>
    </row>
    <row r="25" ht="15" customHeight="1" s="129">
      <c r="A25" s="316" t="inlineStr">
        <is>
          <t>ค่าเปิดตู้อบ</t>
        </is>
      </c>
      <c r="B25" s="316">
        <f>IF(OR(F10="สีอบพิเศษ",F10="สีลายไม้อบพิเศษ"),1,0)</f>
        <v/>
      </c>
      <c r="C25" s="312" t="n">
        <v>2000</v>
      </c>
      <c r="D25" s="312">
        <f>B25*C25</f>
        <v/>
      </c>
      <c r="E25" s="316" t="inlineStr">
        <is>
          <t>สีอบพิเศษ / ลายไม้อบพิเศษ เท่านั้น</t>
        </is>
      </c>
    </row>
    <row r="26" ht="15" customHeight="1" s="129">
      <c r="A26" s="331" t="inlineStr">
        <is>
          <t>ทุนรวม</t>
        </is>
      </c>
      <c r="D26" s="332">
        <f>SUM(D12:D25)+D128+IF(B6="รางยู",ROUND(200*B2/100,0),0)+M14</f>
        <v/>
      </c>
      <c r="G26" s="341" t="inlineStr">
        <is>
          <t>6บาน: 1-5 พับสลับ</t>
        </is>
      </c>
      <c r="H26" s="341" t="inlineStr">
        <is>
          <t>6บาน: 1-5 พับสลับ</t>
        </is>
      </c>
      <c r="I26" s="312" t="n">
        <v>14008</v>
      </c>
      <c r="J26" s="738" t="inlineStr">
        <is>
          <t>🔍 แยกก้อนต้นทุน</t>
        </is>
      </c>
    </row>
    <row r="27" ht="15" customHeight="1" s="129">
      <c r="A27" s="331" t="inlineStr">
        <is>
          <t>ทุน/ตร.ม.</t>
        </is>
      </c>
      <c r="D27" s="332">
        <f>IFERROR(D26/B7,0)</f>
        <v/>
      </c>
      <c r="G27" s="341" t="inlineStr">
        <is>
          <t>6บาน: 0-6 พับข้างเดียว</t>
        </is>
      </c>
      <c r="H27" s="341" t="inlineStr">
        <is>
          <t>6บาน: 0-6 พับข้างเดียว</t>
        </is>
      </c>
      <c r="I27" s="312" t="n">
        <v>14838</v>
      </c>
      <c r="J27" s="739" t="inlineStr">
        <is>
          <t>ทุนอลู (×ราคา/กก.)</t>
        </is>
      </c>
      <c r="K27" s="740">
        <f>D12+D13+D14+D15+D16+D17+D18+D20+D24</f>
        <v/>
      </c>
    </row>
    <row r="28" ht="15" customHeight="1" s="129">
      <c r="A28" s="331" t="inlineStr">
        <is>
          <t>ราคาขาย/ตร.ม. (ทุน+กำไร%)</t>
        </is>
      </c>
      <c r="D28" s="284">
        <f>ROUNDUP(D26*(1+B8/100)/100,0)*100</f>
        <v/>
      </c>
      <c r="G28" s="341" t="inlineStr">
        <is>
          <t>7บาน: 7-0 พับข้างเดียว</t>
        </is>
      </c>
      <c r="H28" s="341" t="inlineStr">
        <is>
          <t>7บาน: 7-0 พับข้างเดียว</t>
        </is>
      </c>
      <c r="I28" s="312" t="n">
        <v>17812</v>
      </c>
      <c r="J28" s="741" t="inlineStr">
        <is>
          <t>ทุนกระจก</t>
        </is>
      </c>
      <c r="K28" s="742">
        <f>D19+D22</f>
        <v/>
      </c>
    </row>
    <row r="29" ht="15" customHeight="1" s="129">
      <c r="A29" s="331" t="inlineStr">
        <is>
          <t>ราคาขายรวม/ชุด</t>
        </is>
      </c>
      <c r="D29" s="284">
        <f>D28</f>
        <v/>
      </c>
      <c r="G29" s="341" t="inlineStr">
        <is>
          <t>7บาน: 6-1 พับสลับ</t>
        </is>
      </c>
      <c r="H29" s="341" t="inlineStr">
        <is>
          <t>7บาน: 6-1 พับสลับ</t>
        </is>
      </c>
      <c r="I29" s="312" t="n">
        <v>17812</v>
      </c>
      <c r="J29" s="741" t="inlineStr">
        <is>
          <t>ทุนอุปกรณ์+ซิลิโคน</t>
        </is>
      </c>
      <c r="K29" s="742">
        <f>D21+D23+D25</f>
        <v/>
      </c>
    </row>
    <row r="30" ht="15" customHeight="1" s="129">
      <c r="A30" s="331" t="inlineStr">
        <is>
          <t>%กำไรจริง (บนทุน)</t>
        </is>
      </c>
      <c r="D30" s="285">
        <f>IFERROR((D28-D26)/D26,0)</f>
        <v/>
      </c>
      <c r="G30" s="341" t="inlineStr">
        <is>
          <t>7บาน: 5-2 พับสลับ</t>
        </is>
      </c>
      <c r="H30" s="341" t="inlineStr">
        <is>
          <t>7บาน: 5-2 พับสลับ</t>
        </is>
      </c>
      <c r="I30" s="312" t="n">
        <v>17812</v>
      </c>
      <c r="J30" s="741" t="inlineStr">
        <is>
          <t>รวมวัสดุ</t>
        </is>
      </c>
      <c r="K30" s="743">
        <f>K27+K28+K29</f>
        <v/>
      </c>
    </row>
    <row r="31" ht="15" customHeight="1" s="129">
      <c r="A31" s="331" t="inlineStr">
        <is>
          <t>ต่อกลาง B24009 ขาวดำ 325 · ราคาขาย/ตร.ม. = ทุน×(1+markup%) · อุปกรณ์ดูตารางล่าง</t>
        </is>
      </c>
      <c r="G31" s="341" t="inlineStr">
        <is>
          <t>7บาน: 4-3 พับสลับ</t>
        </is>
      </c>
      <c r="H31" s="341" t="inlineStr">
        <is>
          <t>7บาน: 4-3 พับสลับ</t>
        </is>
      </c>
      <c r="I31" s="312" t="n">
        <v>17812</v>
      </c>
    </row>
    <row r="32" ht="15" customHeight="1" s="129">
      <c r="G32" s="341" t="inlineStr">
        <is>
          <t>7บาน: 3-4 พับสลับ</t>
        </is>
      </c>
      <c r="H32" s="341" t="inlineStr">
        <is>
          <t>7บาน: 3-4 พับสลับ</t>
        </is>
      </c>
      <c r="I32" s="312" t="n">
        <v>17812</v>
      </c>
    </row>
    <row r="33" ht="15" customHeight="1" s="129">
      <c r="A33" s="316" t="inlineStr">
        <is>
          <t>ตารางอุปกรณ์อ้างอิง (สีเหลือง=ประมาณ)</t>
        </is>
      </c>
      <c r="B33" s="228" t="n"/>
      <c r="C33" s="228" t="n"/>
      <c r="D33" s="228" t="n"/>
      <c r="G33" s="341" t="inlineStr">
        <is>
          <t>7บาน: 2-5 พับสลับ</t>
        </is>
      </c>
      <c r="H33" s="341" t="inlineStr">
        <is>
          <t>7บาน: 2-5 พับสลับ</t>
        </is>
      </c>
      <c r="I33" s="312" t="n">
        <v>17812</v>
      </c>
    </row>
    <row r="34" ht="15" customHeight="1" s="129">
      <c r="A34" s="344" t="inlineStr">
        <is>
          <t>บาน</t>
        </is>
      </c>
      <c r="B34" s="344" t="inlineStr">
        <is>
          <t>pattern</t>
        </is>
      </c>
      <c r="C34" s="344" t="inlineStr">
        <is>
          <t>อุปกรณ์ (บาท)</t>
        </is>
      </c>
      <c r="D34" s="228" t="n"/>
      <c r="G34" s="341" t="inlineStr">
        <is>
          <t>7บาน: 1-6 พับสลับ</t>
        </is>
      </c>
      <c r="H34" s="341" t="inlineStr">
        <is>
          <t>7บาน: 1-6 พับสลับ</t>
        </is>
      </c>
      <c r="I34" s="312" t="n">
        <v>17812</v>
      </c>
    </row>
    <row r="35" ht="15" customHeight="1" s="129">
      <c r="A35" s="345" t="n">
        <v>2</v>
      </c>
      <c r="B35" s="316" t="inlineStr">
        <is>
          <t>0-2 / 2-0</t>
        </is>
      </c>
      <c r="C35" s="346" t="n">
        <v>5958</v>
      </c>
      <c r="D35" s="228" t="n"/>
      <c r="G35" s="341" t="inlineStr">
        <is>
          <t>7บาน: 0-7 พับข้างเดียว</t>
        </is>
      </c>
      <c r="H35" s="341" t="inlineStr">
        <is>
          <t>7บาน: 0-7 พับข้างเดียว</t>
        </is>
      </c>
      <c r="I35" s="312" t="n">
        <v>17812</v>
      </c>
    </row>
    <row r="36" ht="15" customHeight="1" s="129">
      <c r="A36" s="345" t="n">
        <v>3</v>
      </c>
      <c r="B36" s="316" t="inlineStr">
        <is>
          <t>0-3 / 3-0 พับข้างเดียว</t>
        </is>
      </c>
      <c r="C36" s="346" t="n">
        <v>7504</v>
      </c>
      <c r="D36" s="228" t="n"/>
      <c r="G36" s="341" t="inlineStr">
        <is>
          <t>8บาน: 8-0 พับข้างเดียว</t>
        </is>
      </c>
      <c r="H36" s="341" t="inlineStr">
        <is>
          <t>8บาน: 8-0 พับข้างเดียว</t>
        </is>
      </c>
      <c r="I36" s="312" t="n">
        <v>18358</v>
      </c>
    </row>
    <row r="37" ht="15" customHeight="1" s="129">
      <c r="A37" s="345" t="n">
        <v>3</v>
      </c>
      <c r="B37" s="316" t="inlineStr">
        <is>
          <t>1-2 / 2-1 พับสลับ</t>
        </is>
      </c>
      <c r="C37" s="346" t="n">
        <v>9112</v>
      </c>
      <c r="D37" s="228" t="n"/>
      <c r="G37" s="341" t="inlineStr">
        <is>
          <t>8บาน: 7-1 พับสลับ</t>
        </is>
      </c>
      <c r="H37" s="341" t="inlineStr">
        <is>
          <t>8บาน: 7-1 พับสลับ</t>
        </is>
      </c>
      <c r="I37" s="312" t="n">
        <v>18358</v>
      </c>
    </row>
    <row r="38" ht="15" customHeight="1" s="129">
      <c r="A38" s="345" t="n">
        <v>4</v>
      </c>
      <c r="B38" s="316" t="inlineStr">
        <is>
          <t>4-0 / 0-4 พับข้างเดียว</t>
        </is>
      </c>
      <c r="C38" s="346" t="n">
        <v>10308</v>
      </c>
      <c r="D38" s="228" t="n"/>
      <c r="G38" s="341" t="inlineStr">
        <is>
          <t>8บาน: 6-2 พับสลับ</t>
        </is>
      </c>
      <c r="H38" s="341" t="inlineStr">
        <is>
          <t>8บาน: 6-2 พับสลับ</t>
        </is>
      </c>
      <c r="I38" s="312" t="n">
        <v>18358</v>
      </c>
    </row>
    <row r="39" ht="15" customHeight="1" s="129">
      <c r="A39" s="345" t="n">
        <v>4</v>
      </c>
      <c r="B39" s="316" t="inlineStr">
        <is>
          <t>1-3 / 3-1 พับสลับ</t>
        </is>
      </c>
      <c r="C39" s="346" t="n">
        <v>9658</v>
      </c>
      <c r="D39" s="228" t="n"/>
      <c r="G39" s="341" t="inlineStr">
        <is>
          <t>8บาน: 5-3 พับสลับ</t>
        </is>
      </c>
      <c r="H39" s="341" t="inlineStr">
        <is>
          <t>8บาน: 5-3 พับสลับ</t>
        </is>
      </c>
      <c r="I39" s="312" t="n">
        <v>18358</v>
      </c>
    </row>
    <row r="40" ht="15" customHeight="1" s="129">
      <c r="A40" s="345" t="n">
        <v>4</v>
      </c>
      <c r="B40" s="316" t="inlineStr">
        <is>
          <t>2-2 เปิดกลาง</t>
        </is>
      </c>
      <c r="C40" s="346" t="n">
        <v>11916</v>
      </c>
      <c r="D40" s="228" t="n"/>
      <c r="G40" s="341" t="inlineStr">
        <is>
          <t>8บาน: 4-4 เปิดกลาง</t>
        </is>
      </c>
      <c r="H40" s="341" t="inlineStr">
        <is>
          <t>8บาน: 4-4 เปิดกลาง</t>
        </is>
      </c>
      <c r="I40" s="312" t="n">
        <v>17358</v>
      </c>
    </row>
    <row r="41" ht="15" customHeight="1" s="129">
      <c r="A41" s="345" t="n">
        <v>5</v>
      </c>
      <c r="B41" s="316" t="inlineStr">
        <is>
          <t>5-0 / 0-5 พับข้างเดียว</t>
        </is>
      </c>
      <c r="C41" s="346" t="n">
        <v>12034</v>
      </c>
      <c r="D41" s="228" t="n"/>
      <c r="G41" s="341" t="inlineStr">
        <is>
          <t>8บาน: 3-5 พับสลับ</t>
        </is>
      </c>
      <c r="H41" s="341" t="inlineStr">
        <is>
          <t>8บาน: 3-5 พับสลับ</t>
        </is>
      </c>
      <c r="I41" s="312" t="n">
        <v>18358</v>
      </c>
    </row>
    <row r="42" ht="15" customHeight="1" s="129">
      <c r="A42" s="345" t="n">
        <v>5</v>
      </c>
      <c r="B42" s="316" t="inlineStr">
        <is>
          <t>พับสลับ ทุก pattern</t>
        </is>
      </c>
      <c r="C42" s="346" t="n">
        <v>13462</v>
      </c>
      <c r="D42" s="228" t="n"/>
      <c r="G42" s="341" t="inlineStr">
        <is>
          <t>8บาน: 2-6 พับสลับ</t>
        </is>
      </c>
      <c r="H42" s="341" t="inlineStr">
        <is>
          <t>8บาน: 2-6 พับสลับ</t>
        </is>
      </c>
      <c r="I42" s="312" t="n">
        <v>18358</v>
      </c>
    </row>
    <row r="43" ht="15" customHeight="1" s="129">
      <c r="A43" s="345" t="n">
        <v>6</v>
      </c>
      <c r="B43" s="316" t="inlineStr">
        <is>
          <t>6-0 / 0-6 พับข้างเดียว</t>
        </is>
      </c>
      <c r="C43" s="346" t="n">
        <v>14838</v>
      </c>
      <c r="D43" s="228" t="n"/>
      <c r="G43" s="341" t="inlineStr">
        <is>
          <t>8บาน: 1-7 พับสลับ</t>
        </is>
      </c>
      <c r="H43" s="341" t="inlineStr">
        <is>
          <t>8บาน: 1-7 พับสลับ</t>
        </is>
      </c>
      <c r="I43" s="312" t="n">
        <v>18358</v>
      </c>
    </row>
    <row r="44" ht="15" customHeight="1" s="129">
      <c r="A44" s="345" t="n">
        <v>6</v>
      </c>
      <c r="B44" s="316" t="inlineStr">
        <is>
          <t>พับสลับ + 3-3 เปิดกลาง</t>
        </is>
      </c>
      <c r="C44" s="346" t="n">
        <v>14008</v>
      </c>
      <c r="D44" s="228" t="n"/>
      <c r="G44" s="341" t="inlineStr">
        <is>
          <t>8บาน: 0-8 พับข้างเดียว</t>
        </is>
      </c>
      <c r="H44" s="341" t="inlineStr">
        <is>
          <t>8บาน: 0-8 พับข้างเดียว</t>
        </is>
      </c>
      <c r="I44" s="312" t="n">
        <v>18358</v>
      </c>
    </row>
    <row r="45" ht="15" customHeight="1" s="129">
      <c r="A45" s="345" t="n">
        <v>7</v>
      </c>
      <c r="B45" s="316" t="inlineStr">
        <is>
          <t>ทุก pattern</t>
        </is>
      </c>
      <c r="C45" s="346" t="n">
        <v>17812</v>
      </c>
      <c r="D45" s="228" t="n"/>
      <c r="G45" s="341" t="inlineStr">
        <is>
          <t>9บาน: 9-0 พับข้างเดียว</t>
        </is>
      </c>
      <c r="H45" s="341" t="inlineStr">
        <is>
          <t>9บาน: 9-0 พับข้างเดียว</t>
        </is>
      </c>
      <c r="I45" s="347" t="n">
        <v>21300</v>
      </c>
    </row>
    <row r="46" ht="15" customHeight="1" s="129">
      <c r="A46" s="345" t="n">
        <v>8</v>
      </c>
      <c r="B46" s="316" t="inlineStr">
        <is>
          <t>4-4 เปิดกลาง</t>
        </is>
      </c>
      <c r="C46" s="346" t="n">
        <v>17358</v>
      </c>
      <c r="D46" s="228" t="n"/>
      <c r="G46" s="341" t="inlineStr">
        <is>
          <t>9บาน: 8-1 พับสลับ</t>
        </is>
      </c>
      <c r="H46" s="341" t="inlineStr">
        <is>
          <t>9บาน: 8-1 พับสลับ</t>
        </is>
      </c>
      <c r="I46" s="347" t="n">
        <v>21300</v>
      </c>
    </row>
    <row r="47" ht="15" customHeight="1" s="129">
      <c r="A47" s="345" t="n">
        <v>8</v>
      </c>
      <c r="B47" s="316" t="inlineStr">
        <is>
          <t>พับข้างเดียว / สลับ</t>
        </is>
      </c>
      <c r="C47" s="346" t="n">
        <v>18358</v>
      </c>
      <c r="D47" s="228" t="n"/>
      <c r="G47" s="341" t="inlineStr">
        <is>
          <t>9บาน: 7-2 พับสลับ</t>
        </is>
      </c>
      <c r="H47" s="341" t="inlineStr">
        <is>
          <t>9บาน: 7-2 พับสลับ</t>
        </is>
      </c>
      <c r="I47" s="347" t="n">
        <v>21300</v>
      </c>
    </row>
    <row r="48" ht="15" customHeight="1" s="129">
      <c r="A48" s="345" t="n">
        <v>9</v>
      </c>
      <c r="B48" s="316" t="inlineStr">
        <is>
          <t>ทุก pattern</t>
        </is>
      </c>
      <c r="C48" s="348" t="n">
        <v>21300</v>
      </c>
      <c r="D48" s="228" t="n"/>
      <c r="G48" s="341" t="inlineStr">
        <is>
          <t>9บาน: 6-3 พับสลับ</t>
        </is>
      </c>
      <c r="H48" s="341" t="inlineStr">
        <is>
          <t>9บาน: 6-3 พับสลับ</t>
        </is>
      </c>
      <c r="I48" s="347" t="n">
        <v>21300</v>
      </c>
    </row>
    <row r="49" ht="15" customHeight="1" s="129">
      <c r="A49" s="345" t="n">
        <v>10</v>
      </c>
      <c r="B49" s="316" t="inlineStr">
        <is>
          <t>พับข้างเดียว / สลับ</t>
        </is>
      </c>
      <c r="C49" s="348" t="n">
        <v>23500</v>
      </c>
      <c r="D49" s="228" t="n"/>
      <c r="G49" s="341" t="inlineStr">
        <is>
          <t>9บาน: 5-4 พับสลับ</t>
        </is>
      </c>
      <c r="H49" s="341" t="inlineStr">
        <is>
          <t>9บาน: 5-4 พับสลับ</t>
        </is>
      </c>
      <c r="I49" s="347" t="n">
        <v>21300</v>
      </c>
    </row>
    <row r="50" ht="15" customHeight="1" s="129">
      <c r="A50" s="345" t="n">
        <v>10</v>
      </c>
      <c r="B50" s="316" t="inlineStr">
        <is>
          <t>5-5 เปิดกลาง</t>
        </is>
      </c>
      <c r="C50" s="348" t="n">
        <v>19900</v>
      </c>
      <c r="D50" s="228" t="n"/>
      <c r="G50" s="341" t="inlineStr">
        <is>
          <t>9บาน: 4-5 พับสลับ</t>
        </is>
      </c>
      <c r="H50" s="341" t="inlineStr">
        <is>
          <t>9บาน: 4-5 พับสลับ</t>
        </is>
      </c>
      <c r="I50" s="347" t="n">
        <v>21300</v>
      </c>
    </row>
    <row r="51" ht="15" customHeight="1" s="129">
      <c r="A51" s="345" t="n">
        <v>11</v>
      </c>
      <c r="B51" s="316" t="inlineStr">
        <is>
          <t>ทุก pattern</t>
        </is>
      </c>
      <c r="C51" s="348" t="n">
        <v>25700</v>
      </c>
      <c r="D51" s="228" t="n"/>
      <c r="G51" s="341" t="inlineStr">
        <is>
          <t>9บาน: 3-6 พับสลับ</t>
        </is>
      </c>
      <c r="H51" s="341" t="inlineStr">
        <is>
          <t>9บาน: 3-6 พับสลับ</t>
        </is>
      </c>
      <c r="I51" s="347" t="n">
        <v>21300</v>
      </c>
    </row>
    <row r="52" ht="15" customHeight="1" s="129">
      <c r="A52" s="345" t="n">
        <v>12</v>
      </c>
      <c r="B52" s="316" t="inlineStr">
        <is>
          <t>พับข้างเดียว / สลับ</t>
        </is>
      </c>
      <c r="C52" s="348" t="n">
        <v>28000</v>
      </c>
      <c r="D52" s="228" t="n"/>
      <c r="G52" s="341" t="inlineStr">
        <is>
          <t>9บาน: 2-7 พับสลับ</t>
        </is>
      </c>
      <c r="H52" s="341" t="inlineStr">
        <is>
          <t>9บาน: 2-7 พับสลับ</t>
        </is>
      </c>
      <c r="I52" s="347" t="n">
        <v>21300</v>
      </c>
    </row>
    <row r="53" ht="15" customHeight="1" s="129">
      <c r="A53" s="345" t="n">
        <v>12</v>
      </c>
      <c r="B53" s="316" t="inlineStr">
        <is>
          <t>6-6 เปิดกลาง</t>
        </is>
      </c>
      <c r="C53" s="348" t="n">
        <v>22600</v>
      </c>
      <c r="D53" s="228" t="n"/>
      <c r="G53" s="341" t="inlineStr">
        <is>
          <t>9บาน: 1-8 พับสลับ</t>
        </is>
      </c>
      <c r="H53" s="341" t="inlineStr">
        <is>
          <t>9บาน: 1-8 พับสลับ</t>
        </is>
      </c>
      <c r="I53" s="347" t="n">
        <v>21300</v>
      </c>
    </row>
    <row r="54" ht="15" customHeight="1" s="129">
      <c r="A54" s="316" t="inlineStr">
        <is>
          <t>9-12 บาน (ประมาณ ±5% — อัพเดตเมื่อได้ catalog)</t>
        </is>
      </c>
      <c r="B54" s="228" t="n"/>
      <c r="C54" s="228" t="n"/>
      <c r="D54" s="228" t="n"/>
      <c r="G54" s="341" t="inlineStr">
        <is>
          <t>9บาน: 0-9 พับข้างเดียว</t>
        </is>
      </c>
      <c r="H54" s="341" t="inlineStr">
        <is>
          <t>9บาน: 0-9 พับข้างเดียว</t>
        </is>
      </c>
      <c r="I54" s="347" t="n">
        <v>21300</v>
      </c>
    </row>
    <row r="55" ht="15" customHeight="1" s="129">
      <c r="A55" s="345" t="inlineStr">
        <is>
          <t>บาน</t>
        </is>
      </c>
      <c r="B55" s="345" t="inlineStr">
        <is>
          <t>รูปแบบพับ</t>
        </is>
      </c>
      <c r="C55" s="345" t="inlineStr">
        <is>
          <t>อุปกรณ์ (บาท)</t>
        </is>
      </c>
      <c r="D55" s="228" t="n"/>
      <c r="G55" s="341" t="inlineStr">
        <is>
          <t>10บาน: 10-0 พับข้างเดียว</t>
        </is>
      </c>
      <c r="H55" s="341" t="inlineStr">
        <is>
          <t>10บาน: 10-0 พับข้างเดียว</t>
        </is>
      </c>
      <c r="I55" s="347" t="n">
        <v>23500</v>
      </c>
    </row>
    <row r="56" ht="15" customHeight="1" s="129">
      <c r="A56" s="345" t="n">
        <v>9</v>
      </c>
      <c r="B56" s="316" t="inlineStr">
        <is>
          <t>ทุก pattern (9-0 ถึง 0-9)</t>
        </is>
      </c>
      <c r="C56" s="346" t="n">
        <v>21300</v>
      </c>
      <c r="D56" s="228" t="n"/>
      <c r="G56" s="341" t="inlineStr">
        <is>
          <t>10บาน: 9-1 พับสลับ</t>
        </is>
      </c>
      <c r="H56" s="341" t="inlineStr">
        <is>
          <t>10บาน: 9-1 พับสลับ</t>
        </is>
      </c>
      <c r="I56" s="347" t="n">
        <v>23500</v>
      </c>
    </row>
    <row r="57" ht="15" customHeight="1" s="129">
      <c r="A57" s="345" t="n">
        <v>10</v>
      </c>
      <c r="B57" s="316" t="inlineStr">
        <is>
          <t>พับข้างเดียว/สลับ (10-0 ถึง 0-10)</t>
        </is>
      </c>
      <c r="C57" s="346" t="n">
        <v>23500</v>
      </c>
      <c r="D57" s="228" t="n"/>
      <c r="G57" s="341" t="inlineStr">
        <is>
          <t>10บาน: 8-2 พับสลับ</t>
        </is>
      </c>
      <c r="H57" s="341" t="inlineStr">
        <is>
          <t>10บาน: 8-2 พับสลับ</t>
        </is>
      </c>
      <c r="I57" s="347" t="n">
        <v>23500</v>
      </c>
    </row>
    <row r="58" ht="15" customHeight="1" s="129">
      <c r="A58" s="345" t="n">
        <v>10</v>
      </c>
      <c r="B58" s="316" t="inlineStr">
        <is>
          <t>5-5 เปิดกลาง</t>
        </is>
      </c>
      <c r="C58" s="346" t="n">
        <v>19900</v>
      </c>
      <c r="D58" s="228" t="n"/>
      <c r="G58" s="341" t="inlineStr">
        <is>
          <t>10บาน: 7-3 พับสลับ</t>
        </is>
      </c>
      <c r="H58" s="341" t="inlineStr">
        <is>
          <t>10บาน: 7-3 พับสลับ</t>
        </is>
      </c>
      <c r="I58" s="347" t="n">
        <v>23500</v>
      </c>
    </row>
    <row r="59" ht="15" customHeight="1" s="129">
      <c r="A59" s="345" t="n">
        <v>11</v>
      </c>
      <c r="B59" s="316" t="inlineStr">
        <is>
          <t>ทุก pattern (11-0 ถึง 0-11)</t>
        </is>
      </c>
      <c r="C59" s="346" t="n">
        <v>25700</v>
      </c>
      <c r="D59" s="228" t="n"/>
      <c r="G59" s="341" t="inlineStr">
        <is>
          <t>10บาน: 6-4 พับสลับ</t>
        </is>
      </c>
      <c r="H59" s="341" t="inlineStr">
        <is>
          <t>10บาน: 6-4 พับสลับ</t>
        </is>
      </c>
      <c r="I59" s="347" t="n">
        <v>23500</v>
      </c>
    </row>
    <row r="60" ht="15" customHeight="1" s="129">
      <c r="A60" s="345" t="n">
        <v>12</v>
      </c>
      <c r="B60" s="316" t="inlineStr">
        <is>
          <t>พับข้างเดียว/สลับ (12-0 ถึง 0-12)</t>
        </is>
      </c>
      <c r="C60" s="346" t="n">
        <v>28000</v>
      </c>
      <c r="D60" s="228" t="n"/>
      <c r="G60" s="341" t="inlineStr">
        <is>
          <t>10บาน: 5-5 เปิดกลาง</t>
        </is>
      </c>
      <c r="H60" s="341" t="inlineStr">
        <is>
          <t>10บาน: 5-5 เปิดกลาง</t>
        </is>
      </c>
      <c r="I60" s="347" t="n">
        <v>19900</v>
      </c>
    </row>
    <row r="61" ht="15" customHeight="1" s="129">
      <c r="A61" s="345" t="n">
        <v>12</v>
      </c>
      <c r="B61" s="316" t="inlineStr">
        <is>
          <t>6-6 เปิดกลาง</t>
        </is>
      </c>
      <c r="C61" s="346" t="n">
        <v>22600</v>
      </c>
      <c r="D61" s="228" t="n"/>
      <c r="G61" s="341" t="inlineStr">
        <is>
          <t>10บาน: 4-6 พับสลับ</t>
        </is>
      </c>
      <c r="H61" s="341" t="inlineStr">
        <is>
          <t>10บาน: 4-6 พับสลับ</t>
        </is>
      </c>
      <c r="I61" s="347" t="n">
        <v>23500</v>
      </c>
    </row>
    <row r="62" ht="15" customHeight="1" s="129">
      <c r="A62" s="228" t="n"/>
      <c r="B62" s="228" t="n"/>
      <c r="C62" s="228" t="n"/>
      <c r="D62" s="228" t="n"/>
      <c r="G62" s="341" t="inlineStr">
        <is>
          <t>10บาน: 3-7 พับสลับ</t>
        </is>
      </c>
      <c r="H62" s="341" t="inlineStr">
        <is>
          <t>10บาน: 3-7 พับสลับ</t>
        </is>
      </c>
      <c r="I62" s="347" t="n">
        <v>23500</v>
      </c>
    </row>
    <row r="63" ht="15" customHeight="1" s="129">
      <c r="A63" s="281" t="inlineStr">
        <is>
          <t>— ผูกค่าแรง (ราคาขายรวมค่าแรง) —</t>
        </is>
      </c>
      <c r="B63" s="228" t="n"/>
      <c r="C63" s="228" t="n"/>
      <c r="D63" s="228" t="n"/>
      <c r="G63" s="341" t="inlineStr">
        <is>
          <t>10บาน: 2-8 พับสลับ</t>
        </is>
      </c>
      <c r="H63" s="341" t="inlineStr">
        <is>
          <t>10บาน: 2-8 พับสลับ</t>
        </is>
      </c>
      <c r="I63" s="347" t="n">
        <v>23500</v>
      </c>
    </row>
    <row r="64" ht="15" customHeight="1" s="129">
      <c r="A64" s="324" t="inlineStr">
        <is>
          <t>ค่าแรงผลิต (จากชีทค่าแรง)</t>
        </is>
      </c>
      <c r="B64" s="228" t="n"/>
      <c r="C64" s="228" t="n"/>
      <c r="D64" s="282">
        <f>ROUND(VLOOKUP("บานเฟี้ยม (sms)",'ค่าแรง'!$A$12:$E$27,2,0)*B4,0)</f>
        <v/>
      </c>
      <c r="E64" s="644" t="inlineStr">
        <is>
          <t>× จำนวนบาน (คิดต่อใบเฟี้ยม)</t>
        </is>
      </c>
      <c r="G64" s="341" t="inlineStr">
        <is>
          <t>10บาน: 1-9 พับสลับ</t>
        </is>
      </c>
      <c r="H64" s="341" t="inlineStr">
        <is>
          <t>10บาน: 1-9 พับสลับ</t>
        </is>
      </c>
      <c r="I64" s="347" t="n">
        <v>23500</v>
      </c>
    </row>
    <row r="65" ht="15" customHeight="1" s="129">
      <c r="A65" s="324" t="inlineStr">
        <is>
          <t>ค่าแรงติดตั้ง (จากชีทค่าแรง)</t>
        </is>
      </c>
      <c r="B65" s="228" t="n"/>
      <c r="C65" s="228" t="n"/>
      <c r="D65" s="282">
        <f>ROUND(VLOOKUP("บานเฟี้ยม (sms)",'ค่าแรง'!$A$12:$E$27,4,0)*B4,0)</f>
        <v/>
      </c>
      <c r="E65" s="644" t="inlineStr">
        <is>
          <t>× จำนวนบาน (คิดต่อใบเฟี้ยม)</t>
        </is>
      </c>
      <c r="G65" s="341" t="inlineStr">
        <is>
          <t>10บาน: 0-10 พับข้างเดียว</t>
        </is>
      </c>
      <c r="H65" s="341" t="inlineStr">
        <is>
          <t>10บาน: 0-10 พับข้างเดียว</t>
        </is>
      </c>
      <c r="I65" s="347" t="n">
        <v>23500</v>
      </c>
    </row>
    <row r="66" ht="15" customHeight="1" s="129">
      <c r="A66" s="324" t="inlineStr">
        <is>
          <t>กำไรติดตั้ง % →</t>
        </is>
      </c>
      <c r="B66" s="283" t="n">
        <v>100</v>
      </c>
      <c r="C66" s="228" t="n"/>
      <c r="D66" s="228" t="n"/>
      <c r="G66" s="341" t="inlineStr">
        <is>
          <t>11บาน: 11-0 พับข้างเดียว</t>
        </is>
      </c>
      <c r="H66" s="341" t="inlineStr">
        <is>
          <t>11บาน: 11-0 พับข้างเดียว</t>
        </is>
      </c>
      <c r="I66" s="347" t="n">
        <v>25700</v>
      </c>
    </row>
    <row r="67" ht="15" customHeight="1" s="129">
      <c r="A67" s="281" t="inlineStr">
        <is>
          <t>ราคาขาย ผลิตอย่างเดียว</t>
        </is>
      </c>
      <c r="B67" s="228" t="n"/>
      <c r="C67" s="228" t="n"/>
      <c r="D67" s="284">
        <f>ROUNDUP((D26+D64)*(1+B8/100)/100,0)*100</f>
        <v/>
      </c>
      <c r="G67" s="341" t="inlineStr">
        <is>
          <t>11บาน: 10-1 พับสลับ</t>
        </is>
      </c>
      <c r="H67" s="341" t="inlineStr">
        <is>
          <t>11บาน: 10-1 พับสลับ</t>
        </is>
      </c>
      <c r="I67" s="347" t="n">
        <v>25700</v>
      </c>
    </row>
    <row r="68" ht="15" customHeight="1" s="129">
      <c r="A68" s="281" t="inlineStr">
        <is>
          <t>ราคาขาย ผลิต+ติดตั้ง</t>
        </is>
      </c>
      <c r="B68" s="228" t="n"/>
      <c r="C68" s="228" t="n"/>
      <c r="D68" s="284">
        <f>D67+ROUNDUP(D65*(1+B66/100)/100,0)*100</f>
        <v/>
      </c>
      <c r="G68" s="341" t="inlineStr">
        <is>
          <t>11บาน: 9-2 พับสลับ</t>
        </is>
      </c>
      <c r="H68" s="341" t="inlineStr">
        <is>
          <t>11บาน: 9-2 พับสลับ</t>
        </is>
      </c>
      <c r="I68" s="347" t="n">
        <v>25700</v>
      </c>
    </row>
    <row r="69" ht="15" customHeight="1" s="129">
      <c r="A69" s="281" t="inlineStr">
        <is>
          <t>%กำไรจริง (ผลิต+ติดตั้ง)</t>
        </is>
      </c>
      <c r="B69" s="228" t="n"/>
      <c r="C69" s="228" t="n"/>
      <c r="D69" s="285">
        <f>(D68-(D26+D64+D65))/(D26+D64+D65)</f>
        <v/>
      </c>
      <c r="G69" s="341" t="inlineStr">
        <is>
          <t>11บาน: 8-3 พับสลับ</t>
        </is>
      </c>
      <c r="H69" s="341" t="inlineStr">
        <is>
          <t>11บาน: 8-3 พับสลับ</t>
        </is>
      </c>
      <c r="I69" s="347" t="n">
        <v>25700</v>
      </c>
    </row>
    <row r="70" ht="15" customHeight="1" s="129">
      <c r="A70" s="228" t="n"/>
      <c r="B70" s="228" t="n"/>
      <c r="C70" s="228" t="n"/>
      <c r="D70" s="228" t="n"/>
      <c r="G70" s="341" t="inlineStr">
        <is>
          <t>11บาน: 7-4 พับสลับ</t>
        </is>
      </c>
      <c r="H70" s="341" t="inlineStr">
        <is>
          <t>11บาน: 7-4 พับสลับ</t>
        </is>
      </c>
      <c r="I70" s="347" t="n">
        <v>25700</v>
      </c>
    </row>
    <row r="71" ht="15" customHeight="1" s="129">
      <c r="A71" s="228" t="n"/>
      <c r="B71" s="228" t="n"/>
      <c r="C71" s="228" t="n"/>
      <c r="D71" s="228" t="n"/>
      <c r="G71" s="341" t="inlineStr">
        <is>
          <t>11บาน: 6-5 พับสลับ</t>
        </is>
      </c>
      <c r="H71" s="341" t="inlineStr">
        <is>
          <t>11บาน: 6-5 พับสลับ</t>
        </is>
      </c>
      <c r="I71" s="347" t="n">
        <v>25700</v>
      </c>
    </row>
    <row r="72" ht="15" customHeight="1" s="129">
      <c r="A72" s="228" t="n"/>
      <c r="B72" s="228" t="n"/>
      <c r="C72" s="228" t="n"/>
      <c r="D72" s="228" t="n"/>
      <c r="G72" s="341" t="inlineStr">
        <is>
          <t>11บาน: 5-6 พับสลับ</t>
        </is>
      </c>
      <c r="H72" s="341" t="inlineStr">
        <is>
          <t>11บาน: 5-6 พับสลับ</t>
        </is>
      </c>
      <c r="I72" s="347" t="n">
        <v>25700</v>
      </c>
    </row>
    <row r="73" ht="15" customHeight="1" s="129">
      <c r="A73" s="228" t="n"/>
      <c r="B73" s="228" t="n"/>
      <c r="C73" s="228" t="n"/>
      <c r="D73" s="228" t="n"/>
      <c r="G73" s="341" t="inlineStr">
        <is>
          <t>11บาน: 4-7 พับสลับ</t>
        </is>
      </c>
      <c r="H73" s="341" t="inlineStr">
        <is>
          <t>11บาน: 4-7 พับสลับ</t>
        </is>
      </c>
      <c r="I73" s="347" t="n">
        <v>25700</v>
      </c>
    </row>
    <row r="74" ht="15" customHeight="1" s="129">
      <c r="A74" s="228" t="n"/>
      <c r="B74" s="228" t="n"/>
      <c r="C74" s="228" t="n"/>
      <c r="D74" s="228" t="n"/>
      <c r="G74" s="341" t="inlineStr">
        <is>
          <t>11บาน: 3-8 พับสลับ</t>
        </is>
      </c>
      <c r="H74" s="341" t="inlineStr">
        <is>
          <t>11บาน: 3-8 พับสลับ</t>
        </is>
      </c>
      <c r="I74" s="347" t="n">
        <v>25700</v>
      </c>
    </row>
    <row r="75" ht="15" customHeight="1" s="129">
      <c r="A75" s="228" t="n"/>
      <c r="B75" s="228" t="n"/>
      <c r="C75" s="228" t="n"/>
      <c r="D75" s="228" t="n"/>
      <c r="G75" s="341" t="inlineStr">
        <is>
          <t>11บาน: 2-9 พับสลับ</t>
        </is>
      </c>
      <c r="H75" s="341" t="inlineStr">
        <is>
          <t>11บาน: 2-9 พับสลับ</t>
        </is>
      </c>
      <c r="I75" s="347" t="n">
        <v>25700</v>
      </c>
    </row>
    <row r="76" ht="15" customHeight="1" s="129">
      <c r="A76" s="228" t="n"/>
      <c r="B76" s="228" t="n"/>
      <c r="C76" s="228" t="n"/>
      <c r="D76" s="228" t="n"/>
      <c r="G76" s="341" t="inlineStr">
        <is>
          <t>11บาน: 1-10 พับสลับ</t>
        </is>
      </c>
      <c r="H76" s="341" t="inlineStr">
        <is>
          <t>11บาน: 1-10 พับสลับ</t>
        </is>
      </c>
      <c r="I76" s="347" t="n">
        <v>25700</v>
      </c>
    </row>
    <row r="77" ht="15" customHeight="1" s="129">
      <c r="A77" s="228" t="n"/>
      <c r="B77" s="228" t="n"/>
      <c r="C77" s="228" t="n"/>
      <c r="D77" s="228" t="n"/>
      <c r="G77" s="341" t="inlineStr">
        <is>
          <t>11บาน: 0-11 พับข้างเดียว</t>
        </is>
      </c>
      <c r="H77" s="341" t="inlineStr">
        <is>
          <t>11บาน: 0-11 พับข้างเดียว</t>
        </is>
      </c>
      <c r="I77" s="347" t="n">
        <v>25700</v>
      </c>
    </row>
    <row r="78" ht="15" customHeight="1" s="129">
      <c r="A78" s="228" t="n"/>
      <c r="B78" s="228" t="n"/>
      <c r="C78" s="228" t="n"/>
      <c r="D78" s="228" t="n"/>
      <c r="G78" s="341" t="inlineStr">
        <is>
          <t>12บาน: 12-0 พับข้างเดียว</t>
        </is>
      </c>
      <c r="H78" s="341" t="inlineStr">
        <is>
          <t>12บาน: 12-0 พับข้างเดียว</t>
        </is>
      </c>
      <c r="I78" s="347" t="n">
        <v>28000</v>
      </c>
    </row>
    <row r="79" ht="15" customHeight="1" s="129">
      <c r="A79" s="228" t="n"/>
      <c r="B79" s="228" t="n"/>
      <c r="C79" s="228" t="n"/>
      <c r="D79" s="228" t="n"/>
      <c r="G79" s="341" t="inlineStr">
        <is>
          <t>12บาน: 11-1 พับสลับ</t>
        </is>
      </c>
      <c r="H79" s="341" t="inlineStr">
        <is>
          <t>12บาน: 11-1 พับสลับ</t>
        </is>
      </c>
      <c r="I79" s="347" t="n">
        <v>28000</v>
      </c>
    </row>
    <row r="80" ht="15" customHeight="1" s="129">
      <c r="A80" s="228" t="n"/>
      <c r="B80" s="228" t="n"/>
      <c r="C80" s="228" t="n"/>
      <c r="D80" s="228" t="n"/>
      <c r="G80" s="341" t="inlineStr">
        <is>
          <t>12บาน: 10-2 พับสลับ</t>
        </is>
      </c>
      <c r="H80" s="341" t="inlineStr">
        <is>
          <t>12บาน: 10-2 พับสลับ</t>
        </is>
      </c>
      <c r="I80" s="347" t="n">
        <v>28000</v>
      </c>
    </row>
    <row r="81" ht="15" customHeight="1" s="129">
      <c r="A81" s="228" t="n"/>
      <c r="B81" s="228" t="n"/>
      <c r="C81" s="228" t="n"/>
      <c r="D81" s="228" t="n"/>
      <c r="G81" s="341" t="inlineStr">
        <is>
          <t>12บาน: 9-3 พับสลับ</t>
        </is>
      </c>
      <c r="H81" s="341" t="inlineStr">
        <is>
          <t>12บาน: 9-3 พับสลับ</t>
        </is>
      </c>
      <c r="I81" s="347" t="n">
        <v>28000</v>
      </c>
    </row>
    <row r="82" ht="15" customHeight="1" s="129">
      <c r="A82" s="228" t="n"/>
      <c r="B82" s="228" t="n"/>
      <c r="C82" s="228" t="n"/>
      <c r="D82" s="228" t="n"/>
      <c r="G82" s="341" t="inlineStr">
        <is>
          <t>12บาน: 8-4 พับสลับ</t>
        </is>
      </c>
      <c r="H82" s="341" t="inlineStr">
        <is>
          <t>12บาน: 8-4 พับสลับ</t>
        </is>
      </c>
      <c r="I82" s="347" t="n">
        <v>28000</v>
      </c>
    </row>
    <row r="83" ht="15" customHeight="1" s="129">
      <c r="A83" s="228" t="n"/>
      <c r="B83" s="228" t="n"/>
      <c r="C83" s="228" t="n"/>
      <c r="D83" s="228" t="n"/>
      <c r="G83" s="341" t="inlineStr">
        <is>
          <t>12บาน: 7-5 พับสลับ</t>
        </is>
      </c>
      <c r="H83" s="341" t="inlineStr">
        <is>
          <t>12บาน: 7-5 พับสลับ</t>
        </is>
      </c>
      <c r="I83" s="347" t="n">
        <v>28000</v>
      </c>
    </row>
    <row r="84" ht="15" customHeight="1" s="129">
      <c r="A84" s="228" t="n"/>
      <c r="B84" s="228" t="n"/>
      <c r="C84" s="228" t="n"/>
      <c r="D84" s="228" t="n"/>
      <c r="G84" s="341" t="inlineStr">
        <is>
          <t>12บาน: 6-6 เปิดกลาง</t>
        </is>
      </c>
      <c r="H84" s="341" t="inlineStr">
        <is>
          <t>12บาน: 6-6 เปิดกลาง</t>
        </is>
      </c>
      <c r="I84" s="347" t="n">
        <v>22600</v>
      </c>
    </row>
    <row r="85" ht="15" customHeight="1" s="129">
      <c r="A85" s="228" t="n"/>
      <c r="B85" s="228" t="n"/>
      <c r="C85" s="228" t="n"/>
      <c r="D85" s="228" t="n"/>
      <c r="G85" s="341" t="inlineStr">
        <is>
          <t>12บาน: 5-7 พับสลับ</t>
        </is>
      </c>
      <c r="H85" s="341" t="inlineStr">
        <is>
          <t>12บาน: 5-7 พับสลับ</t>
        </is>
      </c>
      <c r="I85" s="347" t="n">
        <v>28000</v>
      </c>
    </row>
    <row r="86" ht="15" customHeight="1" s="129">
      <c r="A86" s="228" t="n"/>
      <c r="B86" s="228" t="n"/>
      <c r="C86" s="228" t="n"/>
      <c r="D86" s="228" t="n"/>
      <c r="G86" s="341" t="inlineStr">
        <is>
          <t>12บาน: 4-8 พับสลับ</t>
        </is>
      </c>
      <c r="H86" s="341" t="inlineStr">
        <is>
          <t>12บาน: 4-8 พับสลับ</t>
        </is>
      </c>
      <c r="I86" s="347" t="n">
        <v>28000</v>
      </c>
    </row>
    <row r="87" ht="15" customHeight="1" s="129">
      <c r="A87" s="228" t="n"/>
      <c r="B87" s="228" t="n"/>
      <c r="C87" s="228" t="n"/>
      <c r="D87" s="228" t="n"/>
      <c r="G87" s="341" t="inlineStr">
        <is>
          <t>12บาน: 3-9 พับสลับ</t>
        </is>
      </c>
      <c r="H87" s="341" t="inlineStr">
        <is>
          <t>12บาน: 3-9 พับสลับ</t>
        </is>
      </c>
      <c r="I87" s="347" t="n">
        <v>28000</v>
      </c>
    </row>
    <row r="88" ht="15" customHeight="1" s="129">
      <c r="A88" s="228" t="n"/>
      <c r="B88" s="228" t="n"/>
      <c r="C88" s="228" t="n"/>
      <c r="D88" s="228" t="n"/>
      <c r="G88" s="341" t="inlineStr">
        <is>
          <t>12บาน: 2-10 พับสลับ</t>
        </is>
      </c>
      <c r="H88" s="341" t="inlineStr">
        <is>
          <t>12บาน: 2-10 พับสลับ</t>
        </is>
      </c>
      <c r="I88" s="347" t="n">
        <v>28000</v>
      </c>
    </row>
    <row r="89" ht="15" customHeight="1" s="129">
      <c r="A89" s="228" t="n"/>
      <c r="B89" s="228" t="n"/>
      <c r="C89" s="228" t="n"/>
      <c r="D89" s="228" t="n"/>
      <c r="G89" s="341" t="inlineStr">
        <is>
          <t>12บาน: 1-11 พับสลับ</t>
        </is>
      </c>
      <c r="H89" s="341" t="inlineStr">
        <is>
          <t>12บาน: 1-11 พับสลับ</t>
        </is>
      </c>
      <c r="I89" s="347" t="n">
        <v>28000</v>
      </c>
    </row>
    <row r="90" ht="15" customHeight="1" s="129">
      <c r="A90" s="228" t="n"/>
      <c r="B90" s="228" t="n"/>
      <c r="C90" s="228" t="n"/>
      <c r="D90" s="228" t="n"/>
      <c r="G90" s="341" t="inlineStr">
        <is>
          <t>12บาน: 0-12 พับข้างเดียว</t>
        </is>
      </c>
      <c r="H90" s="341" t="inlineStr">
        <is>
          <t>12บาน: 0-12 พับข้างเดียว</t>
        </is>
      </c>
      <c r="I90" s="347" t="n">
        <v>28000</v>
      </c>
    </row>
    <row r="91" ht="15" customHeight="1" s="129">
      <c r="A91" s="228" t="n"/>
      <c r="B91" s="228" t="n"/>
      <c r="C91" s="228" t="n"/>
      <c r="D91" s="228" t="n"/>
      <c r="G91" s="341" t="inlineStr">
        <is>
          <t>12บาน: 1-11 พับสลับ</t>
        </is>
      </c>
    </row>
    <row r="92" ht="15" customHeight="1" s="129">
      <c r="A92" s="228" t="n"/>
      <c r="B92" s="228" t="n"/>
      <c r="C92" s="228" t="n"/>
      <c r="D92" s="228" t="n"/>
      <c r="G92" s="341" t="inlineStr">
        <is>
          <t>12บาน: 0-12 พับข้างเดียว</t>
        </is>
      </c>
    </row>
    <row r="93" ht="15" customHeight="1" s="129">
      <c r="A93" s="228" t="n"/>
      <c r="B93" s="228" t="n"/>
      <c r="C93" s="228" t="n"/>
      <c r="D93" s="228" t="n"/>
    </row>
    <row r="94" ht="15" customHeight="1" s="129">
      <c r="A94" s="228" t="n"/>
      <c r="B94" s="228" t="n"/>
      <c r="C94" s="228" t="n"/>
      <c r="D94" s="228" t="n"/>
    </row>
    <row r="95" ht="15" customHeight="1" s="129">
      <c r="A95" s="228" t="n"/>
      <c r="B95" s="228" t="n"/>
      <c r="C95" s="228" t="n"/>
      <c r="D95" s="228" t="n"/>
    </row>
    <row r="96" ht="15" customHeight="1" s="129">
      <c r="A96" s="228" t="n"/>
      <c r="B96" s="228" t="n"/>
      <c r="C96" s="228" t="n"/>
      <c r="D96" s="228" t="n"/>
    </row>
    <row r="97" ht="15" customHeight="1" s="129">
      <c r="A97" s="228" t="n"/>
      <c r="B97" s="228" t="n"/>
      <c r="C97" s="228" t="n"/>
      <c r="D97" s="228" t="n"/>
    </row>
    <row r="98" ht="15" customHeight="1" s="129">
      <c r="A98" s="228" t="n"/>
      <c r="B98" s="228" t="n"/>
      <c r="C98" s="228" t="n"/>
      <c r="D98" s="228" t="n"/>
    </row>
    <row r="99" ht="15" customHeight="1" s="129">
      <c r="A99" s="228" t="n"/>
      <c r="B99" s="228" t="n"/>
      <c r="C99" s="228" t="n"/>
      <c r="D99" s="228" t="n"/>
    </row>
    <row r="100" ht="15" customHeight="1" s="129">
      <c r="A100" s="228" t="n"/>
      <c r="B100" s="228" t="n"/>
      <c r="C100" s="228" t="n"/>
      <c r="D100" s="228" t="n"/>
    </row>
    <row r="101" ht="15" customHeight="1" s="129">
      <c r="A101" s="228" t="n"/>
      <c r="B101" s="228" t="n"/>
      <c r="C101" s="228" t="n"/>
      <c r="D101" s="228" t="n"/>
    </row>
    <row r="102" ht="15" customHeight="1" s="129">
      <c r="A102" s="228" t="n"/>
      <c r="B102" s="228" t="n"/>
      <c r="C102" s="228" t="n"/>
      <c r="D102" s="228" t="n"/>
    </row>
    <row r="103" ht="15" customHeight="1" s="129">
      <c r="A103" s="228" t="n"/>
      <c r="B103" s="228" t="n"/>
      <c r="C103" s="228" t="n"/>
      <c r="D103" s="228" t="n"/>
    </row>
    <row r="104" ht="15" customHeight="1" s="129">
      <c r="A104" s="228" t="n"/>
      <c r="B104" s="228" t="n"/>
      <c r="C104" s="228" t="n"/>
      <c r="D104" s="228" t="n"/>
    </row>
    <row r="105" ht="15" customHeight="1" s="129">
      <c r="A105" s="228" t="n"/>
      <c r="B105" s="228" t="n"/>
      <c r="C105" s="228" t="n"/>
      <c r="D105" s="228" t="n"/>
    </row>
    <row r="106" ht="15" customHeight="1" s="129">
      <c r="A106" s="228" t="n"/>
      <c r="B106" s="228" t="n"/>
      <c r="C106" s="228" t="n"/>
      <c r="D106" s="228" t="n"/>
    </row>
    <row r="107" ht="15" customHeight="1" s="129">
      <c r="A107" s="228" t="n"/>
      <c r="B107" s="228" t="n"/>
      <c r="C107" s="228" t="n"/>
      <c r="D107" s="228" t="n"/>
    </row>
    <row r="108" ht="15" customHeight="1" s="129">
      <c r="A108" s="228" t="n"/>
      <c r="B108" s="228" t="n"/>
      <c r="C108" s="228" t="n"/>
      <c r="D108" s="228" t="n"/>
    </row>
    <row r="109" ht="15" customHeight="1" s="129">
      <c r="A109" s="228" t="n"/>
      <c r="B109" s="228" t="n"/>
      <c r="C109" s="228" t="n"/>
      <c r="D109" s="228" t="n"/>
    </row>
    <row r="110" ht="15" customHeight="1" s="129">
      <c r="A110" s="228" t="n"/>
      <c r="B110" s="228" t="n"/>
      <c r="C110" s="228" t="n"/>
      <c r="D110" s="228" t="n"/>
    </row>
    <row r="111" ht="15" customHeight="1" s="129">
      <c r="A111" s="228" t="n"/>
      <c r="B111" s="228" t="n"/>
      <c r="C111" s="228" t="n"/>
      <c r="D111" s="228" t="n"/>
    </row>
    <row r="112" ht="15" customHeight="1" s="129">
      <c r="A112" s="228" t="n"/>
      <c r="B112" s="228" t="n"/>
      <c r="C112" s="228" t="n"/>
      <c r="D112" s="228" t="n"/>
    </row>
    <row r="113" ht="15" customHeight="1" s="129">
      <c r="A113" s="228" t="n"/>
      <c r="B113" s="228" t="n"/>
      <c r="C113" s="228" t="n"/>
      <c r="D113" s="228" t="n"/>
    </row>
    <row r="114" ht="15" customHeight="1" s="129">
      <c r="A114" s="228" t="n"/>
      <c r="B114" s="228" t="n"/>
      <c r="C114" s="228" t="n"/>
      <c r="D114" s="228" t="n"/>
    </row>
    <row r="115" ht="15" customHeight="1" s="129">
      <c r="A115" s="228" t="n"/>
      <c r="B115" s="228" t="n"/>
      <c r="C115" s="228" t="n"/>
      <c r="D115" s="228" t="n"/>
    </row>
    <row r="116" ht="15" customHeight="1" s="129">
      <c r="A116" s="228" t="n"/>
      <c r="B116" s="228" t="n"/>
      <c r="C116" s="228" t="n"/>
      <c r="D116" s="228" t="n"/>
    </row>
    <row r="117" ht="15" customHeight="1" s="129">
      <c r="A117" s="228" t="n"/>
      <c r="B117" s="228" t="n"/>
      <c r="C117" s="228" t="n"/>
      <c r="D117" s="228" t="n"/>
    </row>
    <row r="118" ht="15" customHeight="1" s="129">
      <c r="A118" s="228" t="n"/>
      <c r="B118" s="228" t="n"/>
      <c r="C118" s="228" t="n"/>
      <c r="D118" s="228" t="n"/>
    </row>
    <row r="119" ht="15" customHeight="1" s="129">
      <c r="A119" s="228" t="n"/>
      <c r="B119" s="228" t="n"/>
      <c r="C119" s="228" t="n"/>
      <c r="D119" s="228" t="n"/>
    </row>
    <row r="120" ht="15" customHeight="1" s="129">
      <c r="A120" s="228" t="n"/>
      <c r="B120" s="228" t="n"/>
      <c r="C120" s="228" t="n"/>
      <c r="D120" s="228" t="n"/>
    </row>
    <row r="121" ht="15" customHeight="1" s="129">
      <c r="A121" s="228" t="n"/>
      <c r="B121" s="228" t="n"/>
      <c r="C121" s="228" t="n"/>
      <c r="D121" s="228" t="n"/>
    </row>
    <row r="122" ht="15" customHeight="1" s="129">
      <c r="A122" s="228" t="n"/>
      <c r="B122" s="228" t="n"/>
      <c r="C122" s="228" t="n"/>
      <c r="D122" s="228" t="n"/>
    </row>
    <row r="124">
      <c r="A124" s="433" t="inlineStr">
        <is>
          <t>— ชุด auto (ออปชั่น) — บวกเข้าทุน × กำไร%</t>
        </is>
      </c>
      <c r="B124" s="434" t="n"/>
      <c r="C124" s="434" t="n"/>
      <c r="D124" s="434" t="n"/>
    </row>
    <row r="125">
      <c r="A125" s="134" t="inlineStr">
        <is>
          <t>ใส่ auto? (เฟี้ยมยก) →</t>
        </is>
      </c>
      <c r="B125" s="435" t="inlineStr">
        <is>
          <t>ไม่มี</t>
        </is>
      </c>
      <c r="C125" s="434" t="n"/>
      <c r="D125" s="434" t="n"/>
    </row>
    <row r="126">
      <c r="A126" s="134" t="inlineStr">
        <is>
          <t>ชุด auto →</t>
        </is>
      </c>
      <c r="B126" s="435" t="inlineStr">
        <is>
          <t>ยก 80 กก.</t>
        </is>
      </c>
      <c r="C126" s="434" t="n"/>
      <c r="D126" s="434" t="n"/>
    </row>
    <row r="127">
      <c r="A127" s="434" t="n"/>
      <c r="B127" s="434" t="n"/>
      <c r="C127" s="434" t="n"/>
      <c r="D127" s="434" t="n"/>
    </row>
    <row r="128">
      <c r="A128" s="436" t="inlineStr">
        <is>
          <t>ทุนชุด auto</t>
        </is>
      </c>
      <c r="B128" s="434" t="n"/>
      <c r="C128" s="434" t="n"/>
      <c r="D128" s="437">
        <f>IF(B125="ไม่มี",0,INDEX(ราคาออโต้!$C:$C,MATCH(B126,ราคาออโต้!$B:$B,0))+INDEX(ราคาออโต้!$D:$D,MATCH(B126,ราคาออโต้!$B:$B,0)))</f>
        <v/>
      </c>
    </row>
    <row r="129">
      <c r="A129" s="745" t="n"/>
      <c r="B129" s="745" t="n"/>
      <c r="C129" s="745" t="n"/>
      <c r="D129" s="745" t="n"/>
      <c r="E129" s="745" t="n"/>
      <c r="F129" s="745" t="n"/>
      <c r="G129" s="745" t="n"/>
      <c r="H129" s="745" t="n"/>
      <c r="I129" s="745" t="n"/>
      <c r="J129" s="745" t="n"/>
      <c r="K129" s="745" t="n"/>
    </row>
    <row r="130">
      <c r="A130" s="746" t="n"/>
      <c r="B130" s="745" t="n"/>
      <c r="C130" s="745" t="n"/>
      <c r="D130" s="745" t="n"/>
      <c r="E130" s="745" t="n"/>
      <c r="F130" s="745" t="n"/>
      <c r="G130" s="745" t="n"/>
      <c r="H130" s="745" t="n"/>
      <c r="I130" s="745" t="n"/>
      <c r="J130" s="745" t="n"/>
      <c r="K130" s="745" t="n"/>
    </row>
    <row r="131">
      <c r="A131" s="747" t="n"/>
      <c r="B131" s="748" t="n"/>
      <c r="C131" s="745" t="n"/>
      <c r="D131" s="745" t="n"/>
      <c r="E131" s="745" t="n"/>
      <c r="F131" s="745" t="n"/>
      <c r="G131" s="745" t="n"/>
      <c r="H131" s="745" t="n"/>
      <c r="I131" s="745" t="n"/>
      <c r="J131" s="745" t="n"/>
      <c r="K131" s="745" t="n"/>
    </row>
    <row r="132">
      <c r="A132" s="747" t="n"/>
      <c r="B132" s="748" t="n"/>
      <c r="C132" s="745" t="n"/>
      <c r="D132" s="745" t="n"/>
      <c r="E132" s="745" t="n"/>
      <c r="F132" s="745" t="n"/>
      <c r="G132" s="745" t="n"/>
      <c r="H132" s="745" t="n"/>
      <c r="I132" s="745" t="n"/>
      <c r="J132" s="745" t="n"/>
      <c r="K132" s="745" t="n"/>
    </row>
    <row r="133">
      <c r="A133" s="747" t="n"/>
      <c r="B133" s="748" t="n"/>
      <c r="C133" s="745" t="n"/>
      <c r="D133" s="745" t="n"/>
      <c r="E133" s="745" t="n"/>
      <c r="F133" s="745" t="n"/>
      <c r="G133" s="745" t="n"/>
      <c r="H133" s="745" t="n"/>
      <c r="I133" s="745" t="n"/>
      <c r="J133" s="745" t="n"/>
      <c r="K133" s="745" t="n"/>
    </row>
    <row r="134">
      <c r="A134" s="747" t="n"/>
      <c r="B134" s="749" t="n"/>
      <c r="C134" s="745" t="n"/>
      <c r="D134" s="745" t="n"/>
      <c r="E134" s="745" t="n"/>
      <c r="F134" s="745" t="n"/>
      <c r="G134" s="745" t="n"/>
      <c r="H134" s="745" t="n"/>
      <c r="I134" s="745" t="n"/>
      <c r="J134" s="745" t="n"/>
      <c r="K134" s="745" t="n"/>
    </row>
    <row r="135">
      <c r="A135" s="745" t="n"/>
      <c r="B135" s="745" t="n"/>
      <c r="C135" s="745" t="n"/>
      <c r="D135" s="745" t="n"/>
      <c r="E135" s="745" t="n"/>
      <c r="F135" s="745" t="n"/>
      <c r="G135" s="745" t="n"/>
      <c r="H135" s="745" t="n"/>
      <c r="I135" s="745" t="n"/>
      <c r="J135" s="745" t="n"/>
      <c r="K135" s="745" t="n"/>
    </row>
    <row r="136">
      <c r="A136" s="738" t="inlineStr">
        <is>
          <t>🔍 แยกก้อนต้นทุน</t>
        </is>
      </c>
    </row>
    <row r="137">
      <c r="A137" s="747" t="n"/>
      <c r="B137" s="748" t="n"/>
    </row>
    <row r="138">
      <c r="A138" s="747" t="n"/>
      <c r="B138" s="748" t="n"/>
    </row>
    <row r="139">
      <c r="A139" s="747" t="n"/>
      <c r="B139" s="748" t="n"/>
    </row>
    <row r="140">
      <c r="A140" s="747" t="n"/>
      <c r="B140" s="749" t="n"/>
    </row>
  </sheetData>
  <mergeCells count="2">
    <mergeCell ref="L12:O12"/>
    <mergeCell ref="A1:F1"/>
  </mergeCells>
  <dataValidations count="8">
    <dataValidation sqref="B5" showDropDown="0" showInputMessage="0" showErrorMessage="0" allowBlank="0" type="list" errorStyle="stop" operator="between">
      <formula1>$G$2:$G$89</formula1>
      <formula2>0</formula2>
    </dataValidation>
    <dataValidation sqref="B6" showDropDown="0" showInputMessage="0" showErrorMessage="0" allowBlank="0" type="list" errorStyle="stop" operator="between">
      <formula1>"ไม่มี,มี"</formula1>
      <formula2>0</formula2>
    </dataValidation>
    <dataValidation sqref="B10" showDropDown="0" showInputMessage="0" showErrorMessage="0" allowBlank="0" type="list" errorStyle="stop" operator="between">
      <formula1>GlassNames</formula1>
      <formula2>0</formula2>
    </dataValidation>
    <dataValidation sqref="F10" showDropDown="0" showInputMessage="0" showErrorMessage="0" allowBlank="0" type="list" errorStyle="stop" operator="between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sqref="B125" showDropDown="0" showInputMessage="0" showErrorMessage="0" allowBlank="1" type="list">
      <formula1>"มี,ไม่มี"</formula1>
    </dataValidation>
    <dataValidation sqref="B126" showDropDown="0" showInputMessage="0" showErrorMessage="0" allowBlank="1" type="list">
      <formula1>"ยก 80 กก.,ยก 300 กก."</formula1>
    </dataValidation>
    <dataValidation sqref="B6" showDropDown="0" showInputMessage="0" showErrorMessage="0" allowBlank="1" type="list">
      <formula1>"ธรณี,ธรณีหลังเต่า,รางยู"</formula1>
    </dataValidation>
    <dataValidation sqref="M13" showDropDown="0" showInputMessage="0" showErrorMessage="0" allowBlank="1" type="list">
      <formula1>MungReady</formula1>
    </dataValidation>
  </dataValidations>
  <hyperlinks>
    <hyperlink ref="H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0.7" customWidth="1" style="140" min="2" max="4"/>
    <col width="10.7" customWidth="1" style="129" min="3" max="3"/>
    <col width="18" customWidth="1" style="129" min="4" max="4"/>
    <col width="24" customWidth="1" style="140" min="5" max="5"/>
    <col width="9.6" customWidth="1" style="140" min="6" max="6"/>
    <col width="8.6" customWidth="1" style="140" min="7" max="7"/>
  </cols>
  <sheetData>
    <row r="1" ht="24" customHeight="1" s="129">
      <c r="A1" s="286" t="inlineStr">
        <is>
          <t>คิดทุนบานติดตาย (กระจกล้วน)</t>
        </is>
      </c>
      <c r="G1" s="753" t="inlineStr">
        <is>
          <t>🏠 สารบัญ</t>
        </is>
      </c>
      <c r="H1" s="754" t="n"/>
    </row>
    <row r="2" ht="15" customHeight="1" s="129">
      <c r="A2" s="287" t="inlineStr">
        <is>
          <t>กว้างรวม (ซม.) →</t>
        </is>
      </c>
      <c r="B2" s="283" t="n">
        <v>150</v>
      </c>
      <c r="E2" s="287">
        <f>mult_mtong*(IF(B5="เทาซาฮาร่า",1612,IF(B5="ลายไม้ stock",ROUND(1240*1.6,0),IF(B5="สีอบพิเศษ",ROUND(1240*(1+rate_special/192),0),IF(B5="สีลายไม้อบพิเศษ",ROUND(1240*(1+rate_woodbake/192),0),1240)))))</f>
        <v/>
      </c>
      <c r="F2" s="287" t="inlineStr">
        <is>
          <t>กล่อง/เส้น</t>
        </is>
      </c>
    </row>
    <row r="3" ht="15" customHeight="1" s="129">
      <c r="A3" s="287" t="inlineStr">
        <is>
          <t>สูง (ซม.) →</t>
        </is>
      </c>
      <c r="B3" s="283" t="n">
        <v>200</v>
      </c>
      <c r="E3" s="287">
        <f>mult_mtong*(IF(B5="เทาซาฮาร่า",550,IF(B5="ลายไม้ stock",ROUND(380*1.6,0),IF(B5="สีอบพิเศษ",ROUND(380*(1+rate_special/192),0),IF(B5="สีลายไม้อบพิเศษ",ROUND(380*(1+rate_woodbake/192),0),380)))))</f>
        <v/>
      </c>
      <c r="F3" s="287" t="inlineStr">
        <is>
          <t>9014/เส้น</t>
        </is>
      </c>
    </row>
    <row r="4" ht="15" customHeight="1" s="129">
      <c r="A4" s="287" t="inlineStr">
        <is>
          <t>จำนวนช่อง →</t>
        </is>
      </c>
      <c r="B4" s="283" t="n">
        <v>1</v>
      </c>
    </row>
    <row r="5" ht="15" customHeight="1" s="129">
      <c r="A5" s="287" t="inlineStr">
        <is>
          <t>สีอลู →</t>
        </is>
      </c>
      <c r="B5" s="283" t="inlineStr">
        <is>
          <t>ขาว/ดำ</t>
        </is>
      </c>
    </row>
    <row r="6" ht="15" customHeight="1" s="129">
      <c r="A6" s="287" t="inlineStr">
        <is>
          <t>ชนิดกระจก →</t>
        </is>
      </c>
      <c r="B6" s="283" t="inlineStr">
        <is>
          <t>เขียว 6มม.</t>
        </is>
      </c>
    </row>
    <row r="7" ht="15" customHeight="1" s="129">
      <c r="A7" s="287" t="inlineStr">
        <is>
          <t>ราคากระจก (auto/แก้ได้) →</t>
        </is>
      </c>
      <c r="B7" s="283">
        <f>IFERROR(VLOOKUP(B6,ราคาวัสดุกลาง!$H:$I,2,0),264)</f>
        <v/>
      </c>
    </row>
    <row r="8" ht="15" customHeight="1" s="129">
      <c r="A8" s="287" t="inlineStr">
        <is>
          <t>พื้นที่ (ตร.ม.) =</t>
        </is>
      </c>
      <c r="B8" s="287">
        <f>(B2/100)*(B3/100)</f>
        <v/>
      </c>
    </row>
    <row r="9" ht="15" customHeight="1" s="129">
      <c r="A9" s="287" t="inlineStr">
        <is>
          <t>บวกกำไร % →</t>
        </is>
      </c>
      <c r="B9" s="283" t="n">
        <v>100</v>
      </c>
    </row>
    <row r="10" ht="15" customHeight="1" s="129">
      <c r="A10" s="287" t="inlineStr">
        <is>
          <t>ราคาซิลิโคน/หลอด →</t>
        </is>
      </c>
      <c r="B10" s="283" t="n">
        <v>90</v>
      </c>
    </row>
    <row r="12" ht="15" customHeight="1" s="129">
      <c r="A12" s="339" t="inlineStr">
        <is>
          <t>วัสดุ</t>
        </is>
      </c>
      <c r="B12" s="339" t="inlineStr">
        <is>
          <t>จำนวน</t>
        </is>
      </c>
      <c r="C12" s="339" t="inlineStr">
        <is>
          <t>ราคา/หน่วย</t>
        </is>
      </c>
      <c r="D12" s="339" t="inlineStr">
        <is>
          <t>ทุน(บาท)</t>
        </is>
      </c>
      <c r="E12" s="339" t="inlineStr">
        <is>
          <t>หมายเหตุ</t>
        </is>
      </c>
    </row>
    <row r="13" ht="15" customHeight="1" s="129">
      <c r="A13" s="316" t="inlineStr">
        <is>
          <t>กล่อง 1.6"x3" (วิ่งรอบ)</t>
        </is>
      </c>
      <c r="B13" s="316">
        <f>IF(FLOOR(6/((B2)/100),1)&gt;=1,ROUNDUP((2)/FLOOR(6/((B2)/100),1),0),ROUNDUP(((B2)/100)/6,0)*(2))+IF(FLOOR(6/((B3)/100),1)&gt;=1,ROUNDUP(((B4+1))/FLOOR(6/((B3)/100),1),0),ROUNDUP(((B3)/100)/6,0)*((B4+1)))</f>
        <v/>
      </c>
      <c r="C13" s="312">
        <f>E2</f>
        <v/>
      </c>
      <c r="D13" s="312">
        <f>B13*C13</f>
        <v/>
      </c>
      <c r="E13" s="316" t="n"/>
    </row>
    <row r="14" ht="15" customHeight="1" s="129">
      <c r="A14" s="316" t="inlineStr">
        <is>
          <t>9014 ตัวตบหน้ากระจก (วิ่งรอบ)</t>
        </is>
      </c>
      <c r="B14" s="316">
        <f>IF(FLOOR(6/((B2/B4)/100),1)&gt;=1,ROUNDUP(((2*B4))/FLOOR(6/((B2/B4)/100),1),0),ROUNDUP(((B2/B4)/100)/6,0)*((2*B4)))+IF(FLOOR(6/((B3)/100),1)&gt;=1,ROUNDUP(((2*B4))/FLOOR(6/((B3)/100),1),0),ROUNDUP(((B3)/100)/6,0)*((2*B4)))</f>
        <v/>
      </c>
      <c r="C14" s="312">
        <f>E3</f>
        <v/>
      </c>
      <c r="D14" s="312">
        <f>B14*C14</f>
        <v/>
      </c>
      <c r="E14" s="316" t="n"/>
    </row>
    <row r="15" ht="15" customHeight="1" s="129">
      <c r="A15" s="316" t="inlineStr">
        <is>
          <t>ฉาก อลู 1"x1" (4 มุม/ช่อง)</t>
        </is>
      </c>
      <c r="B15" s="316">
        <f>4*B4</f>
        <v/>
      </c>
      <c r="C15" s="312" t="n">
        <v>5</v>
      </c>
      <c r="D15" s="312">
        <f>B15*C15</f>
        <v/>
      </c>
      <c r="E15" s="316" t="inlineStr">
        <is>
          <t>เหมา 5 บาท/มุม × 4 มุม × ช่อง (ฉากเข้ามุมใช้จริง ~10ซม./มุม)</t>
        </is>
      </c>
    </row>
    <row r="16" ht="15" customHeight="1" s="129">
      <c r="A16" s="316" t="inlineStr">
        <is>
          <t>เทปหนุนกระจก (ม.)</t>
        </is>
      </c>
      <c r="B16" s="316">
        <f>ROUND((2*B2+2*B4*B3)/100,1)</f>
        <v/>
      </c>
      <c r="C16" s="312" t="n">
        <v>10</v>
      </c>
      <c r="D16" s="312">
        <f>B16*C16</f>
        <v/>
      </c>
      <c r="E16" s="316" t="n"/>
    </row>
    <row r="17" ht="15" customHeight="1" s="129">
      <c r="A17" s="316" t="inlineStr">
        <is>
          <t>กระจก (ตร.ม.)</t>
        </is>
      </c>
      <c r="B17" s="316">
        <f>B8</f>
        <v/>
      </c>
      <c r="C17" s="312">
        <f>B7</f>
        <v/>
      </c>
      <c r="D17" s="312">
        <f>B17*C17</f>
        <v/>
      </c>
    </row>
    <row r="18" ht="15" customHeight="1" s="129">
      <c r="A18" s="316" t="inlineStr">
        <is>
          <t>ซิลิโคน (หลอด) ใน+นอก</t>
        </is>
      </c>
      <c r="B18" s="316">
        <f>ROUNDUP((2*B2+2*B4*B3)/100*2/12.5,0)</f>
        <v/>
      </c>
      <c r="C18" s="312">
        <f>B10</f>
        <v/>
      </c>
      <c r="D18" s="312">
        <f>B18*C18</f>
        <v/>
      </c>
    </row>
    <row r="19">
      <c r="A19" s="140" t="inlineStr">
        <is>
          <t>ค่าเปิดตู้อบ (สีพิเศษ)</t>
        </is>
      </c>
      <c r="B19" s="140">
        <f>IF(OR(B5="สีอบพิเศษ",B5="สีลายไม้อบพิเศษ"),1,0)</f>
        <v/>
      </c>
      <c r="C19" s="140" t="n">
        <v>2000</v>
      </c>
      <c r="D19" s="140">
        <f>B19*C19</f>
        <v/>
      </c>
    </row>
    <row r="20" ht="15" customHeight="1" s="129">
      <c r="A20" s="331" t="inlineStr">
        <is>
          <t>ทุนรวม</t>
        </is>
      </c>
      <c r="D20" s="332">
        <f>SUM(D13:D19)</f>
        <v/>
      </c>
    </row>
    <row r="21" ht="15" customHeight="1" s="129">
      <c r="A21" s="331" t="inlineStr">
        <is>
          <t>ทุน/ตร.ม.</t>
        </is>
      </c>
      <c r="D21" s="332">
        <f>IF(B8&gt;0,D20/B8,0)</f>
        <v/>
      </c>
    </row>
    <row r="22" ht="15" customHeight="1" s="129">
      <c r="A22" s="331" t="inlineStr">
        <is>
          <t>ราคาขาย/ตร.ม. (markup%)</t>
        </is>
      </c>
      <c r="D22" s="284">
        <f>ROUNDUP(D21*(1+B9/100)/100,0)*100</f>
        <v/>
      </c>
    </row>
    <row r="23" ht="15" customHeight="1" s="129">
      <c r="A23" s="331" t="inlineStr">
        <is>
          <t>ราคาขายรวม/ชุด</t>
        </is>
      </c>
      <c r="D23" s="284">
        <f>B8*D22</f>
        <v/>
      </c>
    </row>
    <row r="24" ht="15" customHeight="1" s="129">
      <c r="A24" s="331" t="inlineStr">
        <is>
          <t>%กำไรจริง (บนทุน)</t>
        </is>
      </c>
      <c r="D24" s="285">
        <f>(D23-D20)/D20</f>
        <v/>
      </c>
    </row>
    <row r="26">
      <c r="A26" s="387" t="inlineStr">
        <is>
          <t>ค่าแรงผลิต (175/ตร.ม.)</t>
        </is>
      </c>
      <c r="D26" s="388">
        <f>ROUND(VLOOKUP("บานติดตาย",'ค่าแรง'!$A$12:$E$27,2,0)+VLOOKUP("บานติดตาย",'ค่าแรง'!$A$12:$E$27,3,0)*B8,0)</f>
        <v/>
      </c>
    </row>
    <row r="27">
      <c r="A27" s="387" t="inlineStr">
        <is>
          <t>ค่าแรงติดตั้ง (175/ตร.ม.)</t>
        </is>
      </c>
      <c r="D27" s="388">
        <f>ROUND(VLOOKUP("บานติดตาย",'ค่าแรง'!$A$12:$E$27,4,0)+VLOOKUP("บานติดตาย",'ค่าแรง'!$A$12:$E$27,5,0)*B8,0)</f>
        <v/>
      </c>
    </row>
    <row r="28">
      <c r="A28" s="276" t="inlineStr">
        <is>
          <t>ขายผลิตอย่างเดียว</t>
        </is>
      </c>
      <c r="D28" s="389">
        <f>ROUNDUP((D20+D26)*(1+B9/100)/100,0)*100</f>
        <v/>
      </c>
    </row>
    <row r="29">
      <c r="A29" s="276" t="inlineStr">
        <is>
          <t>ขายผลิต+ติดตั้ง</t>
        </is>
      </c>
      <c r="D29" s="389">
        <f>D28+ROUNDUP(D27*(1+B9/100)/100,0)*100</f>
        <v/>
      </c>
    </row>
    <row r="30">
      <c r="A30" s="387" t="inlineStr">
        <is>
          <t>%กำไร (ฐานวัสดุ+ผลิต)</t>
        </is>
      </c>
      <c r="D30" s="390">
        <f>(D28-(D20+D26))/(D20+D26)</f>
        <v/>
      </c>
    </row>
    <row r="31">
      <c r="A31" s="745" t="n"/>
      <c r="B31" s="745" t="n"/>
      <c r="C31" s="745" t="n"/>
      <c r="D31" s="745" t="n"/>
      <c r="E31" s="745" t="n"/>
      <c r="F31" s="745" t="n"/>
      <c r="G31" s="745" t="n"/>
      <c r="H31" s="745" t="n"/>
      <c r="I31" s="745" t="n"/>
      <c r="J31" s="745" t="n"/>
      <c r="K31" s="745" t="n"/>
    </row>
    <row r="32">
      <c r="A32" s="746" t="n"/>
      <c r="B32" s="745" t="n"/>
      <c r="C32" s="745" t="n"/>
      <c r="D32" s="745" t="n"/>
      <c r="E32" s="745" t="n"/>
      <c r="F32" s="745" t="n"/>
      <c r="G32" s="745" t="n"/>
      <c r="H32" s="745" t="n"/>
      <c r="I32" s="745" t="n"/>
      <c r="J32" s="745" t="n"/>
      <c r="K32" s="745" t="n"/>
    </row>
    <row r="33">
      <c r="A33" s="747" t="n"/>
      <c r="B33" s="748" t="n"/>
      <c r="C33" s="745" t="n"/>
      <c r="D33" s="745" t="n"/>
      <c r="E33" s="745" t="n"/>
      <c r="F33" s="745" t="n"/>
      <c r="G33" s="745" t="n"/>
      <c r="H33" s="745" t="n"/>
      <c r="I33" s="745" t="n"/>
      <c r="J33" s="745" t="n"/>
      <c r="K33" s="745" t="n"/>
    </row>
    <row r="34">
      <c r="A34" s="747" t="n"/>
      <c r="B34" s="748" t="n"/>
      <c r="C34" s="745" t="n"/>
      <c r="D34" s="745" t="n"/>
      <c r="E34" s="745" t="n"/>
      <c r="F34" s="745" t="n"/>
      <c r="G34" s="745" t="n"/>
      <c r="H34" s="745" t="n"/>
      <c r="I34" s="745" t="n"/>
      <c r="J34" s="745" t="n"/>
      <c r="K34" s="745" t="n"/>
    </row>
    <row r="35">
      <c r="A35" s="747" t="n"/>
      <c r="B35" s="748" t="n"/>
      <c r="C35" s="745" t="n"/>
      <c r="D35" s="745" t="n"/>
      <c r="E35" s="745" t="n"/>
      <c r="F35" s="745" t="n"/>
      <c r="G35" s="745" t="n"/>
      <c r="H35" s="745" t="n"/>
      <c r="I35" s="745" t="n"/>
      <c r="J35" s="745" t="n"/>
      <c r="K35" s="745" t="n"/>
    </row>
    <row r="36">
      <c r="A36" s="747" t="n"/>
      <c r="B36" s="749" t="n"/>
      <c r="C36" s="745" t="n"/>
      <c r="D36" s="745" t="n"/>
      <c r="E36" s="745" t="n"/>
      <c r="F36" s="745" t="n"/>
      <c r="G36" s="745" t="n"/>
      <c r="H36" s="745" t="n"/>
      <c r="I36" s="745" t="n"/>
      <c r="J36" s="745" t="n"/>
      <c r="K36" s="745" t="n"/>
    </row>
    <row r="37">
      <c r="A37" s="745" t="n"/>
      <c r="B37" s="745" t="n"/>
      <c r="C37" s="745" t="n"/>
      <c r="D37" s="745" t="n"/>
      <c r="E37" s="745" t="n"/>
      <c r="F37" s="745" t="n"/>
      <c r="G37" s="745" t="n"/>
      <c r="H37" s="745" t="n"/>
      <c r="I37" s="745" t="n"/>
      <c r="J37" s="745" t="n"/>
      <c r="K37" s="745" t="n"/>
    </row>
    <row r="38">
      <c r="A38" s="738" t="inlineStr">
        <is>
          <t>🔍 แยกก้อนต้นทุน</t>
        </is>
      </c>
    </row>
    <row r="39">
      <c r="A39" s="739" t="inlineStr">
        <is>
          <t>ทุนอลู (×ราคา/กก.)</t>
        </is>
      </c>
      <c r="B39" s="740">
        <f>D13+D15+D18</f>
        <v/>
      </c>
    </row>
    <row r="40">
      <c r="A40" s="741" t="inlineStr">
        <is>
          <t>ทุนกระจก</t>
        </is>
      </c>
      <c r="B40" s="742">
        <f>D14+D16+D17</f>
        <v/>
      </c>
    </row>
    <row r="41">
      <c r="A41" s="741" t="inlineStr">
        <is>
          <t>ทุนอุปกรณ์+ซิลิโคน</t>
        </is>
      </c>
      <c r="B41" s="742">
        <f>D19</f>
        <v/>
      </c>
    </row>
    <row r="42">
      <c r="A42" s="741" t="inlineStr">
        <is>
          <t>รวมวัสดุ</t>
        </is>
      </c>
      <c r="B42" s="743">
        <f>B39+B40+B41</f>
        <v/>
      </c>
    </row>
  </sheetData>
  <mergeCells count="1">
    <mergeCell ref="A1:F1"/>
  </mergeCells>
  <dataValidations count="2">
    <dataValidation sqref="B5" showDropDown="0" showInputMessage="0" showErrorMessage="0" allowBlank="1" type="list">
      <formula1>"ขาว/ดำ,เทาซาฮาร่า,ลายไม้ stock,สีอบพิเศษ,สีลายไม้อบพิเศษ"</formula1>
    </dataValidation>
    <dataValidation sqref="B6" showDropDown="0" showInputMessage="0" showErrorMessage="0" allowBlank="1" type="list">
      <formula1>=GlassNames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5.9" customWidth="1" style="140" min="2" max="4"/>
    <col width="10.7" customWidth="1" style="129" min="3" max="3"/>
    <col width="18" customWidth="1" style="129" min="4" max="4"/>
    <col width="24" customWidth="1" style="140" min="5" max="5"/>
    <col width="11.7" customWidth="1" style="140" min="6" max="6"/>
    <col width="8.6" customWidth="1" style="140" min="7" max="7"/>
    <col width="4.5" customWidth="1" style="129" min="8" max="8"/>
    <col hidden="1" width="24" customWidth="1" style="140" min="10" max="11"/>
    <col width="6.5" customWidth="1" style="129" min="11" max="11"/>
  </cols>
  <sheetData>
    <row r="1" ht="24" customHeight="1" s="129">
      <c r="A1" s="286" t="inlineStr">
        <is>
          <t>คิดทุนบาน Velora — อลูดิบ+อบสีแยก</t>
        </is>
      </c>
      <c r="G1" s="753" t="inlineStr">
        <is>
          <t>🏠 สารบัญ</t>
        </is>
      </c>
      <c r="H1" s="754" t="n"/>
      <c r="K1" s="643" t="n"/>
    </row>
    <row r="2" ht="15" customHeight="1" s="129">
      <c r="A2" s="287" t="inlineStr">
        <is>
          <t>กว้างช่องปูน (ซม.) →</t>
        </is>
      </c>
      <c r="B2" s="283" t="n">
        <v>220</v>
      </c>
      <c r="E2" s="287">
        <f>ROUNDUP((B2+2*B3)/600,0)</f>
        <v/>
      </c>
      <c r="F2" s="287" t="inlineStr">
        <is>
          <t>N_วงกบ</t>
        </is>
      </c>
      <c r="J2" s="287" t="inlineStr">
        <is>
          <t>เทมเปอร์เขียว/ใส 6มม.</t>
        </is>
      </c>
      <c r="K2" s="324" t="n">
        <v>439</v>
      </c>
    </row>
    <row r="3" ht="15" customHeight="1" s="129">
      <c r="A3" s="287" t="inlineStr">
        <is>
          <t>สูงช่องปูน (ซม.) →</t>
        </is>
      </c>
      <c r="B3" s="283" t="n">
        <v>200</v>
      </c>
      <c r="E3" s="287">
        <f>IF(B4=1,ROUNDUP(2*(B2+B3)/600,0),ROUNDUP(2*(B2+B3)/600,0)+ROUNDUP(B3/600,0))</f>
        <v/>
      </c>
      <c r="F3" s="287" t="inlineStr">
        <is>
          <t>N_บาน</t>
        </is>
      </c>
      <c r="J3" s="287" t="inlineStr">
        <is>
          <t>เทมเปอร์ชาดำ 6มม.</t>
        </is>
      </c>
      <c r="K3" s="324" t="n">
        <v>1100</v>
      </c>
    </row>
    <row r="4" ht="15" customHeight="1" s="129">
      <c r="A4" s="287" t="inlineStr">
        <is>
          <t>จำนวนบาน →</t>
        </is>
      </c>
      <c r="B4" s="283" t="n">
        <v>1</v>
      </c>
      <c r="E4" s="287">
        <f>E3*2.886+E2*3.576</f>
        <v/>
      </c>
      <c r="F4" s="287" t="inlineStr">
        <is>
          <t>น้ำหนัก(กก.)</t>
        </is>
      </c>
      <c r="J4" s="287" t="inlineStr">
        <is>
          <t>เทมเปอร์ฟ้า 6มม.</t>
        </is>
      </c>
      <c r="K4" s="324" t="n">
        <v>900</v>
      </c>
    </row>
    <row r="5" ht="15" customHeight="1" s="129">
      <c r="A5" s="287" t="inlineStr">
        <is>
          <t>สีอลู →</t>
        </is>
      </c>
      <c r="B5" s="283" t="inlineStr">
        <is>
          <t>อบขาว/ดำ/เทา</t>
        </is>
      </c>
      <c r="E5" s="287">
        <f>IF(OR(B5="อบสีพิเศษ",B5="อบลายไม้พิเศษ"),2000,0)</f>
        <v/>
      </c>
      <c r="F5" s="287" t="inlineStr">
        <is>
          <t>ค่าอบสี</t>
        </is>
      </c>
      <c r="J5" s="287" t="inlineStr">
        <is>
          <t>เทมเปอร์ฝ้า 6มม.</t>
        </is>
      </c>
      <c r="K5" s="324" t="n">
        <v>1076</v>
      </c>
    </row>
    <row r="6" ht="15" customHeight="1" s="129">
      <c r="A6" s="287" t="inlineStr">
        <is>
          <t>มือจับคู่ →</t>
        </is>
      </c>
      <c r="B6" s="283" t="inlineStr">
        <is>
          <t>ไม่มี</t>
        </is>
      </c>
      <c r="J6" s="287" t="inlineStr">
        <is>
          <t>เทมเปอร์ยูโรเกรย์ 6มม.</t>
        </is>
      </c>
      <c r="K6" s="324" t="n">
        <v>1033</v>
      </c>
    </row>
    <row r="7" ht="15" customHeight="1" s="129">
      <c r="A7" s="287" t="inlineStr">
        <is>
          <t>ธรณี →</t>
        </is>
      </c>
      <c r="B7" s="283" t="inlineStr">
        <is>
          <t>ไม่มี</t>
        </is>
      </c>
      <c r="J7" s="287" t="inlineStr">
        <is>
          <t>เทมเปอร์ยูโรบรอนซ์ 6มม.</t>
        </is>
      </c>
      <c r="K7" s="324" t="n">
        <v>1291</v>
      </c>
    </row>
    <row r="8" ht="15" customHeight="1" s="129">
      <c r="A8" s="287" t="inlineStr">
        <is>
          <t>ชนิดกระจก →</t>
        </is>
      </c>
      <c r="B8" s="283" t="inlineStr">
        <is>
          <t>เทมเปอร์ใส 6มม.</t>
        </is>
      </c>
      <c r="J8" s="287" t="inlineStr">
        <is>
          <t>เทมเปอร์ใสพิเศษ 6มม.</t>
        </is>
      </c>
      <c r="K8" s="324" t="n">
        <v>1432</v>
      </c>
    </row>
    <row r="9" ht="15" customHeight="1" s="129">
      <c r="A9" s="287" t="inlineStr">
        <is>
          <t>ราคากระจก (บาท/ตร.ม.) =</t>
        </is>
      </c>
      <c r="B9" s="352">
        <f>IFERROR(INDEX(ราคาวัสดุกลาง!$I$2:$I$106,MATCH(B8,ราคาวัสดุกลาง!$H$2:$H$106,0)),0)</f>
        <v/>
      </c>
      <c r="J9" s="287" t="inlineStr">
        <is>
          <t>เทมเปอร์ Reflective เทา 6มม.</t>
        </is>
      </c>
      <c r="K9" s="324" t="n">
        <v>1937</v>
      </c>
    </row>
    <row r="10" ht="15" customHeight="1" s="129">
      <c r="A10" s="287" t="inlineStr">
        <is>
          <t>พื้นที่ (ตร.ม.) =</t>
        </is>
      </c>
      <c r="B10" s="287">
        <f>(B2/100)*(B3/100)</f>
        <v/>
      </c>
      <c r="J10" s="287" t="inlineStr">
        <is>
          <t>เทมเปอร์ Reflective เขียว 6มม.</t>
        </is>
      </c>
      <c r="K10" s="324" t="n">
        <v>2196</v>
      </c>
    </row>
    <row r="11" ht="15" customHeight="1" s="129">
      <c r="A11" s="287" t="inlineStr">
        <is>
          <t>บวกกำไร % →</t>
        </is>
      </c>
      <c r="B11" s="283" t="n">
        <v>100</v>
      </c>
      <c r="J11" s="287" t="inlineStr">
        <is>
          <t>เทมเปอร์ Reflective ฟ้า 6มม.</t>
        </is>
      </c>
      <c r="K11" s="324" t="n">
        <v>2368</v>
      </c>
    </row>
    <row r="12" ht="15" customHeight="1" s="129">
      <c r="A12" s="287" t="inlineStr">
        <is>
          <t>ราคาซิลิโคน/หลอด →</t>
        </is>
      </c>
      <c r="B12" s="283" t="n">
        <v>90</v>
      </c>
    </row>
    <row r="14" ht="15" customHeight="1" s="129">
      <c r="A14" s="339" t="inlineStr">
        <is>
          <t>วัสดุ</t>
        </is>
      </c>
      <c r="B14" s="339" t="inlineStr">
        <is>
          <t>จำนวน</t>
        </is>
      </c>
      <c r="C14" s="339" t="inlineStr">
        <is>
          <t>ราคา/หน่วย</t>
        </is>
      </c>
      <c r="D14" s="339" t="inlineStr">
        <is>
          <t>ทุน(บาท)</t>
        </is>
      </c>
      <c r="E14" s="339" t="inlineStr">
        <is>
          <t>หมายเหตุ</t>
        </is>
      </c>
    </row>
    <row r="15" ht="15" customHeight="1" s="129">
      <c r="A15" s="316" t="inlineStr">
        <is>
          <t>วงกบ 3 ด้าน (บน+ซ้าย+ขวา)</t>
        </is>
      </c>
      <c r="B15" s="316">
        <f>(IFERROR('Velora_ตัด'!E9*'Velora_ตัด'!F9,0)+IFERROR('Velora_ตัด'!E10*'Velora_ตัด'!F10,0))/600*buf_scrap</f>
        <v/>
      </c>
      <c r="C15" s="312">
        <f>768*mult_velora+(IF(B5="ไม่อบสี",0,IF(B5="อบขาว/ดำ/เทา",rate_grey,IF(B5="อบสีพิเศษ",rate_special,rate_woodbake))))*3.576</f>
        <v/>
      </c>
      <c r="D15" s="312">
        <f>B15*C15</f>
        <v/>
      </c>
      <c r="E15" s="316" t="inlineStr">
        <is>
          <t>ROUNDUP((W+2H)/600) เส้น</t>
        </is>
      </c>
    </row>
    <row r="16" ht="15" customHeight="1" s="129">
      <c r="A16" s="316" t="inlineStr">
        <is>
          <t>บาน (วิ่งรอบ 4 ด้าน)</t>
        </is>
      </c>
      <c r="B16" s="316">
        <f>(IFERROR('Velora_ตัด'!E11*'Velora_ตัด'!F11,0)+IFERROR('Velora_ตัด'!E12*'Velora_ตัด'!F12,0))/600*buf_scrap</f>
        <v/>
      </c>
      <c r="C16" s="312">
        <f>720*mult_velora+(IF(B5="ไม่อบสี",0,IF(B5="อบขาว/ดำ/เทา",rate_grey,IF(B5="อบสีพิเศษ",rate_special,rate_woodbake))))*2.886</f>
        <v/>
      </c>
      <c r="D16" s="312">
        <f>B16*C16</f>
        <v/>
      </c>
      <c r="E16" s="316" t="inlineStr">
        <is>
          <t>1ใบ=ROUNDUP(2(W+H)/600) · 2ใบ+1เสากลาง</t>
        </is>
      </c>
    </row>
    <row r="17" ht="15" customHeight="1" s="129">
      <c r="A17" s="316" t="inlineStr">
        <is>
          <t>ค่าเปิดตู้อบ</t>
        </is>
      </c>
      <c r="B17" s="316" t="n">
        <v>1</v>
      </c>
      <c r="C17" s="312">
        <f>E5</f>
        <v/>
      </c>
      <c r="D17" s="312">
        <f>B17*C17</f>
        <v/>
      </c>
      <c r="E17" s="316" t="inlineStr">
        <is>
          <t>ขาว/ดำ/เทา: ≤20กก.=3,000 / &gt;20กก.=×110 | พิเศษ=×130 | ลายไม้=×140</t>
        </is>
      </c>
    </row>
    <row r="18" ht="15" customHeight="1" s="129">
      <c r="A18" s="316" t="inlineStr">
        <is>
          <t>บานพับ (4 ตัว/บาน)</t>
        </is>
      </c>
      <c r="B18" s="316">
        <f>B4*4</f>
        <v/>
      </c>
      <c r="C18" s="312" t="n">
        <v>110</v>
      </c>
      <c r="D18" s="312">
        <f>B18*C18</f>
        <v/>
      </c>
      <c r="E18" s="316" t="inlineStr">
        <is>
          <t>4 ตัว/บาน × 110 บาท</t>
        </is>
      </c>
    </row>
    <row r="19" ht="15" customHeight="1" s="129">
      <c r="A19" s="316" t="inlineStr">
        <is>
          <t>มือจับ</t>
        </is>
      </c>
      <c r="B19" s="316">
        <f>1</f>
        <v/>
      </c>
      <c r="C19" s="312">
        <f>IF(B6="มี",900,450)</f>
        <v/>
      </c>
      <c r="D19" s="312">
        <f>B19*C19</f>
        <v/>
      </c>
      <c r="E19" s="316" t="inlineStr">
        <is>
          <t>เดี่ยว=450 | คู่=900</t>
        </is>
      </c>
    </row>
    <row r="20" ht="15" customHeight="1" s="129">
      <c r="A20" s="316" t="inlineStr">
        <is>
          <t>ธรณี (ไม่คิดเงิน)</t>
        </is>
      </c>
      <c r="B20" s="316">
        <f>IF(B7="มี",ROUNDUP(B2/600,0),0)</f>
        <v/>
      </c>
      <c r="C20" s="312" t="n">
        <v>0</v>
      </c>
      <c r="D20" s="312">
        <f>B20*C20</f>
        <v/>
      </c>
      <c r="E20" s="316" t="inlineStr">
        <is>
          <t>มีหรือไม่มีราคาเท่ากัน</t>
        </is>
      </c>
    </row>
    <row r="21" ht="15" customHeight="1" s="129">
      <c r="A21" s="316" t="inlineStr">
        <is>
          <t>กระจก (ตร.ม.)</t>
        </is>
      </c>
      <c r="B21" s="316">
        <f>B10</f>
        <v/>
      </c>
      <c r="C21" s="312">
        <f>B9</f>
        <v/>
      </c>
      <c r="D21" s="312">
        <f>B21*C21</f>
        <v/>
      </c>
    </row>
    <row r="22" ht="15" customHeight="1" s="129">
      <c r="A22" s="316" t="inlineStr">
        <is>
          <t>ซิลิโคน (หลอด)</t>
        </is>
      </c>
      <c r="B22" s="316">
        <f>ROUNDUP(2*(B2+B3)/100*2/12.5,0)</f>
        <v/>
      </c>
      <c r="C22" s="312">
        <f>B12</f>
        <v/>
      </c>
      <c r="D22" s="312">
        <f>B22*C22</f>
        <v/>
      </c>
    </row>
    <row r="24" ht="15" customHeight="1" s="129">
      <c r="A24" s="331" t="inlineStr">
        <is>
          <t>ทุนรวม</t>
        </is>
      </c>
      <c r="D24" s="332">
        <f>SUM(D15:D22)+D42+D43+D44+D45</f>
        <v/>
      </c>
    </row>
    <row r="25" ht="15" customHeight="1" s="129">
      <c r="A25" s="331" t="inlineStr">
        <is>
          <t>ทุน/ตร.ม.</t>
        </is>
      </c>
      <c r="D25" s="332">
        <f>IF(B10&gt;0,D24/B10,0)</f>
        <v/>
      </c>
    </row>
    <row r="26" ht="15" customHeight="1" s="129">
      <c r="A26" s="331" t="inlineStr">
        <is>
          <t>ราคาขาย/ตร.ม. (markup%)</t>
        </is>
      </c>
      <c r="D26" s="284">
        <f>ROUNDUP(D25*(1+B11/100)/100,0)*100</f>
        <v/>
      </c>
    </row>
    <row r="27" ht="15" customHeight="1" s="129">
      <c r="A27" s="331" t="inlineStr">
        <is>
          <t>ราคาขายรวม/ชุด</t>
        </is>
      </c>
      <c r="D27" s="284">
        <f>B10*D26</f>
        <v/>
      </c>
    </row>
    <row r="28" ht="15" customHeight="1" s="129">
      <c r="A28" s="331" t="inlineStr">
        <is>
          <t>%กำไรจริง (บนทุน)</t>
        </is>
      </c>
      <c r="D28" s="285">
        <f>(D27-D24)/D24</f>
        <v/>
      </c>
    </row>
    <row r="29" ht="15" customHeight="1" s="129">
      <c r="A29" s="316" t="inlineStr">
        <is>
          <t>น้ำหนักรวม (กก.) =</t>
        </is>
      </c>
      <c r="D29" s="312">
        <f>E4</f>
        <v/>
      </c>
    </row>
    <row r="31">
      <c r="A31" s="276" t="inlineStr">
        <is>
          <t>— ผูกค่าแรง (ราคาขายรวมค่าแรง) —</t>
        </is>
      </c>
    </row>
    <row r="32">
      <c r="A32" s="324" t="inlineStr">
        <is>
          <t>ค่าแรงผลิต (จากชีทค่าแรง)</t>
        </is>
      </c>
      <c r="D32" s="277">
        <f>MAX(0,VLOOKUP("Velora",'ค่าแรง'!$A$12:$E$27,2,0)+VLOOKUP("Velora",'ค่าแรง'!$A$12:$E$27,3,0)*B10)</f>
        <v/>
      </c>
    </row>
    <row r="33">
      <c r="A33" s="324" t="inlineStr">
        <is>
          <t>ค่าแรงติดตั้ง (จากชีทค่าแรง)</t>
        </is>
      </c>
      <c r="D33" s="277">
        <f>MAX(0,VLOOKUP("Velora",'ค่าแรง'!$A$12:$E$27,4,0)+VLOOKUP("Velora",'ค่าแรง'!$A$12:$E$27,5,0)*B10)</f>
        <v/>
      </c>
    </row>
    <row r="34">
      <c r="A34" s="324" t="inlineStr">
        <is>
          <t>กำไรติดตั้ง % →</t>
        </is>
      </c>
      <c r="B34" s="278" t="n">
        <v>100</v>
      </c>
    </row>
    <row r="35">
      <c r="A35" s="276" t="inlineStr">
        <is>
          <t>ราคาขาย ผลิตอย่างเดียว</t>
        </is>
      </c>
      <c r="D35" s="279">
        <f>ROUNDUP((D24+D32+D46)*(1+B11/100)/100,0)*100</f>
        <v/>
      </c>
    </row>
    <row r="36">
      <c r="A36" s="276" t="inlineStr">
        <is>
          <t>ราคาขาย ผลิต+ติดตั้ง</t>
        </is>
      </c>
      <c r="D36" s="279">
        <f>D35+ROUNDUP((D33+D47)*(1+B34/100)/100,0)*100</f>
        <v/>
      </c>
    </row>
    <row r="37">
      <c r="A37" s="276" t="inlineStr">
        <is>
          <t>%กำไรจริง (ผลิต+ติดตั้ง)</t>
        </is>
      </c>
      <c r="D37" s="280">
        <f>(D36-(D24+D32+D33+D46+D47))/(D24+D32+D33+D46+D47)</f>
        <v/>
      </c>
    </row>
    <row r="39">
      <c r="A39" s="532" t="inlineStr">
        <is>
          <t>— มุ้ง (ออปชั่น) — บวกเข้าทุน —</t>
        </is>
      </c>
    </row>
    <row r="40">
      <c r="A40" s="276" t="inlineStr">
        <is>
          <t>เลือกมุ้ง →</t>
        </is>
      </c>
      <c r="B40" s="594" t="inlineStr">
        <is>
          <t>ไม่มีมุ้ง</t>
        </is>
      </c>
      <c r="C40" s="595">
        <f>IF(B40="ไม่มีมุ้ง","—",IF(H41=1,"✓ ใช้ได้","⚠ ใช้กับบานนี้ไม่ได้(ทุน=0)"))</f>
        <v/>
      </c>
      <c r="D40" s="595">
        <f>IF(B40="ไม่มีมุ้ง","",H46&amp;" บาน")</f>
        <v/>
      </c>
      <c r="H40" s="596">
        <f>IFERROR(VLOOKUP(B40,ราคามุ้ง!$A$2:$O$15,3,0),"")</f>
        <v/>
      </c>
    </row>
    <row r="41">
      <c r="A41" s="387" t="inlineStr">
        <is>
          <t>ชนิดผ้า / สี →</t>
        </is>
      </c>
      <c r="B41" s="594" t="inlineStr">
        <is>
          <t>ไฟเบอร์</t>
        </is>
      </c>
      <c r="C41" s="594" t="inlineStr">
        <is>
          <t>เทา</t>
        </is>
      </c>
      <c r="H41" s="596">
        <f>IF(B40="ไม่มีมุ้ง",0,IF(OR(IFERROR(VLOOKUP(B40,ราคามุ้ง!$A$2:$O$15,4,0),"ALL")="ALL",ISNUMBER(SEARCH("Velora",IFERROR(VLOOKUP(B40,ราคามุ้ง!$A$2:$O$15,4,0),"")))),1,0))</f>
        <v/>
      </c>
    </row>
    <row r="42">
      <c r="A42" s="387" t="inlineStr">
        <is>
          <t>› เสา (เส้น 6ม.)</t>
        </is>
      </c>
      <c r="B42" s="597">
        <f>IF(AND(H41=1,H42=1),ROUND(H46*2*H45/6,2),0)</f>
        <v/>
      </c>
      <c r="C42" s="598">
        <f>IF(B40="มุ้งเฟรมเล็ก",'ราคามุ้ง'!$B$19,IF(B40="มุ้งเฟรมใหญ่",0,IF(B40="มุ้งนิรภัย",'ราคามุ้ง'!$B$21,0)))</f>
        <v/>
      </c>
      <c r="D42" s="599">
        <f>ROUND(B42*C42,0)</f>
        <v/>
      </c>
      <c r="H42" s="596">
        <f>IF(OR(B40="มุ้งเฟรมเล็ก",B40="มุ้งเฟรมใหญ่",B40="มุ้งนิรภัย"),1,0)</f>
        <v/>
      </c>
    </row>
    <row r="43">
      <c r="A43" s="387" t="inlineStr">
        <is>
          <t>› ขวาง (เส้น 6ม.)</t>
        </is>
      </c>
      <c r="B43" s="600">
        <f>IF(AND(H41=1,H42=1),ROUND(H46*2*H44/6,2),0)</f>
        <v/>
      </c>
      <c r="C43" s="598">
        <f>IF(B40="มุ้งเฟรมเล็ก",'ราคามุ้ง'!$B$19,IF(B40="มุ้งเฟรมใหญ่",0,IF(B40="มุ้งนิรภัย",'ราคามุ้ง'!$B$21,0)))</f>
        <v/>
      </c>
      <c r="D43" s="598">
        <f>ROUND(B43*C43,0)</f>
        <v/>
      </c>
      <c r="H43" s="596">
        <f>IFERROR(VLOOKUP(B41,ราคามุ้ง!$I$2:$J$5,2,0),0)</f>
        <v/>
      </c>
    </row>
    <row r="44">
      <c r="A44" s="276" t="inlineStr">
        <is>
          <t>› ยางอัด (ม.)</t>
        </is>
      </c>
      <c r="B44" s="601">
        <f>IF(AND(H41=1,H42=1),ROUND(H46*2*(H44+H45),2),0)</f>
        <v/>
      </c>
      <c r="C44" s="598">
        <f>'ราคามุ้ง'!$D$19</f>
        <v/>
      </c>
      <c r="D44" s="599">
        <f>ROUND(B44*C44,0)</f>
        <v/>
      </c>
      <c r="H44" s="602">
        <f>IF(B4&gt;0,B2/(B4*100),0)</f>
        <v/>
      </c>
    </row>
    <row r="45">
      <c r="A45" s="276" t="inlineStr">
        <is>
          <t>› ผ้า / มุ้งสำเร็จ</t>
        </is>
      </c>
      <c r="B45" s="601">
        <f>IF(H41=0,0,ROUND(H46*H44*H45,2))</f>
        <v/>
      </c>
      <c r="C45" s="598">
        <f>IF(B40="มุ้งนิรภัย",650,IF(OR(B40="มุ้งเฟรมเล็ก",B40="มุ้งเฟรมใหญ่"),H43,IF(H40="ซื้อสำเร็จ",IFERROR(VLOOKUP(B40,ราคามุ้ง!$A$2:$O$15,2,0),0),0)))</f>
        <v/>
      </c>
      <c r="D45" s="599">
        <f>ROUND(B45*C45,0)</f>
        <v/>
      </c>
      <c r="H45" s="601">
        <f>B3/100</f>
        <v/>
      </c>
    </row>
    <row r="46">
      <c r="A46" s="276" t="inlineStr">
        <is>
          <t>› ค่าแรงผลิตมุ้ง</t>
        </is>
      </c>
      <c r="D46" s="599">
        <f>IF(H41=0,0,ROUND(H46*(VLOOKUP(B40,ราคามุ้ง!$A$2:$O$15,12,0)+VLOOKUP(B40,ราคามุ้ง!$A$2:$O$15,13,0)*H44*H45),0))</f>
        <v/>
      </c>
      <c r="H46" s="595">
        <f>B4</f>
        <v/>
      </c>
    </row>
    <row r="47">
      <c r="A47" s="595" t="inlineStr">
        <is>
          <t>› ค่าแรงติดตั้งมุ้ง</t>
        </is>
      </c>
      <c r="D47" s="598">
        <f>IF(H41=0,0,ROUND(H46*(VLOOKUP(B40,ราคามุ้ง!$A$2:$O$15,14,0)+VLOOKUP(B40,ราคามุ้ง!$A$2:$O$15,15,0)*H44*H45),0))</f>
        <v/>
      </c>
    </row>
    <row r="48">
      <c r="A48" s="663" t="inlineStr">
        <is>
          <t>รวมราคามุ้ง (บวกเข้าทุนแล้ว)</t>
        </is>
      </c>
      <c r="D48" s="664">
        <f>SUM(D42:D47)</f>
        <v/>
      </c>
    </row>
    <row r="49">
      <c r="A49" s="745" t="n"/>
      <c r="B49" s="745" t="n"/>
      <c r="C49" s="745" t="n"/>
      <c r="D49" s="745" t="n"/>
      <c r="E49" s="745" t="n"/>
      <c r="F49" s="745" t="n"/>
      <c r="G49" s="745" t="n"/>
      <c r="H49" s="745" t="n"/>
      <c r="I49" s="745" t="n"/>
      <c r="J49" s="745" t="n"/>
      <c r="K49" s="745" t="n"/>
    </row>
    <row r="50">
      <c r="A50" s="746" t="n"/>
      <c r="B50" s="745" t="n"/>
      <c r="C50" s="745" t="n"/>
      <c r="D50" s="745" t="n"/>
      <c r="E50" s="745" t="n"/>
      <c r="F50" s="745" t="n"/>
      <c r="G50" s="745" t="n"/>
      <c r="H50" s="745" t="n"/>
      <c r="I50" s="745" t="n"/>
      <c r="J50" s="745" t="n"/>
      <c r="K50" s="745" t="n"/>
    </row>
    <row r="51">
      <c r="A51" s="747" t="n"/>
      <c r="B51" s="748" t="n"/>
      <c r="C51" s="745" t="n"/>
      <c r="D51" s="745" t="n"/>
      <c r="E51" s="745" t="n"/>
      <c r="F51" s="745" t="n"/>
      <c r="G51" s="745" t="n"/>
      <c r="H51" s="745" t="n"/>
      <c r="I51" s="745" t="n"/>
      <c r="J51" s="745" t="n"/>
      <c r="K51" s="745" t="n"/>
    </row>
    <row r="52">
      <c r="A52" s="747" t="n"/>
      <c r="B52" s="748" t="n"/>
      <c r="C52" s="745" t="n"/>
      <c r="D52" s="745" t="n"/>
      <c r="E52" s="745" t="n"/>
      <c r="F52" s="745" t="n"/>
      <c r="G52" s="745" t="n"/>
      <c r="H52" s="745" t="n"/>
      <c r="I52" s="745" t="n"/>
      <c r="J52" s="745" t="n"/>
      <c r="K52" s="745" t="n"/>
    </row>
    <row r="53">
      <c r="A53" s="747" t="n"/>
      <c r="B53" s="748" t="n"/>
      <c r="C53" s="745" t="n"/>
      <c r="D53" s="745" t="n"/>
      <c r="E53" s="745" t="n"/>
      <c r="F53" s="745" t="n"/>
      <c r="G53" s="745" t="n"/>
      <c r="H53" s="745" t="n"/>
      <c r="I53" s="745" t="n"/>
      <c r="J53" s="745" t="n"/>
      <c r="K53" s="745" t="n"/>
    </row>
    <row r="54">
      <c r="A54" s="747" t="n"/>
      <c r="B54" s="749" t="n"/>
      <c r="C54" s="745" t="n"/>
      <c r="D54" s="745" t="n"/>
      <c r="E54" s="745" t="n"/>
      <c r="F54" s="745" t="n"/>
      <c r="G54" s="745" t="n"/>
      <c r="H54" s="745" t="n"/>
      <c r="I54" s="745" t="n"/>
      <c r="J54" s="745" t="n"/>
      <c r="K54" s="745" t="n"/>
    </row>
    <row r="55">
      <c r="A55" s="745" t="n"/>
      <c r="B55" s="745" t="n"/>
      <c r="C55" s="745" t="n"/>
      <c r="D55" s="745" t="n"/>
      <c r="E55" s="745" t="n"/>
      <c r="F55" s="745" t="n"/>
      <c r="G55" s="745" t="n"/>
      <c r="H55" s="745" t="n"/>
      <c r="I55" s="745" t="n"/>
      <c r="J55" s="745" t="n"/>
      <c r="K55" s="745" t="n"/>
    </row>
    <row r="56">
      <c r="A56" s="738" t="inlineStr">
        <is>
          <t>🔍 แยกก้อนต้นทุน</t>
        </is>
      </c>
    </row>
    <row r="57">
      <c r="A57" s="739" t="inlineStr">
        <is>
          <t>ทุนอลู (×ราคา/กก.)</t>
        </is>
      </c>
      <c r="B57" s="740">
        <f>D15+D16</f>
        <v/>
      </c>
    </row>
    <row r="58">
      <c r="A58" s="741" t="inlineStr">
        <is>
          <t>ทุนกระจก</t>
        </is>
      </c>
      <c r="B58" s="742">
        <f>D21</f>
        <v/>
      </c>
    </row>
    <row r="59">
      <c r="A59" s="741" t="inlineStr">
        <is>
          <t>ทุนอุปกรณ์+ซิลิโคน</t>
        </is>
      </c>
      <c r="B59" s="742">
        <f>D17+D18+D19+D20+D22</f>
        <v/>
      </c>
    </row>
    <row r="60">
      <c r="A60" s="741" t="inlineStr">
        <is>
          <t>รวมวัสดุ</t>
        </is>
      </c>
      <c r="B60" s="743">
        <f>B57+B58+B59</f>
        <v/>
      </c>
    </row>
  </sheetData>
  <mergeCells count="1">
    <mergeCell ref="A1:F1"/>
  </mergeCells>
  <dataValidations count="7">
    <dataValidation sqref="B4" showDropDown="0" showInputMessage="0" showErrorMessage="0" allowBlank="0" type="list" errorStyle="stop" operator="between">
      <formula1>"1,2"</formula1>
      <formula2>0</formula2>
    </dataValidation>
    <dataValidation sqref="B6:B7" showDropDown="0" showInputMessage="0" showErrorMessage="0" allowBlank="0" type="list" errorStyle="stop" operator="between">
      <formula1>"ไม่มี,มี"</formula1>
      <formula2>0</formula2>
    </dataValidation>
    <dataValidation sqref="B8" showDropDown="0" showInputMessage="0" showErrorMessage="0" allowBlank="1" type="list">
      <formula1>SlimLuxGlass</formula1>
    </dataValidation>
    <dataValidation sqref="B5" showDropDown="0" showInputMessage="0" showErrorMessage="0" allowBlank="0" type="list">
      <formula1>"ไม่อบสี,อบขาว/ดำ/เทา,อบสีพิเศษ,อบลายไม้พิเศษ"</formula1>
    </dataValidation>
    <dataValidation sqref="B40" showDropDown="0" showInputMessage="0" showErrorMessage="0" allowBlank="1" type="list">
      <formula1>MungList</formula1>
    </dataValidation>
    <dataValidation sqref="B41" showDropDown="0" showInputMessage="0" showErrorMessage="0" allowBlank="1" type="list">
      <formula1>ClothList</formula1>
    </dataValidation>
    <dataValidation sqref="C41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0.7" customWidth="1" style="140" min="2" max="2"/>
    <col width="24" customWidth="1" style="140" min="3" max="3"/>
    <col width="24" customWidth="1" style="140" min="4" max="4"/>
    <col width="24" customWidth="1" style="140" min="5" max="5"/>
    <col width="7.5" customWidth="1" style="129" min="6" max="6"/>
    <col width="8.6" customWidth="1" style="129" min="7" max="7"/>
    <col width="4.5" customWidth="1" style="129" min="8" max="8"/>
  </cols>
  <sheetData>
    <row r="1" ht="24" customHeight="1" s="129">
      <c r="A1" s="286" t="inlineStr">
        <is>
          <t>คิดทุนบานเลื่อน E-series (aluinch) — นับเส้นเต็ม 6.4ม. | ไม่มีมือจับ</t>
        </is>
      </c>
      <c r="G1" s="753" t="inlineStr">
        <is>
          <t>🏠 สารบัญ</t>
        </is>
      </c>
      <c r="H1" s="754" t="n"/>
    </row>
    <row r="2" ht="15" customHeight="1" s="129">
      <c r="A2" s="287" t="inlineStr">
        <is>
          <t>กว้างรวม (ซม.) →</t>
        </is>
      </c>
      <c r="B2" s="283" t="n">
        <v>600</v>
      </c>
      <c r="E2" s="287" t="inlineStr">
        <is>
          <t>เลื่อน(ล้อ)=</t>
        </is>
      </c>
      <c r="F2" s="287">
        <f>IF(B5="อิสระ",B4,IF(B5="ลากจูง",B4-1,B4-2))</f>
        <v/>
      </c>
    </row>
    <row r="3" ht="15" customHeight="1" s="129">
      <c r="A3" s="287" t="inlineStr">
        <is>
          <t>สูง (ซม.) →</t>
        </is>
      </c>
      <c r="B3" s="283" t="n">
        <v>300</v>
      </c>
      <c r="E3" s="287" t="inlineStr">
        <is>
          <t>เสากุญแจ=</t>
        </is>
      </c>
      <c r="F3" s="287">
        <f>IF(B5="เปิดคู่กลาง",4,2)</f>
        <v/>
      </c>
    </row>
    <row r="4" ht="15" customHeight="1" s="129">
      <c r="A4" s="287" t="inlineStr">
        <is>
          <t>จำนวนบาน →</t>
        </is>
      </c>
      <c r="B4" s="283" t="n">
        <v>3</v>
      </c>
      <c r="E4" s="287" t="inlineStr">
        <is>
          <t>รอยต่อ=</t>
        </is>
      </c>
      <c r="F4" s="287">
        <f>IF(B5="เปิดคู่กลาง",B4-2,B4-1)</f>
        <v/>
      </c>
    </row>
    <row r="5" ht="15" customHeight="1" s="129">
      <c r="A5" s="287" t="inlineStr">
        <is>
          <t>รูปแบบ →</t>
        </is>
      </c>
      <c r="B5" s="283" t="inlineStr">
        <is>
          <t>อิสระ</t>
        </is>
      </c>
      <c r="E5" s="287" t="inlineStr">
        <is>
          <t>ราคา/กก.=</t>
        </is>
      </c>
      <c r="F5" s="287" t="n"/>
    </row>
    <row r="6" ht="15" customHeight="1" s="129">
      <c r="A6" s="287" t="inlineStr">
        <is>
          <t>สี →</t>
        </is>
      </c>
      <c r="B6" s="283" t="inlineStr">
        <is>
          <t>สีอบขาว/ดำ</t>
        </is>
      </c>
      <c r="E6" s="287" t="inlineStr">
        <is>
          <t>รางล่าง →</t>
        </is>
      </c>
      <c r="F6" s="283" t="inlineStr">
        <is>
          <t>ภายนอก</t>
        </is>
      </c>
    </row>
    <row r="7" ht="15" customHeight="1" s="129">
      <c r="A7" s="287" t="inlineStr">
        <is>
          <t>กระจก →</t>
        </is>
      </c>
      <c r="B7" s="283" t="inlineStr">
        <is>
          <t>เขียว 6มม.</t>
        </is>
      </c>
      <c r="C7" s="287">
        <f>INDEX(ราคาวัสดุกลาง!$I$2:$I$106,MATCH(B7,ราคาวัสดุกลาง!$H$2:$H$106,0))</f>
        <v/>
      </c>
      <c r="D7" s="287" t="inlineStr">
        <is>
          <t>← ราคากระจก/ตร.ม. (อัตโนมัติ)</t>
        </is>
      </c>
    </row>
    <row r="8" ht="15" customHeight="1" s="129">
      <c r="A8" s="287" t="inlineStr">
        <is>
          <t>ล็อคก้นหอย (ตัว) →</t>
        </is>
      </c>
      <c r="B8" s="283" t="n">
        <v>2</v>
      </c>
      <c r="C8" s="287" t="inlineStr">
        <is>
          <t>← กรอกจำนวนเอง (default 2)</t>
        </is>
      </c>
    </row>
    <row r="9" ht="15" customHeight="1" s="129">
      <c r="A9" s="287" t="inlineStr">
        <is>
          <t>บวกกำไร % → (1 = 100%)</t>
        </is>
      </c>
      <c r="B9" s="283" t="n">
        <v>100</v>
      </c>
    </row>
    <row r="10" ht="15" customHeight="1" s="129">
      <c r="A10" s="287" t="inlineStr">
        <is>
          <t>ราคาซิลิโคน/หลอด →</t>
        </is>
      </c>
      <c r="B10" s="283" t="n">
        <v>90</v>
      </c>
    </row>
    <row r="11" ht="15" customHeight="1" s="129">
      <c r="A11" s="287" t="inlineStr">
        <is>
          <t>พื้นที่ (ตร.ม.) =</t>
        </is>
      </c>
      <c r="B11" s="287">
        <f>(B2/100)*(B3/100)</f>
        <v/>
      </c>
    </row>
    <row r="12" ht="15" customHeight="1" s="129">
      <c r="A12" s="339" t="inlineStr">
        <is>
          <t>วัสดุ</t>
        </is>
      </c>
      <c r="B12" s="339" t="inlineStr">
        <is>
          <t>จำนวน</t>
        </is>
      </c>
      <c r="C12" s="339" t="inlineStr">
        <is>
          <t>ราคา/หน่วย</t>
        </is>
      </c>
      <c r="D12" s="339" t="inlineStr">
        <is>
          <t>ทุน(บาท)</t>
        </is>
      </c>
      <c r="E12" s="339" t="inlineStr">
        <is>
          <t>หมายเหตุ</t>
        </is>
      </c>
    </row>
    <row r="13" ht="15" customHeight="1" s="129">
      <c r="A13" s="316" t="inlineStr">
        <is>
          <t>เฟรมบน E-01</t>
        </is>
      </c>
      <c r="B13" s="316">
        <f>((1)*((B2/100))/6.4)*buf_scrap</f>
        <v/>
      </c>
      <c r="C13" s="312">
        <f>IF(B6="สีอบขาว/ดำ",2235,IF(OR(B6="เทาซาฮาร่า",B6="สีดำซาฮาร่า"),2235+rate_grey*12.41667,2235+IF(B6="สีอบพิเศษ",rate_special,rate_woodbake)*12.41667))</f>
        <v/>
      </c>
      <c r="D13" s="312">
        <f>B13*C13*mult_sms</f>
        <v/>
      </c>
      <c r="E13" s="316" t="inlineStr">
        <is>
          <t>1 เส้น × กว้าง</t>
        </is>
      </c>
    </row>
    <row r="14" ht="15" customHeight="1" s="129">
      <c r="A14" s="316" t="inlineStr">
        <is>
          <t>เฟรมล่างกันน้ำ E-03</t>
        </is>
      </c>
      <c r="B14" s="316">
        <f>((1)*((B2/100))/6.4)*buf_scrap</f>
        <v/>
      </c>
      <c r="C14" s="312">
        <f>IF(B6="สีอบขาว/ดำ",IF($F$6="ภายใน",825,2152),IF(OR(B6="เทาซาฮาร่า",B6="สีดำซาฮาร่า"),IF($F$6="ภายใน",825,2152)+rate_grey*IF($F$6="ภายใน",4.58333,11.95556),IF($F$6="ภายใน",825,2152)+IF(B6="สีอบพิเศษ",rate_special,rate_woodbake)*IF($F$6="ภายใน",4.58333,11.95556)))</f>
        <v/>
      </c>
      <c r="D14" s="312">
        <f>B14*C14*mult_sms</f>
        <v/>
      </c>
      <c r="E14" s="316" t="inlineStr">
        <is>
          <t>1 เส้น × กว้าง</t>
        </is>
      </c>
    </row>
    <row r="15" ht="15" customHeight="1" s="129">
      <c r="A15" s="316" t="inlineStr">
        <is>
          <t>เฟรมข้าง E-02C</t>
        </is>
      </c>
      <c r="B15" s="316">
        <f>((2)*((B3/100))/6.4)*buf_scrap</f>
        <v/>
      </c>
      <c r="C15" s="312">
        <f>IF(B6="สีอบขาว/ดำ",1995,IF(OR(B6="เทาซาฮาร่า",B6="สีดำซาฮาร่า"),1995+rate_grey*11.08333,1995+IF(B6="สีอบพิเศษ",rate_special,rate_woodbake)*11.08333))</f>
        <v/>
      </c>
      <c r="D15" s="312">
        <f>B15*C15*mult_sms</f>
        <v/>
      </c>
      <c r="E15" s="316" t="inlineStr">
        <is>
          <t>2 เส้น × สูง</t>
        </is>
      </c>
    </row>
    <row r="16" ht="15" customHeight="1" s="129">
      <c r="A16" s="316" t="inlineStr">
        <is>
          <t>ถาดลองน้ำ E-03B</t>
        </is>
      </c>
      <c r="B16" s="316">
        <f>IF(F6="ภายใน",0,IF(FLOOR(6.4/(B2/100),1)&gt;=1,ROUNDUP((1)/FLOOR(6.4/(B2/100),1),0),((B2/100)/6.4)*buf_scrap*(1)))</f>
        <v/>
      </c>
      <c r="C16" s="312">
        <f>IF(B6="สีอบขาว/ดำ",742,IF(OR(B6="เทาซาฮาร่า",B6="สีดำซาฮาร่า"),742+rate_grey*4.12222,742+IF(B6="สีอบพิเศษ",rate_special,rate_woodbake)*4.12222))</f>
        <v/>
      </c>
      <c r="D16" s="312">
        <f>B16*C16*mult_sms</f>
        <v/>
      </c>
      <c r="E16" s="316" t="inlineStr">
        <is>
          <t>ใต้เฟรมล่าง = เท่าเฟรมล่าง</t>
        </is>
      </c>
    </row>
    <row r="17" ht="15" customHeight="1" s="129">
      <c r="A17" s="316" t="inlineStr">
        <is>
          <t>เสากุญแจสลิม E-04e</t>
        </is>
      </c>
      <c r="B17" s="316">
        <f>(($F$3)*((B3/100))/6.4)*buf_scrap</f>
        <v/>
      </c>
      <c r="C17" s="312">
        <f>IF(B6="สีอบขาว/ดำ",1080,IF(OR(B6="เทาซาฮาร่า",B6="สีดำซาฮาร่า"),1080+rate_grey*6.0,1080+IF(B6="สีอบพิเศษ",rate_special,rate_woodbake)*6.0))</f>
        <v/>
      </c>
      <c r="D17" s="312">
        <f>B17*C17*mult_sms</f>
        <v/>
      </c>
      <c r="E17" s="316" t="inlineStr">
        <is>
          <t>เสากุญแจ × สูง (ไม่ใส่มือจับ)</t>
        </is>
      </c>
    </row>
    <row r="18" ht="15" customHeight="1" s="129">
      <c r="A18" s="316" t="inlineStr">
        <is>
          <t>เสาเกี่ยวสลิม E-05e</t>
        </is>
      </c>
      <c r="B18" s="316">
        <f>((2*$F$4)*((B3/100))/6.4)*buf_scrap</f>
        <v/>
      </c>
      <c r="C18" s="312">
        <f>IF(B6="สีอบขาว/ดำ",1072,IF(OR(B6="เทาซาฮาร่า",B6="สีดำซาฮาร่า"),1072+rate_grey*5.95556,1072+IF(B6="สีอบพิเศษ",rate_special,rate_woodbake)*5.95556))</f>
        <v/>
      </c>
      <c r="D18" s="312">
        <f>B18*C18*mult_sms</f>
        <v/>
      </c>
      <c r="E18" s="316" t="inlineStr">
        <is>
          <t>2 ต้น/รอยต่อ × สูง</t>
        </is>
      </c>
    </row>
    <row r="19" ht="15" customHeight="1" s="129">
      <c r="A19" s="316" t="inlineStr">
        <is>
          <t>ขวางบน/ล่าง E-07e</t>
        </is>
      </c>
      <c r="B19" s="316">
        <f>((2*B4)*(((B2/100)/B4))/6.4)*buf_scrap</f>
        <v/>
      </c>
      <c r="C19" s="312">
        <f>IF(B6="สีอบขาว/ดำ",1162,IF(OR(B6="เทาซาฮาร่า",B6="สีดำซาฮาร่า"),1162+rate_grey*6.45556,1162+IF(B6="สีอบพิเศษ",rate_special,rate_woodbake)*6.45556))</f>
        <v/>
      </c>
      <c r="D19" s="312">
        <f>B19*C19*mult_sms</f>
        <v/>
      </c>
      <c r="E19" s="316" t="inlineStr">
        <is>
          <t>2 × บาน × กว้างบาน</t>
        </is>
      </c>
    </row>
    <row r="20" ht="15" customHeight="1" s="129">
      <c r="A20" s="316" t="inlineStr">
        <is>
          <t>ตบปิดเฟรมบน E-01A</t>
        </is>
      </c>
      <c r="B20" s="316">
        <f>IF(AND(B5="อิสระ",B4=3),0,IF(B2&gt;300,2,1))</f>
        <v/>
      </c>
      <c r="C20" s="312">
        <f>IF(B6="สีอบขาว/ดำ",270,IF(OR(B6="เทาซาฮาร่า",B6="สีดำซาฮาร่า"),270+rate_grey*1.5,270+IF(B6="สีอบพิเศษ",rate_special,rate_woodbake)*1.5))</f>
        <v/>
      </c>
      <c r="D20" s="312">
        <f>B20*C20*mult_sms</f>
        <v/>
      </c>
      <c r="E20" s="316" t="inlineStr">
        <is>
          <t>อิสระ3บาน → 0 · อื่นๆ: กว้าง&gt;300?2:1</t>
        </is>
      </c>
      <c r="F20" s="428" t="n"/>
    </row>
    <row r="21" ht="15" customHeight="1" s="129">
      <c r="A21" s="316" t="inlineStr">
        <is>
          <t>ตบธรณีเฟรมล่าง E-03C</t>
        </is>
      </c>
      <c r="B21" s="316">
        <f>B20</f>
        <v/>
      </c>
      <c r="C21" s="312">
        <f>IF(B6="สีอบขาว/ดำ",450,IF(OR(B6="เทาซาฮาร่า",B6="สีดำซาฮาร่า"),450+rate_grey*2.5,450+IF(B6="สีอบพิเศษ",rate_special,rate_woodbake)*2.5))</f>
        <v/>
      </c>
      <c r="D21" s="312">
        <f>B21*C21*mult_sms</f>
        <v/>
      </c>
      <c r="E21" s="312" t="inlineStr">
        <is>
          <t>เท่าตบปิดเฟรมบน</t>
        </is>
      </c>
    </row>
    <row r="22" ht="15" customHeight="1" s="129">
      <c r="A22" s="316" t="inlineStr">
        <is>
          <t>กระจก (ตร.ม.)</t>
        </is>
      </c>
      <c r="B22" s="316">
        <f>((B2/100)+(B4-1)*0.1)*(B3/100)</f>
        <v/>
      </c>
      <c r="C22" s="312">
        <f>C7</f>
        <v/>
      </c>
      <c r="D22" s="312">
        <f>B22*C22</f>
        <v/>
      </c>
      <c r="E22" s="316" t="inlineStr">
        <is>
          <t>กว้าง+ซ้อนเกย × สูง</t>
        </is>
      </c>
    </row>
    <row r="23" ht="15" customHeight="1" s="129">
      <c r="A23" s="316" t="inlineStr">
        <is>
          <t>ล้อ ehr-80 (2/บานเลื่อน)</t>
        </is>
      </c>
      <c r="B23" s="316">
        <f>2*$F$2</f>
        <v/>
      </c>
      <c r="C23" s="312" t="n">
        <v>135</v>
      </c>
      <c r="D23" s="312">
        <f>B23*C23</f>
        <v/>
      </c>
    </row>
    <row r="24" ht="15" customHeight="1" s="129">
      <c r="A24" s="316" t="inlineStr">
        <is>
          <t>ล็อคก้นหอย</t>
        </is>
      </c>
      <c r="B24" s="316">
        <f>B8</f>
        <v/>
      </c>
      <c r="C24" s="312" t="n">
        <v>100</v>
      </c>
      <c r="D24" s="312">
        <f>B24*C24</f>
        <v/>
      </c>
    </row>
    <row r="25" ht="15" customHeight="1" s="129">
      <c r="A25" s="316" t="inlineStr">
        <is>
          <t>สักหลาด (ม.)</t>
        </is>
      </c>
      <c r="B25" s="316">
        <f>6*(B3/100)+9*(B2/100)+2*($F$3+$F$4)*(B3/100)</f>
        <v/>
      </c>
      <c r="C25" s="312" t="n">
        <v>1.5</v>
      </c>
      <c r="D25" s="312">
        <f>B25*C25</f>
        <v/>
      </c>
      <c r="E25" s="316" t="inlineStr">
        <is>
          <t>สูตรเดียวกับ SMS</t>
        </is>
      </c>
    </row>
    <row r="26" ht="15" customHeight="1" s="129">
      <c r="A26" s="316" t="inlineStr">
        <is>
          <t>น็อต</t>
        </is>
      </c>
      <c r="B26" s="316">
        <f>8+4*B4</f>
        <v/>
      </c>
      <c r="C26" s="312" t="n">
        <v>1</v>
      </c>
      <c r="D26" s="312">
        <f>B26*C26</f>
        <v/>
      </c>
      <c r="E26" s="316" t="inlineStr">
        <is>
          <t>สูตรเดียวกับ SMS (ราคา/ตัวรอเคาะ)</t>
        </is>
      </c>
    </row>
    <row r="27" ht="15" customHeight="1" s="129">
      <c r="A27" s="316" t="inlineStr">
        <is>
          <t>ซิลิโคน (หลอด) ใน+นอก</t>
        </is>
      </c>
      <c r="B27" s="316">
        <f>ROUNDUP(2*((B2/100)+(B3/100))*2/12.5,0)</f>
        <v/>
      </c>
      <c r="C27" s="312">
        <f>B10</f>
        <v/>
      </c>
      <c r="D27" s="312">
        <f>B27*C27</f>
        <v/>
      </c>
    </row>
    <row r="28" ht="15" customHeight="1" s="129">
      <c r="A28" s="316" t="inlineStr">
        <is>
          <t>ค่าเปิดตู้อบ</t>
        </is>
      </c>
      <c r="B28" s="316">
        <f>IF(OR(B6="สีอบพิเศษ",B6="สีลายไม้อบพิเศษ"),1,0)</f>
        <v/>
      </c>
      <c r="C28" s="312" t="n">
        <v>2000</v>
      </c>
      <c r="D28" s="312">
        <f>B28*C28</f>
        <v/>
      </c>
      <c r="E28" s="316" t="inlineStr">
        <is>
          <t>สีพิเศษเท่านั้น</t>
        </is>
      </c>
    </row>
    <row r="29" ht="15" customHeight="1" s="129">
      <c r="A29" s="331" t="inlineStr">
        <is>
          <t>ทุนรวม</t>
        </is>
      </c>
      <c r="D29" s="332">
        <f>SUM(D13:D28)+D46+D47+D48+D49</f>
        <v/>
      </c>
    </row>
    <row r="30" ht="15" customHeight="1" s="129">
      <c r="A30" s="331" t="inlineStr">
        <is>
          <t>ทุน/ตร.ม.</t>
        </is>
      </c>
      <c r="D30" s="332">
        <f>D29/B11</f>
        <v/>
      </c>
    </row>
    <row r="31" ht="15" customHeight="1" s="129">
      <c r="A31" s="331" t="inlineStr">
        <is>
          <t>ราคาขาย/ตร.ม. (ทุน+กำไร%)</t>
        </is>
      </c>
      <c r="D31" s="284">
        <f>ROUNDUP(D30*(1+B9/100)/100,0)*100</f>
        <v/>
      </c>
    </row>
    <row r="32" ht="15" customHeight="1" s="129">
      <c r="A32" s="331" t="inlineStr">
        <is>
          <t>ราคาขายรวม/ชุด</t>
        </is>
      </c>
      <c r="D32" s="284">
        <f>B11*D31</f>
        <v/>
      </c>
    </row>
    <row r="33" ht="15" customHeight="1" s="129">
      <c r="A33" s="331" t="inlineStr">
        <is>
          <t>%กำไรจริง</t>
        </is>
      </c>
      <c r="D33" s="285">
        <f>(D32-D29)/D29</f>
        <v/>
      </c>
    </row>
    <row r="35">
      <c r="A35" s="276" t="inlineStr">
        <is>
          <t>— ผูกค่าแรง (ราคาขายรวมค่าแรง) —</t>
        </is>
      </c>
    </row>
    <row r="36">
      <c r="A36" s="324" t="inlineStr">
        <is>
          <t>ค่าแรงผลิต (จากชีทค่าแรง)</t>
        </is>
      </c>
      <c r="D36" s="277">
        <f>MAX(0,VLOOKUP("บานเลื่อน SMS",'ค่าแรง'!$A$12:$E$27,2,0)+VLOOKUP("บานเลื่อน SMS",'ค่าแรง'!$A$12:$E$27,3,0)*B11)</f>
        <v/>
      </c>
    </row>
    <row r="37">
      <c r="A37" s="324" t="inlineStr">
        <is>
          <t>ค่าแรงติดตั้ง (จากชีทค่าแรง)</t>
        </is>
      </c>
      <c r="D37" s="277">
        <f>MAX(0,VLOOKUP("บานเลื่อน SMS",'ค่าแรง'!$A$12:$E$27,4,0)+VLOOKUP("บานเลื่อน SMS",'ค่าแรง'!$A$12:$E$27,5,0)*B11)</f>
        <v/>
      </c>
    </row>
    <row r="38">
      <c r="A38" s="324" t="inlineStr">
        <is>
          <t>กำไรติดตั้ง % →</t>
        </is>
      </c>
      <c r="B38" s="278" t="n">
        <v>100</v>
      </c>
    </row>
    <row r="39">
      <c r="A39" s="276" t="inlineStr">
        <is>
          <t>ราคาขาย ผลิตอย่างเดียว</t>
        </is>
      </c>
      <c r="D39" s="279">
        <f>ROUNDUP((D29+D36+D50)*(1+B9/100)/100,0)*100</f>
        <v/>
      </c>
    </row>
    <row r="40">
      <c r="A40" s="276" t="inlineStr">
        <is>
          <t>ราคาขาย ผลิต+ติดตั้ง</t>
        </is>
      </c>
      <c r="D40" s="279">
        <f>D39+ROUNDUP((D37+D51)*(1+B38/100)/100,0)*100</f>
        <v/>
      </c>
    </row>
    <row r="41">
      <c r="A41" s="276" t="inlineStr">
        <is>
          <t>%กำไรจริง (ผลิต+ติดตั้ง)</t>
        </is>
      </c>
      <c r="D41" s="280">
        <f>(D40-(D29+D36+D37+D50+D51))/(D29+D36+D37+D50+D51)</f>
        <v/>
      </c>
    </row>
    <row r="43">
      <c r="A43" s="532" t="inlineStr">
        <is>
          <t>— มุ้ง (ออปชั่น) — บวกเข้าทุน —</t>
        </is>
      </c>
    </row>
    <row r="44">
      <c r="A44" s="276" t="inlineStr">
        <is>
          <t>เลือกมุ้ง →</t>
        </is>
      </c>
      <c r="B44" s="594" t="inlineStr">
        <is>
          <t>ไม่มีมุ้ง</t>
        </is>
      </c>
      <c r="C44" s="595">
        <f>IF(B44="ไม่มีมุ้ง","—",IF(H45=1,"✓ ใช้ได้","⚠ ใช้กับบานนี้ไม่ได้(ทุน=0)"))</f>
        <v/>
      </c>
      <c r="D44" s="595">
        <f>IF(B44="ไม่มีมุ้ง","",H50&amp;" บาน")</f>
        <v/>
      </c>
      <c r="H44" s="596">
        <f>IFERROR(VLOOKUP(B44,ราคามุ้ง!$A$2:$O$15,3,0),"")</f>
        <v/>
      </c>
    </row>
    <row r="45">
      <c r="A45" s="387" t="inlineStr">
        <is>
          <t>ชนิดผ้า / สี →</t>
        </is>
      </c>
      <c r="B45" s="594" t="inlineStr">
        <is>
          <t>ไฟเบอร์</t>
        </is>
      </c>
      <c r="C45" s="594" t="inlineStr">
        <is>
          <t>เทา</t>
        </is>
      </c>
      <c r="H45" s="596">
        <f>IF(B44="ไม่มีมุ้ง",0,IF(OR(IFERROR(VLOOKUP(B44,ราคามุ้ง!$A$2:$O$15,4,0),"ALL")="ALL",ISNUMBER(SEARCH("E-series",IFERROR(VLOOKUP(B44,ราคามุ้ง!$A$2:$O$15,4,0),"")))),1,0))</f>
        <v/>
      </c>
    </row>
    <row r="46">
      <c r="A46" s="387" t="inlineStr">
        <is>
          <t>› เสา (เส้น 6ม.)</t>
        </is>
      </c>
      <c r="B46" s="597">
        <f>IF(AND(H45=1,H46=1),ROUND(H50*2*H49/6,2),0)</f>
        <v/>
      </c>
      <c r="C46" s="598">
        <f>IF(B44="มุ้งเฟรมเล็ก",'ราคามุ้ง'!$B$19,IF(B44="มุ้งเฟรมใหญ่",0,IF(B44="มุ้งนิรภัย",'ราคามุ้ง'!$B$21,0)))</f>
        <v/>
      </c>
      <c r="D46" s="599">
        <f>ROUND(B46*C46,0)</f>
        <v/>
      </c>
      <c r="H46" s="596">
        <f>IF(OR(B44="มุ้งเฟรมเล็ก",B44="มุ้งเฟรมใหญ่",B44="มุ้งนิรภัย"),1,0)</f>
        <v/>
      </c>
    </row>
    <row r="47">
      <c r="A47" s="387" t="inlineStr">
        <is>
          <t>› ขวาง (เส้น 6ม.)</t>
        </is>
      </c>
      <c r="B47" s="600">
        <f>IF(AND(H45=1,H46=1),ROUND(H50*2*H48/6,2),0)</f>
        <v/>
      </c>
      <c r="C47" s="598">
        <f>IF(B44="มุ้งเฟรมเล็ก",'ราคามุ้ง'!$B$19,IF(B44="มุ้งเฟรมใหญ่",0,IF(B44="มุ้งนิรภัย",'ราคามุ้ง'!$B$21,0)))</f>
        <v/>
      </c>
      <c r="D47" s="598">
        <f>ROUND(B47*C47,0)</f>
        <v/>
      </c>
      <c r="H47" s="596">
        <f>IFERROR(VLOOKUP(B45,ราคามุ้ง!$I$2:$J$5,2,0),0)</f>
        <v/>
      </c>
    </row>
    <row r="48">
      <c r="A48" s="276" t="inlineStr">
        <is>
          <t>› ยางอัด (ม.)</t>
        </is>
      </c>
      <c r="B48" s="601">
        <f>IF(AND(H45=1,H46=1),ROUND(H50*2*(H48+H49),2),0)</f>
        <v/>
      </c>
      <c r="C48" s="598">
        <f>'ราคามุ้ง'!$D$19</f>
        <v/>
      </c>
      <c r="D48" s="599">
        <f>ROUND(B48*C48,0)</f>
        <v/>
      </c>
      <c r="H48" s="602">
        <f>B2/(B4*100)</f>
        <v/>
      </c>
    </row>
    <row r="49">
      <c r="A49" s="276" t="inlineStr">
        <is>
          <t>› ผ้า / มุ้งสำเร็จ</t>
        </is>
      </c>
      <c r="B49" s="601">
        <f>IF(H45=0,0,ROUND(H50*H48*H49,2))</f>
        <v/>
      </c>
      <c r="C49" s="598">
        <f>IF(B44="มุ้งนิรภัย",650,IF(OR(B44="มุ้งเฟรมเล็ก",B44="มุ้งเฟรมใหญ่"),H47,IF(H44="ซื้อสำเร็จ",IFERROR(VLOOKUP(B44,ราคามุ้ง!$A$2:$O$15,2,0),0),0)))</f>
        <v/>
      </c>
      <c r="D49" s="599">
        <f>ROUND(B49*C49,0)</f>
        <v/>
      </c>
      <c r="H49" s="601">
        <f>B3/100</f>
        <v/>
      </c>
    </row>
    <row r="50">
      <c r="A50" s="276" t="inlineStr">
        <is>
          <t>› ค่าแรงผลิตมุ้ง</t>
        </is>
      </c>
      <c r="D50" s="599">
        <f>IF(H45=0,0,ROUND(H50*(VLOOKUP(B44,ราคามุ้ง!$A$2:$O$15,12,0)+VLOOKUP(B44,ราคามุ้ง!$A$2:$O$15,13,0)*H48*H49),0))</f>
        <v/>
      </c>
      <c r="H50" s="595">
        <f>IF(AND(B5="อิสระ",B4=2),1,F2)</f>
        <v/>
      </c>
    </row>
    <row r="51">
      <c r="A51" s="595" t="inlineStr">
        <is>
          <t>› ค่าแรงติดตั้งมุ้ง</t>
        </is>
      </c>
      <c r="D51" s="598">
        <f>IF(H45=0,0,ROUND(H50*(VLOOKUP(B44,ราคามุ้ง!$A$2:$O$15,14,0)+VLOOKUP(B44,ราคามุ้ง!$A$2:$O$15,15,0)*H48*H49),0))</f>
        <v/>
      </c>
    </row>
    <row r="52">
      <c r="A52" s="663" t="inlineStr">
        <is>
          <t>รวมราคามุ้ง (บวกเข้าทุนแล้ว)</t>
        </is>
      </c>
      <c r="D52" s="664">
        <f>SUM(D46:D51)</f>
        <v/>
      </c>
    </row>
    <row r="53">
      <c r="A53" s="745" t="n"/>
      <c r="B53" s="745" t="n"/>
      <c r="C53" s="745" t="n"/>
      <c r="D53" s="745" t="n"/>
      <c r="E53" s="745" t="n"/>
      <c r="F53" s="745" t="n"/>
      <c r="G53" s="745" t="n"/>
      <c r="H53" s="745" t="n"/>
      <c r="I53" s="745" t="n"/>
      <c r="J53" s="745" t="n"/>
      <c r="K53" s="745" t="n"/>
    </row>
    <row r="54">
      <c r="A54" s="746" t="n"/>
      <c r="B54" s="745" t="n"/>
      <c r="C54" s="745" t="n"/>
      <c r="D54" s="745" t="n"/>
      <c r="E54" s="745" t="n"/>
      <c r="F54" s="745" t="n"/>
      <c r="G54" s="745" t="n"/>
      <c r="H54" s="745" t="n"/>
      <c r="I54" s="745" t="n"/>
      <c r="J54" s="745" t="n"/>
      <c r="K54" s="745" t="n"/>
    </row>
    <row r="55">
      <c r="A55" s="747" t="n"/>
      <c r="B55" s="748" t="n"/>
      <c r="C55" s="745" t="n"/>
      <c r="D55" s="745" t="n"/>
      <c r="E55" s="745" t="n"/>
      <c r="F55" s="745" t="n"/>
      <c r="G55" s="745" t="n"/>
      <c r="H55" s="745" t="n"/>
      <c r="I55" s="745" t="n"/>
      <c r="J55" s="745" t="n"/>
      <c r="K55" s="745" t="n"/>
    </row>
    <row r="56">
      <c r="A56" s="747" t="n"/>
      <c r="B56" s="748" t="n"/>
      <c r="C56" s="745" t="n"/>
      <c r="D56" s="745" t="n"/>
      <c r="E56" s="745" t="n"/>
      <c r="F56" s="745" t="n"/>
      <c r="G56" s="745" t="n"/>
      <c r="H56" s="745" t="n"/>
      <c r="I56" s="745" t="n"/>
      <c r="J56" s="745" t="n"/>
      <c r="K56" s="745" t="n"/>
    </row>
    <row r="57">
      <c r="A57" s="747" t="n"/>
      <c r="B57" s="748" t="n"/>
      <c r="C57" s="745" t="n"/>
      <c r="D57" s="745" t="n"/>
      <c r="E57" s="745" t="n"/>
      <c r="F57" s="745" t="n"/>
      <c r="G57" s="745" t="n"/>
      <c r="H57" s="745" t="n"/>
      <c r="I57" s="745" t="n"/>
      <c r="J57" s="745" t="n"/>
      <c r="K57" s="745" t="n"/>
    </row>
    <row r="58">
      <c r="A58" s="747" t="n"/>
      <c r="B58" s="749" t="n"/>
      <c r="C58" s="745" t="n"/>
      <c r="D58" s="745" t="n"/>
      <c r="E58" s="745" t="n"/>
      <c r="F58" s="745" t="n"/>
      <c r="G58" s="745" t="n"/>
      <c r="H58" s="745" t="n"/>
      <c r="I58" s="745" t="n"/>
      <c r="J58" s="745" t="n"/>
      <c r="K58" s="745" t="n"/>
    </row>
    <row r="59">
      <c r="A59" s="745" t="n"/>
      <c r="B59" s="745" t="n"/>
      <c r="C59" s="745" t="n"/>
      <c r="D59" s="745" t="n"/>
      <c r="E59" s="745" t="n"/>
      <c r="F59" s="745" t="n"/>
      <c r="G59" s="745" t="n"/>
      <c r="H59" s="745" t="n"/>
      <c r="I59" s="745" t="n"/>
      <c r="J59" s="745" t="n"/>
      <c r="K59" s="745" t="n"/>
    </row>
    <row r="60">
      <c r="A60" s="738" t="inlineStr">
        <is>
          <t>🔍 แยกก้อนต้นทุน</t>
        </is>
      </c>
    </row>
    <row r="61">
      <c r="A61" s="739" t="inlineStr">
        <is>
          <t>ทุนอลู (×ราคา/กก.)</t>
        </is>
      </c>
      <c r="B61" s="740">
        <f>D13+D14+D15+D16+D17+D18+D19+D20+D21+D27</f>
        <v/>
      </c>
    </row>
    <row r="62">
      <c r="A62" s="741" t="inlineStr">
        <is>
          <t>ทุนกระจก</t>
        </is>
      </c>
      <c r="B62" s="742">
        <f>D22</f>
        <v/>
      </c>
    </row>
    <row r="63">
      <c r="A63" s="741" t="inlineStr">
        <is>
          <t>ทุนอุปกรณ์+ซิลิโคน</t>
        </is>
      </c>
      <c r="B63" s="742">
        <f>D23+D24+D25+D26+D28</f>
        <v/>
      </c>
    </row>
    <row r="64">
      <c r="A64" s="741" t="inlineStr">
        <is>
          <t>รวมวัสดุ</t>
        </is>
      </c>
      <c r="B64" s="743">
        <f>B61+B62+B63</f>
        <v/>
      </c>
    </row>
  </sheetData>
  <mergeCells count="1">
    <mergeCell ref="A1:F1"/>
  </mergeCells>
  <dataValidations count="7">
    <dataValidation sqref="B5" showDropDown="0" showInputMessage="0" showErrorMessage="0" allowBlank="0" type="list" errorStyle="stop" operator="between">
      <formula1>"อิสระ,ลากจูง,เปิดคู่กลาง"</formula1>
      <formula2>0</formula2>
    </dataValidation>
    <dataValidation sqref="B7" showDropDown="0" showInputMessage="0" showErrorMessage="0" allowBlank="0" type="list" errorStyle="stop" operator="between">
      <formula1>GlassNames</formula1>
      <formula2>0</formula2>
    </dataValidation>
    <dataValidation sqref="F6" showDropDown="0" showInputMessage="0" showErrorMessage="0" allowBlank="0" type="list" errorStyle="stop" operator="between">
      <formula1>"ภายนอก,ภายใน"</formula1>
      <formula2>0</formula2>
    </dataValidation>
    <dataValidation sqref="B6" showDropDown="0" showInputMessage="0" showErrorMessage="0" allowBlank="1" type="list">
      <formula1>"สีอบขาว/ดำ,เทาซาฮาร่า,สีดำซาฮาร่า,สีอบพิเศษ,สีลายไม้อบพิเศษ"</formula1>
    </dataValidation>
    <dataValidation sqref="B44" showDropDown="0" showInputMessage="0" showErrorMessage="0" allowBlank="1" type="list">
      <formula1>MungList</formula1>
    </dataValidation>
    <dataValidation sqref="B45" showDropDown="0" showInputMessage="0" showErrorMessage="0" allowBlank="1" type="list">
      <formula1>ClothList</formula1>
    </dataValidation>
    <dataValidation sqref="C45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20.1" customWidth="1" style="140" min="2" max="2"/>
    <col width="24" customWidth="1" style="140" min="3" max="3"/>
    <col width="18" customWidth="1" style="140" min="4" max="4"/>
    <col width="24" customWidth="1" style="129" min="5" max="5"/>
    <col width="4.5" customWidth="1" style="129" min="6" max="6"/>
    <col width="8.6" customWidth="1" style="129" min="7" max="7"/>
  </cols>
  <sheetData>
    <row r="1" ht="24" customHeight="1" s="129">
      <c r="A1" s="450" t="inlineStr">
        <is>
          <t>คิดทุน PC Door — บานเปิด (Fuji)  |  นับเส้นเต็ม</t>
        </is>
      </c>
      <c r="E1" s="643" t="n"/>
      <c r="G1" s="753" t="inlineStr">
        <is>
          <t>🏠 สารบัญ</t>
        </is>
      </c>
      <c r="H1" s="754" t="n"/>
    </row>
    <row r="2" ht="15" customHeight="1" s="129">
      <c r="A2" s="287" t="n"/>
    </row>
    <row r="3" ht="15" customHeight="1" s="129">
      <c r="A3" s="287" t="inlineStr">
        <is>
          <t>กว้างรวม (ซม.) →</t>
        </is>
      </c>
      <c r="B3" s="283" t="n">
        <v>150</v>
      </c>
    </row>
    <row r="4" ht="15" customHeight="1" s="129">
      <c r="A4" s="287" t="inlineStr">
        <is>
          <t>สูง (ซม.) →</t>
        </is>
      </c>
      <c r="B4" s="283" t="n">
        <v>200</v>
      </c>
    </row>
    <row r="5" ht="15" customHeight="1" s="129">
      <c r="A5" s="287" t="inlineStr">
        <is>
          <t>รูปแบบ →</t>
        </is>
      </c>
      <c r="B5" s="283" t="inlineStr">
        <is>
          <t>แบ่ง 2</t>
        </is>
      </c>
    </row>
    <row r="6" ht="15" customHeight="1" s="129">
      <c r="A6" s="287" t="inlineStr">
        <is>
          <t>สี →</t>
        </is>
      </c>
      <c r="B6" s="283" t="inlineStr">
        <is>
          <t>สีอบขาว/ดำ</t>
        </is>
      </c>
      <c r="F6" s="287" t="n"/>
    </row>
    <row r="7" ht="15" customHeight="1" s="129">
      <c r="A7" s="287" t="inlineStr">
        <is>
          <t>กระจก →</t>
        </is>
      </c>
      <c r="B7" s="283" t="inlineStr">
        <is>
          <t>เขียว 6มม.</t>
        </is>
      </c>
    </row>
    <row r="8" ht="15" customHeight="1" s="129">
      <c r="A8" s="287" t="inlineStr">
        <is>
          <t>ธรณี →</t>
        </is>
      </c>
      <c r="B8" s="283" t="inlineStr">
        <is>
          <t>มี</t>
        </is>
      </c>
    </row>
    <row r="9" ht="15" customHeight="1" s="129">
      <c r="A9" s="287" t="inlineStr">
        <is>
          <t>บวกกำไร % →</t>
        </is>
      </c>
      <c r="B9" s="283" t="n">
        <v>100</v>
      </c>
    </row>
    <row r="10" ht="15" customHeight="1" s="129">
      <c r="A10" s="287" t="inlineStr">
        <is>
          <t>ซอฟโค้ด →</t>
        </is>
      </c>
      <c r="B10" s="283" t="inlineStr">
        <is>
          <t>ใส่</t>
        </is>
      </c>
      <c r="C10" s="287" t="inlineStr">
        <is>
          <t>← ใส่ = 1,170 บาท/ชุด | ไม่ใส่ = ตัดออก</t>
        </is>
      </c>
    </row>
    <row r="11" ht="15" customHeight="1" s="129">
      <c r="A11" s="287" t="inlineStr">
        <is>
          <t>ซิลิโคน/หลอด (บาท) →</t>
        </is>
      </c>
      <c r="B11" s="283" t="n">
        <v>90</v>
      </c>
    </row>
    <row r="12" ht="15" customHeight="1" s="129">
      <c r="A12" s="287" t="inlineStr">
        <is>
          <t>จำนวนบาน =</t>
        </is>
      </c>
      <c r="B12" s="287">
        <f>IF(B5="แบ่ง 2",2,4)</f>
        <v/>
      </c>
    </row>
    <row r="13" ht="15" customHeight="1" s="129">
      <c r="A13" s="287" t="inlineStr">
        <is>
          <t>พื้นที่ (ตร.ม.) =</t>
        </is>
      </c>
      <c r="B13" s="326">
        <f>(B3/100)*(B4/100)</f>
        <v/>
      </c>
    </row>
    <row r="14" ht="15" customHeight="1" s="129">
      <c r="A14" s="287" t="inlineStr">
        <is>
          <t>ราคากระจก (บาท/ตร.ม.) =</t>
        </is>
      </c>
      <c r="B14" s="327">
        <f>INDEX(ราคาวัสดุกลาง!$I$2:$I$106,MATCH(B7,ราคาวัสดุกลาง!$H$2:$H$106,0))</f>
        <v/>
      </c>
    </row>
    <row r="16" ht="15" customHeight="1" s="129">
      <c r="A16" s="287" t="n"/>
    </row>
    <row r="17" ht="15" customHeight="1" s="129">
      <c r="A17" s="328" t="inlineStr">
        <is>
          <t>รายการ</t>
        </is>
      </c>
      <c r="B17" s="328" t="inlineStr">
        <is>
          <t>จำนวน</t>
        </is>
      </c>
      <c r="C17" s="328" t="inlineStr">
        <is>
          <t>ราคา/หน่วย (บาท)</t>
        </is>
      </c>
      <c r="D17" s="328" t="inlineStr">
        <is>
          <t>ทุน (บาท)</t>
        </is>
      </c>
    </row>
    <row r="18" ht="15" customHeight="1" s="129">
      <c r="A18" s="316" t="inlineStr">
        <is>
          <t>วงกบ 3 ด้าน F7859</t>
        </is>
      </c>
      <c r="B18" s="316">
        <f>((B3+2*B4)/640)*buf_scrap</f>
        <v/>
      </c>
      <c r="C18" s="312">
        <f>IF(B6="สีอบขาว/ดำ",IFERROR(VLOOKUP("F7859",ราคาสี!$A:$D,4,0),1100),IF(OR(B6="เทาซาฮาร่า",B6="สีดำซาฮาร่า"),VLOOKUP("F7859",ราคาสี!$A:$F,5,0),IF(B6="ลายไม้ stock",(VLOOKUP("F7859",ราคาสี!$A:$H,8,0)*mult_wood/mult_euro),IFERROR(VLOOKUP("F7859",ราคาสี!$A:$D,4,0),1100)+IF(B6="สีอบพิเศษ",rate_special,rate_woodbake)*6.11111)))</f>
        <v/>
      </c>
      <c r="D18" s="312">
        <f>B18*C18*mult_euro</f>
        <v/>
      </c>
    </row>
    <row r="19" ht="15" customHeight="1" s="129">
      <c r="A19" s="316" t="inlineStr">
        <is>
          <t>ธรณี F7938B</t>
        </is>
      </c>
      <c r="B19" s="316">
        <f>IF(B8="มี",(B3/640)*buf_scrap,0)</f>
        <v/>
      </c>
      <c r="C19" s="312">
        <f>IF(B6="สีอบขาว/ดำ",IFERROR(VLOOKUP("F7938B",ราคาสี!$A:$D,4,0),1400),IF(OR(B6="เทาซาฮาร่า",B6="สีดำซาฮาร่า"),VLOOKUP("F7938B",ราคาสี!$A:$F,5,0),IF(B6="ลายไม้ stock",(VLOOKUP("F7938B",ราคาสี!$A:$H,8,0)*mult_wood/mult_euro),IFERROR(VLOOKUP("F7938B",ราคาสี!$A:$D,4,0),1400)+IF(B6="สีอบพิเศษ",rate_special,rate_woodbake)*7.77778)))</f>
        <v/>
      </c>
      <c r="D19" s="312">
        <f>B19*C19*mult_euro</f>
        <v/>
      </c>
    </row>
    <row r="20" ht="15" customHeight="1" s="129">
      <c r="A20" s="316" t="inlineStr">
        <is>
          <t>ตบธรณี F7960</t>
        </is>
      </c>
      <c r="B20" s="316">
        <f>IF(B8="มี",(B3/640)*buf_scrap,0)</f>
        <v/>
      </c>
      <c r="C20" s="312">
        <f>IF(B6="สีอบขาว/ดำ",IFERROR(VLOOKUP("F7960",ราคาสี!$A:$D,4,0),575),IF(OR(B6="เทาซาฮาร่า",B6="สีดำซาฮาร่า"),VLOOKUP("F7960",ราคาสี!$A:$F,5,0),IF(B6="ลายไม้ stock",(VLOOKUP("F7960",ราคาสี!$A:$H,8,0)*mult_wood/mult_euro),IFERROR(VLOOKUP("F7960",ราคาสี!$A:$D,4,0),575)+IF(B6="สีอบพิเศษ",rate_special,rate_woodbake)*3.19444)))</f>
        <v/>
      </c>
      <c r="D20" s="312">
        <f>B20*C20*mult_euro</f>
        <v/>
      </c>
    </row>
    <row r="21" ht="15" customHeight="1" s="129">
      <c r="A21" s="316" t="inlineStr">
        <is>
          <t>เสริมใต้บาน F7863</t>
        </is>
      </c>
      <c r="B21" s="316">
        <f>IF(B8="ไม่มี",(B3/640)*buf_scrap,0)</f>
        <v/>
      </c>
      <c r="C21" s="312">
        <f>IF(B6="สีอบขาว/ดำ",435,IF(OR(B6="เทาซาฮาร่า",B6="สีดำซาฮาร่า"),435+rate_grey*2.41667,IF(B6="ลายไม้ stock",645,435+IF(B6="สีอบพิเศษ",rate_special,rate_woodbake)*2.41667)))</f>
        <v/>
      </c>
      <c r="D21" s="312">
        <f>B21*C21*mult_euro</f>
        <v/>
      </c>
    </row>
    <row r="22" ht="15" customHeight="1" s="129">
      <c r="A22" s="316" t="inlineStr">
        <is>
          <t>กรอบประตู 7864</t>
        </is>
      </c>
      <c r="B22" s="316">
        <f>((2*B12*B4+2*B3)/640)*buf_scrap</f>
        <v/>
      </c>
      <c r="C22" s="312">
        <f>IF(B6="สีอบขาว/ดำ",1995,IF(OR(B6="เทาซาฮาร่า",B6="สีดำซาฮาร่า"),1995+rate_grey*11.08333,IF(B6="ลายไม้ stock",3170,1995+IF(B6="สีอบพิเศษ",rate_special,rate_woodbake)*11.08333)))</f>
        <v/>
      </c>
      <c r="D22" s="312">
        <f>B22*C22*mult_euro</f>
        <v/>
      </c>
    </row>
    <row r="23" ht="15" customHeight="1" s="129">
      <c r="A23" s="316" t="inlineStr">
        <is>
          <t>คิ้ว F7935</t>
        </is>
      </c>
      <c r="B23" s="316">
        <f>((2*B12*B4+2*B3)/640)*buf_scrap</f>
        <v/>
      </c>
      <c r="C23" s="312">
        <f>IF(B6="สีอบขาว/ดำ",360,IF(OR(B6="เทาซาฮาร่า",B6="สีดำซาฮาร่า"),360+rate_grey*2.0,IF(B6="ลายไม้ stock",570,360+IF(B6="สีอบพิเศษ",rate_special,rate_woodbake)*2.0)))</f>
        <v/>
      </c>
      <c r="D23" s="312">
        <f>B23*C23*mult_euro</f>
        <v/>
      </c>
    </row>
    <row r="24" ht="15" customHeight="1" s="129">
      <c r="A24" s="316" t="inlineStr">
        <is>
          <t>เปิดกลาง F7945c</t>
        </is>
      </c>
      <c r="B24" s="316">
        <f>IF(B5="แบ่ง 4",1,0)</f>
        <v/>
      </c>
      <c r="C24" s="312">
        <f>IF(B6="สีอบขาว/ดำ",775,IF(OR(B6="เทาซาฮาร่า",B6="สีดำซาฮาร่า"),775+rate_grey*4.30556,IF(B6="ลายไม้ stock",1080,775+IF(B6="สีอบพิเศษ",rate_special,rate_woodbake)*4.30556)))</f>
        <v/>
      </c>
      <c r="D24" s="312">
        <f>B24*C24*mult_euro</f>
        <v/>
      </c>
    </row>
    <row r="25" ht="15" customHeight="1" s="129">
      <c r="A25" s="316" t="inlineStr">
        <is>
          <t>บานพับ hyda (ตัว)</t>
        </is>
      </c>
      <c r="B25" s="316">
        <f>IF(B5="แบ่ง 2",4,8)</f>
        <v/>
      </c>
      <c r="C25" s="312" t="n">
        <v>117</v>
      </c>
      <c r="D25" s="312">
        <f>B25*C25</f>
        <v/>
      </c>
      <c r="E25" s="316" t="inlineStr">
        <is>
          <t>4/บานที่มีบานพับ</t>
        </is>
      </c>
    </row>
    <row r="26" ht="15" customHeight="1" s="129">
      <c r="A26" s="316" t="inlineStr">
        <is>
          <t>ล้อ+ซอฟโค้ด (ชุด)  ⚠</t>
        </is>
      </c>
      <c r="B26" s="316">
        <f>IF(B5="แบ่ง 2",1,2)</f>
        <v/>
      </c>
      <c r="C26" s="312">
        <f>IF(B10="ใส่",1170,0)</f>
        <v/>
      </c>
      <c r="D26" s="312">
        <f>B26*C26</f>
        <v/>
      </c>
      <c r="E26" s="316" t="inlineStr">
        <is>
          <t>1/บานที่เลื่อน  ← เติม B10</t>
        </is>
      </c>
    </row>
    <row r="27" ht="15" customHeight="1" s="129">
      <c r="A27" s="316" t="inlineStr">
        <is>
          <t>มือจับ Align SMS (บาน)</t>
        </is>
      </c>
      <c r="B27" s="316">
        <f>B12</f>
        <v/>
      </c>
      <c r="C27" s="312" t="n">
        <v>198</v>
      </c>
      <c r="D27" s="312">
        <f>B27*C27</f>
        <v/>
      </c>
      <c r="E27" s="316" t="inlineStr">
        <is>
          <t>2×99=198/บาน</t>
        </is>
      </c>
    </row>
    <row r="28" ht="15" customHeight="1" s="129">
      <c r="A28" s="316" t="inlineStr">
        <is>
          <t>กลอนบานลอง (ชุด)</t>
        </is>
      </c>
      <c r="B28" s="316" t="n">
        <v>1</v>
      </c>
      <c r="C28" s="312" t="n">
        <v>450</v>
      </c>
      <c r="D28" s="312">
        <f>B28*C28</f>
        <v/>
      </c>
      <c r="E28" s="316" t="inlineStr">
        <is>
          <t>ทั้งสอง config มี 1 บานลอง</t>
        </is>
      </c>
    </row>
    <row r="29" ht="15" customHeight="1" s="129">
      <c r="A29" s="316" t="inlineStr">
        <is>
          <t>น็อตเฟรม (ตัว)</t>
        </is>
      </c>
      <c r="B29" s="316">
        <f>IF(B8="มี",8,6)</f>
        <v/>
      </c>
      <c r="C29" s="312" t="n">
        <v>1</v>
      </c>
      <c r="D29" s="312">
        <f>B29*C29</f>
        <v/>
      </c>
    </row>
    <row r="30" ht="15" customHeight="1" s="129">
      <c r="A30" s="316" t="inlineStr">
        <is>
          <t>ยาง (ม.)</t>
        </is>
      </c>
      <c r="B30" s="316">
        <f>ROUND(2*(B3+B4)/100*B12,0)</f>
        <v/>
      </c>
      <c r="C30" s="312" t="n">
        <v>11</v>
      </c>
      <c r="D30" s="312">
        <f>B30*C30</f>
        <v/>
      </c>
      <c r="E30" s="316" t="inlineStr">
        <is>
          <t>11 บาท/ม.</t>
        </is>
      </c>
    </row>
    <row r="31" ht="15" customHeight="1" s="129">
      <c r="A31" s="316" t="inlineStr">
        <is>
          <t>กระจก (ตร.ม.)</t>
        </is>
      </c>
      <c r="B31" s="329">
        <f>B13</f>
        <v/>
      </c>
      <c r="C31" s="312">
        <f>B14</f>
        <v/>
      </c>
      <c r="D31" s="312">
        <f>B31*C31</f>
        <v/>
      </c>
    </row>
    <row r="32" ht="15" customHeight="1" s="129">
      <c r="A32" s="316" t="inlineStr">
        <is>
          <t>ซิลิโคน ใน+นอก (หลอด)</t>
        </is>
      </c>
      <c r="B32" s="316">
        <f>ROUNDUP(2*(B3+B4)/100*2/12.5,0)</f>
        <v/>
      </c>
      <c r="C32" s="312">
        <f>B11</f>
        <v/>
      </c>
      <c r="D32" s="312">
        <f>B32*C32</f>
        <v/>
      </c>
    </row>
    <row r="33" ht="15" customHeight="1" s="129">
      <c r="A33" s="316" t="inlineStr">
        <is>
          <t>ค่าเปิดตู้อบ</t>
        </is>
      </c>
      <c r="B33" s="316">
        <f>IF(OR(B6="สีอบพิเศษ",B6="สีลายไม้อบพิเศษ"),1,0)</f>
        <v/>
      </c>
      <c r="C33" s="312" t="n">
        <v>2000</v>
      </c>
      <c r="D33" s="312">
        <f>B33*C33</f>
        <v/>
      </c>
      <c r="E33" s="316" t="inlineStr">
        <is>
          <t>สีอบพิเศษ / ลายไม้อบพิเศษ เท่านั้น</t>
        </is>
      </c>
    </row>
    <row r="34" ht="15" customHeight="1" s="129">
      <c r="A34" s="330" t="inlineStr">
        <is>
          <t>▶  สรุปทุนและราคาขาย</t>
        </is>
      </c>
      <c r="B34" s="154" t="n"/>
      <c r="C34" s="154" t="n"/>
      <c r="D34" s="155" t="n"/>
    </row>
    <row r="35" ht="15" customHeight="1" s="129">
      <c r="A35" s="331" t="inlineStr">
        <is>
          <t>ทุนรวม (บาท)</t>
        </is>
      </c>
      <c r="D35" s="332">
        <f>SUM(D18:D33)+D58</f>
        <v/>
      </c>
    </row>
    <row r="36" ht="15" customHeight="1" s="129">
      <c r="A36" s="331" t="inlineStr">
        <is>
          <t>ทุน/ตร.ม. (บาท)</t>
        </is>
      </c>
      <c r="D36" s="332">
        <f>D35/B13</f>
        <v/>
      </c>
    </row>
    <row r="37" ht="15" customHeight="1" s="129">
      <c r="A37" s="331" t="inlineStr">
        <is>
          <t>ราคาขาย/ตร.ม. (Markup)</t>
        </is>
      </c>
      <c r="D37" s="284">
        <f>ROUNDUP(D36*(1+B9/100)/100,0)*100</f>
        <v/>
      </c>
    </row>
    <row r="38" ht="15" customHeight="1" s="129">
      <c r="A38" s="331" t="inlineStr">
        <is>
          <t>ราคาขายรวม/ชุด (บาท)</t>
        </is>
      </c>
      <c r="D38" s="284">
        <f>B13*D37</f>
        <v/>
      </c>
    </row>
    <row r="39" ht="15" customHeight="1" s="129">
      <c r="A39" s="331" t="inlineStr">
        <is>
          <t>%กำไร จากทุน</t>
        </is>
      </c>
      <c r="D39" s="285">
        <f>(D37-D36)/D36</f>
        <v/>
      </c>
    </row>
    <row r="41" ht="15" customHeight="1" s="129">
      <c r="A41" s="333" t="inlineStr">
        <is>
          <t>▶  เทียบ R3.9 v11</t>
        </is>
      </c>
      <c r="B41" s="154" t="n"/>
      <c r="C41" s="154" t="n"/>
      <c r="D41" s="155" t="n"/>
    </row>
    <row r="42" ht="15" customHeight="1" s="129">
      <c r="A42" s="316" t="inlineStr">
        <is>
          <t>ข้อ R3.9</t>
        </is>
      </c>
      <c r="B42" s="334">
        <f>IF(B5="แบ่ง 2","ข้อ 12 (min 36,000)","ข้อ 13 (min 46,000)")</f>
        <v/>
      </c>
    </row>
    <row r="43" ht="15" customHeight="1" s="129">
      <c r="A43" s="316" t="inlineStr">
        <is>
          <t>เรต (บาท/ตร.ม.)</t>
        </is>
      </c>
      <c r="D43" s="335">
        <f>IF(B5="แบ่ง 2",IF(B13&lt;3.5,11000,IF(B13&lt;4,10000,IF(B13&lt;4.5,9500,IF(B13&lt;5,9200,9000)))),IF(MAX(4,B13)&lt;4.5,11500,IF(MAX(4,B13)&lt;5,11000,IF(MAX(4,B13)&lt;6,10500,IF(MAX(4,B13)&lt;7,10000,IF(MAX(4,B13)&lt;8,9500,IF(MAX(4,B13)&lt;9,9000,8500)))))))</f>
        <v/>
      </c>
    </row>
    <row r="44" ht="15" customHeight="1" s="129">
      <c r="A44" s="331" t="inlineStr">
        <is>
          <t>ราคาขาย R3.9/ชุด</t>
        </is>
      </c>
      <c r="D44" s="284">
        <f>IF(B5="แบ่ง 2",MAX(36000,B13*D43),MAX(46000,MAX(4,B13)*D43))</f>
        <v/>
      </c>
    </row>
    <row r="45" ht="15" customHeight="1" s="129">
      <c r="A45" s="331" t="inlineStr">
        <is>
          <t>%กำไร R3.9 (บนทุน)</t>
        </is>
      </c>
      <c r="D45" s="285">
        <f>(D44-D35)/D35</f>
        <v/>
      </c>
    </row>
    <row r="47" ht="15" customHeight="1" s="129">
      <c r="A47" s="217" t="n"/>
    </row>
    <row r="49">
      <c r="A49" s="276" t="inlineStr">
        <is>
          <t>— ผูกค่าแรง (ราคาขายรวมค่าแรง) —</t>
        </is>
      </c>
    </row>
    <row r="50">
      <c r="A50" s="324" t="inlineStr">
        <is>
          <t>ค่าแรงผลิต (จากชีทค่าแรง)</t>
        </is>
      </c>
      <c r="D50" s="277">
        <f>MAX(0,VLOOKUP("PC Door",'ค่าแรง'!$A$12:$E$27,2,0)+VLOOKUP("PC Door",'ค่าแรง'!$A$12:$E$27,3,0)*B13)</f>
        <v/>
      </c>
    </row>
    <row r="51">
      <c r="A51" s="324" t="inlineStr">
        <is>
          <t>ค่าแรงติดตั้ง (จากชีทค่าแรง)</t>
        </is>
      </c>
      <c r="D51" s="277">
        <f>MAX(0,VLOOKUP("PC Door",'ค่าแรง'!$A$12:$E$27,4,0)+VLOOKUP("PC Door",'ค่าแรง'!$A$12:$E$27,5,0)*B13)</f>
        <v/>
      </c>
    </row>
    <row r="52">
      <c r="A52" s="324" t="inlineStr">
        <is>
          <t>กำไรติดตั้ง % →</t>
        </is>
      </c>
      <c r="B52" s="278" t="n">
        <v>1</v>
      </c>
    </row>
    <row r="53">
      <c r="A53" s="276" t="inlineStr">
        <is>
          <t>ราคาขาย ผลิตอย่างเดียว</t>
        </is>
      </c>
      <c r="D53" s="279">
        <f>ROUNDUP((D35+D50)*(1+B9/100)/100,0)*100</f>
        <v/>
      </c>
    </row>
    <row r="54">
      <c r="A54" s="276" t="inlineStr">
        <is>
          <t>ราคาขาย ผลิต+ติดตั้ง</t>
        </is>
      </c>
      <c r="D54" s="279">
        <f>D53+ROUNDUP(D51*(1+B52)/100,0)*100</f>
        <v/>
      </c>
    </row>
    <row r="55">
      <c r="A55" s="276" t="inlineStr">
        <is>
          <t>%กำไรจริง (ผลิต+ติดตั้ง)</t>
        </is>
      </c>
      <c r="D55" s="280">
        <f>(D54-(D35+D50+D51))/(D35+D50+D51)</f>
        <v/>
      </c>
    </row>
    <row r="56">
      <c r="A56" s="645" t="inlineStr">
        <is>
          <t>— มุ้ง (ออปชั่น · ซื้อสำเร็จ) — บวกเข้าทุน —</t>
        </is>
      </c>
    </row>
    <row r="57">
      <c r="A57" s="140" t="inlineStr">
        <is>
          <t>เลือกมุ้ง →</t>
        </is>
      </c>
      <c r="B57" s="483" t="inlineStr">
        <is>
          <t>ไม่มีมุ้ง</t>
        </is>
      </c>
    </row>
    <row r="58">
      <c r="A58" s="663" t="inlineStr">
        <is>
          <t>รวมราคามุ้ง (บวกเข้าทุนแล้ว)</t>
        </is>
      </c>
      <c r="D58" s="664">
        <f>IF(B57="ไม่มีมุ้ง",0,ROUND((VLOOKUP(B57,ราคามุ้ง!$A:$F,2,0)+VLOOKUP(B57,ราคามุ้ง!$A:$F,6,0))*B13,0))</f>
        <v/>
      </c>
    </row>
    <row r="59">
      <c r="A59" s="745" t="n"/>
      <c r="B59" s="745" t="n"/>
      <c r="C59" s="745" t="n"/>
      <c r="D59" s="745" t="n"/>
      <c r="E59" s="745" t="n"/>
      <c r="F59" s="745" t="n"/>
      <c r="G59" s="745" t="n"/>
      <c r="H59" s="745" t="n"/>
      <c r="I59" s="745" t="n"/>
      <c r="J59" s="745" t="n"/>
      <c r="K59" s="745" t="n"/>
    </row>
    <row r="60">
      <c r="A60" s="746" t="n"/>
      <c r="B60" s="745" t="n"/>
      <c r="C60" s="745" t="n"/>
      <c r="D60" s="745" t="n"/>
      <c r="E60" s="745" t="n"/>
      <c r="F60" s="745" t="n"/>
      <c r="G60" s="745" t="n"/>
      <c r="H60" s="745" t="n"/>
      <c r="I60" s="745" t="n"/>
      <c r="J60" s="745" t="n"/>
      <c r="K60" s="745" t="n"/>
    </row>
    <row r="61">
      <c r="A61" s="747" t="n"/>
      <c r="B61" s="748" t="n"/>
      <c r="C61" s="745" t="n"/>
      <c r="D61" s="745" t="n"/>
      <c r="E61" s="745" t="n"/>
      <c r="F61" s="745" t="n"/>
      <c r="G61" s="745" t="n"/>
      <c r="H61" s="745" t="n"/>
      <c r="I61" s="745" t="n"/>
      <c r="J61" s="745" t="n"/>
      <c r="K61" s="745" t="n"/>
    </row>
    <row r="62">
      <c r="A62" s="747" t="n"/>
      <c r="B62" s="748" t="n"/>
      <c r="C62" s="745" t="n"/>
      <c r="D62" s="745" t="n"/>
      <c r="E62" s="745" t="n"/>
      <c r="F62" s="745" t="n"/>
      <c r="G62" s="745" t="n"/>
      <c r="H62" s="745" t="n"/>
      <c r="I62" s="745" t="n"/>
      <c r="J62" s="745" t="n"/>
      <c r="K62" s="745" t="n"/>
    </row>
    <row r="63">
      <c r="A63" s="747" t="n"/>
      <c r="B63" s="748" t="n"/>
      <c r="C63" s="745" t="n"/>
      <c r="D63" s="745" t="n"/>
      <c r="E63" s="745" t="n"/>
      <c r="F63" s="745" t="n"/>
      <c r="G63" s="745" t="n"/>
      <c r="H63" s="745" t="n"/>
      <c r="I63" s="745" t="n"/>
      <c r="J63" s="745" t="n"/>
      <c r="K63" s="745" t="n"/>
    </row>
    <row r="64">
      <c r="A64" s="747" t="n"/>
      <c r="B64" s="749" t="n"/>
      <c r="C64" s="745" t="n"/>
      <c r="D64" s="745" t="n"/>
      <c r="E64" s="745" t="n"/>
      <c r="F64" s="745" t="n"/>
      <c r="G64" s="745" t="n"/>
      <c r="H64" s="745" t="n"/>
      <c r="I64" s="745" t="n"/>
      <c r="J64" s="745" t="n"/>
      <c r="K64" s="745" t="n"/>
    </row>
    <row r="65">
      <c r="A65" s="745" t="n"/>
      <c r="B65" s="745" t="n"/>
      <c r="C65" s="745" t="n"/>
      <c r="D65" s="745" t="n"/>
      <c r="E65" s="745" t="n"/>
      <c r="F65" s="745" t="n"/>
      <c r="G65" s="745" t="n"/>
      <c r="H65" s="745" t="n"/>
      <c r="I65" s="745" t="n"/>
      <c r="J65" s="745" t="n"/>
      <c r="K65" s="745" t="n"/>
    </row>
    <row r="66">
      <c r="A66" s="738" t="inlineStr">
        <is>
          <t>🔍 แยกก้อนต้นทุน</t>
        </is>
      </c>
    </row>
    <row r="67">
      <c r="A67" s="739" t="inlineStr">
        <is>
          <t>ทุนอลู (×ราคา/กก.)</t>
        </is>
      </c>
      <c r="B67" s="740">
        <f>D18+D19+D20+D21+D22+D23+D24+D29+D32</f>
        <v/>
      </c>
    </row>
    <row r="68">
      <c r="A68" s="741" t="inlineStr">
        <is>
          <t>ทุนกระจก</t>
        </is>
      </c>
      <c r="B68" s="742">
        <f>D31</f>
        <v/>
      </c>
    </row>
    <row r="69">
      <c r="A69" s="741" t="inlineStr">
        <is>
          <t>ทุนอุปกรณ์+ซิลิโคน</t>
        </is>
      </c>
      <c r="B69" s="742">
        <f>D25+D26+D27+D28+D30+D33</f>
        <v/>
      </c>
    </row>
    <row r="70">
      <c r="A70" s="741" t="inlineStr">
        <is>
          <t>รวมวัสดุ</t>
        </is>
      </c>
      <c r="B70" s="743">
        <f>B67+B68+B69</f>
        <v/>
      </c>
    </row>
  </sheetData>
  <mergeCells count="6">
    <mergeCell ref="A1:D1"/>
    <mergeCell ref="A34:D34"/>
    <mergeCell ref="A41:D41"/>
    <mergeCell ref="A2:D2"/>
    <mergeCell ref="A16:D16"/>
    <mergeCell ref="A47:D47"/>
  </mergeCells>
  <dataValidations count="6">
    <dataValidation sqref="B5" showDropDown="0" showInputMessage="0" showErrorMessage="0" allowBlank="0" type="list" errorStyle="stop" operator="between">
      <formula1>"แบ่ง 2,แบ่ง 4"</formula1>
      <formula2>0</formula2>
    </dataValidation>
    <dataValidation sqref="B8" showDropDown="0" showInputMessage="0" showErrorMessage="0" allowBlank="0" type="list" errorStyle="stop" operator="between">
      <formula1>"มี,ไม่มี"</formula1>
      <formula2>0</formula2>
    </dataValidation>
    <dataValidation sqref="B7" showDropDown="0" showInputMessage="0" showErrorMessage="0" allowBlank="0" type="list" errorStyle="stop" operator="between">
      <formula1>GlassNames</formula1>
      <formula2>0</formula2>
    </dataValidation>
    <dataValidation sqref="B10" showDropDown="0" showInputMessage="0" showErrorMessage="0" allowBlank="0" type="list" errorStyle="stop" operator="between">
      <formula1>"ใส่,ไม่ใส่"</formula1>
      <formula2>0</formula2>
    </dataValidation>
    <dataValidation sqref="B6" showDropDown="0" showInputMessage="0" showErrorMessage="0" allowBlank="0" type="list" errorStyle="stop" operator="between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sqref="B57" showDropDown="0" showInputMessage="0" showErrorMessage="0" allowBlank="1" type="list">
      <formula1>MungReady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7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0.7" customWidth="1" style="140" min="2" max="3"/>
    <col width="10.7" customWidth="1" style="129" min="3" max="3"/>
    <col width="24" customWidth="1" style="140" min="4" max="4"/>
    <col width="24" customWidth="1" style="129" min="5" max="5"/>
    <col width="10.7" customWidth="1" style="129" min="6" max="6"/>
    <col width="8.6" customWidth="1" style="129" min="7" max="7"/>
    <col width="4.5" customWidth="1" style="129" min="8" max="8"/>
  </cols>
  <sheetData>
    <row r="1" ht="24" customHeight="1" s="129">
      <c r="A1" s="286" t="inlineStr">
        <is>
          <t>คิดทุนบานยก (sms, ขาวดำ) — เดี่ยว/ถ่วง</t>
        </is>
      </c>
      <c r="E1" s="643" t="n"/>
      <c r="G1" s="753" t="inlineStr">
        <is>
          <t>🏠 สารบัญ</t>
        </is>
      </c>
      <c r="H1" s="754" t="n"/>
    </row>
    <row r="3" ht="15" customHeight="1" s="129">
      <c r="A3" s="288" t="inlineStr">
        <is>
          <t>กว้างรวม (ซม.) →</t>
        </is>
      </c>
      <c r="B3" s="289" t="n">
        <v>100</v>
      </c>
    </row>
    <row r="4" ht="15" customHeight="1" s="129">
      <c r="A4" s="288" t="inlineStr">
        <is>
          <t>สูง (ซม.) →</t>
        </is>
      </c>
      <c r="B4" s="289" t="n">
        <v>50</v>
      </c>
    </row>
    <row r="5" ht="15" customHeight="1" s="129">
      <c r="A5" s="288" t="inlineStr">
        <is>
          <t>(จำนวนบาน) →</t>
        </is>
      </c>
      <c r="B5" s="289" t="n">
        <v>1</v>
      </c>
    </row>
    <row r="6" ht="15" customHeight="1" s="129">
      <c r="A6" s="288" t="inlineStr">
        <is>
          <t>แบบ (เดี่ยว/ถ่วง) →</t>
        </is>
      </c>
      <c r="B6" s="301" t="inlineStr">
        <is>
          <t>เดี่ยว</t>
        </is>
      </c>
    </row>
    <row r="7" ht="15" customHeight="1" s="129">
      <c r="A7" s="310" t="inlineStr">
        <is>
          <t>พื้นที่ (ตร.ม.) =</t>
        </is>
      </c>
      <c r="B7" s="311">
        <f>(B3/100)*(B4/100)</f>
        <v/>
      </c>
    </row>
    <row r="8" ht="15" customHeight="1" s="129">
      <c r="A8" s="288" t="inlineStr">
        <is>
          <t>บวกกำไร % →</t>
        </is>
      </c>
      <c r="B8" s="301" t="n">
        <v>100</v>
      </c>
    </row>
    <row r="9" ht="15" customHeight="1" s="129">
      <c r="A9" s="288" t="inlineStr">
        <is>
          <t>ราคาซิลิโคน/หลอด →</t>
        </is>
      </c>
      <c r="B9" s="289" t="n">
        <v>90</v>
      </c>
    </row>
    <row r="10" ht="15" customHeight="1" s="129">
      <c r="A10" s="287" t="inlineStr">
        <is>
          <t>กระจก →</t>
        </is>
      </c>
      <c r="B10" s="283" t="inlineStr">
        <is>
          <t>เขียว 6มม.</t>
        </is>
      </c>
      <c r="C10" s="312">
        <f>INDEX(ราคาวัสดุกลาง!$I$2:$I$106,MATCH(B10,ราคาวัสดุกลาง!$H$2:$H$106,0))</f>
        <v/>
      </c>
      <c r="D10" s="287" t="inlineStr">
        <is>
          <t>← ราคากระจก/ตร.ม. (อัตโนมัติ)</t>
        </is>
      </c>
      <c r="E10" s="287" t="inlineStr">
        <is>
          <t>สี →</t>
        </is>
      </c>
      <c r="F10" s="283" t="inlineStr">
        <is>
          <t>สีอบขาว/ดำ</t>
        </is>
      </c>
      <c r="G10" s="287" t="n"/>
    </row>
    <row r="11" ht="15" customHeight="1" s="129">
      <c r="A11" s="313" t="inlineStr">
        <is>
          <t>วัสดุ</t>
        </is>
      </c>
      <c r="B11" s="313" t="inlineStr">
        <is>
          <t>จำนวน</t>
        </is>
      </c>
      <c r="C11" s="313" t="inlineStr">
        <is>
          <t>ราคา/หน่วย</t>
        </is>
      </c>
      <c r="D11" s="313" t="inlineStr">
        <is>
          <t>ทุน(บาท)</t>
        </is>
      </c>
    </row>
    <row r="12" ht="15" customHeight="1" s="129">
      <c r="A12" s="290" t="inlineStr">
        <is>
          <t>กล่องร่องมีสกรู</t>
        </is>
      </c>
      <c r="B12" s="314">
        <f>(B3/640)*buf_scrap</f>
        <v/>
      </c>
      <c r="C12" s="315">
        <f>IF(F10="สีอบขาว/ดำ",995,IF(OR(F10="เทาซาฮาร่า",F10="สีดำซาฮาร่า"),995+rate_grey*5.52778,IF(F10="ลายไม้ stock",1592,995+IF(F10="สีอบพิเศษ",rate_special,rate_woodbake)*5.52778)))</f>
        <v/>
      </c>
      <c r="D12" s="305">
        <f>B12*C12*mult_euro</f>
        <v/>
      </c>
    </row>
    <row r="13" ht="15" customHeight="1" s="129">
      <c r="A13" s="290" t="inlineStr">
        <is>
          <t>เฟรมบน</t>
        </is>
      </c>
      <c r="B13" s="314">
        <f>(B3/640)*buf_scrap</f>
        <v/>
      </c>
      <c r="C13" s="315">
        <f>IF(F10="สีอบขาว/ดำ",1000,IF(OR(F10="เทาซาฮาร่า",F10="สีดำซาฮาร่า"),1000+rate_grey*5.55556,IF(F10="ลายไม้ stock",1600,1000+IF(F10="สีอบพิเศษ",rate_special,rate_woodbake)*5.55556)))</f>
        <v/>
      </c>
      <c r="D13" s="305">
        <f>B13*C13*mult_euro</f>
        <v/>
      </c>
    </row>
    <row r="14" ht="15" customHeight="1" s="129">
      <c r="A14" s="290" t="inlineStr">
        <is>
          <t>อแดปเตอร์บน</t>
        </is>
      </c>
      <c r="B14" s="314">
        <f>(B3/640)*buf_scrap</f>
        <v/>
      </c>
      <c r="C14" s="315">
        <f>IF(F10="สีอบขาว/ดำ",395,IF(OR(F10="เทาซาฮาร่า",F10="สีดำซาฮาร่า"),395+rate_grey*2.19444,IF(F10="ลายไม้ stock",632,395+IF(F10="สีอบพิเศษ",rate_special,rate_woodbake)*2.19444)))</f>
        <v/>
      </c>
      <c r="D14" s="305">
        <f>B14*C14*mult_euro</f>
        <v/>
      </c>
    </row>
    <row r="15" ht="15" customHeight="1" s="129">
      <c r="A15" s="290" t="inlineStr">
        <is>
          <t>เฟรมล่าง</t>
        </is>
      </c>
      <c r="B15" s="314">
        <f>(B3/640)*buf_scrap</f>
        <v/>
      </c>
      <c r="C15" s="315">
        <f>IF(F10="สีอบขาว/ดำ",840,IF(OR(F10="เทาซาฮาร่า",F10="สีดำซาฮาร่า"),840+rate_grey*4.66667,IF(F10="ลายไม้ stock",1344,840+IF(F10="สีอบพิเศษ",rate_special,rate_woodbake)*4.66667)))</f>
        <v/>
      </c>
      <c r="D15" s="305">
        <f>B15*C15*mult_euro</f>
        <v/>
      </c>
    </row>
    <row r="16" ht="15" customHeight="1" s="129">
      <c r="A16" s="290" t="inlineStr">
        <is>
          <t>อแดปเตอร์รูสกรู</t>
        </is>
      </c>
      <c r="B16" s="314">
        <f>(B3/640)*buf_scrap</f>
        <v/>
      </c>
      <c r="C16" s="315" t="n">
        <v>60</v>
      </c>
      <c r="D16" s="305">
        <f>B16*C16</f>
        <v/>
      </c>
    </row>
    <row r="17" ht="15" customHeight="1" s="129">
      <c r="A17" s="290" t="inlineStr">
        <is>
          <t>กรอบบาน</t>
        </is>
      </c>
      <c r="B17" s="314">
        <f>(B4/640)*buf_scrap</f>
        <v/>
      </c>
      <c r="C17" s="315">
        <f>IF(F10="สีอบขาว/ดำ",600,IF(OR(F10="เทาซาฮาร่า",F10="สีดำซาฮาร่า"),600+rate_grey*3.33333,IF(F10="ลายไม้ stock",960,600+IF(F10="สีอบพิเศษ",rate_special,rate_woodbake)*3.33333)))</f>
        <v/>
      </c>
      <c r="D17" s="305">
        <f>B17*C17*mult_euro</f>
        <v/>
      </c>
    </row>
    <row r="18" ht="15" customHeight="1" s="129">
      <c r="A18" s="290" t="inlineStr">
        <is>
          <t>เสาเกี่ยว</t>
        </is>
      </c>
      <c r="B18" s="314">
        <f>(B4/640)*buf_scrap</f>
        <v/>
      </c>
      <c r="C18" s="315" t="n">
        <v>195</v>
      </c>
      <c r="D18" s="305">
        <f>B18*C18</f>
        <v/>
      </c>
    </row>
    <row r="19" ht="15" customHeight="1" s="129">
      <c r="A19" s="290" t="inlineStr">
        <is>
          <t>รางข้าง</t>
        </is>
      </c>
      <c r="B19" s="314">
        <f>(B4/640)*buf_scrap</f>
        <v/>
      </c>
      <c r="C19" s="315">
        <f>IF(F10="สีอบขาว/ดำ",1175,IF(OR(F10="เทาซาฮาร่า",F10="สีดำซาฮาร่า"),1175+rate_grey*6.52778,IF(F10="ลายไม้ stock",1880,1175+IF(F10="สีอบพิเศษ",rate_special,rate_woodbake)*6.52778)))</f>
        <v/>
      </c>
      <c r="D19" s="305">
        <f>B19*C19*mult_euro</f>
        <v/>
      </c>
    </row>
    <row r="20" ht="15" customHeight="1" s="129">
      <c r="A20" s="290" t="inlineStr">
        <is>
          <t>กล่องอุปกรณ์</t>
        </is>
      </c>
      <c r="B20" s="314">
        <f>1</f>
        <v/>
      </c>
      <c r="C20" s="315">
        <f>IF(B6="ถ่วง",2520,1350)</f>
        <v/>
      </c>
      <c r="D20" s="305">
        <f>B20*C20</f>
        <v/>
      </c>
    </row>
    <row r="21" ht="15" customHeight="1" s="129">
      <c r="A21" s="290" t="inlineStr">
        <is>
          <t>มือจับ</t>
        </is>
      </c>
      <c r="B21" s="314">
        <f>1</f>
        <v/>
      </c>
      <c r="C21" s="315" t="n">
        <v>60</v>
      </c>
      <c r="D21" s="305">
        <f>B21*C21</f>
        <v/>
      </c>
    </row>
    <row r="22" ht="15" customHeight="1" s="129">
      <c r="A22" s="290" t="inlineStr">
        <is>
          <t>ล๊อคกลาง</t>
        </is>
      </c>
      <c r="B22" s="314">
        <f>1</f>
        <v/>
      </c>
      <c r="C22" s="315" t="n">
        <v>70</v>
      </c>
      <c r="D22" s="305">
        <f>B22*C22</f>
        <v/>
      </c>
    </row>
    <row r="23" ht="15" customHeight="1" s="129">
      <c r="A23" s="290" t="inlineStr">
        <is>
          <t>คอยสปริง</t>
        </is>
      </c>
      <c r="B23" s="314">
        <f>IF(B6="ถ่วง",0,2)</f>
        <v/>
      </c>
      <c r="C23" s="315" t="n">
        <v>160</v>
      </c>
      <c r="D23" s="305">
        <f>B23*C23</f>
        <v/>
      </c>
    </row>
    <row r="24" ht="15" customHeight="1" s="129">
      <c r="A24" s="290" t="inlineStr">
        <is>
          <t>ฝาปิดฝุ่น</t>
        </is>
      </c>
      <c r="B24" s="314">
        <f>IF(B6="ถ่วง",0,2)</f>
        <v/>
      </c>
      <c r="C24" s="315" t="n">
        <v>10</v>
      </c>
      <c r="D24" s="305">
        <f>B24*C24</f>
        <v/>
      </c>
    </row>
    <row r="25" ht="15" customHeight="1" s="129">
      <c r="A25" s="290" t="inlineStr">
        <is>
          <t>ตลับตะขอเกี่ยว</t>
        </is>
      </c>
      <c r="B25" s="314">
        <f>IF(B6="ถ่วง",0,4)</f>
        <v/>
      </c>
      <c r="C25" s="315" t="n">
        <v>130</v>
      </c>
      <c r="D25" s="305">
        <f>B25*C25</f>
        <v/>
      </c>
    </row>
    <row r="26" ht="15" customHeight="1" s="129">
      <c r="A26" s="290" t="inlineStr">
        <is>
          <t>กิ๊ปล็อค</t>
        </is>
      </c>
      <c r="B26" s="314">
        <f>IF(B6="ถ่วง",0,4)</f>
        <v/>
      </c>
      <c r="C26" s="315" t="n">
        <v>20</v>
      </c>
      <c r="D26" s="305">
        <f>B26*C26</f>
        <v/>
      </c>
    </row>
    <row r="27" ht="15" customHeight="1" s="129">
      <c r="A27" s="290" t="inlineStr">
        <is>
          <t>กล่องใส่สปริง</t>
        </is>
      </c>
      <c r="B27" s="314">
        <f>IF(B6="ถ่วง",0,2)</f>
        <v/>
      </c>
      <c r="C27" s="315" t="n">
        <v>30</v>
      </c>
      <c r="D27" s="305">
        <f>B27*C27</f>
        <v/>
      </c>
    </row>
    <row r="28" ht="15" customHeight="1" s="129">
      <c r="A28" s="290" t="inlineStr">
        <is>
          <t>กระจก (ตร.ม.)</t>
        </is>
      </c>
      <c r="B28" s="314">
        <f>B7</f>
        <v/>
      </c>
      <c r="C28" s="315">
        <f>INDEX(ราคาวัสดุกลาง!$I$2:$I$106,MATCH(B10,ราคาวัสดุกลาง!$H$2:$H$106,0))</f>
        <v/>
      </c>
      <c r="D28" s="305">
        <f>B28*C28</f>
        <v/>
      </c>
    </row>
    <row r="29" ht="15" customHeight="1" s="129">
      <c r="A29" s="290" t="inlineStr">
        <is>
          <t>ซิลิโคน (หลอด) ใน+นอก</t>
        </is>
      </c>
      <c r="B29" s="314">
        <f>ROUNDUP(2*(B3+B4)/100*2/12.5,0)</f>
        <v/>
      </c>
      <c r="C29" s="315">
        <f>B9</f>
        <v/>
      </c>
      <c r="D29" s="305">
        <f>B29*C29</f>
        <v/>
      </c>
    </row>
    <row r="30" ht="15" customHeight="1" s="129">
      <c r="A30" s="316" t="inlineStr">
        <is>
          <t>ค่าเปิดตู้อบ</t>
        </is>
      </c>
      <c r="B30" s="316">
        <f>IF(OR(F10="สีอบพิเศษ",F10="สีลายไม้อบพิเศษ"),1,0)</f>
        <v/>
      </c>
      <c r="C30" s="312" t="n">
        <v>2000</v>
      </c>
      <c r="D30" s="312">
        <f>B30*C30</f>
        <v/>
      </c>
      <c r="E30" s="316" t="inlineStr">
        <is>
          <t>สีอบพิเศษ / ลายไม้อบพิเศษ เท่านั้น</t>
        </is>
      </c>
    </row>
    <row r="31" ht="15" customHeight="1" s="129">
      <c r="A31" s="317" t="inlineStr">
        <is>
          <t>ทุนรวม</t>
        </is>
      </c>
      <c r="D31" s="318">
        <f>SUM(D12:D30)+D51+D56+D57+D58+D59</f>
        <v/>
      </c>
    </row>
    <row r="32" ht="15" customHeight="1" s="129">
      <c r="A32" s="317" t="inlineStr">
        <is>
          <t>ทุน/ตร.ม.</t>
        </is>
      </c>
      <c r="D32" s="318">
        <f>IFERROR(D31/B7,0)</f>
        <v/>
      </c>
    </row>
    <row r="33" ht="15" customHeight="1" s="129">
      <c r="A33" s="319" t="inlineStr">
        <is>
          <t>ราคาขาย/ตร.ม. (ทุน+กำไร%)</t>
        </is>
      </c>
      <c r="D33" s="321">
        <f>ROUNDUP(D31*(1+B8/100)/100,0)*100</f>
        <v/>
      </c>
    </row>
    <row r="34" ht="15" customHeight="1" s="129">
      <c r="A34" s="319" t="inlineStr">
        <is>
          <t>ราคาขายรวม/ชุด</t>
        </is>
      </c>
      <c r="D34" s="321">
        <f>D33</f>
        <v/>
      </c>
    </row>
    <row r="35" ht="15" customHeight="1" s="129">
      <c r="A35" s="322" t="inlineStr">
        <is>
          <t>%กำไรจริง (บนทุน)</t>
        </is>
      </c>
      <c r="D35" s="323">
        <f>IFERROR((D33-D31)/D31,0)</f>
        <v/>
      </c>
    </row>
    <row r="36" ht="15" customHeight="1" s="129">
      <c r="A36" s="200" t="n"/>
      <c r="D36" s="169" t="n"/>
    </row>
    <row r="37" ht="15" customHeight="1" s="129">
      <c r="D37" s="169" t="n"/>
    </row>
    <row r="38" ht="15" customHeight="1" s="129">
      <c r="A38" s="201" t="n"/>
      <c r="B38" s="202" t="n"/>
      <c r="C38" s="202" t="n"/>
      <c r="D38" s="203" t="n"/>
    </row>
    <row r="39">
      <c r="A39" s="276" t="inlineStr">
        <is>
          <t>— ผูกค่าแรง (ราคาขายรวมค่าแรง) —</t>
        </is>
      </c>
    </row>
    <row r="40">
      <c r="A40" s="324" t="inlineStr">
        <is>
          <t>ค่าแรงผลิต (จากชีทค่าแรง)</t>
        </is>
      </c>
      <c r="D40" s="277">
        <f>MAX(0,VLOOKUP("บานยก (เซมิ)",'ค่าแรง'!$A$12:$E$27,2,0)+VLOOKUP("บานยก (เซมิ)",'ค่าแรง'!$A$12:$E$27,3,0)*B7)</f>
        <v/>
      </c>
    </row>
    <row r="41">
      <c r="A41" s="324" t="inlineStr">
        <is>
          <t>ค่าแรงติดตั้ง (จากชีทค่าแรง)</t>
        </is>
      </c>
      <c r="D41" s="277">
        <f>MAX(0,VLOOKUP("บานยก (เซมิ)",'ค่าแรง'!$A$12:$E$27,4,0)+VLOOKUP("บานยก (เซมิ)",'ค่าแรง'!$A$12:$E$27,5,0)*B7)</f>
        <v/>
      </c>
    </row>
    <row r="42">
      <c r="A42" s="324" t="inlineStr">
        <is>
          <t>กำไรติดตั้ง % →</t>
        </is>
      </c>
      <c r="B42" s="278" t="n">
        <v>100</v>
      </c>
    </row>
    <row r="43">
      <c r="A43" s="276" t="inlineStr">
        <is>
          <t>ราคาขาย ผลิตอย่างเดียว</t>
        </is>
      </c>
      <c r="D43" s="279">
        <f>ROUNDUP((D31+D40+D60)*(1+B8/100)/100,0)*100</f>
        <v/>
      </c>
    </row>
    <row r="44">
      <c r="A44" s="276" t="inlineStr">
        <is>
          <t>ราคาขาย ผลิต+ติดตั้ง</t>
        </is>
      </c>
      <c r="D44" s="279">
        <f>D43+ROUNDUP((D41+D61)*(1+B42/100)/100,0)*100</f>
        <v/>
      </c>
    </row>
    <row r="45">
      <c r="A45" s="276" t="inlineStr">
        <is>
          <t>%กำไรจริง (ผลิต+ติดตั้ง)</t>
        </is>
      </c>
      <c r="D45" s="280">
        <f>(D44-(D31+D40+D41+D60+D61))/(D31+D40+D41+D60+D61)</f>
        <v/>
      </c>
    </row>
    <row r="47">
      <c r="A47" s="433" t="inlineStr">
        <is>
          <t>— ชุด auto (ออปชั่น) — บวกเข้าทุน × กำไร%</t>
        </is>
      </c>
      <c r="B47" s="434" t="n"/>
      <c r="C47" s="434" t="n"/>
      <c r="D47" s="434" t="n"/>
    </row>
    <row r="48">
      <c r="A48" s="134" t="inlineStr">
        <is>
          <t>ใส่ auto? →</t>
        </is>
      </c>
      <c r="B48" s="435" t="inlineStr">
        <is>
          <t>ไม่มี</t>
        </is>
      </c>
      <c r="C48" s="434" t="n"/>
      <c r="D48" s="434" t="n"/>
    </row>
    <row r="49">
      <c r="A49" s="134" t="inlineStr">
        <is>
          <t>ชุด auto →</t>
        </is>
      </c>
      <c r="B49" s="435" t="inlineStr">
        <is>
          <t>ยก 80 กก.</t>
        </is>
      </c>
      <c r="C49" s="434" t="n"/>
      <c r="D49" s="434" t="n"/>
    </row>
    <row r="50">
      <c r="A50" s="434" t="n"/>
      <c r="B50" s="434" t="n"/>
      <c r="C50" s="434" t="n"/>
      <c r="D50" s="434" t="n"/>
    </row>
    <row r="51">
      <c r="A51" s="436" t="inlineStr">
        <is>
          <t>ทุนชุด auto</t>
        </is>
      </c>
      <c r="B51" s="434" t="n"/>
      <c r="C51" s="434" t="n"/>
      <c r="D51" s="437">
        <f>IF(B48="ไม่มี",0,INDEX(ราคาออโต้!$C:$C,MATCH(B49,ราคาออโต้!$B:$B,0))+INDEX(ราคาออโต้!$D:$D,MATCH(B49,ราคาออโต้!$B:$B,0)))</f>
        <v/>
      </c>
    </row>
    <row r="53">
      <c r="A53" s="532" t="inlineStr">
        <is>
          <t>— มุ้ง (ออปชั่น) — บวกเข้าทุน —</t>
        </is>
      </c>
    </row>
    <row r="54">
      <c r="A54" s="276" t="inlineStr">
        <is>
          <t>เลือกมุ้ง →</t>
        </is>
      </c>
      <c r="B54" s="594" t="inlineStr">
        <is>
          <t>ไม่มีมุ้ง</t>
        </is>
      </c>
      <c r="C54" s="140">
        <f>IF(B54="ไม่มีมุ้ง","—",IF(H55=1,"✓ ใช้ได้","⚠ ใช้กับบานนี้ไม่ได้(ทุน=0)"))</f>
        <v/>
      </c>
      <c r="D54" s="140">
        <f>IF(B54="ไม่มีมุ้ง","",H60&amp;" บาน")</f>
        <v/>
      </c>
      <c r="H54" s="514">
        <f>IFERROR(VLOOKUP(B54,ราคามุ้ง!$A$2:$O$15,3,0),"")</f>
        <v/>
      </c>
    </row>
    <row r="55">
      <c r="A55" s="387" t="inlineStr">
        <is>
          <t>ชนิดผ้า / สี →</t>
        </is>
      </c>
      <c r="B55" s="594" t="inlineStr">
        <is>
          <t>ไฟเบอร์</t>
        </is>
      </c>
      <c r="C55" s="594" t="inlineStr">
        <is>
          <t>เทา</t>
        </is>
      </c>
      <c r="H55" s="514">
        <f>IF(B54="ไม่มีมุ้ง",0,IF(OR(IFERROR(VLOOKUP(B54,ราคามุ้ง!$A$2:$O$15,4,0),"ALL")="ALL",ISNUMBER(SEARCH("ยก",IFERROR(VLOOKUP(B54,ราคามุ้ง!$A$2:$O$15,4,0),"")))),1,0))</f>
        <v/>
      </c>
    </row>
    <row r="56">
      <c r="A56" s="387" t="inlineStr">
        <is>
          <t>› เสา (เส้น 6ม.)</t>
        </is>
      </c>
      <c r="B56" s="601">
        <f>IF(AND(H55=1,H56=1),ROUND(H60*2*H59/6,2),0)</f>
        <v/>
      </c>
      <c r="C56" s="598">
        <f>IF(B54="มุ้งเฟรมเล็ก",'ราคามุ้ง'!$B$19,IF(B54="มุ้งเฟรมใหญ่",ROUND(C17*mult_euro,0),IF(B54="มุ้งนิรภัย",'ราคามุ้ง'!$B$21,0)))</f>
        <v/>
      </c>
      <c r="D56" s="389">
        <f>ROUND(B56*C56,0)</f>
        <v/>
      </c>
      <c r="H56" s="514">
        <f>IF(OR(B54="มุ้งเฟรมเล็ก",B54="มุ้งเฟรมใหญ่",B54="มุ้งนิรภัย"),1,0)</f>
        <v/>
      </c>
    </row>
    <row r="57">
      <c r="A57" s="387" t="inlineStr">
        <is>
          <t>› ขวาง (เส้น 6ม.)</t>
        </is>
      </c>
      <c r="B57" s="601">
        <f>IF(AND(H55=1,H56=1),ROUND(H60*2*H58/6,2),0)</f>
        <v/>
      </c>
      <c r="C57" s="598">
        <f>IF(B54="มุ้งเฟรมเล็ก",'ราคามุ้ง'!$B$19,IF(B54="มุ้งเฟรมใหญ่",ROUND(C17*mult_euro,0),IF(B54="มุ้งนิรภัย",'ราคามุ้ง'!$B$21,0)))</f>
        <v/>
      </c>
      <c r="D57" s="389">
        <f>ROUND(B57*C57,0)</f>
        <v/>
      </c>
      <c r="H57" s="514">
        <f>IFERROR(VLOOKUP(B55,ราคามุ้ง!$I$2:$J$5,2,0),0)</f>
        <v/>
      </c>
    </row>
    <row r="58">
      <c r="A58" s="387" t="inlineStr">
        <is>
          <t>› ยางอัด (ม.)</t>
        </is>
      </c>
      <c r="B58" s="601">
        <f>IF(AND(H55=1,H56=1),ROUND(H60*2*(H58+H59),2),0)</f>
        <v/>
      </c>
      <c r="C58" s="598">
        <f>'ราคามุ้ง'!$D$19</f>
        <v/>
      </c>
      <c r="D58" s="389">
        <f>ROUND(B58*C58,0)</f>
        <v/>
      </c>
      <c r="H58" s="514">
        <f>B3/(B5*100)</f>
        <v/>
      </c>
    </row>
    <row r="59">
      <c r="A59" s="387" t="inlineStr">
        <is>
          <t>› ผ้า / มุ้งสำเร็จ</t>
        </is>
      </c>
      <c r="B59" s="601">
        <f>IF(H55=0,0,ROUND(H60*H58*H59,2))</f>
        <v/>
      </c>
      <c r="C59" s="598">
        <f>IF(B54="มุ้งนิรภัย",650,IF(OR(B54="มุ้งเฟรมเล็ก",B54="มุ้งเฟรมใหญ่"),H57,IF(H54="ซื้อสำเร็จ",IFERROR(VLOOKUP(B54,ราคามุ้ง!$A$2:$O$15,2,0),0),0)))</f>
        <v/>
      </c>
      <c r="D59" s="389">
        <f>ROUND(B59*C59,0)</f>
        <v/>
      </c>
      <c r="H59" s="514">
        <f>B4/100</f>
        <v/>
      </c>
    </row>
    <row r="60">
      <c r="A60" s="387" t="inlineStr">
        <is>
          <t>› ค่าแรงผลิตมุ้ง</t>
        </is>
      </c>
      <c r="D60" s="389">
        <f>IF(H55=0,0,ROUND(H60*(VLOOKUP(B54,ราคามุ้ง!$A$2:$O$15,12,0)+VLOOKUP(B54,ราคามุ้ง!$A$2:$O$15,13,0)*H58*H59),0))</f>
        <v/>
      </c>
      <c r="H60" s="514">
        <f>B5</f>
        <v/>
      </c>
    </row>
    <row r="61">
      <c r="A61" s="387" t="inlineStr">
        <is>
          <t>› ค่าแรงติดตั้งมุ้ง</t>
        </is>
      </c>
      <c r="D61" s="389">
        <f>IF(H55=0,0,ROUND(H60*(VLOOKUP(B54,ราคามุ้ง!$A$2:$O$15,14,0)+VLOOKUP(B54,ราคามุ้ง!$A$2:$O$15,15,0)*H58*H59),0))</f>
        <v/>
      </c>
    </row>
    <row r="62">
      <c r="A62" s="663" t="inlineStr">
        <is>
          <t>รวมราคามุ้ง (บวกเข้าทุนแล้ว)</t>
        </is>
      </c>
      <c r="D62" s="664">
        <f>SUM(D56:D61)</f>
        <v/>
      </c>
    </row>
    <row r="63">
      <c r="A63" s="745" t="n"/>
      <c r="B63" s="745" t="n"/>
      <c r="C63" s="745" t="n"/>
      <c r="D63" s="745" t="n"/>
      <c r="E63" s="745" t="n"/>
      <c r="F63" s="745" t="n"/>
      <c r="G63" s="745" t="n"/>
      <c r="H63" s="745" t="n"/>
      <c r="I63" s="745" t="n"/>
      <c r="J63" s="745" t="n"/>
      <c r="K63" s="745" t="n"/>
    </row>
    <row r="64">
      <c r="A64" s="746" t="n"/>
      <c r="B64" s="745" t="n"/>
      <c r="C64" s="745" t="n"/>
      <c r="D64" s="745" t="n"/>
      <c r="E64" s="745" t="n"/>
      <c r="F64" s="745" t="n"/>
      <c r="G64" s="745" t="n"/>
      <c r="H64" s="745" t="n"/>
      <c r="I64" s="745" t="n"/>
      <c r="J64" s="745" t="n"/>
      <c r="K64" s="745" t="n"/>
    </row>
    <row r="65">
      <c r="A65" s="747" t="n"/>
      <c r="B65" s="748" t="n"/>
      <c r="C65" s="745" t="n"/>
      <c r="D65" s="745" t="n"/>
      <c r="E65" s="745" t="n"/>
      <c r="F65" s="745" t="n"/>
      <c r="G65" s="745" t="n"/>
      <c r="H65" s="745" t="n"/>
      <c r="I65" s="745" t="n"/>
      <c r="J65" s="745" t="n"/>
      <c r="K65" s="745" t="n"/>
    </row>
    <row r="66">
      <c r="A66" s="747" t="n"/>
      <c r="B66" s="748" t="n"/>
      <c r="C66" s="745" t="n"/>
      <c r="D66" s="745" t="n"/>
      <c r="E66" s="745" t="n"/>
      <c r="F66" s="745" t="n"/>
      <c r="G66" s="745" t="n"/>
      <c r="H66" s="745" t="n"/>
      <c r="I66" s="745" t="n"/>
      <c r="J66" s="745" t="n"/>
      <c r="K66" s="745" t="n"/>
    </row>
    <row r="67">
      <c r="A67" s="747" t="n"/>
      <c r="B67" s="748" t="n"/>
      <c r="C67" s="745" t="n"/>
      <c r="D67" s="745" t="n"/>
      <c r="E67" s="745" t="n"/>
      <c r="F67" s="745" t="n"/>
      <c r="G67" s="745" t="n"/>
      <c r="H67" s="745" t="n"/>
      <c r="I67" s="745" t="n"/>
      <c r="J67" s="745" t="n"/>
      <c r="K67" s="745" t="n"/>
    </row>
    <row r="68">
      <c r="A68" s="747" t="n"/>
      <c r="B68" s="749" t="n"/>
      <c r="C68" s="745" t="n"/>
      <c r="D68" s="745" t="n"/>
      <c r="E68" s="745" t="n"/>
      <c r="F68" s="745" t="n"/>
      <c r="G68" s="745" t="n"/>
      <c r="H68" s="745" t="n"/>
      <c r="I68" s="745" t="n"/>
      <c r="J68" s="745" t="n"/>
      <c r="K68" s="745" t="n"/>
    </row>
    <row r="69">
      <c r="A69" s="745" t="n"/>
      <c r="B69" s="745" t="n"/>
      <c r="C69" s="745" t="n"/>
      <c r="D69" s="745" t="n"/>
      <c r="E69" s="745" t="n"/>
      <c r="F69" s="745" t="n"/>
      <c r="G69" s="745" t="n"/>
      <c r="H69" s="745" t="n"/>
      <c r="I69" s="745" t="n"/>
      <c r="J69" s="745" t="n"/>
      <c r="K69" s="745" t="n"/>
    </row>
    <row r="70">
      <c r="A70" s="738" t="inlineStr">
        <is>
          <t>🔍 แยกก้อนต้นทุน</t>
        </is>
      </c>
    </row>
    <row r="71">
      <c r="A71" s="739" t="inlineStr">
        <is>
          <t>ทุนอลู (×ราคา/กก.)</t>
        </is>
      </c>
      <c r="B71" s="740">
        <f>D12+D13+D14+D15+D17+D18+D19+D20+D27+D29</f>
        <v/>
      </c>
    </row>
    <row r="72">
      <c r="A72" s="741" t="inlineStr">
        <is>
          <t>ทุนกระจก</t>
        </is>
      </c>
      <c r="B72" s="742">
        <f>D28</f>
        <v/>
      </c>
    </row>
    <row r="73">
      <c r="A73" s="741" t="inlineStr">
        <is>
          <t>ทุนอุปกรณ์+ซิลิโคน</t>
        </is>
      </c>
      <c r="B73" s="742">
        <f>D16+D21+D22+D23+D24+D25+D26+D30</f>
        <v/>
      </c>
    </row>
    <row r="74">
      <c r="A74" s="741" t="inlineStr">
        <is>
          <t>รวมวัสดุ</t>
        </is>
      </c>
      <c r="B74" s="743">
        <f>B71+B72+B73</f>
        <v/>
      </c>
    </row>
  </sheetData>
  <mergeCells count="2">
    <mergeCell ref="A1:D1"/>
    <mergeCell ref="A36:D37"/>
  </mergeCells>
  <dataValidations count="8">
    <dataValidation sqref="B6" showDropDown="0" showInputMessage="0" showErrorMessage="0" allowBlank="0" type="list" errorStyle="stop" operator="between">
      <formula1>"เดี่ยว,ถ่วง"</formula1>
      <formula2>0</formula2>
    </dataValidation>
    <dataValidation sqref="B10" showDropDown="0" showInputMessage="0" showErrorMessage="0" allowBlank="0" type="list" errorStyle="stop" operator="between">
      <formula1>GlassNames</formula1>
      <formula2>0</formula2>
    </dataValidation>
    <dataValidation sqref="F10" showDropDown="0" showInputMessage="0" showErrorMessage="0" allowBlank="0" type="list" errorStyle="stop" operator="between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sqref="B48" showDropDown="0" showInputMessage="0" showErrorMessage="0" allowBlank="1" type="list">
      <formula1>"มี,ไม่มี"</formula1>
    </dataValidation>
    <dataValidation sqref="B49" showDropDown="0" showInputMessage="0" showErrorMessage="0" allowBlank="1" type="list">
      <formula1>"ยก 80 กก.,ยก 300 กก."</formula1>
    </dataValidation>
    <dataValidation sqref="B54" showDropDown="0" showInputMessage="0" showErrorMessage="0" allowBlank="1" type="list">
      <formula1>MungList</formula1>
    </dataValidation>
    <dataValidation sqref="B55" showDropDown="0" showInputMessage="0" showErrorMessage="0" allowBlank="1" type="list">
      <formula1>ClothList</formula1>
    </dataValidation>
    <dataValidation sqref="C55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R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21.1" customWidth="1" style="140" min="2" max="2"/>
    <col width="5.4" customWidth="1" style="140" min="3" max="3"/>
    <col width="19.1" customWidth="1" style="140" min="4" max="4"/>
    <col width="18" customWidth="1" style="140" min="5" max="5"/>
    <col width="10.7" customWidth="1" style="129" min="6" max="6"/>
    <col width="8.6" customWidth="1" style="129" min="7" max="7"/>
    <col width="23.2" customWidth="1" style="129" min="10" max="10"/>
    <col width="4.5" customWidth="1" style="129" min="11" max="11"/>
    <col width="4.5" customWidth="1" style="129" min="12" max="12"/>
    <col width="6.5" customWidth="1" style="129" min="13" max="13"/>
    <col width="4.5" customWidth="1" style="129" min="14" max="14"/>
    <col width="6.5" customWidth="1" style="129" min="15" max="15"/>
    <col width="4.5" customWidth="1" style="129" min="16" max="16"/>
    <col width="6.5" customWidth="1" style="129" min="17" max="17"/>
    <col width="4.5" customWidth="1" style="129" min="18" max="18"/>
  </cols>
  <sheetData>
    <row r="1" ht="24" customHeight="1" s="129">
      <c r="A1" s="286" t="inlineStr">
        <is>
          <t>ถอดทุนบานเฟี้ยมยูโร (Fuji bi-fold) — นับเส้นเต็ม Σ÷6400</t>
        </is>
      </c>
      <c r="F1" s="643" t="n"/>
      <c r="G1" s="753" t="inlineStr">
        <is>
          <t>🏠 สารบัญ</t>
        </is>
      </c>
      <c r="H1" s="754" t="n"/>
      <c r="J1" s="324" t="inlineStr">
        <is>
          <t>LUT รูปแบบ (ซ่อนได้)</t>
        </is>
      </c>
    </row>
    <row r="2" ht="15" customHeight="1" s="129">
      <c r="A2" s="287" t="inlineStr">
        <is>
          <t>กว้างรวม (ซม.) →</t>
        </is>
      </c>
      <c r="B2" s="283" t="n">
        <v>180</v>
      </c>
      <c r="D2" s="287" t="inlineStr">
        <is>
          <t>ชนกลาง=</t>
        </is>
      </c>
      <c r="E2" s="287">
        <f>VLOOKUP(B5,$J$2:$R$38,3,0)</f>
        <v/>
      </c>
      <c r="J2" s="324" t="inlineStr">
        <is>
          <t>2บาน: 2-0 พับข้างเดียว</t>
        </is>
      </c>
      <c r="K2" s="324" t="n">
        <v>2</v>
      </c>
      <c r="L2" s="324" t="n">
        <v>1</v>
      </c>
      <c r="M2" s="403" t="n">
        <v>2700</v>
      </c>
      <c r="N2" s="403" t="n">
        <v>7</v>
      </c>
      <c r="O2" s="403" t="n">
        <v>9999</v>
      </c>
      <c r="P2" s="403" t="n">
        <v>10</v>
      </c>
      <c r="Q2" s="403" t="n">
        <v>9999</v>
      </c>
      <c r="R2" s="403" t="n">
        <v>10</v>
      </c>
    </row>
    <row r="3" ht="15" customHeight="1" s="129">
      <c r="A3" s="287" t="inlineStr">
        <is>
          <t>สูง (ซม.) →</t>
        </is>
      </c>
      <c r="B3" s="283" t="n">
        <v>280</v>
      </c>
      <c r="D3" s="287" t="inlineStr">
        <is>
          <t>บานพับ=</t>
        </is>
      </c>
      <c r="E3" s="287">
        <f>IF(B3*10&lt;=VLOOKUP(B5,$J$2:$R$38,4,0),VLOOKUP(B5,$J$2:$R$38,5,0),IF(B3*10&lt;=VLOOKUP(B5,$J$2:$R$38,6,0),VLOOKUP(B5,$J$2:$R$38,7,0),VLOOKUP(B5,$J$2:$R$38,9,0)))</f>
        <v/>
      </c>
      <c r="J3" s="324" t="inlineStr">
        <is>
          <t>3บาน: 3-0 พับข้างเดียว</t>
        </is>
      </c>
      <c r="K3" s="324" t="n">
        <v>3</v>
      </c>
      <c r="L3" s="324" t="n">
        <v>0</v>
      </c>
      <c r="M3" s="403" t="n">
        <v>2500</v>
      </c>
      <c r="N3" s="403" t="n">
        <v>7</v>
      </c>
      <c r="O3" s="403" t="n">
        <v>3000</v>
      </c>
      <c r="P3" s="403" t="n">
        <v>10</v>
      </c>
      <c r="Q3" s="403" t="n">
        <v>9999</v>
      </c>
      <c r="R3" s="403" t="n">
        <v>13</v>
      </c>
    </row>
    <row r="4" ht="15" customHeight="1" s="129">
      <c r="A4" s="287" t="inlineStr">
        <is>
          <t>จำนวนบาน (auto) →</t>
        </is>
      </c>
      <c r="B4" s="283">
        <f>IFERROR(VALUE(LEFT(B5,FIND("บาน",B5)-1)),2)</f>
        <v/>
      </c>
      <c r="D4" s="287" t="inlineStr">
        <is>
          <t>สีidx=</t>
        </is>
      </c>
      <c r="E4" s="287">
        <f>IFERROR(MATCH(F10,{"สีอบขาว/ดำ","เทาซาฮาร่า","สีดำซาฮาร่า","แอทแทคเกรย์","ลายไม้สักทอง","ลายไม้มะฮอกกานี","ลายไม้ไวท์โอ๊ค","สีอบพิเศษ","สีลายไม้อบพิเศษ"},0),0)</f>
        <v/>
      </c>
      <c r="J4" s="324" t="inlineStr">
        <is>
          <t>3บาน: 2-1 พับสลับ</t>
        </is>
      </c>
      <c r="K4" s="324" t="n">
        <v>3</v>
      </c>
      <c r="L4" s="324" t="n">
        <v>0</v>
      </c>
      <c r="M4" s="403" t="n">
        <v>2700</v>
      </c>
      <c r="N4" s="403" t="n">
        <v>9</v>
      </c>
      <c r="O4" s="403" t="n">
        <v>9999</v>
      </c>
      <c r="P4" s="403" t="n">
        <v>12</v>
      </c>
      <c r="Q4" s="403" t="n">
        <v>9999</v>
      </c>
      <c r="R4" s="403" t="n">
        <v>12</v>
      </c>
    </row>
    <row r="5" ht="15" customHeight="1" s="129">
      <c r="A5" s="287" t="inlineStr">
        <is>
          <t>รูปแบบพับ →</t>
        </is>
      </c>
      <c r="B5" s="283" t="inlineStr">
        <is>
          <t>2บาน: 2-0 พับข้างเดียว</t>
        </is>
      </c>
      <c r="D5" s="287" t="inlineStr">
        <is>
          <t>กว้างบาน(มม)=</t>
        </is>
      </c>
      <c r="E5" s="287">
        <f>(B2*10-110)/B4</f>
        <v/>
      </c>
      <c r="J5" s="324" t="inlineStr">
        <is>
          <t>4บาน: 4-0 พับข้างเดียว</t>
        </is>
      </c>
      <c r="K5" s="324" t="n">
        <v>4</v>
      </c>
      <c r="L5" s="324" t="n">
        <v>1</v>
      </c>
      <c r="M5" s="403" t="n">
        <v>2700</v>
      </c>
      <c r="N5" s="403" t="n">
        <v>11</v>
      </c>
      <c r="O5" s="403" t="n">
        <v>9999</v>
      </c>
      <c r="P5" s="403" t="n">
        <v>16</v>
      </c>
      <c r="Q5" s="403" t="n">
        <v>9999</v>
      </c>
      <c r="R5" s="403" t="n">
        <v>16</v>
      </c>
    </row>
    <row r="6" ht="15" customHeight="1" s="129">
      <c r="A6" s="287" t="inlineStr">
        <is>
          <t>รางล่าง →</t>
        </is>
      </c>
      <c r="B6" s="283" t="inlineStr">
        <is>
          <t>ปกติ</t>
        </is>
      </c>
      <c r="D6" s="287" t="inlineStr">
        <is>
          <t>W(มม)=</t>
        </is>
      </c>
      <c r="E6" s="287">
        <f>B2*10</f>
        <v/>
      </c>
      <c r="J6" s="324" t="inlineStr">
        <is>
          <t>4บาน: 3-1 พับสลับ</t>
        </is>
      </c>
      <c r="K6" s="324" t="n">
        <v>4</v>
      </c>
      <c r="L6" s="324" t="n">
        <v>0</v>
      </c>
      <c r="M6" s="403" t="n">
        <v>2700</v>
      </c>
      <c r="N6" s="403" t="n">
        <v>7</v>
      </c>
      <c r="O6" s="403" t="n">
        <v>9999</v>
      </c>
      <c r="P6" s="403" t="n">
        <v>10</v>
      </c>
      <c r="Q6" s="403" t="n">
        <v>9999</v>
      </c>
      <c r="R6" s="403" t="n">
        <v>10</v>
      </c>
    </row>
    <row r="7" ht="15" customHeight="1" s="129">
      <c r="A7" s="287" t="inlineStr">
        <is>
          <t>พื้นที่ (ตร.ม.) =</t>
        </is>
      </c>
      <c r="B7" s="287">
        <f>(B2/100)*(B3/100)</f>
        <v/>
      </c>
      <c r="D7" s="287" t="inlineStr">
        <is>
          <t>H(มม)=</t>
        </is>
      </c>
      <c r="E7" s="287">
        <f>B3*10</f>
        <v/>
      </c>
      <c r="J7" s="324" t="inlineStr">
        <is>
          <t>4บาน: 2-2 เปิดกลาง</t>
        </is>
      </c>
      <c r="K7" s="324" t="n">
        <v>4</v>
      </c>
      <c r="L7" s="324" t="n">
        <v>2</v>
      </c>
      <c r="M7" s="403" t="n">
        <v>2500</v>
      </c>
      <c r="N7" s="403" t="n">
        <v>14</v>
      </c>
      <c r="O7" s="403" t="n">
        <v>3000</v>
      </c>
      <c r="P7" s="403" t="n">
        <v>20</v>
      </c>
      <c r="Q7" s="403" t="n">
        <v>9999</v>
      </c>
      <c r="R7" s="403" t="n">
        <v>26</v>
      </c>
    </row>
    <row r="8" ht="15" customHeight="1" s="129">
      <c r="A8" s="287" t="inlineStr">
        <is>
          <t>บวกกำไร % →</t>
        </is>
      </c>
      <c r="B8" s="283" t="n">
        <v>100</v>
      </c>
      <c r="J8" s="324" t="inlineStr">
        <is>
          <t>5บาน: 5-0 พับข้างเดียว</t>
        </is>
      </c>
      <c r="K8" s="324" t="n">
        <v>5</v>
      </c>
      <c r="L8" s="324" t="n">
        <v>0</v>
      </c>
      <c r="M8" s="403" t="n">
        <v>2700</v>
      </c>
      <c r="N8" s="403" t="n">
        <v>11</v>
      </c>
      <c r="O8" s="403" t="n">
        <v>9999</v>
      </c>
      <c r="P8" s="403" t="n">
        <v>16</v>
      </c>
      <c r="Q8" s="403" t="n">
        <v>9999</v>
      </c>
      <c r="R8" s="403" t="n">
        <v>16</v>
      </c>
    </row>
    <row r="9" ht="15" customHeight="1" s="129">
      <c r="J9" s="324" t="inlineStr">
        <is>
          <t>5บาน: 4-1 พับสลับ</t>
        </is>
      </c>
      <c r="K9" s="324" t="n">
        <v>5</v>
      </c>
      <c r="L9" s="324" t="n">
        <v>0</v>
      </c>
      <c r="M9" s="403" t="n">
        <v>2700</v>
      </c>
      <c r="N9" s="403" t="n">
        <v>14</v>
      </c>
      <c r="O9" s="403" t="n">
        <v>9999</v>
      </c>
      <c r="P9" s="403" t="n">
        <v>20</v>
      </c>
      <c r="Q9" s="403" t="n">
        <v>9999</v>
      </c>
      <c r="R9" s="403" t="n">
        <v>20</v>
      </c>
    </row>
    <row r="10" ht="15" customHeight="1" s="129">
      <c r="A10" s="287" t="inlineStr">
        <is>
          <t>กระจก →</t>
        </is>
      </c>
      <c r="B10" s="283" t="inlineStr">
        <is>
          <t>เขียว 6มม.</t>
        </is>
      </c>
      <c r="C10" s="287">
        <f>INDEX(ราคาวัสดุกลาง!$I$2:$I$106,MATCH(B10,ราคาวัสดุกลาง!$H$2:$H$106,0))</f>
        <v/>
      </c>
      <c r="D10" s="287" t="inlineStr">
        <is>
          <t>← ราคากระจก/ตร.ม.</t>
        </is>
      </c>
      <c r="E10" s="287" t="inlineStr">
        <is>
          <t>สี →</t>
        </is>
      </c>
      <c r="F10" s="283" t="inlineStr">
        <is>
          <t>สีอบขาว/ดำ</t>
        </is>
      </c>
      <c r="J10" s="324" t="inlineStr">
        <is>
          <t>5บาน: 3-2 พับสลับ</t>
        </is>
      </c>
      <c r="K10" s="324" t="n">
        <v>5</v>
      </c>
      <c r="L10" s="324" t="n">
        <v>0</v>
      </c>
      <c r="M10" s="403" t="n">
        <v>2700</v>
      </c>
      <c r="N10" s="403" t="n">
        <v>14</v>
      </c>
      <c r="O10" s="403" t="n">
        <v>9999</v>
      </c>
      <c r="P10" s="403" t="n">
        <v>20</v>
      </c>
      <c r="Q10" s="403" t="n">
        <v>9999</v>
      </c>
      <c r="R10" s="403" t="n">
        <v>20</v>
      </c>
    </row>
    <row r="11" ht="15" customHeight="1" s="129">
      <c r="A11" s="354" t="inlineStr">
        <is>
          <t>วัสดุอลู (F79xx)</t>
        </is>
      </c>
      <c r="B11" s="354" t="inlineStr">
        <is>
          <t>Σยาว(มม)</t>
        </is>
      </c>
      <c r="C11" s="354" t="inlineStr">
        <is>
          <t>เส้น</t>
        </is>
      </c>
      <c r="D11" s="354" t="inlineStr">
        <is>
          <t>ราคา/เส้น</t>
        </is>
      </c>
      <c r="E11" s="354" t="inlineStr">
        <is>
          <t>ทุน(บาท)</t>
        </is>
      </c>
      <c r="J11" s="324" t="inlineStr">
        <is>
          <t>6บาน: 6-0 พับข้างเดียว</t>
        </is>
      </c>
      <c r="K11" s="324" t="n">
        <v>6</v>
      </c>
      <c r="L11" s="324" t="n">
        <v>1</v>
      </c>
      <c r="M11" s="403" t="n">
        <v>2700</v>
      </c>
      <c r="N11" s="403" t="n">
        <v>15</v>
      </c>
      <c r="O11" s="403" t="n">
        <v>9999</v>
      </c>
      <c r="P11" s="403" t="n">
        <v>22</v>
      </c>
      <c r="Q11" s="403" t="n">
        <v>9999</v>
      </c>
      <c r="R11" s="403" t="n">
        <v>22</v>
      </c>
    </row>
    <row r="12" ht="15" customHeight="1" s="129">
      <c r="A12" s="316" t="inlineStr">
        <is>
          <t>F7968 เฟรมบน</t>
        </is>
      </c>
      <c r="B12" s="312">
        <f>(E6-36)*1</f>
        <v/>
      </c>
      <c r="C12" s="312">
        <f>ROUNDUP(B12/6400,0)</f>
        <v/>
      </c>
      <c r="D12" s="312">
        <f>IF(F10="สีอบขาว/ดำ",VLOOKUP("F7968",ราคาสี!$A:$F,4,0),IF(OR(F10="เทาซาฮาร่า",F10="สีดำซาฮาร่า"),VLOOKUP("F7968",ราคาสี!$A:$F,5,0),IF(F10="แอทแทคเกรย์",VLOOKUP("F7968",ราคาสี!$A:$J,7,0),IF(F10="ลายไม้สักทอง",(VLOOKUP("F7968",ราคาสี!$A:$H,8,0)*mult_wood/mult_euro),IF(F10="ลายไม้มะฮอกกานี",(VLOOKUP("F7968",ราคาสี!$A:$J,9,0)*mult_wood/mult_euro),IF(F10="ลายไม้ไวท์โอ๊ค",(VLOOKUP("F7968",ราคาสี!$A:$J,10,0)*mult_wood/mult_euro),IF(F10="สีอบพิเศษ",6076,6365)))))))</f>
        <v/>
      </c>
      <c r="E12" s="312">
        <f>C12*D12*mult_euro</f>
        <v/>
      </c>
      <c r="J12" s="324" t="inlineStr">
        <is>
          <t>6บาน: 5-1 พับสลับ</t>
        </is>
      </c>
      <c r="K12" s="324" t="n">
        <v>6</v>
      </c>
      <c r="L12" s="324" t="n">
        <v>0</v>
      </c>
      <c r="M12" s="403" t="n">
        <v>2700</v>
      </c>
      <c r="N12" s="403" t="n">
        <v>11</v>
      </c>
      <c r="O12" s="403" t="n">
        <v>9999</v>
      </c>
      <c r="P12" s="403" t="n">
        <v>16</v>
      </c>
      <c r="Q12" s="403" t="n">
        <v>9999</v>
      </c>
      <c r="R12" s="403" t="n">
        <v>16</v>
      </c>
    </row>
    <row r="13" ht="15" customHeight="1" s="129">
      <c r="A13" s="316" t="inlineStr">
        <is>
          <t>F7969 เฟรมล่าง</t>
        </is>
      </c>
      <c r="B13" s="312">
        <f>(E6-36)*1</f>
        <v/>
      </c>
      <c r="C13" s="312">
        <f>ROUNDUP(B13/6400,0)</f>
        <v/>
      </c>
      <c r="D13" s="312">
        <f>IF(F10="สีอบขาว/ดำ",VLOOKUP("F7969",ราคาสี!$A:$F,4,0),IF(OR(F10="เทาซาฮาร่า",F10="สีดำซาฮาร่า"),VLOOKUP("F7969",ราคาสี!$A:$F,5,0),IF(F10="แอทแทคเกรย์",VLOOKUP("F7969",ราคาสี!$A:$J,7,0),IF(F10="ลายไม้สักทอง",(VLOOKUP("F7969",ราคาสี!$A:$H,8,0)*mult_wood/mult_euro),IF(F10="ลายไม้มะฮอกกานี",(VLOOKUP("F7969",ราคาสี!$A:$J,9,0)*mult_wood/mult_euro),IF(F10="ลายไม้ไวท์โอ๊ค",(VLOOKUP("F7969",ราคาสี!$A:$J,10,0)*mult_wood/mult_euro),IF(F10="สีอบพิเศษ",3348,3507)))))))</f>
        <v/>
      </c>
      <c r="E13" s="312">
        <f>C13*D13*mult_euro</f>
        <v/>
      </c>
      <c r="J13" s="324" t="inlineStr">
        <is>
          <t>6บาน: 4-2 พับสลับ</t>
        </is>
      </c>
      <c r="K13" s="324" t="n">
        <v>6</v>
      </c>
      <c r="L13" s="324" t="n">
        <v>2</v>
      </c>
      <c r="M13" s="403" t="n">
        <v>2700</v>
      </c>
      <c r="N13" s="403" t="n">
        <v>16</v>
      </c>
      <c r="O13" s="403" t="n">
        <v>9999</v>
      </c>
      <c r="P13" s="403" t="n">
        <v>24</v>
      </c>
      <c r="Q13" s="403" t="n">
        <v>9999</v>
      </c>
      <c r="R13" s="403" t="n">
        <v>24</v>
      </c>
    </row>
    <row r="14" ht="15" customHeight="1" s="129">
      <c r="A14" s="316" t="inlineStr">
        <is>
          <t>F7970 เฟรมข้าง</t>
        </is>
      </c>
      <c r="B14" s="312">
        <f>E7*2</f>
        <v/>
      </c>
      <c r="C14" s="312">
        <f>ROUNDUP(B14/6400,0)</f>
        <v/>
      </c>
      <c r="D14" s="312">
        <f>IF(F10="สีอบขาว/ดำ",VLOOKUP("F7970",ราคาสี!$A:$F,4,0),IF(OR(F10="เทาซาฮาร่า",F10="สีดำซาฮาร่า"),VLOOKUP("F7970",ราคาสี!$A:$F,5,0),IF(F10="แอทแทคเกรย์",VLOOKUP("F7970",ราคาสี!$A:$J,7,0),IF(F10="ลายไม้สักทอง",(VLOOKUP("F7970",ราคาสี!$A:$H,8,0)*mult_wood/mult_euro),IF(F10="ลายไม้มะฮอกกานี",(VLOOKUP("F7970",ราคาสี!$A:$J,9,0)*mult_wood/mult_euro),IF(F10="ลายไม้ไวท์โอ๊ค",(VLOOKUP("F7970",ราคาสี!$A:$J,10,0)*mult_wood/mult_euro),IF(F10="สีอบพิเศษ",2061,2159)))))))</f>
        <v/>
      </c>
      <c r="E14" s="312">
        <f>C14*D14*mult_euro</f>
        <v/>
      </c>
      <c r="J14" s="324" t="inlineStr">
        <is>
          <t>6บาน: 3-3 เปิดกลาง</t>
        </is>
      </c>
      <c r="K14" s="324" t="n">
        <v>6</v>
      </c>
      <c r="L14" s="324" t="n">
        <v>0</v>
      </c>
      <c r="M14" s="403" t="n">
        <v>2500</v>
      </c>
      <c r="N14" s="403" t="n">
        <v>14</v>
      </c>
      <c r="O14" s="403" t="n">
        <v>3000</v>
      </c>
      <c r="P14" s="403" t="n">
        <v>18</v>
      </c>
      <c r="Q14" s="403" t="n">
        <v>9999</v>
      </c>
      <c r="R14" s="403" t="n">
        <v>22</v>
      </c>
    </row>
    <row r="15" ht="15" customHeight="1" s="129">
      <c r="A15" s="316" t="inlineStr">
        <is>
          <t>F7971 คิ้วตบเฟรมข้าง</t>
        </is>
      </c>
      <c r="B15" s="312">
        <f>(E7-120)*2</f>
        <v/>
      </c>
      <c r="C15" s="312">
        <f>ROUNDUP(B15/6400,0)</f>
        <v/>
      </c>
      <c r="D15" s="312">
        <f>IF(F10="สีอบขาว/ดำ",VLOOKUP("F7971",ราคาสี!$A:$F,4,0),IF(OR(F10="เทาซาฮาร่า",F10="สีดำซาฮาร่า"),VLOOKUP("F7971",ราคาสี!$A:$F,5,0),IF(F10="แอทแทคเกรย์",VLOOKUP("F7971",ราคาสี!$A:$J,7,0),IF(F10="ลายไม้สักทอง",(VLOOKUP("F7971",ราคาสี!$A:$H,8,0)*mult_wood/mult_euro),IF(F10="ลายไม้มะฮอกกานี",(VLOOKUP("F7971",ราคาสี!$A:$J,9,0)*mult_wood/mult_euro),IF(F10="ลายไม้ไวท์โอ๊ค",(VLOOKUP("F7971",ราคาสี!$A:$J,10,0)*mult_wood/mult_euro),IF(F10="สีอบพิเศษ",919,963)))))))</f>
        <v/>
      </c>
      <c r="E15" s="312">
        <f>C15*D15*mult_euro</f>
        <v/>
      </c>
      <c r="J15" s="324" t="inlineStr">
        <is>
          <t>7บาน: 7-0 พับข้างเดียว</t>
        </is>
      </c>
      <c r="K15" s="324" t="n">
        <v>7</v>
      </c>
      <c r="L15" s="324" t="n">
        <v>0</v>
      </c>
      <c r="M15" s="403" t="n">
        <v>2700</v>
      </c>
      <c r="N15" s="403" t="n">
        <v>15</v>
      </c>
      <c r="O15" s="403" t="n">
        <v>9999</v>
      </c>
      <c r="P15" s="403" t="n">
        <v>22</v>
      </c>
      <c r="Q15" s="403" t="n">
        <v>9999</v>
      </c>
      <c r="R15" s="403" t="n">
        <v>22</v>
      </c>
    </row>
    <row r="16" ht="15" customHeight="1" s="129">
      <c r="A16" s="316" t="inlineStr">
        <is>
          <t>F7973 ตบปิดเฟรม (=เฟรมบน)</t>
        </is>
      </c>
      <c r="B16" s="312">
        <f>(E6-36)*1</f>
        <v/>
      </c>
      <c r="C16" s="312">
        <f>ROUNDUP(B16/6400,0)</f>
        <v/>
      </c>
      <c r="D16" s="312">
        <f>IF(F10="สีอบขาว/ดำ",VLOOKUP("F7973",ราคาสี!$A:$F,4,0),IF(OR(F10="เทาซาฮาร่า",F10="สีดำซาฮาร่า"),VLOOKUP("F7973",ราคาสี!$A:$F,5,0),IF(F10="แอทแทคเกรย์",VLOOKUP("F7973",ราคาสี!$A:$J,7,0),IF(F10="ลายไม้สักทอง",(VLOOKUP("F7973",ราคาสี!$A:$H,8,0)*mult_wood/mult_euro),IF(F10="ลายไม้มะฮอกกานี",(VLOOKUP("F7973",ราคาสี!$A:$J,9,0)*mult_wood/mult_euro),IF(F10="ลายไม้ไวท์โอ๊ค",(VLOOKUP("F7973",ราคาสี!$A:$J,10,0)*mult_wood/mult_euro),IF(F10="สีอบพิเศษ",445,466)))))))</f>
        <v/>
      </c>
      <c r="E16" s="312">
        <f>C16*D16*mult_euro</f>
        <v/>
      </c>
      <c r="J16" s="324" t="inlineStr">
        <is>
          <t>7บาน: 6-1 พับสลับ</t>
        </is>
      </c>
      <c r="K16" s="324" t="n">
        <v>7</v>
      </c>
      <c r="L16" s="324" t="n">
        <v>0</v>
      </c>
      <c r="M16" s="403" t="n">
        <v>2700</v>
      </c>
      <c r="N16" s="403" t="n">
        <v>17</v>
      </c>
      <c r="O16" s="403" t="n">
        <v>9999</v>
      </c>
      <c r="P16" s="403" t="n">
        <v>24</v>
      </c>
      <c r="Q16" s="403" t="n">
        <v>9999</v>
      </c>
      <c r="R16" s="403" t="n">
        <v>24</v>
      </c>
    </row>
    <row r="17" ht="15" customHeight="1" s="129">
      <c r="A17" s="316" t="inlineStr">
        <is>
          <t>F7972 กรอบบาน (4ด้าน)</t>
        </is>
      </c>
      <c r="B17" s="312">
        <f>(E7-94)*(2*B4)+E5*(2*B4)</f>
        <v/>
      </c>
      <c r="C17" s="312">
        <f>ROUNDUP(B17/6400,0)</f>
        <v/>
      </c>
      <c r="D17" s="312">
        <f>IF(F10="สีอบขาว/ดำ",VLOOKUP("F7972",ราคาสี!$A:$F,4,0),IF(OR(F10="เทาซาฮาร่า",F10="สีดำซาฮาร่า"),VLOOKUP("F7972",ราคาสี!$A:$F,5,0),IF(F10="แอทแทคเกรย์",VLOOKUP("F7972",ราคาสี!$A:$J,7,0),IF(F10="ลายไม้สักทอง",(VLOOKUP("F7972",ราคาสี!$A:$H,8,0)*mult_wood/mult_euro),IF(F10="ลายไม้มะฮอกกานี",(VLOOKUP("F7972",ราคาสี!$A:$J,9,0)*mult_wood/mult_euro),IF(F10="ลายไม้ไวท์โอ๊ค",(VLOOKUP("F7972",ราคาสี!$A:$J,10,0)*mult_wood/mult_euro),IF(F10="สีอบพิเศษ",3232,3385)))))))</f>
        <v/>
      </c>
      <c r="E17" s="312">
        <f>C17*D17*mult_euro</f>
        <v/>
      </c>
      <c r="J17" s="324" t="inlineStr">
        <is>
          <t>7บาน: 5-2 พับสลับ</t>
        </is>
      </c>
      <c r="K17" s="324" t="n">
        <v>7</v>
      </c>
      <c r="L17" s="324" t="n">
        <v>0</v>
      </c>
      <c r="M17" s="403" t="n">
        <v>2700</v>
      </c>
      <c r="N17" s="403" t="n">
        <v>18</v>
      </c>
      <c r="O17" s="403" t="n">
        <v>9999</v>
      </c>
      <c r="P17" s="403" t="n">
        <v>26</v>
      </c>
      <c r="Q17" s="403" t="n">
        <v>9999</v>
      </c>
      <c r="R17" s="403" t="n">
        <v>26</v>
      </c>
    </row>
    <row r="18" ht="15" customHeight="1" s="129">
      <c r="A18" s="316" t="inlineStr">
        <is>
          <t>F7974 ชนกลางบานคู่</t>
        </is>
      </c>
      <c r="B18" s="312">
        <f>IF(ISNUMBER(SEARCH("เปิดกลาง",B5)),(E7-94)*E2,0)</f>
        <v/>
      </c>
      <c r="C18" s="312">
        <f>ROUNDUP(B18/6400,0)</f>
        <v/>
      </c>
      <c r="D18" s="312">
        <f>IF(F10="สีอบขาว/ดำ",VLOOKUP("F7974",ราคาสี!$A:$F,4,0),IF(OR(F10="เทาซาฮาร่า",F10="สีดำซาฮาร่า"),VLOOKUP("F7974",ราคาสี!$A:$F,5,0),IF(F10="แอทแทคเกรย์",VLOOKUP("F7974",ราคาสี!$A:$J,7,0),IF(F10="ลายไม้สักทอง",(VLOOKUP("F7974",ราคาสี!$A:$H,8,0)*mult_wood/mult_euro),IF(F10="ลายไม้มะฮอกกานี",(VLOOKUP("F7974",ราคาสี!$A:$J,9,0)*mult_wood/mult_euro),IF(F10="ลายไม้ไวท์โอ๊ค",(VLOOKUP("F7974",ราคาสี!$A:$J,10,0)*mult_wood/mult_euro),IF(F10="สีอบพิเศษ",1045,1095)))))))</f>
        <v/>
      </c>
      <c r="E18" s="312">
        <f>C18*D18*mult_euro</f>
        <v/>
      </c>
      <c r="J18" s="324" t="inlineStr">
        <is>
          <t>7บาน: 4-3 พับสลับ</t>
        </is>
      </c>
      <c r="K18" s="324" t="n">
        <v>7</v>
      </c>
      <c r="L18" s="324" t="n">
        <v>0</v>
      </c>
      <c r="M18" s="403" t="n">
        <v>2500</v>
      </c>
      <c r="N18" s="403" t="n">
        <v>18</v>
      </c>
      <c r="O18" s="403" t="n">
        <v>3000</v>
      </c>
      <c r="P18" s="403" t="n">
        <v>26</v>
      </c>
      <c r="Q18" s="403" t="n">
        <v>9999</v>
      </c>
      <c r="R18" s="403" t="n">
        <v>34</v>
      </c>
    </row>
    <row r="19" ht="15" customHeight="1" s="129">
      <c r="A19" s="316" t="inlineStr">
        <is>
          <t>F7962 รับล็อค</t>
        </is>
      </c>
      <c r="B19" s="312">
        <f>(E7-80)*1</f>
        <v/>
      </c>
      <c r="C19" s="312">
        <f>ROUNDUP(B19/6400,0)</f>
        <v/>
      </c>
      <c r="D19" s="312">
        <f>IF(F10="สีอบขาว/ดำ",VLOOKUP("F7962",ราคาสี!$A:$F,4,0),IF(OR(F10="เทาซาฮาร่า",F10="สีดำซาฮาร่า"),VLOOKUP("F7962",ราคาสี!$A:$F,5,0),IF(F10="แอทแทคเกรย์",VLOOKUP("F7962",ราคาสี!$A:$J,7,0),IF(F10="ลายไม้สักทอง",(VLOOKUP("F7962",ราคาสี!$A:$H,8,0)*mult_wood/mult_euro),IF(F10="ลายไม้มะฮอกกานี",(VLOOKUP("F7962",ราคาสี!$A:$J,9,0)*mult_wood/mult_euro),IF(F10="ลายไม้ไวท์โอ๊ค",(VLOOKUP("F7962",ราคาสี!$A:$J,10,0)*mult_wood/mult_euro),IF(F10="สีอบพิเศษ",1867,1956)))))))</f>
        <v/>
      </c>
      <c r="E19" s="312">
        <f>C19*D19*mult_euro</f>
        <v/>
      </c>
      <c r="J19" s="324" t="inlineStr">
        <is>
          <t>8บาน: 8-0 พับข้างเดียว</t>
        </is>
      </c>
      <c r="K19" s="324" t="n">
        <v>8</v>
      </c>
      <c r="L19" s="324" t="n">
        <v>1</v>
      </c>
      <c r="M19" s="403" t="n">
        <v>2700</v>
      </c>
      <c r="N19" s="403" t="n">
        <v>19</v>
      </c>
      <c r="O19" s="403" t="n">
        <v>9999</v>
      </c>
      <c r="P19" s="403" t="n">
        <v>28</v>
      </c>
      <c r="Q19" s="403" t="n">
        <v>9999</v>
      </c>
      <c r="R19" s="403" t="n">
        <v>28</v>
      </c>
    </row>
    <row r="20" ht="15" customHeight="1" s="129">
      <c r="A20" s="316" t="inlineStr">
        <is>
          <t>F7935 คิ้วกระจก (4ด้าน)</t>
        </is>
      </c>
      <c r="B20" s="312">
        <f>(E7-254)*(2*B4)+(E5-120)*(2*B4)</f>
        <v/>
      </c>
      <c r="C20" s="312">
        <f>ROUNDUP(B20/6400,0)</f>
        <v/>
      </c>
      <c r="D20" s="312">
        <f>IF(F10="สีอบขาว/ดำ",VLOOKUP("F7935",ราคาสี!$A:$F,4,0),IF(OR(F10="เทาซาฮาร่า",F10="สีดำซาฮาร่า"),VLOOKUP("F7935",ราคาสี!$A:$F,5,0),IF(F10="แอทแทคเกรย์",VLOOKUP("F7935",ราคาสี!$A:$J,7,0),IF(F10="ลายไม้สักทอง",(VLOOKUP("F7935",ราคาสี!$A:$H,8,0)*mult_wood/mult_euro),IF(F10="ลายไม้มะฮอกกานี",(VLOOKUP("F7935",ราคาสี!$A:$J,9,0)*mult_wood/mult_euro),IF(F10="ลายไม้ไวท์โอ๊ค",(VLOOKUP("F7935",ราคาสี!$A:$J,10,0)*mult_wood/mult_euro),IF(F10="สีอบพิเศษ",658,689)))))))</f>
        <v/>
      </c>
      <c r="E20" s="312">
        <f>C20*D20*mult_euro</f>
        <v/>
      </c>
      <c r="J20" s="324" t="inlineStr">
        <is>
          <t>8บาน: 7-1 พับสลับ</t>
        </is>
      </c>
      <c r="K20" s="324" t="n">
        <v>8</v>
      </c>
      <c r="L20" s="324" t="n">
        <v>0</v>
      </c>
      <c r="M20" s="403" t="n">
        <v>2700</v>
      </c>
      <c r="N20" s="403" t="n">
        <v>15</v>
      </c>
      <c r="O20" s="403" t="n">
        <v>9999</v>
      </c>
      <c r="P20" s="403" t="n">
        <v>22</v>
      </c>
      <c r="Q20" s="403" t="n">
        <v>9999</v>
      </c>
      <c r="R20" s="403" t="n">
        <v>22</v>
      </c>
    </row>
    <row r="21" ht="15" customHeight="1" s="129">
      <c r="A21" s="316" t="inlineStr">
        <is>
          <t>— ฮาร์ดแวร์ (HD, ราคา guide) —</t>
        </is>
      </c>
      <c r="J21" s="324" t="inlineStr">
        <is>
          <t>8บาน: 6-2 พับสลับ</t>
        </is>
      </c>
      <c r="K21" s="324" t="n">
        <v>8</v>
      </c>
      <c r="L21" s="324" t="n">
        <v>2</v>
      </c>
      <c r="M21" s="403" t="n">
        <v>2700</v>
      </c>
      <c r="N21" s="403" t="n">
        <v>22</v>
      </c>
      <c r="O21" s="403" t="n">
        <v>9999</v>
      </c>
      <c r="P21" s="403" t="n">
        <v>32</v>
      </c>
      <c r="Q21" s="403" t="n">
        <v>9999</v>
      </c>
      <c r="R21" s="403" t="n">
        <v>32</v>
      </c>
    </row>
    <row r="22" ht="15" customHeight="1" s="129">
      <c r="A22" s="316" t="inlineStr">
        <is>
          <t>HD-640 บานพับล้อบน</t>
        </is>
      </c>
      <c r="C22" s="312">
        <f>1</f>
        <v/>
      </c>
      <c r="D22" s="312" t="n">
        <v>299</v>
      </c>
      <c r="E22" s="312">
        <f>C22*D22</f>
        <v/>
      </c>
      <c r="J22" s="324" t="inlineStr">
        <is>
          <t>8บาน: 5-3 พับสลับ</t>
        </is>
      </c>
      <c r="K22" s="324" t="n">
        <v>8</v>
      </c>
      <c r="L22" s="324" t="n">
        <v>0</v>
      </c>
      <c r="M22" s="403" t="n">
        <v>2700</v>
      </c>
      <c r="N22" s="403" t="n">
        <v>18</v>
      </c>
      <c r="O22" s="403" t="n">
        <v>9999</v>
      </c>
      <c r="P22" s="403" t="n">
        <v>26</v>
      </c>
      <c r="Q22" s="403" t="n">
        <v>9999</v>
      </c>
      <c r="R22" s="403" t="n">
        <v>26</v>
      </c>
    </row>
    <row r="23" ht="15" customHeight="1" s="129">
      <c r="A23" s="316" t="inlineStr">
        <is>
          <t>HD-641 บานพับเฟี้ยม</t>
        </is>
      </c>
      <c r="C23" s="312">
        <f>$E$3</f>
        <v/>
      </c>
      <c r="D23" s="312" t="n">
        <v>72</v>
      </c>
      <c r="E23" s="312">
        <f>C23*D23</f>
        <v/>
      </c>
      <c r="J23" s="324" t="inlineStr">
        <is>
          <t>8บาน: 4-4 เปิดกลาง</t>
        </is>
      </c>
      <c r="K23" s="324" t="n">
        <v>8</v>
      </c>
      <c r="L23" s="324" t="n">
        <v>2</v>
      </c>
      <c r="M23" s="403" t="n">
        <v>2700</v>
      </c>
      <c r="N23" s="403" t="n">
        <v>22</v>
      </c>
      <c r="O23" s="403" t="n">
        <v>9999</v>
      </c>
      <c r="P23" s="403" t="n">
        <v>32</v>
      </c>
      <c r="Q23" s="403" t="n">
        <v>9999</v>
      </c>
      <c r="R23" s="403" t="n">
        <v>32</v>
      </c>
    </row>
    <row r="24" ht="15" customHeight="1" s="129">
      <c r="A24" s="316" t="inlineStr">
        <is>
          <t>HD-642 บานพับมือจับ</t>
        </is>
      </c>
      <c r="C24" s="312">
        <f>1</f>
        <v/>
      </c>
      <c r="D24" s="312" t="n">
        <v>109</v>
      </c>
      <c r="E24" s="312">
        <f>C24*D24</f>
        <v/>
      </c>
      <c r="J24" s="324" t="inlineStr">
        <is>
          <t>9บาน: 9-0 พับข้างเดียว</t>
        </is>
      </c>
      <c r="K24" s="324" t="n">
        <v>9</v>
      </c>
      <c r="L24" s="324" t="n">
        <v>0</v>
      </c>
      <c r="M24" s="403" t="n">
        <v>2700</v>
      </c>
      <c r="N24" s="403" t="n">
        <v>19</v>
      </c>
      <c r="O24" s="403" t="n">
        <v>9999</v>
      </c>
      <c r="P24" s="403" t="n">
        <v>28</v>
      </c>
      <c r="Q24" s="403" t="n">
        <v>9999</v>
      </c>
      <c r="R24" s="403" t="n">
        <v>28</v>
      </c>
    </row>
    <row r="25" ht="15" customHeight="1" s="129">
      <c r="A25" s="316" t="inlineStr">
        <is>
          <t>HD-643 บานพับไกด์ล่าง</t>
        </is>
      </c>
      <c r="C25" s="312">
        <f>1</f>
        <v/>
      </c>
      <c r="D25" s="312" t="n">
        <v>199</v>
      </c>
      <c r="E25" s="312">
        <f>C25*D25</f>
        <v/>
      </c>
      <c r="J25" s="324" t="inlineStr">
        <is>
          <t>9บาน: 8-1 พับสลับ</t>
        </is>
      </c>
      <c r="K25" s="324" t="n">
        <v>9</v>
      </c>
      <c r="L25" s="324" t="n">
        <v>0</v>
      </c>
      <c r="M25" s="403" t="n">
        <v>2700</v>
      </c>
      <c r="N25" s="403" t="n">
        <v>21</v>
      </c>
      <c r="O25" s="403" t="n">
        <v>9999</v>
      </c>
      <c r="P25" s="403" t="n">
        <v>30</v>
      </c>
      <c r="Q25" s="403" t="n">
        <v>9999</v>
      </c>
      <c r="R25" s="403" t="n">
        <v>30</v>
      </c>
    </row>
    <row r="26" ht="15" customHeight="1" s="129">
      <c r="A26" s="316" t="inlineStr">
        <is>
          <t>HD-474 มือจับกลอน</t>
        </is>
      </c>
      <c r="C26" s="312">
        <f>1</f>
        <v/>
      </c>
      <c r="D26" s="312" t="n">
        <v>85</v>
      </c>
      <c r="E26" s="312">
        <f>C26*D26</f>
        <v/>
      </c>
      <c r="J26" s="324" t="inlineStr">
        <is>
          <t>9บาน: 7-2 พับสลับ</t>
        </is>
      </c>
      <c r="K26" s="324" t="n">
        <v>9</v>
      </c>
      <c r="L26" s="324" t="n">
        <v>0</v>
      </c>
      <c r="M26" s="403" t="n">
        <v>2700</v>
      </c>
      <c r="N26" s="403" t="n">
        <v>22</v>
      </c>
      <c r="O26" s="403" t="n">
        <v>9999</v>
      </c>
      <c r="P26" s="403" t="n">
        <v>32</v>
      </c>
      <c r="Q26" s="403" t="n">
        <v>9999</v>
      </c>
      <c r="R26" s="403" t="n">
        <v>32</v>
      </c>
    </row>
    <row r="27" ht="15" customHeight="1" s="129">
      <c r="A27" s="316" t="inlineStr">
        <is>
          <t>HD-312 ตลับกลอนล็อค</t>
        </is>
      </c>
      <c r="C27" s="312">
        <f>1</f>
        <v/>
      </c>
      <c r="D27" s="312" t="n">
        <v>88</v>
      </c>
      <c r="E27" s="312">
        <f>C27*D27</f>
        <v/>
      </c>
      <c r="J27" s="324" t="inlineStr">
        <is>
          <t>9บาน: 6-3 พับสลับ</t>
        </is>
      </c>
      <c r="K27" s="324" t="n">
        <v>9</v>
      </c>
      <c r="L27" s="324" t="n">
        <v>0</v>
      </c>
      <c r="M27" s="403" t="n">
        <v>2700</v>
      </c>
      <c r="N27" s="403" t="n">
        <v>22</v>
      </c>
      <c r="O27" s="403" t="n">
        <v>9999</v>
      </c>
      <c r="P27" s="403" t="n">
        <v>32</v>
      </c>
      <c r="Q27" s="403" t="n">
        <v>9999</v>
      </c>
      <c r="R27" s="403" t="n">
        <v>32</v>
      </c>
    </row>
    <row r="28" ht="15" customHeight="1" s="129">
      <c r="A28" s="316" t="inlineStr">
        <is>
          <t>HD-1180 ก้านสไลด์</t>
        </is>
      </c>
      <c r="C28" s="312">
        <f>2</f>
        <v/>
      </c>
      <c r="D28" s="312" t="n">
        <v>73</v>
      </c>
      <c r="E28" s="312">
        <f>C28*D28</f>
        <v/>
      </c>
      <c r="J28" s="324" t="inlineStr">
        <is>
          <t>9บาน: 5-4 พับสลับ</t>
        </is>
      </c>
      <c r="K28" s="324" t="n">
        <v>9</v>
      </c>
      <c r="L28" s="324" t="n">
        <v>0</v>
      </c>
      <c r="M28" s="403" t="n">
        <v>2700</v>
      </c>
      <c r="N28" s="403" t="n">
        <v>22</v>
      </c>
      <c r="O28" s="403" t="n">
        <v>9999</v>
      </c>
      <c r="P28" s="403" t="n">
        <v>32</v>
      </c>
      <c r="Q28" s="403" t="n">
        <v>9999</v>
      </c>
      <c r="R28" s="403" t="n">
        <v>32</v>
      </c>
    </row>
    <row r="29" ht="15" customHeight="1" s="129">
      <c r="A29" s="316" t="inlineStr">
        <is>
          <t>HD-213 ฉากเข้ามุม</t>
        </is>
      </c>
      <c r="C29" s="312">
        <f>4*B4</f>
        <v/>
      </c>
      <c r="D29" s="312" t="n">
        <v>15</v>
      </c>
      <c r="E29" s="312">
        <f>C29*D29</f>
        <v/>
      </c>
      <c r="J29" s="324" t="inlineStr">
        <is>
          <t>10บาน: 10-0 พับข้างเดียว</t>
        </is>
      </c>
      <c r="K29" s="324" t="n">
        <v>10</v>
      </c>
      <c r="L29" s="324" t="n">
        <v>1</v>
      </c>
      <c r="M29" s="403" t="n">
        <v>2700</v>
      </c>
      <c r="N29" s="403" t="n">
        <v>23</v>
      </c>
      <c r="O29" s="403" t="n">
        <v>9999</v>
      </c>
      <c r="P29" s="403" t="n">
        <v>34</v>
      </c>
      <c r="Q29" s="403" t="n">
        <v>9999</v>
      </c>
      <c r="R29" s="403" t="n">
        <v>34</v>
      </c>
    </row>
    <row r="30" ht="15" customHeight="1" s="129">
      <c r="A30" s="316" t="inlineStr">
        <is>
          <t>HD-200 ฉากประคองมุม</t>
        </is>
      </c>
      <c r="C30" s="312">
        <f>12*B4</f>
        <v/>
      </c>
      <c r="D30" s="312" t="n">
        <v>1.5</v>
      </c>
      <c r="E30" s="312">
        <f>C30*D30</f>
        <v/>
      </c>
      <c r="J30" s="324" t="inlineStr">
        <is>
          <t>10บาน: 9-1 พับสลับ</t>
        </is>
      </c>
      <c r="K30" s="324" t="n">
        <v>10</v>
      </c>
      <c r="L30" s="324" t="n">
        <v>0</v>
      </c>
      <c r="M30" s="403" t="n">
        <v>2700</v>
      </c>
      <c r="N30" s="403" t="n">
        <v>20</v>
      </c>
      <c r="O30" s="403" t="n">
        <v>9999</v>
      </c>
      <c r="P30" s="403" t="n">
        <v>30</v>
      </c>
      <c r="Q30" s="403" t="n">
        <v>9999</v>
      </c>
      <c r="R30" s="403" t="n">
        <v>30</v>
      </c>
    </row>
    <row r="31" ht="15" customHeight="1" s="129">
      <c r="A31" s="316" t="inlineStr">
        <is>
          <t>— ยาง/สักหลาด (สูตร guide × ราคาต้นทุน) —</t>
        </is>
      </c>
      <c r="J31" s="324" t="inlineStr">
        <is>
          <t>10บาน: 8-2 พับสลับ</t>
        </is>
      </c>
      <c r="K31" s="324" t="n">
        <v>10</v>
      </c>
      <c r="L31" s="324" t="n">
        <v>2</v>
      </c>
      <c r="M31" s="403" t="n">
        <v>2700</v>
      </c>
      <c r="N31" s="403" t="n">
        <v>26</v>
      </c>
      <c r="O31" s="403" t="n">
        <v>9999</v>
      </c>
      <c r="P31" s="403" t="n">
        <v>38</v>
      </c>
      <c r="Q31" s="403" t="n">
        <v>9999</v>
      </c>
      <c r="R31" s="403" t="n">
        <v>38</v>
      </c>
    </row>
    <row r="32" ht="15" customHeight="1" s="129">
      <c r="A32" s="316" t="inlineStr">
        <is>
          <t>ยางลูกโป่ง 6mm</t>
        </is>
      </c>
      <c r="B32" s="312">
        <f>((E6-36)+(E6-36)+E7+(E7-120)*2+(E7-94)*(2*B4)*2+(E7-94)*(2*B4)*2+E5*3+(E7-80))/1000</f>
        <v/>
      </c>
      <c r="C32" s="312">
        <f>ROUND(B32,1)</f>
        <v/>
      </c>
      <c r="D32" s="312" t="n">
        <v>7</v>
      </c>
      <c r="E32" s="312">
        <f>C32*D32</f>
        <v/>
      </c>
      <c r="J32" s="324" t="inlineStr">
        <is>
          <t>10บาน: 7-3 พับสลับ</t>
        </is>
      </c>
      <c r="K32" s="324" t="n">
        <v>10</v>
      </c>
      <c r="L32" s="324" t="n">
        <v>0</v>
      </c>
      <c r="M32" s="403" t="n">
        <v>2700</v>
      </c>
      <c r="N32" s="403" t="n">
        <v>22</v>
      </c>
      <c r="O32" s="403" t="n">
        <v>9999</v>
      </c>
      <c r="P32" s="403" t="n">
        <v>28</v>
      </c>
      <c r="Q32" s="403" t="n">
        <v>9999</v>
      </c>
      <c r="R32" s="403" t="n">
        <v>28</v>
      </c>
    </row>
    <row r="33" ht="15" customHeight="1" s="129">
      <c r="A33" s="316" t="inlineStr">
        <is>
          <t>สักหลาด 5mm</t>
        </is>
      </c>
      <c r="B33" s="312">
        <f>((E7-94)*2+(E7-80)*2)/1000</f>
        <v/>
      </c>
      <c r="C33" s="312">
        <f>ROUND(B33,1)</f>
        <v/>
      </c>
      <c r="D33" s="312" t="n">
        <v>1.22</v>
      </c>
      <c r="E33" s="312">
        <f>C33*D33</f>
        <v/>
      </c>
      <c r="J33" s="324" t="inlineStr">
        <is>
          <t>10บาน: 6-4 พับสลับ</t>
        </is>
      </c>
      <c r="K33" s="324" t="n">
        <v>10</v>
      </c>
      <c r="L33" s="324" t="n">
        <v>2</v>
      </c>
      <c r="M33" s="403" t="n">
        <v>2700</v>
      </c>
      <c r="N33" s="403" t="n">
        <v>26</v>
      </c>
      <c r="O33" s="403" t="n">
        <v>9999</v>
      </c>
      <c r="P33" s="403" t="n">
        <v>38</v>
      </c>
      <c r="Q33" s="403" t="n">
        <v>9999</v>
      </c>
      <c r="R33" s="403" t="n">
        <v>38</v>
      </c>
    </row>
    <row r="34" ht="15" customHeight="1" s="129">
      <c r="A34" s="316" t="inlineStr">
        <is>
          <t>ยางอัด</t>
        </is>
      </c>
      <c r="B34" s="312">
        <f>(((E7-224)+(E5-130))*2)*B4/1000</f>
        <v/>
      </c>
      <c r="C34" s="312">
        <f>ROUND(B34,1)</f>
        <v/>
      </c>
      <c r="D34" s="312" t="n">
        <v>8</v>
      </c>
      <c r="E34" s="312">
        <f>C34*D34</f>
        <v/>
      </c>
      <c r="J34" s="324" t="inlineStr">
        <is>
          <t>10บาน: 5-5 เปิดกลาง</t>
        </is>
      </c>
      <c r="K34" s="324" t="n">
        <v>10</v>
      </c>
      <c r="L34" s="324" t="n">
        <v>0</v>
      </c>
      <c r="M34" s="403" t="n">
        <v>2700</v>
      </c>
      <c r="N34" s="403" t="n">
        <v>22</v>
      </c>
      <c r="O34" s="403" t="n">
        <v>9999</v>
      </c>
      <c r="P34" s="403" t="n">
        <v>28</v>
      </c>
      <c r="Q34" s="403" t="n">
        <v>9999</v>
      </c>
      <c r="R34" s="403" t="n">
        <v>28</v>
      </c>
    </row>
    <row r="35" ht="15" customHeight="1" s="129">
      <c r="A35" s="316" t="inlineStr">
        <is>
          <t>ยางรอง</t>
        </is>
      </c>
      <c r="B35" s="312">
        <f>(((E7-224)+(E5-130))*2)*B4/1000</f>
        <v/>
      </c>
      <c r="C35" s="312">
        <f>ROUND(B35,1)</f>
        <v/>
      </c>
      <c r="D35" s="312" t="n">
        <v>8</v>
      </c>
      <c r="E35" s="312">
        <f>C35*D35</f>
        <v/>
      </c>
    </row>
    <row r="36" ht="15" customHeight="1" s="129">
      <c r="A36" s="316" t="inlineStr">
        <is>
          <t>กระจก (ตร.ม.)</t>
        </is>
      </c>
      <c r="B36" s="312">
        <f>B7</f>
        <v/>
      </c>
      <c r="C36" s="312">
        <f>B36</f>
        <v/>
      </c>
      <c r="D36" s="312">
        <f>C10</f>
        <v/>
      </c>
      <c r="E36" s="312">
        <f>B7*C10</f>
        <v/>
      </c>
    </row>
    <row r="37" ht="15" customHeight="1" s="129">
      <c r="A37" s="316" t="inlineStr">
        <is>
          <t>รางยู (=SMS) + กรีดพื้น 200/ม.</t>
        </is>
      </c>
      <c r="E37" s="312">
        <f>IF(B6="รางยู",(B2/600)*buf_scrap*(IF(F10="สีอบขาว/ดำ",IFERROR(VLOOKUP("B24017",ราคาสี!$A:$D,4,0),305),IF(OR(F10="เทาซาฮาร่า",F10="สีดำซาฮาร่า"),VLOOKUP("B24017",ราคาสี!$A:$F,5,0),IF(F10="แอทแทคเกรย์",VLOOKUP("B24017",ราคาสี!$A:$J,7,0),IF(F10="ลายไม้สักทอง",(VLOOKUP("B24017",ราคาสี!$A:$H,8,0)*mult_wood/mult_euro),IF(F10="ลายไม้มะฮอกกานี",(VLOOKUP("B24017",ราคาสี!$A:$J,9,0)*mult_wood/mult_euro),IF(F10="ลายไม้ไวท์โอ๊ค",(VLOOKUP("B24017",ราคาสี!$A:$J,10,0)*mult_wood/mult_euro),IFERROR(VLOOKUP("B24017",ราคาสี!$A:$D,4,0),305)+IF(F10="สีอบพิเศษ",rate_special,rate_woodbake)*1.6944)))))))+ROUND(200*B2/100,0),0)</f>
        <v/>
      </c>
    </row>
    <row r="38">
      <c r="A38" s="140" t="inlineStr">
        <is>
          <t>ค่าเปิดตู้อบ (สีพิเศษ)</t>
        </is>
      </c>
      <c r="E38" s="140">
        <f>IF(OR(F10="สีอบพิเศษ",F10="สีลายไม้อบพิเศษ"),2000,0)</f>
        <v/>
      </c>
    </row>
    <row r="39" ht="15" customHeight="1" s="129">
      <c r="A39" s="331" t="inlineStr">
        <is>
          <t>ทุนรวม</t>
        </is>
      </c>
      <c r="E39" s="332">
        <f>SUM(E12:E38)+E54</f>
        <v/>
      </c>
    </row>
    <row r="40" ht="15" customHeight="1" s="129">
      <c r="A40" s="331" t="inlineStr">
        <is>
          <t>ทุน/ตร.ม.</t>
        </is>
      </c>
      <c r="E40" s="332">
        <f>E39/B7</f>
        <v/>
      </c>
    </row>
    <row r="41" ht="15" customHeight="1" s="129">
      <c r="A41" s="331" t="inlineStr">
        <is>
          <t>ราคาขาย/ตร.ม. (markup)</t>
        </is>
      </c>
      <c r="E41" s="284">
        <f>ROUNDUP(E40*(1+B8/100)/100,0)*100</f>
        <v/>
      </c>
    </row>
    <row r="42" ht="15" customHeight="1" s="129">
      <c r="A42" s="331" t="inlineStr">
        <is>
          <t>ราคาขายรวม/ชุด</t>
        </is>
      </c>
      <c r="E42" s="284">
        <f>B7*E41</f>
        <v/>
      </c>
    </row>
    <row r="43" ht="15" customHeight="1" s="129">
      <c r="A43" s="331" t="inlineStr">
        <is>
          <t>%กำไรจริง</t>
        </is>
      </c>
      <c r="E43" s="285">
        <f>(E42-E39)/E39</f>
        <v/>
      </c>
    </row>
    <row r="45">
      <c r="A45" s="276" t="inlineStr">
        <is>
          <t>— ผูกค่าแรง (ราคาขายรวมค่าแรง) —</t>
        </is>
      </c>
    </row>
    <row r="46">
      <c r="A46" s="324" t="inlineStr">
        <is>
          <t>ค่าแรงผลิต (จากชีทค่าแรง)</t>
        </is>
      </c>
      <c r="E46" s="277">
        <f>ROUND(VLOOKUP("บานเฟี้ยมยูโร",'ค่าแรง'!$A$12:$E$27,2,0),0)</f>
        <v/>
      </c>
    </row>
    <row r="47">
      <c r="A47" s="324" t="inlineStr">
        <is>
          <t>ค่าแรงติดตั้ง (จากชีทค่าแรง)</t>
        </is>
      </c>
      <c r="E47" s="277">
        <f>ROUND(VLOOKUP("บานเฟี้ยมยูโร",'ค่าแรง'!$A$12:$E$27,4,0),0)</f>
        <v/>
      </c>
    </row>
    <row r="48">
      <c r="A48" s="324" t="inlineStr">
        <is>
          <t>กำไรติดตั้ง % →</t>
        </is>
      </c>
      <c r="B48" s="278" t="n">
        <v>100</v>
      </c>
    </row>
    <row r="49">
      <c r="A49" s="276" t="inlineStr">
        <is>
          <t>ราคาขาย ผลิตอย่างเดียว</t>
        </is>
      </c>
      <c r="E49" s="279">
        <f>ROUNDUP((E39+E46)*(1+B8/100)/100,0)*100</f>
        <v/>
      </c>
    </row>
    <row r="50">
      <c r="A50" s="276" t="inlineStr">
        <is>
          <t>ราคาขาย ผลิต+ติดตั้ง</t>
        </is>
      </c>
      <c r="E50" s="279">
        <f>E49+ROUNDUP(E47*(1+B48/100)/100,0)*100</f>
        <v/>
      </c>
    </row>
    <row r="51">
      <c r="A51" s="276" t="inlineStr">
        <is>
          <t>%กำไรจริง (ผลิต+ติดตั้ง)</t>
        </is>
      </c>
      <c r="E51" s="280">
        <f>(E50-(E39+E46+E47))/(E39+E46+E47)</f>
        <v/>
      </c>
    </row>
    <row r="52">
      <c r="A52" s="645" t="inlineStr">
        <is>
          <t>— มุ้ง (ออปชั่น · ซื้อสำเร็จ) — บวกเข้าทุน —</t>
        </is>
      </c>
    </row>
    <row r="53">
      <c r="A53" s="140" t="inlineStr">
        <is>
          <t>เลือกมุ้ง →</t>
        </is>
      </c>
      <c r="B53" s="483" t="inlineStr">
        <is>
          <t>ไม่มีมุ้ง</t>
        </is>
      </c>
    </row>
    <row r="54">
      <c r="A54" s="663" t="inlineStr">
        <is>
          <t>รวมราคามุ้ง (บวกเข้าทุนแล้ว)</t>
        </is>
      </c>
      <c r="E54" s="664">
        <f>IF(B53="ไม่มีมุ้ง",0,ROUND((VLOOKUP(B53,ราคามุ้ง!$A:$F,2,0)+VLOOKUP(B53,ราคามุ้ง!$A:$F,6,0))*B7,0))</f>
        <v/>
      </c>
    </row>
    <row r="55">
      <c r="A55" s="745" t="n"/>
      <c r="B55" s="745" t="n"/>
      <c r="C55" s="745" t="n"/>
      <c r="D55" s="745" t="n"/>
      <c r="E55" s="745" t="n"/>
      <c r="F55" s="745" t="n"/>
      <c r="G55" s="745" t="n"/>
      <c r="H55" s="745" t="n"/>
      <c r="I55" s="745" t="n"/>
      <c r="J55" s="745" t="n"/>
      <c r="K55" s="745" t="n"/>
    </row>
    <row r="56">
      <c r="A56" s="746" t="n"/>
      <c r="B56" s="745" t="n"/>
      <c r="C56" s="745" t="n"/>
      <c r="D56" s="745" t="n"/>
      <c r="E56" s="745" t="n"/>
      <c r="F56" s="745" t="n"/>
      <c r="G56" s="745" t="n"/>
      <c r="H56" s="745" t="n"/>
      <c r="I56" s="745" t="n"/>
      <c r="J56" s="745" t="n"/>
      <c r="K56" s="745" t="n"/>
    </row>
    <row r="57">
      <c r="A57" s="747" t="n"/>
      <c r="B57" s="748" t="n"/>
      <c r="C57" s="745" t="n"/>
      <c r="D57" s="745" t="n"/>
      <c r="E57" s="745" t="n"/>
      <c r="F57" s="745" t="n"/>
      <c r="G57" s="745" t="n"/>
      <c r="H57" s="745" t="n"/>
      <c r="I57" s="745" t="n"/>
      <c r="J57" s="745" t="n"/>
      <c r="K57" s="745" t="n"/>
    </row>
    <row r="58">
      <c r="A58" s="747" t="n"/>
      <c r="B58" s="748" t="n"/>
      <c r="C58" s="745" t="n"/>
      <c r="D58" s="745" t="n"/>
      <c r="E58" s="745" t="n"/>
      <c r="F58" s="745" t="n"/>
      <c r="G58" s="745" t="n"/>
      <c r="H58" s="745" t="n"/>
      <c r="I58" s="745" t="n"/>
      <c r="J58" s="745" t="n"/>
      <c r="K58" s="745" t="n"/>
    </row>
    <row r="59">
      <c r="A59" s="747" t="n"/>
      <c r="B59" s="748" t="n"/>
      <c r="C59" s="745" t="n"/>
      <c r="D59" s="745" t="n"/>
      <c r="E59" s="745" t="n"/>
      <c r="F59" s="745" t="n"/>
      <c r="G59" s="745" t="n"/>
      <c r="H59" s="745" t="n"/>
      <c r="I59" s="745" t="n"/>
      <c r="J59" s="745" t="n"/>
      <c r="K59" s="745" t="n"/>
    </row>
    <row r="60">
      <c r="A60" s="747" t="n"/>
      <c r="B60" s="749" t="n"/>
      <c r="C60" s="745" t="n"/>
      <c r="D60" s="745" t="n"/>
      <c r="E60" s="745" t="n"/>
      <c r="F60" s="745" t="n"/>
      <c r="G60" s="745" t="n"/>
      <c r="H60" s="745" t="n"/>
      <c r="I60" s="745" t="n"/>
      <c r="J60" s="745" t="n"/>
      <c r="K60" s="745" t="n"/>
    </row>
    <row r="61">
      <c r="A61" s="745" t="n"/>
      <c r="B61" s="745" t="n"/>
      <c r="C61" s="745" t="n"/>
      <c r="D61" s="745" t="n"/>
      <c r="E61" s="745" t="n"/>
      <c r="F61" s="745" t="n"/>
      <c r="G61" s="745" t="n"/>
      <c r="H61" s="745" t="n"/>
      <c r="I61" s="745" t="n"/>
      <c r="J61" s="745" t="n"/>
      <c r="K61" s="745" t="n"/>
    </row>
    <row r="62">
      <c r="A62" s="738" t="inlineStr">
        <is>
          <t>🔍 แยกก้อนต้นทุน</t>
        </is>
      </c>
    </row>
    <row r="63">
      <c r="A63" s="739" t="inlineStr">
        <is>
          <t>ทุนอลู (×ราคา/กก.)</t>
        </is>
      </c>
      <c r="B63" s="740">
        <f>E12+E13+E14+E15+E16+E17+E18+E19+E29+E30+E37</f>
        <v/>
      </c>
    </row>
    <row r="64">
      <c r="A64" s="741" t="inlineStr">
        <is>
          <t>ทุนกระจก</t>
        </is>
      </c>
      <c r="B64" s="742">
        <f>E20+E36</f>
        <v/>
      </c>
    </row>
    <row r="65">
      <c r="A65" s="741" t="inlineStr">
        <is>
          <t>ทุนอุปกรณ์+ซิลิโคน</t>
        </is>
      </c>
      <c r="B65" s="742">
        <f>E22+E23+E24+E25+E26+E27+E28+E32+E33+E34+E35+E38</f>
        <v/>
      </c>
    </row>
    <row r="66">
      <c r="A66" s="741" t="inlineStr">
        <is>
          <t>รวมวัสดุ</t>
        </is>
      </c>
      <c r="B66" s="743">
        <f>B63+B64+B65</f>
        <v/>
      </c>
    </row>
  </sheetData>
  <mergeCells count="1">
    <mergeCell ref="A1:E1"/>
  </mergeCells>
  <dataValidations count="5">
    <dataValidation sqref="B5" showDropDown="0" showInputMessage="0" showErrorMessage="0" allowBlank="0" type="list" errorStyle="stop" operator="between">
      <formula1>$J$2:$J$38</formula1>
      <formula2>0</formula2>
    </dataValidation>
    <dataValidation sqref="B6" showDropDown="0" showInputMessage="0" showErrorMessage="0" allowBlank="0" type="list" errorStyle="stop" operator="between">
      <formula1>"ปกติ,รางยู"</formula1>
      <formula2>0</formula2>
    </dataValidation>
    <dataValidation sqref="B10" showDropDown="0" showInputMessage="0" showErrorMessage="0" allowBlank="0" type="list" errorStyle="stop" operator="between">
      <formula1>GlassNames</formula1>
      <formula2>0</formula2>
    </dataValidation>
    <dataValidation sqref="F10" showDropDown="0" showInputMessage="0" showErrorMessage="0" allowBlank="1" type="list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</dataValidation>
    <dataValidation sqref="B53" showDropDown="0" showInputMessage="0" showErrorMessage="0" allowBlank="1" type="list">
      <formula1>MungReady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K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0.7" customWidth="1" style="140" min="2" max="2"/>
    <col width="10.7" customWidth="1" style="140" min="3" max="3"/>
    <col width="18" customWidth="1" style="140" min="4" max="4"/>
    <col width="11.7" customWidth="1" style="140" min="5" max="5"/>
    <col width="8.6" customWidth="1" style="129" min="7" max="7"/>
  </cols>
  <sheetData>
    <row r="1" ht="24" customHeight="1" s="129">
      <c r="A1" s="286" t="inlineStr">
        <is>
          <t>คิดทุนบานตายดัดโค้ง (ช่องปูนโค้ง บานแบน) — 1 โค้ง/ชีท</t>
        </is>
      </c>
      <c r="F1" s="643" t="n"/>
      <c r="G1" s="753" t="inlineStr">
        <is>
          <t>🏠 สารบัญ</t>
        </is>
      </c>
      <c r="H1" s="754" t="n"/>
    </row>
    <row r="2" ht="15" customHeight="1" s="129">
      <c r="A2" s="287" t="inlineStr">
        <is>
          <t>กว้าง (ซม.) →</t>
        </is>
      </c>
      <c r="B2" s="283" t="n">
        <v>100</v>
      </c>
    </row>
    <row r="3" ht="15" customHeight="1" s="129">
      <c r="A3" s="287" t="inlineStr">
        <is>
          <t>สูง (ซม.) →</t>
        </is>
      </c>
      <c r="B3" s="283" t="n">
        <v>50</v>
      </c>
    </row>
    <row r="4" ht="15" customHeight="1" s="129">
      <c r="A4" s="287" t="inlineStr">
        <is>
          <t>ชนิดกระจก →</t>
        </is>
      </c>
      <c r="B4" s="283" t="inlineStr">
        <is>
          <t>เขียว 6มม.</t>
        </is>
      </c>
    </row>
    <row r="5" ht="15" customHeight="1" s="129">
      <c r="A5" s="287" t="inlineStr">
        <is>
          <t>ราคากระจก/ตร.ม. (auto) →</t>
        </is>
      </c>
      <c r="B5" s="283">
        <f>INDEX(ราคาวัสดุกลาง!$I$2:$I$106,MATCH(B4,ราคาวัสดุกลาง!$H$2:$H$106,0))</f>
        <v/>
      </c>
    </row>
    <row r="6" ht="15" customHeight="1" s="129">
      <c r="A6" s="287" t="inlineStr">
        <is>
          <t>พื้นที่ (ตร.ม.) =</t>
        </is>
      </c>
      <c r="B6" s="324">
        <f>(B2/100)*(B3/100)</f>
        <v/>
      </c>
    </row>
    <row r="7" ht="15" customHeight="1" s="129">
      <c r="A7" s="287" t="inlineStr">
        <is>
          <t>บวกกำไร % →</t>
        </is>
      </c>
      <c r="B7" s="283" t="n">
        <v>100</v>
      </c>
    </row>
    <row r="8" ht="15" customHeight="1" s="129">
      <c r="A8" s="287" t="inlineStr">
        <is>
          <t>ราคาซิลิโคน/หลอด →</t>
        </is>
      </c>
      <c r="B8" s="283" t="n">
        <v>90</v>
      </c>
    </row>
    <row r="9">
      <c r="A9" s="140" t="inlineStr">
        <is>
          <t>จำนวนโค้ง →</t>
        </is>
      </c>
      <c r="B9" s="140" t="n">
        <v>1</v>
      </c>
    </row>
    <row r="10" ht="15" customHeight="1" s="129">
      <c r="A10" s="339" t="inlineStr">
        <is>
          <t>วัสดุ</t>
        </is>
      </c>
      <c r="B10" s="339" t="inlineStr">
        <is>
          <t>จำนวน</t>
        </is>
      </c>
      <c r="C10" s="339" t="inlineStr">
        <is>
          <t>ราคา/หน่วย</t>
        </is>
      </c>
      <c r="D10" s="339" t="inlineStr">
        <is>
          <t>ทุน(บาท)</t>
        </is>
      </c>
      <c r="E10" s="339" t="inlineStr">
        <is>
          <t>หมายเหตุ</t>
        </is>
      </c>
    </row>
    <row r="11" ht="15" customHeight="1" s="129">
      <c r="A11" s="316" t="inlineStr">
        <is>
          <t>ค่าดัดโค้ง (อลูทั้งชุด รวมกล่อง)</t>
        </is>
      </c>
      <c r="D11" s="312">
        <f>(ROUNDUP(((B2/100)+(B3/100)+0.4)*1.4*220+1500,0))*B9</f>
        <v/>
      </c>
      <c r="E11" s="316" t="n"/>
    </row>
    <row r="12" ht="15" customHeight="1" s="129">
      <c r="A12" s="316" t="inlineStr">
        <is>
          <t>กระจก (ตร.ม.)</t>
        </is>
      </c>
      <c r="B12" s="316">
        <f>B6</f>
        <v/>
      </c>
      <c r="C12" s="312">
        <f>B5</f>
        <v/>
      </c>
      <c r="D12" s="312">
        <f>B12*C12</f>
        <v/>
      </c>
    </row>
    <row r="13" ht="15" customHeight="1" s="129">
      <c r="A13" s="316" t="inlineStr">
        <is>
          <t>ซิลิโคน (หลอด) ใน+นอก</t>
        </is>
      </c>
      <c r="B13" s="316">
        <f>ROUNDUP(2*(B2+B3)/100*2/12.5,0)</f>
        <v/>
      </c>
      <c r="C13" s="312">
        <f>B8</f>
        <v/>
      </c>
      <c r="D13" s="312">
        <f>B13*C13</f>
        <v/>
      </c>
    </row>
    <row r="14">
      <c r="A14" s="387" t="inlineStr">
        <is>
          <t>กล่องเปิด(1267)+ตบปิดเปิด(582) ยาว=กว้าง</t>
        </is>
      </c>
      <c r="D14" s="388">
        <f>(B2/600)*buf_scrap*(1267+582)</f>
        <v/>
      </c>
    </row>
    <row r="15" ht="15" customHeight="1" s="129">
      <c r="A15" s="281" t="inlineStr">
        <is>
          <t>ทุนรวม</t>
        </is>
      </c>
      <c r="D15" s="332">
        <f>ROUNDUP(SUM(D11:D14)/100,0)*100</f>
        <v/>
      </c>
      <c r="E15" s="324" t="inlineStr">
        <is>
          <t>ปัดขึ้นหลักร้อย</t>
        </is>
      </c>
    </row>
    <row r="16" ht="15" customHeight="1" s="129">
      <c r="A16" s="281" t="inlineStr">
        <is>
          <t>ทุน/ตร.ม.</t>
        </is>
      </c>
      <c r="D16" s="332">
        <f>IF(B6&gt;0,ROUNDUP(D15/B6,0),0)</f>
        <v/>
      </c>
    </row>
    <row r="17" ht="15" customHeight="1" s="129">
      <c r="A17" s="281" t="inlineStr">
        <is>
          <t>ราคาขาย/ตร.ม. (markup%)</t>
        </is>
      </c>
      <c r="D17" s="284">
        <f>ROUNDUP(D16*(1+B7/100)/100,0)*100</f>
        <v/>
      </c>
    </row>
    <row r="18" ht="15" customHeight="1" s="129">
      <c r="A18" s="281" t="inlineStr">
        <is>
          <t>ราคาขายรวม/ชุด</t>
        </is>
      </c>
      <c r="D18" s="284">
        <f>B6*D17</f>
        <v/>
      </c>
    </row>
    <row r="19" ht="15" customHeight="1" s="129">
      <c r="A19" s="281" t="inlineStr">
        <is>
          <t>%กำไรจริง (บนทุน)</t>
        </is>
      </c>
      <c r="D19" s="285">
        <f>(D18-D15)/D15</f>
        <v/>
      </c>
    </row>
    <row r="21">
      <c r="A21" s="387" t="inlineStr">
        <is>
          <t>ค่าแรงผลิต (263/ตร.ม.)</t>
        </is>
      </c>
      <c r="D21" s="388">
        <f>ROUND(VLOOKUP("ตายดัดโค้ง",'ค่าแรง'!$A$12:$E$27,2,0)+VLOOKUP("ตายดัดโค้ง",'ค่าแรง'!$A$12:$E$27,3,0)*B6,0)</f>
        <v/>
      </c>
    </row>
    <row r="22">
      <c r="A22" s="387" t="inlineStr">
        <is>
          <t>ค่าแรงติดตั้ง (263/ตร.ม.)</t>
        </is>
      </c>
      <c r="D22" s="388">
        <f>ROUND(VLOOKUP("ตายดัดโค้ง",'ค่าแรง'!$A$12:$E$27,4,0)+VLOOKUP("ตายดัดโค้ง",'ค่าแรง'!$A$12:$E$27,5,0)*B6,0)</f>
        <v/>
      </c>
    </row>
    <row r="23">
      <c r="A23" s="276" t="inlineStr">
        <is>
          <t>ขายผลิตอย่างเดียว</t>
        </is>
      </c>
      <c r="D23" s="389">
        <f>ROUNDUP((D15+D21)*(1+B7/100)/100,0)*100</f>
        <v/>
      </c>
    </row>
    <row r="24">
      <c r="A24" s="276" t="inlineStr">
        <is>
          <t>ขายผลิต+ติดตั้ง</t>
        </is>
      </c>
      <c r="D24" s="389">
        <f>D23+ROUNDUP(D22*(1+B7/100)/100,0)*100</f>
        <v/>
      </c>
    </row>
    <row r="25">
      <c r="A25" s="387" t="inlineStr">
        <is>
          <t>%กำไร (ฐานวัสดุ+ผลิต)</t>
        </is>
      </c>
      <c r="D25" s="390">
        <f>(D23-(D15+D21))/(D15+D21)</f>
        <v/>
      </c>
    </row>
    <row r="26">
      <c r="A26" s="745" t="n"/>
      <c r="B26" s="745" t="n"/>
      <c r="C26" s="745" t="n"/>
      <c r="D26" s="745" t="n"/>
      <c r="E26" s="745" t="n"/>
      <c r="F26" s="745" t="n"/>
      <c r="G26" s="745" t="n"/>
      <c r="H26" s="745" t="n"/>
      <c r="I26" s="745" t="n"/>
      <c r="J26" s="745" t="n"/>
      <c r="K26" s="745" t="n"/>
    </row>
    <row r="27">
      <c r="A27" s="746" t="n"/>
      <c r="B27" s="745" t="n"/>
      <c r="C27" s="745" t="n"/>
      <c r="D27" s="745" t="n"/>
      <c r="E27" s="745" t="n"/>
      <c r="F27" s="745" t="n"/>
      <c r="G27" s="745" t="n"/>
      <c r="H27" s="745" t="n"/>
      <c r="I27" s="745" t="n"/>
      <c r="J27" s="745" t="n"/>
      <c r="K27" s="745" t="n"/>
    </row>
    <row r="28">
      <c r="A28" s="747" t="n"/>
      <c r="B28" s="748" t="n"/>
      <c r="C28" s="745" t="n"/>
      <c r="D28" s="745" t="n"/>
      <c r="E28" s="745" t="n"/>
      <c r="F28" s="745" t="n"/>
      <c r="G28" s="745" t="n"/>
      <c r="H28" s="745" t="n"/>
      <c r="I28" s="745" t="n"/>
      <c r="J28" s="745" t="n"/>
      <c r="K28" s="745" t="n"/>
    </row>
    <row r="29">
      <c r="A29" s="747" t="n"/>
      <c r="B29" s="748" t="n"/>
      <c r="C29" s="745" t="n"/>
      <c r="D29" s="745" t="n"/>
      <c r="E29" s="745" t="n"/>
      <c r="F29" s="745" t="n"/>
      <c r="G29" s="745" t="n"/>
      <c r="H29" s="745" t="n"/>
      <c r="I29" s="745" t="n"/>
      <c r="J29" s="745" t="n"/>
      <c r="K29" s="745" t="n"/>
    </row>
    <row r="30">
      <c r="A30" s="747" t="n"/>
      <c r="B30" s="748" t="n"/>
      <c r="C30" s="745" t="n"/>
      <c r="D30" s="745" t="n"/>
      <c r="E30" s="745" t="n"/>
      <c r="F30" s="745" t="n"/>
      <c r="G30" s="745" t="n"/>
      <c r="H30" s="745" t="n"/>
      <c r="I30" s="745" t="n"/>
      <c r="J30" s="745" t="n"/>
      <c r="K30" s="745" t="n"/>
    </row>
    <row r="31">
      <c r="A31" s="747" t="n"/>
      <c r="B31" s="749" t="n"/>
      <c r="C31" s="745" t="n"/>
      <c r="D31" s="745" t="n"/>
      <c r="E31" s="745" t="n"/>
      <c r="F31" s="745" t="n"/>
      <c r="G31" s="745" t="n"/>
      <c r="H31" s="745" t="n"/>
      <c r="I31" s="745" t="n"/>
      <c r="J31" s="745" t="n"/>
      <c r="K31" s="745" t="n"/>
    </row>
    <row r="32">
      <c r="A32" s="745" t="n"/>
      <c r="B32" s="745" t="n"/>
      <c r="C32" s="745" t="n"/>
      <c r="D32" s="745" t="n"/>
      <c r="E32" s="745" t="n"/>
      <c r="F32" s="745" t="n"/>
      <c r="G32" s="745" t="n"/>
      <c r="H32" s="745" t="n"/>
      <c r="I32" s="745" t="n"/>
      <c r="J32" s="745" t="n"/>
      <c r="K32" s="745" t="n"/>
    </row>
    <row r="33">
      <c r="A33" s="738" t="inlineStr">
        <is>
          <t>🔍 แยกก้อนต้นทุน</t>
        </is>
      </c>
    </row>
    <row r="34">
      <c r="A34" s="739" t="inlineStr">
        <is>
          <t>ทุนอลู (×ราคา/กก.)</t>
        </is>
      </c>
      <c r="B34" s="740">
        <f>D11+D13+D14</f>
        <v/>
      </c>
    </row>
    <row r="35">
      <c r="A35" s="741" t="inlineStr">
        <is>
          <t>ทุนกระจก</t>
        </is>
      </c>
      <c r="B35" s="742">
        <f>D12</f>
        <v/>
      </c>
    </row>
    <row r="36">
      <c r="A36" s="741" t="inlineStr">
        <is>
          <t>ทุนอุปกรณ์+ซิลิโคน</t>
        </is>
      </c>
      <c r="B36" s="742">
        <f>0</f>
        <v/>
      </c>
    </row>
    <row r="37">
      <c r="A37" s="741" t="inlineStr">
        <is>
          <t>รวมวัสดุ</t>
        </is>
      </c>
      <c r="B37" s="743">
        <f>B34+B35+B36</f>
        <v/>
      </c>
    </row>
  </sheetData>
  <mergeCells count="1">
    <mergeCell ref="A1:E1"/>
  </mergeCells>
  <dataValidations count="1">
    <dataValidation sqref="B4" showDropDown="0" showInputMessage="0" showErrorMessage="0" allowBlank="0" type="list" errorStyle="stop" operator="between">
      <formula1>GlassNames</formula1>
      <formula2>0</formula2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M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3.8" customWidth="1" style="140" min="2" max="2"/>
    <col width="16.9" customWidth="1" style="140" min="3" max="3"/>
    <col width="19.1" customWidth="1" style="140" min="4" max="4"/>
    <col width="8.6" customWidth="1" style="129" min="5" max="5"/>
    <col width="14.8" customWidth="1" style="129" min="6" max="6"/>
    <col width="6.5" customWidth="1" style="129" min="7" max="7"/>
    <col width="24" customWidth="1" style="129" min="10" max="10"/>
    <col width="7.5" customWidth="1" style="129" min="11" max="11"/>
    <col width="7.5" customWidth="1" style="129" min="12" max="12"/>
    <col width="7.5" customWidth="1" style="129" min="13" max="13"/>
  </cols>
  <sheetData>
    <row r="1" ht="24" customHeight="1" s="129">
      <c r="A1" s="286" t="inlineStr">
        <is>
          <t>คิดทุนบานเปิดดัดโค้ง (สั่งร้านอื่น + กระจก + ซิลิโคน + ค่าแรง)</t>
        </is>
      </c>
      <c r="E1" s="753" t="inlineStr">
        <is>
          <t>🏠 สารบัญ</t>
        </is>
      </c>
      <c r="F1" s="763" t="inlineStr">
        <is>
          <t>น้ำหนักอลู(กก.)=</t>
        </is>
      </c>
      <c r="G1" s="140">
        <f>ROUNDUP((B2+2*B3)/640,0)*6.11+ROUNDUP(B2/640,0)*7.78+ROUNDUP(B2/640,0)*3.19+ROUNDUP((2*B4*B3+2*B2)/640,0)*11.08+ROUNDUP((2*B4*B3+2*B2)/640,0)*2+IF(B4&gt;1,1,0)*4.31</f>
        <v/>
      </c>
      <c r="H1" s="673" t="n"/>
      <c r="J1" s="324" t="inlineStr">
        <is>
          <t>LUT ราคาบาน (ซ่อนได้) key|ขาว-ดำ|เทา|ลายไม้</t>
        </is>
      </c>
    </row>
    <row r="2" ht="15" customHeight="1" s="129">
      <c r="A2" s="287" t="inlineStr">
        <is>
          <t>กว้าง (ซม.) →</t>
        </is>
      </c>
      <c r="B2" s="283" t="n">
        <v>90</v>
      </c>
      <c r="D2" s="324" t="inlineStr">
        <is>
          <t>สีidx=</t>
        </is>
      </c>
      <c r="E2" s="324">
        <f>MATCH(B6,{"ขาว/ดำ","เทาซาฮาร่า","ลายไม้","สีอบพิเศษ","สีลายไม้อบพิเศษ"},0)</f>
        <v/>
      </c>
      <c r="J2" s="324" t="inlineStr">
        <is>
          <t>1|2.4</t>
        </is>
      </c>
      <c r="K2" s="324" t="n">
        <v>16000</v>
      </c>
      <c r="L2" s="324" t="n">
        <v>16500</v>
      </c>
      <c r="M2" s="403" t="n">
        <v>21000</v>
      </c>
    </row>
    <row r="3" ht="15" customHeight="1" s="129">
      <c r="A3" s="287" t="inlineStr">
        <is>
          <t>สูงรวมโค้ง (ซม.) →</t>
        </is>
      </c>
      <c r="B3" s="283" t="n">
        <v>240</v>
      </c>
      <c r="D3" s="324" t="inlineStr">
        <is>
          <t>key=</t>
        </is>
      </c>
      <c r="E3" s="324">
        <f>B4&amp;"|"&amp;IF(B3/100&lt;=2.4,"2.4",IF(B3/100&lt;=2.6,"2.6",IF(B3/100&lt;=2.7,"2.7",IF(B3/100&lt;=2.8,"2.8","X"))))</f>
        <v/>
      </c>
      <c r="J3" s="324" t="inlineStr">
        <is>
          <t>1|2.6</t>
        </is>
      </c>
      <c r="K3" s="324" t="n">
        <v>16500</v>
      </c>
      <c r="L3" s="324" t="n">
        <v>17000</v>
      </c>
      <c r="M3" s="403" t="n">
        <v>21500</v>
      </c>
    </row>
    <row r="4" ht="15" customHeight="1" s="129">
      <c r="A4" s="287" t="inlineStr">
        <is>
          <t>จำนวนบาน →</t>
        </is>
      </c>
      <c r="B4" s="283" t="n">
        <v>1</v>
      </c>
      <c r="E4" s="140" t="n"/>
      <c r="J4" s="324" t="inlineStr">
        <is>
          <t>1|2.7</t>
        </is>
      </c>
      <c r="K4" s="324" t="n">
        <v>17000</v>
      </c>
      <c r="L4" s="324" t="n">
        <v>17500</v>
      </c>
      <c r="M4" s="403" t="n">
        <v>22000</v>
      </c>
    </row>
    <row r="5" ht="15" customHeight="1" s="129">
      <c r="A5" s="287" t="inlineStr">
        <is>
          <t>ความสูงโค้ง (ซม.) →</t>
        </is>
      </c>
      <c r="B5" s="283" t="n">
        <v>40</v>
      </c>
      <c r="J5" s="324" t="inlineStr">
        <is>
          <t>1|2.8</t>
        </is>
      </c>
      <c r="K5" s="324" t="n">
        <v>17000</v>
      </c>
      <c r="L5" s="324" t="n">
        <v>17500</v>
      </c>
      <c r="M5" s="403" t="n">
        <v>22000</v>
      </c>
    </row>
    <row r="6" ht="15" customHeight="1" s="129">
      <c r="A6" s="287" t="inlineStr">
        <is>
          <t>สีอลู →</t>
        </is>
      </c>
      <c r="B6" s="283" t="inlineStr">
        <is>
          <t>ขาว/ดำ</t>
        </is>
      </c>
      <c r="J6" s="324" t="inlineStr">
        <is>
          <t>2|2.4</t>
        </is>
      </c>
      <c r="K6" s="324" t="n">
        <v>26000</v>
      </c>
      <c r="L6" s="324" t="n">
        <v>26500</v>
      </c>
      <c r="M6" s="403" t="n">
        <v>34500</v>
      </c>
    </row>
    <row r="7" ht="15" customHeight="1" s="129">
      <c r="A7" s="287" t="inlineStr">
        <is>
          <t>ชนิดกระจก →</t>
        </is>
      </c>
      <c r="B7" s="283" t="inlineStr">
        <is>
          <t>เทมเปอร์ 6มม.</t>
        </is>
      </c>
      <c r="J7" s="324" t="inlineStr">
        <is>
          <t>2|2.6</t>
        </is>
      </c>
      <c r="K7" s="324" t="n">
        <v>26500</v>
      </c>
      <c r="L7" s="324" t="n">
        <v>27000</v>
      </c>
      <c r="M7" s="403" t="n">
        <v>35000</v>
      </c>
    </row>
    <row r="8" ht="15" customHeight="1" s="129">
      <c r="A8" s="287" t="inlineStr">
        <is>
          <t>ราคากระจก/ตร.ม. (auto) →</t>
        </is>
      </c>
      <c r="B8" s="283">
        <f>INDEX(ราคาวัสดุกลาง!$I$2:$I$106,MATCH(B7,ราคาวัสดุกลาง!$H$2:$H$106,0))</f>
        <v/>
      </c>
      <c r="J8" s="324" t="inlineStr">
        <is>
          <t>2|2.7</t>
        </is>
      </c>
      <c r="K8" s="324" t="n">
        <v>27000</v>
      </c>
      <c r="L8" s="324" t="n">
        <v>27500</v>
      </c>
      <c r="M8" s="403" t="n">
        <v>35000</v>
      </c>
    </row>
    <row r="9" ht="15" customHeight="1" s="129">
      <c r="A9" s="287" t="inlineStr">
        <is>
          <t>บวกกำไร % →</t>
        </is>
      </c>
      <c r="B9" s="283" t="n">
        <v>30</v>
      </c>
      <c r="J9" s="324" t="inlineStr">
        <is>
          <t>2|2.8</t>
        </is>
      </c>
      <c r="K9" s="324" t="n">
        <v>28000</v>
      </c>
      <c r="L9" s="324" t="n">
        <v>28500</v>
      </c>
      <c r="M9" s="403" t="n">
        <v>36000</v>
      </c>
    </row>
    <row r="10" ht="15" customHeight="1" s="129">
      <c r="A10" s="287" t="inlineStr">
        <is>
          <t>ราคาซิลิโคน/หลอด (PU) →</t>
        </is>
      </c>
      <c r="B10" s="283" t="n">
        <v>90</v>
      </c>
    </row>
    <row r="11" ht="15" customHeight="1" s="129">
      <c r="A11" s="287" t="inlineStr">
        <is>
          <t>พื้นที่ (ตร.ม.) =</t>
        </is>
      </c>
      <c r="B11" s="324">
        <f>(B2/100)*(B3/100)</f>
        <v/>
      </c>
    </row>
    <row r="12" ht="15" customHeight="1" s="129">
      <c r="A12" s="287" t="inlineStr">
        <is>
          <t>ราคาบาน กรอกเอง (ว่าง=ใช้ตาราง) →</t>
        </is>
      </c>
      <c r="B12" s="428" t="n"/>
      <c r="C12" s="287" t="inlineStr">
        <is>
          <t>กฎโค้ง:</t>
        </is>
      </c>
      <c r="D12" s="281">
        <f>IF(B5&gt;B2/2,"⚠ โค้งเกินกว้าง÷2","✅ OK")</f>
        <v/>
      </c>
    </row>
    <row r="13" ht="15" customHeight="1" s="129">
      <c r="A13" s="339" t="inlineStr">
        <is>
          <t>วัสดุ</t>
        </is>
      </c>
      <c r="C13" s="339" t="inlineStr">
        <is>
          <t>หมายเหตุ</t>
        </is>
      </c>
      <c r="D13" s="339" t="inlineStr">
        <is>
          <t>ทุน(บาท)</t>
        </is>
      </c>
    </row>
    <row r="14" ht="15" customHeight="1" s="129">
      <c r="A14" s="316" t="inlineStr">
        <is>
          <t>ราคาบาน (สั่งร้านอื่น รวมอุปกรณ์)</t>
        </is>
      </c>
      <c r="C14" s="316">
        <f>IF(ISNUMBER(B12),"กรอกเอง",IF(ISNA(MATCH($E$3,$J$2:$J$9,0)),"⚠ นอกตาราง — กรอกราคาร้านช่องบน","ตาราง: บาน+สูง+สี"))</f>
        <v/>
      </c>
      <c r="D14" s="312">
        <f>IF(ISNUMBER(B12),B12,IFERROR(INDEX($K$2:$M$9,MATCH($E$3,$J$2:$J$9,0),IF($E$2&lt;=3,$E$2,1)),0))+IF(OR(B6="สีอบพิเศษ",B6="สีลายไม้อบพิเศษ"),ROUND(IF(B6="สีอบพิเศษ",rate_special,rate_woodbake)*G1,0)+2000,0)</f>
        <v/>
      </c>
    </row>
    <row r="15" ht="15" customHeight="1" s="129">
      <c r="A15" s="316" t="inlineStr">
        <is>
          <t>กระจก (เต็ม กว้าง×สูง)</t>
        </is>
      </c>
      <c r="C15" s="316" t="inlineStr">
        <is>
          <t>ตัดโค้งทิ้ง คิดเต็ม</t>
        </is>
      </c>
      <c r="D15" s="312">
        <f>ROUND(B11*B8,0)</f>
        <v/>
      </c>
    </row>
    <row r="16" ht="15" customHeight="1" s="129">
      <c r="A16" s="316" t="inlineStr">
        <is>
          <t>ซิลิโคน (PU) ใน+นอก</t>
        </is>
      </c>
      <c r="C16" s="316" t="inlineStr">
        <is>
          <t>90/หลอด</t>
        </is>
      </c>
      <c r="D16" s="312">
        <f>ROUNDUP(2*(B2+B3)/100*2/12.5,0)*B10</f>
        <v/>
      </c>
    </row>
    <row r="17" ht="15" customHeight="1" s="129">
      <c r="A17" s="316" t="inlineStr">
        <is>
          <t>ค่าแรงผลิต (90/ตร.ม.)</t>
        </is>
      </c>
      <c r="D17" s="312">
        <f>ROUND(VLOOKUP("เปิดดัดโค้ง",'ค่าแรง'!$A$12:$M$49,2,0)+VLOOKUP("เปิดดัดโค้ง",'ค่าแรง'!$A$12:$M$49,3,0)*B11,0)</f>
        <v/>
      </c>
    </row>
    <row r="18" ht="15" customHeight="1" s="129">
      <c r="A18" s="316" t="inlineStr">
        <is>
          <t>ค่าแรงติดตั้ง (=บานเปิดยูโร)</t>
        </is>
      </c>
      <c r="D18" s="312">
        <f>ROUND(VLOOKUP("เปิดดัดโค้ง",'ค่าแรง'!$A$12:$M$49,4,0)+VLOOKUP("เปิดดัดโค้ง",'ค่าแรง'!$A$12:$M$49,5,0)*B11,0)</f>
        <v/>
      </c>
    </row>
    <row r="20" ht="15" customHeight="1" s="129">
      <c r="A20" s="281" t="inlineStr">
        <is>
          <t>ทุนรวม</t>
        </is>
      </c>
      <c r="D20" s="332">
        <f>SUM(D14:D18)</f>
        <v/>
      </c>
    </row>
    <row r="21" ht="15" customHeight="1" s="129">
      <c r="A21" s="281" t="inlineStr">
        <is>
          <t>ทุน/ตร.ม.</t>
        </is>
      </c>
      <c r="D21" s="332">
        <f>IF(B11&gt;0,ROUND(D20/B11,0),0)</f>
        <v/>
      </c>
    </row>
    <row r="22" ht="15" customHeight="1" s="129">
      <c r="A22" s="281" t="inlineStr">
        <is>
          <t>ราคาขาย/ชุด (markup)</t>
        </is>
      </c>
      <c r="D22" s="284">
        <f>ROUNDUP(D20*(1+B9/100)/100,0)*100</f>
        <v/>
      </c>
    </row>
    <row r="23" ht="15" customHeight="1" s="129">
      <c r="A23" s="281" t="inlineStr">
        <is>
          <t>%กำไรจริง</t>
        </is>
      </c>
      <c r="D23" s="285">
        <f>(D22-D20)/D20</f>
        <v/>
      </c>
    </row>
    <row r="25">
      <c r="A25" s="276" t="inlineStr">
        <is>
          <t>ขายผลิตอย่างเดียว</t>
        </is>
      </c>
      <c r="D25" s="389">
        <f>ROUNDUP((SUM(D14:D16)+D17)*(1+B9/100)/100,0)*100</f>
        <v/>
      </c>
    </row>
    <row r="26">
      <c r="A26" s="276" t="inlineStr">
        <is>
          <t>ขายผลิต+ติดตั้ง</t>
        </is>
      </c>
      <c r="D26" s="389">
        <f>D25+ROUNDUP(D18*(1+B9/100)/100,0)*100</f>
        <v/>
      </c>
    </row>
    <row r="27">
      <c r="A27" s="387" t="inlineStr">
        <is>
          <t>%กำไร (ฐานวัสดุ+ผลิต)</t>
        </is>
      </c>
      <c r="D27" s="390">
        <f>(D25-(SUM(D14:D16)+D17))/(SUM(D14:D16)+D17)</f>
        <v/>
      </c>
    </row>
    <row r="28">
      <c r="A28" s="745" t="n"/>
      <c r="B28" s="745" t="n"/>
      <c r="C28" s="745" t="n"/>
      <c r="D28" s="745" t="n"/>
      <c r="E28" s="745" t="n"/>
      <c r="F28" s="745" t="n"/>
      <c r="G28" s="745" t="n"/>
      <c r="H28" s="745" t="n"/>
      <c r="I28" s="745" t="n"/>
      <c r="J28" s="745" t="n"/>
      <c r="K28" s="745" t="n"/>
    </row>
    <row r="29">
      <c r="A29" s="746" t="n"/>
      <c r="B29" s="745" t="n"/>
      <c r="C29" s="745" t="n"/>
      <c r="D29" s="745" t="n"/>
      <c r="E29" s="745" t="n"/>
      <c r="F29" s="745" t="n"/>
      <c r="G29" s="745" t="n"/>
      <c r="H29" s="745" t="n"/>
      <c r="I29" s="745" t="n"/>
      <c r="J29" s="745" t="n"/>
      <c r="K29" s="745" t="n"/>
    </row>
    <row r="30">
      <c r="A30" s="747" t="n"/>
      <c r="B30" s="748" t="n"/>
      <c r="C30" s="745" t="n"/>
      <c r="D30" s="745" t="n"/>
      <c r="E30" s="745" t="n"/>
      <c r="F30" s="745" t="n"/>
      <c r="G30" s="745" t="n"/>
      <c r="H30" s="745" t="n"/>
      <c r="I30" s="745" t="n"/>
      <c r="J30" s="745" t="n"/>
      <c r="K30" s="745" t="n"/>
    </row>
    <row r="31">
      <c r="A31" s="747" t="n"/>
      <c r="B31" s="748" t="n"/>
      <c r="C31" s="745" t="n"/>
      <c r="D31" s="745" t="n"/>
      <c r="E31" s="745" t="n"/>
      <c r="F31" s="745" t="n"/>
      <c r="G31" s="745" t="n"/>
      <c r="H31" s="745" t="n"/>
      <c r="I31" s="745" t="n"/>
      <c r="J31" s="745" t="n"/>
      <c r="K31" s="745" t="n"/>
    </row>
    <row r="32">
      <c r="A32" s="747" t="n"/>
      <c r="B32" s="748" t="n"/>
      <c r="C32" s="745" t="n"/>
      <c r="D32" s="745" t="n"/>
      <c r="E32" s="745" t="n"/>
      <c r="F32" s="745" t="n"/>
      <c r="G32" s="745" t="n"/>
      <c r="H32" s="745" t="n"/>
      <c r="I32" s="745" t="n"/>
      <c r="J32" s="745" t="n"/>
      <c r="K32" s="745" t="n"/>
    </row>
    <row r="33">
      <c r="A33" s="747" t="n"/>
      <c r="B33" s="749" t="n"/>
      <c r="C33" s="745" t="n"/>
      <c r="D33" s="745" t="n"/>
      <c r="E33" s="745" t="n"/>
      <c r="F33" s="745" t="n"/>
      <c r="G33" s="745" t="n"/>
      <c r="H33" s="745" t="n"/>
      <c r="I33" s="745" t="n"/>
      <c r="J33" s="745" t="n"/>
      <c r="K33" s="745" t="n"/>
    </row>
    <row r="34">
      <c r="A34" s="745" t="n"/>
      <c r="B34" s="745" t="n"/>
      <c r="C34" s="745" t="n"/>
      <c r="D34" s="745" t="n"/>
      <c r="E34" s="745" t="n"/>
      <c r="F34" s="745" t="n"/>
      <c r="G34" s="745" t="n"/>
      <c r="H34" s="745" t="n"/>
      <c r="I34" s="745" t="n"/>
      <c r="J34" s="745" t="n"/>
      <c r="K34" s="745" t="n"/>
    </row>
    <row r="35">
      <c r="A35" s="738" t="inlineStr">
        <is>
          <t>🔍 แยกก้อนต้นทุน</t>
        </is>
      </c>
    </row>
    <row r="36">
      <c r="A36" s="739" t="inlineStr">
        <is>
          <t>ทุนอลู (×ราคา/กก.)</t>
        </is>
      </c>
      <c r="B36" s="740">
        <f>D16</f>
        <v/>
      </c>
    </row>
    <row r="37">
      <c r="A37" s="741" t="inlineStr">
        <is>
          <t>ทุนกระจก</t>
        </is>
      </c>
      <c r="B37" s="742">
        <f>D15</f>
        <v/>
      </c>
    </row>
    <row r="38">
      <c r="A38" s="741" t="inlineStr">
        <is>
          <t>ทุนอุปกรณ์+ซิลิโคน</t>
        </is>
      </c>
      <c r="B38" s="742">
        <f>D14+D17+D18</f>
        <v/>
      </c>
    </row>
    <row r="39">
      <c r="A39" s="741" t="inlineStr">
        <is>
          <t>รวมวัสดุ</t>
        </is>
      </c>
      <c r="B39" s="743">
        <f>B36+B37+B38</f>
        <v/>
      </c>
    </row>
  </sheetData>
  <mergeCells count="1">
    <mergeCell ref="A1:D1"/>
  </mergeCells>
  <dataValidations count="4">
    <dataValidation sqref="B4" showDropDown="0" showInputMessage="0" showErrorMessage="0" allowBlank="0" type="list" errorStyle="stop" operator="between">
      <formula1>"1,2"</formula1>
      <formula2>0</formula2>
    </dataValidation>
    <dataValidation sqref="B7" showDropDown="0" showInputMessage="0" showErrorMessage="0" allowBlank="0" type="list" errorStyle="stop" operator="between">
      <formula1>GlassNames</formula1>
      <formula2>0</formula2>
    </dataValidation>
    <dataValidation sqref="B7" showDropDown="0" showInputMessage="0" showErrorMessage="0" allowBlank="1" type="list">
      <formula1>"เทมเปอร์ 6มม.,เทมเปอร์ 8มม.,เทมเปอร์ 10มม.,เทมเปอร์ 12มม.,เทมเปอร์ใส 6มม.,เทมเปอร์ใส 8มม.,เทมเปอร์ใส 10มม.,เทมเปอร์ใส 12มม."</formula1>
    </dataValidation>
    <dataValidation sqref="B6" showDropDown="0" showInputMessage="0" showErrorMessage="0" allowBlank="1" type="list">
      <formula1>"ขาว/ดำ,เทาซาฮาร่า,ลายไม้,สีอบพิเศษ,สีลายไม้อบพิเศษ"</formula1>
    </dataValidation>
  </dataValidations>
  <hyperlinks>
    <hyperlink ref="E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AF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3.8" customWidth="1" style="140" min="2" max="2"/>
    <col width="10.7" customWidth="1" style="140" min="3" max="4"/>
    <col width="19.1" customWidth="1" style="129" min="4" max="4"/>
    <col width="21.1" customWidth="1" style="140" min="5" max="5"/>
    <col width="3" customWidth="1" style="140" min="6" max="6"/>
    <col width="13.8" customWidth="1" style="140" min="7" max="7"/>
    <col width="7.5" customWidth="1" style="140" min="8" max="8"/>
    <col width="15.9" customWidth="1" style="140" min="10" max="10"/>
    <col width="18" customWidth="1" style="140" min="11" max="12"/>
    <col width="6.5" customWidth="1" style="129" min="12" max="12"/>
    <col width="23.2" customWidth="1" style="140" min="14" max="14"/>
    <col width="6.5" customWidth="1" style="129" min="15" max="15"/>
    <col width="7.5" customWidth="1" style="129" min="16" max="16"/>
    <col width="4.5" customWidth="1" style="129" min="17" max="17"/>
    <col width="6.5" customWidth="1" style="129" min="18" max="18"/>
    <col width="6.5" customWidth="1" style="129" min="19" max="19"/>
    <col width="6.5" customWidth="1" style="129" min="20" max="20"/>
    <col width="10.7" customWidth="1" style="140" min="22" max="22"/>
    <col hidden="1" width="15.9" customWidth="1" style="129" min="28" max="28"/>
    <col hidden="1" width="5.4" customWidth="1" style="129" min="29" max="29"/>
    <col hidden="1" width="5.4" customWidth="1" style="129" min="30" max="30"/>
    <col hidden="1" width="13" customWidth="1" style="129" min="32" max="32"/>
  </cols>
  <sheetData>
    <row r="1" ht="24" customHeight="1" s="129">
      <c r="A1" s="286" t="inlineStr">
        <is>
          <t>คิดทุนบานระแนง 38.4 (บังตา/ผนัง) — เลือกรุ่น → ทุน → เทียบ R3.9</t>
        </is>
      </c>
      <c r="G1" s="753" t="inlineStr">
        <is>
          <t>🏠 สารบัญ</t>
        </is>
      </c>
      <c r="H1" s="754" t="n"/>
      <c r="I1" s="643" t="n"/>
      <c r="J1" s="355" t="inlineStr">
        <is>
          <t>LUT (ซ่อนได้)</t>
        </is>
      </c>
      <c r="V1" s="242" t="inlineStr">
        <is>
          <t>ตัวหาร 600</t>
        </is>
      </c>
      <c r="AF1" s="140">
        <f>IFERROR(VLOOKUP(B2,$AB$2:$AD$8,2,0),"")</f>
        <v/>
      </c>
    </row>
    <row r="2" ht="15" customHeight="1" s="129">
      <c r="A2" s="355" t="inlineStr">
        <is>
          <t>กล่องระแนง →</t>
        </is>
      </c>
      <c r="B2" s="356" t="inlineStr">
        <is>
          <t>กล่อง 1.6"×4"</t>
        </is>
      </c>
      <c r="D2" s="357" t="inlineStr">
        <is>
          <t>พื้นที่ (ตร.ม.)</t>
        </is>
      </c>
      <c r="E2" s="358">
        <f>(H16/100)*(H17/100)</f>
        <v/>
      </c>
      <c r="G2" s="357" t="inlineStr">
        <is>
          <t>เส้นโครง</t>
        </is>
      </c>
      <c r="H2" s="359">
        <f>IF(B5="รวม",ROUNDUP(IF(B9&lt;=250,2,3)/MAX(INT(600/B8),1),0),0)</f>
        <v/>
      </c>
      <c r="J2" s="357" t="inlineStr">
        <is>
          <t>กล่อง 1×5 cm</t>
        </is>
      </c>
      <c r="K2" s="359" t="n">
        <v>500</v>
      </c>
      <c r="N2" s="249" t="inlineStr">
        <is>
          <t>กล่อง 1×5 cm|1 cm|5</t>
        </is>
      </c>
      <c r="O2" s="250" t="n">
        <v>3300</v>
      </c>
      <c r="P2" s="250" t="n">
        <v>5200</v>
      </c>
      <c r="Q2" s="250" t="n">
        <v>300</v>
      </c>
      <c r="R2" s="250" t="n">
        <v>1000</v>
      </c>
      <c r="S2" s="250" t="n">
        <v>1700</v>
      </c>
      <c r="T2" s="250" t="n">
        <v>2400</v>
      </c>
      <c r="V2" s="249" t="n">
        <v>50</v>
      </c>
      <c r="AB2" s="140" t="inlineStr">
        <is>
          <t>กล่อง 1×5 cm</t>
        </is>
      </c>
      <c r="AC2" s="140" t="inlineStr">
        <is>
          <t>1 cm</t>
        </is>
      </c>
      <c r="AD2" s="140" t="inlineStr">
        <is>
          <t>5 cm</t>
        </is>
      </c>
      <c r="AF2" s="140">
        <f>IFERROR(VLOOKUP(B2,$AB$2:$AD$8,3,0),"")</f>
        <v/>
      </c>
    </row>
    <row r="3" ht="15" customHeight="1" s="129">
      <c r="A3" s="355" t="inlineStr">
        <is>
          <t>ด้านโชว์ →</t>
        </is>
      </c>
      <c r="B3" s="356" t="inlineStr">
        <is>
          <t>1.6"</t>
        </is>
      </c>
      <c r="D3" s="357" t="inlineStr">
        <is>
          <t>โชว์ (ซม.)</t>
        </is>
      </c>
      <c r="E3" s="358">
        <f>VLOOKUP(B3,$J$18:$K$23,2,0)</f>
        <v/>
      </c>
      <c r="G3" s="357" t="inlineStr">
        <is>
          <t>ราคาโครง/เส้น</t>
        </is>
      </c>
      <c r="H3" s="359">
        <f>ROUND(485*E9/5,0)*5</f>
        <v/>
      </c>
      <c r="J3" s="357" t="inlineStr">
        <is>
          <t>กล่อง 1"×1"</t>
        </is>
      </c>
      <c r="K3" s="359" t="n">
        <v>310</v>
      </c>
      <c r="N3" s="249" t="inlineStr">
        <is>
          <t>กล่อง 1×5 cm|1 cm|3</t>
        </is>
      </c>
      <c r="O3" s="250" t="n">
        <v>4300</v>
      </c>
      <c r="P3" s="250" t="n">
        <v>6000</v>
      </c>
      <c r="Q3" s="250" t="n">
        <v>400</v>
      </c>
      <c r="R3" s="250" t="n">
        <v>1500</v>
      </c>
      <c r="S3" s="250" t="n">
        <v>2500</v>
      </c>
      <c r="T3" s="250" t="n">
        <v>3500</v>
      </c>
      <c r="V3" s="249" t="n">
        <v>60</v>
      </c>
      <c r="AB3" s="140" t="inlineStr">
        <is>
          <t>กล่อง 1"×1"</t>
        </is>
      </c>
      <c r="AC3" s="140" t="inlineStr">
        <is>
          <t>1"</t>
        </is>
      </c>
      <c r="AD3" s="140" t="inlineStr">
        <is>
          <t>1"</t>
        </is>
      </c>
    </row>
    <row r="4" ht="15" customHeight="1" s="129">
      <c r="A4" s="355" t="inlineStr">
        <is>
          <t>ช่องห่าง (ซม.) →</t>
        </is>
      </c>
      <c r="B4" s="360" t="n">
        <v>5</v>
      </c>
      <c r="D4" s="357" t="inlineStr">
        <is>
          <t>pitch (ซม.)</t>
        </is>
      </c>
      <c r="E4" s="358">
        <f>E3+B4</f>
        <v/>
      </c>
      <c r="G4" s="357" t="inlineStr">
        <is>
          <t>สีพิเศษ (บาท)</t>
        </is>
      </c>
      <c r="H4" s="359">
        <f>VLOOKUP(B6,$J$11:$L$15,3,0)</f>
        <v/>
      </c>
      <c r="J4" s="357" t="inlineStr">
        <is>
          <t>กล่อง 1"×1.5"</t>
        </is>
      </c>
      <c r="K4" s="359" t="n">
        <v>395</v>
      </c>
      <c r="N4" s="249" t="inlineStr">
        <is>
          <t>กล่อง 1×5 cm|1 cm|2</t>
        </is>
      </c>
      <c r="O4" s="250" t="n">
        <v>5000</v>
      </c>
      <c r="P4" s="250" t="n">
        <v>7200</v>
      </c>
      <c r="Q4" s="250" t="n">
        <v>500</v>
      </c>
      <c r="R4" s="250" t="n">
        <v>1900</v>
      </c>
      <c r="S4" s="250" t="n">
        <v>3300</v>
      </c>
      <c r="T4" s="250" t="n">
        <v>4700</v>
      </c>
      <c r="V4" s="249" t="n">
        <v>75</v>
      </c>
      <c r="AB4" s="140" t="inlineStr">
        <is>
          <t>กล่อง 1"×1.5"</t>
        </is>
      </c>
      <c r="AC4" s="140" t="inlineStr">
        <is>
          <t>1"</t>
        </is>
      </c>
      <c r="AD4" s="140" t="inlineStr">
        <is>
          <t>1.5"</t>
        </is>
      </c>
    </row>
    <row r="5" ht="15" customHeight="1" s="129">
      <c r="A5" s="355" t="inlineStr">
        <is>
          <t>โครง →</t>
        </is>
      </c>
      <c r="B5" s="356" t="inlineStr">
        <is>
          <t>ไม่รวม</t>
        </is>
      </c>
      <c r="D5" s="357" t="inlineStr">
        <is>
          <t>ยาว/ใบ (ซม.)</t>
        </is>
      </c>
      <c r="E5" s="359">
        <f>IF(B7="นอน",H16,H17)</f>
        <v/>
      </c>
      <c r="G5" s="357" t="inlineStr">
        <is>
          <t>ขาย N</t>
        </is>
      </c>
      <c r="H5" s="359">
        <f>IF(E13=0,0,INDEX($O$2:$O$38,E13))</f>
        <v/>
      </c>
      <c r="J5" s="357" t="inlineStr">
        <is>
          <t>กล่อง 1"×1.6"</t>
        </is>
      </c>
      <c r="K5" s="359" t="n">
        <v>485</v>
      </c>
      <c r="N5" s="249" t="inlineStr">
        <is>
          <t>กล่อง 1×5 cm|5 cm|5</t>
        </is>
      </c>
      <c r="O5" s="250" t="n">
        <v>2800</v>
      </c>
      <c r="P5" s="250" t="n">
        <v>4500</v>
      </c>
      <c r="Q5" s="250" t="n">
        <v>200</v>
      </c>
      <c r="R5" s="250" t="n">
        <v>800</v>
      </c>
      <c r="S5" s="250" t="n">
        <v>1100</v>
      </c>
      <c r="T5" s="250" t="n">
        <v>1600</v>
      </c>
      <c r="V5" s="249" t="n">
        <v>100</v>
      </c>
      <c r="AB5" s="140" t="inlineStr">
        <is>
          <t>กล่อง 1"×1.6"</t>
        </is>
      </c>
      <c r="AC5" s="140" t="inlineStr">
        <is>
          <t>1"</t>
        </is>
      </c>
      <c r="AD5" s="140" t="inlineStr">
        <is>
          <t>1.6"</t>
        </is>
      </c>
    </row>
    <row r="6" ht="15" customHeight="1" s="129">
      <c r="A6" s="355" t="inlineStr">
        <is>
          <t>สี →</t>
        </is>
      </c>
      <c r="B6" s="356" t="inlineStr">
        <is>
          <t>ขาว/ดำ</t>
        </is>
      </c>
      <c r="D6" s="357" t="inlineStr">
        <is>
          <t>ช่วงกระจาย (ซม.)</t>
        </is>
      </c>
      <c r="E6" s="359">
        <f>IF(B7="นอน",H17,H16)</f>
        <v/>
      </c>
      <c r="G6" s="357" t="inlineStr">
        <is>
          <t>ขาย F</t>
        </is>
      </c>
      <c r="H6" s="359">
        <f>IF(E13=0,0,INDEX($P$2:$P$38,E13))</f>
        <v/>
      </c>
      <c r="J6" s="357" t="inlineStr">
        <is>
          <t>กล่อง 1"×4"</t>
        </is>
      </c>
      <c r="K6" s="359" t="n">
        <v>905</v>
      </c>
      <c r="N6" s="249" t="inlineStr">
        <is>
          <t>กล่อง 1×5 cm|5 cm|3</t>
        </is>
      </c>
      <c r="O6" s="250" t="n">
        <v>3200</v>
      </c>
      <c r="P6" s="250" t="n">
        <v>4800</v>
      </c>
      <c r="Q6" s="250" t="n">
        <v>200</v>
      </c>
      <c r="R6" s="250" t="n">
        <v>1000</v>
      </c>
      <c r="S6" s="250" t="n">
        <v>1400</v>
      </c>
      <c r="T6" s="250" t="n">
        <v>2000</v>
      </c>
      <c r="V6" s="249" t="n">
        <v>120</v>
      </c>
      <c r="AB6" s="140" t="inlineStr">
        <is>
          <t>กล่อง 1"×4"</t>
        </is>
      </c>
      <c r="AC6" s="140" t="inlineStr">
        <is>
          <t>1"</t>
        </is>
      </c>
      <c r="AD6" s="140" t="inlineStr">
        <is>
          <t>4"</t>
        </is>
      </c>
    </row>
    <row r="7" ht="15" customHeight="1" s="129">
      <c r="A7" s="355" t="inlineStr">
        <is>
          <t>แนวเกล็ด →</t>
        </is>
      </c>
      <c r="B7" s="356" t="inlineStr">
        <is>
          <t>นอน</t>
        </is>
      </c>
      <c r="D7" s="357" t="inlineStr">
        <is>
          <t>จำนวนใบ</t>
        </is>
      </c>
      <c r="E7" s="359">
        <f>INT(E6/E4)+1</f>
        <v/>
      </c>
      <c r="G7" s="357" t="inlineStr">
        <is>
          <t>addสี</t>
        </is>
      </c>
      <c r="H7" s="359">
        <f>IF(E13=0,0,IF(B6="เทาซาฮาร่า",INDEX($Q$2:$Q$38,E13),IF(B6="ลายไม้สต๊อก",INDEX($R$2:$R$38,E13),IF(B6="สีอบพิเศษ",INDEX($S$2:$S$38,E13),IF(B6="สีลายไม้อบพิเศษ",INDEX($T$2:$T$38,E13),0)))))</f>
        <v/>
      </c>
      <c r="J7" s="357" t="inlineStr">
        <is>
          <t>กล่อง 1.6"×1.6"</t>
        </is>
      </c>
      <c r="K7" s="359" t="n">
        <v>770</v>
      </c>
      <c r="N7" s="249" t="inlineStr">
        <is>
          <t>กล่อง 1×5 cm|5 cm|2</t>
        </is>
      </c>
      <c r="O7" s="250" t="n">
        <v>3300</v>
      </c>
      <c r="P7" s="250" t="n">
        <v>5100</v>
      </c>
      <c r="Q7" s="250" t="n">
        <v>300</v>
      </c>
      <c r="R7" s="250" t="n">
        <v>1000</v>
      </c>
      <c r="S7" s="250" t="n">
        <v>1700</v>
      </c>
      <c r="T7" s="250" t="n">
        <v>2400</v>
      </c>
      <c r="V7" s="249" t="n">
        <v>150</v>
      </c>
      <c r="AB7" s="140" t="inlineStr">
        <is>
          <t>กล่อง 1.6"×1.6"</t>
        </is>
      </c>
      <c r="AC7" s="140" t="inlineStr">
        <is>
          <t>1.6"</t>
        </is>
      </c>
      <c r="AD7" s="140" t="inlineStr">
        <is>
          <t>1.6"</t>
        </is>
      </c>
    </row>
    <row r="8" ht="15" customHeight="1" s="129">
      <c r="A8" s="355" t="inlineStr">
        <is>
          <t>กว้าง (ซม.) →</t>
        </is>
      </c>
      <c r="B8" s="360" t="n">
        <v>200</v>
      </c>
      <c r="D8" s="357" t="inlineStr">
        <is>
          <t>เส้นใบ</t>
        </is>
      </c>
      <c r="E8" s="359">
        <f>IF(B11="ต่อ",H21,H20)</f>
        <v/>
      </c>
      <c r="G8" s="357" t="inlineStr">
        <is>
          <t>ขาย/ตร.ม.</t>
        </is>
      </c>
      <c r="H8" s="359">
        <f>IF(B5="ไม่รวม",H5,H6)+H7</f>
        <v/>
      </c>
      <c r="J8" s="357" t="inlineStr">
        <is>
          <t>กล่อง 1.6"×4"</t>
        </is>
      </c>
      <c r="K8" s="359" t="n">
        <v>1220</v>
      </c>
      <c r="N8" s="249" t="inlineStr">
        <is>
          <t>กล่อง 1"×1.6"|1"|5</t>
        </is>
      </c>
      <c r="O8" s="250" t="n">
        <v>3700</v>
      </c>
      <c r="P8" s="250" t="n">
        <v>5300</v>
      </c>
      <c r="Q8" s="250" t="n">
        <v>300</v>
      </c>
      <c r="R8" s="250" t="n">
        <v>1000</v>
      </c>
      <c r="S8" s="250" t="n">
        <v>1400</v>
      </c>
      <c r="T8" s="250" t="n">
        <v>2000</v>
      </c>
      <c r="V8" s="249" t="n">
        <v>200</v>
      </c>
      <c r="AB8" s="140" t="inlineStr">
        <is>
          <t>กล่อง 1.6"×4"</t>
        </is>
      </c>
      <c r="AC8" s="140" t="inlineStr">
        <is>
          <t>1.6"</t>
        </is>
      </c>
      <c r="AD8" s="140" t="inlineStr">
        <is>
          <t>4"</t>
        </is>
      </c>
    </row>
    <row r="9" ht="15" customHeight="1" s="129">
      <c r="A9" s="355" t="inlineStr">
        <is>
          <t>สูง (ซม.) →</t>
        </is>
      </c>
      <c r="B9" s="360" t="n">
        <v>240</v>
      </c>
      <c r="D9" s="357" t="inlineStr">
        <is>
          <t>ปัจจัยสี</t>
        </is>
      </c>
      <c r="E9" s="361">
        <f>VLOOKUP(B6,$J$11:$L$15,2,0)</f>
        <v/>
      </c>
      <c r="N9" s="249" t="inlineStr">
        <is>
          <t>กล่อง 1"×1.6"|1"|3</t>
        </is>
      </c>
      <c r="O9" s="250" t="n">
        <v>4500</v>
      </c>
      <c r="P9" s="250" t="n">
        <v>6400</v>
      </c>
      <c r="Q9" s="250" t="n">
        <v>400</v>
      </c>
      <c r="R9" s="250" t="n">
        <v>1400</v>
      </c>
      <c r="S9" s="250" t="n">
        <v>1900</v>
      </c>
      <c r="T9" s="250" t="n">
        <v>2800</v>
      </c>
      <c r="V9" s="249" t="n">
        <v>300</v>
      </c>
    </row>
    <row r="10" ht="15" customHeight="1" s="129">
      <c r="A10" s="355" t="inlineStr">
        <is>
          <t>ค่าแรงผลิต (บาท/ตร.ม.) →</t>
        </is>
      </c>
      <c r="B10" s="360" t="n">
        <v>300</v>
      </c>
      <c r="D10" s="357" t="inlineStr">
        <is>
          <t>ราคากล่อง/เส้น</t>
        </is>
      </c>
      <c r="E10" s="359">
        <f>ROUND(VLOOKUP(B2,'ค่าแรง'!$A$52:$B$58,2,0)*E9/5,0)*5</f>
        <v/>
      </c>
      <c r="G10" s="357" t="inlineStr">
        <is>
          <t>low กว้าง</t>
        </is>
      </c>
      <c r="H10" s="359">
        <f>LOOKUP(B8,$V$2:$V$10)</f>
        <v/>
      </c>
      <c r="N10" s="249" t="inlineStr">
        <is>
          <t>กล่อง 1"×1.6"|1"|2</t>
        </is>
      </c>
      <c r="O10" s="250" t="n">
        <v>4800</v>
      </c>
      <c r="P10" s="250" t="n">
        <v>6900</v>
      </c>
      <c r="Q10" s="250" t="n">
        <v>500</v>
      </c>
      <c r="R10" s="250" t="n">
        <v>1600</v>
      </c>
      <c r="S10" s="250" t="n">
        <v>2200</v>
      </c>
      <c r="T10" s="250" t="n">
        <v>3200</v>
      </c>
      <c r="V10" s="249" t="n">
        <v>600</v>
      </c>
    </row>
    <row r="11" ht="15" customHeight="1" s="129">
      <c r="A11" s="355" t="inlineStr">
        <is>
          <t>ต่อระแนง →</t>
        </is>
      </c>
      <c r="B11" s="356" t="inlineStr">
        <is>
          <t>ไม่ต่อ</t>
        </is>
      </c>
      <c r="D11" s="357" t="inlineStr">
        <is>
          <t>snap ช่องห่าง</t>
        </is>
      </c>
      <c r="E11" s="359">
        <f>IF(B4&gt;=4,5,IF(B4&gt;=2.5,3,IF(B4&gt;=1,2,0)))</f>
        <v/>
      </c>
      <c r="G11" s="357" t="inlineStr">
        <is>
          <t>up กว้าง</t>
        </is>
      </c>
      <c r="H11" s="359">
        <f>IFERROR(INDEX($V$2:$V$10,MATCH(B8,$V$2:$V$10,1)+1),99999)</f>
        <v/>
      </c>
      <c r="J11" s="357" t="inlineStr">
        <is>
          <t>ขาว/ดำ</t>
        </is>
      </c>
      <c r="K11" s="361">
        <f>mult_mtong</f>
        <v/>
      </c>
      <c r="L11" s="359" t="n">
        <v>0</v>
      </c>
      <c r="N11" s="249" t="inlineStr">
        <is>
          <t>กล่อง 1"×1.6"|1.6"|5</t>
        </is>
      </c>
      <c r="O11" s="250" t="n">
        <v>3200</v>
      </c>
      <c r="P11" s="250" t="n">
        <v>4900</v>
      </c>
      <c r="Q11" s="250" t="n">
        <v>300</v>
      </c>
      <c r="R11" s="250" t="n">
        <v>800</v>
      </c>
      <c r="S11" s="250" t="n">
        <v>1100</v>
      </c>
      <c r="T11" s="250" t="n">
        <v>1600</v>
      </c>
    </row>
    <row r="12" ht="15" customHeight="1" s="129">
      <c r="A12" s="281" t="inlineStr">
        <is>
          <t>ค่าแรงติดตั้ง (บาท/ตร.ม.) →</t>
        </is>
      </c>
      <c r="B12" s="360" t="n">
        <v>600</v>
      </c>
      <c r="D12" s="357" t="inlineStr">
        <is>
          <t>key</t>
        </is>
      </c>
      <c r="E12" s="357">
        <f>B2&amp;"|"&amp;B3&amp;"|"&amp;E11</f>
        <v/>
      </c>
      <c r="G12" s="357" t="inlineStr">
        <is>
          <t>snap กว้าง</t>
        </is>
      </c>
      <c r="H12" s="359">
        <f>IF(B8-H10&lt;=20,H10,IF(H11-B8&lt;=20,H11,B8))</f>
        <v/>
      </c>
      <c r="J12" s="357" t="inlineStr">
        <is>
          <t>เทาซาฮาร่า</t>
        </is>
      </c>
      <c r="K12" s="361">
        <f>mult_mtong+rate_grey/192</f>
        <v/>
      </c>
      <c r="L12" s="359" t="n">
        <v>0</v>
      </c>
      <c r="N12" s="249" t="inlineStr">
        <is>
          <t>กล่อง 1"×1.6"|1.6"|3</t>
        </is>
      </c>
      <c r="O12" s="250" t="n">
        <v>3700</v>
      </c>
      <c r="P12" s="250" t="n">
        <v>5300</v>
      </c>
      <c r="Q12" s="250" t="n">
        <v>300</v>
      </c>
      <c r="R12" s="250" t="n">
        <v>1000</v>
      </c>
      <c r="S12" s="250" t="n">
        <v>1400</v>
      </c>
      <c r="T12" s="250" t="n">
        <v>2000</v>
      </c>
    </row>
    <row r="13" ht="15" customHeight="1" s="129">
      <c r="D13" s="357" t="inlineStr">
        <is>
          <t>sellRow</t>
        </is>
      </c>
      <c r="E13" s="359">
        <f>IFERROR(MATCH(E12,$N$2:$N$38,0),0)</f>
        <v/>
      </c>
      <c r="G13" s="357" t="inlineStr">
        <is>
          <t>low สูง</t>
        </is>
      </c>
      <c r="H13" s="359">
        <f>LOOKUP(B9,$V$2:$V$10)</f>
        <v/>
      </c>
      <c r="J13" s="357" t="inlineStr">
        <is>
          <t>ลายไม้สต๊อก</t>
        </is>
      </c>
      <c r="K13" s="361">
        <f>mult_mtong+rate_woodstock/192</f>
        <v/>
      </c>
      <c r="L13" s="359" t="n">
        <v>0</v>
      </c>
      <c r="N13" s="249" t="inlineStr">
        <is>
          <t>กล่อง 1"×1.6"|1.6"|2</t>
        </is>
      </c>
      <c r="O13" s="250" t="n">
        <v>4000</v>
      </c>
      <c r="P13" s="250" t="n">
        <v>5800</v>
      </c>
      <c r="Q13" s="250" t="n">
        <v>400</v>
      </c>
      <c r="R13" s="250" t="n">
        <v>1200</v>
      </c>
      <c r="S13" s="250" t="n">
        <v>1700</v>
      </c>
      <c r="T13" s="250" t="n">
        <v>2400</v>
      </c>
    </row>
    <row r="14" ht="15" customHeight="1" s="129">
      <c r="D14" s="684" t="inlineStr">
        <is>
          <t>ระยะห่างจริง(ลงตัว)</t>
        </is>
      </c>
      <c r="E14" s="765">
        <f>ROUND((E6-E7*E3)/(E7-1),2)</f>
        <v/>
      </c>
      <c r="G14" s="357" t="inlineStr">
        <is>
          <t>up สูง</t>
        </is>
      </c>
      <c r="H14" s="359">
        <f>IFERROR(INDEX($V$2:$V$10,MATCH(B9,$V$2:$V$10,1)+1),99999)</f>
        <v/>
      </c>
      <c r="J14" s="357" t="inlineStr">
        <is>
          <t>สีอบพิเศษ</t>
        </is>
      </c>
      <c r="K14" s="361">
        <f>mult_mtong+rate_special/192</f>
        <v/>
      </c>
      <c r="L14" s="359" t="n">
        <v>2000</v>
      </c>
      <c r="N14" s="249" t="inlineStr">
        <is>
          <t>กล่อง 1"×1"|1"|5</t>
        </is>
      </c>
      <c r="O14" s="250" t="n">
        <v>3200</v>
      </c>
      <c r="P14" s="250" t="n">
        <v>4700</v>
      </c>
      <c r="Q14" s="250" t="n">
        <v>200</v>
      </c>
      <c r="R14" s="250" t="n">
        <v>700</v>
      </c>
      <c r="S14" s="250" t="n">
        <v>1000</v>
      </c>
      <c r="T14" s="250" t="n">
        <v>1400</v>
      </c>
    </row>
    <row r="15" ht="15" customHeight="1" s="129">
      <c r="A15" s="362" t="inlineStr">
        <is>
          <t>รายการวัสดุ</t>
        </is>
      </c>
      <c r="B15" s="362" t="inlineStr">
        <is>
          <t>จำนวน</t>
        </is>
      </c>
      <c r="C15" s="362" t="inlineStr">
        <is>
          <t>ราคา/หน่วย</t>
        </is>
      </c>
      <c r="D15" s="362" t="inlineStr">
        <is>
          <t>ทุน (บาท)</t>
        </is>
      </c>
      <c r="G15" s="357" t="inlineStr">
        <is>
          <t>snap สูง</t>
        </is>
      </c>
      <c r="H15" s="359">
        <f>IF(B9-H13&lt;=20,H13,IF(H14-B9&lt;=20,H14,B9))</f>
        <v/>
      </c>
      <c r="J15" s="357" t="inlineStr">
        <is>
          <t>สีลายไม้อบพิเศษ</t>
        </is>
      </c>
      <c r="K15" s="361">
        <f>mult_mtong+rate_woodbake/192</f>
        <v/>
      </c>
      <c r="L15" s="359" t="n">
        <v>2000</v>
      </c>
      <c r="N15" s="249" t="inlineStr">
        <is>
          <t>กล่อง 1"×1"|1"|3</t>
        </is>
      </c>
      <c r="O15" s="250" t="n">
        <v>3700</v>
      </c>
      <c r="P15" s="250" t="n">
        <v>5400</v>
      </c>
      <c r="Q15" s="250" t="n">
        <v>300</v>
      </c>
      <c r="R15" s="250" t="n">
        <v>1000</v>
      </c>
      <c r="S15" s="250" t="n">
        <v>1300</v>
      </c>
      <c r="T15" s="250" t="n">
        <v>1900</v>
      </c>
    </row>
    <row r="16" ht="15" customHeight="1" s="129">
      <c r="A16" s="363">
        <f>B2&amp;" (ใบระแนง)"</f>
        <v/>
      </c>
      <c r="B16" s="346">
        <f>E8</f>
        <v/>
      </c>
      <c r="C16" s="346">
        <f>E10</f>
        <v/>
      </c>
      <c r="D16" s="346">
        <f>IF(B11="ต่อ",H23,H22)</f>
        <v/>
      </c>
      <c r="G16" s="357" t="inlineStr">
        <is>
          <t>กว้างใช้</t>
        </is>
      </c>
      <c r="H16" s="359">
        <f>IF(B7="นอน",H12,B8)</f>
        <v/>
      </c>
      <c r="N16" s="249" t="inlineStr">
        <is>
          <t>กล่อง 1"×1"|1"|2</t>
        </is>
      </c>
      <c r="O16" s="250" t="n">
        <v>3900</v>
      </c>
      <c r="P16" s="250" t="n">
        <v>5600</v>
      </c>
      <c r="Q16" s="250" t="n">
        <v>300</v>
      </c>
      <c r="R16" s="250" t="n">
        <v>1100</v>
      </c>
      <c r="S16" s="250" t="n">
        <v>1500</v>
      </c>
      <c r="T16" s="250" t="n">
        <v>2200</v>
      </c>
    </row>
    <row r="17" ht="15" customHeight="1" s="129">
      <c r="A17" s="363" t="inlineStr">
        <is>
          <t>โครงดาม 1"x1.6"</t>
        </is>
      </c>
      <c r="B17" s="346">
        <f>H2</f>
        <v/>
      </c>
      <c r="C17" s="346">
        <f>H3</f>
        <v/>
      </c>
      <c r="D17" s="346">
        <f>B17*C17</f>
        <v/>
      </c>
      <c r="G17" s="357" t="inlineStr">
        <is>
          <t>สูงใช้</t>
        </is>
      </c>
      <c r="H17" s="359">
        <f>IF(B7="ตั้ง",H15,B9)</f>
        <v/>
      </c>
      <c r="N17" s="249" t="inlineStr">
        <is>
          <t>กล่อง 1"×1.5"|1"|5</t>
        </is>
      </c>
      <c r="O17" s="250" t="n">
        <v>3300</v>
      </c>
      <c r="P17" s="250" t="n">
        <v>5200</v>
      </c>
      <c r="Q17" s="250" t="n">
        <v>300</v>
      </c>
      <c r="R17" s="250" t="n">
        <v>900</v>
      </c>
      <c r="S17" s="250" t="n">
        <v>1400</v>
      </c>
      <c r="T17" s="250" t="n">
        <v>2000</v>
      </c>
    </row>
    <row r="18" ht="15" customHeight="1" s="129">
      <c r="A18" s="363" t="inlineStr">
        <is>
          <t>สีพิเศษ (ค่าเปิดตู้อบ)</t>
        </is>
      </c>
      <c r="B18" s="346">
        <f>IF(H4&gt;0,1,0)</f>
        <v/>
      </c>
      <c r="C18" s="346" t="n">
        <v>2000</v>
      </c>
      <c r="D18" s="346">
        <f>B18*C18</f>
        <v/>
      </c>
      <c r="G18" s="357" t="inlineStr">
        <is>
          <t>L0 ฐาน</t>
        </is>
      </c>
      <c r="H18" s="359">
        <f>LOOKUP(E5,$V$2:$V$10)</f>
        <v/>
      </c>
      <c r="J18" s="357" t="inlineStr">
        <is>
          <t>1 cm</t>
        </is>
      </c>
      <c r="K18" s="358" t="n">
        <v>1</v>
      </c>
      <c r="N18" s="249" t="inlineStr">
        <is>
          <t>กล่อง 1"×1.5"|1"|3</t>
        </is>
      </c>
      <c r="O18" s="250" t="n">
        <v>4000</v>
      </c>
      <c r="P18" s="250" t="n">
        <v>6100</v>
      </c>
      <c r="Q18" s="250" t="n">
        <v>400</v>
      </c>
      <c r="R18" s="250" t="n">
        <v>1200</v>
      </c>
      <c r="S18" s="250" t="n">
        <v>1900</v>
      </c>
      <c r="T18" s="250" t="n">
        <v>2800</v>
      </c>
    </row>
    <row r="19" ht="15" customHeight="1" s="129">
      <c r="A19" s="364" t="inlineStr">
        <is>
          <t>ค่าแรง (ผลิต+ติดตั้ง)</t>
        </is>
      </c>
      <c r="B19" s="346">
        <f>E2</f>
        <v/>
      </c>
      <c r="C19" s="346">
        <f>B10+B12</f>
        <v/>
      </c>
      <c r="D19" s="346">
        <f>B19*C19</f>
        <v/>
      </c>
      <c r="G19" s="357" t="inlineStr">
        <is>
          <t>R เศษ</t>
        </is>
      </c>
      <c r="H19" s="359">
        <f>E5-H18</f>
        <v/>
      </c>
      <c r="J19" s="357" t="inlineStr">
        <is>
          <t>5 cm</t>
        </is>
      </c>
      <c r="K19" s="358" t="n">
        <v>5</v>
      </c>
      <c r="N19" s="249" t="inlineStr">
        <is>
          <t>กล่อง 1"×1.5"|1"|2</t>
        </is>
      </c>
      <c r="O19" s="250" t="n">
        <v>4300</v>
      </c>
      <c r="P19" s="250" t="n">
        <v>6500</v>
      </c>
      <c r="Q19" s="250" t="n">
        <v>400</v>
      </c>
      <c r="R19" s="250" t="n">
        <v>1400</v>
      </c>
      <c r="S19" s="250" t="n">
        <v>2200</v>
      </c>
      <c r="T19" s="250" t="n">
        <v>3200</v>
      </c>
    </row>
    <row r="20" ht="15" customHeight="1" s="129">
      <c r="A20" s="365" t="inlineStr">
        <is>
          <t>ทุนรวม</t>
        </is>
      </c>
      <c r="B20" s="431" t="n"/>
      <c r="C20" s="431" t="n"/>
      <c r="D20" s="366">
        <f>SUM(D16:D19)</f>
        <v/>
      </c>
      <c r="G20" s="357" t="inlineStr">
        <is>
          <t>เส้นไม่ต่อ</t>
        </is>
      </c>
      <c r="H20" s="359">
        <f>ROUNDUP(E7/MAX(INT(600/E5),1),0)</f>
        <v/>
      </c>
      <c r="J20" s="357" t="inlineStr">
        <is>
          <t>1"</t>
        </is>
      </c>
      <c r="K20" s="358" t="n">
        <v>2.54</v>
      </c>
      <c r="N20" s="249" t="inlineStr">
        <is>
          <t>กล่อง 1"×1.5"|1.5"|5</t>
        </is>
      </c>
      <c r="O20" s="250" t="n">
        <v>3300</v>
      </c>
      <c r="P20" s="250" t="n">
        <v>5200</v>
      </c>
      <c r="Q20" s="250" t="n">
        <v>300</v>
      </c>
      <c r="R20" s="250" t="n">
        <v>900</v>
      </c>
      <c r="S20" s="250" t="n">
        <v>1400</v>
      </c>
      <c r="T20" s="250" t="n">
        <v>2000</v>
      </c>
    </row>
    <row r="21" ht="15" customHeight="1" s="129">
      <c r="A21" s="365" t="inlineStr">
        <is>
          <t>ทุน/ตร.ม.</t>
        </is>
      </c>
      <c r="B21" s="431" t="n"/>
      <c r="C21" s="431" t="n"/>
      <c r="D21" s="366">
        <f>D20/E2</f>
        <v/>
      </c>
      <c r="G21" s="357" t="inlineStr">
        <is>
          <t>เส้นต่อ</t>
        </is>
      </c>
      <c r="H21" s="359">
        <f>ROUNDUP(E7/(600/H18),0)+IF(H19&gt;0,ROUNDUP(E7/INT(600/H19),0),0)</f>
        <v/>
      </c>
      <c r="J21" s="357" t="inlineStr">
        <is>
          <t>1.5"</t>
        </is>
      </c>
      <c r="K21" s="358" t="n">
        <v>3.81</v>
      </c>
      <c r="N21" s="249" t="inlineStr">
        <is>
          <t>กล่อง 1"×1.5"|1.5"|3</t>
        </is>
      </c>
      <c r="O21" s="250" t="n">
        <v>3700</v>
      </c>
      <c r="P21" s="250" t="n">
        <v>5600</v>
      </c>
      <c r="Q21" s="250" t="n">
        <v>300</v>
      </c>
      <c r="R21" s="250" t="n">
        <v>1000</v>
      </c>
      <c r="S21" s="250" t="n">
        <v>1700</v>
      </c>
      <c r="T21" s="250" t="n">
        <v>2400</v>
      </c>
    </row>
    <row r="22" ht="15" customHeight="1" s="129">
      <c r="A22" s="367" t="inlineStr">
        <is>
          <t>ขาย R3.9/ตร.ม.</t>
        </is>
      </c>
      <c r="B22" s="431" t="n"/>
      <c r="C22" s="431" t="n"/>
      <c r="D22" s="368">
        <f>H8</f>
        <v/>
      </c>
      <c r="G22" s="357" t="inlineStr">
        <is>
          <t>ค่าใบไม่ต่อ</t>
        </is>
      </c>
      <c r="H22" s="359">
        <f>H20*E10</f>
        <v/>
      </c>
      <c r="J22" s="357" t="inlineStr">
        <is>
          <t>1.6"</t>
        </is>
      </c>
      <c r="K22" s="358" t="n">
        <v>4.06</v>
      </c>
      <c r="N22" s="249" t="inlineStr">
        <is>
          <t>กล่อง 1"×1.5"|1.5"|2</t>
        </is>
      </c>
      <c r="O22" s="250" t="n">
        <v>3700</v>
      </c>
      <c r="P22" s="250" t="n">
        <v>5600</v>
      </c>
      <c r="Q22" s="250" t="n">
        <v>300</v>
      </c>
      <c r="R22" s="250" t="n">
        <v>1000</v>
      </c>
      <c r="S22" s="250" t="n">
        <v>1700</v>
      </c>
      <c r="T22" s="250" t="n">
        <v>2400</v>
      </c>
    </row>
    <row r="23" ht="15" customHeight="1" s="129">
      <c r="A23" s="367" t="inlineStr">
        <is>
          <t>ราคาขายรวม/ชุด</t>
        </is>
      </c>
      <c r="B23" s="431" t="n"/>
      <c r="C23" s="431" t="n"/>
      <c r="D23" s="369">
        <f>D22*E2</f>
        <v/>
      </c>
      <c r="G23" s="357" t="inlineStr">
        <is>
          <t>ค่าใบต่อ</t>
        </is>
      </c>
      <c r="H23" s="359">
        <f>H21*E10+IF(H19&gt;0,E7*80,0)</f>
        <v/>
      </c>
      <c r="J23" s="357" t="inlineStr">
        <is>
          <t>4"</t>
        </is>
      </c>
      <c r="K23" s="358" t="n">
        <v>10.16</v>
      </c>
      <c r="N23" s="249" t="inlineStr">
        <is>
          <t>กล่อง 1"×4"|1"|5</t>
        </is>
      </c>
      <c r="O23" s="250" t="n">
        <v>5500</v>
      </c>
      <c r="P23" s="250" t="n">
        <v>8100</v>
      </c>
      <c r="Q23" s="250" t="n">
        <v>600</v>
      </c>
      <c r="R23" s="250" t="n">
        <v>2000</v>
      </c>
      <c r="S23" s="250" t="n">
        <v>3700</v>
      </c>
      <c r="T23" s="250" t="n">
        <v>5300</v>
      </c>
    </row>
    <row r="24" ht="15" customHeight="1" s="129">
      <c r="A24" s="370" t="inlineStr">
        <is>
          <t>%กำไร (บนทุน)</t>
        </is>
      </c>
      <c r="B24" s="431" t="n"/>
      <c r="C24" s="431" t="n"/>
      <c r="D24" s="371">
        <f>(D22-D21)/D21</f>
        <v/>
      </c>
      <c r="N24" s="249" t="inlineStr">
        <is>
          <t>กล่อง 1"×4"|1"|3</t>
        </is>
      </c>
      <c r="O24" s="250" t="n">
        <v>7100</v>
      </c>
      <c r="P24" s="250" t="n">
        <v>10100</v>
      </c>
      <c r="Q24" s="250" t="n">
        <v>800</v>
      </c>
      <c r="R24" s="250" t="n">
        <v>2700</v>
      </c>
      <c r="S24" s="250" t="n">
        <v>5200</v>
      </c>
      <c r="T24" s="250" t="n">
        <v>7500</v>
      </c>
    </row>
    <row r="25" ht="15" customHeight="1" s="129">
      <c r="N25" s="249" t="inlineStr">
        <is>
          <t>กล่อง 1"×4"|1"|2</t>
        </is>
      </c>
      <c r="O25" s="250" t="n">
        <v>7900</v>
      </c>
      <c r="P25" s="250" t="n">
        <v>10800</v>
      </c>
      <c r="Q25" s="250" t="n">
        <v>900</v>
      </c>
      <c r="R25" s="250" t="n">
        <v>3100</v>
      </c>
      <c r="S25" s="250" t="n">
        <v>5900</v>
      </c>
      <c r="T25" s="250" t="n">
        <v>8500</v>
      </c>
    </row>
    <row r="26" ht="15" customHeight="1" s="129">
      <c r="A26" s="372" t="inlineStr">
        <is>
          <t>หมายเหตุ: ใบ+โครงเป็นกล่องทั้งหมด · ช่องห่างกรอกเอง · ขาย R3.9 เทียบเรตช่องห่างใกล้สุด 5/3/2 ซม. · rnSL + 38.1/38.2/38.3 ทำทีหลัง</t>
        </is>
      </c>
      <c r="N26" s="249" t="inlineStr">
        <is>
          <t>กล่อง 1"×4"|4"|5</t>
        </is>
      </c>
      <c r="O26" s="250" t="n">
        <v>4000</v>
      </c>
      <c r="P26" s="250" t="n">
        <v>6000</v>
      </c>
      <c r="Q26" s="250" t="n">
        <v>400</v>
      </c>
      <c r="R26" s="250" t="n">
        <v>1200</v>
      </c>
      <c r="S26" s="250" t="n">
        <v>2300</v>
      </c>
      <c r="T26" s="250" t="n">
        <v>3200</v>
      </c>
    </row>
    <row r="27" ht="15" customHeight="1" s="129">
      <c r="A27" s="373" t="inlineStr">
        <is>
          <t>ค่าใบ ไม่ต่อ =</t>
        </is>
      </c>
      <c r="D27" s="374">
        <f>H22</f>
        <v/>
      </c>
      <c r="N27" s="249" t="inlineStr">
        <is>
          <t>กล่อง 1"×4"|4"|3</t>
        </is>
      </c>
      <c r="O27" s="250" t="n">
        <v>4000</v>
      </c>
      <c r="P27" s="250" t="n">
        <v>6000</v>
      </c>
      <c r="Q27" s="250" t="n">
        <v>400</v>
      </c>
      <c r="R27" s="250" t="n">
        <v>1200</v>
      </c>
      <c r="S27" s="250" t="n">
        <v>2300</v>
      </c>
      <c r="T27" s="250" t="n">
        <v>3200</v>
      </c>
    </row>
    <row r="28" ht="15" customHeight="1" s="129">
      <c r="A28" s="373" t="inlineStr">
        <is>
          <t>ค่าใบ ต่อ =</t>
        </is>
      </c>
      <c r="D28" s="374">
        <f>H23</f>
        <v/>
      </c>
      <c r="N28" s="249" t="inlineStr">
        <is>
          <t>กล่อง 1"×4"|4"|2</t>
        </is>
      </c>
      <c r="O28" s="250" t="n">
        <v>4800</v>
      </c>
      <c r="P28" s="250" t="n">
        <v>6900</v>
      </c>
      <c r="Q28" s="250" t="n">
        <v>500</v>
      </c>
      <c r="R28" s="250" t="n">
        <v>1600</v>
      </c>
      <c r="S28" s="250" t="n">
        <v>3000</v>
      </c>
      <c r="T28" s="250" t="n">
        <v>4300</v>
      </c>
    </row>
    <row r="29" ht="15" customHeight="1" s="129">
      <c r="A29" s="373" t="inlineStr">
        <is>
          <t>ต่อ ถูกลง =</t>
        </is>
      </c>
      <c r="D29" s="374">
        <f>H22-H23</f>
        <v/>
      </c>
      <c r="N29" s="249" t="inlineStr">
        <is>
          <t>กล่อง 1"×4"|4"|0</t>
        </is>
      </c>
      <c r="O29" s="250" t="n">
        <v>5100</v>
      </c>
      <c r="P29" s="250" t="n">
        <v>6900</v>
      </c>
      <c r="Q29" s="250" t="n">
        <v>500</v>
      </c>
      <c r="R29" s="250" t="n">
        <v>1600</v>
      </c>
      <c r="S29" s="250" t="n">
        <v>3000</v>
      </c>
      <c r="T29" s="250" t="n">
        <v>4300</v>
      </c>
    </row>
    <row r="30" ht="15" customHeight="1" s="129">
      <c r="N30" s="249" t="inlineStr">
        <is>
          <t>กล่อง 1.6"×1.6"|1.6"|5</t>
        </is>
      </c>
      <c r="O30" s="250" t="n">
        <v>3900</v>
      </c>
      <c r="P30" s="250" t="n">
        <v>5600</v>
      </c>
      <c r="Q30" s="250" t="n">
        <v>300</v>
      </c>
      <c r="R30" s="250" t="n">
        <v>1100</v>
      </c>
      <c r="S30" s="250" t="n">
        <v>2000</v>
      </c>
      <c r="T30" s="250" t="n">
        <v>2800</v>
      </c>
    </row>
    <row r="31" ht="15" customHeight="1" s="129">
      <c r="A31" s="372" t="n"/>
      <c r="B31" s="432" t="n"/>
      <c r="N31" s="249" t="inlineStr">
        <is>
          <t>กล่อง 1.6"×1.6"|1.6"|3</t>
        </is>
      </c>
      <c r="O31" s="250" t="n">
        <v>4400</v>
      </c>
      <c r="P31" s="250" t="n">
        <v>6400</v>
      </c>
      <c r="Q31" s="250" t="n">
        <v>400</v>
      </c>
      <c r="R31" s="250" t="n">
        <v>1400</v>
      </c>
      <c r="S31" s="250" t="n">
        <v>2400</v>
      </c>
      <c r="T31" s="250" t="n">
        <v>3500</v>
      </c>
    </row>
    <row r="32" ht="15" customHeight="1" s="129">
      <c r="N32" s="249" t="inlineStr">
        <is>
          <t>กล่อง 1.6"×1.6"|1.6"|2</t>
        </is>
      </c>
      <c r="O32" s="250" t="n">
        <v>5000</v>
      </c>
      <c r="P32" s="250" t="n">
        <v>7200</v>
      </c>
      <c r="Q32" s="250" t="n">
        <v>500</v>
      </c>
      <c r="R32" s="250" t="n">
        <v>1700</v>
      </c>
      <c r="S32" s="250" t="n">
        <v>2900</v>
      </c>
      <c r="T32" s="250" t="n">
        <v>4200</v>
      </c>
    </row>
    <row r="33" ht="15" customHeight="1" s="129">
      <c r="N33" s="249" t="inlineStr">
        <is>
          <t>กล่อง 1.6"×4"|1.6"|5</t>
        </is>
      </c>
      <c r="O33" s="250" t="n">
        <v>5400</v>
      </c>
      <c r="P33" s="250" t="n">
        <v>7900</v>
      </c>
      <c r="Q33" s="250" t="n">
        <v>600</v>
      </c>
      <c r="R33" s="250" t="n">
        <v>1900</v>
      </c>
      <c r="S33" s="250" t="n">
        <v>3300</v>
      </c>
      <c r="T33" s="250" t="n">
        <v>4700</v>
      </c>
    </row>
    <row r="34" ht="15" customHeight="1" s="129">
      <c r="N34" s="249" t="inlineStr">
        <is>
          <t>กล่อง 1.6"×4"|1.6"|3</t>
        </is>
      </c>
      <c r="O34" s="250" t="n">
        <v>6500</v>
      </c>
      <c r="P34" s="250" t="n">
        <v>9200</v>
      </c>
      <c r="Q34" s="250" t="n">
        <v>700</v>
      </c>
      <c r="R34" s="250" t="n">
        <v>2400</v>
      </c>
      <c r="S34" s="250" t="n">
        <v>4100</v>
      </c>
      <c r="T34" s="250" t="n">
        <v>5900</v>
      </c>
    </row>
    <row r="35" ht="15" customHeight="1" s="129">
      <c r="N35" s="249" t="inlineStr">
        <is>
          <t>กล่อง 1.6"×4"|1.6"|2</t>
        </is>
      </c>
      <c r="O35" s="250" t="n">
        <v>7300</v>
      </c>
      <c r="P35" s="250" t="n">
        <v>10600</v>
      </c>
      <c r="Q35" s="250" t="n">
        <v>800</v>
      </c>
      <c r="R35" s="250" t="n">
        <v>2900</v>
      </c>
      <c r="S35" s="250" t="n">
        <v>4900</v>
      </c>
      <c r="T35" s="250" t="n">
        <v>7000</v>
      </c>
    </row>
    <row r="36" ht="15" customHeight="1" s="129">
      <c r="N36" s="249" t="inlineStr">
        <is>
          <t>กล่อง 1.6"×4"|4"|5</t>
        </is>
      </c>
      <c r="O36" s="250" t="n">
        <v>4600</v>
      </c>
      <c r="P36" s="250" t="n">
        <v>6500</v>
      </c>
      <c r="Q36" s="250" t="n">
        <v>400</v>
      </c>
      <c r="R36" s="250" t="n">
        <v>1500</v>
      </c>
      <c r="S36" s="250" t="n">
        <v>2500</v>
      </c>
      <c r="T36" s="250" t="n">
        <v>3500</v>
      </c>
    </row>
    <row r="37" ht="15" customHeight="1" s="129">
      <c r="N37" s="249" t="inlineStr">
        <is>
          <t>กล่อง 1.6"×4"|4"|3</t>
        </is>
      </c>
      <c r="O37" s="250" t="n">
        <v>4600</v>
      </c>
      <c r="P37" s="250" t="n">
        <v>6500</v>
      </c>
      <c r="Q37" s="250" t="n">
        <v>400</v>
      </c>
      <c r="R37" s="250" t="n">
        <v>1500</v>
      </c>
      <c r="S37" s="250" t="n">
        <v>2500</v>
      </c>
      <c r="T37" s="250" t="n">
        <v>3500</v>
      </c>
    </row>
    <row r="38" ht="15" customHeight="1" s="129">
      <c r="N38" s="249" t="inlineStr">
        <is>
          <t>กล่อง 1.6"×4"|4"|2</t>
        </is>
      </c>
      <c r="O38" s="250" t="n">
        <v>5400</v>
      </c>
      <c r="P38" s="250" t="n">
        <v>7900</v>
      </c>
      <c r="Q38" s="250" t="n">
        <v>600</v>
      </c>
      <c r="R38" s="250" t="n">
        <v>1900</v>
      </c>
      <c r="S38" s="250" t="n">
        <v>3300</v>
      </c>
      <c r="T38" s="250" t="n">
        <v>4700</v>
      </c>
    </row>
  </sheetData>
  <mergeCells count="1">
    <mergeCell ref="A1:F1"/>
  </mergeCells>
  <dataValidations count="6">
    <dataValidation sqref="B2" showDropDown="0" showInputMessage="0" showErrorMessage="0" allowBlank="1" type="list" errorStyle="stop" operator="between">
      <formula1>$J$2:$J$8</formula1>
      <formula2>0</formula2>
    </dataValidation>
    <dataValidation sqref="B6" showDropDown="0" showInputMessage="0" showErrorMessage="0" allowBlank="1" type="list" errorStyle="stop" operator="between">
      <formula1>$J$11:$J$15</formula1>
      <formula2>0</formula2>
    </dataValidation>
    <dataValidation sqref="B7" showDropDown="0" showInputMessage="0" showErrorMessage="0" allowBlank="1" type="list" errorStyle="stop" operator="between">
      <formula1>"นอน,ตั้ง"</formula1>
      <formula2>0</formula2>
    </dataValidation>
    <dataValidation sqref="B5" showDropDown="0" showInputMessage="0" showErrorMessage="0" allowBlank="0" type="list">
      <formula1>"รวม,ไม่รวม"</formula1>
    </dataValidation>
    <dataValidation sqref="B11" showDropDown="0" showInputMessage="0" showErrorMessage="0" allowBlank="0" type="list">
      <formula1>"ต่อ,ไม่ต่อ"</formula1>
    </dataValidation>
    <dataValidation sqref="B3" showDropDown="0" showInputMessage="0" showErrorMessage="0" allowBlank="1" type="list">
      <formula1>$AF$1:$AF$2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AF2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3.8" customWidth="1" style="140" min="2" max="2"/>
    <col width="9.6" customWidth="1" style="140" min="3" max="3"/>
    <col width="12.8" customWidth="1" style="140" min="4" max="4"/>
    <col width="18" customWidth="1" style="140" min="5" max="5"/>
    <col width="10.7" customWidth="1" style="140" min="7" max="7"/>
    <col width="4.5" customWidth="1" style="129" min="8" max="8"/>
    <col width="15.9" customWidth="1" style="140" min="10" max="10"/>
    <col width="8.6" customWidth="1" style="140" min="11" max="11"/>
    <col width="6.5" customWidth="1" style="129" min="12" max="12"/>
    <col width="4.5" customWidth="1" style="129" min="13" max="13"/>
    <col width="4.5" customWidth="1" style="129" min="14" max="14"/>
    <col width="6.5" customWidth="1" style="129" min="15" max="15"/>
    <col width="18" customWidth="1" style="129" min="16" max="16"/>
    <col width="18" customWidth="1" style="129" min="17" max="17"/>
    <col width="4.5" customWidth="1" style="129" min="18" max="18"/>
    <col width="4.5" customWidth="1" style="129" min="19" max="19"/>
    <col width="4.5" customWidth="1" style="129" min="20" max="20"/>
    <col width="4.5" customWidth="1" style="140" min="22" max="22"/>
    <col hidden="1" width="15.9" customWidth="1" style="129" min="28" max="28"/>
    <col hidden="1" width="5.4" customWidth="1" style="129" min="29" max="29"/>
    <col hidden="1" width="5.4" customWidth="1" style="129" min="30" max="30"/>
    <col hidden="1" width="13" customWidth="1" style="129" min="32" max="32"/>
  </cols>
  <sheetData>
    <row r="1" ht="24" customHeight="1" s="129">
      <c r="A1" s="286" t="inlineStr">
        <is>
          <t>คิดทุนระแนงวางสลับ 2 โปรไฟล์ — ปรับระยะห่างเต็มบานพอดี</t>
        </is>
      </c>
      <c r="G1" s="753" t="inlineStr">
        <is>
          <t>🏠 สารบัญ</t>
        </is>
      </c>
      <c r="H1" s="754" t="n"/>
      <c r="I1" s="643" t="n"/>
      <c r="J1" s="355" t="inlineStr">
        <is>
          <t>LUT</t>
        </is>
      </c>
      <c r="M1" s="242" t="inlineStr">
        <is>
          <t>idx</t>
        </is>
      </c>
      <c r="AF1" s="140">
        <f>IFERROR(VLOOKUP(B2,$AB$2:$AD$8,2,0),"")</f>
        <v/>
      </c>
    </row>
    <row r="2" ht="15" customHeight="1" s="129">
      <c r="A2" s="355" t="inlineStr">
        <is>
          <t>กล่อง A →</t>
        </is>
      </c>
      <c r="B2" s="356" t="inlineStr">
        <is>
          <t>กล่อง 1.6"×4"</t>
        </is>
      </c>
      <c r="D2" s="357" t="inlineStr">
        <is>
          <t>พื้นที่ ตร.ม.</t>
        </is>
      </c>
      <c r="E2" s="358">
        <f>(B9/100)*(H4/100)</f>
        <v/>
      </c>
      <c r="G2" s="357" t="inlineStr">
        <is>
          <t>low สูง</t>
        </is>
      </c>
      <c r="H2" s="359">
        <f>LOOKUP(B10,$V$2:$V$10)</f>
        <v/>
      </c>
      <c r="J2" s="357" t="inlineStr">
        <is>
          <t>กล่อง 1×5 cm</t>
        </is>
      </c>
      <c r="K2" s="359" t="n">
        <v>500</v>
      </c>
      <c r="M2" s="249" t="n">
        <v>1</v>
      </c>
      <c r="N2" s="249">
        <f>IF(MOD(M2-1,$B$4+$B$7)&lt;$B$4,"A","B")</f>
        <v/>
      </c>
      <c r="O2" s="269">
        <f>IF(N2="A",$E$3,$E$4)</f>
        <v/>
      </c>
      <c r="P2" s="270">
        <f>O2</f>
        <v/>
      </c>
      <c r="Q2" s="270">
        <f>P2+(M2-1)*$B$8</f>
        <v/>
      </c>
      <c r="R2" s="249">
        <f>IF(AND(Q2&lt;=$B$9,N2="A"),1,0)</f>
        <v/>
      </c>
      <c r="S2" s="249">
        <f>IF(AND(Q2&lt;=$B$9,N2="B"),1,0)</f>
        <v/>
      </c>
      <c r="T2" s="249">
        <f>IF(Q2&lt;=$B$9,1,0)</f>
        <v/>
      </c>
      <c r="V2" s="249" t="n">
        <v>50</v>
      </c>
      <c r="AB2" s="140" t="inlineStr">
        <is>
          <t>กล่อง 1×5 cm</t>
        </is>
      </c>
      <c r="AC2" s="140" t="inlineStr">
        <is>
          <t>1 cm</t>
        </is>
      </c>
      <c r="AD2" s="140" t="inlineStr">
        <is>
          <t>5 cm</t>
        </is>
      </c>
      <c r="AF2" s="140">
        <f>IFERROR(VLOOKUP(B2,$AB$2:$AD$8,3,0),"")</f>
        <v/>
      </c>
    </row>
    <row r="3" ht="15" customHeight="1" s="129">
      <c r="A3" s="355" t="inlineStr">
        <is>
          <t>โชว์ A →</t>
        </is>
      </c>
      <c r="B3" s="356" t="inlineStr">
        <is>
          <t>4"</t>
        </is>
      </c>
      <c r="D3" s="357" t="inlineStr">
        <is>
          <t>โชว์A ซม.</t>
        </is>
      </c>
      <c r="E3" s="358">
        <f>VLOOKUP(B3,$J$18:$K$23,2,0)</f>
        <v/>
      </c>
      <c r="G3" s="357" t="inlineStr">
        <is>
          <t>up สูง</t>
        </is>
      </c>
      <c r="H3" s="359">
        <f>IFERROR(INDEX($V$2:$V$10,MATCH(B10,$V$2:$V$10,1)+1),99999)</f>
        <v/>
      </c>
      <c r="J3" s="357" t="inlineStr">
        <is>
          <t>กล่อง 1"×1"</t>
        </is>
      </c>
      <c r="K3" s="359" t="n">
        <v>310</v>
      </c>
      <c r="M3" s="249" t="n">
        <v>2</v>
      </c>
      <c r="N3" s="249">
        <f>IF(MOD(M3-1,$B$4+$B$7)&lt;$B$4,"A","B")</f>
        <v/>
      </c>
      <c r="O3" s="269">
        <f>IF(N3="A",$E$3,$E$4)</f>
        <v/>
      </c>
      <c r="P3" s="270">
        <f>P2+O3</f>
        <v/>
      </c>
      <c r="Q3" s="270">
        <f>P3+(M3-1)*$B$8</f>
        <v/>
      </c>
      <c r="R3" s="249">
        <f>IF(AND(Q3&lt;=$B$9,N3="A"),1,0)</f>
        <v/>
      </c>
      <c r="S3" s="249">
        <f>IF(AND(Q3&lt;=$B$9,N3="B"),1,0)</f>
        <v/>
      </c>
      <c r="T3" s="249">
        <f>IF(Q3&lt;=$B$9,1,0)</f>
        <v/>
      </c>
      <c r="V3" s="249" t="n">
        <v>60</v>
      </c>
      <c r="AB3" s="140" t="inlineStr">
        <is>
          <t>กล่อง 1"×1"</t>
        </is>
      </c>
      <c r="AC3" s="140" t="inlineStr">
        <is>
          <t>1"</t>
        </is>
      </c>
      <c r="AD3" s="140" t="inlineStr">
        <is>
          <t>1"</t>
        </is>
      </c>
      <c r="AF3" s="140">
        <f>IFERROR(VLOOKUP(B5,$AB$2:$AD$8,2,0),"")</f>
        <v/>
      </c>
    </row>
    <row r="4" ht="15" customHeight="1" s="129">
      <c r="A4" s="355" t="inlineStr">
        <is>
          <t>A กี่ท่อน/ชุด →</t>
        </is>
      </c>
      <c r="B4" s="360" t="n">
        <v>3</v>
      </c>
      <c r="D4" s="357" t="inlineStr">
        <is>
          <t>โชว์B ซม.</t>
        </is>
      </c>
      <c r="E4" s="358">
        <f>VLOOKUP(B6,$J$18:$K$23,2,0)</f>
        <v/>
      </c>
      <c r="G4" s="357" t="inlineStr">
        <is>
          <t>สูงใช้</t>
        </is>
      </c>
      <c r="H4" s="359">
        <f>IF(B10-H2&lt;=20,H2,IF(H3-B10&lt;=20,H3,B10))</f>
        <v/>
      </c>
      <c r="J4" s="357" t="inlineStr">
        <is>
          <t>กล่อง 1"×1.5"</t>
        </is>
      </c>
      <c r="K4" s="359" t="n">
        <v>395</v>
      </c>
      <c r="M4" s="249" t="n">
        <v>3</v>
      </c>
      <c r="N4" s="249">
        <f>IF(MOD(M4-1,$B$4+$B$7)&lt;$B$4,"A","B")</f>
        <v/>
      </c>
      <c r="O4" s="269">
        <f>IF(N4="A",$E$3,$E$4)</f>
        <v/>
      </c>
      <c r="P4" s="270">
        <f>P3+O4</f>
        <v/>
      </c>
      <c r="Q4" s="270">
        <f>P4+(M4-1)*$B$8</f>
        <v/>
      </c>
      <c r="R4" s="249">
        <f>IF(AND(Q4&lt;=$B$9,N4="A"),1,0)</f>
        <v/>
      </c>
      <c r="S4" s="249">
        <f>IF(AND(Q4&lt;=$B$9,N4="B"),1,0)</f>
        <v/>
      </c>
      <c r="T4" s="249">
        <f>IF(Q4&lt;=$B$9,1,0)</f>
        <v/>
      </c>
      <c r="V4" s="249" t="n">
        <v>75</v>
      </c>
      <c r="AB4" s="140" t="inlineStr">
        <is>
          <t>กล่อง 1"×1.5"</t>
        </is>
      </c>
      <c r="AC4" s="140" t="inlineStr">
        <is>
          <t>1"</t>
        </is>
      </c>
      <c r="AD4" s="140" t="inlineStr">
        <is>
          <t>1.5"</t>
        </is>
      </c>
      <c r="AF4" s="140">
        <f>IFERROR(VLOOKUP(B5,$AB$2:$AD$8,3,0),"")</f>
        <v/>
      </c>
    </row>
    <row r="5" ht="15" customHeight="1" s="129">
      <c r="A5" s="355" t="inlineStr">
        <is>
          <t>กล่อง B →</t>
        </is>
      </c>
      <c r="B5" s="356" t="inlineStr">
        <is>
          <t>กล่อง 1"×1.6"</t>
        </is>
      </c>
      <c r="D5" s="357" t="inlineStr">
        <is>
          <t>ปัจจัยสี</t>
        </is>
      </c>
      <c r="E5" s="361">
        <f>VLOOKUP(B11,$J$11:$L$15,2,0)</f>
        <v/>
      </c>
      <c r="G5" s="357" t="inlineStr">
        <is>
          <t>L0</t>
        </is>
      </c>
      <c r="H5" s="359">
        <f>LOOKUP(H4,$V$2:$V$10)</f>
        <v/>
      </c>
      <c r="J5" s="357" t="inlineStr">
        <is>
          <t>กล่อง 1"×1.6"</t>
        </is>
      </c>
      <c r="K5" s="359" t="n">
        <v>485</v>
      </c>
      <c r="M5" s="249" t="n">
        <v>4</v>
      </c>
      <c r="N5" s="249">
        <f>IF(MOD(M5-1,$B$4+$B$7)&lt;$B$4,"A","B")</f>
        <v/>
      </c>
      <c r="O5" s="269">
        <f>IF(N5="A",$E$3,$E$4)</f>
        <v/>
      </c>
      <c r="P5" s="270">
        <f>P4+O5</f>
        <v/>
      </c>
      <c r="Q5" s="270">
        <f>P5+(M5-1)*$B$8</f>
        <v/>
      </c>
      <c r="R5" s="249">
        <f>IF(AND(Q5&lt;=$B$9,N5="A"),1,0)</f>
        <v/>
      </c>
      <c r="S5" s="249">
        <f>IF(AND(Q5&lt;=$B$9,N5="B"),1,0)</f>
        <v/>
      </c>
      <c r="T5" s="249">
        <f>IF(Q5&lt;=$B$9,1,0)</f>
        <v/>
      </c>
      <c r="V5" s="249" t="n">
        <v>100</v>
      </c>
      <c r="AB5" s="140" t="inlineStr">
        <is>
          <t>กล่อง 1"×1.6"</t>
        </is>
      </c>
      <c r="AC5" s="140" t="inlineStr">
        <is>
          <t>1"</t>
        </is>
      </c>
      <c r="AD5" s="140" t="inlineStr">
        <is>
          <t>1.6"</t>
        </is>
      </c>
    </row>
    <row r="6" ht="15" customHeight="1" s="129">
      <c r="A6" s="355" t="inlineStr">
        <is>
          <t>โชว์ B →</t>
        </is>
      </c>
      <c r="B6" s="356" t="inlineStr">
        <is>
          <t>1.6"</t>
        </is>
      </c>
      <c r="D6" s="357" t="inlineStr">
        <is>
          <t>ราคา A/เส้น</t>
        </is>
      </c>
      <c r="E6" s="359">
        <f>ROUND(VLOOKUP(B2,$J$2:$K$8,2,0)*E5/5,0)*5</f>
        <v/>
      </c>
      <c r="G6" s="357" t="inlineStr">
        <is>
          <t>R</t>
        </is>
      </c>
      <c r="H6" s="359">
        <f>H4-H5</f>
        <v/>
      </c>
      <c r="J6" s="357" t="inlineStr">
        <is>
          <t>กล่อง 1"×4"</t>
        </is>
      </c>
      <c r="K6" s="359" t="n">
        <v>905</v>
      </c>
      <c r="M6" s="249" t="n">
        <v>5</v>
      </c>
      <c r="N6" s="249">
        <f>IF(MOD(M6-1,$B$4+$B$7)&lt;$B$4,"A","B")</f>
        <v/>
      </c>
      <c r="O6" s="269">
        <f>IF(N6="A",$E$3,$E$4)</f>
        <v/>
      </c>
      <c r="P6" s="270">
        <f>P5+O6</f>
        <v/>
      </c>
      <c r="Q6" s="270">
        <f>P6+(M6-1)*$B$8</f>
        <v/>
      </c>
      <c r="R6" s="249">
        <f>IF(AND(Q6&lt;=$B$9,N6="A"),1,0)</f>
        <v/>
      </c>
      <c r="S6" s="249">
        <f>IF(AND(Q6&lt;=$B$9,N6="B"),1,0)</f>
        <v/>
      </c>
      <c r="T6" s="249">
        <f>IF(Q6&lt;=$B$9,1,0)</f>
        <v/>
      </c>
      <c r="V6" s="249" t="n">
        <v>120</v>
      </c>
      <c r="AB6" s="140" t="inlineStr">
        <is>
          <t>กล่อง 1"×4"</t>
        </is>
      </c>
      <c r="AC6" s="140" t="inlineStr">
        <is>
          <t>1"</t>
        </is>
      </c>
      <c r="AD6" s="140" t="inlineStr">
        <is>
          <t>4"</t>
        </is>
      </c>
    </row>
    <row r="7" ht="15" customHeight="1" s="129">
      <c r="A7" s="355" t="inlineStr">
        <is>
          <t>B กี่ท่อน/ชุด →</t>
        </is>
      </c>
      <c r="B7" s="360" t="n">
        <v>5</v>
      </c>
      <c r="D7" s="357" t="inlineStr">
        <is>
          <t>ราคา B/เส้น</t>
        </is>
      </c>
      <c r="E7" s="359">
        <f>ROUND(VLOOKUP(B5,$J$2:$K$8,2,0)*E5/5,0)*5</f>
        <v/>
      </c>
      <c r="G7" s="357" t="inlineStr">
        <is>
          <t>เส้นA ไม่ต่อ</t>
        </is>
      </c>
      <c r="H7" s="359">
        <f>ROUNDUP(E9/MAX(INT(600/H4),1),0)</f>
        <v/>
      </c>
      <c r="J7" s="357" t="inlineStr">
        <is>
          <t>กล่อง 1.6"×1.6"</t>
        </is>
      </c>
      <c r="K7" s="359" t="n">
        <v>770</v>
      </c>
      <c r="M7" s="249" t="n">
        <v>6</v>
      </c>
      <c r="N7" s="249">
        <f>IF(MOD(M7-1,$B$4+$B$7)&lt;$B$4,"A","B")</f>
        <v/>
      </c>
      <c r="O7" s="269">
        <f>IF(N7="A",$E$3,$E$4)</f>
        <v/>
      </c>
      <c r="P7" s="270">
        <f>P6+O7</f>
        <v/>
      </c>
      <c r="Q7" s="270">
        <f>P7+(M7-1)*$B$8</f>
        <v/>
      </c>
      <c r="R7" s="249">
        <f>IF(AND(Q7&lt;=$B$9,N7="A"),1,0)</f>
        <v/>
      </c>
      <c r="S7" s="249">
        <f>IF(AND(Q7&lt;=$B$9,N7="B"),1,0)</f>
        <v/>
      </c>
      <c r="T7" s="249">
        <f>IF(Q7&lt;=$B$9,1,0)</f>
        <v/>
      </c>
      <c r="V7" s="249" t="n">
        <v>150</v>
      </c>
      <c r="AB7" s="140" t="inlineStr">
        <is>
          <t>กล่อง 1.6"×1.6"</t>
        </is>
      </c>
      <c r="AC7" s="140" t="inlineStr">
        <is>
          <t>1.6"</t>
        </is>
      </c>
      <c r="AD7" s="140" t="inlineStr">
        <is>
          <t>1.6"</t>
        </is>
      </c>
    </row>
    <row r="8" ht="15" customHeight="1" s="129">
      <c r="A8" s="355" t="inlineStr">
        <is>
          <t>ระยะห่างเป้า (ซม.) →</t>
        </is>
      </c>
      <c r="B8" s="379" t="n">
        <v>2.5</v>
      </c>
      <c r="D8" s="357" t="inlineStr">
        <is>
          <t>ท่อนรวม</t>
        </is>
      </c>
      <c r="E8" s="359">
        <f>SUM(T2:T201)</f>
        <v/>
      </c>
      <c r="G8" s="357" t="inlineStr">
        <is>
          <t>เส้นA ต่อ</t>
        </is>
      </c>
      <c r="H8" s="359">
        <f>ROUNDUP(E9/(600/H5),0)+IF(H6&gt;0,ROUNDUP(E9/INT(600/H6),0),0)</f>
        <v/>
      </c>
      <c r="J8" s="357" t="inlineStr">
        <is>
          <t>กล่อง 1.6"×4"</t>
        </is>
      </c>
      <c r="K8" s="359" t="n">
        <v>1220</v>
      </c>
      <c r="M8" s="249" t="n">
        <v>7</v>
      </c>
      <c r="N8" s="249">
        <f>IF(MOD(M8-1,$B$4+$B$7)&lt;$B$4,"A","B")</f>
        <v/>
      </c>
      <c r="O8" s="269">
        <f>IF(N8="A",$E$3,$E$4)</f>
        <v/>
      </c>
      <c r="P8" s="270">
        <f>P7+O8</f>
        <v/>
      </c>
      <c r="Q8" s="270">
        <f>P8+(M8-1)*$B$8</f>
        <v/>
      </c>
      <c r="R8" s="249">
        <f>IF(AND(Q8&lt;=$B$9,N8="A"),1,0)</f>
        <v/>
      </c>
      <c r="S8" s="249">
        <f>IF(AND(Q8&lt;=$B$9,N8="B"),1,0)</f>
        <v/>
      </c>
      <c r="T8" s="249">
        <f>IF(Q8&lt;=$B$9,1,0)</f>
        <v/>
      </c>
      <c r="V8" s="249" t="n">
        <v>200</v>
      </c>
      <c r="AB8" s="140" t="inlineStr">
        <is>
          <t>กล่อง 1.6"×4"</t>
        </is>
      </c>
      <c r="AC8" s="140" t="inlineStr">
        <is>
          <t>1.6"</t>
        </is>
      </c>
      <c r="AD8" s="140" t="inlineStr">
        <is>
          <t>4"</t>
        </is>
      </c>
    </row>
    <row r="9" ht="15" customHeight="1" s="129">
      <c r="A9" s="355" t="inlineStr">
        <is>
          <t>กว้างบาน (ซม.) →</t>
        </is>
      </c>
      <c r="B9" s="360" t="n">
        <v>400</v>
      </c>
      <c r="D9" s="357" t="inlineStr">
        <is>
          <t>ท่อน A</t>
        </is>
      </c>
      <c r="E9" s="359">
        <f>SUM(R2:R201)</f>
        <v/>
      </c>
      <c r="G9" s="357" t="inlineStr">
        <is>
          <t>เส้นB ไม่ต่อ</t>
        </is>
      </c>
      <c r="H9" s="359">
        <f>ROUNDUP(E10/MAX(INT(600/H4),1),0)</f>
        <v/>
      </c>
      <c r="M9" s="249" t="n">
        <v>8</v>
      </c>
      <c r="N9" s="249">
        <f>IF(MOD(M9-1,$B$4+$B$7)&lt;$B$4,"A","B")</f>
        <v/>
      </c>
      <c r="O9" s="269">
        <f>IF(N9="A",$E$3,$E$4)</f>
        <v/>
      </c>
      <c r="P9" s="270">
        <f>P8+O9</f>
        <v/>
      </c>
      <c r="Q9" s="270">
        <f>P9+(M9-1)*$B$8</f>
        <v/>
      </c>
      <c r="R9" s="249">
        <f>IF(AND(Q9&lt;=$B$9,N9="A"),1,0)</f>
        <v/>
      </c>
      <c r="S9" s="249">
        <f>IF(AND(Q9&lt;=$B$9,N9="B"),1,0)</f>
        <v/>
      </c>
      <c r="T9" s="249">
        <f>IF(Q9&lt;=$B$9,1,0)</f>
        <v/>
      </c>
      <c r="V9" s="249" t="n">
        <v>300</v>
      </c>
    </row>
    <row r="10" ht="15" customHeight="1" s="129">
      <c r="A10" s="355" t="inlineStr">
        <is>
          <t>สูงบาน (ซม.) →</t>
        </is>
      </c>
      <c r="B10" s="360" t="n">
        <v>200</v>
      </c>
      <c r="D10" s="357" t="inlineStr">
        <is>
          <t>ท่อน B</t>
        </is>
      </c>
      <c r="E10" s="359">
        <f>SUM(S2:S201)</f>
        <v/>
      </c>
      <c r="G10" s="357" t="inlineStr">
        <is>
          <t>เส้นB ต่อ</t>
        </is>
      </c>
      <c r="H10" s="359">
        <f>ROUNDUP(E10/(600/H5),0)+IF(H6&gt;0,ROUNDUP(E10/INT(600/H6),0),0)</f>
        <v/>
      </c>
      <c r="M10" s="249" t="n">
        <v>9</v>
      </c>
      <c r="N10" s="249">
        <f>IF(MOD(M10-1,$B$4+$B$7)&lt;$B$4,"A","B")</f>
        <v/>
      </c>
      <c r="O10" s="269">
        <f>IF(N10="A",$E$3,$E$4)</f>
        <v/>
      </c>
      <c r="P10" s="270">
        <f>P9+O10</f>
        <v/>
      </c>
      <c r="Q10" s="270">
        <f>P10+(M10-1)*$B$8</f>
        <v/>
      </c>
      <c r="R10" s="249">
        <f>IF(AND(Q10&lt;=$B$9,N10="A"),1,0)</f>
        <v/>
      </c>
      <c r="S10" s="249">
        <f>IF(AND(Q10&lt;=$B$9,N10="B"),1,0)</f>
        <v/>
      </c>
      <c r="T10" s="249">
        <f>IF(Q10&lt;=$B$9,1,0)</f>
        <v/>
      </c>
      <c r="V10" s="249" t="n">
        <v>600</v>
      </c>
    </row>
    <row r="11" ht="15" customHeight="1" s="129">
      <c r="A11" s="355" t="inlineStr">
        <is>
          <t>สี →</t>
        </is>
      </c>
      <c r="B11" s="356" t="inlineStr">
        <is>
          <t>ขาว/ดำ</t>
        </is>
      </c>
      <c r="D11" s="357" t="inlineStr">
        <is>
          <t>หน้ารวม(ซม.)</t>
        </is>
      </c>
      <c r="E11" s="380">
        <f>SUMPRODUCT($T$2:$T$201,$O$2:$O$201)</f>
        <v/>
      </c>
      <c r="G11" s="357" t="inlineStr">
        <is>
          <t>ค่าต่อ</t>
        </is>
      </c>
      <c r="H11" s="359">
        <f>IF(AND(B15="ต่อ",H6&gt;0),(E9+E10)*80,0)</f>
        <v/>
      </c>
      <c r="J11" s="357" t="inlineStr">
        <is>
          <t>ขาว/ดำ</t>
        </is>
      </c>
      <c r="K11" s="361" t="n">
        <v>1</v>
      </c>
      <c r="L11" s="359" t="n">
        <v>0</v>
      </c>
      <c r="M11" s="249" t="n">
        <v>10</v>
      </c>
      <c r="N11" s="249">
        <f>IF(MOD(M11-1,$B$4+$B$7)&lt;$B$4,"A","B")</f>
        <v/>
      </c>
      <c r="O11" s="269">
        <f>IF(N11="A",$E$3,$E$4)</f>
        <v/>
      </c>
      <c r="P11" s="270">
        <f>P10+O11</f>
        <v/>
      </c>
      <c r="Q11" s="270">
        <f>P11+(M11-1)*$B$8</f>
        <v/>
      </c>
      <c r="R11" s="249">
        <f>IF(AND(Q11&lt;=$B$9,N11="A"),1,0)</f>
        <v/>
      </c>
      <c r="S11" s="249">
        <f>IF(AND(Q11&lt;=$B$9,N11="B"),1,0)</f>
        <v/>
      </c>
      <c r="T11" s="249">
        <f>IF(Q11&lt;=$B$9,1,0)</f>
        <v/>
      </c>
    </row>
    <row r="12" ht="15" customHeight="1" s="129">
      <c r="A12" s="355" t="inlineStr">
        <is>
          <t>โครง →</t>
        </is>
      </c>
      <c r="B12" s="356" t="inlineStr">
        <is>
          <t>ไม่รวม</t>
        </is>
      </c>
      <c r="D12" s="357" t="inlineStr">
        <is>
          <t>ระยะห่างจริง</t>
        </is>
      </c>
      <c r="E12" s="358">
        <f>(B9-E11)/(E8-1)</f>
        <v/>
      </c>
      <c r="J12" s="357" t="inlineStr">
        <is>
          <t>เทาซาฮาร่า</t>
        </is>
      </c>
      <c r="K12" s="361" t="n">
        <v>1.52083</v>
      </c>
      <c r="L12" s="359" t="n">
        <v>0</v>
      </c>
      <c r="M12" s="249" t="n">
        <v>11</v>
      </c>
      <c r="N12" s="249">
        <f>IF(MOD(M12-1,$B$4+$B$7)&lt;$B$4,"A","B")</f>
        <v/>
      </c>
      <c r="O12" s="269">
        <f>IF(N12="A",$E$3,$E$4)</f>
        <v/>
      </c>
      <c r="P12" s="270">
        <f>P11+O12</f>
        <v/>
      </c>
      <c r="Q12" s="270">
        <f>P12+(M12-1)*$B$8</f>
        <v/>
      </c>
      <c r="R12" s="249">
        <f>IF(AND(Q12&lt;=$B$9,N12="A"),1,0)</f>
        <v/>
      </c>
      <c r="S12" s="249">
        <f>IF(AND(Q12&lt;=$B$9,N12="B"),1,0)</f>
        <v/>
      </c>
      <c r="T12" s="249">
        <f>IF(Q12&lt;=$B$9,1,0)</f>
        <v/>
      </c>
    </row>
    <row r="13" ht="15" customHeight="1" s="129">
      <c r="A13" s="355" t="inlineStr">
        <is>
          <t>ค่าแรงผลิต (บาท/ตร.ม.) →</t>
        </is>
      </c>
      <c r="B13" s="360">
        <f>VLOOKUP("ระแนงสลับ",'ค่าแรง'!$A$12:$M$50,3,0)</f>
        <v/>
      </c>
      <c r="D13" s="357" t="inlineStr">
        <is>
          <t>เส้น A</t>
        </is>
      </c>
      <c r="E13" s="359">
        <f>IF(B15="ต่อ",H8,H7)</f>
        <v/>
      </c>
      <c r="J13" s="357" t="inlineStr">
        <is>
          <t>ลายไม้สต๊อก</t>
        </is>
      </c>
      <c r="K13" s="361" t="n">
        <v>1.586</v>
      </c>
      <c r="L13" s="359" t="n">
        <v>0</v>
      </c>
      <c r="M13" s="249" t="n">
        <v>12</v>
      </c>
      <c r="N13" s="249">
        <f>IF(MOD(M13-1,$B$4+$B$7)&lt;$B$4,"A","B")</f>
        <v/>
      </c>
      <c r="O13" s="269">
        <f>IF(N13="A",$E$3,$E$4)</f>
        <v/>
      </c>
      <c r="P13" s="270">
        <f>P12+O13</f>
        <v/>
      </c>
      <c r="Q13" s="270">
        <f>P13+(M13-1)*$B$8</f>
        <v/>
      </c>
      <c r="R13" s="249">
        <f>IF(AND(Q13&lt;=$B$9,N13="A"),1,0)</f>
        <v/>
      </c>
      <c r="S13" s="249">
        <f>IF(AND(Q13&lt;=$B$9,N13="B"),1,0)</f>
        <v/>
      </c>
      <c r="T13" s="249">
        <f>IF(Q13&lt;=$B$9,1,0)</f>
        <v/>
      </c>
    </row>
    <row r="14" ht="15" customHeight="1" s="129">
      <c r="A14" s="281" t="inlineStr">
        <is>
          <t>ค่าแรงติดตั้ง (บาท/ตร.ม.) →</t>
        </is>
      </c>
      <c r="B14" s="360">
        <f>VLOOKUP("ระแนงสลับ",'ค่าแรง'!$A$12:$M$50,5,0)</f>
        <v/>
      </c>
      <c r="D14" s="357" t="inlineStr">
        <is>
          <t>เส้น B</t>
        </is>
      </c>
      <c r="E14" s="359">
        <f>IF(B15="ต่อ",H10,H9)</f>
        <v/>
      </c>
      <c r="J14" s="357" t="inlineStr">
        <is>
          <t>สีอบพิเศษ</t>
        </is>
      </c>
      <c r="K14" s="361" t="n">
        <v>1.90104</v>
      </c>
      <c r="L14" s="359" t="n">
        <v>2000</v>
      </c>
      <c r="M14" s="249" t="n">
        <v>13</v>
      </c>
      <c r="N14" s="249">
        <f>IF(MOD(M14-1,$B$4+$B$7)&lt;$B$4,"A","B")</f>
        <v/>
      </c>
      <c r="O14" s="269">
        <f>IF(N14="A",$E$3,$E$4)</f>
        <v/>
      </c>
      <c r="P14" s="270">
        <f>P13+O14</f>
        <v/>
      </c>
      <c r="Q14" s="270">
        <f>P14+(M14-1)*$B$8</f>
        <v/>
      </c>
      <c r="R14" s="249">
        <f>IF(AND(Q14&lt;=$B$9,N14="A"),1,0)</f>
        <v/>
      </c>
      <c r="S14" s="249">
        <f>IF(AND(Q14&lt;=$B$9,N14="B"),1,0)</f>
        <v/>
      </c>
      <c r="T14" s="249">
        <f>IF(Q14&lt;=$B$9,1,0)</f>
        <v/>
      </c>
    </row>
    <row r="15" ht="15" customHeight="1" s="129">
      <c r="A15" s="355" t="inlineStr">
        <is>
          <t>ต่อระแนง →</t>
        </is>
      </c>
      <c r="B15" s="356" t="inlineStr">
        <is>
          <t>ไม่ต่อ</t>
        </is>
      </c>
      <c r="D15" s="357" t="inlineStr">
        <is>
          <t>สีพิเศษ</t>
        </is>
      </c>
      <c r="E15" s="359">
        <f>VLOOKUP(B11,$J$11:$L$15,3,0)</f>
        <v/>
      </c>
      <c r="J15" s="357" t="inlineStr">
        <is>
          <t>สีลายไม้อบพิเศษ</t>
        </is>
      </c>
      <c r="K15" s="361" t="n">
        <v>1.98958</v>
      </c>
      <c r="L15" s="359" t="n">
        <v>2000</v>
      </c>
      <c r="M15" s="249" t="n">
        <v>14</v>
      </c>
      <c r="N15" s="249">
        <f>IF(MOD(M15-1,$B$4+$B$7)&lt;$B$4,"A","B")</f>
        <v/>
      </c>
      <c r="O15" s="269">
        <f>IF(N15="A",$E$3,$E$4)</f>
        <v/>
      </c>
      <c r="P15" s="270">
        <f>P14+O15</f>
        <v/>
      </c>
      <c r="Q15" s="270">
        <f>P15+(M15-1)*$B$8</f>
        <v/>
      </c>
      <c r="R15" s="249">
        <f>IF(AND(Q15&lt;=$B$9,N15="A"),1,0)</f>
        <v/>
      </c>
      <c r="S15" s="249">
        <f>IF(AND(Q15&lt;=$B$9,N15="B"),1,0)</f>
        <v/>
      </c>
      <c r="T15" s="249">
        <f>IF(Q15&lt;=$B$9,1,0)</f>
        <v/>
      </c>
    </row>
    <row r="16" ht="15" customHeight="1" s="129">
      <c r="A16" s="684" t="inlineStr">
        <is>
          <t>▶ ระยะห่างจริง (ลงตัว) ซม.</t>
        </is>
      </c>
      <c r="B16" s="765">
        <f>ROUND(E12,2)</f>
        <v/>
      </c>
      <c r="D16" s="357" t="inlineStr">
        <is>
          <t>เส้นโครง</t>
        </is>
      </c>
      <c r="E16" s="359">
        <f>IF(B12="รวม",ROUNDUP(IF(B10&lt;=250,2,3)/MAX(INT(600/B9),1),0),0)</f>
        <v/>
      </c>
      <c r="M16" s="249" t="n">
        <v>15</v>
      </c>
      <c r="N16" s="249">
        <f>IF(MOD(M16-1,$B$4+$B$7)&lt;$B$4,"A","B")</f>
        <v/>
      </c>
      <c r="O16" s="269">
        <f>IF(N16="A",$E$3,$E$4)</f>
        <v/>
      </c>
      <c r="P16" s="270">
        <f>P15+O16</f>
        <v/>
      </c>
      <c r="Q16" s="270">
        <f>P16+(M16-1)*$B$8</f>
        <v/>
      </c>
      <c r="R16" s="249">
        <f>IF(AND(Q16&lt;=$B$9,N16="A"),1,0)</f>
        <v/>
      </c>
      <c r="S16" s="249">
        <f>IF(AND(Q16&lt;=$B$9,N16="B"),1,0)</f>
        <v/>
      </c>
      <c r="T16" s="249">
        <f>IF(Q16&lt;=$B$9,1,0)</f>
        <v/>
      </c>
    </row>
    <row r="17" ht="15" customHeight="1" s="129">
      <c r="D17" s="357" t="inlineStr">
        <is>
          <t>ราคาโครง</t>
        </is>
      </c>
      <c r="E17" s="359">
        <f>ROUND(485*E5/5,0)*5</f>
        <v/>
      </c>
      <c r="M17" s="249" t="n">
        <v>16</v>
      </c>
      <c r="N17" s="249">
        <f>IF(MOD(M17-1,$B$4+$B$7)&lt;$B$4,"A","B")</f>
        <v/>
      </c>
      <c r="O17" s="269">
        <f>IF(N17="A",$E$3,$E$4)</f>
        <v/>
      </c>
      <c r="P17" s="270">
        <f>P16+O17</f>
        <v/>
      </c>
      <c r="Q17" s="270">
        <f>P17+(M17-1)*$B$8</f>
        <v/>
      </c>
      <c r="R17" s="249">
        <f>IF(AND(Q17&lt;=$B$9,N17="A"),1,0)</f>
        <v/>
      </c>
      <c r="S17" s="249">
        <f>IF(AND(Q17&lt;=$B$9,N17="B"),1,0)</f>
        <v/>
      </c>
      <c r="T17" s="249">
        <f>IF(Q17&lt;=$B$9,1,0)</f>
        <v/>
      </c>
    </row>
    <row r="18" ht="15" customHeight="1" s="129">
      <c r="J18" s="357" t="inlineStr">
        <is>
          <t>1 cm</t>
        </is>
      </c>
      <c r="K18" s="381" t="n">
        <v>1</v>
      </c>
      <c r="M18" s="249" t="n">
        <v>17</v>
      </c>
      <c r="N18" s="249">
        <f>IF(MOD(M18-1,$B$4+$B$7)&lt;$B$4,"A","B")</f>
        <v/>
      </c>
      <c r="O18" s="269">
        <f>IF(N18="A",$E$3,$E$4)</f>
        <v/>
      </c>
      <c r="P18" s="270">
        <f>P17+O18</f>
        <v/>
      </c>
      <c r="Q18" s="270">
        <f>P18+(M18-1)*$B$8</f>
        <v/>
      </c>
      <c r="R18" s="249">
        <f>IF(AND(Q18&lt;=$B$9,N18="A"),1,0)</f>
        <v/>
      </c>
      <c r="S18" s="249">
        <f>IF(AND(Q18&lt;=$B$9,N18="B"),1,0)</f>
        <v/>
      </c>
      <c r="T18" s="249">
        <f>IF(Q18&lt;=$B$9,1,0)</f>
        <v/>
      </c>
    </row>
    <row r="19" ht="15" customHeight="1" s="129">
      <c r="J19" s="357" t="inlineStr">
        <is>
          <t>5 cm</t>
        </is>
      </c>
      <c r="K19" s="381" t="n">
        <v>5</v>
      </c>
      <c r="M19" s="249" t="n">
        <v>18</v>
      </c>
      <c r="N19" s="249">
        <f>IF(MOD(M19-1,$B$4+$B$7)&lt;$B$4,"A","B")</f>
        <v/>
      </c>
      <c r="O19" s="269">
        <f>IF(N19="A",$E$3,$E$4)</f>
        <v/>
      </c>
      <c r="P19" s="270">
        <f>P18+O19</f>
        <v/>
      </c>
      <c r="Q19" s="270">
        <f>P19+(M19-1)*$B$8</f>
        <v/>
      </c>
      <c r="R19" s="249">
        <f>IF(AND(Q19&lt;=$B$9,N19="A"),1,0)</f>
        <v/>
      </c>
      <c r="S19" s="249">
        <f>IF(AND(Q19&lt;=$B$9,N19="B"),1,0)</f>
        <v/>
      </c>
      <c r="T19" s="249">
        <f>IF(Q19&lt;=$B$9,1,0)</f>
        <v/>
      </c>
    </row>
    <row r="20" ht="15" customHeight="1" s="129">
      <c r="A20" s="375" t="inlineStr">
        <is>
          <t>รายการ</t>
        </is>
      </c>
      <c r="B20" s="375" t="inlineStr">
        <is>
          <t>จำนวน</t>
        </is>
      </c>
      <c r="C20" s="375" t="inlineStr">
        <is>
          <t>ราคา/เส้น</t>
        </is>
      </c>
      <c r="D20" s="375" t="inlineStr">
        <is>
          <t>ทุน (บาท)</t>
        </is>
      </c>
      <c r="J20" s="376" t="inlineStr">
        <is>
          <t>1"</t>
        </is>
      </c>
      <c r="K20" s="382" t="n">
        <v>2.54</v>
      </c>
      <c r="M20" s="249" t="n">
        <v>19</v>
      </c>
      <c r="N20" s="249">
        <f>IF(MOD(M20-1,$B$4+$B$7)&lt;$B$4,"A","B")</f>
        <v/>
      </c>
      <c r="O20" s="269">
        <f>IF(N20="A",$E$3,$E$4)</f>
        <v/>
      </c>
      <c r="P20" s="270">
        <f>P19+O20</f>
        <v/>
      </c>
      <c r="Q20" s="270">
        <f>P20+(M20-1)*$B$8</f>
        <v/>
      </c>
      <c r="R20" s="249">
        <f>IF(AND(Q20&lt;=$B$9,N20="A"),1,0)</f>
        <v/>
      </c>
      <c r="S20" s="249">
        <f>IF(AND(Q20&lt;=$B$9,N20="B"),1,0)</f>
        <v/>
      </c>
      <c r="T20" s="249">
        <f>IF(Q20&lt;=$B$9,1,0)</f>
        <v/>
      </c>
    </row>
    <row r="21" ht="15" customHeight="1" s="129">
      <c r="A21" s="363">
        <f>B2&amp;" — A (โชว์ "&amp;B3&amp;")"</f>
        <v/>
      </c>
      <c r="B21" s="346">
        <f>E13</f>
        <v/>
      </c>
      <c r="C21" s="346">
        <f>E6</f>
        <v/>
      </c>
      <c r="D21" s="346">
        <f>B21*C21</f>
        <v/>
      </c>
      <c r="J21" s="357" t="inlineStr">
        <is>
          <t>1.5"</t>
        </is>
      </c>
      <c r="K21" s="381" t="n">
        <v>3.81</v>
      </c>
      <c r="M21" s="249" t="n">
        <v>20</v>
      </c>
      <c r="N21" s="249">
        <f>IF(MOD(M21-1,$B$4+$B$7)&lt;$B$4,"A","B")</f>
        <v/>
      </c>
      <c r="O21" s="269">
        <f>IF(N21="A",$E$3,$E$4)</f>
        <v/>
      </c>
      <c r="P21" s="270">
        <f>P20+O21</f>
        <v/>
      </c>
      <c r="Q21" s="270">
        <f>P21+(M21-1)*$B$8</f>
        <v/>
      </c>
      <c r="R21" s="249">
        <f>IF(AND(Q21&lt;=$B$9,N21="A"),1,0)</f>
        <v/>
      </c>
      <c r="S21" s="249">
        <f>IF(AND(Q21&lt;=$B$9,N21="B"),1,0)</f>
        <v/>
      </c>
      <c r="T21" s="249">
        <f>IF(Q21&lt;=$B$9,1,0)</f>
        <v/>
      </c>
    </row>
    <row r="22" ht="15" customHeight="1" s="129">
      <c r="A22" s="363">
        <f>B5&amp;" — B (โชว์ "&amp;B6&amp;")"</f>
        <v/>
      </c>
      <c r="B22" s="346">
        <f>E14</f>
        <v/>
      </c>
      <c r="C22" s="346">
        <f>E7</f>
        <v/>
      </c>
      <c r="D22" s="346">
        <f>B22*C22</f>
        <v/>
      </c>
      <c r="J22" s="357" t="inlineStr">
        <is>
          <t>1.6"</t>
        </is>
      </c>
      <c r="K22" s="381" t="n">
        <v>4.06</v>
      </c>
      <c r="M22" s="249" t="n">
        <v>21</v>
      </c>
      <c r="N22" s="249">
        <f>IF(MOD(M22-1,$B$4+$B$7)&lt;$B$4,"A","B")</f>
        <v/>
      </c>
      <c r="O22" s="269">
        <f>IF(N22="A",$E$3,$E$4)</f>
        <v/>
      </c>
      <c r="P22" s="270">
        <f>P21+O22</f>
        <v/>
      </c>
      <c r="Q22" s="270">
        <f>P22+(M22-1)*$B$8</f>
        <v/>
      </c>
      <c r="R22" s="249">
        <f>IF(AND(Q22&lt;=$B$9,N22="A"),1,0)</f>
        <v/>
      </c>
      <c r="S22" s="249">
        <f>IF(AND(Q22&lt;=$B$9,N22="B"),1,0)</f>
        <v/>
      </c>
      <c r="T22" s="249">
        <f>IF(Q22&lt;=$B$9,1,0)</f>
        <v/>
      </c>
    </row>
    <row r="23" ht="15" customHeight="1" s="129">
      <c r="A23" s="363" t="inlineStr">
        <is>
          <t>ค่าต่อระแนง (80/ท่อน)</t>
        </is>
      </c>
      <c r="B23" s="346">
        <f>IF(AND(B15="ต่อ",H6&gt;0),E9+E10,0)</f>
        <v/>
      </c>
      <c r="C23" s="346" t="n">
        <v>80</v>
      </c>
      <c r="D23" s="346">
        <f>B23*C23</f>
        <v/>
      </c>
      <c r="J23" s="357" t="inlineStr">
        <is>
          <t>4"</t>
        </is>
      </c>
      <c r="K23" s="381" t="n">
        <v>10.16</v>
      </c>
      <c r="M23" s="249" t="n">
        <v>22</v>
      </c>
      <c r="N23" s="249">
        <f>IF(MOD(M23-1,$B$4+$B$7)&lt;$B$4,"A","B")</f>
        <v/>
      </c>
      <c r="O23" s="269">
        <f>IF(N23="A",$E$3,$E$4)</f>
        <v/>
      </c>
      <c r="P23" s="270">
        <f>P22+O23</f>
        <v/>
      </c>
      <c r="Q23" s="270">
        <f>P23+(M23-1)*$B$8</f>
        <v/>
      </c>
      <c r="R23" s="249">
        <f>IF(AND(Q23&lt;=$B$9,N23="A"),1,0)</f>
        <v/>
      </c>
      <c r="S23" s="249">
        <f>IF(AND(Q23&lt;=$B$9,N23="B"),1,0)</f>
        <v/>
      </c>
      <c r="T23" s="249">
        <f>IF(Q23&lt;=$B$9,1,0)</f>
        <v/>
      </c>
    </row>
    <row r="24" ht="15" customHeight="1" s="129">
      <c r="A24" s="363" t="inlineStr">
        <is>
          <t>โครงดาม 1"×1.6"</t>
        </is>
      </c>
      <c r="B24" s="346">
        <f>E16</f>
        <v/>
      </c>
      <c r="C24" s="346">
        <f>E17</f>
        <v/>
      </c>
      <c r="D24" s="346">
        <f>B24*C24</f>
        <v/>
      </c>
      <c r="M24" s="249" t="n">
        <v>23</v>
      </c>
      <c r="N24" s="249">
        <f>IF(MOD(M24-1,$B$4+$B$7)&lt;$B$4,"A","B")</f>
        <v/>
      </c>
      <c r="O24" s="269">
        <f>IF(N24="A",$E$3,$E$4)</f>
        <v/>
      </c>
      <c r="P24" s="270">
        <f>P23+O24</f>
        <v/>
      </c>
      <c r="Q24" s="270">
        <f>P24+(M24-1)*$B$8</f>
        <v/>
      </c>
      <c r="R24" s="249">
        <f>IF(AND(Q24&lt;=$B$9,N24="A"),1,0)</f>
        <v/>
      </c>
      <c r="S24" s="249">
        <f>IF(AND(Q24&lt;=$B$9,N24="B"),1,0)</f>
        <v/>
      </c>
      <c r="T24" s="249">
        <f>IF(Q24&lt;=$B$9,1,0)</f>
        <v/>
      </c>
    </row>
    <row r="25" ht="15" customHeight="1" s="129">
      <c r="A25" s="363" t="inlineStr">
        <is>
          <t>สีพิเศษ (ค่าเปิดตู้อบ)</t>
        </is>
      </c>
      <c r="B25" s="346">
        <f>IF(E15&gt;0,1,0)</f>
        <v/>
      </c>
      <c r="C25" s="346">
        <f>E15</f>
        <v/>
      </c>
      <c r="D25" s="346">
        <f>B25*C25</f>
        <v/>
      </c>
      <c r="M25" s="249" t="n">
        <v>24</v>
      </c>
      <c r="N25" s="249">
        <f>IF(MOD(M25-1,$B$4+$B$7)&lt;$B$4,"A","B")</f>
        <v/>
      </c>
      <c r="O25" s="269">
        <f>IF(N25="A",$E$3,$E$4)</f>
        <v/>
      </c>
      <c r="P25" s="270">
        <f>P24+O25</f>
        <v/>
      </c>
      <c r="Q25" s="270">
        <f>P25+(M25-1)*$B$8</f>
        <v/>
      </c>
      <c r="R25" s="249">
        <f>IF(AND(Q25&lt;=$B$9,N25="A"),1,0)</f>
        <v/>
      </c>
      <c r="S25" s="249">
        <f>IF(AND(Q25&lt;=$B$9,N25="B"),1,0)</f>
        <v/>
      </c>
      <c r="T25" s="249">
        <f>IF(Q25&lt;=$B$9,1,0)</f>
        <v/>
      </c>
    </row>
    <row r="26" ht="15" customHeight="1" s="129">
      <c r="A26" s="383" t="inlineStr">
        <is>
          <t>ค่าแรง (ผลิต+ติดตั้ง)</t>
        </is>
      </c>
      <c r="B26" s="384">
        <f>E2</f>
        <v/>
      </c>
      <c r="C26" s="384">
        <f>B13+B14</f>
        <v/>
      </c>
      <c r="D26" s="384">
        <f>B26*C26</f>
        <v/>
      </c>
      <c r="M26" s="249" t="n">
        <v>25</v>
      </c>
      <c r="N26" s="249">
        <f>IF(MOD(M26-1,$B$4+$B$7)&lt;$B$4,"A","B")</f>
        <v/>
      </c>
      <c r="O26" s="269">
        <f>IF(N26="A",$E$3,$E$4)</f>
        <v/>
      </c>
      <c r="P26" s="270">
        <f>P25+O26</f>
        <v/>
      </c>
      <c r="Q26" s="270">
        <f>P26+(M26-1)*$B$8</f>
        <v/>
      </c>
      <c r="R26" s="249">
        <f>IF(AND(Q26&lt;=$B$9,N26="A"),1,0)</f>
        <v/>
      </c>
      <c r="S26" s="249">
        <f>IF(AND(Q26&lt;=$B$9,N26="B"),1,0)</f>
        <v/>
      </c>
      <c r="T26" s="249">
        <f>IF(Q26&lt;=$B$9,1,0)</f>
        <v/>
      </c>
    </row>
    <row r="27" ht="15" customHeight="1" s="129">
      <c r="A27" s="365" t="inlineStr">
        <is>
          <t>ทุนรวม</t>
        </is>
      </c>
      <c r="B27" s="431" t="n"/>
      <c r="C27" s="431" t="n"/>
      <c r="D27" s="366">
        <f>SUM(D21:D26)</f>
        <v/>
      </c>
      <c r="M27" s="249" t="n">
        <v>26</v>
      </c>
      <c r="N27" s="249">
        <f>IF(MOD(M27-1,$B$4+$B$7)&lt;$B$4,"A","B")</f>
        <v/>
      </c>
      <c r="O27" s="269">
        <f>IF(N27="A",$E$3,$E$4)</f>
        <v/>
      </c>
      <c r="P27" s="270">
        <f>P26+O27</f>
        <v/>
      </c>
      <c r="Q27" s="270">
        <f>P27+(M27-1)*$B$8</f>
        <v/>
      </c>
      <c r="R27" s="249">
        <f>IF(AND(Q27&lt;=$B$9,N27="A"),1,0)</f>
        <v/>
      </c>
      <c r="S27" s="249">
        <f>IF(AND(Q27&lt;=$B$9,N27="B"),1,0)</f>
        <v/>
      </c>
      <c r="T27" s="249">
        <f>IF(Q27&lt;=$B$9,1,0)</f>
        <v/>
      </c>
    </row>
    <row r="28" ht="15" customHeight="1" s="129">
      <c r="A28" s="365" t="inlineStr">
        <is>
          <t>ทุน/ตร.ม.</t>
        </is>
      </c>
      <c r="B28" s="431" t="n"/>
      <c r="C28" s="431" t="n"/>
      <c r="D28" s="366">
        <f>D27/E2</f>
        <v/>
      </c>
      <c r="M28" s="249" t="n">
        <v>27</v>
      </c>
      <c r="N28" s="249">
        <f>IF(MOD(M28-1,$B$4+$B$7)&lt;$B$4,"A","B")</f>
        <v/>
      </c>
      <c r="O28" s="269">
        <f>IF(N28="A",$E$3,$E$4)</f>
        <v/>
      </c>
      <c r="P28" s="270">
        <f>P27+O28</f>
        <v/>
      </c>
      <c r="Q28" s="270">
        <f>P28+(M28-1)*$B$8</f>
        <v/>
      </c>
      <c r="R28" s="249">
        <f>IF(AND(Q28&lt;=$B$9,N28="A"),1,0)</f>
        <v/>
      </c>
      <c r="S28" s="249">
        <f>IF(AND(Q28&lt;=$B$9,N28="B"),1,0)</f>
        <v/>
      </c>
      <c r="T28" s="249">
        <f>IF(Q28&lt;=$B$9,1,0)</f>
        <v/>
      </c>
    </row>
    <row r="29" ht="15" customHeight="1" s="129">
      <c r="A29" s="275" t="n"/>
      <c r="M29" s="249" t="n">
        <v>28</v>
      </c>
      <c r="N29" s="249">
        <f>IF(MOD(M29-1,$B$4+$B$7)&lt;$B$4,"A","B")</f>
        <v/>
      </c>
      <c r="O29" s="269">
        <f>IF(N29="A",$E$3,$E$4)</f>
        <v/>
      </c>
      <c r="P29" s="270">
        <f>P28+O29</f>
        <v/>
      </c>
      <c r="Q29" s="270">
        <f>P29+(M29-1)*$B$8</f>
        <v/>
      </c>
      <c r="R29" s="249">
        <f>IF(AND(Q29&lt;=$B$9,N29="A"),1,0)</f>
        <v/>
      </c>
      <c r="S29" s="249">
        <f>IF(AND(Q29&lt;=$B$9,N29="B"),1,0)</f>
        <v/>
      </c>
      <c r="T29" s="249">
        <f>IF(Q29&lt;=$B$9,1,0)</f>
        <v/>
      </c>
    </row>
    <row r="30" ht="15" customHeight="1" s="129">
      <c r="A30" s="372" t="n"/>
      <c r="B30" s="432" t="n"/>
      <c r="M30" s="249" t="n">
        <v>29</v>
      </c>
      <c r="N30" s="249">
        <f>IF(MOD(M30-1,$B$4+$B$7)&lt;$B$4,"A","B")</f>
        <v/>
      </c>
      <c r="O30" s="269">
        <f>IF(N30="A",$E$3,$E$4)</f>
        <v/>
      </c>
      <c r="P30" s="270">
        <f>P29+O30</f>
        <v/>
      </c>
      <c r="Q30" s="270">
        <f>P30+(M30-1)*$B$8</f>
        <v/>
      </c>
      <c r="R30" s="249">
        <f>IF(AND(Q30&lt;=$B$9,N30="A"),1,0)</f>
        <v/>
      </c>
      <c r="S30" s="249">
        <f>IF(AND(Q30&lt;=$B$9,N30="B"),1,0)</f>
        <v/>
      </c>
      <c r="T30" s="249">
        <f>IF(Q30&lt;=$B$9,1,0)</f>
        <v/>
      </c>
    </row>
    <row r="31" ht="15" customHeight="1" s="129">
      <c r="A31" s="387" t="inlineStr">
        <is>
          <t>ทุนวัสดุ (ไม่รวมค่าแรง)</t>
        </is>
      </c>
      <c r="D31" s="388">
        <f>SUM(D21:D25)</f>
        <v/>
      </c>
      <c r="M31" s="249" t="n">
        <v>30</v>
      </c>
      <c r="N31" s="249">
        <f>IF(MOD(M31-1,$B$4+$B$7)&lt;$B$4,"A","B")</f>
        <v/>
      </c>
      <c r="O31" s="269">
        <f>IF(N31="A",$E$3,$E$4)</f>
        <v/>
      </c>
      <c r="P31" s="270">
        <f>P30+O31</f>
        <v/>
      </c>
      <c r="Q31" s="270">
        <f>P31+(M31-1)*$B$8</f>
        <v/>
      </c>
      <c r="R31" s="249">
        <f>IF(AND(Q31&lt;=$B$9,N31="A"),1,0)</f>
        <v/>
      </c>
      <c r="S31" s="249">
        <f>IF(AND(Q31&lt;=$B$9,N31="B"),1,0)</f>
        <v/>
      </c>
      <c r="T31" s="249">
        <f>IF(Q31&lt;=$B$9,1,0)</f>
        <v/>
      </c>
    </row>
    <row r="32" ht="15" customHeight="1" s="129">
      <c r="A32" s="387" t="inlineStr">
        <is>
          <t>ค่าแรงผลิต</t>
        </is>
      </c>
      <c r="D32" s="388">
        <f>B13*E2</f>
        <v/>
      </c>
      <c r="M32" s="249" t="n">
        <v>31</v>
      </c>
      <c r="N32" s="249">
        <f>IF(MOD(M32-1,$B$4+$B$7)&lt;$B$4,"A","B")</f>
        <v/>
      </c>
      <c r="O32" s="269">
        <f>IF(N32="A",$E$3,$E$4)</f>
        <v/>
      </c>
      <c r="P32" s="270">
        <f>P31+O32</f>
        <v/>
      </c>
      <c r="Q32" s="270">
        <f>P32+(M32-1)*$B$8</f>
        <v/>
      </c>
      <c r="R32" s="249">
        <f>IF(AND(Q32&lt;=$B$9,N32="A"),1,0)</f>
        <v/>
      </c>
      <c r="S32" s="249">
        <f>IF(AND(Q32&lt;=$B$9,N32="B"),1,0)</f>
        <v/>
      </c>
      <c r="T32" s="249">
        <f>IF(Q32&lt;=$B$9,1,0)</f>
        <v/>
      </c>
    </row>
    <row r="33" ht="15" customHeight="1" s="129">
      <c r="A33" s="387" t="inlineStr">
        <is>
          <t>ค่าแรงติดตั้ง</t>
        </is>
      </c>
      <c r="D33" s="388">
        <f>B14*E2</f>
        <v/>
      </c>
      <c r="M33" s="249" t="n">
        <v>32</v>
      </c>
      <c r="N33" s="249">
        <f>IF(MOD(M33-1,$B$4+$B$7)&lt;$B$4,"A","B")</f>
        <v/>
      </c>
      <c r="O33" s="269">
        <f>IF(N33="A",$E$3,$E$4)</f>
        <v/>
      </c>
      <c r="P33" s="270">
        <f>P32+O33</f>
        <v/>
      </c>
      <c r="Q33" s="270">
        <f>P33+(M33-1)*$B$8</f>
        <v/>
      </c>
      <c r="R33" s="249">
        <f>IF(AND(Q33&lt;=$B$9,N33="A"),1,0)</f>
        <v/>
      </c>
      <c r="S33" s="249">
        <f>IF(AND(Q33&lt;=$B$9,N33="B"),1,0)</f>
        <v/>
      </c>
      <c r="T33" s="249">
        <f>IF(Q33&lt;=$B$9,1,0)</f>
        <v/>
      </c>
    </row>
    <row r="34" ht="15" customHeight="1" s="129">
      <c r="A34" s="276" t="inlineStr">
        <is>
          <t>ขายผลิตอย่างเดียว (กำไร 100%)</t>
        </is>
      </c>
      <c r="D34" s="389">
        <f>(D31+D32)*2</f>
        <v/>
      </c>
      <c r="M34" s="249" t="n">
        <v>33</v>
      </c>
      <c r="N34" s="249">
        <f>IF(MOD(M34-1,$B$4+$B$7)&lt;$B$4,"A","B")</f>
        <v/>
      </c>
      <c r="O34" s="269">
        <f>IF(N34="A",$E$3,$E$4)</f>
        <v/>
      </c>
      <c r="P34" s="270">
        <f>P33+O34</f>
        <v/>
      </c>
      <c r="Q34" s="270">
        <f>P34+(M34-1)*$B$8</f>
        <v/>
      </c>
      <c r="R34" s="249">
        <f>IF(AND(Q34&lt;=$B$9,N34="A"),1,0)</f>
        <v/>
      </c>
      <c r="S34" s="249">
        <f>IF(AND(Q34&lt;=$B$9,N34="B"),1,0)</f>
        <v/>
      </c>
      <c r="T34" s="249">
        <f>IF(Q34&lt;=$B$9,1,0)</f>
        <v/>
      </c>
    </row>
    <row r="35" ht="15" customHeight="1" s="129">
      <c r="A35" s="276" t="inlineStr">
        <is>
          <t>ขายผลิต+ติดตั้ง (กำไร 100%)</t>
        </is>
      </c>
      <c r="D35" s="389">
        <f>D34+D33*2</f>
        <v/>
      </c>
      <c r="M35" s="249" t="n">
        <v>34</v>
      </c>
      <c r="N35" s="249">
        <f>IF(MOD(M35-1,$B$4+$B$7)&lt;$B$4,"A","B")</f>
        <v/>
      </c>
      <c r="O35" s="269">
        <f>IF(N35="A",$E$3,$E$4)</f>
        <v/>
      </c>
      <c r="P35" s="270">
        <f>P34+O35</f>
        <v/>
      </c>
      <c r="Q35" s="270">
        <f>P35+(M35-1)*$B$8</f>
        <v/>
      </c>
      <c r="R35" s="249">
        <f>IF(AND(Q35&lt;=$B$9,N35="A"),1,0)</f>
        <v/>
      </c>
      <c r="S35" s="249">
        <f>IF(AND(Q35&lt;=$B$9,N35="B"),1,0)</f>
        <v/>
      </c>
      <c r="T35" s="249">
        <f>IF(Q35&lt;=$B$9,1,0)</f>
        <v/>
      </c>
    </row>
    <row r="36" ht="15" customHeight="1" s="129">
      <c r="A36" s="387" t="inlineStr">
        <is>
          <t>กำไร% (ฐานวัสดุ+ค่าแรงผลิต)</t>
        </is>
      </c>
      <c r="D36" s="390">
        <f>(D34-(D31+D32))/(D31+D32)</f>
        <v/>
      </c>
      <c r="M36" s="249" t="n">
        <v>35</v>
      </c>
      <c r="N36" s="249">
        <f>IF(MOD(M36-1,$B$4+$B$7)&lt;$B$4,"A","B")</f>
        <v/>
      </c>
      <c r="O36" s="269">
        <f>IF(N36="A",$E$3,$E$4)</f>
        <v/>
      </c>
      <c r="P36" s="270">
        <f>P35+O36</f>
        <v/>
      </c>
      <c r="Q36" s="270">
        <f>P36+(M36-1)*$B$8</f>
        <v/>
      </c>
      <c r="R36" s="249">
        <f>IF(AND(Q36&lt;=$B$9,N36="A"),1,0)</f>
        <v/>
      </c>
      <c r="S36" s="249">
        <f>IF(AND(Q36&lt;=$B$9,N36="B"),1,0)</f>
        <v/>
      </c>
      <c r="T36" s="249">
        <f>IF(Q36&lt;=$B$9,1,0)</f>
        <v/>
      </c>
    </row>
    <row r="37" ht="15" customHeight="1" s="129">
      <c r="M37" s="249" t="n">
        <v>36</v>
      </c>
      <c r="N37" s="249">
        <f>IF(MOD(M37-1,$B$4+$B$7)&lt;$B$4,"A","B")</f>
        <v/>
      </c>
      <c r="O37" s="269">
        <f>IF(N37="A",$E$3,$E$4)</f>
        <v/>
      </c>
      <c r="P37" s="270">
        <f>P36+O37</f>
        <v/>
      </c>
      <c r="Q37" s="270">
        <f>P37+(M37-1)*$B$8</f>
        <v/>
      </c>
      <c r="R37" s="249">
        <f>IF(AND(Q37&lt;=$B$9,N37="A"),1,0)</f>
        <v/>
      </c>
      <c r="S37" s="249">
        <f>IF(AND(Q37&lt;=$B$9,N37="B"),1,0)</f>
        <v/>
      </c>
      <c r="T37" s="249">
        <f>IF(Q37&lt;=$B$9,1,0)</f>
        <v/>
      </c>
    </row>
    <row r="38" ht="15" customHeight="1" s="129">
      <c r="M38" s="249" t="n">
        <v>37</v>
      </c>
      <c r="N38" s="249">
        <f>IF(MOD(M38-1,$B$4+$B$7)&lt;$B$4,"A","B")</f>
        <v/>
      </c>
      <c r="O38" s="269">
        <f>IF(N38="A",$E$3,$E$4)</f>
        <v/>
      </c>
      <c r="P38" s="270">
        <f>P37+O38</f>
        <v/>
      </c>
      <c r="Q38" s="270">
        <f>P38+(M38-1)*$B$8</f>
        <v/>
      </c>
      <c r="R38" s="249">
        <f>IF(AND(Q38&lt;=$B$9,N38="A"),1,0)</f>
        <v/>
      </c>
      <c r="S38" s="249">
        <f>IF(AND(Q38&lt;=$B$9,N38="B"),1,0)</f>
        <v/>
      </c>
      <c r="T38" s="249">
        <f>IF(Q38&lt;=$B$9,1,0)</f>
        <v/>
      </c>
    </row>
    <row r="39" ht="15" customHeight="1" s="129">
      <c r="M39" s="249" t="n">
        <v>38</v>
      </c>
      <c r="N39" s="249">
        <f>IF(MOD(M39-1,$B$4+$B$7)&lt;$B$4,"A","B")</f>
        <v/>
      </c>
      <c r="O39" s="269">
        <f>IF(N39="A",$E$3,$E$4)</f>
        <v/>
      </c>
      <c r="P39" s="270">
        <f>P38+O39</f>
        <v/>
      </c>
      <c r="Q39" s="270">
        <f>P39+(M39-1)*$B$8</f>
        <v/>
      </c>
      <c r="R39" s="249">
        <f>IF(AND(Q39&lt;=$B$9,N39="A"),1,0)</f>
        <v/>
      </c>
      <c r="S39" s="249">
        <f>IF(AND(Q39&lt;=$B$9,N39="B"),1,0)</f>
        <v/>
      </c>
      <c r="T39" s="249">
        <f>IF(Q39&lt;=$B$9,1,0)</f>
        <v/>
      </c>
    </row>
    <row r="40" ht="15" customHeight="1" s="129">
      <c r="M40" s="249" t="n">
        <v>39</v>
      </c>
      <c r="N40" s="249">
        <f>IF(MOD(M40-1,$B$4+$B$7)&lt;$B$4,"A","B")</f>
        <v/>
      </c>
      <c r="O40" s="269">
        <f>IF(N40="A",$E$3,$E$4)</f>
        <v/>
      </c>
      <c r="P40" s="270">
        <f>P39+O40</f>
        <v/>
      </c>
      <c r="Q40" s="270">
        <f>P40+(M40-1)*$B$8</f>
        <v/>
      </c>
      <c r="R40" s="249">
        <f>IF(AND(Q40&lt;=$B$9,N40="A"),1,0)</f>
        <v/>
      </c>
      <c r="S40" s="249">
        <f>IF(AND(Q40&lt;=$B$9,N40="B"),1,0)</f>
        <v/>
      </c>
      <c r="T40" s="249">
        <f>IF(Q40&lt;=$B$9,1,0)</f>
        <v/>
      </c>
    </row>
    <row r="41" ht="15" customHeight="1" s="129">
      <c r="M41" s="249" t="n">
        <v>40</v>
      </c>
      <c r="N41" s="249">
        <f>IF(MOD(M41-1,$B$4+$B$7)&lt;$B$4,"A","B")</f>
        <v/>
      </c>
      <c r="O41" s="269">
        <f>IF(N41="A",$E$3,$E$4)</f>
        <v/>
      </c>
      <c r="P41" s="270">
        <f>P40+O41</f>
        <v/>
      </c>
      <c r="Q41" s="270">
        <f>P41+(M41-1)*$B$8</f>
        <v/>
      </c>
      <c r="R41" s="249">
        <f>IF(AND(Q41&lt;=$B$9,N41="A"),1,0)</f>
        <v/>
      </c>
      <c r="S41" s="249">
        <f>IF(AND(Q41&lt;=$B$9,N41="B"),1,0)</f>
        <v/>
      </c>
      <c r="T41" s="249">
        <f>IF(Q41&lt;=$B$9,1,0)</f>
        <v/>
      </c>
    </row>
    <row r="42" ht="15" customHeight="1" s="129">
      <c r="M42" s="249" t="n">
        <v>41</v>
      </c>
      <c r="N42" s="249">
        <f>IF(MOD(M42-1,$B$4+$B$7)&lt;$B$4,"A","B")</f>
        <v/>
      </c>
      <c r="O42" s="269">
        <f>IF(N42="A",$E$3,$E$4)</f>
        <v/>
      </c>
      <c r="P42" s="270">
        <f>P41+O42</f>
        <v/>
      </c>
      <c r="Q42" s="270">
        <f>P42+(M42-1)*$B$8</f>
        <v/>
      </c>
      <c r="R42" s="249">
        <f>IF(AND(Q42&lt;=$B$9,N42="A"),1,0)</f>
        <v/>
      </c>
      <c r="S42" s="249">
        <f>IF(AND(Q42&lt;=$B$9,N42="B"),1,0)</f>
        <v/>
      </c>
      <c r="T42" s="249">
        <f>IF(Q42&lt;=$B$9,1,0)</f>
        <v/>
      </c>
    </row>
    <row r="43" ht="15" customHeight="1" s="129">
      <c r="M43" s="249" t="n">
        <v>42</v>
      </c>
      <c r="N43" s="249">
        <f>IF(MOD(M43-1,$B$4+$B$7)&lt;$B$4,"A","B")</f>
        <v/>
      </c>
      <c r="O43" s="269">
        <f>IF(N43="A",$E$3,$E$4)</f>
        <v/>
      </c>
      <c r="P43" s="270">
        <f>P42+O43</f>
        <v/>
      </c>
      <c r="Q43" s="270">
        <f>P43+(M43-1)*$B$8</f>
        <v/>
      </c>
      <c r="R43" s="249">
        <f>IF(AND(Q43&lt;=$B$9,N43="A"),1,0)</f>
        <v/>
      </c>
      <c r="S43" s="249">
        <f>IF(AND(Q43&lt;=$B$9,N43="B"),1,0)</f>
        <v/>
      </c>
      <c r="T43" s="249">
        <f>IF(Q43&lt;=$B$9,1,0)</f>
        <v/>
      </c>
    </row>
    <row r="44" ht="15" customHeight="1" s="129">
      <c r="M44" s="249" t="n">
        <v>43</v>
      </c>
      <c r="N44" s="249">
        <f>IF(MOD(M44-1,$B$4+$B$7)&lt;$B$4,"A","B")</f>
        <v/>
      </c>
      <c r="O44" s="269">
        <f>IF(N44="A",$E$3,$E$4)</f>
        <v/>
      </c>
      <c r="P44" s="270">
        <f>P43+O44</f>
        <v/>
      </c>
      <c r="Q44" s="270">
        <f>P44+(M44-1)*$B$8</f>
        <v/>
      </c>
      <c r="R44" s="249">
        <f>IF(AND(Q44&lt;=$B$9,N44="A"),1,0)</f>
        <v/>
      </c>
      <c r="S44" s="249">
        <f>IF(AND(Q44&lt;=$B$9,N44="B"),1,0)</f>
        <v/>
      </c>
      <c r="T44" s="249">
        <f>IF(Q44&lt;=$B$9,1,0)</f>
        <v/>
      </c>
    </row>
    <row r="45" ht="15" customHeight="1" s="129">
      <c r="M45" s="249" t="n">
        <v>44</v>
      </c>
      <c r="N45" s="249">
        <f>IF(MOD(M45-1,$B$4+$B$7)&lt;$B$4,"A","B")</f>
        <v/>
      </c>
      <c r="O45" s="269">
        <f>IF(N45="A",$E$3,$E$4)</f>
        <v/>
      </c>
      <c r="P45" s="270">
        <f>P44+O45</f>
        <v/>
      </c>
      <c r="Q45" s="270">
        <f>P45+(M45-1)*$B$8</f>
        <v/>
      </c>
      <c r="R45" s="249">
        <f>IF(AND(Q45&lt;=$B$9,N45="A"),1,0)</f>
        <v/>
      </c>
      <c r="S45" s="249">
        <f>IF(AND(Q45&lt;=$B$9,N45="B"),1,0)</f>
        <v/>
      </c>
      <c r="T45" s="249">
        <f>IF(Q45&lt;=$B$9,1,0)</f>
        <v/>
      </c>
    </row>
    <row r="46" ht="15" customHeight="1" s="129">
      <c r="M46" s="249" t="n">
        <v>45</v>
      </c>
      <c r="N46" s="249">
        <f>IF(MOD(M46-1,$B$4+$B$7)&lt;$B$4,"A","B")</f>
        <v/>
      </c>
      <c r="O46" s="269">
        <f>IF(N46="A",$E$3,$E$4)</f>
        <v/>
      </c>
      <c r="P46" s="270">
        <f>P45+O46</f>
        <v/>
      </c>
      <c r="Q46" s="270">
        <f>P46+(M46-1)*$B$8</f>
        <v/>
      </c>
      <c r="R46" s="249">
        <f>IF(AND(Q46&lt;=$B$9,N46="A"),1,0)</f>
        <v/>
      </c>
      <c r="S46" s="249">
        <f>IF(AND(Q46&lt;=$B$9,N46="B"),1,0)</f>
        <v/>
      </c>
      <c r="T46" s="249">
        <f>IF(Q46&lt;=$B$9,1,0)</f>
        <v/>
      </c>
    </row>
    <row r="47" ht="15" customHeight="1" s="129">
      <c r="M47" s="249" t="n">
        <v>46</v>
      </c>
      <c r="N47" s="249">
        <f>IF(MOD(M47-1,$B$4+$B$7)&lt;$B$4,"A","B")</f>
        <v/>
      </c>
      <c r="O47" s="269">
        <f>IF(N47="A",$E$3,$E$4)</f>
        <v/>
      </c>
      <c r="P47" s="270">
        <f>P46+O47</f>
        <v/>
      </c>
      <c r="Q47" s="270">
        <f>P47+(M47-1)*$B$8</f>
        <v/>
      </c>
      <c r="R47" s="249">
        <f>IF(AND(Q47&lt;=$B$9,N47="A"),1,0)</f>
        <v/>
      </c>
      <c r="S47" s="249">
        <f>IF(AND(Q47&lt;=$B$9,N47="B"),1,0)</f>
        <v/>
      </c>
      <c r="T47" s="249">
        <f>IF(Q47&lt;=$B$9,1,0)</f>
        <v/>
      </c>
    </row>
    <row r="48" ht="15" customHeight="1" s="129">
      <c r="M48" s="249" t="n">
        <v>47</v>
      </c>
      <c r="N48" s="249">
        <f>IF(MOD(M48-1,$B$4+$B$7)&lt;$B$4,"A","B")</f>
        <v/>
      </c>
      <c r="O48" s="269">
        <f>IF(N48="A",$E$3,$E$4)</f>
        <v/>
      </c>
      <c r="P48" s="270">
        <f>P47+O48</f>
        <v/>
      </c>
      <c r="Q48" s="270">
        <f>P48+(M48-1)*$B$8</f>
        <v/>
      </c>
      <c r="R48" s="249">
        <f>IF(AND(Q48&lt;=$B$9,N48="A"),1,0)</f>
        <v/>
      </c>
      <c r="S48" s="249">
        <f>IF(AND(Q48&lt;=$B$9,N48="B"),1,0)</f>
        <v/>
      </c>
      <c r="T48" s="249">
        <f>IF(Q48&lt;=$B$9,1,0)</f>
        <v/>
      </c>
    </row>
    <row r="49" ht="15" customHeight="1" s="129">
      <c r="M49" s="249" t="n">
        <v>48</v>
      </c>
      <c r="N49" s="249">
        <f>IF(MOD(M49-1,$B$4+$B$7)&lt;$B$4,"A","B")</f>
        <v/>
      </c>
      <c r="O49" s="269">
        <f>IF(N49="A",$E$3,$E$4)</f>
        <v/>
      </c>
      <c r="P49" s="270">
        <f>P48+O49</f>
        <v/>
      </c>
      <c r="Q49" s="270">
        <f>P49+(M49-1)*$B$8</f>
        <v/>
      </c>
      <c r="R49" s="249">
        <f>IF(AND(Q49&lt;=$B$9,N49="A"),1,0)</f>
        <v/>
      </c>
      <c r="S49" s="249">
        <f>IF(AND(Q49&lt;=$B$9,N49="B"),1,0)</f>
        <v/>
      </c>
      <c r="T49" s="249">
        <f>IF(Q49&lt;=$B$9,1,0)</f>
        <v/>
      </c>
    </row>
    <row r="50" ht="15" customHeight="1" s="129">
      <c r="M50" s="249" t="n">
        <v>49</v>
      </c>
      <c r="N50" s="249">
        <f>IF(MOD(M50-1,$B$4+$B$7)&lt;$B$4,"A","B")</f>
        <v/>
      </c>
      <c r="O50" s="269">
        <f>IF(N50="A",$E$3,$E$4)</f>
        <v/>
      </c>
      <c r="P50" s="270">
        <f>P49+O50</f>
        <v/>
      </c>
      <c r="Q50" s="270">
        <f>P50+(M50-1)*$B$8</f>
        <v/>
      </c>
      <c r="R50" s="249">
        <f>IF(AND(Q50&lt;=$B$9,N50="A"),1,0)</f>
        <v/>
      </c>
      <c r="S50" s="249">
        <f>IF(AND(Q50&lt;=$B$9,N50="B"),1,0)</f>
        <v/>
      </c>
      <c r="T50" s="249">
        <f>IF(Q50&lt;=$B$9,1,0)</f>
        <v/>
      </c>
    </row>
    <row r="51" ht="15" customHeight="1" s="129">
      <c r="M51" s="249" t="n">
        <v>50</v>
      </c>
      <c r="N51" s="249">
        <f>IF(MOD(M51-1,$B$4+$B$7)&lt;$B$4,"A","B")</f>
        <v/>
      </c>
      <c r="O51" s="269">
        <f>IF(N51="A",$E$3,$E$4)</f>
        <v/>
      </c>
      <c r="P51" s="270">
        <f>P50+O51</f>
        <v/>
      </c>
      <c r="Q51" s="270">
        <f>P51+(M51-1)*$B$8</f>
        <v/>
      </c>
      <c r="R51" s="249">
        <f>IF(AND(Q51&lt;=$B$9,N51="A"),1,0)</f>
        <v/>
      </c>
      <c r="S51" s="249">
        <f>IF(AND(Q51&lt;=$B$9,N51="B"),1,0)</f>
        <v/>
      </c>
      <c r="T51" s="249">
        <f>IF(Q51&lt;=$B$9,1,0)</f>
        <v/>
      </c>
    </row>
    <row r="52" ht="15" customHeight="1" s="129">
      <c r="M52" s="249" t="n">
        <v>51</v>
      </c>
      <c r="N52" s="249">
        <f>IF(MOD(M52-1,$B$4+$B$7)&lt;$B$4,"A","B")</f>
        <v/>
      </c>
      <c r="O52" s="269">
        <f>IF(N52="A",$E$3,$E$4)</f>
        <v/>
      </c>
      <c r="P52" s="270">
        <f>P51+O52</f>
        <v/>
      </c>
      <c r="Q52" s="270">
        <f>P52+(M52-1)*$B$8</f>
        <v/>
      </c>
      <c r="R52" s="249">
        <f>IF(AND(Q52&lt;=$B$9,N52="A"),1,0)</f>
        <v/>
      </c>
      <c r="S52" s="249">
        <f>IF(AND(Q52&lt;=$B$9,N52="B"),1,0)</f>
        <v/>
      </c>
      <c r="T52" s="249">
        <f>IF(Q52&lt;=$B$9,1,0)</f>
        <v/>
      </c>
    </row>
    <row r="53" ht="15" customHeight="1" s="129">
      <c r="M53" s="249" t="n">
        <v>52</v>
      </c>
      <c r="N53" s="249">
        <f>IF(MOD(M53-1,$B$4+$B$7)&lt;$B$4,"A","B")</f>
        <v/>
      </c>
      <c r="O53" s="269">
        <f>IF(N53="A",$E$3,$E$4)</f>
        <v/>
      </c>
      <c r="P53" s="270">
        <f>P52+O53</f>
        <v/>
      </c>
      <c r="Q53" s="270">
        <f>P53+(M53-1)*$B$8</f>
        <v/>
      </c>
      <c r="R53" s="249">
        <f>IF(AND(Q53&lt;=$B$9,N53="A"),1,0)</f>
        <v/>
      </c>
      <c r="S53" s="249">
        <f>IF(AND(Q53&lt;=$B$9,N53="B"),1,0)</f>
        <v/>
      </c>
      <c r="T53" s="249">
        <f>IF(Q53&lt;=$B$9,1,0)</f>
        <v/>
      </c>
    </row>
    <row r="54" ht="15" customHeight="1" s="129">
      <c r="M54" s="249" t="n">
        <v>53</v>
      </c>
      <c r="N54" s="249">
        <f>IF(MOD(M54-1,$B$4+$B$7)&lt;$B$4,"A","B")</f>
        <v/>
      </c>
      <c r="O54" s="269">
        <f>IF(N54="A",$E$3,$E$4)</f>
        <v/>
      </c>
      <c r="P54" s="270">
        <f>P53+O54</f>
        <v/>
      </c>
      <c r="Q54" s="270">
        <f>P54+(M54-1)*$B$8</f>
        <v/>
      </c>
      <c r="R54" s="249">
        <f>IF(AND(Q54&lt;=$B$9,N54="A"),1,0)</f>
        <v/>
      </c>
      <c r="S54" s="249">
        <f>IF(AND(Q54&lt;=$B$9,N54="B"),1,0)</f>
        <v/>
      </c>
      <c r="T54" s="249">
        <f>IF(Q54&lt;=$B$9,1,0)</f>
        <v/>
      </c>
    </row>
    <row r="55" ht="15" customHeight="1" s="129">
      <c r="M55" s="249" t="n">
        <v>54</v>
      </c>
      <c r="N55" s="249">
        <f>IF(MOD(M55-1,$B$4+$B$7)&lt;$B$4,"A","B")</f>
        <v/>
      </c>
      <c r="O55" s="269">
        <f>IF(N55="A",$E$3,$E$4)</f>
        <v/>
      </c>
      <c r="P55" s="270">
        <f>P54+O55</f>
        <v/>
      </c>
      <c r="Q55" s="270">
        <f>P55+(M55-1)*$B$8</f>
        <v/>
      </c>
      <c r="R55" s="249">
        <f>IF(AND(Q55&lt;=$B$9,N55="A"),1,0)</f>
        <v/>
      </c>
      <c r="S55" s="249">
        <f>IF(AND(Q55&lt;=$B$9,N55="B"),1,0)</f>
        <v/>
      </c>
      <c r="T55" s="249">
        <f>IF(Q55&lt;=$B$9,1,0)</f>
        <v/>
      </c>
    </row>
    <row r="56" ht="15" customHeight="1" s="129">
      <c r="M56" s="249" t="n">
        <v>55</v>
      </c>
      <c r="N56" s="249">
        <f>IF(MOD(M56-1,$B$4+$B$7)&lt;$B$4,"A","B")</f>
        <v/>
      </c>
      <c r="O56" s="269">
        <f>IF(N56="A",$E$3,$E$4)</f>
        <v/>
      </c>
      <c r="P56" s="270">
        <f>P55+O56</f>
        <v/>
      </c>
      <c r="Q56" s="270">
        <f>P56+(M56-1)*$B$8</f>
        <v/>
      </c>
      <c r="R56" s="249">
        <f>IF(AND(Q56&lt;=$B$9,N56="A"),1,0)</f>
        <v/>
      </c>
      <c r="S56" s="249">
        <f>IF(AND(Q56&lt;=$B$9,N56="B"),1,0)</f>
        <v/>
      </c>
      <c r="T56" s="249">
        <f>IF(Q56&lt;=$B$9,1,0)</f>
        <v/>
      </c>
    </row>
    <row r="57" ht="15" customHeight="1" s="129">
      <c r="M57" s="249" t="n">
        <v>56</v>
      </c>
      <c r="N57" s="249">
        <f>IF(MOD(M57-1,$B$4+$B$7)&lt;$B$4,"A","B")</f>
        <v/>
      </c>
      <c r="O57" s="269">
        <f>IF(N57="A",$E$3,$E$4)</f>
        <v/>
      </c>
      <c r="P57" s="270">
        <f>P56+O57</f>
        <v/>
      </c>
      <c r="Q57" s="270">
        <f>P57+(M57-1)*$B$8</f>
        <v/>
      </c>
      <c r="R57" s="249">
        <f>IF(AND(Q57&lt;=$B$9,N57="A"),1,0)</f>
        <v/>
      </c>
      <c r="S57" s="249">
        <f>IF(AND(Q57&lt;=$B$9,N57="B"),1,0)</f>
        <v/>
      </c>
      <c r="T57" s="249">
        <f>IF(Q57&lt;=$B$9,1,0)</f>
        <v/>
      </c>
    </row>
    <row r="58" ht="15" customHeight="1" s="129">
      <c r="M58" s="249" t="n">
        <v>57</v>
      </c>
      <c r="N58" s="249">
        <f>IF(MOD(M58-1,$B$4+$B$7)&lt;$B$4,"A","B")</f>
        <v/>
      </c>
      <c r="O58" s="269">
        <f>IF(N58="A",$E$3,$E$4)</f>
        <v/>
      </c>
      <c r="P58" s="270">
        <f>P57+O58</f>
        <v/>
      </c>
      <c r="Q58" s="270">
        <f>P58+(M58-1)*$B$8</f>
        <v/>
      </c>
      <c r="R58" s="249">
        <f>IF(AND(Q58&lt;=$B$9,N58="A"),1,0)</f>
        <v/>
      </c>
      <c r="S58" s="249">
        <f>IF(AND(Q58&lt;=$B$9,N58="B"),1,0)</f>
        <v/>
      </c>
      <c r="T58" s="249">
        <f>IF(Q58&lt;=$B$9,1,0)</f>
        <v/>
      </c>
    </row>
    <row r="59" ht="15" customHeight="1" s="129">
      <c r="M59" s="249" t="n">
        <v>58</v>
      </c>
      <c r="N59" s="249">
        <f>IF(MOD(M59-1,$B$4+$B$7)&lt;$B$4,"A","B")</f>
        <v/>
      </c>
      <c r="O59" s="269">
        <f>IF(N59="A",$E$3,$E$4)</f>
        <v/>
      </c>
      <c r="P59" s="270">
        <f>P58+O59</f>
        <v/>
      </c>
      <c r="Q59" s="270">
        <f>P59+(M59-1)*$B$8</f>
        <v/>
      </c>
      <c r="R59" s="249">
        <f>IF(AND(Q59&lt;=$B$9,N59="A"),1,0)</f>
        <v/>
      </c>
      <c r="S59" s="249">
        <f>IF(AND(Q59&lt;=$B$9,N59="B"),1,0)</f>
        <v/>
      </c>
      <c r="T59" s="249">
        <f>IF(Q59&lt;=$B$9,1,0)</f>
        <v/>
      </c>
    </row>
    <row r="60" ht="15" customHeight="1" s="129">
      <c r="M60" s="249" t="n">
        <v>59</v>
      </c>
      <c r="N60" s="249">
        <f>IF(MOD(M60-1,$B$4+$B$7)&lt;$B$4,"A","B")</f>
        <v/>
      </c>
      <c r="O60" s="269">
        <f>IF(N60="A",$E$3,$E$4)</f>
        <v/>
      </c>
      <c r="P60" s="270">
        <f>P59+O60</f>
        <v/>
      </c>
      <c r="Q60" s="270">
        <f>P60+(M60-1)*$B$8</f>
        <v/>
      </c>
      <c r="R60" s="249">
        <f>IF(AND(Q60&lt;=$B$9,N60="A"),1,0)</f>
        <v/>
      </c>
      <c r="S60" s="249">
        <f>IF(AND(Q60&lt;=$B$9,N60="B"),1,0)</f>
        <v/>
      </c>
      <c r="T60" s="249">
        <f>IF(Q60&lt;=$B$9,1,0)</f>
        <v/>
      </c>
    </row>
    <row r="61" ht="15" customHeight="1" s="129">
      <c r="M61" s="249" t="n">
        <v>60</v>
      </c>
      <c r="N61" s="249">
        <f>IF(MOD(M61-1,$B$4+$B$7)&lt;$B$4,"A","B")</f>
        <v/>
      </c>
      <c r="O61" s="269">
        <f>IF(N61="A",$E$3,$E$4)</f>
        <v/>
      </c>
      <c r="P61" s="270">
        <f>P60+O61</f>
        <v/>
      </c>
      <c r="Q61" s="270">
        <f>P61+(M61-1)*$B$8</f>
        <v/>
      </c>
      <c r="R61" s="249">
        <f>IF(AND(Q61&lt;=$B$9,N61="A"),1,0)</f>
        <v/>
      </c>
      <c r="S61" s="249">
        <f>IF(AND(Q61&lt;=$B$9,N61="B"),1,0)</f>
        <v/>
      </c>
      <c r="T61" s="249">
        <f>IF(Q61&lt;=$B$9,1,0)</f>
        <v/>
      </c>
    </row>
    <row r="62" ht="15" customHeight="1" s="129">
      <c r="M62" s="249" t="n">
        <v>61</v>
      </c>
      <c r="N62" s="249">
        <f>IF(MOD(M62-1,$B$4+$B$7)&lt;$B$4,"A","B")</f>
        <v/>
      </c>
      <c r="O62" s="269">
        <f>IF(N62="A",$E$3,$E$4)</f>
        <v/>
      </c>
      <c r="P62" s="270">
        <f>P61+O62</f>
        <v/>
      </c>
      <c r="Q62" s="270">
        <f>P62+(M62-1)*$B$8</f>
        <v/>
      </c>
      <c r="R62" s="249">
        <f>IF(AND(Q62&lt;=$B$9,N62="A"),1,0)</f>
        <v/>
      </c>
      <c r="S62" s="249">
        <f>IF(AND(Q62&lt;=$B$9,N62="B"),1,0)</f>
        <v/>
      </c>
      <c r="T62" s="249">
        <f>IF(Q62&lt;=$B$9,1,0)</f>
        <v/>
      </c>
    </row>
    <row r="63" ht="15" customHeight="1" s="129">
      <c r="M63" s="249" t="n">
        <v>62</v>
      </c>
      <c r="N63" s="249">
        <f>IF(MOD(M63-1,$B$4+$B$7)&lt;$B$4,"A","B")</f>
        <v/>
      </c>
      <c r="O63" s="269">
        <f>IF(N63="A",$E$3,$E$4)</f>
        <v/>
      </c>
      <c r="P63" s="270">
        <f>P62+O63</f>
        <v/>
      </c>
      <c r="Q63" s="270">
        <f>P63+(M63-1)*$B$8</f>
        <v/>
      </c>
      <c r="R63" s="249">
        <f>IF(AND(Q63&lt;=$B$9,N63="A"),1,0)</f>
        <v/>
      </c>
      <c r="S63" s="249">
        <f>IF(AND(Q63&lt;=$B$9,N63="B"),1,0)</f>
        <v/>
      </c>
      <c r="T63" s="249">
        <f>IF(Q63&lt;=$B$9,1,0)</f>
        <v/>
      </c>
    </row>
    <row r="64" ht="15" customHeight="1" s="129">
      <c r="M64" s="249" t="n">
        <v>63</v>
      </c>
      <c r="N64" s="249">
        <f>IF(MOD(M64-1,$B$4+$B$7)&lt;$B$4,"A","B")</f>
        <v/>
      </c>
      <c r="O64" s="269">
        <f>IF(N64="A",$E$3,$E$4)</f>
        <v/>
      </c>
      <c r="P64" s="270">
        <f>P63+O64</f>
        <v/>
      </c>
      <c r="Q64" s="270">
        <f>P64+(M64-1)*$B$8</f>
        <v/>
      </c>
      <c r="R64" s="249">
        <f>IF(AND(Q64&lt;=$B$9,N64="A"),1,0)</f>
        <v/>
      </c>
      <c r="S64" s="249">
        <f>IF(AND(Q64&lt;=$B$9,N64="B"),1,0)</f>
        <v/>
      </c>
      <c r="T64" s="249">
        <f>IF(Q64&lt;=$B$9,1,0)</f>
        <v/>
      </c>
    </row>
    <row r="65" ht="15" customHeight="1" s="129">
      <c r="M65" s="249" t="n">
        <v>64</v>
      </c>
      <c r="N65" s="249">
        <f>IF(MOD(M65-1,$B$4+$B$7)&lt;$B$4,"A","B")</f>
        <v/>
      </c>
      <c r="O65" s="269">
        <f>IF(N65="A",$E$3,$E$4)</f>
        <v/>
      </c>
      <c r="P65" s="270">
        <f>P64+O65</f>
        <v/>
      </c>
      <c r="Q65" s="270">
        <f>P65+(M65-1)*$B$8</f>
        <v/>
      </c>
      <c r="R65" s="249">
        <f>IF(AND(Q65&lt;=$B$9,N65="A"),1,0)</f>
        <v/>
      </c>
      <c r="S65" s="249">
        <f>IF(AND(Q65&lt;=$B$9,N65="B"),1,0)</f>
        <v/>
      </c>
      <c r="T65" s="249">
        <f>IF(Q65&lt;=$B$9,1,0)</f>
        <v/>
      </c>
    </row>
    <row r="66" ht="15" customHeight="1" s="129">
      <c r="M66" s="249" t="n">
        <v>65</v>
      </c>
      <c r="N66" s="249">
        <f>IF(MOD(M66-1,$B$4+$B$7)&lt;$B$4,"A","B")</f>
        <v/>
      </c>
      <c r="O66" s="269">
        <f>IF(N66="A",$E$3,$E$4)</f>
        <v/>
      </c>
      <c r="P66" s="270">
        <f>P65+O66</f>
        <v/>
      </c>
      <c r="Q66" s="270">
        <f>P66+(M66-1)*$B$8</f>
        <v/>
      </c>
      <c r="R66" s="249">
        <f>IF(AND(Q66&lt;=$B$9,N66="A"),1,0)</f>
        <v/>
      </c>
      <c r="S66" s="249">
        <f>IF(AND(Q66&lt;=$B$9,N66="B"),1,0)</f>
        <v/>
      </c>
      <c r="T66" s="249">
        <f>IF(Q66&lt;=$B$9,1,0)</f>
        <v/>
      </c>
    </row>
    <row r="67" ht="15" customHeight="1" s="129">
      <c r="M67" s="249" t="n">
        <v>66</v>
      </c>
      <c r="N67" s="249">
        <f>IF(MOD(M67-1,$B$4+$B$7)&lt;$B$4,"A","B")</f>
        <v/>
      </c>
      <c r="O67" s="269">
        <f>IF(N67="A",$E$3,$E$4)</f>
        <v/>
      </c>
      <c r="P67" s="270">
        <f>P66+O67</f>
        <v/>
      </c>
      <c r="Q67" s="270">
        <f>P67+(M67-1)*$B$8</f>
        <v/>
      </c>
      <c r="R67" s="249">
        <f>IF(AND(Q67&lt;=$B$9,N67="A"),1,0)</f>
        <v/>
      </c>
      <c r="S67" s="249">
        <f>IF(AND(Q67&lt;=$B$9,N67="B"),1,0)</f>
        <v/>
      </c>
      <c r="T67" s="249">
        <f>IF(Q67&lt;=$B$9,1,0)</f>
        <v/>
      </c>
    </row>
    <row r="68" ht="15" customHeight="1" s="129">
      <c r="M68" s="249" t="n">
        <v>67</v>
      </c>
      <c r="N68" s="249">
        <f>IF(MOD(M68-1,$B$4+$B$7)&lt;$B$4,"A","B")</f>
        <v/>
      </c>
      <c r="O68" s="269">
        <f>IF(N68="A",$E$3,$E$4)</f>
        <v/>
      </c>
      <c r="P68" s="270">
        <f>P67+O68</f>
        <v/>
      </c>
      <c r="Q68" s="270">
        <f>P68+(M68-1)*$B$8</f>
        <v/>
      </c>
      <c r="R68" s="249">
        <f>IF(AND(Q68&lt;=$B$9,N68="A"),1,0)</f>
        <v/>
      </c>
      <c r="S68" s="249">
        <f>IF(AND(Q68&lt;=$B$9,N68="B"),1,0)</f>
        <v/>
      </c>
      <c r="T68" s="249">
        <f>IF(Q68&lt;=$B$9,1,0)</f>
        <v/>
      </c>
    </row>
    <row r="69" ht="15" customHeight="1" s="129">
      <c r="M69" s="249" t="n">
        <v>68</v>
      </c>
      <c r="N69" s="249">
        <f>IF(MOD(M69-1,$B$4+$B$7)&lt;$B$4,"A","B")</f>
        <v/>
      </c>
      <c r="O69" s="269">
        <f>IF(N69="A",$E$3,$E$4)</f>
        <v/>
      </c>
      <c r="P69" s="270">
        <f>P68+O69</f>
        <v/>
      </c>
      <c r="Q69" s="270">
        <f>P69+(M69-1)*$B$8</f>
        <v/>
      </c>
      <c r="R69" s="249">
        <f>IF(AND(Q69&lt;=$B$9,N69="A"),1,0)</f>
        <v/>
      </c>
      <c r="S69" s="249">
        <f>IF(AND(Q69&lt;=$B$9,N69="B"),1,0)</f>
        <v/>
      </c>
      <c r="T69" s="249">
        <f>IF(Q69&lt;=$B$9,1,0)</f>
        <v/>
      </c>
    </row>
    <row r="70" ht="15" customHeight="1" s="129">
      <c r="M70" s="249" t="n">
        <v>69</v>
      </c>
      <c r="N70" s="249">
        <f>IF(MOD(M70-1,$B$4+$B$7)&lt;$B$4,"A","B")</f>
        <v/>
      </c>
      <c r="O70" s="269">
        <f>IF(N70="A",$E$3,$E$4)</f>
        <v/>
      </c>
      <c r="P70" s="270">
        <f>P69+O70</f>
        <v/>
      </c>
      <c r="Q70" s="270">
        <f>P70+(M70-1)*$B$8</f>
        <v/>
      </c>
      <c r="R70" s="249">
        <f>IF(AND(Q70&lt;=$B$9,N70="A"),1,0)</f>
        <v/>
      </c>
      <c r="S70" s="249">
        <f>IF(AND(Q70&lt;=$B$9,N70="B"),1,0)</f>
        <v/>
      </c>
      <c r="T70" s="249">
        <f>IF(Q70&lt;=$B$9,1,0)</f>
        <v/>
      </c>
    </row>
    <row r="71" ht="15" customHeight="1" s="129">
      <c r="M71" s="249" t="n">
        <v>70</v>
      </c>
      <c r="N71" s="249">
        <f>IF(MOD(M71-1,$B$4+$B$7)&lt;$B$4,"A","B")</f>
        <v/>
      </c>
      <c r="O71" s="269">
        <f>IF(N71="A",$E$3,$E$4)</f>
        <v/>
      </c>
      <c r="P71" s="270">
        <f>P70+O71</f>
        <v/>
      </c>
      <c r="Q71" s="270">
        <f>P71+(M71-1)*$B$8</f>
        <v/>
      </c>
      <c r="R71" s="249">
        <f>IF(AND(Q71&lt;=$B$9,N71="A"),1,0)</f>
        <v/>
      </c>
      <c r="S71" s="249">
        <f>IF(AND(Q71&lt;=$B$9,N71="B"),1,0)</f>
        <v/>
      </c>
      <c r="T71" s="249">
        <f>IF(Q71&lt;=$B$9,1,0)</f>
        <v/>
      </c>
    </row>
    <row r="72" ht="15" customHeight="1" s="129">
      <c r="M72" s="249" t="n">
        <v>71</v>
      </c>
      <c r="N72" s="249">
        <f>IF(MOD(M72-1,$B$4+$B$7)&lt;$B$4,"A","B")</f>
        <v/>
      </c>
      <c r="O72" s="269">
        <f>IF(N72="A",$E$3,$E$4)</f>
        <v/>
      </c>
      <c r="P72" s="270">
        <f>P71+O72</f>
        <v/>
      </c>
      <c r="Q72" s="270">
        <f>P72+(M72-1)*$B$8</f>
        <v/>
      </c>
      <c r="R72" s="249">
        <f>IF(AND(Q72&lt;=$B$9,N72="A"),1,0)</f>
        <v/>
      </c>
      <c r="S72" s="249">
        <f>IF(AND(Q72&lt;=$B$9,N72="B"),1,0)</f>
        <v/>
      </c>
      <c r="T72" s="249">
        <f>IF(Q72&lt;=$B$9,1,0)</f>
        <v/>
      </c>
    </row>
    <row r="73" ht="15" customHeight="1" s="129">
      <c r="M73" s="249" t="n">
        <v>72</v>
      </c>
      <c r="N73" s="249">
        <f>IF(MOD(M73-1,$B$4+$B$7)&lt;$B$4,"A","B")</f>
        <v/>
      </c>
      <c r="O73" s="269">
        <f>IF(N73="A",$E$3,$E$4)</f>
        <v/>
      </c>
      <c r="P73" s="270">
        <f>P72+O73</f>
        <v/>
      </c>
      <c r="Q73" s="270">
        <f>P73+(M73-1)*$B$8</f>
        <v/>
      </c>
      <c r="R73" s="249">
        <f>IF(AND(Q73&lt;=$B$9,N73="A"),1,0)</f>
        <v/>
      </c>
      <c r="S73" s="249">
        <f>IF(AND(Q73&lt;=$B$9,N73="B"),1,0)</f>
        <v/>
      </c>
      <c r="T73" s="249">
        <f>IF(Q73&lt;=$B$9,1,0)</f>
        <v/>
      </c>
    </row>
    <row r="74" ht="15" customHeight="1" s="129">
      <c r="M74" s="249" t="n">
        <v>73</v>
      </c>
      <c r="N74" s="249">
        <f>IF(MOD(M74-1,$B$4+$B$7)&lt;$B$4,"A","B")</f>
        <v/>
      </c>
      <c r="O74" s="269">
        <f>IF(N74="A",$E$3,$E$4)</f>
        <v/>
      </c>
      <c r="P74" s="270">
        <f>P73+O74</f>
        <v/>
      </c>
      <c r="Q74" s="270">
        <f>P74+(M74-1)*$B$8</f>
        <v/>
      </c>
      <c r="R74" s="249">
        <f>IF(AND(Q74&lt;=$B$9,N74="A"),1,0)</f>
        <v/>
      </c>
      <c r="S74" s="249">
        <f>IF(AND(Q74&lt;=$B$9,N74="B"),1,0)</f>
        <v/>
      </c>
      <c r="T74" s="249">
        <f>IF(Q74&lt;=$B$9,1,0)</f>
        <v/>
      </c>
    </row>
    <row r="75" ht="15" customHeight="1" s="129">
      <c r="M75" s="249" t="n">
        <v>74</v>
      </c>
      <c r="N75" s="249">
        <f>IF(MOD(M75-1,$B$4+$B$7)&lt;$B$4,"A","B")</f>
        <v/>
      </c>
      <c r="O75" s="269">
        <f>IF(N75="A",$E$3,$E$4)</f>
        <v/>
      </c>
      <c r="P75" s="270">
        <f>P74+O75</f>
        <v/>
      </c>
      <c r="Q75" s="270">
        <f>P75+(M75-1)*$B$8</f>
        <v/>
      </c>
      <c r="R75" s="249">
        <f>IF(AND(Q75&lt;=$B$9,N75="A"),1,0)</f>
        <v/>
      </c>
      <c r="S75" s="249">
        <f>IF(AND(Q75&lt;=$B$9,N75="B"),1,0)</f>
        <v/>
      </c>
      <c r="T75" s="249">
        <f>IF(Q75&lt;=$B$9,1,0)</f>
        <v/>
      </c>
    </row>
    <row r="76" ht="15" customHeight="1" s="129">
      <c r="M76" s="249" t="n">
        <v>75</v>
      </c>
      <c r="N76" s="249">
        <f>IF(MOD(M76-1,$B$4+$B$7)&lt;$B$4,"A","B")</f>
        <v/>
      </c>
      <c r="O76" s="269">
        <f>IF(N76="A",$E$3,$E$4)</f>
        <v/>
      </c>
      <c r="P76" s="270">
        <f>P75+O76</f>
        <v/>
      </c>
      <c r="Q76" s="270">
        <f>P76+(M76-1)*$B$8</f>
        <v/>
      </c>
      <c r="R76" s="249">
        <f>IF(AND(Q76&lt;=$B$9,N76="A"),1,0)</f>
        <v/>
      </c>
      <c r="S76" s="249">
        <f>IF(AND(Q76&lt;=$B$9,N76="B"),1,0)</f>
        <v/>
      </c>
      <c r="T76" s="249">
        <f>IF(Q76&lt;=$B$9,1,0)</f>
        <v/>
      </c>
    </row>
    <row r="77" ht="15" customHeight="1" s="129">
      <c r="M77" s="249" t="n">
        <v>76</v>
      </c>
      <c r="N77" s="249">
        <f>IF(MOD(M77-1,$B$4+$B$7)&lt;$B$4,"A","B")</f>
        <v/>
      </c>
      <c r="O77" s="269">
        <f>IF(N77="A",$E$3,$E$4)</f>
        <v/>
      </c>
      <c r="P77" s="270">
        <f>P76+O77</f>
        <v/>
      </c>
      <c r="Q77" s="270">
        <f>P77+(M77-1)*$B$8</f>
        <v/>
      </c>
      <c r="R77" s="249">
        <f>IF(AND(Q77&lt;=$B$9,N77="A"),1,0)</f>
        <v/>
      </c>
      <c r="S77" s="249">
        <f>IF(AND(Q77&lt;=$B$9,N77="B"),1,0)</f>
        <v/>
      </c>
      <c r="T77" s="249">
        <f>IF(Q77&lt;=$B$9,1,0)</f>
        <v/>
      </c>
    </row>
    <row r="78" ht="15" customHeight="1" s="129">
      <c r="M78" s="249" t="n">
        <v>77</v>
      </c>
      <c r="N78" s="249">
        <f>IF(MOD(M78-1,$B$4+$B$7)&lt;$B$4,"A","B")</f>
        <v/>
      </c>
      <c r="O78" s="269">
        <f>IF(N78="A",$E$3,$E$4)</f>
        <v/>
      </c>
      <c r="P78" s="270">
        <f>P77+O78</f>
        <v/>
      </c>
      <c r="Q78" s="270">
        <f>P78+(M78-1)*$B$8</f>
        <v/>
      </c>
      <c r="R78" s="249">
        <f>IF(AND(Q78&lt;=$B$9,N78="A"),1,0)</f>
        <v/>
      </c>
      <c r="S78" s="249">
        <f>IF(AND(Q78&lt;=$B$9,N78="B"),1,0)</f>
        <v/>
      </c>
      <c r="T78" s="249">
        <f>IF(Q78&lt;=$B$9,1,0)</f>
        <v/>
      </c>
    </row>
    <row r="79" ht="15" customHeight="1" s="129">
      <c r="M79" s="249" t="n">
        <v>78</v>
      </c>
      <c r="N79" s="249">
        <f>IF(MOD(M79-1,$B$4+$B$7)&lt;$B$4,"A","B")</f>
        <v/>
      </c>
      <c r="O79" s="269">
        <f>IF(N79="A",$E$3,$E$4)</f>
        <v/>
      </c>
      <c r="P79" s="270">
        <f>P78+O79</f>
        <v/>
      </c>
      <c r="Q79" s="270">
        <f>P79+(M79-1)*$B$8</f>
        <v/>
      </c>
      <c r="R79" s="249">
        <f>IF(AND(Q79&lt;=$B$9,N79="A"),1,0)</f>
        <v/>
      </c>
      <c r="S79" s="249">
        <f>IF(AND(Q79&lt;=$B$9,N79="B"),1,0)</f>
        <v/>
      </c>
      <c r="T79" s="249">
        <f>IF(Q79&lt;=$B$9,1,0)</f>
        <v/>
      </c>
    </row>
    <row r="80" ht="15" customHeight="1" s="129">
      <c r="M80" s="249" t="n">
        <v>79</v>
      </c>
      <c r="N80" s="249">
        <f>IF(MOD(M80-1,$B$4+$B$7)&lt;$B$4,"A","B")</f>
        <v/>
      </c>
      <c r="O80" s="269">
        <f>IF(N80="A",$E$3,$E$4)</f>
        <v/>
      </c>
      <c r="P80" s="270">
        <f>P79+O80</f>
        <v/>
      </c>
      <c r="Q80" s="270">
        <f>P80+(M80-1)*$B$8</f>
        <v/>
      </c>
      <c r="R80" s="249">
        <f>IF(AND(Q80&lt;=$B$9,N80="A"),1,0)</f>
        <v/>
      </c>
      <c r="S80" s="249">
        <f>IF(AND(Q80&lt;=$B$9,N80="B"),1,0)</f>
        <v/>
      </c>
      <c r="T80" s="249">
        <f>IF(Q80&lt;=$B$9,1,0)</f>
        <v/>
      </c>
    </row>
    <row r="81" ht="15" customHeight="1" s="129">
      <c r="M81" s="249" t="n">
        <v>80</v>
      </c>
      <c r="N81" s="249">
        <f>IF(MOD(M81-1,$B$4+$B$7)&lt;$B$4,"A","B")</f>
        <v/>
      </c>
      <c r="O81" s="269">
        <f>IF(N81="A",$E$3,$E$4)</f>
        <v/>
      </c>
      <c r="P81" s="270">
        <f>P80+O81</f>
        <v/>
      </c>
      <c r="Q81" s="270">
        <f>P81+(M81-1)*$B$8</f>
        <v/>
      </c>
      <c r="R81" s="249">
        <f>IF(AND(Q81&lt;=$B$9,N81="A"),1,0)</f>
        <v/>
      </c>
      <c r="S81" s="249">
        <f>IF(AND(Q81&lt;=$B$9,N81="B"),1,0)</f>
        <v/>
      </c>
      <c r="T81" s="249">
        <f>IF(Q81&lt;=$B$9,1,0)</f>
        <v/>
      </c>
    </row>
    <row r="82" ht="15" customHeight="1" s="129">
      <c r="M82" s="249" t="n">
        <v>81</v>
      </c>
      <c r="N82" s="249">
        <f>IF(MOD(M82-1,$B$4+$B$7)&lt;$B$4,"A","B")</f>
        <v/>
      </c>
      <c r="O82" s="269">
        <f>IF(N82="A",$E$3,$E$4)</f>
        <v/>
      </c>
      <c r="P82" s="270">
        <f>P81+O82</f>
        <v/>
      </c>
      <c r="Q82" s="270">
        <f>P82+(M82-1)*$B$8</f>
        <v/>
      </c>
      <c r="R82" s="249">
        <f>IF(AND(Q82&lt;=$B$9,N82="A"),1,0)</f>
        <v/>
      </c>
      <c r="S82" s="249">
        <f>IF(AND(Q82&lt;=$B$9,N82="B"),1,0)</f>
        <v/>
      </c>
      <c r="T82" s="249">
        <f>IF(Q82&lt;=$B$9,1,0)</f>
        <v/>
      </c>
    </row>
    <row r="83" ht="15" customHeight="1" s="129">
      <c r="M83" s="249" t="n">
        <v>82</v>
      </c>
      <c r="N83" s="249">
        <f>IF(MOD(M83-1,$B$4+$B$7)&lt;$B$4,"A","B")</f>
        <v/>
      </c>
      <c r="O83" s="269">
        <f>IF(N83="A",$E$3,$E$4)</f>
        <v/>
      </c>
      <c r="P83" s="270">
        <f>P82+O83</f>
        <v/>
      </c>
      <c r="Q83" s="270">
        <f>P83+(M83-1)*$B$8</f>
        <v/>
      </c>
      <c r="R83" s="249">
        <f>IF(AND(Q83&lt;=$B$9,N83="A"),1,0)</f>
        <v/>
      </c>
      <c r="S83" s="249">
        <f>IF(AND(Q83&lt;=$B$9,N83="B"),1,0)</f>
        <v/>
      </c>
      <c r="T83" s="249">
        <f>IF(Q83&lt;=$B$9,1,0)</f>
        <v/>
      </c>
    </row>
    <row r="84" ht="15" customHeight="1" s="129">
      <c r="M84" s="249" t="n">
        <v>83</v>
      </c>
      <c r="N84" s="249">
        <f>IF(MOD(M84-1,$B$4+$B$7)&lt;$B$4,"A","B")</f>
        <v/>
      </c>
      <c r="O84" s="269">
        <f>IF(N84="A",$E$3,$E$4)</f>
        <v/>
      </c>
      <c r="P84" s="270">
        <f>P83+O84</f>
        <v/>
      </c>
      <c r="Q84" s="270">
        <f>P84+(M84-1)*$B$8</f>
        <v/>
      </c>
      <c r="R84" s="249">
        <f>IF(AND(Q84&lt;=$B$9,N84="A"),1,0)</f>
        <v/>
      </c>
      <c r="S84" s="249">
        <f>IF(AND(Q84&lt;=$B$9,N84="B"),1,0)</f>
        <v/>
      </c>
      <c r="T84" s="249">
        <f>IF(Q84&lt;=$B$9,1,0)</f>
        <v/>
      </c>
    </row>
    <row r="85" ht="15" customHeight="1" s="129">
      <c r="M85" s="249" t="n">
        <v>84</v>
      </c>
      <c r="N85" s="249">
        <f>IF(MOD(M85-1,$B$4+$B$7)&lt;$B$4,"A","B")</f>
        <v/>
      </c>
      <c r="O85" s="269">
        <f>IF(N85="A",$E$3,$E$4)</f>
        <v/>
      </c>
      <c r="P85" s="270">
        <f>P84+O85</f>
        <v/>
      </c>
      <c r="Q85" s="270">
        <f>P85+(M85-1)*$B$8</f>
        <v/>
      </c>
      <c r="R85" s="249">
        <f>IF(AND(Q85&lt;=$B$9,N85="A"),1,0)</f>
        <v/>
      </c>
      <c r="S85" s="249">
        <f>IF(AND(Q85&lt;=$B$9,N85="B"),1,0)</f>
        <v/>
      </c>
      <c r="T85" s="249">
        <f>IF(Q85&lt;=$B$9,1,0)</f>
        <v/>
      </c>
    </row>
    <row r="86" ht="15" customHeight="1" s="129">
      <c r="M86" s="249" t="n">
        <v>85</v>
      </c>
      <c r="N86" s="249">
        <f>IF(MOD(M86-1,$B$4+$B$7)&lt;$B$4,"A","B")</f>
        <v/>
      </c>
      <c r="O86" s="269">
        <f>IF(N86="A",$E$3,$E$4)</f>
        <v/>
      </c>
      <c r="P86" s="270">
        <f>P85+O86</f>
        <v/>
      </c>
      <c r="Q86" s="270">
        <f>P86+(M86-1)*$B$8</f>
        <v/>
      </c>
      <c r="R86" s="249">
        <f>IF(AND(Q86&lt;=$B$9,N86="A"),1,0)</f>
        <v/>
      </c>
      <c r="S86" s="249">
        <f>IF(AND(Q86&lt;=$B$9,N86="B"),1,0)</f>
        <v/>
      </c>
      <c r="T86" s="249">
        <f>IF(Q86&lt;=$B$9,1,0)</f>
        <v/>
      </c>
    </row>
    <row r="87" ht="15" customHeight="1" s="129">
      <c r="M87" s="249" t="n">
        <v>86</v>
      </c>
      <c r="N87" s="249">
        <f>IF(MOD(M87-1,$B$4+$B$7)&lt;$B$4,"A","B")</f>
        <v/>
      </c>
      <c r="O87" s="269">
        <f>IF(N87="A",$E$3,$E$4)</f>
        <v/>
      </c>
      <c r="P87" s="270">
        <f>P86+O87</f>
        <v/>
      </c>
      <c r="Q87" s="270">
        <f>P87+(M87-1)*$B$8</f>
        <v/>
      </c>
      <c r="R87" s="249">
        <f>IF(AND(Q87&lt;=$B$9,N87="A"),1,0)</f>
        <v/>
      </c>
      <c r="S87" s="249">
        <f>IF(AND(Q87&lt;=$B$9,N87="B"),1,0)</f>
        <v/>
      </c>
      <c r="T87" s="249">
        <f>IF(Q87&lt;=$B$9,1,0)</f>
        <v/>
      </c>
    </row>
    <row r="88" ht="15" customHeight="1" s="129">
      <c r="M88" s="249" t="n">
        <v>87</v>
      </c>
      <c r="N88" s="249">
        <f>IF(MOD(M88-1,$B$4+$B$7)&lt;$B$4,"A","B")</f>
        <v/>
      </c>
      <c r="O88" s="269">
        <f>IF(N88="A",$E$3,$E$4)</f>
        <v/>
      </c>
      <c r="P88" s="270">
        <f>P87+O88</f>
        <v/>
      </c>
      <c r="Q88" s="270">
        <f>P88+(M88-1)*$B$8</f>
        <v/>
      </c>
      <c r="R88" s="249">
        <f>IF(AND(Q88&lt;=$B$9,N88="A"),1,0)</f>
        <v/>
      </c>
      <c r="S88" s="249">
        <f>IF(AND(Q88&lt;=$B$9,N88="B"),1,0)</f>
        <v/>
      </c>
      <c r="T88" s="249">
        <f>IF(Q88&lt;=$B$9,1,0)</f>
        <v/>
      </c>
    </row>
    <row r="89" ht="15" customHeight="1" s="129">
      <c r="M89" s="249" t="n">
        <v>88</v>
      </c>
      <c r="N89" s="249">
        <f>IF(MOD(M89-1,$B$4+$B$7)&lt;$B$4,"A","B")</f>
        <v/>
      </c>
      <c r="O89" s="269">
        <f>IF(N89="A",$E$3,$E$4)</f>
        <v/>
      </c>
      <c r="P89" s="270">
        <f>P88+O89</f>
        <v/>
      </c>
      <c r="Q89" s="270">
        <f>P89+(M89-1)*$B$8</f>
        <v/>
      </c>
      <c r="R89" s="249">
        <f>IF(AND(Q89&lt;=$B$9,N89="A"),1,0)</f>
        <v/>
      </c>
      <c r="S89" s="249">
        <f>IF(AND(Q89&lt;=$B$9,N89="B"),1,0)</f>
        <v/>
      </c>
      <c r="T89" s="249">
        <f>IF(Q89&lt;=$B$9,1,0)</f>
        <v/>
      </c>
    </row>
    <row r="90" ht="15" customHeight="1" s="129">
      <c r="M90" s="249" t="n">
        <v>89</v>
      </c>
      <c r="N90" s="249">
        <f>IF(MOD(M90-1,$B$4+$B$7)&lt;$B$4,"A","B")</f>
        <v/>
      </c>
      <c r="O90" s="269">
        <f>IF(N90="A",$E$3,$E$4)</f>
        <v/>
      </c>
      <c r="P90" s="270">
        <f>P89+O90</f>
        <v/>
      </c>
      <c r="Q90" s="270">
        <f>P90+(M90-1)*$B$8</f>
        <v/>
      </c>
      <c r="R90" s="249">
        <f>IF(AND(Q90&lt;=$B$9,N90="A"),1,0)</f>
        <v/>
      </c>
      <c r="S90" s="249">
        <f>IF(AND(Q90&lt;=$B$9,N90="B"),1,0)</f>
        <v/>
      </c>
      <c r="T90" s="249">
        <f>IF(Q90&lt;=$B$9,1,0)</f>
        <v/>
      </c>
    </row>
    <row r="91" ht="15" customHeight="1" s="129">
      <c r="M91" s="249" t="n">
        <v>90</v>
      </c>
      <c r="N91" s="249">
        <f>IF(MOD(M91-1,$B$4+$B$7)&lt;$B$4,"A","B")</f>
        <v/>
      </c>
      <c r="O91" s="269">
        <f>IF(N91="A",$E$3,$E$4)</f>
        <v/>
      </c>
      <c r="P91" s="270">
        <f>P90+O91</f>
        <v/>
      </c>
      <c r="Q91" s="270">
        <f>P91+(M91-1)*$B$8</f>
        <v/>
      </c>
      <c r="R91" s="249">
        <f>IF(AND(Q91&lt;=$B$9,N91="A"),1,0)</f>
        <v/>
      </c>
      <c r="S91" s="249">
        <f>IF(AND(Q91&lt;=$B$9,N91="B"),1,0)</f>
        <v/>
      </c>
      <c r="T91" s="249">
        <f>IF(Q91&lt;=$B$9,1,0)</f>
        <v/>
      </c>
    </row>
    <row r="92" ht="15" customHeight="1" s="129">
      <c r="M92" s="249" t="n">
        <v>91</v>
      </c>
      <c r="N92" s="249">
        <f>IF(MOD(M92-1,$B$4+$B$7)&lt;$B$4,"A","B")</f>
        <v/>
      </c>
      <c r="O92" s="269">
        <f>IF(N92="A",$E$3,$E$4)</f>
        <v/>
      </c>
      <c r="P92" s="270">
        <f>P91+O92</f>
        <v/>
      </c>
      <c r="Q92" s="270">
        <f>P92+(M92-1)*$B$8</f>
        <v/>
      </c>
      <c r="R92" s="249">
        <f>IF(AND(Q92&lt;=$B$9,N92="A"),1,0)</f>
        <v/>
      </c>
      <c r="S92" s="249">
        <f>IF(AND(Q92&lt;=$B$9,N92="B"),1,0)</f>
        <v/>
      </c>
      <c r="T92" s="249">
        <f>IF(Q92&lt;=$B$9,1,0)</f>
        <v/>
      </c>
    </row>
    <row r="93" ht="15" customHeight="1" s="129">
      <c r="M93" s="249" t="n">
        <v>92</v>
      </c>
      <c r="N93" s="249">
        <f>IF(MOD(M93-1,$B$4+$B$7)&lt;$B$4,"A","B")</f>
        <v/>
      </c>
      <c r="O93" s="269">
        <f>IF(N93="A",$E$3,$E$4)</f>
        <v/>
      </c>
      <c r="P93" s="270">
        <f>P92+O93</f>
        <v/>
      </c>
      <c r="Q93" s="270">
        <f>P93+(M93-1)*$B$8</f>
        <v/>
      </c>
      <c r="R93" s="249">
        <f>IF(AND(Q93&lt;=$B$9,N93="A"),1,0)</f>
        <v/>
      </c>
      <c r="S93" s="249">
        <f>IF(AND(Q93&lt;=$B$9,N93="B"),1,0)</f>
        <v/>
      </c>
      <c r="T93" s="249">
        <f>IF(Q93&lt;=$B$9,1,0)</f>
        <v/>
      </c>
    </row>
    <row r="94" ht="15" customHeight="1" s="129">
      <c r="M94" s="249" t="n">
        <v>93</v>
      </c>
      <c r="N94" s="249">
        <f>IF(MOD(M94-1,$B$4+$B$7)&lt;$B$4,"A","B")</f>
        <v/>
      </c>
      <c r="O94" s="269">
        <f>IF(N94="A",$E$3,$E$4)</f>
        <v/>
      </c>
      <c r="P94" s="270">
        <f>P93+O94</f>
        <v/>
      </c>
      <c r="Q94" s="270">
        <f>P94+(M94-1)*$B$8</f>
        <v/>
      </c>
      <c r="R94" s="249">
        <f>IF(AND(Q94&lt;=$B$9,N94="A"),1,0)</f>
        <v/>
      </c>
      <c r="S94" s="249">
        <f>IF(AND(Q94&lt;=$B$9,N94="B"),1,0)</f>
        <v/>
      </c>
      <c r="T94" s="249">
        <f>IF(Q94&lt;=$B$9,1,0)</f>
        <v/>
      </c>
    </row>
    <row r="95" ht="15" customHeight="1" s="129">
      <c r="M95" s="249" t="n">
        <v>94</v>
      </c>
      <c r="N95" s="249">
        <f>IF(MOD(M95-1,$B$4+$B$7)&lt;$B$4,"A","B")</f>
        <v/>
      </c>
      <c r="O95" s="269">
        <f>IF(N95="A",$E$3,$E$4)</f>
        <v/>
      </c>
      <c r="P95" s="270">
        <f>P94+O95</f>
        <v/>
      </c>
      <c r="Q95" s="270">
        <f>P95+(M95-1)*$B$8</f>
        <v/>
      </c>
      <c r="R95" s="249">
        <f>IF(AND(Q95&lt;=$B$9,N95="A"),1,0)</f>
        <v/>
      </c>
      <c r="S95" s="249">
        <f>IF(AND(Q95&lt;=$B$9,N95="B"),1,0)</f>
        <v/>
      </c>
      <c r="T95" s="249">
        <f>IF(Q95&lt;=$B$9,1,0)</f>
        <v/>
      </c>
    </row>
    <row r="96" ht="15" customHeight="1" s="129">
      <c r="M96" s="249" t="n">
        <v>95</v>
      </c>
      <c r="N96" s="249">
        <f>IF(MOD(M96-1,$B$4+$B$7)&lt;$B$4,"A","B")</f>
        <v/>
      </c>
      <c r="O96" s="269">
        <f>IF(N96="A",$E$3,$E$4)</f>
        <v/>
      </c>
      <c r="P96" s="270">
        <f>P95+O96</f>
        <v/>
      </c>
      <c r="Q96" s="270">
        <f>P96+(M96-1)*$B$8</f>
        <v/>
      </c>
      <c r="R96" s="249">
        <f>IF(AND(Q96&lt;=$B$9,N96="A"),1,0)</f>
        <v/>
      </c>
      <c r="S96" s="249">
        <f>IF(AND(Q96&lt;=$B$9,N96="B"),1,0)</f>
        <v/>
      </c>
      <c r="T96" s="249">
        <f>IF(Q96&lt;=$B$9,1,0)</f>
        <v/>
      </c>
    </row>
    <row r="97" ht="15" customHeight="1" s="129">
      <c r="M97" s="249" t="n">
        <v>96</v>
      </c>
      <c r="N97" s="249">
        <f>IF(MOD(M97-1,$B$4+$B$7)&lt;$B$4,"A","B")</f>
        <v/>
      </c>
      <c r="O97" s="269">
        <f>IF(N97="A",$E$3,$E$4)</f>
        <v/>
      </c>
      <c r="P97" s="270">
        <f>P96+O97</f>
        <v/>
      </c>
      <c r="Q97" s="270">
        <f>P97+(M97-1)*$B$8</f>
        <v/>
      </c>
      <c r="R97" s="249">
        <f>IF(AND(Q97&lt;=$B$9,N97="A"),1,0)</f>
        <v/>
      </c>
      <c r="S97" s="249">
        <f>IF(AND(Q97&lt;=$B$9,N97="B"),1,0)</f>
        <v/>
      </c>
      <c r="T97" s="249">
        <f>IF(Q97&lt;=$B$9,1,0)</f>
        <v/>
      </c>
    </row>
    <row r="98" ht="15" customHeight="1" s="129">
      <c r="M98" s="249" t="n">
        <v>97</v>
      </c>
      <c r="N98" s="249">
        <f>IF(MOD(M98-1,$B$4+$B$7)&lt;$B$4,"A","B")</f>
        <v/>
      </c>
      <c r="O98" s="269">
        <f>IF(N98="A",$E$3,$E$4)</f>
        <v/>
      </c>
      <c r="P98" s="270">
        <f>P97+O98</f>
        <v/>
      </c>
      <c r="Q98" s="270">
        <f>P98+(M98-1)*$B$8</f>
        <v/>
      </c>
      <c r="R98" s="249">
        <f>IF(AND(Q98&lt;=$B$9,N98="A"),1,0)</f>
        <v/>
      </c>
      <c r="S98" s="249">
        <f>IF(AND(Q98&lt;=$B$9,N98="B"),1,0)</f>
        <v/>
      </c>
      <c r="T98" s="249">
        <f>IF(Q98&lt;=$B$9,1,0)</f>
        <v/>
      </c>
    </row>
    <row r="99" ht="15" customHeight="1" s="129">
      <c r="M99" s="249" t="n">
        <v>98</v>
      </c>
      <c r="N99" s="249">
        <f>IF(MOD(M99-1,$B$4+$B$7)&lt;$B$4,"A","B")</f>
        <v/>
      </c>
      <c r="O99" s="269">
        <f>IF(N99="A",$E$3,$E$4)</f>
        <v/>
      </c>
      <c r="P99" s="270">
        <f>P98+O99</f>
        <v/>
      </c>
      <c r="Q99" s="270">
        <f>P99+(M99-1)*$B$8</f>
        <v/>
      </c>
      <c r="R99" s="249">
        <f>IF(AND(Q99&lt;=$B$9,N99="A"),1,0)</f>
        <v/>
      </c>
      <c r="S99" s="249">
        <f>IF(AND(Q99&lt;=$B$9,N99="B"),1,0)</f>
        <v/>
      </c>
      <c r="T99" s="249">
        <f>IF(Q99&lt;=$B$9,1,0)</f>
        <v/>
      </c>
    </row>
    <row r="100" ht="15" customHeight="1" s="129">
      <c r="M100" s="249" t="n">
        <v>99</v>
      </c>
      <c r="N100" s="249">
        <f>IF(MOD(M100-1,$B$4+$B$7)&lt;$B$4,"A","B")</f>
        <v/>
      </c>
      <c r="O100" s="269">
        <f>IF(N100="A",$E$3,$E$4)</f>
        <v/>
      </c>
      <c r="P100" s="270">
        <f>P99+O100</f>
        <v/>
      </c>
      <c r="Q100" s="270">
        <f>P100+(M100-1)*$B$8</f>
        <v/>
      </c>
      <c r="R100" s="249">
        <f>IF(AND(Q100&lt;=$B$9,N100="A"),1,0)</f>
        <v/>
      </c>
      <c r="S100" s="249">
        <f>IF(AND(Q100&lt;=$B$9,N100="B"),1,0)</f>
        <v/>
      </c>
      <c r="T100" s="249">
        <f>IF(Q100&lt;=$B$9,1,0)</f>
        <v/>
      </c>
    </row>
    <row r="101" ht="15" customHeight="1" s="129">
      <c r="M101" s="249" t="n">
        <v>100</v>
      </c>
      <c r="N101" s="249">
        <f>IF(MOD(M101-1,$B$4+$B$7)&lt;$B$4,"A","B")</f>
        <v/>
      </c>
      <c r="O101" s="269">
        <f>IF(N101="A",$E$3,$E$4)</f>
        <v/>
      </c>
      <c r="P101" s="270">
        <f>P100+O101</f>
        <v/>
      </c>
      <c r="Q101" s="270">
        <f>P101+(M101-1)*$B$8</f>
        <v/>
      </c>
      <c r="R101" s="249">
        <f>IF(AND(Q101&lt;=$B$9,N101="A"),1,0)</f>
        <v/>
      </c>
      <c r="S101" s="249">
        <f>IF(AND(Q101&lt;=$B$9,N101="B"),1,0)</f>
        <v/>
      </c>
      <c r="T101" s="249">
        <f>IF(Q101&lt;=$B$9,1,0)</f>
        <v/>
      </c>
    </row>
    <row r="102" ht="15" customHeight="1" s="129">
      <c r="M102" s="249" t="n">
        <v>101</v>
      </c>
      <c r="N102" s="249">
        <f>IF(MOD(M102-1,$B$4+$B$7)&lt;$B$4,"A","B")</f>
        <v/>
      </c>
      <c r="O102" s="269">
        <f>IF(N102="A",$E$3,$E$4)</f>
        <v/>
      </c>
      <c r="P102" s="270">
        <f>P101+O102</f>
        <v/>
      </c>
      <c r="Q102" s="270">
        <f>P102+(M102-1)*$B$8</f>
        <v/>
      </c>
      <c r="R102" s="249">
        <f>IF(AND(Q102&lt;=$B$9,N102="A"),1,0)</f>
        <v/>
      </c>
      <c r="S102" s="249">
        <f>IF(AND(Q102&lt;=$B$9,N102="B"),1,0)</f>
        <v/>
      </c>
      <c r="T102" s="249">
        <f>IF(Q102&lt;=$B$9,1,0)</f>
        <v/>
      </c>
    </row>
    <row r="103" ht="15" customHeight="1" s="129">
      <c r="M103" s="249" t="n">
        <v>102</v>
      </c>
      <c r="N103" s="249">
        <f>IF(MOD(M103-1,$B$4+$B$7)&lt;$B$4,"A","B")</f>
        <v/>
      </c>
      <c r="O103" s="269">
        <f>IF(N103="A",$E$3,$E$4)</f>
        <v/>
      </c>
      <c r="P103" s="270">
        <f>P102+O103</f>
        <v/>
      </c>
      <c r="Q103" s="270">
        <f>P103+(M103-1)*$B$8</f>
        <v/>
      </c>
      <c r="R103" s="249">
        <f>IF(AND(Q103&lt;=$B$9,N103="A"),1,0)</f>
        <v/>
      </c>
      <c r="S103" s="249">
        <f>IF(AND(Q103&lt;=$B$9,N103="B"),1,0)</f>
        <v/>
      </c>
      <c r="T103" s="249">
        <f>IF(Q103&lt;=$B$9,1,0)</f>
        <v/>
      </c>
    </row>
    <row r="104" ht="15" customHeight="1" s="129">
      <c r="M104" s="249" t="n">
        <v>103</v>
      </c>
      <c r="N104" s="249">
        <f>IF(MOD(M104-1,$B$4+$B$7)&lt;$B$4,"A","B")</f>
        <v/>
      </c>
      <c r="O104" s="269">
        <f>IF(N104="A",$E$3,$E$4)</f>
        <v/>
      </c>
      <c r="P104" s="270">
        <f>P103+O104</f>
        <v/>
      </c>
      <c r="Q104" s="270">
        <f>P104+(M104-1)*$B$8</f>
        <v/>
      </c>
      <c r="R104" s="249">
        <f>IF(AND(Q104&lt;=$B$9,N104="A"),1,0)</f>
        <v/>
      </c>
      <c r="S104" s="249">
        <f>IF(AND(Q104&lt;=$B$9,N104="B"),1,0)</f>
        <v/>
      </c>
      <c r="T104" s="249">
        <f>IF(Q104&lt;=$B$9,1,0)</f>
        <v/>
      </c>
    </row>
    <row r="105" ht="15" customHeight="1" s="129">
      <c r="M105" s="249" t="n">
        <v>104</v>
      </c>
      <c r="N105" s="249">
        <f>IF(MOD(M105-1,$B$4+$B$7)&lt;$B$4,"A","B")</f>
        <v/>
      </c>
      <c r="O105" s="269">
        <f>IF(N105="A",$E$3,$E$4)</f>
        <v/>
      </c>
      <c r="P105" s="270">
        <f>P104+O105</f>
        <v/>
      </c>
      <c r="Q105" s="270">
        <f>P105+(M105-1)*$B$8</f>
        <v/>
      </c>
      <c r="R105" s="249">
        <f>IF(AND(Q105&lt;=$B$9,N105="A"),1,0)</f>
        <v/>
      </c>
      <c r="S105" s="249">
        <f>IF(AND(Q105&lt;=$B$9,N105="B"),1,0)</f>
        <v/>
      </c>
      <c r="T105" s="249">
        <f>IF(Q105&lt;=$B$9,1,0)</f>
        <v/>
      </c>
    </row>
    <row r="106" ht="15" customHeight="1" s="129">
      <c r="M106" s="249" t="n">
        <v>105</v>
      </c>
      <c r="N106" s="249">
        <f>IF(MOD(M106-1,$B$4+$B$7)&lt;$B$4,"A","B")</f>
        <v/>
      </c>
      <c r="O106" s="269">
        <f>IF(N106="A",$E$3,$E$4)</f>
        <v/>
      </c>
      <c r="P106" s="270">
        <f>P105+O106</f>
        <v/>
      </c>
      <c r="Q106" s="270">
        <f>P106+(M106-1)*$B$8</f>
        <v/>
      </c>
      <c r="R106" s="249">
        <f>IF(AND(Q106&lt;=$B$9,N106="A"),1,0)</f>
        <v/>
      </c>
      <c r="S106" s="249">
        <f>IF(AND(Q106&lt;=$B$9,N106="B"),1,0)</f>
        <v/>
      </c>
      <c r="T106" s="249">
        <f>IF(Q106&lt;=$B$9,1,0)</f>
        <v/>
      </c>
    </row>
    <row r="107" ht="15" customHeight="1" s="129">
      <c r="M107" s="249" t="n">
        <v>106</v>
      </c>
      <c r="N107" s="249">
        <f>IF(MOD(M107-1,$B$4+$B$7)&lt;$B$4,"A","B")</f>
        <v/>
      </c>
      <c r="O107" s="269">
        <f>IF(N107="A",$E$3,$E$4)</f>
        <v/>
      </c>
      <c r="P107" s="270">
        <f>P106+O107</f>
        <v/>
      </c>
      <c r="Q107" s="270">
        <f>P107+(M107-1)*$B$8</f>
        <v/>
      </c>
      <c r="R107" s="249">
        <f>IF(AND(Q107&lt;=$B$9,N107="A"),1,0)</f>
        <v/>
      </c>
      <c r="S107" s="249">
        <f>IF(AND(Q107&lt;=$B$9,N107="B"),1,0)</f>
        <v/>
      </c>
      <c r="T107" s="249">
        <f>IF(Q107&lt;=$B$9,1,0)</f>
        <v/>
      </c>
    </row>
    <row r="108" ht="15" customHeight="1" s="129">
      <c r="M108" s="249" t="n">
        <v>107</v>
      </c>
      <c r="N108" s="249">
        <f>IF(MOD(M108-1,$B$4+$B$7)&lt;$B$4,"A","B")</f>
        <v/>
      </c>
      <c r="O108" s="269">
        <f>IF(N108="A",$E$3,$E$4)</f>
        <v/>
      </c>
      <c r="P108" s="270">
        <f>P107+O108</f>
        <v/>
      </c>
      <c r="Q108" s="270">
        <f>P108+(M108-1)*$B$8</f>
        <v/>
      </c>
      <c r="R108" s="249">
        <f>IF(AND(Q108&lt;=$B$9,N108="A"),1,0)</f>
        <v/>
      </c>
      <c r="S108" s="249">
        <f>IF(AND(Q108&lt;=$B$9,N108="B"),1,0)</f>
        <v/>
      </c>
      <c r="T108" s="249">
        <f>IF(Q108&lt;=$B$9,1,0)</f>
        <v/>
      </c>
    </row>
    <row r="109" ht="15" customHeight="1" s="129">
      <c r="M109" s="249" t="n">
        <v>108</v>
      </c>
      <c r="N109" s="249">
        <f>IF(MOD(M109-1,$B$4+$B$7)&lt;$B$4,"A","B")</f>
        <v/>
      </c>
      <c r="O109" s="269">
        <f>IF(N109="A",$E$3,$E$4)</f>
        <v/>
      </c>
      <c r="P109" s="270">
        <f>P108+O109</f>
        <v/>
      </c>
      <c r="Q109" s="270">
        <f>P109+(M109-1)*$B$8</f>
        <v/>
      </c>
      <c r="R109" s="249">
        <f>IF(AND(Q109&lt;=$B$9,N109="A"),1,0)</f>
        <v/>
      </c>
      <c r="S109" s="249">
        <f>IF(AND(Q109&lt;=$B$9,N109="B"),1,0)</f>
        <v/>
      </c>
      <c r="T109" s="249">
        <f>IF(Q109&lt;=$B$9,1,0)</f>
        <v/>
      </c>
    </row>
    <row r="110" ht="15" customHeight="1" s="129">
      <c r="M110" s="249" t="n">
        <v>109</v>
      </c>
      <c r="N110" s="249">
        <f>IF(MOD(M110-1,$B$4+$B$7)&lt;$B$4,"A","B")</f>
        <v/>
      </c>
      <c r="O110" s="269">
        <f>IF(N110="A",$E$3,$E$4)</f>
        <v/>
      </c>
      <c r="P110" s="270">
        <f>P109+O110</f>
        <v/>
      </c>
      <c r="Q110" s="270">
        <f>P110+(M110-1)*$B$8</f>
        <v/>
      </c>
      <c r="R110" s="249">
        <f>IF(AND(Q110&lt;=$B$9,N110="A"),1,0)</f>
        <v/>
      </c>
      <c r="S110" s="249">
        <f>IF(AND(Q110&lt;=$B$9,N110="B"),1,0)</f>
        <v/>
      </c>
      <c r="T110" s="249">
        <f>IF(Q110&lt;=$B$9,1,0)</f>
        <v/>
      </c>
    </row>
    <row r="111" ht="15" customHeight="1" s="129">
      <c r="M111" s="249" t="n">
        <v>110</v>
      </c>
      <c r="N111" s="249">
        <f>IF(MOD(M111-1,$B$4+$B$7)&lt;$B$4,"A","B")</f>
        <v/>
      </c>
      <c r="O111" s="269">
        <f>IF(N111="A",$E$3,$E$4)</f>
        <v/>
      </c>
      <c r="P111" s="270">
        <f>P110+O111</f>
        <v/>
      </c>
      <c r="Q111" s="270">
        <f>P111+(M111-1)*$B$8</f>
        <v/>
      </c>
      <c r="R111" s="249">
        <f>IF(AND(Q111&lt;=$B$9,N111="A"),1,0)</f>
        <v/>
      </c>
      <c r="S111" s="249">
        <f>IF(AND(Q111&lt;=$B$9,N111="B"),1,0)</f>
        <v/>
      </c>
      <c r="T111" s="249">
        <f>IF(Q111&lt;=$B$9,1,0)</f>
        <v/>
      </c>
    </row>
    <row r="112" ht="15" customHeight="1" s="129">
      <c r="M112" s="249" t="n">
        <v>111</v>
      </c>
      <c r="N112" s="249">
        <f>IF(MOD(M112-1,$B$4+$B$7)&lt;$B$4,"A","B")</f>
        <v/>
      </c>
      <c r="O112" s="269">
        <f>IF(N112="A",$E$3,$E$4)</f>
        <v/>
      </c>
      <c r="P112" s="270">
        <f>P111+O112</f>
        <v/>
      </c>
      <c r="Q112" s="270">
        <f>P112+(M112-1)*$B$8</f>
        <v/>
      </c>
      <c r="R112" s="249">
        <f>IF(AND(Q112&lt;=$B$9,N112="A"),1,0)</f>
        <v/>
      </c>
      <c r="S112" s="249">
        <f>IF(AND(Q112&lt;=$B$9,N112="B"),1,0)</f>
        <v/>
      </c>
      <c r="T112" s="249">
        <f>IF(Q112&lt;=$B$9,1,0)</f>
        <v/>
      </c>
    </row>
    <row r="113" ht="15" customHeight="1" s="129">
      <c r="M113" s="249" t="n">
        <v>112</v>
      </c>
      <c r="N113" s="249">
        <f>IF(MOD(M113-1,$B$4+$B$7)&lt;$B$4,"A","B")</f>
        <v/>
      </c>
      <c r="O113" s="269">
        <f>IF(N113="A",$E$3,$E$4)</f>
        <v/>
      </c>
      <c r="P113" s="270">
        <f>P112+O113</f>
        <v/>
      </c>
      <c r="Q113" s="270">
        <f>P113+(M113-1)*$B$8</f>
        <v/>
      </c>
      <c r="R113" s="249">
        <f>IF(AND(Q113&lt;=$B$9,N113="A"),1,0)</f>
        <v/>
      </c>
      <c r="S113" s="249">
        <f>IF(AND(Q113&lt;=$B$9,N113="B"),1,0)</f>
        <v/>
      </c>
      <c r="T113" s="249">
        <f>IF(Q113&lt;=$B$9,1,0)</f>
        <v/>
      </c>
    </row>
    <row r="114" ht="15" customHeight="1" s="129">
      <c r="M114" s="249" t="n">
        <v>113</v>
      </c>
      <c r="N114" s="249">
        <f>IF(MOD(M114-1,$B$4+$B$7)&lt;$B$4,"A","B")</f>
        <v/>
      </c>
      <c r="O114" s="269">
        <f>IF(N114="A",$E$3,$E$4)</f>
        <v/>
      </c>
      <c r="P114" s="270">
        <f>P113+O114</f>
        <v/>
      </c>
      <c r="Q114" s="270">
        <f>P114+(M114-1)*$B$8</f>
        <v/>
      </c>
      <c r="R114" s="249">
        <f>IF(AND(Q114&lt;=$B$9,N114="A"),1,0)</f>
        <v/>
      </c>
      <c r="S114" s="249">
        <f>IF(AND(Q114&lt;=$B$9,N114="B"),1,0)</f>
        <v/>
      </c>
      <c r="T114" s="249">
        <f>IF(Q114&lt;=$B$9,1,0)</f>
        <v/>
      </c>
    </row>
    <row r="115" ht="15" customHeight="1" s="129">
      <c r="M115" s="249" t="n">
        <v>114</v>
      </c>
      <c r="N115" s="249">
        <f>IF(MOD(M115-1,$B$4+$B$7)&lt;$B$4,"A","B")</f>
        <v/>
      </c>
      <c r="O115" s="269">
        <f>IF(N115="A",$E$3,$E$4)</f>
        <v/>
      </c>
      <c r="P115" s="270">
        <f>P114+O115</f>
        <v/>
      </c>
      <c r="Q115" s="270">
        <f>P115+(M115-1)*$B$8</f>
        <v/>
      </c>
      <c r="R115" s="249">
        <f>IF(AND(Q115&lt;=$B$9,N115="A"),1,0)</f>
        <v/>
      </c>
      <c r="S115" s="249">
        <f>IF(AND(Q115&lt;=$B$9,N115="B"),1,0)</f>
        <v/>
      </c>
      <c r="T115" s="249">
        <f>IF(Q115&lt;=$B$9,1,0)</f>
        <v/>
      </c>
    </row>
    <row r="116" ht="15" customHeight="1" s="129">
      <c r="M116" s="249" t="n">
        <v>115</v>
      </c>
      <c r="N116" s="249">
        <f>IF(MOD(M116-1,$B$4+$B$7)&lt;$B$4,"A","B")</f>
        <v/>
      </c>
      <c r="O116" s="269">
        <f>IF(N116="A",$E$3,$E$4)</f>
        <v/>
      </c>
      <c r="P116" s="270">
        <f>P115+O116</f>
        <v/>
      </c>
      <c r="Q116" s="270">
        <f>P116+(M116-1)*$B$8</f>
        <v/>
      </c>
      <c r="R116" s="249">
        <f>IF(AND(Q116&lt;=$B$9,N116="A"),1,0)</f>
        <v/>
      </c>
      <c r="S116" s="249">
        <f>IF(AND(Q116&lt;=$B$9,N116="B"),1,0)</f>
        <v/>
      </c>
      <c r="T116" s="249">
        <f>IF(Q116&lt;=$B$9,1,0)</f>
        <v/>
      </c>
    </row>
    <row r="117" ht="15" customHeight="1" s="129">
      <c r="M117" s="249" t="n">
        <v>116</v>
      </c>
      <c r="N117" s="249">
        <f>IF(MOD(M117-1,$B$4+$B$7)&lt;$B$4,"A","B")</f>
        <v/>
      </c>
      <c r="O117" s="269">
        <f>IF(N117="A",$E$3,$E$4)</f>
        <v/>
      </c>
      <c r="P117" s="270">
        <f>P116+O117</f>
        <v/>
      </c>
      <c r="Q117" s="270">
        <f>P117+(M117-1)*$B$8</f>
        <v/>
      </c>
      <c r="R117" s="249">
        <f>IF(AND(Q117&lt;=$B$9,N117="A"),1,0)</f>
        <v/>
      </c>
      <c r="S117" s="249">
        <f>IF(AND(Q117&lt;=$B$9,N117="B"),1,0)</f>
        <v/>
      </c>
      <c r="T117" s="249">
        <f>IF(Q117&lt;=$B$9,1,0)</f>
        <v/>
      </c>
    </row>
    <row r="118" ht="15" customHeight="1" s="129">
      <c r="M118" s="249" t="n">
        <v>117</v>
      </c>
      <c r="N118" s="249">
        <f>IF(MOD(M118-1,$B$4+$B$7)&lt;$B$4,"A","B")</f>
        <v/>
      </c>
      <c r="O118" s="269">
        <f>IF(N118="A",$E$3,$E$4)</f>
        <v/>
      </c>
      <c r="P118" s="270">
        <f>P117+O118</f>
        <v/>
      </c>
      <c r="Q118" s="270">
        <f>P118+(M118-1)*$B$8</f>
        <v/>
      </c>
      <c r="R118" s="249">
        <f>IF(AND(Q118&lt;=$B$9,N118="A"),1,0)</f>
        <v/>
      </c>
      <c r="S118" s="249">
        <f>IF(AND(Q118&lt;=$B$9,N118="B"),1,0)</f>
        <v/>
      </c>
      <c r="T118" s="249">
        <f>IF(Q118&lt;=$B$9,1,0)</f>
        <v/>
      </c>
    </row>
    <row r="119" ht="15" customHeight="1" s="129">
      <c r="M119" s="249" t="n">
        <v>118</v>
      </c>
      <c r="N119" s="249">
        <f>IF(MOD(M119-1,$B$4+$B$7)&lt;$B$4,"A","B")</f>
        <v/>
      </c>
      <c r="O119" s="269">
        <f>IF(N119="A",$E$3,$E$4)</f>
        <v/>
      </c>
      <c r="P119" s="270">
        <f>P118+O119</f>
        <v/>
      </c>
      <c r="Q119" s="270">
        <f>P119+(M119-1)*$B$8</f>
        <v/>
      </c>
      <c r="R119" s="249">
        <f>IF(AND(Q119&lt;=$B$9,N119="A"),1,0)</f>
        <v/>
      </c>
      <c r="S119" s="249">
        <f>IF(AND(Q119&lt;=$B$9,N119="B"),1,0)</f>
        <v/>
      </c>
      <c r="T119" s="249">
        <f>IF(Q119&lt;=$B$9,1,0)</f>
        <v/>
      </c>
    </row>
    <row r="120" ht="15" customHeight="1" s="129">
      <c r="M120" s="249" t="n">
        <v>119</v>
      </c>
      <c r="N120" s="249">
        <f>IF(MOD(M120-1,$B$4+$B$7)&lt;$B$4,"A","B")</f>
        <v/>
      </c>
      <c r="O120" s="269">
        <f>IF(N120="A",$E$3,$E$4)</f>
        <v/>
      </c>
      <c r="P120" s="270">
        <f>P119+O120</f>
        <v/>
      </c>
      <c r="Q120" s="270">
        <f>P120+(M120-1)*$B$8</f>
        <v/>
      </c>
      <c r="R120" s="249">
        <f>IF(AND(Q120&lt;=$B$9,N120="A"),1,0)</f>
        <v/>
      </c>
      <c r="S120" s="249">
        <f>IF(AND(Q120&lt;=$B$9,N120="B"),1,0)</f>
        <v/>
      </c>
      <c r="T120" s="249">
        <f>IF(Q120&lt;=$B$9,1,0)</f>
        <v/>
      </c>
    </row>
    <row r="121" ht="15" customHeight="1" s="129">
      <c r="M121" s="249" t="n">
        <v>120</v>
      </c>
      <c r="N121" s="249">
        <f>IF(MOD(M121-1,$B$4+$B$7)&lt;$B$4,"A","B")</f>
        <v/>
      </c>
      <c r="O121" s="269">
        <f>IF(N121="A",$E$3,$E$4)</f>
        <v/>
      </c>
      <c r="P121" s="270">
        <f>P120+O121</f>
        <v/>
      </c>
      <c r="Q121" s="270">
        <f>P121+(M121-1)*$B$8</f>
        <v/>
      </c>
      <c r="R121" s="249">
        <f>IF(AND(Q121&lt;=$B$9,N121="A"),1,0)</f>
        <v/>
      </c>
      <c r="S121" s="249">
        <f>IF(AND(Q121&lt;=$B$9,N121="B"),1,0)</f>
        <v/>
      </c>
      <c r="T121" s="249">
        <f>IF(Q121&lt;=$B$9,1,0)</f>
        <v/>
      </c>
    </row>
    <row r="122" ht="15" customHeight="1" s="129">
      <c r="M122" s="249" t="n">
        <v>121</v>
      </c>
      <c r="N122" s="249">
        <f>IF(MOD(M122-1,$B$4+$B$7)&lt;$B$4,"A","B")</f>
        <v/>
      </c>
      <c r="O122" s="269">
        <f>IF(N122="A",$E$3,$E$4)</f>
        <v/>
      </c>
      <c r="P122" s="270">
        <f>P121+O122</f>
        <v/>
      </c>
      <c r="Q122" s="270">
        <f>P122+(M122-1)*$B$8</f>
        <v/>
      </c>
      <c r="R122" s="249">
        <f>IF(AND(Q122&lt;=$B$9,N122="A"),1,0)</f>
        <v/>
      </c>
      <c r="S122" s="249">
        <f>IF(AND(Q122&lt;=$B$9,N122="B"),1,0)</f>
        <v/>
      </c>
      <c r="T122" s="249">
        <f>IF(Q122&lt;=$B$9,1,0)</f>
        <v/>
      </c>
    </row>
    <row r="123" ht="15" customHeight="1" s="129">
      <c r="M123" s="249" t="n">
        <v>122</v>
      </c>
      <c r="N123" s="249">
        <f>IF(MOD(M123-1,$B$4+$B$7)&lt;$B$4,"A","B")</f>
        <v/>
      </c>
      <c r="O123" s="269">
        <f>IF(N123="A",$E$3,$E$4)</f>
        <v/>
      </c>
      <c r="P123" s="270">
        <f>P122+O123</f>
        <v/>
      </c>
      <c r="Q123" s="270">
        <f>P123+(M123-1)*$B$8</f>
        <v/>
      </c>
      <c r="R123" s="249">
        <f>IF(AND(Q123&lt;=$B$9,N123="A"),1,0)</f>
        <v/>
      </c>
      <c r="S123" s="249">
        <f>IF(AND(Q123&lt;=$B$9,N123="B"),1,0)</f>
        <v/>
      </c>
      <c r="T123" s="249">
        <f>IF(Q123&lt;=$B$9,1,0)</f>
        <v/>
      </c>
    </row>
    <row r="124" ht="15" customHeight="1" s="129">
      <c r="M124" s="249" t="n">
        <v>123</v>
      </c>
      <c r="N124" s="249">
        <f>IF(MOD(M124-1,$B$4+$B$7)&lt;$B$4,"A","B")</f>
        <v/>
      </c>
      <c r="O124" s="269">
        <f>IF(N124="A",$E$3,$E$4)</f>
        <v/>
      </c>
      <c r="P124" s="270">
        <f>P123+O124</f>
        <v/>
      </c>
      <c r="Q124" s="270">
        <f>P124+(M124-1)*$B$8</f>
        <v/>
      </c>
      <c r="R124" s="249">
        <f>IF(AND(Q124&lt;=$B$9,N124="A"),1,0)</f>
        <v/>
      </c>
      <c r="S124" s="249">
        <f>IF(AND(Q124&lt;=$B$9,N124="B"),1,0)</f>
        <v/>
      </c>
      <c r="T124" s="249">
        <f>IF(Q124&lt;=$B$9,1,0)</f>
        <v/>
      </c>
    </row>
    <row r="125" ht="15" customHeight="1" s="129">
      <c r="M125" s="249" t="n">
        <v>124</v>
      </c>
      <c r="N125" s="249">
        <f>IF(MOD(M125-1,$B$4+$B$7)&lt;$B$4,"A","B")</f>
        <v/>
      </c>
      <c r="O125" s="269">
        <f>IF(N125="A",$E$3,$E$4)</f>
        <v/>
      </c>
      <c r="P125" s="270">
        <f>P124+O125</f>
        <v/>
      </c>
      <c r="Q125" s="270">
        <f>P125+(M125-1)*$B$8</f>
        <v/>
      </c>
      <c r="R125" s="249">
        <f>IF(AND(Q125&lt;=$B$9,N125="A"),1,0)</f>
        <v/>
      </c>
      <c r="S125" s="249">
        <f>IF(AND(Q125&lt;=$B$9,N125="B"),1,0)</f>
        <v/>
      </c>
      <c r="T125" s="249">
        <f>IF(Q125&lt;=$B$9,1,0)</f>
        <v/>
      </c>
    </row>
    <row r="126" ht="15" customHeight="1" s="129">
      <c r="M126" s="249" t="n">
        <v>125</v>
      </c>
      <c r="N126" s="249">
        <f>IF(MOD(M126-1,$B$4+$B$7)&lt;$B$4,"A","B")</f>
        <v/>
      </c>
      <c r="O126" s="269">
        <f>IF(N126="A",$E$3,$E$4)</f>
        <v/>
      </c>
      <c r="P126" s="270">
        <f>P125+O126</f>
        <v/>
      </c>
      <c r="Q126" s="270">
        <f>P126+(M126-1)*$B$8</f>
        <v/>
      </c>
      <c r="R126" s="249">
        <f>IF(AND(Q126&lt;=$B$9,N126="A"),1,0)</f>
        <v/>
      </c>
      <c r="S126" s="249">
        <f>IF(AND(Q126&lt;=$B$9,N126="B"),1,0)</f>
        <v/>
      </c>
      <c r="T126" s="249">
        <f>IF(Q126&lt;=$B$9,1,0)</f>
        <v/>
      </c>
    </row>
    <row r="127" ht="15" customHeight="1" s="129">
      <c r="M127" s="249" t="n">
        <v>126</v>
      </c>
      <c r="N127" s="249">
        <f>IF(MOD(M127-1,$B$4+$B$7)&lt;$B$4,"A","B")</f>
        <v/>
      </c>
      <c r="O127" s="269">
        <f>IF(N127="A",$E$3,$E$4)</f>
        <v/>
      </c>
      <c r="P127" s="270">
        <f>P126+O127</f>
        <v/>
      </c>
      <c r="Q127" s="270">
        <f>P127+(M127-1)*$B$8</f>
        <v/>
      </c>
      <c r="R127" s="249">
        <f>IF(AND(Q127&lt;=$B$9,N127="A"),1,0)</f>
        <v/>
      </c>
      <c r="S127" s="249">
        <f>IF(AND(Q127&lt;=$B$9,N127="B"),1,0)</f>
        <v/>
      </c>
      <c r="T127" s="249">
        <f>IF(Q127&lt;=$B$9,1,0)</f>
        <v/>
      </c>
    </row>
    <row r="128" ht="15" customHeight="1" s="129">
      <c r="M128" s="249" t="n">
        <v>127</v>
      </c>
      <c r="N128" s="249">
        <f>IF(MOD(M128-1,$B$4+$B$7)&lt;$B$4,"A","B")</f>
        <v/>
      </c>
      <c r="O128" s="269">
        <f>IF(N128="A",$E$3,$E$4)</f>
        <v/>
      </c>
      <c r="P128" s="270">
        <f>P127+O128</f>
        <v/>
      </c>
      <c r="Q128" s="270">
        <f>P128+(M128-1)*$B$8</f>
        <v/>
      </c>
      <c r="R128" s="249">
        <f>IF(AND(Q128&lt;=$B$9,N128="A"),1,0)</f>
        <v/>
      </c>
      <c r="S128" s="249">
        <f>IF(AND(Q128&lt;=$B$9,N128="B"),1,0)</f>
        <v/>
      </c>
      <c r="T128" s="249">
        <f>IF(Q128&lt;=$B$9,1,0)</f>
        <v/>
      </c>
    </row>
    <row r="129" ht="15" customHeight="1" s="129">
      <c r="M129" s="249" t="n">
        <v>128</v>
      </c>
      <c r="N129" s="249">
        <f>IF(MOD(M129-1,$B$4+$B$7)&lt;$B$4,"A","B")</f>
        <v/>
      </c>
      <c r="O129" s="269">
        <f>IF(N129="A",$E$3,$E$4)</f>
        <v/>
      </c>
      <c r="P129" s="270">
        <f>P128+O129</f>
        <v/>
      </c>
      <c r="Q129" s="270">
        <f>P129+(M129-1)*$B$8</f>
        <v/>
      </c>
      <c r="R129" s="249">
        <f>IF(AND(Q129&lt;=$B$9,N129="A"),1,0)</f>
        <v/>
      </c>
      <c r="S129" s="249">
        <f>IF(AND(Q129&lt;=$B$9,N129="B"),1,0)</f>
        <v/>
      </c>
      <c r="T129" s="249">
        <f>IF(Q129&lt;=$B$9,1,0)</f>
        <v/>
      </c>
    </row>
    <row r="130" ht="15" customHeight="1" s="129">
      <c r="M130" s="249" t="n">
        <v>129</v>
      </c>
      <c r="N130" s="249">
        <f>IF(MOD(M130-1,$B$4+$B$7)&lt;$B$4,"A","B")</f>
        <v/>
      </c>
      <c r="O130" s="269">
        <f>IF(N130="A",$E$3,$E$4)</f>
        <v/>
      </c>
      <c r="P130" s="270">
        <f>P129+O130</f>
        <v/>
      </c>
      <c r="Q130" s="270">
        <f>P130+(M130-1)*$B$8</f>
        <v/>
      </c>
      <c r="R130" s="249">
        <f>IF(AND(Q130&lt;=$B$9,N130="A"),1,0)</f>
        <v/>
      </c>
      <c r="S130" s="249">
        <f>IF(AND(Q130&lt;=$B$9,N130="B"),1,0)</f>
        <v/>
      </c>
      <c r="T130" s="249">
        <f>IF(Q130&lt;=$B$9,1,0)</f>
        <v/>
      </c>
    </row>
    <row r="131" ht="15" customHeight="1" s="129">
      <c r="M131" s="249" t="n">
        <v>130</v>
      </c>
      <c r="N131" s="249">
        <f>IF(MOD(M131-1,$B$4+$B$7)&lt;$B$4,"A","B")</f>
        <v/>
      </c>
      <c r="O131" s="269">
        <f>IF(N131="A",$E$3,$E$4)</f>
        <v/>
      </c>
      <c r="P131" s="270">
        <f>P130+O131</f>
        <v/>
      </c>
      <c r="Q131" s="270">
        <f>P131+(M131-1)*$B$8</f>
        <v/>
      </c>
      <c r="R131" s="249">
        <f>IF(AND(Q131&lt;=$B$9,N131="A"),1,0)</f>
        <v/>
      </c>
      <c r="S131" s="249">
        <f>IF(AND(Q131&lt;=$B$9,N131="B"),1,0)</f>
        <v/>
      </c>
      <c r="T131" s="249">
        <f>IF(Q131&lt;=$B$9,1,0)</f>
        <v/>
      </c>
    </row>
    <row r="132" ht="15" customHeight="1" s="129">
      <c r="M132" s="249" t="n">
        <v>131</v>
      </c>
      <c r="N132" s="249">
        <f>IF(MOD(M132-1,$B$4+$B$7)&lt;$B$4,"A","B")</f>
        <v/>
      </c>
      <c r="O132" s="269">
        <f>IF(N132="A",$E$3,$E$4)</f>
        <v/>
      </c>
      <c r="P132" s="270">
        <f>P131+O132</f>
        <v/>
      </c>
      <c r="Q132" s="270">
        <f>P132+(M132-1)*$B$8</f>
        <v/>
      </c>
      <c r="R132" s="249">
        <f>IF(AND(Q132&lt;=$B$9,N132="A"),1,0)</f>
        <v/>
      </c>
      <c r="S132" s="249">
        <f>IF(AND(Q132&lt;=$B$9,N132="B"),1,0)</f>
        <v/>
      </c>
      <c r="T132" s="249">
        <f>IF(Q132&lt;=$B$9,1,0)</f>
        <v/>
      </c>
    </row>
    <row r="133" ht="15" customHeight="1" s="129">
      <c r="M133" s="249" t="n">
        <v>132</v>
      </c>
      <c r="N133" s="249">
        <f>IF(MOD(M133-1,$B$4+$B$7)&lt;$B$4,"A","B")</f>
        <v/>
      </c>
      <c r="O133" s="269">
        <f>IF(N133="A",$E$3,$E$4)</f>
        <v/>
      </c>
      <c r="P133" s="270">
        <f>P132+O133</f>
        <v/>
      </c>
      <c r="Q133" s="270">
        <f>P133+(M133-1)*$B$8</f>
        <v/>
      </c>
      <c r="R133" s="249">
        <f>IF(AND(Q133&lt;=$B$9,N133="A"),1,0)</f>
        <v/>
      </c>
      <c r="S133" s="249">
        <f>IF(AND(Q133&lt;=$B$9,N133="B"),1,0)</f>
        <v/>
      </c>
      <c r="T133" s="249">
        <f>IF(Q133&lt;=$B$9,1,0)</f>
        <v/>
      </c>
    </row>
    <row r="134" ht="15" customHeight="1" s="129">
      <c r="M134" s="249" t="n">
        <v>133</v>
      </c>
      <c r="N134" s="249">
        <f>IF(MOD(M134-1,$B$4+$B$7)&lt;$B$4,"A","B")</f>
        <v/>
      </c>
      <c r="O134" s="269">
        <f>IF(N134="A",$E$3,$E$4)</f>
        <v/>
      </c>
      <c r="P134" s="270">
        <f>P133+O134</f>
        <v/>
      </c>
      <c r="Q134" s="270">
        <f>P134+(M134-1)*$B$8</f>
        <v/>
      </c>
      <c r="R134" s="249">
        <f>IF(AND(Q134&lt;=$B$9,N134="A"),1,0)</f>
        <v/>
      </c>
      <c r="S134" s="249">
        <f>IF(AND(Q134&lt;=$B$9,N134="B"),1,0)</f>
        <v/>
      </c>
      <c r="T134" s="249">
        <f>IF(Q134&lt;=$B$9,1,0)</f>
        <v/>
      </c>
    </row>
    <row r="135" ht="15" customHeight="1" s="129">
      <c r="M135" s="249" t="n">
        <v>134</v>
      </c>
      <c r="N135" s="249">
        <f>IF(MOD(M135-1,$B$4+$B$7)&lt;$B$4,"A","B")</f>
        <v/>
      </c>
      <c r="O135" s="269">
        <f>IF(N135="A",$E$3,$E$4)</f>
        <v/>
      </c>
      <c r="P135" s="270">
        <f>P134+O135</f>
        <v/>
      </c>
      <c r="Q135" s="270">
        <f>P135+(M135-1)*$B$8</f>
        <v/>
      </c>
      <c r="R135" s="249">
        <f>IF(AND(Q135&lt;=$B$9,N135="A"),1,0)</f>
        <v/>
      </c>
      <c r="S135" s="249">
        <f>IF(AND(Q135&lt;=$B$9,N135="B"),1,0)</f>
        <v/>
      </c>
      <c r="T135" s="249">
        <f>IF(Q135&lt;=$B$9,1,0)</f>
        <v/>
      </c>
    </row>
    <row r="136" ht="15" customHeight="1" s="129">
      <c r="M136" s="249" t="n">
        <v>135</v>
      </c>
      <c r="N136" s="249">
        <f>IF(MOD(M136-1,$B$4+$B$7)&lt;$B$4,"A","B")</f>
        <v/>
      </c>
      <c r="O136" s="269">
        <f>IF(N136="A",$E$3,$E$4)</f>
        <v/>
      </c>
      <c r="P136" s="270">
        <f>P135+O136</f>
        <v/>
      </c>
      <c r="Q136" s="270">
        <f>P136+(M136-1)*$B$8</f>
        <v/>
      </c>
      <c r="R136" s="249">
        <f>IF(AND(Q136&lt;=$B$9,N136="A"),1,0)</f>
        <v/>
      </c>
      <c r="S136" s="249">
        <f>IF(AND(Q136&lt;=$B$9,N136="B"),1,0)</f>
        <v/>
      </c>
      <c r="T136" s="249">
        <f>IF(Q136&lt;=$B$9,1,0)</f>
        <v/>
      </c>
    </row>
    <row r="137" ht="15" customHeight="1" s="129">
      <c r="M137" s="249" t="n">
        <v>136</v>
      </c>
      <c r="N137" s="249">
        <f>IF(MOD(M137-1,$B$4+$B$7)&lt;$B$4,"A","B")</f>
        <v/>
      </c>
      <c r="O137" s="269">
        <f>IF(N137="A",$E$3,$E$4)</f>
        <v/>
      </c>
      <c r="P137" s="270">
        <f>P136+O137</f>
        <v/>
      </c>
      <c r="Q137" s="270">
        <f>P137+(M137-1)*$B$8</f>
        <v/>
      </c>
      <c r="R137" s="249">
        <f>IF(AND(Q137&lt;=$B$9,N137="A"),1,0)</f>
        <v/>
      </c>
      <c r="S137" s="249">
        <f>IF(AND(Q137&lt;=$B$9,N137="B"),1,0)</f>
        <v/>
      </c>
      <c r="T137" s="249">
        <f>IF(Q137&lt;=$B$9,1,0)</f>
        <v/>
      </c>
    </row>
    <row r="138" ht="15" customHeight="1" s="129">
      <c r="M138" s="249" t="n">
        <v>137</v>
      </c>
      <c r="N138" s="249">
        <f>IF(MOD(M138-1,$B$4+$B$7)&lt;$B$4,"A","B")</f>
        <v/>
      </c>
      <c r="O138" s="269">
        <f>IF(N138="A",$E$3,$E$4)</f>
        <v/>
      </c>
      <c r="P138" s="270">
        <f>P137+O138</f>
        <v/>
      </c>
      <c r="Q138" s="270">
        <f>P138+(M138-1)*$B$8</f>
        <v/>
      </c>
      <c r="R138" s="249">
        <f>IF(AND(Q138&lt;=$B$9,N138="A"),1,0)</f>
        <v/>
      </c>
      <c r="S138" s="249">
        <f>IF(AND(Q138&lt;=$B$9,N138="B"),1,0)</f>
        <v/>
      </c>
      <c r="T138" s="249">
        <f>IF(Q138&lt;=$B$9,1,0)</f>
        <v/>
      </c>
    </row>
    <row r="139" ht="15" customHeight="1" s="129">
      <c r="M139" s="249" t="n">
        <v>138</v>
      </c>
      <c r="N139" s="249">
        <f>IF(MOD(M139-1,$B$4+$B$7)&lt;$B$4,"A","B")</f>
        <v/>
      </c>
      <c r="O139" s="269">
        <f>IF(N139="A",$E$3,$E$4)</f>
        <v/>
      </c>
      <c r="P139" s="270">
        <f>P138+O139</f>
        <v/>
      </c>
      <c r="Q139" s="270">
        <f>P139+(M139-1)*$B$8</f>
        <v/>
      </c>
      <c r="R139" s="249">
        <f>IF(AND(Q139&lt;=$B$9,N139="A"),1,0)</f>
        <v/>
      </c>
      <c r="S139" s="249">
        <f>IF(AND(Q139&lt;=$B$9,N139="B"),1,0)</f>
        <v/>
      </c>
      <c r="T139" s="249">
        <f>IF(Q139&lt;=$B$9,1,0)</f>
        <v/>
      </c>
    </row>
    <row r="140" ht="15" customHeight="1" s="129">
      <c r="M140" s="249" t="n">
        <v>139</v>
      </c>
      <c r="N140" s="249">
        <f>IF(MOD(M140-1,$B$4+$B$7)&lt;$B$4,"A","B")</f>
        <v/>
      </c>
      <c r="O140" s="269">
        <f>IF(N140="A",$E$3,$E$4)</f>
        <v/>
      </c>
      <c r="P140" s="270">
        <f>P139+O140</f>
        <v/>
      </c>
      <c r="Q140" s="270">
        <f>P140+(M140-1)*$B$8</f>
        <v/>
      </c>
      <c r="R140" s="249">
        <f>IF(AND(Q140&lt;=$B$9,N140="A"),1,0)</f>
        <v/>
      </c>
      <c r="S140" s="249">
        <f>IF(AND(Q140&lt;=$B$9,N140="B"),1,0)</f>
        <v/>
      </c>
      <c r="T140" s="249">
        <f>IF(Q140&lt;=$B$9,1,0)</f>
        <v/>
      </c>
    </row>
    <row r="141" ht="15" customHeight="1" s="129">
      <c r="M141" s="249" t="n">
        <v>140</v>
      </c>
      <c r="N141" s="249">
        <f>IF(MOD(M141-1,$B$4+$B$7)&lt;$B$4,"A","B")</f>
        <v/>
      </c>
      <c r="O141" s="269">
        <f>IF(N141="A",$E$3,$E$4)</f>
        <v/>
      </c>
      <c r="P141" s="270">
        <f>P140+O141</f>
        <v/>
      </c>
      <c r="Q141" s="270">
        <f>P141+(M141-1)*$B$8</f>
        <v/>
      </c>
      <c r="R141" s="249">
        <f>IF(AND(Q141&lt;=$B$9,N141="A"),1,0)</f>
        <v/>
      </c>
      <c r="S141" s="249">
        <f>IF(AND(Q141&lt;=$B$9,N141="B"),1,0)</f>
        <v/>
      </c>
      <c r="T141" s="249">
        <f>IF(Q141&lt;=$B$9,1,0)</f>
        <v/>
      </c>
    </row>
    <row r="142" ht="15" customHeight="1" s="129">
      <c r="M142" s="249" t="n">
        <v>141</v>
      </c>
      <c r="N142" s="249">
        <f>IF(MOD(M142-1,$B$4+$B$7)&lt;$B$4,"A","B")</f>
        <v/>
      </c>
      <c r="O142" s="269">
        <f>IF(N142="A",$E$3,$E$4)</f>
        <v/>
      </c>
      <c r="P142" s="270">
        <f>P141+O142</f>
        <v/>
      </c>
      <c r="Q142" s="270">
        <f>P142+(M142-1)*$B$8</f>
        <v/>
      </c>
      <c r="R142" s="249">
        <f>IF(AND(Q142&lt;=$B$9,N142="A"),1,0)</f>
        <v/>
      </c>
      <c r="S142" s="249">
        <f>IF(AND(Q142&lt;=$B$9,N142="B"),1,0)</f>
        <v/>
      </c>
      <c r="T142" s="249">
        <f>IF(Q142&lt;=$B$9,1,0)</f>
        <v/>
      </c>
    </row>
    <row r="143" ht="15" customHeight="1" s="129">
      <c r="M143" s="249" t="n">
        <v>142</v>
      </c>
      <c r="N143" s="249">
        <f>IF(MOD(M143-1,$B$4+$B$7)&lt;$B$4,"A","B")</f>
        <v/>
      </c>
      <c r="O143" s="269">
        <f>IF(N143="A",$E$3,$E$4)</f>
        <v/>
      </c>
      <c r="P143" s="270">
        <f>P142+O143</f>
        <v/>
      </c>
      <c r="Q143" s="270">
        <f>P143+(M143-1)*$B$8</f>
        <v/>
      </c>
      <c r="R143" s="249">
        <f>IF(AND(Q143&lt;=$B$9,N143="A"),1,0)</f>
        <v/>
      </c>
      <c r="S143" s="249">
        <f>IF(AND(Q143&lt;=$B$9,N143="B"),1,0)</f>
        <v/>
      </c>
      <c r="T143" s="249">
        <f>IF(Q143&lt;=$B$9,1,0)</f>
        <v/>
      </c>
    </row>
    <row r="144" ht="15" customHeight="1" s="129">
      <c r="M144" s="249" t="n">
        <v>143</v>
      </c>
      <c r="N144" s="249">
        <f>IF(MOD(M144-1,$B$4+$B$7)&lt;$B$4,"A","B")</f>
        <v/>
      </c>
      <c r="O144" s="269">
        <f>IF(N144="A",$E$3,$E$4)</f>
        <v/>
      </c>
      <c r="P144" s="270">
        <f>P143+O144</f>
        <v/>
      </c>
      <c r="Q144" s="270">
        <f>P144+(M144-1)*$B$8</f>
        <v/>
      </c>
      <c r="R144" s="249">
        <f>IF(AND(Q144&lt;=$B$9,N144="A"),1,0)</f>
        <v/>
      </c>
      <c r="S144" s="249">
        <f>IF(AND(Q144&lt;=$B$9,N144="B"),1,0)</f>
        <v/>
      </c>
      <c r="T144" s="249">
        <f>IF(Q144&lt;=$B$9,1,0)</f>
        <v/>
      </c>
    </row>
    <row r="145" ht="15" customHeight="1" s="129">
      <c r="M145" s="249" t="n">
        <v>144</v>
      </c>
      <c r="N145" s="249">
        <f>IF(MOD(M145-1,$B$4+$B$7)&lt;$B$4,"A","B")</f>
        <v/>
      </c>
      <c r="O145" s="269">
        <f>IF(N145="A",$E$3,$E$4)</f>
        <v/>
      </c>
      <c r="P145" s="270">
        <f>P144+O145</f>
        <v/>
      </c>
      <c r="Q145" s="270">
        <f>P145+(M145-1)*$B$8</f>
        <v/>
      </c>
      <c r="R145" s="249">
        <f>IF(AND(Q145&lt;=$B$9,N145="A"),1,0)</f>
        <v/>
      </c>
      <c r="S145" s="249">
        <f>IF(AND(Q145&lt;=$B$9,N145="B"),1,0)</f>
        <v/>
      </c>
      <c r="T145" s="249">
        <f>IF(Q145&lt;=$B$9,1,0)</f>
        <v/>
      </c>
    </row>
    <row r="146" ht="15" customHeight="1" s="129">
      <c r="M146" s="249" t="n">
        <v>145</v>
      </c>
      <c r="N146" s="249">
        <f>IF(MOD(M146-1,$B$4+$B$7)&lt;$B$4,"A","B")</f>
        <v/>
      </c>
      <c r="O146" s="269">
        <f>IF(N146="A",$E$3,$E$4)</f>
        <v/>
      </c>
      <c r="P146" s="270">
        <f>P145+O146</f>
        <v/>
      </c>
      <c r="Q146" s="270">
        <f>P146+(M146-1)*$B$8</f>
        <v/>
      </c>
      <c r="R146" s="249">
        <f>IF(AND(Q146&lt;=$B$9,N146="A"),1,0)</f>
        <v/>
      </c>
      <c r="S146" s="249">
        <f>IF(AND(Q146&lt;=$B$9,N146="B"),1,0)</f>
        <v/>
      </c>
      <c r="T146" s="249">
        <f>IF(Q146&lt;=$B$9,1,0)</f>
        <v/>
      </c>
    </row>
    <row r="147" ht="15" customHeight="1" s="129">
      <c r="M147" s="249" t="n">
        <v>146</v>
      </c>
      <c r="N147" s="249">
        <f>IF(MOD(M147-1,$B$4+$B$7)&lt;$B$4,"A","B")</f>
        <v/>
      </c>
      <c r="O147" s="269">
        <f>IF(N147="A",$E$3,$E$4)</f>
        <v/>
      </c>
      <c r="P147" s="270">
        <f>P146+O147</f>
        <v/>
      </c>
      <c r="Q147" s="270">
        <f>P147+(M147-1)*$B$8</f>
        <v/>
      </c>
      <c r="R147" s="249">
        <f>IF(AND(Q147&lt;=$B$9,N147="A"),1,0)</f>
        <v/>
      </c>
      <c r="S147" s="249">
        <f>IF(AND(Q147&lt;=$B$9,N147="B"),1,0)</f>
        <v/>
      </c>
      <c r="T147" s="249">
        <f>IF(Q147&lt;=$B$9,1,0)</f>
        <v/>
      </c>
    </row>
    <row r="148" ht="15" customHeight="1" s="129">
      <c r="M148" s="249" t="n">
        <v>147</v>
      </c>
      <c r="N148" s="249">
        <f>IF(MOD(M148-1,$B$4+$B$7)&lt;$B$4,"A","B")</f>
        <v/>
      </c>
      <c r="O148" s="269">
        <f>IF(N148="A",$E$3,$E$4)</f>
        <v/>
      </c>
      <c r="P148" s="270">
        <f>P147+O148</f>
        <v/>
      </c>
      <c r="Q148" s="270">
        <f>P148+(M148-1)*$B$8</f>
        <v/>
      </c>
      <c r="R148" s="249">
        <f>IF(AND(Q148&lt;=$B$9,N148="A"),1,0)</f>
        <v/>
      </c>
      <c r="S148" s="249">
        <f>IF(AND(Q148&lt;=$B$9,N148="B"),1,0)</f>
        <v/>
      </c>
      <c r="T148" s="249">
        <f>IF(Q148&lt;=$B$9,1,0)</f>
        <v/>
      </c>
    </row>
    <row r="149" ht="15" customHeight="1" s="129">
      <c r="M149" s="249" t="n">
        <v>148</v>
      </c>
      <c r="N149" s="249">
        <f>IF(MOD(M149-1,$B$4+$B$7)&lt;$B$4,"A","B")</f>
        <v/>
      </c>
      <c r="O149" s="269">
        <f>IF(N149="A",$E$3,$E$4)</f>
        <v/>
      </c>
      <c r="P149" s="270">
        <f>P148+O149</f>
        <v/>
      </c>
      <c r="Q149" s="270">
        <f>P149+(M149-1)*$B$8</f>
        <v/>
      </c>
      <c r="R149" s="249">
        <f>IF(AND(Q149&lt;=$B$9,N149="A"),1,0)</f>
        <v/>
      </c>
      <c r="S149" s="249">
        <f>IF(AND(Q149&lt;=$B$9,N149="B"),1,0)</f>
        <v/>
      </c>
      <c r="T149" s="249">
        <f>IF(Q149&lt;=$B$9,1,0)</f>
        <v/>
      </c>
    </row>
    <row r="150" ht="15" customHeight="1" s="129">
      <c r="M150" s="249" t="n">
        <v>149</v>
      </c>
      <c r="N150" s="249">
        <f>IF(MOD(M150-1,$B$4+$B$7)&lt;$B$4,"A","B")</f>
        <v/>
      </c>
      <c r="O150" s="269">
        <f>IF(N150="A",$E$3,$E$4)</f>
        <v/>
      </c>
      <c r="P150" s="270">
        <f>P149+O150</f>
        <v/>
      </c>
      <c r="Q150" s="270">
        <f>P150+(M150-1)*$B$8</f>
        <v/>
      </c>
      <c r="R150" s="249">
        <f>IF(AND(Q150&lt;=$B$9,N150="A"),1,0)</f>
        <v/>
      </c>
      <c r="S150" s="249">
        <f>IF(AND(Q150&lt;=$B$9,N150="B"),1,0)</f>
        <v/>
      </c>
      <c r="T150" s="249">
        <f>IF(Q150&lt;=$B$9,1,0)</f>
        <v/>
      </c>
    </row>
    <row r="151" ht="15" customHeight="1" s="129">
      <c r="M151" s="249" t="n">
        <v>150</v>
      </c>
      <c r="N151" s="249">
        <f>IF(MOD(M151-1,$B$4+$B$7)&lt;$B$4,"A","B")</f>
        <v/>
      </c>
      <c r="O151" s="269">
        <f>IF(N151="A",$E$3,$E$4)</f>
        <v/>
      </c>
      <c r="P151" s="270">
        <f>P150+O151</f>
        <v/>
      </c>
      <c r="Q151" s="270">
        <f>P151+(M151-1)*$B$8</f>
        <v/>
      </c>
      <c r="R151" s="249">
        <f>IF(AND(Q151&lt;=$B$9,N151="A"),1,0)</f>
        <v/>
      </c>
      <c r="S151" s="249">
        <f>IF(AND(Q151&lt;=$B$9,N151="B"),1,0)</f>
        <v/>
      </c>
      <c r="T151" s="249">
        <f>IF(Q151&lt;=$B$9,1,0)</f>
        <v/>
      </c>
    </row>
    <row r="152" ht="15" customHeight="1" s="129">
      <c r="M152" s="249" t="n">
        <v>151</v>
      </c>
      <c r="N152" s="249">
        <f>IF(MOD(M152-1,$B$4+$B$7)&lt;$B$4,"A","B")</f>
        <v/>
      </c>
      <c r="O152" s="269">
        <f>IF(N152="A",$E$3,$E$4)</f>
        <v/>
      </c>
      <c r="P152" s="270">
        <f>P151+O152</f>
        <v/>
      </c>
      <c r="Q152" s="270">
        <f>P152+(M152-1)*$B$8</f>
        <v/>
      </c>
      <c r="R152" s="249">
        <f>IF(AND(Q152&lt;=$B$9,N152="A"),1,0)</f>
        <v/>
      </c>
      <c r="S152" s="249">
        <f>IF(AND(Q152&lt;=$B$9,N152="B"),1,0)</f>
        <v/>
      </c>
      <c r="T152" s="249">
        <f>IF(Q152&lt;=$B$9,1,0)</f>
        <v/>
      </c>
    </row>
    <row r="153" ht="15" customHeight="1" s="129">
      <c r="M153" s="249" t="n">
        <v>152</v>
      </c>
      <c r="N153" s="249">
        <f>IF(MOD(M153-1,$B$4+$B$7)&lt;$B$4,"A","B")</f>
        <v/>
      </c>
      <c r="O153" s="269">
        <f>IF(N153="A",$E$3,$E$4)</f>
        <v/>
      </c>
      <c r="P153" s="270">
        <f>P152+O153</f>
        <v/>
      </c>
      <c r="Q153" s="270">
        <f>P153+(M153-1)*$B$8</f>
        <v/>
      </c>
      <c r="R153" s="249">
        <f>IF(AND(Q153&lt;=$B$9,N153="A"),1,0)</f>
        <v/>
      </c>
      <c r="S153" s="249">
        <f>IF(AND(Q153&lt;=$B$9,N153="B"),1,0)</f>
        <v/>
      </c>
      <c r="T153" s="249">
        <f>IF(Q153&lt;=$B$9,1,0)</f>
        <v/>
      </c>
    </row>
    <row r="154" ht="15" customHeight="1" s="129">
      <c r="M154" s="249" t="n">
        <v>153</v>
      </c>
      <c r="N154" s="249">
        <f>IF(MOD(M154-1,$B$4+$B$7)&lt;$B$4,"A","B")</f>
        <v/>
      </c>
      <c r="O154" s="269">
        <f>IF(N154="A",$E$3,$E$4)</f>
        <v/>
      </c>
      <c r="P154" s="270">
        <f>P153+O154</f>
        <v/>
      </c>
      <c r="Q154" s="270">
        <f>P154+(M154-1)*$B$8</f>
        <v/>
      </c>
      <c r="R154" s="249">
        <f>IF(AND(Q154&lt;=$B$9,N154="A"),1,0)</f>
        <v/>
      </c>
      <c r="S154" s="249">
        <f>IF(AND(Q154&lt;=$B$9,N154="B"),1,0)</f>
        <v/>
      </c>
      <c r="T154" s="249">
        <f>IF(Q154&lt;=$B$9,1,0)</f>
        <v/>
      </c>
    </row>
    <row r="155" ht="15" customHeight="1" s="129">
      <c r="M155" s="249" t="n">
        <v>154</v>
      </c>
      <c r="N155" s="249">
        <f>IF(MOD(M155-1,$B$4+$B$7)&lt;$B$4,"A","B")</f>
        <v/>
      </c>
      <c r="O155" s="269">
        <f>IF(N155="A",$E$3,$E$4)</f>
        <v/>
      </c>
      <c r="P155" s="270">
        <f>P154+O155</f>
        <v/>
      </c>
      <c r="Q155" s="270">
        <f>P155+(M155-1)*$B$8</f>
        <v/>
      </c>
      <c r="R155" s="249">
        <f>IF(AND(Q155&lt;=$B$9,N155="A"),1,0)</f>
        <v/>
      </c>
      <c r="S155" s="249">
        <f>IF(AND(Q155&lt;=$B$9,N155="B"),1,0)</f>
        <v/>
      </c>
      <c r="T155" s="249">
        <f>IF(Q155&lt;=$B$9,1,0)</f>
        <v/>
      </c>
    </row>
    <row r="156" ht="15" customHeight="1" s="129">
      <c r="M156" s="249" t="n">
        <v>155</v>
      </c>
      <c r="N156" s="249">
        <f>IF(MOD(M156-1,$B$4+$B$7)&lt;$B$4,"A","B")</f>
        <v/>
      </c>
      <c r="O156" s="269">
        <f>IF(N156="A",$E$3,$E$4)</f>
        <v/>
      </c>
      <c r="P156" s="270">
        <f>P155+O156</f>
        <v/>
      </c>
      <c r="Q156" s="270">
        <f>P156+(M156-1)*$B$8</f>
        <v/>
      </c>
      <c r="R156" s="249">
        <f>IF(AND(Q156&lt;=$B$9,N156="A"),1,0)</f>
        <v/>
      </c>
      <c r="S156" s="249">
        <f>IF(AND(Q156&lt;=$B$9,N156="B"),1,0)</f>
        <v/>
      </c>
      <c r="T156" s="249">
        <f>IF(Q156&lt;=$B$9,1,0)</f>
        <v/>
      </c>
    </row>
    <row r="157" ht="15" customHeight="1" s="129">
      <c r="M157" s="249" t="n">
        <v>156</v>
      </c>
      <c r="N157" s="249">
        <f>IF(MOD(M157-1,$B$4+$B$7)&lt;$B$4,"A","B")</f>
        <v/>
      </c>
      <c r="O157" s="269">
        <f>IF(N157="A",$E$3,$E$4)</f>
        <v/>
      </c>
      <c r="P157" s="270">
        <f>P156+O157</f>
        <v/>
      </c>
      <c r="Q157" s="270">
        <f>P157+(M157-1)*$B$8</f>
        <v/>
      </c>
      <c r="R157" s="249">
        <f>IF(AND(Q157&lt;=$B$9,N157="A"),1,0)</f>
        <v/>
      </c>
      <c r="S157" s="249">
        <f>IF(AND(Q157&lt;=$B$9,N157="B"),1,0)</f>
        <v/>
      </c>
      <c r="T157" s="249">
        <f>IF(Q157&lt;=$B$9,1,0)</f>
        <v/>
      </c>
    </row>
    <row r="158" ht="15" customHeight="1" s="129">
      <c r="M158" s="249" t="n">
        <v>157</v>
      </c>
      <c r="N158" s="249">
        <f>IF(MOD(M158-1,$B$4+$B$7)&lt;$B$4,"A","B")</f>
        <v/>
      </c>
      <c r="O158" s="269">
        <f>IF(N158="A",$E$3,$E$4)</f>
        <v/>
      </c>
      <c r="P158" s="270">
        <f>P157+O158</f>
        <v/>
      </c>
      <c r="Q158" s="270">
        <f>P158+(M158-1)*$B$8</f>
        <v/>
      </c>
      <c r="R158" s="249">
        <f>IF(AND(Q158&lt;=$B$9,N158="A"),1,0)</f>
        <v/>
      </c>
      <c r="S158" s="249">
        <f>IF(AND(Q158&lt;=$B$9,N158="B"),1,0)</f>
        <v/>
      </c>
      <c r="T158" s="249">
        <f>IF(Q158&lt;=$B$9,1,0)</f>
        <v/>
      </c>
    </row>
    <row r="159" ht="15" customHeight="1" s="129">
      <c r="M159" s="249" t="n">
        <v>158</v>
      </c>
      <c r="N159" s="249">
        <f>IF(MOD(M159-1,$B$4+$B$7)&lt;$B$4,"A","B")</f>
        <v/>
      </c>
      <c r="O159" s="269">
        <f>IF(N159="A",$E$3,$E$4)</f>
        <v/>
      </c>
      <c r="P159" s="270">
        <f>P158+O159</f>
        <v/>
      </c>
      <c r="Q159" s="270">
        <f>P159+(M159-1)*$B$8</f>
        <v/>
      </c>
      <c r="R159" s="249">
        <f>IF(AND(Q159&lt;=$B$9,N159="A"),1,0)</f>
        <v/>
      </c>
      <c r="S159" s="249">
        <f>IF(AND(Q159&lt;=$B$9,N159="B"),1,0)</f>
        <v/>
      </c>
      <c r="T159" s="249">
        <f>IF(Q159&lt;=$B$9,1,0)</f>
        <v/>
      </c>
    </row>
    <row r="160" ht="15" customHeight="1" s="129">
      <c r="M160" s="249" t="n">
        <v>159</v>
      </c>
      <c r="N160" s="249">
        <f>IF(MOD(M160-1,$B$4+$B$7)&lt;$B$4,"A","B")</f>
        <v/>
      </c>
      <c r="O160" s="269">
        <f>IF(N160="A",$E$3,$E$4)</f>
        <v/>
      </c>
      <c r="P160" s="270">
        <f>P159+O160</f>
        <v/>
      </c>
      <c r="Q160" s="270">
        <f>P160+(M160-1)*$B$8</f>
        <v/>
      </c>
      <c r="R160" s="249">
        <f>IF(AND(Q160&lt;=$B$9,N160="A"),1,0)</f>
        <v/>
      </c>
      <c r="S160" s="249">
        <f>IF(AND(Q160&lt;=$B$9,N160="B"),1,0)</f>
        <v/>
      </c>
      <c r="T160" s="249">
        <f>IF(Q160&lt;=$B$9,1,0)</f>
        <v/>
      </c>
    </row>
    <row r="161" ht="15" customHeight="1" s="129">
      <c r="M161" s="249" t="n">
        <v>160</v>
      </c>
      <c r="N161" s="249">
        <f>IF(MOD(M161-1,$B$4+$B$7)&lt;$B$4,"A","B")</f>
        <v/>
      </c>
      <c r="O161" s="269">
        <f>IF(N161="A",$E$3,$E$4)</f>
        <v/>
      </c>
      <c r="P161" s="270">
        <f>P160+O161</f>
        <v/>
      </c>
      <c r="Q161" s="270">
        <f>P161+(M161-1)*$B$8</f>
        <v/>
      </c>
      <c r="R161" s="249">
        <f>IF(AND(Q161&lt;=$B$9,N161="A"),1,0)</f>
        <v/>
      </c>
      <c r="S161" s="249">
        <f>IF(AND(Q161&lt;=$B$9,N161="B"),1,0)</f>
        <v/>
      </c>
      <c r="T161" s="249">
        <f>IF(Q161&lt;=$B$9,1,0)</f>
        <v/>
      </c>
    </row>
    <row r="162" ht="15" customHeight="1" s="129">
      <c r="M162" s="249" t="n">
        <v>161</v>
      </c>
      <c r="N162" s="249">
        <f>IF(MOD(M162-1,$B$4+$B$7)&lt;$B$4,"A","B")</f>
        <v/>
      </c>
      <c r="O162" s="269">
        <f>IF(N162="A",$E$3,$E$4)</f>
        <v/>
      </c>
      <c r="P162" s="270">
        <f>P161+O162</f>
        <v/>
      </c>
      <c r="Q162" s="270">
        <f>P162+(M162-1)*$B$8</f>
        <v/>
      </c>
      <c r="R162" s="249">
        <f>IF(AND(Q162&lt;=$B$9,N162="A"),1,0)</f>
        <v/>
      </c>
      <c r="S162" s="249">
        <f>IF(AND(Q162&lt;=$B$9,N162="B"),1,0)</f>
        <v/>
      </c>
      <c r="T162" s="249">
        <f>IF(Q162&lt;=$B$9,1,0)</f>
        <v/>
      </c>
    </row>
    <row r="163" ht="15" customHeight="1" s="129">
      <c r="M163" s="249" t="n">
        <v>162</v>
      </c>
      <c r="N163" s="249">
        <f>IF(MOD(M163-1,$B$4+$B$7)&lt;$B$4,"A","B")</f>
        <v/>
      </c>
      <c r="O163" s="269">
        <f>IF(N163="A",$E$3,$E$4)</f>
        <v/>
      </c>
      <c r="P163" s="270">
        <f>P162+O163</f>
        <v/>
      </c>
      <c r="Q163" s="270">
        <f>P163+(M163-1)*$B$8</f>
        <v/>
      </c>
      <c r="R163" s="249">
        <f>IF(AND(Q163&lt;=$B$9,N163="A"),1,0)</f>
        <v/>
      </c>
      <c r="S163" s="249">
        <f>IF(AND(Q163&lt;=$B$9,N163="B"),1,0)</f>
        <v/>
      </c>
      <c r="T163" s="249">
        <f>IF(Q163&lt;=$B$9,1,0)</f>
        <v/>
      </c>
    </row>
    <row r="164" ht="15" customHeight="1" s="129">
      <c r="M164" s="249" t="n">
        <v>163</v>
      </c>
      <c r="N164" s="249">
        <f>IF(MOD(M164-1,$B$4+$B$7)&lt;$B$4,"A","B")</f>
        <v/>
      </c>
      <c r="O164" s="269">
        <f>IF(N164="A",$E$3,$E$4)</f>
        <v/>
      </c>
      <c r="P164" s="270">
        <f>P163+O164</f>
        <v/>
      </c>
      <c r="Q164" s="270">
        <f>P164+(M164-1)*$B$8</f>
        <v/>
      </c>
      <c r="R164" s="249">
        <f>IF(AND(Q164&lt;=$B$9,N164="A"),1,0)</f>
        <v/>
      </c>
      <c r="S164" s="249">
        <f>IF(AND(Q164&lt;=$B$9,N164="B"),1,0)</f>
        <v/>
      </c>
      <c r="T164" s="249">
        <f>IF(Q164&lt;=$B$9,1,0)</f>
        <v/>
      </c>
    </row>
    <row r="165" ht="15" customHeight="1" s="129">
      <c r="M165" s="249" t="n">
        <v>164</v>
      </c>
      <c r="N165" s="249">
        <f>IF(MOD(M165-1,$B$4+$B$7)&lt;$B$4,"A","B")</f>
        <v/>
      </c>
      <c r="O165" s="269">
        <f>IF(N165="A",$E$3,$E$4)</f>
        <v/>
      </c>
      <c r="P165" s="270">
        <f>P164+O165</f>
        <v/>
      </c>
      <c r="Q165" s="270">
        <f>P165+(M165-1)*$B$8</f>
        <v/>
      </c>
      <c r="R165" s="249">
        <f>IF(AND(Q165&lt;=$B$9,N165="A"),1,0)</f>
        <v/>
      </c>
      <c r="S165" s="249">
        <f>IF(AND(Q165&lt;=$B$9,N165="B"),1,0)</f>
        <v/>
      </c>
      <c r="T165" s="249">
        <f>IF(Q165&lt;=$B$9,1,0)</f>
        <v/>
      </c>
    </row>
    <row r="166" ht="15" customHeight="1" s="129">
      <c r="M166" s="249" t="n">
        <v>165</v>
      </c>
      <c r="N166" s="249">
        <f>IF(MOD(M166-1,$B$4+$B$7)&lt;$B$4,"A","B")</f>
        <v/>
      </c>
      <c r="O166" s="269">
        <f>IF(N166="A",$E$3,$E$4)</f>
        <v/>
      </c>
      <c r="P166" s="270">
        <f>P165+O166</f>
        <v/>
      </c>
      <c r="Q166" s="270">
        <f>P166+(M166-1)*$B$8</f>
        <v/>
      </c>
      <c r="R166" s="249">
        <f>IF(AND(Q166&lt;=$B$9,N166="A"),1,0)</f>
        <v/>
      </c>
      <c r="S166" s="249">
        <f>IF(AND(Q166&lt;=$B$9,N166="B"),1,0)</f>
        <v/>
      </c>
      <c r="T166" s="249">
        <f>IF(Q166&lt;=$B$9,1,0)</f>
        <v/>
      </c>
    </row>
    <row r="167" ht="15" customHeight="1" s="129">
      <c r="M167" s="249" t="n">
        <v>166</v>
      </c>
      <c r="N167" s="249">
        <f>IF(MOD(M167-1,$B$4+$B$7)&lt;$B$4,"A","B")</f>
        <v/>
      </c>
      <c r="O167" s="269">
        <f>IF(N167="A",$E$3,$E$4)</f>
        <v/>
      </c>
      <c r="P167" s="270">
        <f>P166+O167</f>
        <v/>
      </c>
      <c r="Q167" s="270">
        <f>P167+(M167-1)*$B$8</f>
        <v/>
      </c>
      <c r="R167" s="249">
        <f>IF(AND(Q167&lt;=$B$9,N167="A"),1,0)</f>
        <v/>
      </c>
      <c r="S167" s="249">
        <f>IF(AND(Q167&lt;=$B$9,N167="B"),1,0)</f>
        <v/>
      </c>
      <c r="T167" s="249">
        <f>IF(Q167&lt;=$B$9,1,0)</f>
        <v/>
      </c>
    </row>
    <row r="168" ht="15" customHeight="1" s="129">
      <c r="M168" s="249" t="n">
        <v>167</v>
      </c>
      <c r="N168" s="249">
        <f>IF(MOD(M168-1,$B$4+$B$7)&lt;$B$4,"A","B")</f>
        <v/>
      </c>
      <c r="O168" s="269">
        <f>IF(N168="A",$E$3,$E$4)</f>
        <v/>
      </c>
      <c r="P168" s="270">
        <f>P167+O168</f>
        <v/>
      </c>
      <c r="Q168" s="270">
        <f>P168+(M168-1)*$B$8</f>
        <v/>
      </c>
      <c r="R168" s="249">
        <f>IF(AND(Q168&lt;=$B$9,N168="A"),1,0)</f>
        <v/>
      </c>
      <c r="S168" s="249">
        <f>IF(AND(Q168&lt;=$B$9,N168="B"),1,0)</f>
        <v/>
      </c>
      <c r="T168" s="249">
        <f>IF(Q168&lt;=$B$9,1,0)</f>
        <v/>
      </c>
    </row>
    <row r="169" ht="15" customHeight="1" s="129">
      <c r="M169" s="249" t="n">
        <v>168</v>
      </c>
      <c r="N169" s="249">
        <f>IF(MOD(M169-1,$B$4+$B$7)&lt;$B$4,"A","B")</f>
        <v/>
      </c>
      <c r="O169" s="269">
        <f>IF(N169="A",$E$3,$E$4)</f>
        <v/>
      </c>
      <c r="P169" s="270">
        <f>P168+O169</f>
        <v/>
      </c>
      <c r="Q169" s="270">
        <f>P169+(M169-1)*$B$8</f>
        <v/>
      </c>
      <c r="R169" s="249">
        <f>IF(AND(Q169&lt;=$B$9,N169="A"),1,0)</f>
        <v/>
      </c>
      <c r="S169" s="249">
        <f>IF(AND(Q169&lt;=$B$9,N169="B"),1,0)</f>
        <v/>
      </c>
      <c r="T169" s="249">
        <f>IF(Q169&lt;=$B$9,1,0)</f>
        <v/>
      </c>
    </row>
    <row r="170" ht="15" customHeight="1" s="129">
      <c r="M170" s="249" t="n">
        <v>169</v>
      </c>
      <c r="N170" s="249">
        <f>IF(MOD(M170-1,$B$4+$B$7)&lt;$B$4,"A","B")</f>
        <v/>
      </c>
      <c r="O170" s="269">
        <f>IF(N170="A",$E$3,$E$4)</f>
        <v/>
      </c>
      <c r="P170" s="270">
        <f>P169+O170</f>
        <v/>
      </c>
      <c r="Q170" s="270">
        <f>P170+(M170-1)*$B$8</f>
        <v/>
      </c>
      <c r="R170" s="249">
        <f>IF(AND(Q170&lt;=$B$9,N170="A"),1,0)</f>
        <v/>
      </c>
      <c r="S170" s="249">
        <f>IF(AND(Q170&lt;=$B$9,N170="B"),1,0)</f>
        <v/>
      </c>
      <c r="T170" s="249">
        <f>IF(Q170&lt;=$B$9,1,0)</f>
        <v/>
      </c>
    </row>
    <row r="171" ht="15" customHeight="1" s="129">
      <c r="M171" s="249" t="n">
        <v>170</v>
      </c>
      <c r="N171" s="249">
        <f>IF(MOD(M171-1,$B$4+$B$7)&lt;$B$4,"A","B")</f>
        <v/>
      </c>
      <c r="O171" s="269">
        <f>IF(N171="A",$E$3,$E$4)</f>
        <v/>
      </c>
      <c r="P171" s="270">
        <f>P170+O171</f>
        <v/>
      </c>
      <c r="Q171" s="270">
        <f>P171+(M171-1)*$B$8</f>
        <v/>
      </c>
      <c r="R171" s="249">
        <f>IF(AND(Q171&lt;=$B$9,N171="A"),1,0)</f>
        <v/>
      </c>
      <c r="S171" s="249">
        <f>IF(AND(Q171&lt;=$B$9,N171="B"),1,0)</f>
        <v/>
      </c>
      <c r="T171" s="249">
        <f>IF(Q171&lt;=$B$9,1,0)</f>
        <v/>
      </c>
    </row>
    <row r="172" ht="15" customHeight="1" s="129">
      <c r="M172" s="249" t="n">
        <v>171</v>
      </c>
      <c r="N172" s="249">
        <f>IF(MOD(M172-1,$B$4+$B$7)&lt;$B$4,"A","B")</f>
        <v/>
      </c>
      <c r="O172" s="269">
        <f>IF(N172="A",$E$3,$E$4)</f>
        <v/>
      </c>
      <c r="P172" s="270">
        <f>P171+O172</f>
        <v/>
      </c>
      <c r="Q172" s="270">
        <f>P172+(M172-1)*$B$8</f>
        <v/>
      </c>
      <c r="R172" s="249">
        <f>IF(AND(Q172&lt;=$B$9,N172="A"),1,0)</f>
        <v/>
      </c>
      <c r="S172" s="249">
        <f>IF(AND(Q172&lt;=$B$9,N172="B"),1,0)</f>
        <v/>
      </c>
      <c r="T172" s="249">
        <f>IF(Q172&lt;=$B$9,1,0)</f>
        <v/>
      </c>
    </row>
    <row r="173" ht="15" customHeight="1" s="129">
      <c r="M173" s="249" t="n">
        <v>172</v>
      </c>
      <c r="N173" s="249">
        <f>IF(MOD(M173-1,$B$4+$B$7)&lt;$B$4,"A","B")</f>
        <v/>
      </c>
      <c r="O173" s="269">
        <f>IF(N173="A",$E$3,$E$4)</f>
        <v/>
      </c>
      <c r="P173" s="270">
        <f>P172+O173</f>
        <v/>
      </c>
      <c r="Q173" s="270">
        <f>P173+(M173-1)*$B$8</f>
        <v/>
      </c>
      <c r="R173" s="249">
        <f>IF(AND(Q173&lt;=$B$9,N173="A"),1,0)</f>
        <v/>
      </c>
      <c r="S173" s="249">
        <f>IF(AND(Q173&lt;=$B$9,N173="B"),1,0)</f>
        <v/>
      </c>
      <c r="T173" s="249">
        <f>IF(Q173&lt;=$B$9,1,0)</f>
        <v/>
      </c>
    </row>
    <row r="174" ht="15" customHeight="1" s="129">
      <c r="M174" s="249" t="n">
        <v>173</v>
      </c>
      <c r="N174" s="249">
        <f>IF(MOD(M174-1,$B$4+$B$7)&lt;$B$4,"A","B")</f>
        <v/>
      </c>
      <c r="O174" s="269">
        <f>IF(N174="A",$E$3,$E$4)</f>
        <v/>
      </c>
      <c r="P174" s="270">
        <f>P173+O174</f>
        <v/>
      </c>
      <c r="Q174" s="270">
        <f>P174+(M174-1)*$B$8</f>
        <v/>
      </c>
      <c r="R174" s="249">
        <f>IF(AND(Q174&lt;=$B$9,N174="A"),1,0)</f>
        <v/>
      </c>
      <c r="S174" s="249">
        <f>IF(AND(Q174&lt;=$B$9,N174="B"),1,0)</f>
        <v/>
      </c>
      <c r="T174" s="249">
        <f>IF(Q174&lt;=$B$9,1,0)</f>
        <v/>
      </c>
    </row>
    <row r="175" ht="15" customHeight="1" s="129">
      <c r="M175" s="249" t="n">
        <v>174</v>
      </c>
      <c r="N175" s="249">
        <f>IF(MOD(M175-1,$B$4+$B$7)&lt;$B$4,"A","B")</f>
        <v/>
      </c>
      <c r="O175" s="269">
        <f>IF(N175="A",$E$3,$E$4)</f>
        <v/>
      </c>
      <c r="P175" s="270">
        <f>P174+O175</f>
        <v/>
      </c>
      <c r="Q175" s="270">
        <f>P175+(M175-1)*$B$8</f>
        <v/>
      </c>
      <c r="R175" s="249">
        <f>IF(AND(Q175&lt;=$B$9,N175="A"),1,0)</f>
        <v/>
      </c>
      <c r="S175" s="249">
        <f>IF(AND(Q175&lt;=$B$9,N175="B"),1,0)</f>
        <v/>
      </c>
      <c r="T175" s="249">
        <f>IF(Q175&lt;=$B$9,1,0)</f>
        <v/>
      </c>
    </row>
    <row r="176" ht="15" customHeight="1" s="129">
      <c r="M176" s="249" t="n">
        <v>175</v>
      </c>
      <c r="N176" s="249">
        <f>IF(MOD(M176-1,$B$4+$B$7)&lt;$B$4,"A","B")</f>
        <v/>
      </c>
      <c r="O176" s="269">
        <f>IF(N176="A",$E$3,$E$4)</f>
        <v/>
      </c>
      <c r="P176" s="270">
        <f>P175+O176</f>
        <v/>
      </c>
      <c r="Q176" s="270">
        <f>P176+(M176-1)*$B$8</f>
        <v/>
      </c>
      <c r="R176" s="249">
        <f>IF(AND(Q176&lt;=$B$9,N176="A"),1,0)</f>
        <v/>
      </c>
      <c r="S176" s="249">
        <f>IF(AND(Q176&lt;=$B$9,N176="B"),1,0)</f>
        <v/>
      </c>
      <c r="T176" s="249">
        <f>IF(Q176&lt;=$B$9,1,0)</f>
        <v/>
      </c>
    </row>
    <row r="177" ht="15" customHeight="1" s="129">
      <c r="M177" s="249" t="n">
        <v>176</v>
      </c>
      <c r="N177" s="249">
        <f>IF(MOD(M177-1,$B$4+$B$7)&lt;$B$4,"A","B")</f>
        <v/>
      </c>
      <c r="O177" s="269">
        <f>IF(N177="A",$E$3,$E$4)</f>
        <v/>
      </c>
      <c r="P177" s="270">
        <f>P176+O177</f>
        <v/>
      </c>
      <c r="Q177" s="270">
        <f>P177+(M177-1)*$B$8</f>
        <v/>
      </c>
      <c r="R177" s="249">
        <f>IF(AND(Q177&lt;=$B$9,N177="A"),1,0)</f>
        <v/>
      </c>
      <c r="S177" s="249">
        <f>IF(AND(Q177&lt;=$B$9,N177="B"),1,0)</f>
        <v/>
      </c>
      <c r="T177" s="249">
        <f>IF(Q177&lt;=$B$9,1,0)</f>
        <v/>
      </c>
    </row>
    <row r="178" ht="15" customHeight="1" s="129">
      <c r="M178" s="249" t="n">
        <v>177</v>
      </c>
      <c r="N178" s="249">
        <f>IF(MOD(M178-1,$B$4+$B$7)&lt;$B$4,"A","B")</f>
        <v/>
      </c>
      <c r="O178" s="269">
        <f>IF(N178="A",$E$3,$E$4)</f>
        <v/>
      </c>
      <c r="P178" s="270">
        <f>P177+O178</f>
        <v/>
      </c>
      <c r="Q178" s="270">
        <f>P178+(M178-1)*$B$8</f>
        <v/>
      </c>
      <c r="R178" s="249">
        <f>IF(AND(Q178&lt;=$B$9,N178="A"),1,0)</f>
        <v/>
      </c>
      <c r="S178" s="249">
        <f>IF(AND(Q178&lt;=$B$9,N178="B"),1,0)</f>
        <v/>
      </c>
      <c r="T178" s="249">
        <f>IF(Q178&lt;=$B$9,1,0)</f>
        <v/>
      </c>
    </row>
    <row r="179" ht="15" customHeight="1" s="129">
      <c r="M179" s="249" t="n">
        <v>178</v>
      </c>
      <c r="N179" s="249">
        <f>IF(MOD(M179-1,$B$4+$B$7)&lt;$B$4,"A","B")</f>
        <v/>
      </c>
      <c r="O179" s="269">
        <f>IF(N179="A",$E$3,$E$4)</f>
        <v/>
      </c>
      <c r="P179" s="270">
        <f>P178+O179</f>
        <v/>
      </c>
      <c r="Q179" s="270">
        <f>P179+(M179-1)*$B$8</f>
        <v/>
      </c>
      <c r="R179" s="249">
        <f>IF(AND(Q179&lt;=$B$9,N179="A"),1,0)</f>
        <v/>
      </c>
      <c r="S179" s="249">
        <f>IF(AND(Q179&lt;=$B$9,N179="B"),1,0)</f>
        <v/>
      </c>
      <c r="T179" s="249">
        <f>IF(Q179&lt;=$B$9,1,0)</f>
        <v/>
      </c>
    </row>
    <row r="180" ht="15" customHeight="1" s="129">
      <c r="M180" s="249" t="n">
        <v>179</v>
      </c>
      <c r="N180" s="249">
        <f>IF(MOD(M180-1,$B$4+$B$7)&lt;$B$4,"A","B")</f>
        <v/>
      </c>
      <c r="O180" s="269">
        <f>IF(N180="A",$E$3,$E$4)</f>
        <v/>
      </c>
      <c r="P180" s="270">
        <f>P179+O180</f>
        <v/>
      </c>
      <c r="Q180" s="270">
        <f>P180+(M180-1)*$B$8</f>
        <v/>
      </c>
      <c r="R180" s="249">
        <f>IF(AND(Q180&lt;=$B$9,N180="A"),1,0)</f>
        <v/>
      </c>
      <c r="S180" s="249">
        <f>IF(AND(Q180&lt;=$B$9,N180="B"),1,0)</f>
        <v/>
      </c>
      <c r="T180" s="249">
        <f>IF(Q180&lt;=$B$9,1,0)</f>
        <v/>
      </c>
    </row>
    <row r="181" ht="15" customHeight="1" s="129">
      <c r="M181" s="249" t="n">
        <v>180</v>
      </c>
      <c r="N181" s="249">
        <f>IF(MOD(M181-1,$B$4+$B$7)&lt;$B$4,"A","B")</f>
        <v/>
      </c>
      <c r="O181" s="269">
        <f>IF(N181="A",$E$3,$E$4)</f>
        <v/>
      </c>
      <c r="P181" s="270">
        <f>P180+O181</f>
        <v/>
      </c>
      <c r="Q181" s="270">
        <f>P181+(M181-1)*$B$8</f>
        <v/>
      </c>
      <c r="R181" s="249">
        <f>IF(AND(Q181&lt;=$B$9,N181="A"),1,0)</f>
        <v/>
      </c>
      <c r="S181" s="249">
        <f>IF(AND(Q181&lt;=$B$9,N181="B"),1,0)</f>
        <v/>
      </c>
      <c r="T181" s="249">
        <f>IF(Q181&lt;=$B$9,1,0)</f>
        <v/>
      </c>
    </row>
    <row r="182" ht="15" customHeight="1" s="129">
      <c r="M182" s="249" t="n">
        <v>181</v>
      </c>
      <c r="N182" s="249">
        <f>IF(MOD(M182-1,$B$4+$B$7)&lt;$B$4,"A","B")</f>
        <v/>
      </c>
      <c r="O182" s="269">
        <f>IF(N182="A",$E$3,$E$4)</f>
        <v/>
      </c>
      <c r="P182" s="270">
        <f>P181+O182</f>
        <v/>
      </c>
      <c r="Q182" s="270">
        <f>P182+(M182-1)*$B$8</f>
        <v/>
      </c>
      <c r="R182" s="249">
        <f>IF(AND(Q182&lt;=$B$9,N182="A"),1,0)</f>
        <v/>
      </c>
      <c r="S182" s="249">
        <f>IF(AND(Q182&lt;=$B$9,N182="B"),1,0)</f>
        <v/>
      </c>
      <c r="T182" s="249">
        <f>IF(Q182&lt;=$B$9,1,0)</f>
        <v/>
      </c>
    </row>
    <row r="183" ht="15" customHeight="1" s="129">
      <c r="M183" s="249" t="n">
        <v>182</v>
      </c>
      <c r="N183" s="249">
        <f>IF(MOD(M183-1,$B$4+$B$7)&lt;$B$4,"A","B")</f>
        <v/>
      </c>
      <c r="O183" s="269">
        <f>IF(N183="A",$E$3,$E$4)</f>
        <v/>
      </c>
      <c r="P183" s="270">
        <f>P182+O183</f>
        <v/>
      </c>
      <c r="Q183" s="270">
        <f>P183+(M183-1)*$B$8</f>
        <v/>
      </c>
      <c r="R183" s="249">
        <f>IF(AND(Q183&lt;=$B$9,N183="A"),1,0)</f>
        <v/>
      </c>
      <c r="S183" s="249">
        <f>IF(AND(Q183&lt;=$B$9,N183="B"),1,0)</f>
        <v/>
      </c>
      <c r="T183" s="249">
        <f>IF(Q183&lt;=$B$9,1,0)</f>
        <v/>
      </c>
    </row>
    <row r="184" ht="15" customHeight="1" s="129">
      <c r="M184" s="249" t="n">
        <v>183</v>
      </c>
      <c r="N184" s="249">
        <f>IF(MOD(M184-1,$B$4+$B$7)&lt;$B$4,"A","B")</f>
        <v/>
      </c>
      <c r="O184" s="269">
        <f>IF(N184="A",$E$3,$E$4)</f>
        <v/>
      </c>
      <c r="P184" s="270">
        <f>P183+O184</f>
        <v/>
      </c>
      <c r="Q184" s="270">
        <f>P184+(M184-1)*$B$8</f>
        <v/>
      </c>
      <c r="R184" s="249">
        <f>IF(AND(Q184&lt;=$B$9,N184="A"),1,0)</f>
        <v/>
      </c>
      <c r="S184" s="249">
        <f>IF(AND(Q184&lt;=$B$9,N184="B"),1,0)</f>
        <v/>
      </c>
      <c r="T184" s="249">
        <f>IF(Q184&lt;=$B$9,1,0)</f>
        <v/>
      </c>
    </row>
    <row r="185" ht="15" customHeight="1" s="129">
      <c r="M185" s="249" t="n">
        <v>184</v>
      </c>
      <c r="N185" s="249">
        <f>IF(MOD(M185-1,$B$4+$B$7)&lt;$B$4,"A","B")</f>
        <v/>
      </c>
      <c r="O185" s="269">
        <f>IF(N185="A",$E$3,$E$4)</f>
        <v/>
      </c>
      <c r="P185" s="270">
        <f>P184+O185</f>
        <v/>
      </c>
      <c r="Q185" s="270">
        <f>P185+(M185-1)*$B$8</f>
        <v/>
      </c>
      <c r="R185" s="249">
        <f>IF(AND(Q185&lt;=$B$9,N185="A"),1,0)</f>
        <v/>
      </c>
      <c r="S185" s="249">
        <f>IF(AND(Q185&lt;=$B$9,N185="B"),1,0)</f>
        <v/>
      </c>
      <c r="T185" s="249">
        <f>IF(Q185&lt;=$B$9,1,0)</f>
        <v/>
      </c>
    </row>
    <row r="186" ht="15" customHeight="1" s="129">
      <c r="M186" s="249" t="n">
        <v>185</v>
      </c>
      <c r="N186" s="249">
        <f>IF(MOD(M186-1,$B$4+$B$7)&lt;$B$4,"A","B")</f>
        <v/>
      </c>
      <c r="O186" s="269">
        <f>IF(N186="A",$E$3,$E$4)</f>
        <v/>
      </c>
      <c r="P186" s="270">
        <f>P185+O186</f>
        <v/>
      </c>
      <c r="Q186" s="270">
        <f>P186+(M186-1)*$B$8</f>
        <v/>
      </c>
      <c r="R186" s="249">
        <f>IF(AND(Q186&lt;=$B$9,N186="A"),1,0)</f>
        <v/>
      </c>
      <c r="S186" s="249">
        <f>IF(AND(Q186&lt;=$B$9,N186="B"),1,0)</f>
        <v/>
      </c>
      <c r="T186" s="249">
        <f>IF(Q186&lt;=$B$9,1,0)</f>
        <v/>
      </c>
    </row>
    <row r="187" ht="15" customHeight="1" s="129">
      <c r="M187" s="249" t="n">
        <v>186</v>
      </c>
      <c r="N187" s="249">
        <f>IF(MOD(M187-1,$B$4+$B$7)&lt;$B$4,"A","B")</f>
        <v/>
      </c>
      <c r="O187" s="269">
        <f>IF(N187="A",$E$3,$E$4)</f>
        <v/>
      </c>
      <c r="P187" s="270">
        <f>P186+O187</f>
        <v/>
      </c>
      <c r="Q187" s="270">
        <f>P187+(M187-1)*$B$8</f>
        <v/>
      </c>
      <c r="R187" s="249">
        <f>IF(AND(Q187&lt;=$B$9,N187="A"),1,0)</f>
        <v/>
      </c>
      <c r="S187" s="249">
        <f>IF(AND(Q187&lt;=$B$9,N187="B"),1,0)</f>
        <v/>
      </c>
      <c r="T187" s="249">
        <f>IF(Q187&lt;=$B$9,1,0)</f>
        <v/>
      </c>
    </row>
    <row r="188" ht="15" customHeight="1" s="129">
      <c r="M188" s="249" t="n">
        <v>187</v>
      </c>
      <c r="N188" s="249">
        <f>IF(MOD(M188-1,$B$4+$B$7)&lt;$B$4,"A","B")</f>
        <v/>
      </c>
      <c r="O188" s="269">
        <f>IF(N188="A",$E$3,$E$4)</f>
        <v/>
      </c>
      <c r="P188" s="270">
        <f>P187+O188</f>
        <v/>
      </c>
      <c r="Q188" s="270">
        <f>P188+(M188-1)*$B$8</f>
        <v/>
      </c>
      <c r="R188" s="249">
        <f>IF(AND(Q188&lt;=$B$9,N188="A"),1,0)</f>
        <v/>
      </c>
      <c r="S188" s="249">
        <f>IF(AND(Q188&lt;=$B$9,N188="B"),1,0)</f>
        <v/>
      </c>
      <c r="T188" s="249">
        <f>IF(Q188&lt;=$B$9,1,0)</f>
        <v/>
      </c>
    </row>
    <row r="189" ht="15" customHeight="1" s="129">
      <c r="M189" s="249" t="n">
        <v>188</v>
      </c>
      <c r="N189" s="249">
        <f>IF(MOD(M189-1,$B$4+$B$7)&lt;$B$4,"A","B")</f>
        <v/>
      </c>
      <c r="O189" s="269">
        <f>IF(N189="A",$E$3,$E$4)</f>
        <v/>
      </c>
      <c r="P189" s="270">
        <f>P188+O189</f>
        <v/>
      </c>
      <c r="Q189" s="270">
        <f>P189+(M189-1)*$B$8</f>
        <v/>
      </c>
      <c r="R189" s="249">
        <f>IF(AND(Q189&lt;=$B$9,N189="A"),1,0)</f>
        <v/>
      </c>
      <c r="S189" s="249">
        <f>IF(AND(Q189&lt;=$B$9,N189="B"),1,0)</f>
        <v/>
      </c>
      <c r="T189" s="249">
        <f>IF(Q189&lt;=$B$9,1,0)</f>
        <v/>
      </c>
    </row>
    <row r="190" ht="15" customHeight="1" s="129">
      <c r="M190" s="249" t="n">
        <v>189</v>
      </c>
      <c r="N190" s="249">
        <f>IF(MOD(M190-1,$B$4+$B$7)&lt;$B$4,"A","B")</f>
        <v/>
      </c>
      <c r="O190" s="269">
        <f>IF(N190="A",$E$3,$E$4)</f>
        <v/>
      </c>
      <c r="P190" s="270">
        <f>P189+O190</f>
        <v/>
      </c>
      <c r="Q190" s="270">
        <f>P190+(M190-1)*$B$8</f>
        <v/>
      </c>
      <c r="R190" s="249">
        <f>IF(AND(Q190&lt;=$B$9,N190="A"),1,0)</f>
        <v/>
      </c>
      <c r="S190" s="249">
        <f>IF(AND(Q190&lt;=$B$9,N190="B"),1,0)</f>
        <v/>
      </c>
      <c r="T190" s="249">
        <f>IF(Q190&lt;=$B$9,1,0)</f>
        <v/>
      </c>
    </row>
    <row r="191" ht="15" customHeight="1" s="129">
      <c r="M191" s="249" t="n">
        <v>190</v>
      </c>
      <c r="N191" s="249">
        <f>IF(MOD(M191-1,$B$4+$B$7)&lt;$B$4,"A","B")</f>
        <v/>
      </c>
      <c r="O191" s="269">
        <f>IF(N191="A",$E$3,$E$4)</f>
        <v/>
      </c>
      <c r="P191" s="270">
        <f>P190+O191</f>
        <v/>
      </c>
      <c r="Q191" s="270">
        <f>P191+(M191-1)*$B$8</f>
        <v/>
      </c>
      <c r="R191" s="249">
        <f>IF(AND(Q191&lt;=$B$9,N191="A"),1,0)</f>
        <v/>
      </c>
      <c r="S191" s="249">
        <f>IF(AND(Q191&lt;=$B$9,N191="B"),1,0)</f>
        <v/>
      </c>
      <c r="T191" s="249">
        <f>IF(Q191&lt;=$B$9,1,0)</f>
        <v/>
      </c>
    </row>
    <row r="192" ht="15" customHeight="1" s="129">
      <c r="M192" s="249" t="n">
        <v>191</v>
      </c>
      <c r="N192" s="249">
        <f>IF(MOD(M192-1,$B$4+$B$7)&lt;$B$4,"A","B")</f>
        <v/>
      </c>
      <c r="O192" s="269">
        <f>IF(N192="A",$E$3,$E$4)</f>
        <v/>
      </c>
      <c r="P192" s="270">
        <f>P191+O192</f>
        <v/>
      </c>
      <c r="Q192" s="270">
        <f>P192+(M192-1)*$B$8</f>
        <v/>
      </c>
      <c r="R192" s="249">
        <f>IF(AND(Q192&lt;=$B$9,N192="A"),1,0)</f>
        <v/>
      </c>
      <c r="S192" s="249">
        <f>IF(AND(Q192&lt;=$B$9,N192="B"),1,0)</f>
        <v/>
      </c>
      <c r="T192" s="249">
        <f>IF(Q192&lt;=$B$9,1,0)</f>
        <v/>
      </c>
    </row>
    <row r="193" ht="15" customHeight="1" s="129">
      <c r="M193" s="249" t="n">
        <v>192</v>
      </c>
      <c r="N193" s="249">
        <f>IF(MOD(M193-1,$B$4+$B$7)&lt;$B$4,"A","B")</f>
        <v/>
      </c>
      <c r="O193" s="269">
        <f>IF(N193="A",$E$3,$E$4)</f>
        <v/>
      </c>
      <c r="P193" s="270">
        <f>P192+O193</f>
        <v/>
      </c>
      <c r="Q193" s="270">
        <f>P193+(M193-1)*$B$8</f>
        <v/>
      </c>
      <c r="R193" s="249">
        <f>IF(AND(Q193&lt;=$B$9,N193="A"),1,0)</f>
        <v/>
      </c>
      <c r="S193" s="249">
        <f>IF(AND(Q193&lt;=$B$9,N193="B"),1,0)</f>
        <v/>
      </c>
      <c r="T193" s="249">
        <f>IF(Q193&lt;=$B$9,1,0)</f>
        <v/>
      </c>
    </row>
    <row r="194" ht="15" customHeight="1" s="129">
      <c r="M194" s="249" t="n">
        <v>193</v>
      </c>
      <c r="N194" s="249">
        <f>IF(MOD(M194-1,$B$4+$B$7)&lt;$B$4,"A","B")</f>
        <v/>
      </c>
      <c r="O194" s="269">
        <f>IF(N194="A",$E$3,$E$4)</f>
        <v/>
      </c>
      <c r="P194" s="270">
        <f>P193+O194</f>
        <v/>
      </c>
      <c r="Q194" s="270">
        <f>P194+(M194-1)*$B$8</f>
        <v/>
      </c>
      <c r="R194" s="249">
        <f>IF(AND(Q194&lt;=$B$9,N194="A"),1,0)</f>
        <v/>
      </c>
      <c r="S194" s="249">
        <f>IF(AND(Q194&lt;=$B$9,N194="B"),1,0)</f>
        <v/>
      </c>
      <c r="T194" s="249">
        <f>IF(Q194&lt;=$B$9,1,0)</f>
        <v/>
      </c>
    </row>
    <row r="195" ht="15" customHeight="1" s="129">
      <c r="M195" s="249" t="n">
        <v>194</v>
      </c>
      <c r="N195" s="249">
        <f>IF(MOD(M195-1,$B$4+$B$7)&lt;$B$4,"A","B")</f>
        <v/>
      </c>
      <c r="O195" s="269">
        <f>IF(N195="A",$E$3,$E$4)</f>
        <v/>
      </c>
      <c r="P195" s="270">
        <f>P194+O195</f>
        <v/>
      </c>
      <c r="Q195" s="270">
        <f>P195+(M195-1)*$B$8</f>
        <v/>
      </c>
      <c r="R195" s="249">
        <f>IF(AND(Q195&lt;=$B$9,N195="A"),1,0)</f>
        <v/>
      </c>
      <c r="S195" s="249">
        <f>IF(AND(Q195&lt;=$B$9,N195="B"),1,0)</f>
        <v/>
      </c>
      <c r="T195" s="249">
        <f>IF(Q195&lt;=$B$9,1,0)</f>
        <v/>
      </c>
    </row>
    <row r="196" ht="15" customHeight="1" s="129">
      <c r="M196" s="249" t="n">
        <v>195</v>
      </c>
      <c r="N196" s="249">
        <f>IF(MOD(M196-1,$B$4+$B$7)&lt;$B$4,"A","B")</f>
        <v/>
      </c>
      <c r="O196" s="269">
        <f>IF(N196="A",$E$3,$E$4)</f>
        <v/>
      </c>
      <c r="P196" s="270">
        <f>P195+O196</f>
        <v/>
      </c>
      <c r="Q196" s="270">
        <f>P196+(M196-1)*$B$8</f>
        <v/>
      </c>
      <c r="R196" s="249">
        <f>IF(AND(Q196&lt;=$B$9,N196="A"),1,0)</f>
        <v/>
      </c>
      <c r="S196" s="249">
        <f>IF(AND(Q196&lt;=$B$9,N196="B"),1,0)</f>
        <v/>
      </c>
      <c r="T196" s="249">
        <f>IF(Q196&lt;=$B$9,1,0)</f>
        <v/>
      </c>
    </row>
    <row r="197" ht="15" customHeight="1" s="129">
      <c r="M197" s="249" t="n">
        <v>196</v>
      </c>
      <c r="N197" s="249">
        <f>IF(MOD(M197-1,$B$4+$B$7)&lt;$B$4,"A","B")</f>
        <v/>
      </c>
      <c r="O197" s="269">
        <f>IF(N197="A",$E$3,$E$4)</f>
        <v/>
      </c>
      <c r="P197" s="270">
        <f>P196+O197</f>
        <v/>
      </c>
      <c r="Q197" s="270">
        <f>P197+(M197-1)*$B$8</f>
        <v/>
      </c>
      <c r="R197" s="249">
        <f>IF(AND(Q197&lt;=$B$9,N197="A"),1,0)</f>
        <v/>
      </c>
      <c r="S197" s="249">
        <f>IF(AND(Q197&lt;=$B$9,N197="B"),1,0)</f>
        <v/>
      </c>
      <c r="T197" s="249">
        <f>IF(Q197&lt;=$B$9,1,0)</f>
        <v/>
      </c>
    </row>
    <row r="198" ht="15" customHeight="1" s="129">
      <c r="M198" s="249" t="n">
        <v>197</v>
      </c>
      <c r="N198" s="249">
        <f>IF(MOD(M198-1,$B$4+$B$7)&lt;$B$4,"A","B")</f>
        <v/>
      </c>
      <c r="O198" s="269">
        <f>IF(N198="A",$E$3,$E$4)</f>
        <v/>
      </c>
      <c r="P198" s="270">
        <f>P197+O198</f>
        <v/>
      </c>
      <c r="Q198" s="270">
        <f>P198+(M198-1)*$B$8</f>
        <v/>
      </c>
      <c r="R198" s="249">
        <f>IF(AND(Q198&lt;=$B$9,N198="A"),1,0)</f>
        <v/>
      </c>
      <c r="S198" s="249">
        <f>IF(AND(Q198&lt;=$B$9,N198="B"),1,0)</f>
        <v/>
      </c>
      <c r="T198" s="249">
        <f>IF(Q198&lt;=$B$9,1,0)</f>
        <v/>
      </c>
    </row>
    <row r="199" ht="15" customHeight="1" s="129">
      <c r="M199" s="249" t="n">
        <v>198</v>
      </c>
      <c r="N199" s="249">
        <f>IF(MOD(M199-1,$B$4+$B$7)&lt;$B$4,"A","B")</f>
        <v/>
      </c>
      <c r="O199" s="269">
        <f>IF(N199="A",$E$3,$E$4)</f>
        <v/>
      </c>
      <c r="P199" s="270">
        <f>P198+O199</f>
        <v/>
      </c>
      <c r="Q199" s="270">
        <f>P199+(M199-1)*$B$8</f>
        <v/>
      </c>
      <c r="R199" s="249">
        <f>IF(AND(Q199&lt;=$B$9,N199="A"),1,0)</f>
        <v/>
      </c>
      <c r="S199" s="249">
        <f>IF(AND(Q199&lt;=$B$9,N199="B"),1,0)</f>
        <v/>
      </c>
      <c r="T199" s="249">
        <f>IF(Q199&lt;=$B$9,1,0)</f>
        <v/>
      </c>
    </row>
    <row r="200" ht="15" customHeight="1" s="129">
      <c r="M200" s="249" t="n">
        <v>199</v>
      </c>
      <c r="N200" s="249">
        <f>IF(MOD(M200-1,$B$4+$B$7)&lt;$B$4,"A","B")</f>
        <v/>
      </c>
      <c r="O200" s="269">
        <f>IF(N200="A",$E$3,$E$4)</f>
        <v/>
      </c>
      <c r="P200" s="270">
        <f>P199+O200</f>
        <v/>
      </c>
      <c r="Q200" s="270">
        <f>P200+(M200-1)*$B$8</f>
        <v/>
      </c>
      <c r="R200" s="249">
        <f>IF(AND(Q200&lt;=$B$9,N200="A"),1,0)</f>
        <v/>
      </c>
      <c r="S200" s="249">
        <f>IF(AND(Q200&lt;=$B$9,N200="B"),1,0)</f>
        <v/>
      </c>
      <c r="T200" s="249">
        <f>IF(Q200&lt;=$B$9,1,0)</f>
        <v/>
      </c>
    </row>
    <row r="201" ht="15" customHeight="1" s="129">
      <c r="M201" s="249" t="n">
        <v>200</v>
      </c>
      <c r="N201" s="249">
        <f>IF(MOD(M201-1,$B$4+$B$7)&lt;$B$4,"A","B")</f>
        <v/>
      </c>
      <c r="O201" s="269">
        <f>IF(N201="A",$E$3,$E$4)</f>
        <v/>
      </c>
      <c r="P201" s="270">
        <f>P200+O201</f>
        <v/>
      </c>
      <c r="Q201" s="270">
        <f>P201+(M201-1)*$B$8</f>
        <v/>
      </c>
      <c r="R201" s="249">
        <f>IF(AND(Q201&lt;=$B$9,N201="A"),1,0)</f>
        <v/>
      </c>
      <c r="S201" s="249">
        <f>IF(AND(Q201&lt;=$B$9,N201="B"),1,0)</f>
        <v/>
      </c>
      <c r="T201" s="249">
        <f>IF(Q201&lt;=$B$9,1,0)</f>
        <v/>
      </c>
    </row>
  </sheetData>
  <mergeCells count="1">
    <mergeCell ref="A1:F1"/>
  </mergeCells>
  <dataValidations count="7">
    <dataValidation sqref="B2" showDropDown="0" showInputMessage="0" showErrorMessage="0" allowBlank="1" type="list" errorStyle="stop" operator="between">
      <formula1>$J$2:$J$8</formula1>
      <formula2>0</formula2>
    </dataValidation>
    <dataValidation sqref="B5" showDropDown="0" showInputMessage="0" showErrorMessage="0" allowBlank="1" type="list" errorStyle="stop" operator="between">
      <formula1>$J$2:$J$8</formula1>
      <formula2>0</formula2>
    </dataValidation>
    <dataValidation sqref="B11" showDropDown="0" showInputMessage="0" showErrorMessage="0" allowBlank="1" type="list" errorStyle="stop" operator="between">
      <formula1>$J$11:$J$15</formula1>
      <formula2>0</formula2>
    </dataValidation>
    <dataValidation sqref="B12" showDropDown="0" showInputMessage="0" showErrorMessage="0" allowBlank="0" type="list">
      <formula1>"รวม,ไม่รวม"</formula1>
    </dataValidation>
    <dataValidation sqref="B15" showDropDown="0" showInputMessage="0" showErrorMessage="0" allowBlank="0" type="list">
      <formula1>"ต่อ,ไม่ต่อ"</formula1>
    </dataValidation>
    <dataValidation sqref="B3" showDropDown="0" showInputMessage="0" showErrorMessage="0" allowBlank="1" type="list">
      <formula1>$AF$1:$AF$2</formula1>
    </dataValidation>
    <dataValidation sqref="B6" showDropDown="0" showInputMessage="0" showErrorMessage="0" allowBlank="1" type="list">
      <formula1>$AF$3:$AF$4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AF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40" min="1" max="1"/>
    <col width="13.8" customWidth="1" style="140" min="2" max="2"/>
    <col width="24" customWidth="1" style="140" min="3" max="3"/>
    <col width="19.1" customWidth="1" style="140" min="4" max="4"/>
    <col width="6.5" customWidth="1" style="140" min="5" max="5"/>
    <col width="13.8" customWidth="1" style="140" min="6" max="6"/>
    <col width="24" customWidth="1" style="140" min="7" max="7"/>
    <col width="21.1" customWidth="1" style="129" min="8" max="8"/>
    <col width="15.9" customWidth="1" style="140" min="10" max="10"/>
    <col width="18" customWidth="1" style="140" min="11" max="12"/>
    <col width="6.5" customWidth="1" style="129" min="12" max="12"/>
    <col width="23.2" customWidth="1" style="140" min="14" max="14"/>
    <col width="6.5" customWidth="1" style="129" min="15" max="15"/>
    <col width="4.5" customWidth="1" style="129" min="16" max="16"/>
    <col width="6.5" customWidth="1" style="129" min="17" max="17"/>
    <col width="6.5" customWidth="1" style="129" min="18" max="18"/>
    <col width="6.5" customWidth="1" style="129" min="19" max="19"/>
    <col width="4.5" customWidth="1" style="140" min="22" max="22"/>
    <col hidden="1" width="15.9" customWidth="1" style="129" min="28" max="28"/>
    <col hidden="1" width="5.4" customWidth="1" style="129" min="29" max="29"/>
    <col hidden="1" width="5.4" customWidth="1" style="129" min="30" max="30"/>
    <col hidden="1" width="13" customWidth="1" style="129" min="32" max="32"/>
  </cols>
  <sheetData>
    <row r="1" ht="24" customHeight="1" s="129">
      <c r="A1" s="286" t="inlineStr">
        <is>
          <t>คิดทุนประตูรั้วบานเลื่อน (ข้อ 37) — บานระแนง + โครง/ราง/ล้อ/มอเตอร์</t>
        </is>
      </c>
      <c r="G1" s="753" t="inlineStr">
        <is>
          <t>🏠 สารบัญ</t>
        </is>
      </c>
      <c r="H1" s="754" t="n"/>
      <c r="I1" s="643" t="n"/>
      <c r="J1" s="355" t="inlineStr">
        <is>
          <t>LUT (ซ่อนได้)</t>
        </is>
      </c>
      <c r="AF1" s="140">
        <f>IFERROR(VLOOKUP(B2,$AB$2:$AD$8,2,0),"")</f>
        <v/>
      </c>
    </row>
    <row r="2" ht="15" customHeight="1" s="129">
      <c r="A2" s="355" t="inlineStr">
        <is>
          <t>กล่องใบระแนง →</t>
        </is>
      </c>
      <c r="B2" s="356" t="inlineStr">
        <is>
          <t>กล่อง 1.6"×4"</t>
        </is>
      </c>
      <c r="C2" s="276" t="inlineStr">
        <is>
          <t>ชนิดใบประตู →</t>
        </is>
      </c>
      <c r="D2" s="357" t="inlineStr">
        <is>
          <t>พื้นที่ ตร.ม.</t>
        </is>
      </c>
      <c r="E2" s="358">
        <f>(H8/100)*(H9/100)</f>
        <v/>
      </c>
      <c r="G2" s="357" t="inlineStr">
        <is>
          <t>low กว้าง</t>
        </is>
      </c>
      <c r="H2" s="359">
        <f>LOOKUP(B7,$V$2:$V$10)</f>
        <v/>
      </c>
      <c r="J2" s="357" t="inlineStr">
        <is>
          <t>กล่อง 1×5 cm</t>
        </is>
      </c>
      <c r="K2" s="359" t="n">
        <v>500</v>
      </c>
      <c r="N2" s="249" t="inlineStr">
        <is>
          <t>กล่อง 1×5 cm|1 cm|5</t>
        </is>
      </c>
      <c r="O2" s="250" t="n">
        <v>3300</v>
      </c>
      <c r="P2" s="250" t="n">
        <v>300</v>
      </c>
      <c r="Q2" s="250" t="n">
        <v>1000</v>
      </c>
      <c r="R2" s="250" t="n">
        <v>1700</v>
      </c>
      <c r="S2" s="250" t="n">
        <v>2400</v>
      </c>
      <c r="V2" s="249" t="n">
        <v>50</v>
      </c>
      <c r="AB2" s="140" t="inlineStr">
        <is>
          <t>กล่อง 1×5 cm</t>
        </is>
      </c>
      <c r="AC2" s="140" t="inlineStr">
        <is>
          <t>1 cm</t>
        </is>
      </c>
      <c r="AD2" s="140" t="inlineStr">
        <is>
          <t>5 cm</t>
        </is>
      </c>
      <c r="AF2" s="140">
        <f>IFERROR(VLOOKUP(B2,$AB$2:$AD$8,3,0),"")</f>
        <v/>
      </c>
    </row>
    <row r="3" ht="15" customHeight="1" s="129">
      <c r="A3" s="355" t="inlineStr">
        <is>
          <t>ด้านโชว์ →</t>
        </is>
      </c>
      <c r="B3" s="356" t="inlineStr">
        <is>
          <t>1.6"</t>
        </is>
      </c>
      <c r="C3" s="483" t="inlineStr">
        <is>
          <t>ระแนง</t>
        </is>
      </c>
      <c r="D3" s="357" t="inlineStr">
        <is>
          <t>โชว์ ซม.</t>
        </is>
      </c>
      <c r="E3" s="358">
        <f>VLOOKUP(B3,$J$18:$K$26,2,0)</f>
        <v/>
      </c>
      <c r="G3" s="357" t="inlineStr">
        <is>
          <t>up กว้าง</t>
        </is>
      </c>
      <c r="H3" s="359">
        <f>IFERROR(INDEX($V$2:$V$10,MATCH(B7,$V$2:$V$10,1)+1),99999)</f>
        <v/>
      </c>
      <c r="J3" s="357" t="inlineStr">
        <is>
          <t>กล่อง 1"×1"</t>
        </is>
      </c>
      <c r="K3" s="359" t="n">
        <v>310</v>
      </c>
      <c r="N3" s="249" t="inlineStr">
        <is>
          <t>กล่อง 1×5 cm|1 cm|3</t>
        </is>
      </c>
      <c r="O3" s="250" t="n">
        <v>4300</v>
      </c>
      <c r="P3" s="250" t="n">
        <v>400</v>
      </c>
      <c r="Q3" s="250" t="n">
        <v>1500</v>
      </c>
      <c r="R3" s="250" t="n">
        <v>2500</v>
      </c>
      <c r="S3" s="250" t="n">
        <v>3500</v>
      </c>
      <c r="V3" s="249" t="n">
        <v>60</v>
      </c>
      <c r="AB3" s="140" t="inlineStr">
        <is>
          <t>กล่อง 1"×1"</t>
        </is>
      </c>
      <c r="AC3" s="140" t="inlineStr">
        <is>
          <t>1"</t>
        </is>
      </c>
      <c r="AD3" s="140" t="inlineStr">
        <is>
          <t>1"</t>
        </is>
      </c>
      <c r="AF3" s="140">
        <f>IFERROR(VLOOKUP(F6,$AB$2:$AD$8,2,0),"")</f>
        <v/>
      </c>
    </row>
    <row r="4" ht="15" customHeight="1" s="129">
      <c r="A4" s="355" t="inlineStr">
        <is>
          <t>ช่องห่าง (ซม.) →</t>
        </is>
      </c>
      <c r="B4" s="868" t="n">
        <v>5</v>
      </c>
      <c r="C4" s="778" t="inlineStr">
        <is>
          <t>━ ระแนงสลับ: กรอกค่าช่อง F สีเหลือง ↓ (เมื่อใบ=ระแนงสลับ)</t>
        </is>
      </c>
      <c r="D4" s="357" t="inlineStr">
        <is>
          <t>pitch</t>
        </is>
      </c>
      <c r="E4" s="358">
        <f>E3+B4</f>
        <v/>
      </c>
      <c r="G4" s="357" t="inlineStr">
        <is>
          <t>snap กว้าง</t>
        </is>
      </c>
      <c r="H4" s="359">
        <f>IF(B7-H2&lt;=20,H2,IF(H3-B7&lt;=20,H3,B7))</f>
        <v/>
      </c>
      <c r="J4" s="357" t="inlineStr">
        <is>
          <t>กล่อง 1"×1.5"</t>
        </is>
      </c>
      <c r="K4" s="359" t="n">
        <v>395</v>
      </c>
      <c r="N4" s="249" t="inlineStr">
        <is>
          <t>กล่อง 1×5 cm|1 cm|2</t>
        </is>
      </c>
      <c r="O4" s="250" t="n">
        <v>5000</v>
      </c>
      <c r="P4" s="250" t="n">
        <v>500</v>
      </c>
      <c r="Q4" s="250" t="n">
        <v>1900</v>
      </c>
      <c r="R4" s="250" t="n">
        <v>3300</v>
      </c>
      <c r="S4" s="250" t="n">
        <v>4700</v>
      </c>
      <c r="V4" s="249" t="n">
        <v>75</v>
      </c>
      <c r="AB4" s="140" t="inlineStr">
        <is>
          <t>กล่อง 1"×1.5"</t>
        </is>
      </c>
      <c r="AC4" s="140" t="inlineStr">
        <is>
          <t>1"</t>
        </is>
      </c>
      <c r="AD4" s="140" t="inlineStr">
        <is>
          <t>1.5"</t>
        </is>
      </c>
      <c r="AF4" s="140">
        <f>IFERROR(VLOOKUP(F6,$AB$2:$AD$8,3,0),"")</f>
        <v/>
      </c>
    </row>
    <row r="5" ht="15" customHeight="1" s="129">
      <c r="A5" s="355" t="inlineStr">
        <is>
          <t>สี →</t>
        </is>
      </c>
      <c r="B5" s="356" t="inlineStr">
        <is>
          <t>ขาว/ดำ</t>
        </is>
      </c>
      <c r="C5" s="779" t="inlineStr">
        <is>
          <t>สลับ: A กี่ท่อน/ชุด →</t>
        </is>
      </c>
      <c r="D5" s="357" t="inlineStr">
        <is>
          <t>ยาว/ใบ</t>
        </is>
      </c>
      <c r="E5" s="359">
        <f>IF(B6="นอน",H8,H9)</f>
        <v/>
      </c>
      <c r="F5" s="541" t="n">
        <v>3</v>
      </c>
      <c r="G5" s="357" t="inlineStr">
        <is>
          <t>low สูง</t>
        </is>
      </c>
      <c r="H5" s="359">
        <f>LOOKUP(B8,$V$2:$V$10)</f>
        <v/>
      </c>
      <c r="J5" s="357" t="inlineStr">
        <is>
          <t>กล่อง 1"×1.6"</t>
        </is>
      </c>
      <c r="K5" s="359" t="n">
        <v>485</v>
      </c>
      <c r="N5" s="249" t="inlineStr">
        <is>
          <t>กล่อง 1×5 cm|5 cm|5</t>
        </is>
      </c>
      <c r="O5" s="250" t="n">
        <v>2800</v>
      </c>
      <c r="P5" s="250" t="n">
        <v>200</v>
      </c>
      <c r="Q5" s="250" t="n">
        <v>800</v>
      </c>
      <c r="R5" s="250" t="n">
        <v>1100</v>
      </c>
      <c r="S5" s="250" t="n">
        <v>1600</v>
      </c>
      <c r="V5" s="249" t="n">
        <v>100</v>
      </c>
      <c r="AB5" s="140" t="inlineStr">
        <is>
          <t>กล่อง 1"×1.6"</t>
        </is>
      </c>
      <c r="AC5" s="140" t="inlineStr">
        <is>
          <t>1"</t>
        </is>
      </c>
      <c r="AD5" s="140" t="inlineStr">
        <is>
          <t>1.6"</t>
        </is>
      </c>
    </row>
    <row r="6" ht="15" customHeight="1" s="129">
      <c r="A6" s="355" t="inlineStr">
        <is>
          <t>แนวเกล็ด →</t>
        </is>
      </c>
      <c r="B6" s="356" t="inlineStr">
        <is>
          <t>นอน</t>
        </is>
      </c>
      <c r="C6" s="779" t="inlineStr">
        <is>
          <t>สลับ กล่อง B →</t>
        </is>
      </c>
      <c r="D6" s="357" t="inlineStr">
        <is>
          <t>ช่วง</t>
        </is>
      </c>
      <c r="E6" s="359">
        <f>IF(B6="นอน",H9,H8)</f>
        <v/>
      </c>
      <c r="F6" s="541" t="inlineStr">
        <is>
          <t>กล่อง 1"×1.6"</t>
        </is>
      </c>
      <c r="G6" s="357" t="inlineStr">
        <is>
          <t>up สูง</t>
        </is>
      </c>
      <c r="H6" s="359">
        <f>IFERROR(INDEX($V$2:$V$10,MATCH(B8,$V$2:$V$10,1)+1),99999)</f>
        <v/>
      </c>
      <c r="J6" s="357" t="inlineStr">
        <is>
          <t>กล่อง 1"×4"</t>
        </is>
      </c>
      <c r="K6" s="359" t="n">
        <v>905</v>
      </c>
      <c r="N6" s="249" t="inlineStr">
        <is>
          <t>กล่อง 1×5 cm|5 cm|3</t>
        </is>
      </c>
      <c r="O6" s="250" t="n">
        <v>3200</v>
      </c>
      <c r="P6" s="250" t="n">
        <v>200</v>
      </c>
      <c r="Q6" s="250" t="n">
        <v>1000</v>
      </c>
      <c r="R6" s="250" t="n">
        <v>1400</v>
      </c>
      <c r="S6" s="250" t="n">
        <v>2000</v>
      </c>
      <c r="V6" s="249" t="n">
        <v>120</v>
      </c>
      <c r="AB6" s="140" t="inlineStr">
        <is>
          <t>กล่อง 1"×4"</t>
        </is>
      </c>
      <c r="AC6" s="140" t="inlineStr">
        <is>
          <t>1"</t>
        </is>
      </c>
      <c r="AD6" s="140" t="inlineStr">
        <is>
          <t>4"</t>
        </is>
      </c>
    </row>
    <row r="7" ht="15" customHeight="1" s="129">
      <c r="A7" s="355" t="inlineStr">
        <is>
          <t>กว้างบาน (ซม.) →</t>
        </is>
      </c>
      <c r="B7" s="868" t="n">
        <v>350</v>
      </c>
      <c r="C7" s="779" t="inlineStr">
        <is>
          <t>สลับ โชว์ B →</t>
        </is>
      </c>
      <c r="D7" s="357" t="inlineStr">
        <is>
          <t>จำนวนใบ</t>
        </is>
      </c>
      <c r="E7" s="359">
        <f>INT(E6/E4)+1</f>
        <v/>
      </c>
      <c r="F7" s="541" t="inlineStr">
        <is>
          <t>1.6"</t>
        </is>
      </c>
      <c r="G7" s="357" t="inlineStr">
        <is>
          <t>snap สูง</t>
        </is>
      </c>
      <c r="H7" s="359">
        <f>IF(B8-H5&lt;=20,H5,IF(H6-B8&lt;=20,H6,B8))</f>
        <v/>
      </c>
      <c r="J7" s="357" t="inlineStr">
        <is>
          <t>กล่อง 1.6"×1.6"</t>
        </is>
      </c>
      <c r="K7" s="359" t="n">
        <v>770</v>
      </c>
      <c r="N7" s="249" t="inlineStr">
        <is>
          <t>กล่อง 1×5 cm|5 cm|2</t>
        </is>
      </c>
      <c r="O7" s="250" t="n">
        <v>3300</v>
      </c>
      <c r="P7" s="250" t="n">
        <v>300</v>
      </c>
      <c r="Q7" s="250" t="n">
        <v>1000</v>
      </c>
      <c r="R7" s="250" t="n">
        <v>1700</v>
      </c>
      <c r="S7" s="250" t="n">
        <v>2400</v>
      </c>
      <c r="V7" s="249" t="n">
        <v>150</v>
      </c>
      <c r="AB7" s="140" t="inlineStr">
        <is>
          <t>กล่อง 1.6"×1.6"</t>
        </is>
      </c>
      <c r="AC7" s="140" t="inlineStr">
        <is>
          <t>1.6"</t>
        </is>
      </c>
      <c r="AD7" s="140" t="inlineStr">
        <is>
          <t>1.6"</t>
        </is>
      </c>
    </row>
    <row r="8" ht="15" customHeight="1" s="129">
      <c r="A8" s="355" t="inlineStr">
        <is>
          <t>สูงบาน (ซม.) →</t>
        </is>
      </c>
      <c r="B8" s="868" t="n">
        <v>180</v>
      </c>
      <c r="C8" s="779" t="inlineStr">
        <is>
          <t>สลับ: B กี่ท่อน/ชุด →</t>
        </is>
      </c>
      <c r="D8" s="357" t="inlineStr">
        <is>
          <t>เส้นใบ</t>
        </is>
      </c>
      <c r="E8" s="359">
        <f>IF(B17="ต่อ",H13,H12)</f>
        <v/>
      </c>
      <c r="F8" s="541" t="n">
        <v>5</v>
      </c>
      <c r="G8" s="357" t="inlineStr">
        <is>
          <t>กว้างใช้</t>
        </is>
      </c>
      <c r="H8" s="359">
        <f>IF(B6="นอน",H4,B7)</f>
        <v/>
      </c>
      <c r="J8" s="357" t="inlineStr">
        <is>
          <t>กล่อง 1.6"×4"</t>
        </is>
      </c>
      <c r="K8" s="359" t="n">
        <v>1220</v>
      </c>
      <c r="N8" s="249" t="inlineStr">
        <is>
          <t>กล่อง 1"×1.6"|1"|5</t>
        </is>
      </c>
      <c r="O8" s="250" t="n">
        <v>3700</v>
      </c>
      <c r="P8" s="250" t="n">
        <v>300</v>
      </c>
      <c r="Q8" s="250" t="n">
        <v>1000</v>
      </c>
      <c r="R8" s="250" t="n">
        <v>1400</v>
      </c>
      <c r="S8" s="250" t="n">
        <v>2000</v>
      </c>
      <c r="V8" s="249" t="n">
        <v>200</v>
      </c>
      <c r="AB8" s="140" t="inlineStr">
        <is>
          <t>กล่อง 1.6"×4"</t>
        </is>
      </c>
      <c r="AC8" s="140" t="inlineStr">
        <is>
          <t>1.6"</t>
        </is>
      </c>
      <c r="AD8" s="140" t="inlineStr">
        <is>
          <t>4"</t>
        </is>
      </c>
    </row>
    <row r="9" ht="15" customHeight="1" s="129">
      <c r="A9" s="355" t="inlineStr">
        <is>
          <t>ความยาวราง (ม.) →</t>
        </is>
      </c>
      <c r="B9" s="868" t="n">
        <v>7</v>
      </c>
      <c r="C9" s="779" t="inlineStr">
        <is>
          <t>สลับ: ระยะห่างเป้า ซม. →</t>
        </is>
      </c>
      <c r="D9" s="357" t="inlineStr">
        <is>
          <t>ปัจจัยสี</t>
        </is>
      </c>
      <c r="E9" s="361">
        <f>VLOOKUP(B5,$J$11:$L$15,2,0)</f>
        <v/>
      </c>
      <c r="F9" s="541" t="n">
        <v>2.5</v>
      </c>
      <c r="G9" s="357" t="inlineStr">
        <is>
          <t>สูงใช้</t>
        </is>
      </c>
      <c r="H9" s="359">
        <f>IF(B6="ตั้ง",H7,B8)</f>
        <v/>
      </c>
      <c r="N9" s="249" t="inlineStr">
        <is>
          <t>กล่อง 1"×1.6"|1"|3</t>
        </is>
      </c>
      <c r="O9" s="250" t="n">
        <v>4500</v>
      </c>
      <c r="P9" s="250" t="n">
        <v>400</v>
      </c>
      <c r="Q9" s="250" t="n">
        <v>1400</v>
      </c>
      <c r="R9" s="250" t="n">
        <v>1900</v>
      </c>
      <c r="S9" s="250" t="n">
        <v>2800</v>
      </c>
      <c r="V9" s="249" t="n">
        <v>300</v>
      </c>
    </row>
    <row r="10" ht="15" customHeight="1" s="129">
      <c r="A10" s="355" t="inlineStr">
        <is>
          <t>ล้อ 3" (จำนวน) →</t>
        </is>
      </c>
      <c r="B10" s="360" t="n">
        <v>2</v>
      </c>
      <c r="D10" s="357" t="inlineStr">
        <is>
          <t>ราคากล่องใบ</t>
        </is>
      </c>
      <c r="E10" s="359">
        <f>ROUND(VLOOKUP(B2,$J$2:$K$8,2,0)*E9/5,0)*5</f>
        <v/>
      </c>
      <c r="G10" s="357" t="inlineStr">
        <is>
          <t>L0</t>
        </is>
      </c>
      <c r="H10" s="359">
        <f>LOOKUP(E5,$V$2:$V$10)</f>
        <v/>
      </c>
      <c r="N10" s="249" t="inlineStr">
        <is>
          <t>กล่อง 1"×1.6"|1"|2</t>
        </is>
      </c>
      <c r="O10" s="250" t="n">
        <v>4800</v>
      </c>
      <c r="P10" s="250" t="n">
        <v>500</v>
      </c>
      <c r="Q10" s="250" t="n">
        <v>1600</v>
      </c>
      <c r="R10" s="250" t="n">
        <v>2200</v>
      </c>
      <c r="S10" s="250" t="n">
        <v>3200</v>
      </c>
      <c r="V10" s="249" t="n">
        <v>600</v>
      </c>
    </row>
    <row r="11" ht="15" customHeight="1" s="129">
      <c r="A11" s="355" t="inlineStr">
        <is>
          <t>รีโมท (จำนวน) →</t>
        </is>
      </c>
      <c r="B11" s="360" t="n">
        <v>0</v>
      </c>
      <c r="D11" s="357" t="inlineStr">
        <is>
          <t>สีพิเศษ</t>
        </is>
      </c>
      <c r="E11" s="359">
        <f>VLOOKUP(B5,$J$11:$L$15,3,0)</f>
        <v/>
      </c>
      <c r="G11" s="357" t="inlineStr">
        <is>
          <t>R</t>
        </is>
      </c>
      <c r="H11" s="359">
        <f>E5-H10</f>
        <v/>
      </c>
      <c r="J11" s="357" t="inlineStr">
        <is>
          <t>ขาว/ดำ</t>
        </is>
      </c>
      <c r="K11" s="361">
        <f>mult_mtong</f>
        <v/>
      </c>
      <c r="L11" s="359" t="n">
        <v>0</v>
      </c>
      <c r="N11" s="249" t="inlineStr">
        <is>
          <t>กล่อง 1"×1.6"|1.6"|5</t>
        </is>
      </c>
      <c r="O11" s="250" t="n">
        <v>3200</v>
      </c>
      <c r="P11" s="250" t="n">
        <v>300</v>
      </c>
      <c r="Q11" s="250" t="n">
        <v>800</v>
      </c>
      <c r="R11" s="250" t="n">
        <v>1100</v>
      </c>
      <c r="S11" s="250" t="n">
        <v>1600</v>
      </c>
    </row>
    <row r="12" ht="15" customHeight="1" s="129">
      <c r="A12" s="355" t="inlineStr">
        <is>
          <t>มอเตอร์ →</t>
        </is>
      </c>
      <c r="B12" s="356" t="inlineStr">
        <is>
          <t>มี</t>
        </is>
      </c>
      <c r="D12" s="357" t="inlineStr">
        <is>
          <t>เส้นโครง 2x4</t>
        </is>
      </c>
      <c r="E12" s="359">
        <f>ROUNDUP(2*(B7+B8)/600,0)</f>
        <v/>
      </c>
      <c r="G12" s="357" t="inlineStr">
        <is>
          <t>เส้นไม่ต่อ</t>
        </is>
      </c>
      <c r="H12" s="359">
        <f>ROUNDUP(E7/MAX(INT(600/E5),1),0)</f>
        <v/>
      </c>
      <c r="J12" s="357" t="inlineStr">
        <is>
          <t>เทาซาฮาร่า</t>
        </is>
      </c>
      <c r="K12" s="361">
        <f>mult_mtong+rate_grey/192</f>
        <v/>
      </c>
      <c r="L12" s="359" t="n">
        <v>0</v>
      </c>
      <c r="N12" s="249" t="inlineStr">
        <is>
          <t>กล่อง 1"×1.6"|1.6"|3</t>
        </is>
      </c>
      <c r="O12" s="250" t="n">
        <v>3700</v>
      </c>
      <c r="P12" s="250" t="n">
        <v>300</v>
      </c>
      <c r="Q12" s="250" t="n">
        <v>1000</v>
      </c>
      <c r="R12" s="250" t="n">
        <v>1400</v>
      </c>
      <c r="S12" s="250" t="n">
        <v>2000</v>
      </c>
    </row>
    <row r="13" ht="15" customHeight="1" s="129">
      <c r="A13" s="355" t="inlineStr">
        <is>
          <t>รางโค้ง (ซอยบาน≤75ซม.) →</t>
        </is>
      </c>
      <c r="B13" s="356" t="inlineStr">
        <is>
          <t>ไม่มี</t>
        </is>
      </c>
      <c r="C13" s="140">
        <f>IF(B13="มี","◀ แบ่ง "&amp;E17&amp;" บาน (~"&amp;ROUND(B7/E17,0)&amp;" ซม./บาน)","")</f>
        <v/>
      </c>
      <c r="D13" s="357" t="inlineStr">
        <is>
          <t>ราคาโครง 2x4</t>
        </is>
      </c>
      <c r="E13" s="359">
        <f>ROUND(1540*E9/5,0)*5</f>
        <v/>
      </c>
      <c r="G13" s="357" t="inlineStr">
        <is>
          <t>เส้นต่อ</t>
        </is>
      </c>
      <c r="H13" s="359">
        <f>ROUNDUP(E7/(600/H10),0)+IF(H11&gt;0,ROUNDUP(E7/INT(600/H11),0),0)</f>
        <v/>
      </c>
      <c r="J13" s="357" t="inlineStr">
        <is>
          <t>ลายไม้สต๊อก</t>
        </is>
      </c>
      <c r="K13" s="361">
        <f>mult_mtong+rate_woodstock/192</f>
        <v/>
      </c>
      <c r="L13" s="359" t="n">
        <v>0</v>
      </c>
      <c r="N13" s="249" t="inlineStr">
        <is>
          <t>กล่อง 1"×1.6"|1.6"|2</t>
        </is>
      </c>
      <c r="O13" s="250" t="n">
        <v>4000</v>
      </c>
      <c r="P13" s="250" t="n">
        <v>400</v>
      </c>
      <c r="Q13" s="250" t="n">
        <v>1200</v>
      </c>
      <c r="R13" s="250" t="n">
        <v>1700</v>
      </c>
      <c r="S13" s="250" t="n">
        <v>2400</v>
      </c>
    </row>
    <row r="14" ht="15" customHeight="1" s="129">
      <c r="A14" s="355" t="inlineStr">
        <is>
          <t>กรีดพื้น →</t>
        </is>
      </c>
      <c r="B14" s="356" t="inlineStr">
        <is>
          <t>ไม่มี</t>
        </is>
      </c>
      <c r="D14" s="357" t="inlineStr">
        <is>
          <t>ราคาเสา 4x4</t>
        </is>
      </c>
      <c r="E14" s="359">
        <f>ROUND(2210*E9/5,0)*5</f>
        <v/>
      </c>
      <c r="J14" s="357" t="inlineStr">
        <is>
          <t>สีอบพิเศษ</t>
        </is>
      </c>
      <c r="K14" s="361">
        <f>mult_mtong+rate_special/192</f>
        <v/>
      </c>
      <c r="L14" s="359" t="n">
        <v>2000</v>
      </c>
      <c r="N14" s="249" t="inlineStr">
        <is>
          <t>กล่อง 1"×1"|1"|5</t>
        </is>
      </c>
      <c r="O14" s="250" t="n">
        <v>3200</v>
      </c>
      <c r="P14" s="250" t="n">
        <v>200</v>
      </c>
      <c r="Q14" s="250" t="n">
        <v>700</v>
      </c>
      <c r="R14" s="250" t="n">
        <v>1000</v>
      </c>
      <c r="S14" s="250" t="n">
        <v>1400</v>
      </c>
    </row>
    <row r="15" ht="15" customHeight="1" s="129">
      <c r="A15" s="355" t="inlineStr">
        <is>
          <t>เดินไฟ →</t>
        </is>
      </c>
      <c r="B15" s="356" t="inlineStr">
        <is>
          <t>ไม่มี</t>
        </is>
      </c>
      <c r="D15" s="357" t="inlineStr">
        <is>
          <t>ชุดราง</t>
        </is>
      </c>
      <c r="E15" s="359">
        <f>ROUNDUP(B9/6,0)</f>
        <v/>
      </c>
      <c r="J15" s="357" t="inlineStr">
        <is>
          <t>สีลายไม้อบพิเศษ</t>
        </is>
      </c>
      <c r="K15" s="361">
        <f>mult_mtong+rate_woodbake/192</f>
        <v/>
      </c>
      <c r="L15" s="359" t="n">
        <v>2000</v>
      </c>
      <c r="N15" s="249" t="inlineStr">
        <is>
          <t>กล่อง 1"×1"|1"|3</t>
        </is>
      </c>
      <c r="O15" s="250" t="n">
        <v>3700</v>
      </c>
      <c r="P15" s="250" t="n">
        <v>300</v>
      </c>
      <c r="Q15" s="250" t="n">
        <v>1000</v>
      </c>
      <c r="R15" s="250" t="n">
        <v>1300</v>
      </c>
      <c r="S15" s="250" t="n">
        <v>1900</v>
      </c>
    </row>
    <row r="16" ht="15" customHeight="1" s="129">
      <c r="A16" s="355" t="inlineStr">
        <is>
          <t>ค่าแรง (บาท) →</t>
        </is>
      </c>
      <c r="B16" s="360" t="n">
        <v>0</v>
      </c>
      <c r="D16" s="357" t="inlineStr">
        <is>
          <t>เรตกรีดพื้น</t>
        </is>
      </c>
      <c r="E16" s="359">
        <f>IF(B13="มี",2500,1500)</f>
        <v/>
      </c>
      <c r="N16" s="249" t="inlineStr">
        <is>
          <t>กล่อง 1"×1"|1"|2</t>
        </is>
      </c>
      <c r="O16" s="250" t="n">
        <v>3900</v>
      </c>
      <c r="P16" s="250" t="n">
        <v>300</v>
      </c>
      <c r="Q16" s="250" t="n">
        <v>1100</v>
      </c>
      <c r="R16" s="250" t="n">
        <v>1500</v>
      </c>
      <c r="S16" s="250" t="n">
        <v>2200</v>
      </c>
    </row>
    <row r="17" ht="15" customHeight="1" s="129">
      <c r="A17" s="355" t="inlineStr">
        <is>
          <t>ต่อระแนง →</t>
        </is>
      </c>
      <c r="B17" s="356" t="inlineStr">
        <is>
          <t>ไม่ต่อ</t>
        </is>
      </c>
      <c r="D17" s="140" t="inlineStr">
        <is>
          <t>บาน(โค้ง)</t>
        </is>
      </c>
      <c r="E17" s="140">
        <f>IF(B13="มี",ROUNDUP(B7/75,0),1)</f>
        <v/>
      </c>
      <c r="N17" s="249" t="inlineStr">
        <is>
          <t>กล่อง 1"×1.5"|1"|5</t>
        </is>
      </c>
      <c r="O17" s="250" t="n">
        <v>3300</v>
      </c>
      <c r="P17" s="250" t="n">
        <v>300</v>
      </c>
      <c r="Q17" s="250" t="n">
        <v>900</v>
      </c>
      <c r="R17" s="250" t="n">
        <v>1400</v>
      </c>
      <c r="S17" s="250" t="n">
        <v>2000</v>
      </c>
    </row>
    <row r="18" ht="15" customHeight="1" s="129">
      <c r="A18" s="375" t="inlineStr">
        <is>
          <t>รายการ</t>
        </is>
      </c>
      <c r="B18" s="375" t="inlineStr">
        <is>
          <t>จำนวน</t>
        </is>
      </c>
      <c r="C18" s="375" t="inlineStr">
        <is>
          <t>ราคา/หน่วย</t>
        </is>
      </c>
      <c r="D18" s="375" t="inlineStr">
        <is>
          <t>ทุน (บาท)</t>
        </is>
      </c>
      <c r="G18" s="376" t="inlineStr">
        <is>
          <t>snapGap</t>
        </is>
      </c>
      <c r="H18" s="377">
        <f>IF(B4&gt;=4,5,IF(B4&gt;=2.5,3,IF(B4&gt;=1,2,0)))</f>
        <v/>
      </c>
      <c r="J18" s="376" t="inlineStr">
        <is>
          <t>1 cm</t>
        </is>
      </c>
      <c r="K18" s="378" t="n">
        <v>1</v>
      </c>
      <c r="N18" s="249" t="inlineStr">
        <is>
          <t>กล่อง 1"×1.5"|1"|3</t>
        </is>
      </c>
      <c r="O18" s="250" t="n">
        <v>4000</v>
      </c>
      <c r="P18" s="250" t="n">
        <v>400</v>
      </c>
      <c r="Q18" s="250" t="n">
        <v>1200</v>
      </c>
      <c r="R18" s="250" t="n">
        <v>1900</v>
      </c>
      <c r="S18" s="250" t="n">
        <v>2800</v>
      </c>
    </row>
    <row r="19" ht="15" customHeight="1" s="129">
      <c r="A19" s="363">
        <f>IF($C$3="ระแนงสลับ",'ระแนงสลับ_ประตู'!A21,B2&amp;" (ใบระแนง+ต่อ)")</f>
        <v/>
      </c>
      <c r="B19" s="346">
        <f>IF($C$3="ระแนงสลับ",'ระแนงสลับ_ประตู'!B21,E8)</f>
        <v/>
      </c>
      <c r="C19" s="346">
        <f>IF($C$3="ระแนงสลับ",'ระแนงสลับ_ประตู'!C21,E10)</f>
        <v/>
      </c>
      <c r="D19" s="346">
        <f>IF($C$3="ระแนงสลับ",'ระแนงสลับ_ประตู'!D21,E8*E10+IF(AND(B17="ต่อ",H11&gt;0),E7*80,0))</f>
        <v/>
      </c>
      <c r="G19" s="357" t="inlineStr">
        <is>
          <t>keyR</t>
        </is>
      </c>
      <c r="H19" s="357">
        <f>B2&amp;"|"&amp;B3&amp;"|"&amp;H18</f>
        <v/>
      </c>
      <c r="J19" s="357" t="inlineStr">
        <is>
          <t>5 cm</t>
        </is>
      </c>
      <c r="K19" s="358" t="n">
        <v>5</v>
      </c>
      <c r="N19" s="249" t="inlineStr">
        <is>
          <t>กล่อง 1"×1.5"|1"|2</t>
        </is>
      </c>
      <c r="O19" s="250" t="n">
        <v>4300</v>
      </c>
      <c r="P19" s="250" t="n">
        <v>400</v>
      </c>
      <c r="Q19" s="250" t="n">
        <v>1400</v>
      </c>
      <c r="R19" s="250" t="n">
        <v>2200</v>
      </c>
      <c r="S19" s="250" t="n">
        <v>3200</v>
      </c>
    </row>
    <row r="20" ht="15" customHeight="1" s="129">
      <c r="A20" s="552">
        <f>IF($C$3="ระแนงสลับ",'ระแนงสลับ_ประตู'!A22,"")</f>
        <v/>
      </c>
      <c r="B20" s="553">
        <f>IF($C$3="ระแนงสลับ",'ระแนงสลับ_ประตู'!B22,"")</f>
        <v/>
      </c>
      <c r="C20" s="553">
        <f>IF($C$3="ระแนงสลับ",'ระแนงสลับ_ประตู'!C22,"")</f>
        <v/>
      </c>
      <c r="D20" s="554">
        <f>IF($C$3="ระแนงสลับ",'ระแนงสลับ_ประตู'!D22,0)</f>
        <v/>
      </c>
      <c r="G20" s="684" t="inlineStr">
        <is>
          <t>▶ ระยะห่างจริง ปกติ (ซม.)</t>
        </is>
      </c>
      <c r="H20" s="765">
        <f>ROUND((E6-E7*E3)/(E7-1),2)</f>
        <v/>
      </c>
    </row>
    <row r="21" ht="15" customHeight="1" s="129">
      <c r="A21" s="552">
        <f>IF($C$3="ระแนงสลับ",'ระแนงสลับ_ประตู'!A23,"")</f>
        <v/>
      </c>
      <c r="B21" s="553">
        <f>IF($C$3="ระแนงสลับ",'ระแนงสลับ_ประตู'!B23,"")</f>
        <v/>
      </c>
      <c r="C21" s="553">
        <f>IF($C$3="ระแนงสลับ",'ระแนงสลับ_ประตู'!C23,"")</f>
        <v/>
      </c>
      <c r="D21" s="554">
        <f>IF($C$3="ระแนงสลับ",'ระแนงสลับ_ประตู'!D23,0)</f>
        <v/>
      </c>
      <c r="G21" s="684" t="inlineStr">
        <is>
          <t>▶ ระยะห่างจริง สลับ (ซม.)</t>
        </is>
      </c>
      <c r="H21" s="765">
        <f>'ระแนงสลับ_ประตู'!E12</f>
        <v/>
      </c>
    </row>
    <row r="22" ht="15" customHeight="1" s="129">
      <c r="A22" s="552">
        <f>IF($C$3="ระแนงสลับ",'ระแนงสลับ_ประตู'!A24,"")</f>
        <v/>
      </c>
      <c r="B22" s="553">
        <f>IF($C$3="ระแนงสลับ",'ระแนงสลับ_ประตู'!B24,"")</f>
        <v/>
      </c>
      <c r="C22" s="553">
        <f>IF($C$3="ระแนงสลับ",'ระแนงสลับ_ประตู'!C24,"")</f>
        <v/>
      </c>
      <c r="D22" s="554">
        <f>IF($C$3="ระแนงสลับ",'ระแนงสลับ_ประตู'!D24,0)</f>
        <v/>
      </c>
    </row>
    <row r="23" ht="15" customHeight="1" s="129">
      <c r="A23" s="363" t="inlineStr">
        <is>
          <t>โครงกรอบบาน 2"×4" (ตรง=รอบบาน / โค้ง=ทุกบาน)</t>
        </is>
      </c>
      <c r="B23" s="346">
        <f>IF(B13="มี",E17*(2*(B7/E17+B8)/600)*buf_scrap,E12)</f>
        <v/>
      </c>
      <c r="C23" s="346">
        <f>E13</f>
        <v/>
      </c>
      <c r="D23" s="346">
        <f>B23*C23</f>
        <v/>
      </c>
      <c r="G23" s="357" t="inlineStr">
        <is>
          <t>sellRow</t>
        </is>
      </c>
      <c r="H23" s="359">
        <f>IFERROR(MATCH(H19,$N$2:$N$38,0),0)</f>
        <v/>
      </c>
      <c r="J23" s="357" t="inlineStr">
        <is>
          <t>1"</t>
        </is>
      </c>
      <c r="K23" s="358" t="n">
        <v>2.54</v>
      </c>
      <c r="N23" s="249" t="inlineStr">
        <is>
          <t>กล่อง 1"×1.5"|1.5"|5</t>
        </is>
      </c>
      <c r="O23" s="250" t="n">
        <v>3300</v>
      </c>
      <c r="P23" s="250" t="n">
        <v>300</v>
      </c>
      <c r="Q23" s="250" t="n">
        <v>900</v>
      </c>
      <c r="R23" s="250" t="n">
        <v>1400</v>
      </c>
      <c r="S23" s="250" t="n">
        <v>2000</v>
      </c>
    </row>
    <row r="24" ht="15" customHeight="1" s="129">
      <c r="A24" s="363" t="inlineStr">
        <is>
          <t>เสารับไกด์ 4"×4" (1 ต้น)</t>
        </is>
      </c>
      <c r="B24" s="346" t="n">
        <v>1</v>
      </c>
      <c r="C24" s="346">
        <f>E14</f>
        <v/>
      </c>
      <c r="D24" s="346">
        <f>B24*C24</f>
        <v/>
      </c>
      <c r="G24" s="357" t="inlineStr">
        <is>
          <t>ระแนงขาย/ตร.ม.</t>
        </is>
      </c>
      <c r="H24" s="359">
        <f>IF(H23=0,0,INDEX($O$2:$O$38,H23)+IF(B5="เทาซาฮาร่า",INDEX($P$2:$P$38,H23),IF(B5="ลายไม้สต๊อก",INDEX($Q$2:$Q$38,H23),IF(B5="สีอบพิเศษ",INDEX($R$2:$R$38,H23),IF(B5="สีลายไม้อบพิเศษ",INDEX($S$2:$S$38,H23),0)))))</f>
        <v/>
      </c>
      <c r="J24" s="357" t="inlineStr">
        <is>
          <t>1.5"</t>
        </is>
      </c>
      <c r="K24" s="358" t="n">
        <v>3.81</v>
      </c>
      <c r="N24" s="249" t="inlineStr">
        <is>
          <t>กล่อง 1"×1.5"|1.5"|3</t>
        </is>
      </c>
      <c r="O24" s="250" t="n">
        <v>3700</v>
      </c>
      <c r="P24" s="250" t="n">
        <v>300</v>
      </c>
      <c r="Q24" s="250" t="n">
        <v>1000</v>
      </c>
      <c r="R24" s="250" t="n">
        <v>1700</v>
      </c>
      <c r="S24" s="250" t="n">
        <v>2400</v>
      </c>
    </row>
    <row r="25" ht="15" customHeight="1" s="129">
      <c r="A25" s="363" t="inlineStr">
        <is>
          <t>เหล็กยัดเสา 4"×4"</t>
        </is>
      </c>
      <c r="B25" s="346" t="n">
        <v>1</v>
      </c>
      <c r="C25" s="346" t="n">
        <v>860</v>
      </c>
      <c r="D25" s="346">
        <f>B25*C25</f>
        <v/>
      </c>
      <c r="J25" s="357" t="inlineStr">
        <is>
          <t>1.6"</t>
        </is>
      </c>
      <c r="K25" s="358" t="n">
        <v>4.06</v>
      </c>
      <c r="N25" s="249" t="inlineStr">
        <is>
          <t>กล่อง 1"×1.5"|1.5"|2</t>
        </is>
      </c>
      <c r="O25" s="250" t="n">
        <v>3700</v>
      </c>
      <c r="P25" s="250" t="n">
        <v>300</v>
      </c>
      <c r="Q25" s="250" t="n">
        <v>1000</v>
      </c>
      <c r="R25" s="250" t="n">
        <v>1700</v>
      </c>
      <c r="S25" s="250" t="n">
        <v>2400</v>
      </c>
    </row>
    <row r="26" ht="15" customHeight="1" s="129">
      <c r="A26" s="363" t="inlineStr">
        <is>
          <t>ล้อ 3" (ตรง=ล้อวิ่ง299 / โค้ง=สปริง290×(บาน+1))</t>
        </is>
      </c>
      <c r="B26" s="346">
        <f>IF(B13="มี",E17+1,B10)</f>
        <v/>
      </c>
      <c r="C26" s="346">
        <f>IF(B13="มี",290,299)</f>
        <v/>
      </c>
      <c r="D26" s="346">
        <f>B26*C26</f>
        <v/>
      </c>
      <c r="J26" s="357" t="inlineStr">
        <is>
          <t>4"</t>
        </is>
      </c>
      <c r="K26" s="358" t="n">
        <v>10.16</v>
      </c>
      <c r="N26" s="249" t="inlineStr">
        <is>
          <t>กล่อง 1"×4"|1"|5</t>
        </is>
      </c>
      <c r="O26" s="250" t="n">
        <v>5500</v>
      </c>
      <c r="P26" s="250" t="n">
        <v>600</v>
      </c>
      <c r="Q26" s="250" t="n">
        <v>2000</v>
      </c>
      <c r="R26" s="250" t="n">
        <v>3700</v>
      </c>
      <c r="S26" s="250" t="n">
        <v>5300</v>
      </c>
    </row>
    <row r="27" ht="15" customHeight="1" s="129">
      <c r="A27" s="363" t="inlineStr">
        <is>
          <t>ล้อไกด์ประคองหลัง (4 ชิ้น)</t>
        </is>
      </c>
      <c r="B27" s="346" t="n">
        <v>4</v>
      </c>
      <c r="C27" s="346" t="n">
        <v>30</v>
      </c>
      <c r="D27" s="346">
        <f>B27*C27</f>
        <v/>
      </c>
      <c r="N27" s="249" t="inlineStr">
        <is>
          <t>กล่อง 1"×4"|1"|3</t>
        </is>
      </c>
      <c r="O27" s="250" t="n">
        <v>7100</v>
      </c>
      <c r="P27" s="250" t="n">
        <v>800</v>
      </c>
      <c r="Q27" s="250" t="n">
        <v>2700</v>
      </c>
      <c r="R27" s="250" t="n">
        <v>5200</v>
      </c>
      <c r="S27" s="250" t="n">
        <v>7500</v>
      </c>
    </row>
    <row r="28" ht="15" customHeight="1" s="129">
      <c r="A28" s="363" t="inlineStr">
        <is>
          <t>ราง (ชุด 6 ม.)</t>
        </is>
      </c>
      <c r="B28" s="346">
        <f>E15</f>
        <v/>
      </c>
      <c r="C28" s="346" t="n">
        <v>1090</v>
      </c>
      <c r="D28" s="346">
        <f>B28*C28</f>
        <v/>
      </c>
      <c r="N28" s="249" t="inlineStr">
        <is>
          <t>กล่อง 1"×4"|1"|2</t>
        </is>
      </c>
      <c r="O28" s="250" t="n">
        <v>7900</v>
      </c>
      <c r="P28" s="250" t="n">
        <v>900</v>
      </c>
      <c r="Q28" s="250" t="n">
        <v>3100</v>
      </c>
      <c r="R28" s="250" t="n">
        <v>5900</v>
      </c>
      <c r="S28" s="250" t="n">
        <v>8500</v>
      </c>
    </row>
    <row r="29" ht="15" customHeight="1" s="129">
      <c r="A29" s="363" t="inlineStr">
        <is>
          <t>มอเตอร์</t>
        </is>
      </c>
      <c r="B29" s="346">
        <f>IF(B12="มี",1,0)</f>
        <v/>
      </c>
      <c r="C29" s="346" t="n">
        <v>16000</v>
      </c>
      <c r="D29" s="346">
        <f>IF(B12="มี",1,0)*C29</f>
        <v/>
      </c>
      <c r="N29" s="249" t="inlineStr">
        <is>
          <t>กล่อง 1"×4"|4"|5</t>
        </is>
      </c>
      <c r="O29" s="250" t="n">
        <v>4000</v>
      </c>
      <c r="P29" s="250" t="n">
        <v>400</v>
      </c>
      <c r="Q29" s="250" t="n">
        <v>1200</v>
      </c>
      <c r="R29" s="250" t="n">
        <v>2300</v>
      </c>
      <c r="S29" s="250" t="n">
        <v>3200</v>
      </c>
    </row>
    <row r="30" ht="15" customHeight="1" s="129">
      <c r="A30" s="363" t="inlineStr">
        <is>
          <t>รีโมท</t>
        </is>
      </c>
      <c r="B30" s="346">
        <f>B11</f>
        <v/>
      </c>
      <c r="C30" s="346" t="n">
        <v>500</v>
      </c>
      <c r="D30" s="346">
        <f>B30*C30</f>
        <v/>
      </c>
      <c r="N30" s="249" t="inlineStr">
        <is>
          <t>กล่อง 1"×4"|4"|3</t>
        </is>
      </c>
      <c r="O30" s="250" t="n">
        <v>4000</v>
      </c>
      <c r="P30" s="250" t="n">
        <v>400</v>
      </c>
      <c r="Q30" s="250" t="n">
        <v>1200</v>
      </c>
      <c r="R30" s="250" t="n">
        <v>2300</v>
      </c>
      <c r="S30" s="250" t="n">
        <v>3200</v>
      </c>
    </row>
    <row r="31" ht="15" customHeight="1" s="129">
      <c r="A31" s="363" t="inlineStr">
        <is>
          <t>กรีดพื้น (บาท/ม.×ราง)</t>
        </is>
      </c>
      <c r="B31" s="346">
        <f>IF(B14="มี",B9,0)</f>
        <v/>
      </c>
      <c r="C31" s="346">
        <f>E16</f>
        <v/>
      </c>
      <c r="D31" s="346">
        <f>B31*C31</f>
        <v/>
      </c>
      <c r="N31" s="249" t="inlineStr">
        <is>
          <t>กล่อง 1"×4"|4"|2</t>
        </is>
      </c>
      <c r="O31" s="250" t="n">
        <v>4800</v>
      </c>
      <c r="P31" s="250" t="n">
        <v>500</v>
      </c>
      <c r="Q31" s="250" t="n">
        <v>1600</v>
      </c>
      <c r="R31" s="250" t="n">
        <v>3000</v>
      </c>
      <c r="S31" s="250" t="n">
        <v>4300</v>
      </c>
    </row>
    <row r="32" ht="15" customHeight="1" s="129">
      <c r="A32" s="363" t="inlineStr">
        <is>
          <t>เดินไฟ (เหมา)</t>
        </is>
      </c>
      <c r="B32" s="346">
        <f>IF(B15="มี",1,0)</f>
        <v/>
      </c>
      <c r="C32" s="346" t="n">
        <v>2000</v>
      </c>
      <c r="D32" s="346">
        <f>B32*C32</f>
        <v/>
      </c>
      <c r="N32" s="249" t="inlineStr">
        <is>
          <t>กล่อง 1"×4"|4"|0</t>
        </is>
      </c>
      <c r="O32" s="250" t="n">
        <v>5100</v>
      </c>
      <c r="P32" s="250" t="n">
        <v>500</v>
      </c>
      <c r="Q32" s="250" t="n">
        <v>1600</v>
      </c>
      <c r="R32" s="250" t="n">
        <v>3000</v>
      </c>
      <c r="S32" s="250" t="n">
        <v>4300</v>
      </c>
    </row>
    <row r="33" ht="15" customHeight="1" s="129">
      <c r="A33" s="363" t="inlineStr">
        <is>
          <t>สีพิเศษ (ค่าเปิดตู้อบ)</t>
        </is>
      </c>
      <c r="B33" s="346">
        <f>IF(E11&gt;0,1,0)</f>
        <v/>
      </c>
      <c r="C33" s="346">
        <f>E11</f>
        <v/>
      </c>
      <c r="D33" s="346">
        <f>B33*C33</f>
        <v/>
      </c>
      <c r="N33" s="249" t="inlineStr">
        <is>
          <t>กล่อง 1.6"×1.6"|1.6"|5</t>
        </is>
      </c>
      <c r="O33" s="250" t="n">
        <v>3900</v>
      </c>
      <c r="P33" s="250" t="n">
        <v>300</v>
      </c>
      <c r="Q33" s="250" t="n">
        <v>1100</v>
      </c>
      <c r="R33" s="250" t="n">
        <v>2000</v>
      </c>
      <c r="S33" s="250" t="n">
        <v>2800</v>
      </c>
    </row>
    <row r="34" ht="15" customHeight="1" s="129">
      <c r="A34" s="363" t="inlineStr">
        <is>
          <t>ค่าแรงผลิต (560/ตร.ม.)</t>
        </is>
      </c>
      <c r="B34" s="346" t="n">
        <v>1</v>
      </c>
      <c r="C34" s="346" t="n"/>
      <c r="D34" s="346">
        <f>D51</f>
        <v/>
      </c>
      <c r="N34" s="249" t="inlineStr">
        <is>
          <t>กล่อง 1.6"×1.6"|1.6"|3</t>
        </is>
      </c>
      <c r="O34" s="250" t="n">
        <v>4400</v>
      </c>
      <c r="P34" s="250" t="n">
        <v>400</v>
      </c>
      <c r="Q34" s="250" t="n">
        <v>1400</v>
      </c>
      <c r="R34" s="250" t="n">
        <v>2400</v>
      </c>
      <c r="S34" s="250" t="n">
        <v>3500</v>
      </c>
    </row>
    <row r="35" ht="15" customHeight="1" s="129">
      <c r="A35" s="383" t="inlineStr">
        <is>
          <t>ค่าแรงติดตั้ง (1120/ตร.ม.)</t>
        </is>
      </c>
      <c r="B35" s="431" t="n"/>
      <c r="C35" s="431" t="n"/>
      <c r="D35" s="439">
        <f>D52</f>
        <v/>
      </c>
      <c r="N35" s="249" t="inlineStr">
        <is>
          <t>กล่อง 1.6"×1.6"|1.6"|2</t>
        </is>
      </c>
      <c r="O35" s="250" t="n">
        <v>5000</v>
      </c>
      <c r="P35" s="250" t="n">
        <v>500</v>
      </c>
      <c r="Q35" s="250" t="n">
        <v>1700</v>
      </c>
      <c r="R35" s="250" t="n">
        <v>2900</v>
      </c>
      <c r="S35" s="250" t="n">
        <v>4200</v>
      </c>
    </row>
    <row r="36" ht="15" customHeight="1" s="129">
      <c r="A36" s="365" t="inlineStr">
        <is>
          <t>ทุนรวมประตู</t>
        </is>
      </c>
      <c r="B36" s="431" t="n"/>
      <c r="C36" s="431" t="n"/>
      <c r="D36" s="440">
        <f>SUM(D19:D35)</f>
        <v/>
      </c>
      <c r="N36" s="249" t="inlineStr">
        <is>
          <t>กล่อง 1.6"×4"|1.6"|5</t>
        </is>
      </c>
      <c r="O36" s="250" t="n">
        <v>5400</v>
      </c>
      <c r="P36" s="250" t="n">
        <v>600</v>
      </c>
      <c r="Q36" s="250" t="n">
        <v>1900</v>
      </c>
      <c r="R36" s="250" t="n">
        <v>3300</v>
      </c>
      <c r="S36" s="250" t="n">
        <v>4700</v>
      </c>
    </row>
    <row r="37" ht="15" customHeight="1" s="129">
      <c r="A37" s="387" t="inlineStr">
        <is>
          <t>ทุน/ตร.ม.</t>
        </is>
      </c>
      <c r="B37" s="422" t="inlineStr">
        <is>
          <t>ระแนง</t>
        </is>
      </c>
      <c r="D37" s="388">
        <f>D36/E2</f>
        <v/>
      </c>
      <c r="N37" s="249" t="inlineStr">
        <is>
          <t>กล่อง 1.6"×4"|1.6"|3</t>
        </is>
      </c>
      <c r="O37" s="250" t="n">
        <v>6500</v>
      </c>
      <c r="P37" s="250" t="n">
        <v>700</v>
      </c>
      <c r="Q37" s="250" t="n">
        <v>2400</v>
      </c>
      <c r="R37" s="250" t="n">
        <v>4100</v>
      </c>
      <c r="S37" s="250" t="n">
        <v>5900</v>
      </c>
    </row>
    <row r="38" ht="15" customHeight="1" s="129">
      <c r="A38" s="372" t="inlineStr">
        <is>
          <t>ชนิดใบประตู → (ระแนง/ระแนงสลับ)</t>
        </is>
      </c>
      <c r="B38" s="422" t="inlineStr">
        <is>
          <t>ระแนง</t>
        </is>
      </c>
      <c r="N38" s="249" t="inlineStr">
        <is>
          <t>กล่อง 1.6"×4"|1.6"|2</t>
        </is>
      </c>
      <c r="O38" s="250" t="n">
        <v>7300</v>
      </c>
      <c r="P38" s="250" t="n">
        <v>800</v>
      </c>
      <c r="Q38" s="250" t="n">
        <v>2900</v>
      </c>
      <c r="R38" s="250" t="n">
        <v>4900</v>
      </c>
      <c r="S38" s="250" t="n">
        <v>7000</v>
      </c>
    </row>
    <row r="39" ht="15" customHeight="1" s="129">
      <c r="A39" s="441" t="inlineStr">
        <is>
          <t>* ใบ=ระแนงสลับ → ดึงทุนใบจากชีท คิดทุน ระแนงสลับ</t>
        </is>
      </c>
      <c r="N39" s="249" t="inlineStr">
        <is>
          <t>กล่อง 1.6"×4"|4"|5</t>
        </is>
      </c>
      <c r="O39" s="250" t="n">
        <v>4600</v>
      </c>
      <c r="P39" s="250" t="n">
        <v>400</v>
      </c>
      <c r="Q39" s="250" t="n">
        <v>1500</v>
      </c>
      <c r="R39" s="250" t="n">
        <v>2500</v>
      </c>
      <c r="S39" s="250" t="n">
        <v>3500</v>
      </c>
    </row>
    <row r="40" ht="15" customHeight="1" s="129">
      <c r="A40" s="355" t="inlineStr">
        <is>
          <t>— ราคาขาย R3.9 ข้อ 37 (ไม่มีส่วนลด) —</t>
        </is>
      </c>
      <c r="N40" s="249" t="inlineStr">
        <is>
          <t>กล่อง 1.6"×4"|4"|3</t>
        </is>
      </c>
      <c r="O40" s="250" t="n">
        <v>4600</v>
      </c>
      <c r="P40" s="250" t="n">
        <v>400</v>
      </c>
      <c r="Q40" s="250" t="n">
        <v>1500</v>
      </c>
      <c r="R40" s="250" t="n">
        <v>2500</v>
      </c>
      <c r="S40" s="250" t="n">
        <v>3500</v>
      </c>
    </row>
    <row r="41" ht="15" customHeight="1" s="129">
      <c r="A41" s="363" t="inlineStr">
        <is>
          <t>ค่าระแนง+สี (38.4 N × พื้นที่)</t>
        </is>
      </c>
      <c r="D41" s="346">
        <f>H24*E2</f>
        <v/>
      </c>
      <c r="N41" s="249" t="inlineStr">
        <is>
          <t>กล่อง 1.6"×4"|4"|2</t>
        </is>
      </c>
      <c r="O41" s="250" t="n">
        <v>5400</v>
      </c>
      <c r="P41" s="250" t="n">
        <v>600</v>
      </c>
      <c r="Q41" s="250" t="n">
        <v>1900</v>
      </c>
      <c r="R41" s="250" t="n">
        <v>3300</v>
      </c>
      <c r="S41" s="250" t="n">
        <v>4700</v>
      </c>
    </row>
    <row r="42" ht="15" customHeight="1" s="129">
      <c r="A42" s="363" t="inlineStr">
        <is>
          <t>โครงประตู (เหมา)</t>
        </is>
      </c>
      <c r="D42" s="346" t="n">
        <v>6000</v>
      </c>
    </row>
    <row r="43" ht="15" customHeight="1" s="129">
      <c r="A43" s="363" t="inlineStr">
        <is>
          <t>ค่าราง R3.9 (1,500/2,500/ม. × ราง)</t>
        </is>
      </c>
      <c r="D43" s="346">
        <f>IF(B14="มี",E16*B9,E16*B9)</f>
        <v/>
      </c>
    </row>
    <row r="44" ht="15" customHeight="1" s="129">
      <c r="A44" s="363" t="inlineStr">
        <is>
          <t>ค่ามอเตอร์ (ขาย)</t>
        </is>
      </c>
      <c r="D44" s="346">
        <f>IF(B12="มี",30000,0)</f>
        <v/>
      </c>
    </row>
    <row r="45">
      <c r="A45" s="363" t="inlineStr">
        <is>
          <t>เดินไฟ (ขาย)</t>
        </is>
      </c>
      <c r="D45" s="346">
        <f>IF(B15="มี",2000,0)</f>
        <v/>
      </c>
    </row>
    <row r="46" ht="15" customHeight="1" s="129">
      <c r="A46" s="367" t="inlineStr">
        <is>
          <t>ราคาขายรวม R3.9</t>
        </is>
      </c>
      <c r="B46" s="431" t="n"/>
      <c r="C46" s="431" t="n"/>
      <c r="D46" s="369">
        <f>SUM(D41:D45)</f>
        <v/>
      </c>
    </row>
    <row r="47">
      <c r="A47" s="370" t="inlineStr">
        <is>
          <t>%กำไร (บนทุน)</t>
        </is>
      </c>
      <c r="B47" s="431" t="n"/>
      <c r="C47" s="431" t="n"/>
      <c r="D47" s="442">
        <f>(D46-D36)/D36</f>
        <v/>
      </c>
    </row>
    <row r="49">
      <c r="A49" s="372" t="n"/>
    </row>
    <row r="51">
      <c r="A51" s="387" t="inlineStr">
        <is>
          <t>ค่าแรงผลิต (560/ตร.ม.)</t>
        </is>
      </c>
      <c r="D51" s="388">
        <f>ROUND(VLOOKUP("ประตูรั้ว",'ค่าแรง'!$A$12:$M$49,2,0)+VLOOKUP("ประตูรั้ว",'ค่าแรง'!$A$12:$M$49,3,0)*E2,0)</f>
        <v/>
      </c>
    </row>
    <row r="52">
      <c r="A52" s="387" t="inlineStr">
        <is>
          <t>ค่าแรงติดตั้ง (1120/ตร.ม.)</t>
        </is>
      </c>
      <c r="D52" s="388">
        <f>ROUND(VLOOKUP("ประตูรั้ว",'ค่าแรง'!$A$12:$M$49,4,0)+VLOOKUP("ประตูรั้ว",'ค่าแรง'!$A$12:$M$49,5,0)*E2,0)</f>
        <v/>
      </c>
    </row>
  </sheetData>
  <mergeCells count="1">
    <mergeCell ref="A1:F1"/>
  </mergeCells>
  <dataValidations count="12">
    <dataValidation sqref="B2" showDropDown="0" showInputMessage="0" showErrorMessage="0" allowBlank="1" type="list" errorStyle="stop" operator="between">
      <formula1>$J$2:$J$8</formula1>
      <formula2>0</formula2>
    </dataValidation>
    <dataValidation sqref="B5" showDropDown="0" showInputMessage="0" showErrorMessage="0" allowBlank="1" type="list" errorStyle="stop" operator="between">
      <formula1>$J$11:$J$15</formula1>
      <formula2>0</formula2>
    </dataValidation>
    <dataValidation sqref="B6" showDropDown="0" showInputMessage="0" showErrorMessage="0" allowBlank="1" type="list" errorStyle="stop" operator="between">
      <formula1>"นอน,ตั้ง"</formula1>
      <formula2>0</formula2>
    </dataValidation>
    <dataValidation sqref="B17" showDropDown="0" showInputMessage="0" showErrorMessage="0" allowBlank="0" type="list">
      <formula1>"ต่อ,ไม่ต่อ"</formula1>
    </dataValidation>
    <dataValidation sqref="B12" showDropDown="0" showInputMessage="0" showErrorMessage="0" allowBlank="0" type="list">
      <formula1>"มี,ไม่มี"</formula1>
    </dataValidation>
    <dataValidation sqref="B13" showDropDown="0" showInputMessage="0" showErrorMessage="0" allowBlank="0" type="list">
      <formula1>"มี,ไม่มี"</formula1>
    </dataValidation>
    <dataValidation sqref="B14" showDropDown="0" showInputMessage="0" showErrorMessage="0" allowBlank="0" type="list">
      <formula1>"มี,ไม่มี"</formula1>
    </dataValidation>
    <dataValidation sqref="B15" showDropDown="0" showInputMessage="0" showErrorMessage="0" allowBlank="0" type="list">
      <formula1>"มี,ไม่มี"</formula1>
    </dataValidation>
    <dataValidation sqref="C3" showDropDown="0" showInputMessage="0" showErrorMessage="0" allowBlank="1" type="list">
      <formula1>"ระแนง,ระแนงสลับ"</formula1>
    </dataValidation>
    <dataValidation sqref="B3" showDropDown="0" showInputMessage="0" showErrorMessage="0" allowBlank="1" type="list">
      <formula1>$AF$1:$AF$2</formula1>
    </dataValidation>
    <dataValidation sqref="F6" showDropDown="0" showInputMessage="0" showErrorMessage="0" allowBlank="1" type="list">
      <formula1>$J$2:$J$8</formula1>
    </dataValidation>
    <dataValidation sqref="F7" showDropDown="0" showInputMessage="0" showErrorMessage="0" allowBlank="1" type="list">
      <formula1>$AF$3:$AF$4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>
    <tabColor rgb="005B9BD5"/>
    <outlinePr summaryBelow="1" summaryRight="1"/>
    <pageSetUpPr/>
  </sheetPr>
  <dimension ref="A1:AD38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10.7" customWidth="1" style="129" min="2" max="2"/>
    <col width="10.7" customWidth="1" style="129" min="3" max="3"/>
    <col width="18" customWidth="1" style="129" min="4" max="4"/>
    <col width="18" customWidth="1" style="129" min="5" max="5"/>
    <col width="8.6" customWidth="1" style="129" min="7" max="7"/>
    <col hidden="1" width="7.5" customWidth="1" style="129" min="27" max="27"/>
    <col hidden="1" width="4.5" customWidth="1" style="129" min="28" max="28"/>
    <col hidden="1" width="24" customWidth="1" style="129" min="29" max="29"/>
    <col width="7.5" customWidth="1" style="129" min="30" max="30"/>
  </cols>
  <sheetData>
    <row r="1">
      <c r="A1" s="398" t="inlineStr">
        <is>
          <t>คิดทุนบานเกล็ด 38.1 (เกล็ดโยก ลูกฟูก/กระจก) — กรอกช่องเหลือง</t>
        </is>
      </c>
      <c r="B1" s="643" t="n"/>
      <c r="G1" s="753" t="inlineStr">
        <is>
          <t>🏠 สารบัญ</t>
        </is>
      </c>
      <c r="H1" s="754" t="n"/>
      <c r="AA1" s="276" t="inlineStr">
        <is>
          <t>ความสูง</t>
        </is>
      </c>
      <c r="AB1" s="276" t="inlineStr">
        <is>
          <t>N</t>
        </is>
      </c>
      <c r="AD1" s="140" t="inlineStr">
        <is>
          <t>ก้านโยก</t>
        </is>
      </c>
    </row>
    <row r="2">
      <c r="A2" s="387" t="inlineStr">
        <is>
          <t>กว้างรวม (ซม.) →</t>
        </is>
      </c>
      <c r="B2" s="407" t="n">
        <v>300</v>
      </c>
      <c r="D2" s="387" t="inlineStr">
        <is>
          <t>Wp กว้าง/ช่อง</t>
        </is>
      </c>
      <c r="E2" s="417">
        <f>B2/B4</f>
        <v/>
      </c>
      <c r="AA2" s="387" t="n">
        <v>29.5</v>
      </c>
      <c r="AB2" s="387" t="n">
        <v>3</v>
      </c>
      <c r="AC2" s="387" t="inlineStr">
        <is>
          <t>เขียว 6มม.</t>
        </is>
      </c>
      <c r="AD2" s="140" t="n">
        <v>1</v>
      </c>
    </row>
    <row r="3">
      <c r="A3" s="387" t="inlineStr">
        <is>
          <t>สูง (ซม.) →</t>
        </is>
      </c>
      <c r="B3" s="407" t="n">
        <v>150</v>
      </c>
      <c r="D3" s="387" t="inlineStr">
        <is>
          <t>S ด้านสแต็ค</t>
        </is>
      </c>
      <c r="E3" s="417">
        <f>IF(B5="นอน",B3,E2)</f>
        <v/>
      </c>
      <c r="AA3" s="387" t="n">
        <v>38.4</v>
      </c>
      <c r="AB3" s="387" t="n">
        <v>4</v>
      </c>
      <c r="AC3" s="387" t="inlineStr">
        <is>
          <t>เคลือบขาว 6มม.</t>
        </is>
      </c>
      <c r="AD3" s="140" t="n">
        <v>1</v>
      </c>
    </row>
    <row r="4">
      <c r="A4" s="387" t="inlineStr">
        <is>
          <t>จำนวนช่อง →</t>
        </is>
      </c>
      <c r="B4" s="407" t="n">
        <v>2</v>
      </c>
      <c r="D4" s="387" t="inlineStr">
        <is>
          <t>L ยาวใบ</t>
        </is>
      </c>
      <c r="E4" s="417">
        <f>IF(B5="นอน",E2,B3)</f>
        <v/>
      </c>
      <c r="AA4" s="387" t="n">
        <v>47.3</v>
      </c>
      <c r="AB4" s="387" t="n">
        <v>5</v>
      </c>
      <c r="AC4" s="387" t="inlineStr">
        <is>
          <t>ยูโรเกรย์ 6มม.</t>
        </is>
      </c>
      <c r="AD4" s="140" t="n">
        <v>1</v>
      </c>
    </row>
    <row r="5">
      <c r="A5" s="387" t="inlineStr">
        <is>
          <t>แนวเกล็ด →</t>
        </is>
      </c>
      <c r="B5" s="407" t="inlineStr">
        <is>
          <t>นอน</t>
        </is>
      </c>
      <c r="D5" s="387" t="inlineStr">
        <is>
          <t>limit ด้านจำกัด</t>
        </is>
      </c>
      <c r="E5" s="417">
        <f>IF(B5="นอน",E2,B3)</f>
        <v/>
      </c>
      <c r="AA5" s="387" t="n">
        <v>56.2</v>
      </c>
      <c r="AB5" s="387" t="n">
        <v>6</v>
      </c>
      <c r="AC5" s="387" t="inlineStr">
        <is>
          <t>ยูโรบรอนซ์ 6มม.</t>
        </is>
      </c>
      <c r="AD5" s="140" t="n">
        <v>1</v>
      </c>
    </row>
    <row r="6">
      <c r="A6" s="387" t="inlineStr">
        <is>
          <t>ใบเกล็ด →</t>
        </is>
      </c>
      <c r="B6" s="407" t="inlineStr">
        <is>
          <t>ลูกฟูก</t>
        </is>
      </c>
      <c r="D6" s="387" t="inlineStr">
        <is>
          <t>colMult</t>
        </is>
      </c>
      <c r="E6" s="387">
        <f>IF(B8="สีอบขาว/ดำ",1,IF(B8="เทาซาฮาร่า",1+rate_grey/192,IF(B8="ลายไม้ stock",1.6,IF(B8="สีอบพิเศษ",1+rate_special/192,1+rate_woodbake/192))))</f>
        <v/>
      </c>
      <c r="AA6" s="387" t="n">
        <v>65.09999999999999</v>
      </c>
      <c r="AB6" s="387" t="n">
        <v>7</v>
      </c>
      <c r="AC6" s="387" t="inlineStr">
        <is>
          <t>reflective เทา 6มม.</t>
        </is>
      </c>
      <c r="AD6" s="140" t="n">
        <v>1</v>
      </c>
    </row>
    <row r="7">
      <c r="A7" s="387" t="inlineStr">
        <is>
          <t>ชนิดกระจก (ถ้าใบ=กระจก) →</t>
        </is>
      </c>
      <c r="B7" s="407" t="inlineStr">
        <is>
          <t>เขียว 6มม.</t>
        </is>
      </c>
      <c r="D7" s="387" t="inlineStr">
        <is>
          <t>ค่าเปิดตู้อบ</t>
        </is>
      </c>
      <c r="E7" s="387">
        <f>IF(OR(B8="สีอบพิเศษ",B8="สีลายไม้อบพิเศษ"),2000,0)</f>
        <v/>
      </c>
      <c r="AA7" s="387" t="n">
        <v>74</v>
      </c>
      <c r="AB7" s="387" t="n">
        <v>8</v>
      </c>
      <c r="AC7" s="387" t="inlineStr">
        <is>
          <t>reflective เขียว 6มม.</t>
        </is>
      </c>
      <c r="AD7" s="140" t="n">
        <v>1</v>
      </c>
    </row>
    <row r="8">
      <c r="A8" s="387" t="inlineStr">
        <is>
          <t>สีอลู →</t>
        </is>
      </c>
      <c r="B8" s="407" t="inlineStr">
        <is>
          <t>สีอบขาว/ดำ</t>
        </is>
      </c>
      <c r="D8" s="387" t="inlineStr">
        <is>
          <t>legGray</t>
        </is>
      </c>
      <c r="E8" s="387">
        <f>IF(B8="สีอบขาว/ดำ",0,1)</f>
        <v/>
      </c>
      <c r="AA8" s="387" t="n">
        <v>82.90000000000001</v>
      </c>
      <c r="AB8" s="387" t="n">
        <v>9</v>
      </c>
      <c r="AC8" s="387" t="inlineStr">
        <is>
          <t>reflective ฟ้า/เทา 6มม.</t>
        </is>
      </c>
      <c r="AD8" s="140" t="n">
        <v>1</v>
      </c>
    </row>
    <row r="9">
      <c r="A9" s="387" t="inlineStr">
        <is>
          <t>มอเตอร์ →</t>
        </is>
      </c>
      <c r="B9" s="407" t="inlineStr">
        <is>
          <t>ไม่มี</t>
        </is>
      </c>
      <c r="D9" s="387" t="inlineStr">
        <is>
          <t>matchRow</t>
        </is>
      </c>
      <c r="E9" s="387">
        <f>IFERROR(MATCH(E3,$AA$2:$AA$34,1),1)</f>
        <v/>
      </c>
      <c r="AA9" s="387" t="n">
        <v>91.8</v>
      </c>
      <c r="AB9" s="387" t="n">
        <v>10</v>
      </c>
      <c r="AC9" s="387" t="inlineStr">
        <is>
          <t>เทมเปอร์ 6มม.</t>
        </is>
      </c>
      <c r="AD9" s="140" t="n">
        <v>1</v>
      </c>
    </row>
    <row r="10">
      <c r="A10" s="387" t="inlineStr">
        <is>
          <t>บวกกำไร % →</t>
        </is>
      </c>
      <c r="B10" s="407" t="n">
        <v>100</v>
      </c>
      <c r="D10" s="387" t="inlineStr">
        <is>
          <t>N เกล็ดโยก</t>
        </is>
      </c>
      <c r="E10" s="387">
        <f>INDEX($AB$2:$AB$34,E9)</f>
        <v/>
      </c>
      <c r="AA10" s="387" t="n">
        <v>100.7</v>
      </c>
      <c r="AB10" s="387" t="n">
        <v>11</v>
      </c>
      <c r="AC10" s="387" t="inlineStr">
        <is>
          <t>เทมเปอร์ใสพิเศษ 6มม.</t>
        </is>
      </c>
      <c r="AD10" s="140" t="n">
        <v>2</v>
      </c>
    </row>
    <row r="11">
      <c r="A11" s="684" t="inlineStr">
        <is>
          <t>━ คำนวณตามความสูง (ตาราง GUT) ━</t>
        </is>
      </c>
      <c r="D11" s="387" t="inlineStr">
        <is>
          <t>Hrow ความสูงแถว</t>
        </is>
      </c>
      <c r="E11" s="417">
        <f>INDEX($AA$2:$AA$34,E9)</f>
        <v/>
      </c>
      <c r="AA11" s="387" t="n">
        <v>109.6</v>
      </c>
      <c r="AB11" s="387" t="n">
        <v>12</v>
      </c>
      <c r="AC11" s="387" t="inlineStr">
        <is>
          <t>เทมเปอร์ฝ้า 6มม.</t>
        </is>
      </c>
      <c r="AD11" s="140" t="n">
        <v>2</v>
      </c>
    </row>
    <row r="12">
      <c r="A12" s="706" t="inlineStr">
        <is>
          <t>จำนวนเกล็ด/ช่อง =</t>
        </is>
      </c>
      <c r="B12" s="765">
        <f>E10</f>
        <v/>
      </c>
      <c r="D12" s="387" t="inlineStr">
        <is>
          <t>G เศษ</t>
        </is>
      </c>
      <c r="E12" s="417">
        <f>MAX(0,E3-E11)</f>
        <v/>
      </c>
      <c r="AA12" s="387" t="n">
        <v>118.5</v>
      </c>
      <c r="AB12" s="387" t="n">
        <v>13</v>
      </c>
      <c r="AC12" s="387" t="inlineStr">
        <is>
          <t>เทมเปอร์ยูโรเกรย์ 6มม.</t>
        </is>
      </c>
      <c r="AD12" s="140" t="n">
        <v>2</v>
      </c>
    </row>
    <row r="13">
      <c r="A13" s="706" t="inlineStr">
        <is>
          <t>ขาเกล็ดยาว (มม.) =</t>
        </is>
      </c>
      <c r="B13" s="765">
        <f>ROUND(E11*10,0)</f>
        <v/>
      </c>
      <c r="D13" s="387" t="inlineStr">
        <is>
          <t>tie เกล็ดติดตาย</t>
        </is>
      </c>
      <c r="E13" s="387">
        <f>IF(E12&gt;0,ROUNDUP(E12/8.9,0),0)</f>
        <v/>
      </c>
      <c r="AA13" s="387" t="n">
        <v>127.4</v>
      </c>
      <c r="AB13" s="387" t="n">
        <v>14</v>
      </c>
      <c r="AC13" s="387" t="inlineStr">
        <is>
          <t>เทมเปอร์ยูโรบรอนซ์ 6มม.</t>
        </is>
      </c>
      <c r="AD13" s="140" t="n">
        <v>2</v>
      </c>
    </row>
    <row r="14">
      <c r="A14" s="706" t="inlineStr">
        <is>
          <t>ก้านโยก =</t>
        </is>
      </c>
      <c r="B14" s="765">
        <f>INDEX($AD$2:$AD$34,E9)</f>
        <v/>
      </c>
      <c r="D14" s="387" t="inlineStr">
        <is>
          <t>perBlades/ช่อง</t>
        </is>
      </c>
      <c r="E14" s="387">
        <f>E10+E13</f>
        <v/>
      </c>
      <c r="AA14" s="387" t="n">
        <v>136.3</v>
      </c>
      <c r="AB14" s="387" t="n">
        <v>15</v>
      </c>
      <c r="AC14" s="387" t="inlineStr">
        <is>
          <t>เทมเปอร์ reflective เทา 6มม.</t>
        </is>
      </c>
      <c r="AD14" s="140" t="n">
        <v>2</v>
      </c>
    </row>
    <row r="15">
      <c r="A15" s="706" t="inlineStr">
        <is>
          <t>จำนวนขาเกล็ด (ชุด) =</t>
        </is>
      </c>
      <c r="B15" s="765">
        <f>B25</f>
        <v/>
      </c>
      <c r="D15" s="387" t="inlineStr">
        <is>
          <t>totalBlades</t>
        </is>
      </c>
      <c r="E15" s="387">
        <f>E14*B4</f>
        <v/>
      </c>
      <c r="AA15" s="387" t="n">
        <v>145.2</v>
      </c>
      <c r="AB15" s="387" t="n">
        <v>16</v>
      </c>
      <c r="AC15" s="387" t="inlineStr">
        <is>
          <t>เทมเปอร์ reflective เขียว 6มม.</t>
        </is>
      </c>
      <c r="AD15" s="140" t="n">
        <v>2</v>
      </c>
    </row>
    <row r="16">
      <c r="D16" s="387" t="inlineStr">
        <is>
          <t>legRate</t>
        </is>
      </c>
      <c r="E16" s="387">
        <f>IF(B6="ลูกฟูก",IF(E8=1,94,90),IF(E8=1,92,88))</f>
        <v/>
      </c>
      <c r="AA16" s="387" t="n">
        <v>154.1</v>
      </c>
      <c r="AB16" s="387" t="n">
        <v>17</v>
      </c>
      <c r="AC16" s="387" t="inlineStr">
        <is>
          <t>เทมเปอร์ reflective ฟ้า 6มม.</t>
        </is>
      </c>
      <c r="AD16" s="140" t="n">
        <v>2</v>
      </c>
    </row>
    <row r="17">
      <c r="D17" s="387" t="inlineStr">
        <is>
          <t>frameLen</t>
        </is>
      </c>
      <c r="E17" s="417">
        <f>2*(B2+B3)+(B4-1)*B3</f>
        <v/>
      </c>
      <c r="AA17" s="387" t="n">
        <v>163</v>
      </c>
      <c r="AB17" s="387" t="n">
        <v>18</v>
      </c>
      <c r="AC17" s="387" t="inlineStr">
        <is>
          <t>กระจกชา/ฝ้า/ลายผ้า 5-6มม.</t>
        </is>
      </c>
      <c r="AD17" s="140" t="n">
        <v>2</v>
      </c>
    </row>
    <row r="18">
      <c r="D18" s="387" t="inlineStr">
        <is>
          <t>frameLines</t>
        </is>
      </c>
      <c r="E18" s="387">
        <f>ROUNDUP(E17/600,0)</f>
        <v/>
      </c>
      <c r="AA18" s="387" t="n">
        <v>171.9</v>
      </c>
      <c r="AB18" s="387" t="n">
        <v>19</v>
      </c>
      <c r="AC18" s="387" t="inlineStr">
        <is>
          <t>เทมเปอร์สีชาดำ 6มม.</t>
        </is>
      </c>
      <c r="AD18" s="140" t="n">
        <v>2</v>
      </c>
    </row>
    <row r="19">
      <c r="D19" s="387" t="inlineStr">
        <is>
          <t>glassPrice</t>
        </is>
      </c>
      <c r="E19" s="387">
        <f>IFERROR(INDEX(ราคาวัสดุกลาง!$I$2:$I$106,MATCH(B7,ราคาวัสดุกลาง!$H$2:$H$106,0)),264)</f>
        <v/>
      </c>
      <c r="AA19" s="387" t="n">
        <v>180.8</v>
      </c>
      <c r="AB19" s="387" t="n">
        <v>20</v>
      </c>
      <c r="AC19" s="387" t="inlineStr">
        <is>
          <t>เทมเปอร์สีฟ้า 6มม.</t>
        </is>
      </c>
      <c r="AD19" s="140" t="n">
        <v>2</v>
      </c>
    </row>
    <row r="20">
      <c r="D20" s="387" t="inlineStr">
        <is>
          <t>motorCost</t>
        </is>
      </c>
      <c r="E20" s="387">
        <f>IF(B9="มี",INDEX(ราคาออโต้!$C:$C,MATCH("มอเตอร์บานเกล็ด",ราคาออโต้!$B:$B,0)),0)</f>
        <v/>
      </c>
      <c r="AA20" s="387" t="n">
        <v>189.7</v>
      </c>
      <c r="AB20" s="387" t="n">
        <v>21</v>
      </c>
      <c r="AC20" s="387" t="inlineStr">
        <is>
          <t>ใส 6มม.</t>
        </is>
      </c>
      <c r="AD20" s="140" t="n">
        <v>3</v>
      </c>
    </row>
    <row r="21">
      <c r="AA21" s="387" t="n">
        <v>198.6</v>
      </c>
      <c r="AB21" s="387" t="n">
        <v>22</v>
      </c>
      <c r="AC21" s="387" t="inlineStr">
        <is>
          <t>เทมเปอร์ใส 6มม.</t>
        </is>
      </c>
      <c r="AD21" s="140" t="n">
        <v>4</v>
      </c>
    </row>
    <row r="22">
      <c r="AA22" s="387" t="n">
        <v>207.5</v>
      </c>
      <c r="AB22" s="387" t="n">
        <v>23</v>
      </c>
      <c r="AC22" s="387" t="inlineStr">
        <is>
          <t>เงา 6มม.</t>
        </is>
      </c>
      <c r="AD22" s="140" t="n">
        <v>4</v>
      </c>
    </row>
    <row r="23">
      <c r="A23" s="392" t="inlineStr">
        <is>
          <t>รายการวัสดุ</t>
        </is>
      </c>
      <c r="B23" s="392" t="inlineStr">
        <is>
          <t>จำนวน</t>
        </is>
      </c>
      <c r="C23" s="392" t="inlineStr">
        <is>
          <t>ราคา/หน่วย</t>
        </is>
      </c>
      <c r="D23" s="392" t="inlineStr">
        <is>
          <t>ทุน (บาท)</t>
        </is>
      </c>
      <c r="AA23" s="387" t="n">
        <v>216.4</v>
      </c>
      <c r="AB23" s="387" t="n">
        <v>24</v>
      </c>
      <c r="AD23" s="140" t="n">
        <v>4</v>
      </c>
    </row>
    <row r="24">
      <c r="A24" s="387" t="inlineStr">
        <is>
          <t>เฟรม 1"×4" (รอบ+เสาแบ่ง)</t>
        </is>
      </c>
      <c r="B24" s="411">
        <f>E18</f>
        <v/>
      </c>
      <c r="C24" s="411">
        <f>905*E6*mult_mtong</f>
        <v/>
      </c>
      <c r="D24" s="412">
        <f>B24*C24</f>
        <v/>
      </c>
      <c r="AA24" s="387" t="n">
        <v>225.3</v>
      </c>
      <c r="AB24" s="387" t="n">
        <v>25</v>
      </c>
      <c r="AD24" s="140" t="n">
        <v>4</v>
      </c>
    </row>
    <row r="25">
      <c r="A25" s="387" t="inlineStr">
        <is>
          <t>ขาเกล็ดโยก</t>
        </is>
      </c>
      <c r="B25" s="411">
        <f>B4</f>
        <v/>
      </c>
      <c r="C25" s="411">
        <f>E10*E16</f>
        <v/>
      </c>
      <c r="D25" s="412">
        <f>E10*E16*B4</f>
        <v/>
      </c>
      <c r="AA25" s="387" t="n">
        <v>234.2</v>
      </c>
      <c r="AB25" s="387" t="n">
        <v>26</v>
      </c>
      <c r="AD25" s="140" t="n">
        <v>4</v>
      </c>
    </row>
    <row r="26">
      <c r="A26" s="387" t="inlineStr">
        <is>
          <t>ใบเกล็ด</t>
        </is>
      </c>
      <c r="B26" s="411">
        <f>IF(B6="ลูกฟูก",(E15*E4/600)*buf_scrap,ROUND(E15*0.102*E4/100,2))</f>
        <v/>
      </c>
      <c r="C26" s="411">
        <f>IF(B6="ลูกฟูก",572*E6*mult_mtong,E19)</f>
        <v/>
      </c>
      <c r="D26" s="412">
        <f>B26*C26</f>
        <v/>
      </c>
      <c r="AA26" s="387" t="n">
        <v>243.1</v>
      </c>
      <c r="AB26" s="387" t="n">
        <v>27</v>
      </c>
      <c r="AD26" s="140" t="n">
        <v>4</v>
      </c>
    </row>
    <row r="27">
      <c r="A27" s="387" t="inlineStr">
        <is>
          <t>ยู4หุน เกล็ดติดตาย</t>
        </is>
      </c>
      <c r="B27" s="411">
        <f>IF(E13&gt;0,2*B4,0)</f>
        <v/>
      </c>
      <c r="C27" s="411">
        <f>IF(E13&gt;0,(E12/600)*150,0)</f>
        <v/>
      </c>
      <c r="D27" s="412">
        <f>B27*C27</f>
        <v/>
      </c>
      <c r="AA27" s="387" t="n">
        <v>252</v>
      </c>
      <c r="AB27" s="387" t="n">
        <v>28</v>
      </c>
      <c r="AD27" s="140" t="n">
        <v>4</v>
      </c>
    </row>
    <row r="28">
      <c r="A28" s="387" t="inlineStr">
        <is>
          <t>ค่าเปิดตู้อบ (สีพิเศษ)</t>
        </is>
      </c>
      <c r="B28" s="411">
        <f>IF(E7&gt;0,1,0)</f>
        <v/>
      </c>
      <c r="C28" s="411">
        <f>E7</f>
        <v/>
      </c>
      <c r="D28" s="412">
        <f>B28*C28</f>
        <v/>
      </c>
      <c r="AA28" s="387" t="n">
        <v>260.9</v>
      </c>
      <c r="AB28" s="387" t="n">
        <v>29</v>
      </c>
      <c r="AD28" s="140" t="n">
        <v>4</v>
      </c>
    </row>
    <row r="29">
      <c r="A29" s="387" t="inlineStr">
        <is>
          <t>มอเตอร์บานเกล็ด</t>
        </is>
      </c>
      <c r="B29" s="411">
        <f>IF(B9="มี",1,0)</f>
        <v/>
      </c>
      <c r="C29" s="411">
        <f>E20</f>
        <v/>
      </c>
      <c r="D29" s="412">
        <f>B29*C29</f>
        <v/>
      </c>
      <c r="AA29" s="387" t="n">
        <v>269.8</v>
      </c>
      <c r="AB29" s="387" t="n">
        <v>30</v>
      </c>
      <c r="AD29" s="140" t="n">
        <v>4</v>
      </c>
    </row>
    <row r="30">
      <c r="A30" s="276" t="inlineStr">
        <is>
          <t>ทุนวัสดุ</t>
        </is>
      </c>
      <c r="D30" s="413">
        <f>SUM(D24:D29)</f>
        <v/>
      </c>
      <c r="AA30" s="387" t="n">
        <v>278.7</v>
      </c>
      <c r="AB30" s="387" t="n">
        <v>31</v>
      </c>
      <c r="AD30" s="140" t="n">
        <v>4</v>
      </c>
    </row>
    <row r="31">
      <c r="A31" s="387" t="inlineStr">
        <is>
          <t>พื้นที่ (ตร.ม.)</t>
        </is>
      </c>
      <c r="D31" s="414">
        <f>B2*B3/10000</f>
        <v/>
      </c>
      <c r="AA31" s="387" t="n">
        <v>287.6</v>
      </c>
      <c r="AB31" s="387" t="n">
        <v>32</v>
      </c>
      <c r="AD31" s="140" t="n">
        <v>4</v>
      </c>
    </row>
    <row r="32">
      <c r="A32" s="387" t="inlineStr">
        <is>
          <t>ค่าแรงผลิต (196/ตร.ม.)</t>
        </is>
      </c>
      <c r="D32" s="412">
        <f>ROUND(VLOOKUP("บานเกล็ด",'ค่าแรง'!$A$12:$M$49,2,0)+VLOOKUP("บานเกล็ด",'ค่าแรง'!$A$12:$M$49,3,0)*D31,0)</f>
        <v/>
      </c>
      <c r="AA32" s="387" t="n">
        <v>296.5</v>
      </c>
      <c r="AB32" s="387" t="n">
        <v>33</v>
      </c>
      <c r="AD32" s="140" t="n">
        <v>6</v>
      </c>
    </row>
    <row r="33">
      <c r="A33" s="387" t="inlineStr">
        <is>
          <t>ค่าแรงติดตั้ง (196/ตร.ม.)</t>
        </is>
      </c>
      <c r="D33" s="412">
        <f>ROUND(VLOOKUP("บานเกล็ด",'ค่าแรง'!$A$12:$M$49,4,0)+VLOOKUP("บานเกล็ด",'ค่าแรง'!$A$12:$M$49,5,0)*D31,0)</f>
        <v/>
      </c>
      <c r="AA33" s="387" t="n">
        <v>305.4</v>
      </c>
      <c r="AB33" s="387" t="n">
        <v>34</v>
      </c>
      <c r="AD33" s="140" t="n">
        <v>6</v>
      </c>
    </row>
    <row r="34">
      <c r="A34" s="276" t="inlineStr">
        <is>
          <t>ขายผลิตอย่างเดียว</t>
        </is>
      </c>
      <c r="D34" s="415">
        <f>ROUNDUP((D30+D32)*(1+B10/100)/100,0)*100</f>
        <v/>
      </c>
      <c r="AA34" s="387" t="n">
        <v>314.3</v>
      </c>
      <c r="AB34" s="387" t="n">
        <v>35</v>
      </c>
      <c r="AD34" s="140" t="n">
        <v>6</v>
      </c>
    </row>
    <row r="35">
      <c r="A35" s="276" t="inlineStr">
        <is>
          <t>ขายผลิต+ติดตั้ง</t>
        </is>
      </c>
      <c r="D35" s="415">
        <f>D34+ROUNDUP(D33*(1+B10/100)/100,0)*100</f>
        <v/>
      </c>
      <c r="AA35" s="387" t="n"/>
      <c r="AB35" s="387" t="n"/>
    </row>
    <row r="36">
      <c r="A36" s="387" t="inlineStr">
        <is>
          <t>%กำไร (ฐานวัสดุ+ผลิต)</t>
        </is>
      </c>
      <c r="D36" s="416">
        <f>(D34-(D30+D32))/(D30+D32)</f>
        <v/>
      </c>
      <c r="AA36" s="387" t="n"/>
      <c r="AB36" s="387" t="n"/>
    </row>
    <row r="37">
      <c r="A37" s="387" t="inlineStr">
        <is>
          <t>หมายเหตุ: ขาย=markup กำไร% · R3.9 38.1 (ยึดเกล็ด max500/พื้นที่×1500) สูตรสีรอเฟิร์น</t>
        </is>
      </c>
    </row>
    <row r="38">
      <c r="A38" s="706" t="inlineStr">
        <is>
          <t>ทุน/ตร.ม. (รวมค่าแรง)</t>
        </is>
      </c>
      <c r="D38" s="706">
        <f>ROUND((D30+D32+D33)/D31,0)</f>
        <v/>
      </c>
    </row>
  </sheetData>
  <dataValidations count="5">
    <dataValidation sqref="B5" showDropDown="0" showInputMessage="0" showErrorMessage="0" allowBlank="1" type="list">
      <formula1>"นอน,ตั้ง"</formula1>
    </dataValidation>
    <dataValidation sqref="B6" showDropDown="0" showInputMessage="0" showErrorMessage="0" allowBlank="1" type="list">
      <formula1>"ลูกฟูก,กระจก"</formula1>
    </dataValidation>
    <dataValidation sqref="B8" showDropDown="0" showInputMessage="0" showErrorMessage="0" allowBlank="1" type="list">
      <formula1>"สีอบขาว/ดำ,เทาซาฮาร่า,ลายไม้ stock,สีอบพิเศษ,สีลายไม้อบพิเศษ"</formula1>
    </dataValidation>
    <dataValidation sqref="B9" showDropDown="0" showInputMessage="0" showErrorMessage="0" allowBlank="1" type="list">
      <formula1>"มี,ไม่มี"</formula1>
    </dataValidation>
    <dataValidation sqref="B7" showDropDown="0" showInputMessage="0" showErrorMessage="0" allowBlank="1" type="list">
      <formula1>$AC$2:$AC$22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 filterMode="0">
    <tabColor rgb="005B9BD5"/>
    <outlinePr summaryBelow="1" summaryRight="1"/>
    <pageSetUpPr fitToPage="0"/>
  </sheetPr>
  <dimension ref="A1:AF38"/>
  <sheetViews>
    <sheetView workbookViewId="0">
      <selection activeCell="A1" sqref="A1"/>
    </sheetView>
  </sheetViews>
  <sheetFormatPr baseColWidth="8" defaultColWidth="8.6796875" defaultRowHeight="15" customHeight="0" zeroHeight="0" outlineLevelRow="0"/>
  <cols>
    <col width="24" customWidth="1" style="140" min="1" max="1"/>
    <col width="13.8" customWidth="1" style="140" min="2" max="2"/>
    <col width="10.7" customWidth="1" style="140" min="3" max="4"/>
    <col width="18" customWidth="1" style="129" min="4" max="4"/>
    <col width="21.1" customWidth="1" style="140" min="5" max="5"/>
    <col width="3" customWidth="1" style="140" min="6" max="6"/>
    <col width="13.8" customWidth="1" style="140" min="7" max="7"/>
    <col width="7.5" customWidth="1" style="140" min="8" max="8"/>
    <col width="15.9" customWidth="1" style="140" min="10" max="10"/>
    <col width="18" customWidth="1" style="140" min="11" max="12"/>
    <col width="6.5" customWidth="1" style="129" min="12" max="12"/>
    <col width="23.2" customWidth="1" style="140" min="14" max="14"/>
    <col width="6.5" customWidth="1" style="129" min="15" max="15"/>
    <col width="7.5" customWidth="1" style="129" min="16" max="16"/>
    <col width="4.5" customWidth="1" style="129" min="17" max="17"/>
    <col width="6.5" customWidth="1" style="129" min="18" max="18"/>
    <col width="6.5" customWidth="1" style="129" min="19" max="19"/>
    <col width="6.5" customWidth="1" style="129" min="20" max="20"/>
    <col width="10.7" customWidth="1" style="140" min="22" max="22"/>
    <col hidden="1" width="15.9" customWidth="1" style="129" min="28" max="28"/>
    <col hidden="1" width="5.4" customWidth="1" style="129" min="29" max="29"/>
    <col hidden="1" width="5.4" customWidth="1" style="129" min="30" max="30"/>
    <col hidden="1" width="13" customWidth="1" style="129" min="32" max="32"/>
  </cols>
  <sheetData>
    <row r="1" ht="24" customHeight="1" s="129">
      <c r="A1" s="286" t="inlineStr">
        <is>
          <t>คิดทุนบานระแนงหมุน 38.4 (ใบพลิกได้ + มอเตอร์)</t>
        </is>
      </c>
      <c r="G1" s="753" t="inlineStr">
        <is>
          <t>🏠 สารบัญ</t>
        </is>
      </c>
      <c r="H1" s="754" t="n"/>
      <c r="I1" s="643" t="n"/>
      <c r="J1" s="355" t="inlineStr">
        <is>
          <t>LUT (ซ่อนได้)</t>
        </is>
      </c>
      <c r="V1" s="242" t="inlineStr">
        <is>
          <t>ตัวหาร 600</t>
        </is>
      </c>
      <c r="AF1" s="140">
        <f>IFERROR(VLOOKUP(B2,$AB$2:$AD$8,2,0),"")</f>
        <v/>
      </c>
    </row>
    <row r="2" ht="15" customHeight="1" s="129">
      <c r="A2" s="355" t="inlineStr">
        <is>
          <t>กล่องระแนง →</t>
        </is>
      </c>
      <c r="B2" s="356" t="inlineStr">
        <is>
          <t>กล่อง 1.6"×4"</t>
        </is>
      </c>
      <c r="D2" s="357" t="inlineStr">
        <is>
          <t>พื้นที่ (ตร.ม.)</t>
        </is>
      </c>
      <c r="E2" s="358">
        <f>(H16/100)*(H17/100)</f>
        <v/>
      </c>
      <c r="G2" s="357" t="inlineStr">
        <is>
          <t>เส้นโครง</t>
        </is>
      </c>
      <c r="H2" s="359">
        <f>IF(B5="รวม",ROUNDUP(IF(B9&lt;=250,2,3)/MAX(INT(600/B8),1),0),0)</f>
        <v/>
      </c>
      <c r="J2" s="357" t="inlineStr">
        <is>
          <t>กล่อง 1×5 cm</t>
        </is>
      </c>
      <c r="K2" s="359" t="n">
        <v>500</v>
      </c>
      <c r="N2" s="249" t="inlineStr">
        <is>
          <t>กล่อง 1×5 cm|1 cm|5</t>
        </is>
      </c>
      <c r="O2" s="250" t="n">
        <v>3300</v>
      </c>
      <c r="P2" s="250" t="n">
        <v>5200</v>
      </c>
      <c r="Q2" s="250" t="n">
        <v>300</v>
      </c>
      <c r="R2" s="250" t="n">
        <v>1000</v>
      </c>
      <c r="S2" s="250" t="n">
        <v>1700</v>
      </c>
      <c r="T2" s="250" t="n">
        <v>2400</v>
      </c>
      <c r="V2" s="249" t="n">
        <v>50</v>
      </c>
      <c r="AB2" s="140" t="inlineStr">
        <is>
          <t>กล่อง 1×5 cm</t>
        </is>
      </c>
      <c r="AC2" s="140" t="inlineStr">
        <is>
          <t>1 cm</t>
        </is>
      </c>
      <c r="AD2" s="140" t="inlineStr">
        <is>
          <t>5 cm</t>
        </is>
      </c>
      <c r="AF2" s="140">
        <f>IFERROR(VLOOKUP(B2,$AB$2:$AD$8,3,0),"")</f>
        <v/>
      </c>
    </row>
    <row r="3" ht="15" customHeight="1" s="129">
      <c r="A3" s="355" t="inlineStr">
        <is>
          <t>ด้านโชว์ →</t>
        </is>
      </c>
      <c r="B3" s="356" t="inlineStr">
        <is>
          <t>1.6"</t>
        </is>
      </c>
      <c r="D3" s="357" t="inlineStr">
        <is>
          <t>โชว์ (ซม.)</t>
        </is>
      </c>
      <c r="E3" s="358">
        <f>VLOOKUP(B3,$J$18:$K$23,2,0)</f>
        <v/>
      </c>
      <c r="G3" s="357" t="inlineStr">
        <is>
          <t>ราคาโครง/เส้น</t>
        </is>
      </c>
      <c r="H3" s="359">
        <f>ROUND(485*E9/5,0)*5</f>
        <v/>
      </c>
      <c r="J3" s="357" t="inlineStr">
        <is>
          <t>กล่อง 1"×1"</t>
        </is>
      </c>
      <c r="K3" s="359" t="n">
        <v>310</v>
      </c>
      <c r="N3" s="249" t="inlineStr">
        <is>
          <t>กล่อง 1×5 cm|1 cm|3</t>
        </is>
      </c>
      <c r="O3" s="250" t="n">
        <v>4300</v>
      </c>
      <c r="P3" s="250" t="n">
        <v>6000</v>
      </c>
      <c r="Q3" s="250" t="n">
        <v>400</v>
      </c>
      <c r="R3" s="250" t="n">
        <v>1500</v>
      </c>
      <c r="S3" s="250" t="n">
        <v>2500</v>
      </c>
      <c r="T3" s="250" t="n">
        <v>3500</v>
      </c>
      <c r="V3" s="249" t="n">
        <v>60</v>
      </c>
      <c r="AB3" s="140" t="inlineStr">
        <is>
          <t>กล่อง 1"×1"</t>
        </is>
      </c>
      <c r="AC3" s="140" t="inlineStr">
        <is>
          <t>1"</t>
        </is>
      </c>
      <c r="AD3" s="140" t="inlineStr">
        <is>
          <t>1"</t>
        </is>
      </c>
    </row>
    <row r="4" ht="15" customHeight="1" s="129">
      <c r="A4" s="355" t="inlineStr">
        <is>
          <t>ช่องห่าง (บังคับ 0.2 ซม.) →</t>
        </is>
      </c>
      <c r="B4" s="360" t="n">
        <v>0.2</v>
      </c>
      <c r="D4" s="357" t="inlineStr">
        <is>
          <t>pitch (ซม.)</t>
        </is>
      </c>
      <c r="E4" s="358">
        <f>E3+B4</f>
        <v/>
      </c>
      <c r="G4" s="357" t="inlineStr">
        <is>
          <t>สีพิเศษ (บาท)</t>
        </is>
      </c>
      <c r="H4" s="359">
        <f>VLOOKUP(B6,$J$11:$L$15,3,0)</f>
        <v/>
      </c>
      <c r="J4" s="357" t="inlineStr">
        <is>
          <t>กล่อง 1"×1.5"</t>
        </is>
      </c>
      <c r="K4" s="359" t="n">
        <v>395</v>
      </c>
      <c r="N4" s="249" t="inlineStr">
        <is>
          <t>กล่อง 1×5 cm|1 cm|2</t>
        </is>
      </c>
      <c r="O4" s="250" t="n">
        <v>5000</v>
      </c>
      <c r="P4" s="250" t="n">
        <v>7200</v>
      </c>
      <c r="Q4" s="250" t="n">
        <v>500</v>
      </c>
      <c r="R4" s="250" t="n">
        <v>1900</v>
      </c>
      <c r="S4" s="250" t="n">
        <v>3300</v>
      </c>
      <c r="T4" s="250" t="n">
        <v>4700</v>
      </c>
      <c r="V4" s="249" t="n">
        <v>75</v>
      </c>
      <c r="AB4" s="140" t="inlineStr">
        <is>
          <t>กล่อง 1"×1.5"</t>
        </is>
      </c>
      <c r="AC4" s="140" t="inlineStr">
        <is>
          <t>1"</t>
        </is>
      </c>
      <c r="AD4" s="140" t="inlineStr">
        <is>
          <t>1.5"</t>
        </is>
      </c>
    </row>
    <row r="5" ht="15" customHeight="1" s="129">
      <c r="A5" s="355" t="inlineStr">
        <is>
          <t>โครง →</t>
        </is>
      </c>
      <c r="B5" s="356" t="inlineStr">
        <is>
          <t>ไม่รวม</t>
        </is>
      </c>
      <c r="D5" s="357" t="inlineStr">
        <is>
          <t>ยาว/ใบ (ซม.)</t>
        </is>
      </c>
      <c r="E5" s="359">
        <f>IF(B7="นอน",H16,H17)</f>
        <v/>
      </c>
      <c r="G5" s="357" t="inlineStr">
        <is>
          <t>ขาย N</t>
        </is>
      </c>
      <c r="H5" s="359">
        <f>IF(E13=0,0,INDEX($O$2:$O$38,E13))</f>
        <v/>
      </c>
      <c r="J5" s="357" t="inlineStr">
        <is>
          <t>กล่อง 1"×1.6"</t>
        </is>
      </c>
      <c r="K5" s="359" t="n">
        <v>485</v>
      </c>
      <c r="N5" s="249" t="inlineStr">
        <is>
          <t>กล่อง 1×5 cm|5 cm|5</t>
        </is>
      </c>
      <c r="O5" s="250" t="n">
        <v>2800</v>
      </c>
      <c r="P5" s="250" t="n">
        <v>4500</v>
      </c>
      <c r="Q5" s="250" t="n">
        <v>200</v>
      </c>
      <c r="R5" s="250" t="n">
        <v>800</v>
      </c>
      <c r="S5" s="250" t="n">
        <v>1100</v>
      </c>
      <c r="T5" s="250" t="n">
        <v>1600</v>
      </c>
      <c r="V5" s="249" t="n">
        <v>100</v>
      </c>
      <c r="AB5" s="140" t="inlineStr">
        <is>
          <t>กล่อง 1"×1.6"</t>
        </is>
      </c>
      <c r="AC5" s="140" t="inlineStr">
        <is>
          <t>1"</t>
        </is>
      </c>
      <c r="AD5" s="140" t="inlineStr">
        <is>
          <t>1.6"</t>
        </is>
      </c>
    </row>
    <row r="6" ht="15" customHeight="1" s="129">
      <c r="A6" s="355" t="inlineStr">
        <is>
          <t>สี →</t>
        </is>
      </c>
      <c r="B6" s="356" t="inlineStr">
        <is>
          <t>ขาว/ดำ</t>
        </is>
      </c>
      <c r="D6" s="357" t="inlineStr">
        <is>
          <t>ช่วงกระจาย (ซม.)</t>
        </is>
      </c>
      <c r="E6" s="359">
        <f>IF(B7="นอน",H17,H16)</f>
        <v/>
      </c>
      <c r="G6" s="357" t="inlineStr">
        <is>
          <t>ขาย F</t>
        </is>
      </c>
      <c r="H6" s="359">
        <f>IF(E13=0,0,INDEX($P$2:$P$38,E13))</f>
        <v/>
      </c>
      <c r="J6" s="357" t="inlineStr">
        <is>
          <t>กล่อง 1"×4"</t>
        </is>
      </c>
      <c r="K6" s="359" t="n">
        <v>905</v>
      </c>
      <c r="N6" s="249" t="inlineStr">
        <is>
          <t>กล่อง 1×5 cm|5 cm|3</t>
        </is>
      </c>
      <c r="O6" s="250" t="n">
        <v>3200</v>
      </c>
      <c r="P6" s="250" t="n">
        <v>4800</v>
      </c>
      <c r="Q6" s="250" t="n">
        <v>200</v>
      </c>
      <c r="R6" s="250" t="n">
        <v>1000</v>
      </c>
      <c r="S6" s="250" t="n">
        <v>1400</v>
      </c>
      <c r="T6" s="250" t="n">
        <v>2000</v>
      </c>
      <c r="V6" s="249" t="n">
        <v>120</v>
      </c>
      <c r="AB6" s="140" t="inlineStr">
        <is>
          <t>กล่อง 1"×4"</t>
        </is>
      </c>
      <c r="AC6" s="140" t="inlineStr">
        <is>
          <t>1"</t>
        </is>
      </c>
      <c r="AD6" s="140" t="inlineStr">
        <is>
          <t>4"</t>
        </is>
      </c>
    </row>
    <row r="7" ht="15" customHeight="1" s="129">
      <c r="A7" s="355" t="inlineStr">
        <is>
          <t>แนวเกล็ด →</t>
        </is>
      </c>
      <c r="B7" s="356" t="inlineStr">
        <is>
          <t>นอน</t>
        </is>
      </c>
      <c r="D7" s="357" t="inlineStr">
        <is>
          <t>จำนวนใบ</t>
        </is>
      </c>
      <c r="E7" s="359">
        <f>INT(E6/E4)+1</f>
        <v/>
      </c>
      <c r="G7" s="357" t="inlineStr">
        <is>
          <t>addสี</t>
        </is>
      </c>
      <c r="H7" s="359">
        <f>IF(E13=0,0,IF(B6="เทาซาฮาร่า",INDEX($Q$2:$Q$38,E13),IF(B6="ลายไม้สต๊อก",INDEX($R$2:$R$38,E13),IF(B6="สีอบพิเศษ",INDEX($S$2:$S$38,E13),IF(B6="สีลายไม้อบพิเศษ",INDEX($T$2:$T$38,E13),0)))))</f>
        <v/>
      </c>
      <c r="J7" s="357" t="inlineStr">
        <is>
          <t>กล่อง 1.6"×1.6"</t>
        </is>
      </c>
      <c r="K7" s="359" t="n">
        <v>770</v>
      </c>
      <c r="N7" s="249" t="inlineStr">
        <is>
          <t>กล่อง 1×5 cm|5 cm|2</t>
        </is>
      </c>
      <c r="O7" s="250" t="n">
        <v>3300</v>
      </c>
      <c r="P7" s="250" t="n">
        <v>5100</v>
      </c>
      <c r="Q7" s="250" t="n">
        <v>300</v>
      </c>
      <c r="R7" s="250" t="n">
        <v>1000</v>
      </c>
      <c r="S7" s="250" t="n">
        <v>1700</v>
      </c>
      <c r="T7" s="250" t="n">
        <v>2400</v>
      </c>
      <c r="V7" s="249" t="n">
        <v>150</v>
      </c>
      <c r="AB7" s="140" t="inlineStr">
        <is>
          <t>กล่อง 1.6"×1.6"</t>
        </is>
      </c>
      <c r="AC7" s="140" t="inlineStr">
        <is>
          <t>1.6"</t>
        </is>
      </c>
      <c r="AD7" s="140" t="inlineStr">
        <is>
          <t>1.6"</t>
        </is>
      </c>
    </row>
    <row r="8" ht="15" customHeight="1" s="129">
      <c r="A8" s="355" t="inlineStr">
        <is>
          <t>กว้าง (ซม.) →</t>
        </is>
      </c>
      <c r="B8" s="360" t="n">
        <v>200</v>
      </c>
      <c r="D8" s="357" t="inlineStr">
        <is>
          <t>เส้นใบ</t>
        </is>
      </c>
      <c r="E8" s="359">
        <f>IF(B11="ต่อ",H21,H20)</f>
        <v/>
      </c>
      <c r="G8" s="357" t="inlineStr">
        <is>
          <t>ขาย/ตร.ม.</t>
        </is>
      </c>
      <c r="H8" s="359">
        <f>IF(B5="ไม่รวม",H5,H6)+H7</f>
        <v/>
      </c>
      <c r="J8" s="357" t="inlineStr">
        <is>
          <t>กล่อง 1.6"×4"</t>
        </is>
      </c>
      <c r="K8" s="359" t="n">
        <v>1220</v>
      </c>
      <c r="N8" s="249" t="inlineStr">
        <is>
          <t>กล่อง 1"×1.6"|1"|5</t>
        </is>
      </c>
      <c r="O8" s="250" t="n">
        <v>3700</v>
      </c>
      <c r="P8" s="250" t="n">
        <v>5300</v>
      </c>
      <c r="Q8" s="250" t="n">
        <v>300</v>
      </c>
      <c r="R8" s="250" t="n">
        <v>1000</v>
      </c>
      <c r="S8" s="250" t="n">
        <v>1400</v>
      </c>
      <c r="T8" s="250" t="n">
        <v>2000</v>
      </c>
      <c r="V8" s="249" t="n">
        <v>200</v>
      </c>
      <c r="AB8" s="140" t="inlineStr">
        <is>
          <t>กล่อง 1.6"×4"</t>
        </is>
      </c>
      <c r="AC8" s="140" t="inlineStr">
        <is>
          <t>1.6"</t>
        </is>
      </c>
      <c r="AD8" s="140" t="inlineStr">
        <is>
          <t>4"</t>
        </is>
      </c>
    </row>
    <row r="9" ht="15" customHeight="1" s="129">
      <c r="A9" s="355" t="inlineStr">
        <is>
          <t>สูง (ซม.) →</t>
        </is>
      </c>
      <c r="B9" s="360" t="n">
        <v>240</v>
      </c>
      <c r="D9" s="357" t="inlineStr">
        <is>
          <t>ปัจจัยสี</t>
        </is>
      </c>
      <c r="E9" s="361">
        <f>VLOOKUP(B6,$J$11:$L$15,2,0)</f>
        <v/>
      </c>
      <c r="N9" s="249" t="inlineStr">
        <is>
          <t>กล่อง 1"×1.6"|1"|3</t>
        </is>
      </c>
      <c r="O9" s="250" t="n">
        <v>4500</v>
      </c>
      <c r="P9" s="250" t="n">
        <v>6400</v>
      </c>
      <c r="Q9" s="250" t="n">
        <v>400</v>
      </c>
      <c r="R9" s="250" t="n">
        <v>1400</v>
      </c>
      <c r="S9" s="250" t="n">
        <v>1900</v>
      </c>
      <c r="T9" s="250" t="n">
        <v>2800</v>
      </c>
      <c r="V9" s="249" t="n">
        <v>300</v>
      </c>
    </row>
    <row r="10" ht="15" customHeight="1" s="129">
      <c r="A10" s="355" t="inlineStr">
        <is>
          <t>ค่าแรงผลิต (บาท/ตร.ม.) →</t>
        </is>
      </c>
      <c r="B10" s="360" t="n">
        <v>385</v>
      </c>
      <c r="D10" s="357" t="inlineStr">
        <is>
          <t>ราคากล่อง/เส้น</t>
        </is>
      </c>
      <c r="E10" s="359">
        <f>ROUND(VLOOKUP(B2,'ค่าแรง'!$A$52:$B$58,2,0)*E9/5,0)*5</f>
        <v/>
      </c>
      <c r="G10" s="357" t="inlineStr">
        <is>
          <t>low กว้าง</t>
        </is>
      </c>
      <c r="H10" s="359">
        <f>LOOKUP(B8,$V$2:$V$10)</f>
        <v/>
      </c>
      <c r="N10" s="249" t="inlineStr">
        <is>
          <t>กล่อง 1"×1.6"|1"|2</t>
        </is>
      </c>
      <c r="O10" s="250" t="n">
        <v>4800</v>
      </c>
      <c r="P10" s="250" t="n">
        <v>6900</v>
      </c>
      <c r="Q10" s="250" t="n">
        <v>500</v>
      </c>
      <c r="R10" s="250" t="n">
        <v>1600</v>
      </c>
      <c r="S10" s="250" t="n">
        <v>2200</v>
      </c>
      <c r="T10" s="250" t="n">
        <v>3200</v>
      </c>
      <c r="V10" s="249" t="n">
        <v>600</v>
      </c>
    </row>
    <row r="11" ht="15" customHeight="1" s="129">
      <c r="A11" s="355" t="inlineStr">
        <is>
          <t>ต่อระแนง →</t>
        </is>
      </c>
      <c r="B11" s="356" t="inlineStr">
        <is>
          <t>ไม่ต่อ</t>
        </is>
      </c>
      <c r="D11" s="357" t="inlineStr">
        <is>
          <t>snap ช่องห่าง</t>
        </is>
      </c>
      <c r="E11" s="359">
        <f>IF(B4&gt;=4,5,IF(B4&gt;=2.5,3,IF(B4&gt;=1,2,0)))</f>
        <v/>
      </c>
      <c r="G11" s="357" t="inlineStr">
        <is>
          <t>up กว้าง</t>
        </is>
      </c>
      <c r="H11" s="359">
        <f>IFERROR(INDEX($V$2:$V$10,MATCH(B8,$V$2:$V$10,1)+1),99999)</f>
        <v/>
      </c>
      <c r="J11" s="357" t="inlineStr">
        <is>
          <t>ขาว/ดำ</t>
        </is>
      </c>
      <c r="K11" s="361">
        <f>mult_mtong</f>
        <v/>
      </c>
      <c r="L11" s="359" t="n">
        <v>0</v>
      </c>
      <c r="N11" s="249" t="inlineStr">
        <is>
          <t>กล่อง 1"×1.6"|1.6"|5</t>
        </is>
      </c>
      <c r="O11" s="250" t="n">
        <v>3200</v>
      </c>
      <c r="P11" s="250" t="n">
        <v>4900</v>
      </c>
      <c r="Q11" s="250" t="n">
        <v>300</v>
      </c>
      <c r="R11" s="250" t="n">
        <v>800</v>
      </c>
      <c r="S11" s="250" t="n">
        <v>1100</v>
      </c>
      <c r="T11" s="250" t="n">
        <v>1600</v>
      </c>
    </row>
    <row r="12" ht="15" customHeight="1" s="129">
      <c r="A12" s="281" t="inlineStr">
        <is>
          <t>ค่าแรงติดตั้ง (บาท/ตร.ม.) →</t>
        </is>
      </c>
      <c r="B12" s="360" t="n">
        <v>580</v>
      </c>
      <c r="D12" s="357" t="inlineStr">
        <is>
          <t>key</t>
        </is>
      </c>
      <c r="E12" s="357">
        <f>B2&amp;"|"&amp;B3&amp;"|"&amp;E11</f>
        <v/>
      </c>
      <c r="G12" s="357" t="inlineStr">
        <is>
          <t>snap กว้าง</t>
        </is>
      </c>
      <c r="H12" s="359">
        <f>IF(B8-H10&lt;=20,H10,IF(H11-B8&lt;=20,H11,B8))</f>
        <v/>
      </c>
      <c r="J12" s="357" t="inlineStr">
        <is>
          <t>เทาซาฮาร่า</t>
        </is>
      </c>
      <c r="K12" s="361">
        <f>mult_mtong+rate_grey/192</f>
        <v/>
      </c>
      <c r="L12" s="359" t="n">
        <v>0</v>
      </c>
      <c r="N12" s="249" t="inlineStr">
        <is>
          <t>กล่อง 1"×1.6"|1.6"|3</t>
        </is>
      </c>
      <c r="O12" s="250" t="n">
        <v>3700</v>
      </c>
      <c r="P12" s="250" t="n">
        <v>5300</v>
      </c>
      <c r="Q12" s="250" t="n">
        <v>300</v>
      </c>
      <c r="R12" s="250" t="n">
        <v>1000</v>
      </c>
      <c r="S12" s="250" t="n">
        <v>1400</v>
      </c>
      <c r="T12" s="250" t="n">
        <v>2000</v>
      </c>
    </row>
    <row r="13" ht="15" customHeight="1" s="129">
      <c r="A13" s="706" t="inlineStr">
        <is>
          <t>ชุดมอเตอร์ →</t>
        </is>
      </c>
      <c r="B13" s="780" t="inlineStr">
        <is>
          <t>เอา</t>
        </is>
      </c>
      <c r="D13" s="357" t="inlineStr">
        <is>
          <t>sellRow</t>
        </is>
      </c>
      <c r="E13" s="359">
        <f>IFERROR(MATCH(E12,$N$2:$N$38,0),0)</f>
        <v/>
      </c>
      <c r="G13" s="357" t="inlineStr">
        <is>
          <t>low สูง</t>
        </is>
      </c>
      <c r="H13" s="359">
        <f>LOOKUP(B9,$V$2:$V$10)</f>
        <v/>
      </c>
      <c r="J13" s="357" t="inlineStr">
        <is>
          <t>ลายไม้สต๊อก</t>
        </is>
      </c>
      <c r="K13" s="361">
        <f>mult_mtong+rate_woodstock/192</f>
        <v/>
      </c>
      <c r="L13" s="359" t="n">
        <v>0</v>
      </c>
      <c r="N13" s="249" t="inlineStr">
        <is>
          <t>กล่อง 1"×1.6"|1.6"|2</t>
        </is>
      </c>
      <c r="O13" s="250" t="n">
        <v>4000</v>
      </c>
      <c r="P13" s="250" t="n">
        <v>5800</v>
      </c>
      <c r="Q13" s="250" t="n">
        <v>400</v>
      </c>
      <c r="R13" s="250" t="n">
        <v>1200</v>
      </c>
      <c r="S13" s="250" t="n">
        <v>1700</v>
      </c>
      <c r="T13" s="250" t="n">
        <v>2400</v>
      </c>
    </row>
    <row r="14" ht="15" customHeight="1" s="129">
      <c r="D14" s="684" t="inlineStr">
        <is>
          <t>ระยะห่างจริง(ลงตัว)</t>
        </is>
      </c>
      <c r="E14" s="765">
        <f>ROUND((E6-E7*E3)/(E7-1),2)</f>
        <v/>
      </c>
      <c r="G14" s="357" t="inlineStr">
        <is>
          <t>up สูง</t>
        </is>
      </c>
      <c r="H14" s="359">
        <f>IFERROR(INDEX($V$2:$V$10,MATCH(B9,$V$2:$V$10,1)+1),99999)</f>
        <v/>
      </c>
      <c r="J14" s="357" t="inlineStr">
        <is>
          <t>สีอบพิเศษ</t>
        </is>
      </c>
      <c r="K14" s="361">
        <f>mult_mtong+rate_special/192</f>
        <v/>
      </c>
      <c r="L14" s="359" t="n">
        <v>2000</v>
      </c>
      <c r="N14" s="249" t="inlineStr">
        <is>
          <t>กล่อง 1"×1"|1"|5</t>
        </is>
      </c>
      <c r="O14" s="250" t="n">
        <v>3200</v>
      </c>
      <c r="P14" s="250" t="n">
        <v>4700</v>
      </c>
      <c r="Q14" s="250" t="n">
        <v>200</v>
      </c>
      <c r="R14" s="250" t="n">
        <v>700</v>
      </c>
      <c r="S14" s="250" t="n">
        <v>1000</v>
      </c>
      <c r="T14" s="250" t="n">
        <v>1400</v>
      </c>
    </row>
    <row r="15" ht="15" customHeight="1" s="129">
      <c r="A15" s="362" t="inlineStr">
        <is>
          <t>รายการวัสดุ</t>
        </is>
      </c>
      <c r="B15" s="362" t="inlineStr">
        <is>
          <t>จำนวน</t>
        </is>
      </c>
      <c r="C15" s="362" t="inlineStr">
        <is>
          <t>ราคา/หน่วย</t>
        </is>
      </c>
      <c r="D15" s="362" t="inlineStr">
        <is>
          <t>ทุน (บาท)</t>
        </is>
      </c>
      <c r="G15" s="357" t="inlineStr">
        <is>
          <t>snap สูง</t>
        </is>
      </c>
      <c r="H15" s="359">
        <f>IF(B9-H13&lt;=20,H13,IF(H14-B9&lt;=20,H14,B9))</f>
        <v/>
      </c>
      <c r="J15" s="357" t="inlineStr">
        <is>
          <t>สีลายไม้อบพิเศษ</t>
        </is>
      </c>
      <c r="K15" s="361">
        <f>mult_mtong+rate_woodbake/192</f>
        <v/>
      </c>
      <c r="L15" s="359" t="n">
        <v>2000</v>
      </c>
      <c r="N15" s="249" t="inlineStr">
        <is>
          <t>กล่อง 1"×1"|1"|3</t>
        </is>
      </c>
      <c r="O15" s="250" t="n">
        <v>3700</v>
      </c>
      <c r="P15" s="250" t="n">
        <v>5400</v>
      </c>
      <c r="Q15" s="250" t="n">
        <v>300</v>
      </c>
      <c r="R15" s="250" t="n">
        <v>1000</v>
      </c>
      <c r="S15" s="250" t="n">
        <v>1300</v>
      </c>
      <c r="T15" s="250" t="n">
        <v>1900</v>
      </c>
    </row>
    <row r="16" ht="15" customHeight="1" s="129">
      <c r="A16" s="363">
        <f>B2&amp;" (ใบระแนง)"</f>
        <v/>
      </c>
      <c r="B16" s="346">
        <f>E8</f>
        <v/>
      </c>
      <c r="C16" s="346">
        <f>E10</f>
        <v/>
      </c>
      <c r="D16" s="346">
        <f>IF(B11="ต่อ",H23,H22)</f>
        <v/>
      </c>
      <c r="G16" s="357" t="inlineStr">
        <is>
          <t>กว้างใช้</t>
        </is>
      </c>
      <c r="H16" s="359">
        <f>IF(B7="นอน",H12,B8)</f>
        <v/>
      </c>
      <c r="N16" s="249" t="inlineStr">
        <is>
          <t>กล่อง 1"×1"|1"|2</t>
        </is>
      </c>
      <c r="O16" s="250" t="n">
        <v>3900</v>
      </c>
      <c r="P16" s="250" t="n">
        <v>5600</v>
      </c>
      <c r="Q16" s="250" t="n">
        <v>300</v>
      </c>
      <c r="R16" s="250" t="n">
        <v>1100</v>
      </c>
      <c r="S16" s="250" t="n">
        <v>1500</v>
      </c>
      <c r="T16" s="250" t="n">
        <v>2200</v>
      </c>
    </row>
    <row r="17" ht="15" customHeight="1" s="129">
      <c r="A17" s="363" t="inlineStr">
        <is>
          <t>โครงดาม 1"x1.6"</t>
        </is>
      </c>
      <c r="B17" s="346">
        <f>H2</f>
        <v/>
      </c>
      <c r="C17" s="346">
        <f>H3</f>
        <v/>
      </c>
      <c r="D17" s="346">
        <f>B17*C17</f>
        <v/>
      </c>
      <c r="G17" s="357" t="inlineStr">
        <is>
          <t>สูงใช้</t>
        </is>
      </c>
      <c r="H17" s="359">
        <f>IF(B7="ตั้ง",H15,B9)</f>
        <v/>
      </c>
      <c r="N17" s="249" t="inlineStr">
        <is>
          <t>กล่อง 1"×1.5"|1"|5</t>
        </is>
      </c>
      <c r="O17" s="250" t="n">
        <v>3300</v>
      </c>
      <c r="P17" s="250" t="n">
        <v>5200</v>
      </c>
      <c r="Q17" s="250" t="n">
        <v>300</v>
      </c>
      <c r="R17" s="250" t="n">
        <v>900</v>
      </c>
      <c r="S17" s="250" t="n">
        <v>1400</v>
      </c>
      <c r="T17" s="250" t="n">
        <v>2000</v>
      </c>
    </row>
    <row r="18" ht="15" customHeight="1" s="129">
      <c r="A18" s="363" t="inlineStr">
        <is>
          <t>เพลาหมุน กล่อง 4"×4" (ยาว=กว้าง)</t>
        </is>
      </c>
      <c r="B18" s="346">
        <f>(B8/600)*buf_scrap</f>
        <v/>
      </c>
      <c r="C18" s="346">
        <f>ROUND(2208*E9,0)</f>
        <v/>
      </c>
      <c r="D18" s="346">
        <f>B18*C18</f>
        <v/>
      </c>
      <c r="G18" s="357" t="inlineStr">
        <is>
          <t>L0 ฐาน</t>
        </is>
      </c>
      <c r="H18" s="359">
        <f>LOOKUP(E5,$V$2:$V$10)</f>
        <v/>
      </c>
      <c r="J18" s="357" t="inlineStr">
        <is>
          <t>1 cm</t>
        </is>
      </c>
      <c r="K18" s="358" t="n">
        <v>1</v>
      </c>
      <c r="N18" s="249" t="inlineStr">
        <is>
          <t>กล่อง 1"×1.5"|1"|3</t>
        </is>
      </c>
      <c r="O18" s="250" t="n">
        <v>4000</v>
      </c>
      <c r="P18" s="250" t="n">
        <v>6100</v>
      </c>
      <c r="Q18" s="250" t="n">
        <v>400</v>
      </c>
      <c r="R18" s="250" t="n">
        <v>1200</v>
      </c>
      <c r="S18" s="250" t="n">
        <v>1900</v>
      </c>
      <c r="T18" s="250" t="n">
        <v>2800</v>
      </c>
    </row>
    <row r="19" ht="15" customHeight="1" s="129">
      <c r="A19" s="364" t="inlineStr">
        <is>
          <t>มอเตอร์ระแนงหมุน</t>
        </is>
      </c>
      <c r="B19" s="346">
        <f>IF(B13="ไม่เอา",0,1)</f>
        <v/>
      </c>
      <c r="C19" s="346">
        <f>INDEX(ราคาออโต้!$C:$C,MATCH("มอเตอร์ระแนงหมุน",ราคาออโต้!$B:$B,0))</f>
        <v/>
      </c>
      <c r="D19" s="346">
        <f>B19*C19</f>
        <v/>
      </c>
      <c r="G19" s="357" t="inlineStr">
        <is>
          <t>R เศษ</t>
        </is>
      </c>
      <c r="H19" s="359">
        <f>E5-H18</f>
        <v/>
      </c>
      <c r="J19" s="357" t="inlineStr">
        <is>
          <t>5 cm</t>
        </is>
      </c>
      <c r="K19" s="358" t="n">
        <v>5</v>
      </c>
      <c r="N19" s="249" t="inlineStr">
        <is>
          <t>กล่อง 1"×1.5"|1"|2</t>
        </is>
      </c>
      <c r="O19" s="250" t="n">
        <v>4300</v>
      </c>
      <c r="P19" s="250" t="n">
        <v>6500</v>
      </c>
      <c r="Q19" s="250" t="n">
        <v>400</v>
      </c>
      <c r="R19" s="250" t="n">
        <v>1400</v>
      </c>
      <c r="S19" s="250" t="n">
        <v>2200</v>
      </c>
      <c r="T19" s="250" t="n">
        <v>3200</v>
      </c>
    </row>
    <row r="20" ht="15" customHeight="1" s="129">
      <c r="A20" s="365" t="inlineStr">
        <is>
          <t>อุปกรณ์หมุน(200/ม.)+จุดหมุน(160/ใบ บน-ล่าง)</t>
        </is>
      </c>
      <c r="B20" s="431" t="n"/>
      <c r="C20" s="431" t="n"/>
      <c r="D20" s="366">
        <f>ROUND(200*B8/100,0)+ROUND(160*E7,0)</f>
        <v/>
      </c>
      <c r="G20" s="357" t="inlineStr">
        <is>
          <t>เส้นไม่ต่อ</t>
        </is>
      </c>
      <c r="H20" s="359">
        <f>ROUNDUP(E7/MAX(INT(600/E5),1),0)</f>
        <v/>
      </c>
      <c r="J20" s="357" t="inlineStr">
        <is>
          <t>1"</t>
        </is>
      </c>
      <c r="K20" s="358" t="n">
        <v>2.54</v>
      </c>
      <c r="N20" s="249" t="inlineStr">
        <is>
          <t>กล่อง 1"×1.5"|1.5"|5</t>
        </is>
      </c>
      <c r="O20" s="250" t="n">
        <v>3300</v>
      </c>
      <c r="P20" s="250" t="n">
        <v>5200</v>
      </c>
      <c r="Q20" s="250" t="n">
        <v>300</v>
      </c>
      <c r="R20" s="250" t="n">
        <v>900</v>
      </c>
      <c r="S20" s="250" t="n">
        <v>1400</v>
      </c>
      <c r="T20" s="250" t="n">
        <v>2000</v>
      </c>
    </row>
    <row r="21" ht="15" customHeight="1" s="129">
      <c r="A21" s="365" t="inlineStr">
        <is>
          <t>สีพิเศษ (ค่าเปิดตู้อบ)</t>
        </is>
      </c>
      <c r="B21" s="431">
        <f>IF(H4&gt;0,1,0)</f>
        <v/>
      </c>
      <c r="C21" s="431" t="n">
        <v>2000</v>
      </c>
      <c r="D21" s="366">
        <f>B21*C21</f>
        <v/>
      </c>
      <c r="G21" s="357" t="inlineStr">
        <is>
          <t>เส้นต่อ</t>
        </is>
      </c>
      <c r="H21" s="359">
        <f>ROUNDUP(E7/(600/H18),0)+IF(H19&gt;0,ROUNDUP(E7/INT(600/H19),0),0)</f>
        <v/>
      </c>
      <c r="J21" s="357" t="inlineStr">
        <is>
          <t>1.5"</t>
        </is>
      </c>
      <c r="K21" s="358" t="n">
        <v>3.81</v>
      </c>
      <c r="N21" s="249" t="inlineStr">
        <is>
          <t>กล่อง 1"×1.5"|1.5"|3</t>
        </is>
      </c>
      <c r="O21" s="250" t="n">
        <v>3700</v>
      </c>
      <c r="P21" s="250" t="n">
        <v>5600</v>
      </c>
      <c r="Q21" s="250" t="n">
        <v>300</v>
      </c>
      <c r="R21" s="250" t="n">
        <v>1000</v>
      </c>
      <c r="S21" s="250" t="n">
        <v>1700</v>
      </c>
      <c r="T21" s="250" t="n">
        <v>2400</v>
      </c>
    </row>
    <row r="22" ht="15" customHeight="1" s="129">
      <c r="A22" s="367" t="inlineStr">
        <is>
          <t>ค่าแรง (ผลิต+ติดตั้ง)</t>
        </is>
      </c>
      <c r="B22" s="431">
        <f>E2</f>
        <v/>
      </c>
      <c r="C22" s="431">
        <f>B10+B12</f>
        <v/>
      </c>
      <c r="D22" s="368">
        <f>B22*C22</f>
        <v/>
      </c>
      <c r="G22" s="357" t="inlineStr">
        <is>
          <t>ค่าใบไม่ต่อ</t>
        </is>
      </c>
      <c r="H22" s="359">
        <f>H20*E10</f>
        <v/>
      </c>
      <c r="J22" s="357" t="inlineStr">
        <is>
          <t>1.6"</t>
        </is>
      </c>
      <c r="K22" s="358" t="n">
        <v>4.06</v>
      </c>
      <c r="N22" s="249" t="inlineStr">
        <is>
          <t>กล่อง 1"×1.5"|1.5"|2</t>
        </is>
      </c>
      <c r="O22" s="250" t="n">
        <v>3700</v>
      </c>
      <c r="P22" s="250" t="n">
        <v>5600</v>
      </c>
      <c r="Q22" s="250" t="n">
        <v>300</v>
      </c>
      <c r="R22" s="250" t="n">
        <v>1000</v>
      </c>
      <c r="S22" s="250" t="n">
        <v>1700</v>
      </c>
      <c r="T22" s="250" t="n">
        <v>2400</v>
      </c>
    </row>
    <row r="23" ht="15" customHeight="1" s="129">
      <c r="A23" s="367" t="inlineStr">
        <is>
          <t>ทุนรวม</t>
        </is>
      </c>
      <c r="B23" s="431" t="n"/>
      <c r="C23" s="431" t="n"/>
      <c r="D23" s="369">
        <f>SUM(D16:D22)</f>
        <v/>
      </c>
      <c r="G23" s="357" t="inlineStr">
        <is>
          <t>ค่าใบต่อ</t>
        </is>
      </c>
      <c r="H23" s="359">
        <f>H21*E10+IF(H19&gt;0,E7*80,0)</f>
        <v/>
      </c>
      <c r="J23" s="357" t="inlineStr">
        <is>
          <t>4"</t>
        </is>
      </c>
      <c r="K23" s="358" t="n">
        <v>10.16</v>
      </c>
      <c r="N23" s="249" t="inlineStr">
        <is>
          <t>กล่อง 1"×4"|1"|5</t>
        </is>
      </c>
      <c r="O23" s="250" t="n">
        <v>5500</v>
      </c>
      <c r="P23" s="250" t="n">
        <v>8100</v>
      </c>
      <c r="Q23" s="250" t="n">
        <v>600</v>
      </c>
      <c r="R23" s="250" t="n">
        <v>2000</v>
      </c>
      <c r="S23" s="250" t="n">
        <v>3700</v>
      </c>
      <c r="T23" s="250" t="n">
        <v>5300</v>
      </c>
    </row>
    <row r="24" ht="15" customHeight="1" s="129">
      <c r="A24" s="370" t="inlineStr">
        <is>
          <t>ทุน/ตร.ม.</t>
        </is>
      </c>
      <c r="B24" s="431" t="n"/>
      <c r="C24" s="431" t="n"/>
      <c r="D24" s="864">
        <f>IFERROR(D23/E2,0)</f>
        <v/>
      </c>
      <c r="N24" s="249" t="inlineStr">
        <is>
          <t>กล่อง 1"×4"|1"|3</t>
        </is>
      </c>
      <c r="O24" s="250" t="n">
        <v>7100</v>
      </c>
      <c r="P24" s="250" t="n">
        <v>10100</v>
      </c>
      <c r="Q24" s="250" t="n">
        <v>800</v>
      </c>
      <c r="R24" s="250" t="n">
        <v>2700</v>
      </c>
      <c r="S24" s="250" t="n">
        <v>5200</v>
      </c>
      <c r="T24" s="250" t="n">
        <v>7500</v>
      </c>
    </row>
    <row r="25" ht="15" customHeight="1" s="129">
      <c r="A25" s="140" t="inlineStr">
        <is>
          <t>ราคาขาย/ชุด (ทุน×2)</t>
        </is>
      </c>
      <c r="D25" s="140">
        <f>ROUNDUP(D23*2/100,0)*100</f>
        <v/>
      </c>
      <c r="N25" s="249" t="inlineStr">
        <is>
          <t>กล่อง 1"×4"|1"|2</t>
        </is>
      </c>
      <c r="O25" s="250" t="n">
        <v>7900</v>
      </c>
      <c r="P25" s="250" t="n">
        <v>10800</v>
      </c>
      <c r="Q25" s="250" t="n">
        <v>900</v>
      </c>
      <c r="R25" s="250" t="n">
        <v>3100</v>
      </c>
      <c r="S25" s="250" t="n">
        <v>5900</v>
      </c>
      <c r="T25" s="250" t="n">
        <v>8500</v>
      </c>
    </row>
    <row r="26" ht="15" customHeight="1" s="129">
      <c r="A26" s="372" t="inlineStr">
        <is>
          <t>%กำไร</t>
        </is>
      </c>
      <c r="D26" s="865">
        <f>IFERROR((D25-D23)/D23,0)</f>
        <v/>
      </c>
      <c r="N26" s="249" t="inlineStr">
        <is>
          <t>กล่อง 1"×4"|4"|5</t>
        </is>
      </c>
      <c r="O26" s="250" t="n">
        <v>4000</v>
      </c>
      <c r="P26" s="250" t="n">
        <v>6000</v>
      </c>
      <c r="Q26" s="250" t="n">
        <v>400</v>
      </c>
      <c r="R26" s="250" t="n">
        <v>1200</v>
      </c>
      <c r="S26" s="250" t="n">
        <v>2300</v>
      </c>
      <c r="T26" s="250" t="n">
        <v>3200</v>
      </c>
    </row>
    <row r="27" ht="15" customHeight="1" s="129">
      <c r="A27" s="373" t="inlineStr">
        <is>
          <t>ค่าใบ ไม่ต่อ =</t>
        </is>
      </c>
      <c r="D27" s="374">
        <f>H22</f>
        <v/>
      </c>
      <c r="N27" s="249" t="inlineStr">
        <is>
          <t>กล่อง 1"×4"|4"|3</t>
        </is>
      </c>
      <c r="O27" s="250" t="n">
        <v>4000</v>
      </c>
      <c r="P27" s="250" t="n">
        <v>6000</v>
      </c>
      <c r="Q27" s="250" t="n">
        <v>400</v>
      </c>
      <c r="R27" s="250" t="n">
        <v>1200</v>
      </c>
      <c r="S27" s="250" t="n">
        <v>2300</v>
      </c>
      <c r="T27" s="250" t="n">
        <v>3200</v>
      </c>
    </row>
    <row r="28" ht="15" customHeight="1" s="129">
      <c r="A28" s="373" t="inlineStr">
        <is>
          <t>ค่าใบ ต่อ =</t>
        </is>
      </c>
      <c r="D28" s="374">
        <f>H23</f>
        <v/>
      </c>
      <c r="N28" s="249" t="inlineStr">
        <is>
          <t>กล่อง 1"×4"|4"|2</t>
        </is>
      </c>
      <c r="O28" s="250" t="n">
        <v>4800</v>
      </c>
      <c r="P28" s="250" t="n">
        <v>6900</v>
      </c>
      <c r="Q28" s="250" t="n">
        <v>500</v>
      </c>
      <c r="R28" s="250" t="n">
        <v>1600</v>
      </c>
      <c r="S28" s="250" t="n">
        <v>3000</v>
      </c>
      <c r="T28" s="250" t="n">
        <v>4300</v>
      </c>
    </row>
    <row r="29" ht="15" customHeight="1" s="129">
      <c r="A29" s="373" t="inlineStr">
        <is>
          <t>ต่อ ถูกลง =</t>
        </is>
      </c>
      <c r="D29" s="374">
        <f>H22-H23</f>
        <v/>
      </c>
      <c r="N29" s="249" t="inlineStr">
        <is>
          <t>กล่อง 1"×4"|4"|0</t>
        </is>
      </c>
      <c r="O29" s="250" t="n">
        <v>5100</v>
      </c>
      <c r="P29" s="250" t="n">
        <v>6900</v>
      </c>
      <c r="Q29" s="250" t="n">
        <v>500</v>
      </c>
      <c r="R29" s="250" t="n">
        <v>1600</v>
      </c>
      <c r="S29" s="250" t="n">
        <v>3000</v>
      </c>
      <c r="T29" s="250" t="n">
        <v>4300</v>
      </c>
    </row>
    <row r="30" ht="15" customHeight="1" s="129">
      <c r="N30" s="249" t="inlineStr">
        <is>
          <t>กล่อง 1.6"×1.6"|1.6"|5</t>
        </is>
      </c>
      <c r="O30" s="250" t="n">
        <v>3900</v>
      </c>
      <c r="P30" s="250" t="n">
        <v>5600</v>
      </c>
      <c r="Q30" s="250" t="n">
        <v>300</v>
      </c>
      <c r="R30" s="250" t="n">
        <v>1100</v>
      </c>
      <c r="S30" s="250" t="n">
        <v>2000</v>
      </c>
      <c r="T30" s="250" t="n">
        <v>2800</v>
      </c>
    </row>
    <row r="31" ht="15" customHeight="1" s="129">
      <c r="A31" s="372" t="n"/>
      <c r="B31" s="432" t="n"/>
      <c r="N31" s="249" t="inlineStr">
        <is>
          <t>กล่อง 1.6"×1.6"|1.6"|3</t>
        </is>
      </c>
      <c r="O31" s="250" t="n">
        <v>4400</v>
      </c>
      <c r="P31" s="250" t="n">
        <v>6400</v>
      </c>
      <c r="Q31" s="250" t="n">
        <v>400</v>
      </c>
      <c r="R31" s="250" t="n">
        <v>1400</v>
      </c>
      <c r="S31" s="250" t="n">
        <v>2400</v>
      </c>
      <c r="T31" s="250" t="n">
        <v>3500</v>
      </c>
    </row>
    <row r="32" ht="15" customHeight="1" s="129">
      <c r="N32" s="249" t="inlineStr">
        <is>
          <t>กล่อง 1.6"×1.6"|1.6"|2</t>
        </is>
      </c>
      <c r="O32" s="250" t="n">
        <v>5000</v>
      </c>
      <c r="P32" s="250" t="n">
        <v>7200</v>
      </c>
      <c r="Q32" s="250" t="n">
        <v>500</v>
      </c>
      <c r="R32" s="250" t="n">
        <v>1700</v>
      </c>
      <c r="S32" s="250" t="n">
        <v>2900</v>
      </c>
      <c r="T32" s="250" t="n">
        <v>4200</v>
      </c>
    </row>
    <row r="33" ht="15" customHeight="1" s="129">
      <c r="N33" s="249" t="inlineStr">
        <is>
          <t>กล่อง 1.6"×4"|1.6"|5</t>
        </is>
      </c>
      <c r="O33" s="250" t="n">
        <v>5400</v>
      </c>
      <c r="P33" s="250" t="n">
        <v>7900</v>
      </c>
      <c r="Q33" s="250" t="n">
        <v>600</v>
      </c>
      <c r="R33" s="250" t="n">
        <v>1900</v>
      </c>
      <c r="S33" s="250" t="n">
        <v>3300</v>
      </c>
      <c r="T33" s="250" t="n">
        <v>4700</v>
      </c>
    </row>
    <row r="34" ht="15" customHeight="1" s="129">
      <c r="N34" s="249" t="inlineStr">
        <is>
          <t>กล่อง 1.6"×4"|1.6"|3</t>
        </is>
      </c>
      <c r="O34" s="250" t="n">
        <v>6500</v>
      </c>
      <c r="P34" s="250" t="n">
        <v>9200</v>
      </c>
      <c r="Q34" s="250" t="n">
        <v>700</v>
      </c>
      <c r="R34" s="250" t="n">
        <v>2400</v>
      </c>
      <c r="S34" s="250" t="n">
        <v>4100</v>
      </c>
      <c r="T34" s="250" t="n">
        <v>5900</v>
      </c>
    </row>
    <row r="35" ht="15" customHeight="1" s="129">
      <c r="N35" s="249" t="inlineStr">
        <is>
          <t>กล่อง 1.6"×4"|1.6"|2</t>
        </is>
      </c>
      <c r="O35" s="250" t="n">
        <v>7300</v>
      </c>
      <c r="P35" s="250" t="n">
        <v>10600</v>
      </c>
      <c r="Q35" s="250" t="n">
        <v>800</v>
      </c>
      <c r="R35" s="250" t="n">
        <v>2900</v>
      </c>
      <c r="S35" s="250" t="n">
        <v>4900</v>
      </c>
      <c r="T35" s="250" t="n">
        <v>7000</v>
      </c>
    </row>
    <row r="36" ht="15" customHeight="1" s="129">
      <c r="N36" s="249" t="inlineStr">
        <is>
          <t>กล่อง 1.6"×4"|4"|5</t>
        </is>
      </c>
      <c r="O36" s="250" t="n">
        <v>4600</v>
      </c>
      <c r="P36" s="250" t="n">
        <v>6500</v>
      </c>
      <c r="Q36" s="250" t="n">
        <v>400</v>
      </c>
      <c r="R36" s="250" t="n">
        <v>1500</v>
      </c>
      <c r="S36" s="250" t="n">
        <v>2500</v>
      </c>
      <c r="T36" s="250" t="n">
        <v>3500</v>
      </c>
    </row>
    <row r="37" ht="15" customHeight="1" s="129">
      <c r="N37" s="249" t="inlineStr">
        <is>
          <t>กล่อง 1.6"×4"|4"|3</t>
        </is>
      </c>
      <c r="O37" s="250" t="n">
        <v>4600</v>
      </c>
      <c r="P37" s="250" t="n">
        <v>6500</v>
      </c>
      <c r="Q37" s="250" t="n">
        <v>400</v>
      </c>
      <c r="R37" s="250" t="n">
        <v>1500</v>
      </c>
      <c r="S37" s="250" t="n">
        <v>2500</v>
      </c>
      <c r="T37" s="250" t="n">
        <v>3500</v>
      </c>
    </row>
    <row r="38" ht="15" customHeight="1" s="129">
      <c r="N38" s="249" t="inlineStr">
        <is>
          <t>กล่อง 1.6"×4"|4"|2</t>
        </is>
      </c>
      <c r="O38" s="250" t="n">
        <v>5400</v>
      </c>
      <c r="P38" s="250" t="n">
        <v>7900</v>
      </c>
      <c r="Q38" s="250" t="n">
        <v>600</v>
      </c>
      <c r="R38" s="250" t="n">
        <v>1900</v>
      </c>
      <c r="S38" s="250" t="n">
        <v>3300</v>
      </c>
      <c r="T38" s="250" t="n">
        <v>4700</v>
      </c>
    </row>
  </sheetData>
  <mergeCells count="1">
    <mergeCell ref="A1:F1"/>
  </mergeCells>
  <dataValidations count="7">
    <dataValidation sqref="B3" showDropDown="0" showInputMessage="0" showErrorMessage="0" allowBlank="1" type="list">
      <formula1>$AF$1:$AF$2</formula1>
    </dataValidation>
    <dataValidation sqref="B2" showDropDown="0" showInputMessage="0" showErrorMessage="0" allowBlank="1" type="list">
      <formula1>$J$2:$J$8</formula1>
    </dataValidation>
    <dataValidation sqref="B5" showDropDown="0" showInputMessage="0" showErrorMessage="0" allowBlank="1" type="list">
      <formula1>"รวม,ไม่รวม"</formula1>
    </dataValidation>
    <dataValidation sqref="B6" showDropDown="0" showInputMessage="0" showErrorMessage="0" allowBlank="1" type="list">
      <formula1>$J$11:$J$15</formula1>
    </dataValidation>
    <dataValidation sqref="B7" showDropDown="0" showInputMessage="0" showErrorMessage="0" allowBlank="1" type="list">
      <formula1>"นอน,ตั้ง"</formula1>
    </dataValidation>
    <dataValidation sqref="B11" showDropDown="0" showInputMessage="0" showErrorMessage="0" allowBlank="1" type="list">
      <formula1>"ต่อ,ไม่ต่อ"</formula1>
    </dataValidation>
    <dataValidation sqref="B13" showDropDown="0" showInputMessage="0" showErrorMessage="0" allowBlank="1" type="list">
      <formula1>"เอา,ไม่เอา"</formula1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>
    <tabColor rgb="00ED7D31"/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3.2" customWidth="1" style="129" min="1" max="1"/>
    <col width="10.7" customWidth="1" style="129" min="2" max="2"/>
    <col width="20.1" customWidth="1" style="129" min="3" max="3"/>
    <col width="9.6" customWidth="1" style="129" min="4" max="4"/>
    <col width="8.6" customWidth="1" style="129" min="7" max="7"/>
  </cols>
  <sheetData>
    <row r="1" ht="22" customHeight="1" s="129">
      <c r="A1" s="542" t="inlineStr">
        <is>
          <t>คิดทุนหลังคา (รวม) — เลือกประเภทแล้วกรอกขนาด</t>
        </is>
      </c>
      <c r="E1" s="643" t="n"/>
      <c r="G1" s="753" t="inlineStr">
        <is>
          <t>🏠 สารบัญ</t>
        </is>
      </c>
      <c r="H1" s="754" t="n"/>
    </row>
    <row r="2">
      <c r="A2" s="543" t="inlineStr">
        <is>
          <t>ตั้งค่า</t>
        </is>
      </c>
    </row>
    <row r="3">
      <c r="A3" s="544" t="inlineStr">
        <is>
          <t>ทรงหลังคา →</t>
        </is>
      </c>
      <c r="B3" s="545" t="inlineStr">
        <is>
          <t>หลังคาเพิง</t>
        </is>
      </c>
      <c r="E3" s="866" t="inlineStr">
        <is>
          <t>⬇ เลือกโครง (อลู/เหล็ก)</t>
        </is>
      </c>
      <c r="F3" s="867" t="inlineStr">
        <is>
          <t>อลู</t>
        </is>
      </c>
    </row>
    <row r="4">
      <c r="A4" s="544" t="inlineStr">
        <is>
          <t>ชนิดหลังคา →</t>
        </is>
      </c>
      <c r="B4" s="545" t="inlineStr">
        <is>
          <t>ไวนิล</t>
        </is>
      </c>
      <c r="E4" s="387" t="inlineStr">
        <is>
          <t>จันทัน ฿/เส้น (auto)</t>
        </is>
      </c>
      <c r="F4" s="797">
        <f>IF($F$3="เหล็กชุบซิงค์",'ราคาเหล็ก'!$D$6,ราคาวัสดุ!$D$4)</f>
        <v/>
      </c>
    </row>
    <row r="5">
      <c r="A5" s="544" t="inlineStr">
        <is>
          <t>แป →</t>
        </is>
      </c>
      <c r="B5" s="545" t="inlineStr">
        <is>
          <t>แปเดี่ยว</t>
        </is>
      </c>
      <c r="E5" s="387" t="inlineStr">
        <is>
          <t>แปเดี่ยว ฿/เส้น (auto)</t>
        </is>
      </c>
      <c r="F5" s="797">
        <f>IF($F$3="เหล็กชุบซิงค์",'ราคาเหล็ก'!$D$8,ราคาวัสดุ!$D$5)</f>
        <v/>
      </c>
    </row>
    <row r="6">
      <c r="A6" s="544" t="inlineStr">
        <is>
          <t>ปลายหลังคา →</t>
        </is>
      </c>
      <c r="B6" s="545" t="inlineStr">
        <is>
          <t>ยื่นปลาย</t>
        </is>
      </c>
      <c r="E6" s="387" t="inlineStr">
        <is>
          <t>แปคู่ ฿/เส้น (auto)</t>
        </is>
      </c>
      <c r="F6" s="797">
        <f>IF($F$3="เหล็กชุบซิงค์",'ราคาเหล็ก'!$D$8,ราคาวัสดุ!$D$6)</f>
        <v/>
      </c>
    </row>
    <row r="7">
      <c r="A7" s="387" t="inlineStr">
        <is>
          <t>มีส่วนเลื่อน →</t>
        </is>
      </c>
      <c r="B7" s="555" t="inlineStr">
        <is>
          <t>ไม่</t>
        </is>
      </c>
      <c r="C7" s="547" t="inlineStr">
        <is>
          <t>← เสริมได้ทั้งเพิงและจั่ว</t>
        </is>
      </c>
    </row>
    <row r="8">
      <c r="A8" s="543" t="inlineStr">
        <is>
          <t>ขนาด</t>
        </is>
      </c>
      <c r="E8" s="869" t="inlineStr">
        <is>
          <t>⬇ เลือกสีอลู</t>
        </is>
      </c>
      <c r="F8" s="870" t="inlineStr">
        <is>
          <t>อบขาว/ดำ</t>
        </is>
      </c>
    </row>
    <row r="9">
      <c r="A9" s="546">
        <f>IF(B7="ใช่","ติดตาย: กว้าง (ซม.) →","กว้าง (ซม.) →")</f>
        <v/>
      </c>
      <c r="B9" s="545" t="n">
        <v>400</v>
      </c>
      <c r="C9" s="547" t="inlineStr"/>
      <c r="E9" s="871" t="inlineStr">
        <is>
          <t>ค่าอบ/กก. (auto)</t>
        </is>
      </c>
      <c r="F9" s="797">
        <f>IF(F8="เทาซาฮาร่า",100,IF(F8="ลายไม้สักทอง",112.5,0))</f>
        <v/>
      </c>
      <c r="H9" s="276" t="inlineStr">
        <is>
          <t>▶ น้ำหนักโปรไฟล์ (กก./ม.) แก้ได้</t>
        </is>
      </c>
    </row>
    <row r="10">
      <c r="A10" s="546">
        <f>IF(B7="ใช่","ติดตาย: ยื่น (ซม.) →",IF(B3="หลังคาจั่ว","ลึก D (ซม.) →","ยื่น (ซม.) →"))</f>
        <v/>
      </c>
      <c r="B10" s="545" t="n">
        <v>200</v>
      </c>
      <c r="C10" s="547" t="inlineStr"/>
      <c r="H10" s="461" t="inlineStr">
        <is>
          <t>จันทัน/ครอบ 1.6×4</t>
        </is>
      </c>
      <c r="I10" s="872" t="n">
        <v>1.163</v>
      </c>
    </row>
    <row r="11">
      <c r="A11" s="546">
        <f>IF(B7="ใช่","เลื่อน: กว้าง (ซม.) →",IF(B3="หลังคาจั่ว","สูงยอดจั่ว H (ซม.) →","— (ไม่ใช้)"))</f>
        <v/>
      </c>
      <c r="B11" s="545" t="n">
        <v>150</v>
      </c>
      <c r="C11" s="547">
        <f>IF(B3="หลังคาจั่ว","← เฉพาะจั่ว",IF(B7="ใช่","← เฉพาะเลื่อน",""))</f>
        <v/>
      </c>
      <c r="H11" s="461" t="inlineStr">
        <is>
          <t>แปเดี่ยว 1.6×1.6 ⚠ประเมิน</t>
        </is>
      </c>
      <c r="I11" s="872" t="n">
        <v>0.66</v>
      </c>
    </row>
    <row r="12">
      <c r="A12" s="546">
        <f>IF(B7="ใช่","เลื่อน: ยื่น (ซม.) →","— (ไม่ใช้)")</f>
        <v/>
      </c>
      <c r="B12" s="563" t="n">
        <v>150</v>
      </c>
      <c r="C12" s="547">
        <f>IF(B7="ใช่","← เฉพาะเลื่อน","")</f>
        <v/>
      </c>
      <c r="H12" s="461" t="inlineStr">
        <is>
          <t>แปคู่/รัดรอบ 1×1½</t>
        </is>
      </c>
      <c r="I12" s="872" t="n">
        <v>0.332</v>
      </c>
    </row>
    <row r="13">
      <c r="A13" s="546">
        <f>IF(B7="ใช่","รูปแบบเลื่อน →","— (ไม่ใช้)")</f>
        <v/>
      </c>
      <c r="B13" s="563" t="inlineStr">
        <is>
          <t>เลื่อนยื่น</t>
        </is>
      </c>
      <c r="C13" s="547">
        <f>IF(B7="ใช่","← เฉพาะเลื่อน","")</f>
        <v/>
      </c>
      <c r="H13" s="461" t="inlineStr">
        <is>
          <t>ฉาก 6หุน</t>
        </is>
      </c>
      <c r="I13" s="872" t="n">
        <v>0.743</v>
      </c>
    </row>
    <row r="14">
      <c r="A14" s="546">
        <f>IF(B7="ใช่","มอเตอร์ →","— (ไม่ใช้)")</f>
        <v/>
      </c>
      <c r="B14" s="563" t="inlineStr">
        <is>
          <t>80 กก.</t>
        </is>
      </c>
      <c r="C14" s="547">
        <f>IF(B7="ใช่","← เฉพาะเลื่อน","")</f>
        <v/>
      </c>
      <c r="H14" s="461" t="inlineStr">
        <is>
          <t>แซด 4นิ้ว</t>
        </is>
      </c>
      <c r="I14" s="872" t="n">
        <v>0.677</v>
      </c>
    </row>
    <row r="15">
      <c r="A15" s="387">
        <f>IF(B7="ใช่","จำนวนบาน (เลื่อน) →","— (ไม่ใช้)")</f>
        <v/>
      </c>
      <c r="B15" s="564" t="n">
        <v>2</v>
      </c>
      <c r="C15" s="547">
        <f>IF(B7="ใช่","← เฉพาะเลื่อน","")</f>
        <v/>
      </c>
      <c r="H15" s="461" t="inlineStr">
        <is>
          <t>คาน 4×4</t>
        </is>
      </c>
      <c r="I15" s="872" t="n">
        <v>2.159</v>
      </c>
    </row>
    <row r="16">
      <c r="A16" s="543" t="inlineStr">
        <is>
          <t>ผลลัพธ์</t>
        </is>
      </c>
    </row>
    <row r="17">
      <c r="A17" s="548" t="inlineStr">
        <is>
          <t>ทุนวัสดุรวม (บาท)</t>
        </is>
      </c>
      <c r="D17" s="549">
        <f>IF(B3="หลังคาเพิง",'คิดทุน หลังคา'!D20,'คิดทุน หลังคาจั่ว'!D21)+IF(B7="ใช่",'คิดทุน หลังคาเลื่อน'!D11+'คิดทุน หลังคาเลื่อน'!D12+'คิดทุน หลังคาเลื่อน'!D13+'คิดทุน หลังคาเลื่อน'!D18+'คิดทุน หลังคาเลื่อน'!D19,0)+IF($F$9&gt;0,2000,0)</f>
        <v/>
      </c>
    </row>
    <row r="18">
      <c r="A18" s="548" t="inlineStr">
        <is>
          <t>ทุนรวม วัสดุ+ค่าแรง (บาท)</t>
        </is>
      </c>
      <c r="D18" s="549">
        <f>D17+IF(B7="ใช่",'คิดทุน หลังคาเลื่อน'!D14+'คิดทุน หลังคาเลื่อน'!D15,IF(B3="หลังคาเพิง",'คิดทุน หลังคา'!D18+'คิดทุน หลังคา'!D19,'คิดทุน หลังคาจั่ว'!D19+'คิดทุน หลังคาจั่ว'!D20))</f>
        <v/>
      </c>
    </row>
    <row r="19">
      <c r="A19" s="548" t="inlineStr">
        <is>
          <t>ทุน/ตร.ม. (บาท)</t>
        </is>
      </c>
      <c r="D19" s="549">
        <f>IFERROR(D18/(B9*B10/10000),"")</f>
        <v/>
      </c>
    </row>
    <row r="20">
      <c r="A20" s="550" t="inlineStr">
        <is>
          <t>ราคาขาย/ชุด ทุน×2 (บาท)</t>
        </is>
      </c>
      <c r="D20" s="551">
        <f>ROUNDUP(D18*2/100,0)*100</f>
        <v/>
      </c>
    </row>
    <row r="22">
      <c r="A22" s="532" t="n"/>
      <c r="B22" s="556" t="n"/>
      <c r="C22" s="556" t="n"/>
      <c r="D22" s="532" t="n"/>
    </row>
    <row r="23">
      <c r="A23" s="565" t="inlineStr">
        <is>
          <t>ส่วนติดตาย</t>
        </is>
      </c>
      <c r="B23" s="566" t="inlineStr">
        <is>
          <t>จำนวน</t>
        </is>
      </c>
      <c r="C23" s="566" t="inlineStr"/>
      <c r="D23" s="567" t="inlineStr">
        <is>
          <t>ทุน (บาท)</t>
        </is>
      </c>
    </row>
    <row r="24">
      <c r="A24" s="557">
        <f>IF(B3="หลังคาเพิง","ปลายหลังคา/รางน้ำ","ปลายหลังคา/รางน้ำ (2 ชายคา)")</f>
        <v/>
      </c>
      <c r="B24" s="584">
        <f>IF(B6="ยื่นปลาย","—",IF(B6="รางน้ำอลู",ROUNDUP(B9/600,0)&amp;" เส้น",ROUND(B9/100,1)&amp;" ม."))</f>
        <v/>
      </c>
      <c r="C24" s="557" t="inlineStr"/>
      <c r="D24" s="559">
        <f>IF(B3="หลังคาเพิง",'คิดทุน หลังคา'!D9,'คิดทุน หลังคาจั่ว'!D8)</f>
        <v/>
      </c>
    </row>
    <row r="25">
      <c r="A25" s="560">
        <f>IF(B3="หลังคาเพิง","จันทัน 1.6x4 นิ้ว","จันทัน 1.6x4 นิ้ว (x2 ด้าน)")</f>
        <v/>
      </c>
      <c r="B25" s="578">
        <f>IF(B3="หลังคาเพิง",'คิดทุน หลังคา'!B10,'คิดทุน หลังคาจั่ว'!B10)</f>
        <v/>
      </c>
      <c r="C25" s="560" t="inlineStr"/>
      <c r="D25" s="562">
        <f>IF(B3="หลังคาเพิง",'คิดทุน หลังคา'!D10,'คิดทุน หลังคาจั่ว'!D10)</f>
        <v/>
      </c>
    </row>
    <row r="26">
      <c r="A26" s="557">
        <f>IF(B3="หลังคาเพิง","แป กล่อง","แป กล่อง (x2 ด้าน)")</f>
        <v/>
      </c>
      <c r="B26" s="584">
        <f>IF(B3="หลังคาเพิง",'คิดทุน หลังคา'!B11,'คิดทุน หลังคาจั่ว'!B11)</f>
        <v/>
      </c>
      <c r="C26" s="557" t="inlineStr"/>
      <c r="D26" s="559">
        <f>IF(B3="หลังคาเพิง",'คิดทุน หลังคา'!D11,'คิดทุน หลังคาจั่ว'!D11)</f>
        <v/>
      </c>
    </row>
    <row r="27">
      <c r="A27" s="560">
        <f>IF(B3="หลังคาเพิง","ฉาก 6 หุน","ฉาก 6 หุน (2 ชายคา)")</f>
        <v/>
      </c>
      <c r="B27" s="578">
        <f>IF(B3="หลังคาเพิง",'คิดทุน หลังคา'!B12,'คิดทุน หลังคาจั่ว'!B12)</f>
        <v/>
      </c>
      <c r="C27" s="560" t="inlineStr"/>
      <c r="D27" s="562">
        <f>IF(B3="หลังคาเพิง",'คิดทุน หลังคา'!D12,'คิดทุน หลังคาจั่ว'!D12)</f>
        <v/>
      </c>
    </row>
    <row r="28">
      <c r="A28" s="557">
        <f>IF(B3="หลังคาเพิง","แซด 4 นิ้ว","แซด 4 นิ้ว (2 ชายคา)")</f>
        <v/>
      </c>
      <c r="B28" s="584">
        <f>IF(B3="หลังคาเพิง",'คิดทุน หลังคา'!B13,'คิดทุน หลังคาจั่ว'!B13)</f>
        <v/>
      </c>
      <c r="C28" s="557" t="inlineStr"/>
      <c r="D28" s="559">
        <f>IF(B3="หลังคาเพิง",'คิดทุน หลังคา'!D13,'คิดทุน หลังคาจั่ว'!D13)</f>
        <v/>
      </c>
    </row>
    <row r="29">
      <c r="A29" s="560">
        <f>IF(B3="หลังคาเพิง","กล่องเหล็ก 1x1 นิ้ว","กล่องเหล็ก 1x1 นิ้ว")</f>
        <v/>
      </c>
      <c r="B29" s="578">
        <f>IF(B3="หลังคาเพิง",'คิดทุน หลังคา'!B14,'คิดทุน หลังคาจั่ว'!B14)</f>
        <v/>
      </c>
      <c r="C29" s="560" t="inlineStr"/>
      <c r="D29" s="562">
        <f>IF(B3="หลังคาเพิง",'คิดทุน หลังคา'!D14,'คิดทุน หลังคาจั่ว'!D14)</f>
        <v/>
      </c>
    </row>
    <row r="30">
      <c r="A30" s="557">
        <f>IF(B3="หลังคาเพิง","เพลทเหล็ก","เพลทเหล็ก")</f>
        <v/>
      </c>
      <c r="B30" s="584">
        <f>IF(B3="หลังคาเพิง",'คิดทุน หลังคา'!B15,'คิดทุน หลังคาจั่ว'!B15)</f>
        <v/>
      </c>
      <c r="C30" s="557" t="inlineStr"/>
      <c r="D30" s="559">
        <f>IF(B3="หลังคาเพิง",'คิดทุน หลังคา'!D15,'คิดทุน หลังคาจั่ว'!D15)</f>
        <v/>
      </c>
    </row>
    <row r="31">
      <c r="A31" s="560">
        <f>IF(B3="หลังคาเพิง","คาน 4x4 นิ้ว T","คาน 4x4 นิ้ว T")</f>
        <v/>
      </c>
      <c r="B31" s="578">
        <f>IF(B3="หลังคาจั่ว",'คิดทุน หลังคาจั่ว'!B16,"")</f>
        <v/>
      </c>
      <c r="C31" s="560" t="inlineStr"/>
      <c r="D31" s="562">
        <f>IF(B3="หลังคาเพิง",0,'คิดทุน หลังคาจั่ว'!D16)</f>
        <v/>
      </c>
    </row>
    <row r="32">
      <c r="A32" s="557">
        <f>IF(B3="หลังคาเพิง","แผ่นหลังคา","แผ่นหลังคา (x2 ด้าน)")</f>
        <v/>
      </c>
      <c r="B32" s="584">
        <f>IF(B4="ไวนิล",CEILING(B9/25,1)&amp;" แผ่น",IF(B4="ดีไลท์",CEILING(B9/100,1)&amp;" แผ่น",IF(B4="โพลีตัน",CEILING(B9/122,1)&amp;"×"&amp;ROUNDUP(B10/100,0)&amp;" แผ่น",IF(OR(B4="ชินโคร์ HC",B4="ชินโคร์ Sup",B4="กระจก 4+4",B4="กระจก 5+5"),ROUND(B9*B10/10000,1)&amp;" ตร.ม.",CEILING(B9/34,1)&amp;" แผ่น"))))</f>
        <v/>
      </c>
      <c r="C32" s="557" t="inlineStr"/>
      <c r="D32" s="559">
        <f>IF(B3="หลังคาเพิง",'คิดทุน หลังคา'!D16,'คิดทุน หลังคาจั่ว'!D17)</f>
        <v/>
      </c>
    </row>
    <row r="33">
      <c r="A33" s="560">
        <f>IF(B3="หลังคาเพิง","ฝาครอบ","ฝาครอบ (x2 ด้าน)")</f>
        <v/>
      </c>
      <c r="B33" s="578">
        <f>IF(B4="ไวนิล",CEILING(B9/25,1)&amp;" เส้น",IF(B4="โพลีตัน",IF(B3="หลังคาเพิง",'คิดทุน หลังคา'!E2&amp;" เส้น",'คิดทุน หลังคาจั่ว'!E3&amp;" เส้น"),"—"))</f>
        <v/>
      </c>
      <c r="C33" s="560" t="inlineStr"/>
      <c r="D33" s="562">
        <f>IF(B3="หลังคาเพิง",'คิดทุน หลังคา'!D17,'คิดทุน หลังคาจั่ว'!D18)</f>
        <v/>
      </c>
    </row>
    <row r="34">
      <c r="A34" s="560" t="n"/>
      <c r="B34" s="578" t="n"/>
      <c r="C34" s="561" t="n"/>
      <c r="D34" s="562" t="n"/>
    </row>
    <row r="35">
      <c r="A35" s="568">
        <f>IF(B7="ใช่","ส่วนเลื่อน","")</f>
        <v/>
      </c>
      <c r="B35" s="569">
        <f>IF(B7="ใช่","จำนวน","")</f>
        <v/>
      </c>
      <c r="C35" s="569" t="n"/>
      <c r="D35" s="568">
        <f>IF(B7="ใช่","ทุน (บาท)","")</f>
        <v/>
      </c>
    </row>
    <row r="36">
      <c r="A36" s="576">
        <f>IF(B7="ใช่","จันทัน 1.6x4 นิ้ว (เลื่อน)","")</f>
        <v/>
      </c>
      <c r="B36" s="576">
        <f>IF(B7="ใช่",'คิดทุน หลังคาเลื่อน'!K2*B15,"")</f>
        <v/>
      </c>
      <c r="C36" s="570" t="n"/>
      <c r="D36" s="577">
        <f>IF(B7="ใช่",'คิดทุน หลังคาเลื่อน'!L2*B15,"")</f>
        <v/>
      </c>
    </row>
    <row r="37">
      <c r="A37" s="578">
        <f>IF(B7="ใช่","แป กล่อง (เลื่อน)","")</f>
        <v/>
      </c>
      <c r="B37" s="578">
        <f>IF(B7="ใช่",'คิดทุน หลังคาเลื่อน'!K3*B15,"")</f>
        <v/>
      </c>
      <c r="C37" s="560" t="n"/>
      <c r="D37" s="579">
        <f>IF(B7="ใช่",'คิดทุน หลังคาเลื่อน'!L3*B15,"")</f>
        <v/>
      </c>
    </row>
    <row r="38">
      <c r="A38" s="576">
        <f>IF(B7="ใช่","ฉาก 6 หุน (เลื่อน)","")</f>
        <v/>
      </c>
      <c r="B38" s="576">
        <f>IF(B7="ใช่",'คิดทุน หลังคาเลื่อน'!K4*B15,"")</f>
        <v/>
      </c>
      <c r="C38" s="570" t="n"/>
      <c r="D38" s="577">
        <f>IF(B7="ใช่",'คิดทุน หลังคาเลื่อน'!L4*B15,"")</f>
        <v/>
      </c>
    </row>
    <row r="39">
      <c r="A39" s="387">
        <f>IF(B7="ใช่","แซด 4 นิ้ว (เลื่อน)","")</f>
        <v/>
      </c>
      <c r="B39" s="387">
        <f>IF(B7="ใช่",'คิดทุน หลังคาเลื่อน'!K5*B15,"")</f>
        <v/>
      </c>
      <c r="D39" s="387">
        <f>IF(B7="ใช่",'คิดทุน หลังคาเลื่อน'!L5*B15,"")</f>
        <v/>
      </c>
    </row>
    <row r="40">
      <c r="A40" s="580">
        <f>IF(B7="ใช่","กล่องเหล็ก 1x1 นิ้ว (เลื่อน)","")</f>
        <v/>
      </c>
      <c r="B40" s="580">
        <f>IF(B7="ใช่",'คิดทุน หลังคาเลื่อน'!K6*B15,"")</f>
        <v/>
      </c>
      <c r="C40" s="573" t="n"/>
      <c r="D40" s="580">
        <f>IF(B7="ใช่",'คิดทุน หลังคาเลื่อน'!L6*B15,"")</f>
        <v/>
      </c>
    </row>
    <row r="41">
      <c r="A41" s="581">
        <f>IF(B7="ใช่","เพลทเหล็ก (เลื่อน)","")</f>
        <v/>
      </c>
      <c r="B41" s="581">
        <f>IF(B7="ใช่",'คิดทุน หลังคาเลื่อน'!K7*B15,"")</f>
        <v/>
      </c>
      <c r="C41" s="574" t="n"/>
      <c r="D41" s="582">
        <f>IF(B7="ใช่",'คิดทุน หลังคาเลื่อน'!L7*B15,"")</f>
        <v/>
      </c>
    </row>
    <row r="42">
      <c r="A42" s="578">
        <f>IF(B7="ใช่","แผ่นหลังคา (เลื่อน)","")</f>
        <v/>
      </c>
      <c r="B42" s="578">
        <f>IF(B7="ใช่",'คิดทุน หลังคาเลื่อน'!K8&amp;" (×"&amp;B15&amp;" บาน)","")</f>
        <v/>
      </c>
      <c r="C42" s="560" t="n"/>
      <c r="D42" s="579">
        <f>IF(B7="ใช่",'คิดทุน หลังคาเลื่อน'!L8*B15,"")</f>
        <v/>
      </c>
    </row>
    <row r="43">
      <c r="A43" s="387">
        <f>IF(B7="ใช่","ฝาครอบ (เลื่อน)","")</f>
        <v/>
      </c>
      <c r="B43" s="387">
        <f>IF(B7="ใช่","—","")</f>
        <v/>
      </c>
      <c r="D43" s="387">
        <f>IF(B7="ใช่",'คิดทุน หลังคาเลื่อน'!L9*B15,"")</f>
        <v/>
      </c>
    </row>
    <row r="44">
      <c r="A44" s="387">
        <f>IF(B7="ใช่","ราง (2 ฝั่ง)","")</f>
        <v/>
      </c>
      <c r="B44" s="387">
        <f>IF(B7="ใช่","—","")</f>
        <v/>
      </c>
      <c r="D44" s="387">
        <f>IF(B7="ใช่",'คิดทุน หลังคาเลื่อน'!D12,"")</f>
        <v/>
      </c>
    </row>
    <row r="45">
      <c r="A45" s="387">
        <f>IF(B7="ใช่","มอเตอร์","")</f>
        <v/>
      </c>
      <c r="B45" s="387">
        <f>IF(B7="ใช่","—","")</f>
        <v/>
      </c>
      <c r="D45" s="387">
        <f>IF(B7="ใช่",'คิดทุน หลังคาเลื่อน'!D13,"")</f>
        <v/>
      </c>
    </row>
    <row r="47">
      <c r="A47" s="583" t="inlineStr">
        <is>
          <t>ค่าแรง</t>
        </is>
      </c>
      <c r="D47" s="583" t="inlineStr">
        <is>
          <t>ทุน (บาท)</t>
        </is>
      </c>
    </row>
    <row r="48">
      <c r="A48" s="387" t="inlineStr">
        <is>
          <t>ค่าแรงผลิต</t>
        </is>
      </c>
      <c r="D48" s="387">
        <f>IF(B7="ใช่",'คิดทุน หลังคาเลื่อน'!D14,IF(B3="หลังคาเพิง",'คิดทุน หลังคา'!D18,'คิดทุน หลังคาจั่ว'!D19))</f>
        <v/>
      </c>
    </row>
    <row r="49">
      <c r="A49" s="387" t="inlineStr">
        <is>
          <t>ค่าแรงติดตั้ง</t>
        </is>
      </c>
      <c r="D49" s="387">
        <f>IF(B7="ใช่",'คิดทุน หลังคาเลื่อน'!D15,IF(B3="หลังคาเพิง",'คิดทุน หลังคา'!D19,'คิดทุน หลังคาจั่ว'!D20))</f>
        <v/>
      </c>
    </row>
  </sheetData>
  <mergeCells count="2">
    <mergeCell ref="A1:D1"/>
    <mergeCell ref="A2:D2"/>
  </mergeCells>
  <dataValidations count="9">
    <dataValidation sqref="B4" showDropDown="0" showInputMessage="0" showErrorMessage="0" allowBlank="1" type="list">
      <formula1>"ไวนิล,โพลีตัน,ดีไลท์,ชินโคร์ HC,ชินโคร์ Sup,เมทัลชีท,กระจก 4+4,กระจก 5+5,ชินโคร์ Shade,ชินโคร์ Prime,เมทัลชีท EPS"</formula1>
    </dataValidation>
    <dataValidation sqref="B5" showDropDown="0" showInputMessage="0" showErrorMessage="0" allowBlank="1" type="list">
      <formula1>"แปเดี่ยว,แปคู่"</formula1>
    </dataValidation>
    <dataValidation sqref="B6" showDropDown="0" showInputMessage="0" showErrorMessage="0" allowBlank="1" type="list">
      <formula1>"ยื่นปลาย,ปิดปลาย,รางน้ำอลู,รางน้ำสแตน M,รางน้ำสแตน L"</formula1>
    </dataValidation>
    <dataValidation sqref="B3" showDropDown="0" showInputMessage="0" showErrorMessage="0" allowBlank="0" type="list">
      <formula1>"หลังคาเพิง,หลังคาจั่ว"</formula1>
    </dataValidation>
    <dataValidation sqref="B7" showDropDown="0" showInputMessage="0" showErrorMessage="0" allowBlank="0" type="list">
      <formula1>"ใช่,ไม่"</formula1>
    </dataValidation>
    <dataValidation sqref="B13" showDropDown="0" showInputMessage="0" showErrorMessage="0" allowBlank="1" type="list">
      <formula1>"เลื่อนยื่น,เลื่อนข้าง,เลื่อนเปิดกลาง"</formula1>
    </dataValidation>
    <dataValidation sqref="B14" showDropDown="0" showInputMessage="0" showErrorMessage="1" allowBlank="1" errorTitle="ข้อมูลไม่ถูกต้อง" error="เลือกเฉพาะรุ่นที่ระบุ" type="list">
      <formula1>"80 กก.,300 กก.,1500 กก."</formula1>
    </dataValidation>
    <dataValidation sqref="F3" showDropDown="0" showInputMessage="0" showErrorMessage="0" allowBlank="0" type="list">
      <formula1>"อลู,เหล็กชุบซิงค์"</formula1>
    </dataValidation>
    <dataValidation sqref="F8" showDropDown="0" showInputMessage="0" showErrorMessage="0" allowBlank="0" type="list">
      <formula1>"อบขาว/ดำ,เทาซาฮาร่า,ลายไม้สักทอง"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70AD47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6.5" customWidth="1" style="129" min="4" max="4"/>
    <col width="24" customWidth="1" style="129" min="5" max="5"/>
    <col width="18" customWidth="1" style="129" min="6" max="6"/>
    <col width="24" customWidth="1" style="129" min="7" max="7"/>
  </cols>
  <sheetData>
    <row r="1">
      <c r="A1" s="484" t="inlineStr">
        <is>
          <t>ถอดทุน — ฝ้ายิปซัมฉาบเรียบทาสีขาว (เวเทอร์บล็อค 9 มม.)   |   เทียบ R3.9 ข้อ 35</t>
        </is>
      </c>
      <c r="G1" s="753" t="inlineStr">
        <is>
          <t>🏠 สารบัญ</t>
        </is>
      </c>
      <c r="H1" s="759" t="n"/>
    </row>
    <row r="3">
      <c r="A3" s="485" t="inlineStr">
        <is>
          <t xml:space="preserve">  ① กรอกข้อมูลงาน  (กรอกแค่ช่องเหลือง)</t>
        </is>
      </c>
    </row>
    <row r="4">
      <c r="B4" s="486" t="inlineStr">
        <is>
          <t>ความกว้าง</t>
        </is>
      </c>
      <c r="C4" s="487" t="n">
        <v>5</v>
      </c>
      <c r="D4" s="488" t="inlineStr">
        <is>
          <t>ม.</t>
        </is>
      </c>
      <c r="E4" s="489" t="inlineStr">
        <is>
          <t>← กรอก</t>
        </is>
      </c>
    </row>
    <row r="5">
      <c r="B5" s="486" t="inlineStr">
        <is>
          <t>ความยาว</t>
        </is>
      </c>
      <c r="C5" s="487" t="n">
        <v>6</v>
      </c>
      <c r="D5" s="488" t="inlineStr">
        <is>
          <t>ม.</t>
        </is>
      </c>
      <c r="E5" s="489" t="inlineStr">
        <is>
          <t>← กรอก</t>
        </is>
      </c>
    </row>
    <row r="6">
      <c r="B6" s="486" t="inlineStr">
        <is>
          <t>พื้นที่ฝ้า (อัตโนมัติ)</t>
        </is>
      </c>
      <c r="C6" s="490">
        <f>C4*C5</f>
        <v/>
      </c>
      <c r="D6" s="488" t="inlineStr">
        <is>
          <t>ตร.ม.</t>
        </is>
      </c>
      <c r="E6" s="489" t="inlineStr">
        <is>
          <t>กว้าง × ยาว</t>
        </is>
      </c>
    </row>
    <row r="7">
      <c r="B7" s="486" t="inlineStr">
        <is>
          <t>เส้นรอบฝ้า (อัตโนมัติ)</t>
        </is>
      </c>
      <c r="C7" s="490">
        <f>2*(C4+C5)</f>
        <v/>
      </c>
      <c r="D7" s="488" t="inlineStr">
        <is>
          <t>ม.</t>
        </is>
      </c>
      <c r="E7" s="489" t="inlineStr">
        <is>
          <t>2×(กว้าง+ยาว) · สำหรับฉากโอบ</t>
        </is>
      </c>
    </row>
    <row r="8">
      <c r="B8" s="486" t="inlineStr">
        <is>
          <t>ใส่ฉนวนกันร้อน rockwool 3"?</t>
        </is>
      </c>
      <c r="C8" s="487" t="inlineStr">
        <is>
          <t>ไม่ใส่</t>
        </is>
      </c>
      <c r="E8" s="489" t="inlineStr">
        <is>
          <t>เลือก ใส่/ไม่ใส่ · ถ้าใส่คิดเต็มพื้นที่ + R3.9 +600/ตร.ม.</t>
        </is>
      </c>
    </row>
    <row r="10">
      <c r="A10" s="485" t="inlineStr">
        <is>
          <t xml:space="preserve">  ② รายการวัสดุ + ค่าแรง  (ราคา/หน่วย=ของจริงที่พี่ส่ง — จำนวน+ทุนคำนวณเอง)</t>
        </is>
      </c>
    </row>
    <row r="11">
      <c r="B11" s="491" t="inlineStr">
        <is>
          <t>รายการ</t>
        </is>
      </c>
      <c r="C11" s="491" t="inlineStr">
        <is>
          <t>จำนวน</t>
        </is>
      </c>
      <c r="D11" s="491" t="inlineStr">
        <is>
          <t>หน่วย</t>
        </is>
      </c>
      <c r="E11" s="491" t="inlineStr">
        <is>
          <t>ราคา/หน่วย</t>
        </is>
      </c>
      <c r="F11" s="491" t="inlineStr">
        <is>
          <t>ทุน</t>
        </is>
      </c>
      <c r="G11" s="491" t="inlineStr">
        <is>
          <t>หมายเหตุ</t>
        </is>
      </c>
    </row>
    <row r="12">
      <c r="B12" s="492" t="inlineStr">
        <is>
          <t>แผ่นยิปซัมเวเทอร์บล็อค 9 มม. (1.2×2.4)</t>
        </is>
      </c>
      <c r="C12" s="493">
        <f>CEILING($C$6*1.1/2.88,1)</f>
        <v/>
      </c>
      <c r="D12" s="494" t="inlineStr">
        <is>
          <t>แผ่น</t>
        </is>
      </c>
      <c r="E12" s="495">
        <f>'ราคางานเสริม'!$D$5</f>
        <v/>
      </c>
      <c r="F12" s="496">
        <f>C12*E12</f>
        <v/>
      </c>
      <c r="G12" s="489" t="inlineStr">
        <is>
          <t>เผื่อเศษ 10% · 2.88 ตร.ม./แผ่น</t>
        </is>
      </c>
    </row>
    <row r="13">
      <c r="B13" s="492" t="inlineStr">
        <is>
          <t>โครงซีไลน์ (ฟิวริ่ง) @0.40 ม.</t>
        </is>
      </c>
      <c r="C13" s="493">
        <f>CEILING($C$6*2.5/4,1)</f>
        <v/>
      </c>
      <c r="D13" s="494" t="inlineStr">
        <is>
          <t>เส้น</t>
        </is>
      </c>
      <c r="E13" s="495">
        <f>'ราคางานเสริม'!$D$6</f>
        <v/>
      </c>
      <c r="F13" s="496">
        <f>C13*E13</f>
        <v/>
      </c>
      <c r="G13" s="489" t="inlineStr">
        <is>
          <t>เส้นยาว 4 ม. · 2.5 ม./ตร.ม.</t>
        </is>
      </c>
    </row>
    <row r="14">
      <c r="B14" s="492" t="inlineStr">
        <is>
          <t>โครงเคร่าหลัก (โครงอาบ) @1.00 ม.</t>
        </is>
      </c>
      <c r="C14" s="493">
        <f>CEILING($C$6*1/4,1)</f>
        <v/>
      </c>
      <c r="D14" s="494" t="inlineStr">
        <is>
          <t>เส้น</t>
        </is>
      </c>
      <c r="E14" s="495">
        <f>'ราคางานเสริม'!$D$7</f>
        <v/>
      </c>
      <c r="F14" s="496">
        <f>C14*E14</f>
        <v/>
      </c>
      <c r="G14" s="489" t="inlineStr">
        <is>
          <t>เส้นยาว 4 ม. · 1.0 ม./ตร.ม.</t>
        </is>
      </c>
    </row>
    <row r="15">
      <c r="B15" s="492" t="inlineStr">
        <is>
          <t>ขาแขวน (ตัดจากซีไลน์)</t>
        </is>
      </c>
      <c r="C15" s="493">
        <f>CEILING($C$6*1*0.3/4,1)</f>
        <v/>
      </c>
      <c r="D15" s="494" t="inlineStr">
        <is>
          <t>เส้น</t>
        </is>
      </c>
      <c r="E15" s="495">
        <f>'ราคางานเสริม'!$D$8</f>
        <v/>
      </c>
      <c r="F15" s="496">
        <f>C15*E15</f>
        <v/>
      </c>
      <c r="G15" s="489" t="inlineStr">
        <is>
          <t>1 จุด/ตร.ม. × ดรอป 0.3 ม. (มาตรฐาน)</t>
        </is>
      </c>
    </row>
    <row r="16">
      <c r="B16" s="492" t="inlineStr">
        <is>
          <t>สกรูยึดแผ่น (เกลียวปล่อย)</t>
        </is>
      </c>
      <c r="C16" s="493">
        <f>CEILING($C$6*15,1)</f>
        <v/>
      </c>
      <c r="D16" s="494" t="inlineStr">
        <is>
          <t>ตัว</t>
        </is>
      </c>
      <c r="E16" s="497">
        <f>'ราคางานเสริม'!$D$9</f>
        <v/>
      </c>
      <c r="F16" s="496">
        <f>C16*E16</f>
        <v/>
      </c>
      <c r="G16" s="489" t="inlineStr">
        <is>
          <t>15 ตัว/ตร.ม.</t>
        </is>
      </c>
    </row>
    <row r="17">
      <c r="B17" s="492" t="inlineStr">
        <is>
          <t>สกรูยึดโครง (เมทัล)</t>
        </is>
      </c>
      <c r="C17" s="493">
        <f>CEILING($C$6*5,1)</f>
        <v/>
      </c>
      <c r="D17" s="494" t="inlineStr">
        <is>
          <t>ตัว</t>
        </is>
      </c>
      <c r="E17" s="497">
        <f>'ราคางานเสริม'!$D$10</f>
        <v/>
      </c>
      <c r="F17" s="496">
        <f>C17*E17</f>
        <v/>
      </c>
      <c r="G17" s="489" t="inlineStr">
        <is>
          <t>5 ตัว/ตร.ม.</t>
        </is>
      </c>
    </row>
    <row r="18">
      <c r="B18" s="492" t="inlineStr">
        <is>
          <t>ปูนฉาบรอยต่อ (50 กก./ถุง)</t>
        </is>
      </c>
      <c r="C18" s="493">
        <f>CEILING($C$6*0.5/50,1)</f>
        <v/>
      </c>
      <c r="D18" s="494" t="inlineStr">
        <is>
          <t>ถุง</t>
        </is>
      </c>
      <c r="E18" s="495">
        <f>'ราคางานเสริม'!$D$11</f>
        <v/>
      </c>
      <c r="F18" s="496">
        <f>C18*E18</f>
        <v/>
      </c>
      <c r="G18" s="489" t="inlineStr">
        <is>
          <t>ใช้จริง 0.5 กก./ตร.ม. (ฉาบรอยต่อ)</t>
        </is>
      </c>
    </row>
    <row r="19">
      <c r="B19" s="492" t="inlineStr">
        <is>
          <t>เทปผ้า/ตาข่ายปิดรอยต่อ</t>
        </is>
      </c>
      <c r="C19" s="493">
        <f>CEILING($C$6/60,1)</f>
        <v/>
      </c>
      <c r="D19" s="494" t="inlineStr">
        <is>
          <t>ม้วน</t>
        </is>
      </c>
      <c r="E19" s="495">
        <f>'ราคางานเสริม'!$D$12</f>
        <v/>
      </c>
      <c r="F19" s="496">
        <f>C19*E19</f>
        <v/>
      </c>
      <c r="G19" s="489" t="inlineStr">
        <is>
          <t>1 ม้วนคลุม ~60 ตร.ม.</t>
        </is>
      </c>
    </row>
    <row r="20">
      <c r="B20" s="492" t="inlineStr">
        <is>
          <t>ฉากโอบ อลู 4 หุน (เส้น 6 ม.)</t>
        </is>
      </c>
      <c r="C20" s="493">
        <f>CEILING($C$7/6,1)</f>
        <v/>
      </c>
      <c r="D20" s="494" t="inlineStr">
        <is>
          <t>เส้น</t>
        </is>
      </c>
      <c r="E20" s="495">
        <f>'ราคางานเสริม'!$D$13</f>
        <v/>
      </c>
      <c r="F20" s="496">
        <f>C20*E20</f>
        <v/>
      </c>
      <c r="G20" s="489" t="inlineStr">
        <is>
          <t>ตามเส้นรอบ · เส้นยาว 6 ม.</t>
        </is>
      </c>
    </row>
    <row r="21">
      <c r="B21" s="492" t="inlineStr">
        <is>
          <t>ฉนวน rockwool 3" (60×120 ซม.) [ถ้าใส่]</t>
        </is>
      </c>
      <c r="C21" s="493">
        <f>IF($C$8="ใส่",CEILING($C$6/0.72,1),0)</f>
        <v/>
      </c>
      <c r="D21" s="494" t="inlineStr">
        <is>
          <t>แผ่น</t>
        </is>
      </c>
      <c r="E21" s="495">
        <f>'ราคางานเสริม'!$D$14</f>
        <v/>
      </c>
      <c r="F21" s="496">
        <f>C21*E21</f>
        <v/>
      </c>
      <c r="G21" s="489" t="inlineStr">
        <is>
          <t>0.72 ตร.ม./แผ่น · คิดเต็มพื้นที่</t>
        </is>
      </c>
    </row>
    <row r="22">
      <c r="B22" s="492" t="inlineStr">
        <is>
          <t>ค่าแรง (ติดโครง+แผ่น+ฉาบ+ทาสี)</t>
        </is>
      </c>
      <c r="C22" s="493">
        <f>$C$6</f>
        <v/>
      </c>
      <c r="D22" s="494" t="inlineStr">
        <is>
          <t>ตร.ม.</t>
        </is>
      </c>
      <c r="E22" s="495">
        <f>'ค่าแรง'!$C$32</f>
        <v/>
      </c>
      <c r="F22" s="496">
        <f>C22*E22</f>
        <v/>
      </c>
      <c r="G22" s="489" t="inlineStr">
        <is>
          <t>รวมค่าทาสีแล้ว</t>
        </is>
      </c>
    </row>
    <row r="23">
      <c r="B23" s="498" t="inlineStr">
        <is>
          <t>ทุนรวมทั้งงาน</t>
        </is>
      </c>
      <c r="F23" s="499">
        <f>SUM(F12:F22)</f>
        <v/>
      </c>
    </row>
    <row r="25">
      <c r="A25" s="485" t="inlineStr">
        <is>
          <t xml:space="preserve">  ③ ราคาขาย (กำไร 100% = ทุน×2)   ·   R3.9 ข้อ 35 = อ้างอิง</t>
        </is>
      </c>
    </row>
    <row r="26">
      <c r="B26" s="500" t="inlineStr">
        <is>
          <t>ทุนเฉลี่ย / ตร.ม.</t>
        </is>
      </c>
      <c r="F26" s="501">
        <f>IF($C$6=0,0,F23/$C$6)</f>
        <v/>
      </c>
      <c r="G26" s="489" t="inlineStr">
        <is>
          <t>ทุนรวม ÷ พื้นที่</t>
        </is>
      </c>
    </row>
    <row r="27">
      <c r="B27" s="500" t="inlineStr">
        <is>
          <t>ราคาขาย (กำไร 100% = ทุน×2)</t>
        </is>
      </c>
      <c r="F27" s="502">
        <f>F23*2</f>
        <v/>
      </c>
      <c r="G27" s="489" t="inlineStr">
        <is>
          <t>ทุนรวม × 2</t>
        </is>
      </c>
    </row>
    <row r="28">
      <c r="B28" s="500" t="inlineStr">
        <is>
          <t>กำไร (บาท)</t>
        </is>
      </c>
      <c r="F28" s="503">
        <f>F27-F23</f>
        <v/>
      </c>
      <c r="G28" s="489" t="inlineStr">
        <is>
          <t>เท่าทุนรวม (กำไร 100%)</t>
        </is>
      </c>
    </row>
    <row r="29">
      <c r="B29" s="500" t="inlineStr">
        <is>
          <t>· ราคาขาย R3.9 (อ้างอิง)</t>
        </is>
      </c>
      <c r="F29" s="501">
        <f>MAX(12000,$C$6*IF($C$6&gt;20,1150,1200))+IF($C$8="ใส่",600*$C$6,0)</f>
        <v/>
      </c>
      <c r="G29" s="489" t="inlineStr">
        <is>
          <t>ข้อ 35 — ไว้เทียบเฉยๆ</t>
        </is>
      </c>
    </row>
    <row r="30">
      <c r="B30" s="500" t="inlineStr">
        <is>
          <t>· กำไร% ถ้าขายตาม R3.9</t>
        </is>
      </c>
      <c r="F30" s="504">
        <f>IF(F23=0,0,(F29-F23)/F23)</f>
        <v/>
      </c>
      <c r="G30" s="489" t="inlineStr">
        <is>
          <t>อ้างอิง</t>
        </is>
      </c>
    </row>
    <row r="32">
      <c r="A32" s="505" t="inlineStr">
        <is>
          <t>ราคา/หน่วย = ของจริง (มิ.ย.69) · จำนวนคำนวณจากพื้นที่ปัดขึ้น · สมมติมาตรฐาน: ขาแขวน 1จุด/ตร.ม.×0.3ม. · ปูน 0.5กก./ตร.ม. · สกรู 15&amp;5 ตัว/ตร.ม. (ปรับได้)</t>
        </is>
      </c>
    </row>
  </sheetData>
  <mergeCells count="5">
    <mergeCell ref="A32:G32"/>
    <mergeCell ref="A3:G3"/>
    <mergeCell ref="A1:F1"/>
    <mergeCell ref="A25:G25"/>
    <mergeCell ref="A10:G10"/>
  </mergeCells>
  <dataValidations count="1">
    <dataValidation sqref="C8" showDropDown="0" showInputMessage="0" showErrorMessage="0" allowBlank="0" type="list">
      <formula1>"ใส่,ไม่ใส่"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70AD47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5.4" customWidth="1" style="129" min="4" max="4"/>
    <col width="23.2" customWidth="1" style="129" min="5" max="5"/>
    <col width="18" customWidth="1" style="129" min="6" max="6"/>
    <col width="24" customWidth="1" style="129" min="7" max="7"/>
  </cols>
  <sheetData>
    <row r="1">
      <c r="A1" s="484" t="inlineStr">
        <is>
          <t>ถอดทุน — งานไฟ (ดาวน์ไลท์ + ปลั๊ก + สวิตช์ + เดินสายไฟ)   |   ตั้ง % กำไรเอง</t>
        </is>
      </c>
      <c r="G1" s="753" t="inlineStr">
        <is>
          <t>🏠 สารบัญ</t>
        </is>
      </c>
      <c r="H1" s="759" t="n"/>
    </row>
    <row r="3">
      <c r="A3" s="485" t="inlineStr">
        <is>
          <t xml:space="preserve">  ① กรอกข้อมูลงาน  (กรอกแค่ช่องเหลือง)</t>
        </is>
      </c>
    </row>
    <row r="4">
      <c r="B4" s="486" t="inlineStr">
        <is>
          <t>ไฟดาวน์ไลท์</t>
        </is>
      </c>
      <c r="C4" s="487" t="n">
        <v>10</v>
      </c>
      <c r="D4" s="488" t="inlineStr">
        <is>
          <t>จุด</t>
        </is>
      </c>
      <c r="E4" s="489" t="inlineStr">
        <is>
          <t>← กรอกจำนวน</t>
        </is>
      </c>
    </row>
    <row r="5">
      <c r="B5" s="486" t="inlineStr">
        <is>
          <t>ปลั๊ก</t>
        </is>
      </c>
      <c r="C5" s="487" t="n">
        <v>6</v>
      </c>
      <c r="D5" s="488" t="inlineStr">
        <is>
          <t>จุด</t>
        </is>
      </c>
      <c r="E5" s="489" t="inlineStr">
        <is>
          <t>← กรอกจำนวน</t>
        </is>
      </c>
    </row>
    <row r="6">
      <c r="B6" s="486" t="inlineStr">
        <is>
          <t>สวิตช์</t>
        </is>
      </c>
      <c r="C6" s="487" t="n">
        <v>4</v>
      </c>
      <c r="D6" s="488" t="inlineStr">
        <is>
          <t>จุด</t>
        </is>
      </c>
      <c r="E6" s="489" t="inlineStr">
        <is>
          <t>← กรอกจำนวน</t>
        </is>
      </c>
    </row>
    <row r="7">
      <c r="B7" s="486" t="inlineStr">
        <is>
          <t>เดินสายไฟ</t>
        </is>
      </c>
      <c r="C7" s="487" t="n">
        <v>80</v>
      </c>
      <c r="D7" s="488" t="inlineStr">
        <is>
          <t>เมตร</t>
        </is>
      </c>
      <c r="E7" s="489" t="inlineStr">
        <is>
          <t>← ความยาวสายไฟรวม</t>
        </is>
      </c>
    </row>
    <row r="8">
      <c r="B8" s="486" t="inlineStr">
        <is>
          <t>% กำไรที่ต้องการ</t>
        </is>
      </c>
      <c r="C8" s="487" t="n">
        <v>100</v>
      </c>
      <c r="D8" s="488" t="inlineStr">
        <is>
          <t>%</t>
        </is>
      </c>
      <c r="E8" s="489" t="inlineStr">
        <is>
          <t>งานไฟไม่มี R3.9 จึงตั้งเอง</t>
        </is>
      </c>
    </row>
    <row r="10">
      <c r="A10" s="485" t="inlineStr">
        <is>
          <t xml:space="preserve">  ② รายการวัสดุ + ค่าแรง  (ราคา/หน่วย ช่องเหลือง — จำนวน+ทุนคำนวณเอง)</t>
        </is>
      </c>
    </row>
    <row r="11">
      <c r="B11" s="491" t="inlineStr">
        <is>
          <t>รายการ</t>
        </is>
      </c>
      <c r="C11" s="491" t="inlineStr">
        <is>
          <t>จำนวน</t>
        </is>
      </c>
      <c r="D11" s="491" t="inlineStr">
        <is>
          <t>หน่วย</t>
        </is>
      </c>
      <c r="E11" s="491" t="inlineStr">
        <is>
          <t>ราคา/หน่วย</t>
        </is>
      </c>
      <c r="F11" s="491" t="inlineStr">
        <is>
          <t>ทุน</t>
        </is>
      </c>
      <c r="G11" s="491" t="inlineStr">
        <is>
          <t>หมายเหตุ</t>
        </is>
      </c>
    </row>
    <row r="12">
      <c r="B12" s="492" t="inlineStr">
        <is>
          <t>ไฟดาวน์ไลท์</t>
        </is>
      </c>
      <c r="C12" s="493">
        <f>$C$4</f>
        <v/>
      </c>
      <c r="D12" s="494" t="inlineStr">
        <is>
          <t>ดวง</t>
        </is>
      </c>
      <c r="E12" s="495">
        <f>'ราคางานเสริม'!$D$17</f>
        <v/>
      </c>
      <c r="F12" s="496">
        <f>C12*E12</f>
        <v/>
      </c>
      <c r="G12" s="489" t="inlineStr">
        <is>
          <t>ตามจำนวนดาวน์ไลท์</t>
        </is>
      </c>
    </row>
    <row r="13">
      <c r="B13" s="492" t="inlineStr">
        <is>
          <t>เต้ารับ + หน้ากาก (ปลั๊ก)</t>
        </is>
      </c>
      <c r="C13" s="493">
        <f>$C$5</f>
        <v/>
      </c>
      <c r="D13" s="494" t="inlineStr">
        <is>
          <t>จุด</t>
        </is>
      </c>
      <c r="E13" s="495">
        <f>'ราคางานเสริม'!$D$18</f>
        <v/>
      </c>
      <c r="F13" s="496">
        <f>C13*E13</f>
        <v/>
      </c>
      <c r="G13" s="489" t="inlineStr">
        <is>
          <t>ตามจำนวนปลั๊ก</t>
        </is>
      </c>
    </row>
    <row r="14">
      <c r="B14" s="492" t="inlineStr">
        <is>
          <t>สวิตช์ + หน้ากาก</t>
        </is>
      </c>
      <c r="C14" s="493">
        <f>$C$6</f>
        <v/>
      </c>
      <c r="D14" s="494" t="inlineStr">
        <is>
          <t>จุด</t>
        </is>
      </c>
      <c r="E14" s="495">
        <f>'ราคางานเสริม'!$D$19</f>
        <v/>
      </c>
      <c r="F14" s="496">
        <f>C14*E14</f>
        <v/>
      </c>
      <c r="G14" s="489" t="inlineStr">
        <is>
          <t>ตามจำนวนสวิตช์</t>
        </is>
      </c>
    </row>
    <row r="15">
      <c r="B15" s="492" t="inlineStr">
        <is>
          <t>กล่องไฟ (ลอย/ฝัง)</t>
        </is>
      </c>
      <c r="C15" s="493">
        <f>$C$5+$C$6</f>
        <v/>
      </c>
      <c r="D15" s="494" t="inlineStr">
        <is>
          <t>กล่อง</t>
        </is>
      </c>
      <c r="E15" s="495">
        <f>'ราคางานเสริม'!$D$20</f>
        <v/>
      </c>
      <c r="F15" s="496">
        <f>C15*E15</f>
        <v/>
      </c>
      <c r="G15" s="489" t="inlineStr">
        <is>
          <t>ปลั๊ก + สวิตช์</t>
        </is>
      </c>
    </row>
    <row r="16">
      <c r="B16" s="492" t="inlineStr">
        <is>
          <t>สายไฟ THW/VAF</t>
        </is>
      </c>
      <c r="C16" s="493">
        <f>$C$7</f>
        <v/>
      </c>
      <c r="D16" s="494" t="inlineStr">
        <is>
          <t>เมตร</t>
        </is>
      </c>
      <c r="E16" s="495">
        <f>'ราคางานเสริม'!$D$21</f>
        <v/>
      </c>
      <c r="F16" s="496">
        <f>C16*E16</f>
        <v/>
      </c>
      <c r="G16" s="489" t="inlineStr">
        <is>
          <t>2,500/ม้วน 100 ม. = 25/ม.</t>
        </is>
      </c>
    </row>
    <row r="17">
      <c r="B17" s="492" t="inlineStr">
        <is>
          <t>ท่อ PVC + ข้อต่อ</t>
        </is>
      </c>
      <c r="C17" s="493">
        <f>$C$7</f>
        <v/>
      </c>
      <c r="D17" s="494" t="inlineStr">
        <is>
          <t>เมตร</t>
        </is>
      </c>
      <c r="E17" s="497">
        <f>'ราคางานเสริม'!$D$22</f>
        <v/>
      </c>
      <c r="F17" s="496">
        <f>C17*E17</f>
        <v/>
      </c>
      <c r="G17" s="489" t="inlineStr">
        <is>
          <t>20/เส้น 3 ม. = 6.67/ม.</t>
        </is>
      </c>
    </row>
    <row r="18">
      <c r="B18" s="492" t="inlineStr">
        <is>
          <t>เทป + อุปกรณ์เบ็ดเตล็ด</t>
        </is>
      </c>
      <c r="C18" s="493">
        <f>1</f>
        <v/>
      </c>
      <c r="D18" s="494" t="inlineStr">
        <is>
          <t>งาน</t>
        </is>
      </c>
      <c r="E18" s="495">
        <f>'ราคางานเสริม'!$D$23</f>
        <v/>
      </c>
      <c r="F18" s="496">
        <f>C18*E18</f>
        <v/>
      </c>
      <c r="G18" s="489" t="inlineStr">
        <is>
          <t>เหมาต่องาน</t>
        </is>
      </c>
    </row>
    <row r="19">
      <c r="B19" s="506" t="inlineStr">
        <is>
          <t>ค่าแรงเดินสายไฟ</t>
        </is>
      </c>
      <c r="C19" s="493">
        <f>$C$7</f>
        <v/>
      </c>
      <c r="D19" s="494" t="inlineStr">
        <is>
          <t>เมตร</t>
        </is>
      </c>
      <c r="E19" s="495">
        <f>'ค่าแรง'!$B$36</f>
        <v/>
      </c>
      <c r="F19" s="496">
        <f>C19*E19</f>
        <v/>
      </c>
      <c r="G19" s="489" t="inlineStr">
        <is>
          <t>ฐานหลัก/เมตร (รวมปลั๊ก+สวิตช์)</t>
        </is>
      </c>
    </row>
    <row r="20">
      <c r="B20" s="506" t="inlineStr">
        <is>
          <t>ค่าแรงติดตั้งดาวน์ไลท์ (เพิ่ม)</t>
        </is>
      </c>
      <c r="C20" s="493">
        <f>$C$4</f>
        <v/>
      </c>
      <c r="D20" s="494" t="inlineStr">
        <is>
          <t>ดวง</t>
        </is>
      </c>
      <c r="E20" s="495">
        <f>'ค่าแรง'!$B$37</f>
        <v/>
      </c>
      <c r="F20" s="496">
        <f>C20*E20</f>
        <v/>
      </c>
      <c r="G20" s="489" t="inlineStr">
        <is>
          <t>เงื่อนไขเพิ่ม +90/ดวง</t>
        </is>
      </c>
    </row>
    <row r="21">
      <c r="B21" s="498" t="inlineStr">
        <is>
          <t>ทุนรวมทั้งงาน</t>
        </is>
      </c>
      <c r="F21" s="499">
        <f>SUM(F12:F20)</f>
        <v/>
      </c>
    </row>
    <row r="23">
      <c r="A23" s="485" t="inlineStr">
        <is>
          <t xml:space="preserve">  ③ ราคาขาย</t>
        </is>
      </c>
    </row>
    <row r="24">
      <c r="B24" s="500" t="inlineStr">
        <is>
          <t>ค่าแรงรวม</t>
        </is>
      </c>
      <c r="F24" s="501">
        <f>F19+F20</f>
        <v/>
      </c>
      <c r="G24" s="489" t="inlineStr">
        <is>
          <t>เดินสาย + ดาวน์ไลท์</t>
        </is>
      </c>
    </row>
    <row r="25">
      <c r="B25" s="500" t="inlineStr">
        <is>
          <t>ราคาขาย (ทุน × กำไร)</t>
        </is>
      </c>
      <c r="F25" s="502">
        <f>F21*(1+$C$8/100)</f>
        <v/>
      </c>
      <c r="G25" s="489" t="inlineStr">
        <is>
          <t>ทุนรวม × (1 + %กำไร)</t>
        </is>
      </c>
    </row>
    <row r="26">
      <c r="B26" s="500" t="inlineStr">
        <is>
          <t>กำไร (บาท)</t>
        </is>
      </c>
      <c r="F26" s="503">
        <f>F25-F21</f>
        <v/>
      </c>
    </row>
    <row r="28">
      <c r="A28" s="505" t="inlineStr">
        <is>
          <t>ค่าแรง: เดินสายไฟ 90/ม. (ฐาน รวมปลั๊ก+สวิตช์) + ดาวน์ไลท์ +90/ดวง (เพิ่ม) · สายไฟ+ท่อตามเมตร · งานไฟไม่มี R3.9 ตั้ง %กำไรเอง</t>
        </is>
      </c>
    </row>
  </sheetData>
  <mergeCells count="5">
    <mergeCell ref="A3:G3"/>
    <mergeCell ref="A1:F1"/>
    <mergeCell ref="A10:G10"/>
    <mergeCell ref="A28:G28"/>
    <mergeCell ref="A23:G2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70AD47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6.5" customWidth="1" style="129" min="4" max="4"/>
    <col width="24" customWidth="1" style="129" min="5" max="5"/>
    <col width="18" customWidth="1" style="129" min="6" max="6"/>
    <col width="24" customWidth="1" style="129" min="7" max="7"/>
  </cols>
  <sheetData>
    <row r="1">
      <c r="A1" s="484" t="inlineStr">
        <is>
          <t>ถอดทุน — ผนังเบาสมาร์ทบอร์ด 12 มม. (2 หน้า ฉาบเรียบ)   |   เทียบ R3.9 ข้อ 40.1</t>
        </is>
      </c>
      <c r="G1" s="753" t="inlineStr">
        <is>
          <t>🏠 สารบัญ</t>
        </is>
      </c>
      <c r="H1" s="759" t="n"/>
    </row>
    <row r="3">
      <c r="A3" s="485" t="inlineStr">
        <is>
          <t xml:space="preserve">  ① กรอกข้อมูลงาน  (กรอกแค่ช่องเหลือง)</t>
        </is>
      </c>
    </row>
    <row r="4">
      <c r="B4" s="486" t="inlineStr">
        <is>
          <t>ความกว้างผนัง</t>
        </is>
      </c>
      <c r="C4" s="487" t="n">
        <v>3</v>
      </c>
      <c r="D4" s="488" t="inlineStr">
        <is>
          <t>ม.</t>
        </is>
      </c>
      <c r="E4" s="489" t="inlineStr">
        <is>
          <t>← กรอก</t>
        </is>
      </c>
    </row>
    <row r="5">
      <c r="B5" s="486" t="inlineStr">
        <is>
          <t>ความสูงผนัง</t>
        </is>
      </c>
      <c r="C5" s="487" t="n">
        <v>2.7</v>
      </c>
      <c r="D5" s="488" t="inlineStr">
        <is>
          <t>ม.</t>
        </is>
      </c>
      <c r="E5" s="489" t="inlineStr">
        <is>
          <t>← กรอก</t>
        </is>
      </c>
    </row>
    <row r="6">
      <c r="B6" s="486" t="inlineStr">
        <is>
          <t>พื้นที่ผนัง (อัตโนมัติ)</t>
        </is>
      </c>
      <c r="C6" s="490">
        <f>C4*C5</f>
        <v/>
      </c>
      <c r="D6" s="488" t="inlineStr">
        <is>
          <t>ตร.ม.</t>
        </is>
      </c>
      <c r="E6" s="489" t="inlineStr">
        <is>
          <t>กว้าง × สูง (1 หน้า)</t>
        </is>
      </c>
    </row>
    <row r="7">
      <c r="B7" s="486" t="inlineStr">
        <is>
          <t>ใส่ฉนวนกันร้อน/เสียง 3"?</t>
        </is>
      </c>
      <c r="C7" s="487" t="inlineStr">
        <is>
          <t>ใส่</t>
        </is>
      </c>
      <c r="E7" s="489" t="inlineStr">
        <is>
          <t>R3.9 ข้อ 40.1 รวมฉนวน 3" เป็นมาตรฐาน</t>
        </is>
      </c>
    </row>
    <row r="9">
      <c r="A9" s="485" t="inlineStr">
        <is>
          <t xml:space="preserve">  ② รายการวัสดุ + ค่าแรง  (ราคา/หน่วย=ของจริง — จำนวน+ทุนคำนวณเอง)</t>
        </is>
      </c>
    </row>
    <row r="10">
      <c r="B10" s="491" t="inlineStr">
        <is>
          <t>รายการ</t>
        </is>
      </c>
      <c r="C10" s="491" t="inlineStr">
        <is>
          <t>จำนวน</t>
        </is>
      </c>
      <c r="D10" s="491" t="inlineStr">
        <is>
          <t>หน่วย</t>
        </is>
      </c>
      <c r="E10" s="491" t="inlineStr">
        <is>
          <t>ราคา/หน่วย</t>
        </is>
      </c>
      <c r="F10" s="491" t="inlineStr">
        <is>
          <t>ทุน</t>
        </is>
      </c>
      <c r="G10" s="491" t="inlineStr">
        <is>
          <t>หมายเหตุ</t>
        </is>
      </c>
    </row>
    <row r="11">
      <c r="B11" s="492" t="inlineStr">
        <is>
          <t>แผ่นสมาร์ทบอร์ด 12 มม. (กรุ 2 หน้า)</t>
        </is>
      </c>
      <c r="C11" s="493">
        <f>CEILING($C$6*2*1.1/2.88,1)</f>
        <v/>
      </c>
      <c r="D11" s="494" t="inlineStr">
        <is>
          <t>แผ่น</t>
        </is>
      </c>
      <c r="E11" s="495">
        <f>'ราคางานเสริม'!$D$26</f>
        <v/>
      </c>
      <c r="F11" s="496">
        <f>C11*E11</f>
        <v/>
      </c>
      <c r="G11" s="489" t="inlineStr">
        <is>
          <t>2 หน้า×เผื่อเศษ10% · 2.88 ตร.ม./แผ่น</t>
        </is>
      </c>
    </row>
    <row r="12">
      <c r="B12" s="492" t="inlineStr">
        <is>
          <t>โครงเหล็กกรอบ 4 ด้าน (1½×3")</t>
        </is>
      </c>
      <c r="C12" s="493">
        <f>CEILING(2*($C$4+$C$5)/6,1)</f>
        <v/>
      </c>
      <c r="D12" s="494" t="inlineStr">
        <is>
          <t>เส้น</t>
        </is>
      </c>
      <c r="E12" s="495">
        <f>'ราคางานเสริม'!$D$27</f>
        <v/>
      </c>
      <c r="F12" s="496">
        <f>C12*E12</f>
        <v/>
      </c>
      <c r="G12" s="489" t="inlineStr">
        <is>
          <t>รอบผนัง 2×(ก+ส) · เส้นยาว 6 ม.</t>
        </is>
      </c>
    </row>
    <row r="13">
      <c r="B13" s="492" t="inlineStr">
        <is>
          <t>ซีไลน์ 3" เสาตั้ง (ดิ่ง) @0.60</t>
        </is>
      </c>
      <c r="C13" s="493">
        <f>CEILING((CEILING($C$4/0.6,1)-1)*$C$5/3,1)</f>
        <v/>
      </c>
      <c r="D13" s="494" t="inlineStr">
        <is>
          <t>เส้น</t>
        </is>
      </c>
      <c r="E13" s="495">
        <f>'ราคางานเสริม'!$D$28</f>
        <v/>
      </c>
      <c r="F13" s="496">
        <f>C13*E13</f>
        <v/>
      </c>
      <c r="G13" s="489" t="inlineStr">
        <is>
          <t>เสาตั้งใน · เส้นยาว 3 ม.</t>
        </is>
      </c>
    </row>
    <row r="14">
      <c r="B14" s="492" t="inlineStr">
        <is>
          <t>ซีไลน์ 3" ถักนอน (ราบ) @0.40</t>
        </is>
      </c>
      <c r="C14" s="493">
        <f>CEILING((CEILING($C$5/0.4,1)-1)*$C$4/3,1)</f>
        <v/>
      </c>
      <c r="D14" s="494" t="inlineStr">
        <is>
          <t>เส้น</t>
        </is>
      </c>
      <c r="E14" s="495">
        <f>'ราคางานเสริม'!$D$29</f>
        <v/>
      </c>
      <c r="F14" s="496">
        <f>C14*E14</f>
        <v/>
      </c>
      <c r="G14" s="489" t="inlineStr">
        <is>
          <t>คานราบถัก · เส้นยาว 3 ม.</t>
        </is>
      </c>
    </row>
    <row r="15">
      <c r="B15" s="492" t="inlineStr">
        <is>
          <t>ฉนวน 3" (60×120 ซม.) [ถ้าใส่]</t>
        </is>
      </c>
      <c r="C15" s="493">
        <f>IF($C$7="ใส่",CEILING($C$6/0.72,1),0)</f>
        <v/>
      </c>
      <c r="D15" s="494" t="inlineStr">
        <is>
          <t>แผ่น</t>
        </is>
      </c>
      <c r="E15" s="495">
        <f>'ราคางานเสริม'!$D$30</f>
        <v/>
      </c>
      <c r="F15" s="496">
        <f>C15*E15</f>
        <v/>
      </c>
      <c r="G15" s="489" t="inlineStr">
        <is>
          <t>0.72 ตร.ม./แผ่น · เต็มพื้นที่</t>
        </is>
      </c>
    </row>
    <row r="16">
      <c r="B16" s="492" t="inlineStr">
        <is>
          <t>สกรูยึดแผ่น (2 หน้า)</t>
        </is>
      </c>
      <c r="C16" s="493">
        <f>CEILING($C$6*30,1)</f>
        <v/>
      </c>
      <c r="D16" s="494" t="inlineStr">
        <is>
          <t>ตัว</t>
        </is>
      </c>
      <c r="E16" s="497">
        <f>'ราคางานเสริม'!$D$31</f>
        <v/>
      </c>
      <c r="F16" s="496">
        <f>C16*E16</f>
        <v/>
      </c>
      <c r="G16" s="489" t="inlineStr">
        <is>
          <t>30 ตัว/ตร.ม. (2 หน้า)</t>
        </is>
      </c>
    </row>
    <row r="17">
      <c r="B17" s="492" t="inlineStr">
        <is>
          <t>สกรูยึดโครง (เมทัล)</t>
        </is>
      </c>
      <c r="C17" s="493">
        <f>CEILING($C$6*10,1)</f>
        <v/>
      </c>
      <c r="D17" s="494" t="inlineStr">
        <is>
          <t>ตัว</t>
        </is>
      </c>
      <c r="E17" s="497">
        <f>'ราคางานเสริม'!$D$32</f>
        <v/>
      </c>
      <c r="F17" s="496">
        <f>C17*E17</f>
        <v/>
      </c>
      <c r="G17" s="489" t="inlineStr">
        <is>
          <t>10 ตัว/ตร.ม. (กริดถี่ขึ้น)</t>
        </is>
      </c>
    </row>
    <row r="18">
      <c r="B18" s="492" t="inlineStr">
        <is>
          <t>ปูนฉาบรอยต่อ (2 หน้า, 50 กก./ถุง)</t>
        </is>
      </c>
      <c r="C18" s="493">
        <f>CEILING($C$6*1/50,1)</f>
        <v/>
      </c>
      <c r="D18" s="494" t="inlineStr">
        <is>
          <t>ถุง</t>
        </is>
      </c>
      <c r="E18" s="495">
        <f>'ราคางานเสริม'!$D$33</f>
        <v/>
      </c>
      <c r="F18" s="496">
        <f>C18*E18</f>
        <v/>
      </c>
      <c r="G18" s="489" t="inlineStr">
        <is>
          <t>1.0 กก./ตร.ม. (2 หน้า)</t>
        </is>
      </c>
    </row>
    <row r="19">
      <c r="B19" s="492" t="inlineStr">
        <is>
          <t>เทปผ้า/ตาข่าย (2 หน้า)</t>
        </is>
      </c>
      <c r="C19" s="493">
        <f>CEILING($C$6/30,1)</f>
        <v/>
      </c>
      <c r="D19" s="494" t="inlineStr">
        <is>
          <t>ม้วน</t>
        </is>
      </c>
      <c r="E19" s="495">
        <f>'ราคางานเสริม'!$D$34</f>
        <v/>
      </c>
      <c r="F19" s="496">
        <f>C19*E19</f>
        <v/>
      </c>
      <c r="G19" s="489" t="inlineStr">
        <is>
          <t>1 ม้วน ~30 ตร.ม. (2 หน้า)</t>
        </is>
      </c>
    </row>
    <row r="20">
      <c r="B20" s="506" t="inlineStr">
        <is>
          <t>ค่าแรงผลิต</t>
        </is>
      </c>
      <c r="C20" s="493">
        <f>$C$6</f>
        <v/>
      </c>
      <c r="D20" s="494" t="inlineStr">
        <is>
          <t>ตร.ม.</t>
        </is>
      </c>
      <c r="E20" s="495">
        <f>'ค่าแรง'!$B$34</f>
        <v/>
      </c>
      <c r="F20" s="496">
        <f>C20*E20</f>
        <v/>
      </c>
      <c r="G20" s="489" t="inlineStr">
        <is>
          <t>ผลิตโครง+ประกอบ ฿/ตร.ม.</t>
        </is>
      </c>
    </row>
    <row r="21">
      <c r="B21" s="506" t="inlineStr">
        <is>
          <t>ค่าแรงติดตั้ง</t>
        </is>
      </c>
      <c r="C21" s="493">
        <f>$C$6</f>
        <v/>
      </c>
      <c r="D21" s="494" t="inlineStr">
        <is>
          <t>ตร.ม.</t>
        </is>
      </c>
      <c r="E21" s="495">
        <f>'ค่าแรง'!$C$34</f>
        <v/>
      </c>
      <c r="F21" s="496">
        <f>C21*E21</f>
        <v/>
      </c>
      <c r="G21" s="489" t="inlineStr">
        <is>
          <t>ติดตั้งหน้างาน ฿/ตร.ม.</t>
        </is>
      </c>
    </row>
    <row r="22">
      <c r="B22" s="498" t="inlineStr">
        <is>
          <t>ทุนรวมทั้งงาน</t>
        </is>
      </c>
      <c r="F22" s="499">
        <f>SUM(F11:F21)</f>
        <v/>
      </c>
    </row>
    <row r="24">
      <c r="A24" s="485" t="inlineStr">
        <is>
          <t xml:space="preserve">  ③ ราคาขาย (กำไร 100% = ทุน×2)   ·   R3.9 ข้อ 40.1 = อ้างอิง</t>
        </is>
      </c>
    </row>
    <row r="25">
      <c r="B25" s="500" t="inlineStr">
        <is>
          <t>ค่าแรงรวม (ผลิต+ติดตั้ง)</t>
        </is>
      </c>
      <c r="F25" s="501">
        <f>F20+F21</f>
        <v/>
      </c>
      <c r="G25" s="489" t="inlineStr">
        <is>
          <t>700+400 = 1,100/ตร.ม.</t>
        </is>
      </c>
    </row>
    <row r="26">
      <c r="B26" s="500" t="inlineStr">
        <is>
          <t>ทุนเฉลี่ย / ตร.ม.</t>
        </is>
      </c>
      <c r="F26" s="501">
        <f>IF($C$6=0,0,F22/$C$6)</f>
        <v/>
      </c>
      <c r="G26" s="489" t="inlineStr">
        <is>
          <t>ทุนรวม ÷ พื้นที่</t>
        </is>
      </c>
    </row>
    <row r="27">
      <c r="B27" s="500" t="inlineStr">
        <is>
          <t>ราคาขาย (กำไร 100% = ทุน×2)</t>
        </is>
      </c>
      <c r="F27" s="502">
        <f>F22*2</f>
        <v/>
      </c>
      <c r="G27" s="489" t="inlineStr">
        <is>
          <t>ทุนรวม × 2</t>
        </is>
      </c>
    </row>
    <row r="28">
      <c r="B28" s="500" t="inlineStr">
        <is>
          <t>กำไร (บาท)</t>
        </is>
      </c>
      <c r="F28" s="503">
        <f>F27-F22</f>
        <v/>
      </c>
      <c r="G28" s="489" t="inlineStr">
        <is>
          <t>เท่าทุนรวม (กำไร 100%)</t>
        </is>
      </c>
    </row>
    <row r="29">
      <c r="B29" s="500" t="inlineStr">
        <is>
          <t>· ราคาขาย R3.9 (อ้างอิง)</t>
        </is>
      </c>
      <c r="F29" s="501">
        <f>MAX(13500,$C$6*IF($C$6&lt;=4.5,4500,IF($C$6&lt;=6,4200,IF($C$6&lt;=7.5,3900,3600))))</f>
        <v/>
      </c>
      <c r="G29" s="489" t="inlineStr">
        <is>
          <t>ข้อ 40.1 — ไว้เทียบเฉยๆ</t>
        </is>
      </c>
    </row>
    <row r="30">
      <c r="B30" s="500" t="inlineStr">
        <is>
          <t>· กำไร% ถ้าขายตาม R3.9</t>
        </is>
      </c>
      <c r="F30" s="504">
        <f>IF(F22=0,0,(F29-F22)/F22)</f>
        <v/>
      </c>
      <c r="G30" s="489" t="inlineStr">
        <is>
          <t>อ้างอิง</t>
        </is>
      </c>
    </row>
    <row r="32">
      <c r="A32" s="505" t="inlineStr">
        <is>
          <t>โครง: เหล็กกรอบ 1½×3" รอบ 4 ด้าน + ซีไลน์ 3" ถักใน เสาตั้ง@0.60 + ถักนอน@0.40 · ค่าแรงผลิต700+ติดตั้ง400 · สกรูโครงเพิ่มเป็น 10/ตร.ม. (กริดถี่)</t>
        </is>
      </c>
    </row>
  </sheetData>
  <mergeCells count="5">
    <mergeCell ref="A32:G32"/>
    <mergeCell ref="A9:G9"/>
    <mergeCell ref="A3:G3"/>
    <mergeCell ref="A1:F1"/>
    <mergeCell ref="A24:G24"/>
  </mergeCells>
  <dataValidations count="1">
    <dataValidation sqref="C7" showDropDown="0" showInputMessage="0" showErrorMessage="0" allowBlank="0" type="list">
      <formula1>"ใส่,ไม่ใส่"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70AD47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8.6" customWidth="1" style="129" min="4" max="4"/>
    <col width="24" customWidth="1" style="129" min="5" max="5"/>
    <col width="19.1" customWidth="1" style="129" min="6" max="6"/>
    <col width="24" customWidth="1" style="129" min="7" max="7"/>
  </cols>
  <sheetData>
    <row r="1">
      <c r="A1" s="484" t="inlineStr">
        <is>
          <t>ถอดทุน — ผนังไอโซวอล 100 มม. (สีขาว)   |   เทียบ R3.9 ข้อ 39</t>
        </is>
      </c>
      <c r="G1" s="753" t="inlineStr">
        <is>
          <t>🏠 สารบัญ</t>
        </is>
      </c>
      <c r="H1" s="759" t="n"/>
    </row>
    <row r="3">
      <c r="A3" s="485" t="inlineStr">
        <is>
          <t xml:space="preserve">  ① กรอกข้อมูลงาน + ราคาแผ่นตามความสูง  (ช่องเหลือง)</t>
        </is>
      </c>
    </row>
    <row r="4">
      <c r="B4" s="486" t="inlineStr">
        <is>
          <t>ความกว้างผนัง</t>
        </is>
      </c>
      <c r="C4" s="487" t="n">
        <v>3</v>
      </c>
      <c r="D4" s="488" t="inlineStr">
        <is>
          <t>ม.</t>
        </is>
      </c>
      <c r="E4" s="489" t="inlineStr">
        <is>
          <t>← กรอก</t>
        </is>
      </c>
    </row>
    <row r="5">
      <c r="B5" s="486" t="inlineStr">
        <is>
          <t>ความสูงผนัง</t>
        </is>
      </c>
      <c r="C5" s="487" t="n">
        <v>2.7</v>
      </c>
      <c r="D5" s="488" t="inlineStr">
        <is>
          <t>ม.</t>
        </is>
      </c>
      <c r="E5" s="489" t="inlineStr">
        <is>
          <t>← กรอก (เลือกแผ่นอัตโนมัติ)</t>
        </is>
      </c>
    </row>
    <row r="6">
      <c r="B6" s="486" t="inlineStr">
        <is>
          <t>พื้นที่ผนัง (อัตโนมัติ)</t>
        </is>
      </c>
      <c r="C6" s="490">
        <f>C4*C5</f>
        <v/>
      </c>
      <c r="D6" s="488" t="inlineStr">
        <is>
          <t>ตร.ม.</t>
        </is>
      </c>
      <c r="E6" s="489" t="inlineStr">
        <is>
          <t>กว้าง × สูง</t>
        </is>
      </c>
    </row>
    <row r="7">
      <c r="B7" s="486" t="inlineStr">
        <is>
          <t>เส้นรอบ (อัตโนมัติ)</t>
        </is>
      </c>
      <c r="C7" s="490">
        <f>2*(C4+C5)</f>
        <v/>
      </c>
      <c r="D7" s="488" t="inlineStr">
        <is>
          <t>ม.</t>
        </is>
      </c>
      <c r="E7" s="489" t="inlineStr">
        <is>
          <t>2×(ก+ส) · สำหรับกล่อง+ฉาก</t>
        </is>
      </c>
    </row>
    <row r="8">
      <c r="B8" s="486" t="inlineStr">
        <is>
          <t>ราคาแผ่น ≤2.4 ม. (1.2×2.4)</t>
        </is>
      </c>
      <c r="C8" s="507">
        <f>'ราคางานเสริม'!$D$37</f>
        <v/>
      </c>
      <c r="D8" s="488" t="inlineStr">
        <is>
          <t>บาท/แผ่น</t>
        </is>
      </c>
      <c r="E8" s="489" t="inlineStr">
        <is>
          <t>ใช้เมื่อสูง ≤ 2.4 ม.</t>
        </is>
      </c>
    </row>
    <row r="9">
      <c r="B9" s="486" t="inlineStr">
        <is>
          <t>ราคาแผ่น &gt;2.4 ม. (1.2×3.0)</t>
        </is>
      </c>
      <c r="C9" s="507">
        <f>'ราคางานเสริม'!$D$38</f>
        <v/>
      </c>
      <c r="D9" s="488" t="inlineStr">
        <is>
          <t>บาท/แผ่น</t>
        </is>
      </c>
      <c r="E9" s="489" t="inlineStr">
        <is>
          <t>ใช้เมื่อสูง &gt; 2.4 ม.</t>
        </is>
      </c>
    </row>
    <row r="11">
      <c r="A11" s="485" t="inlineStr">
        <is>
          <t xml:space="preserve">  ② รายการวัสดุ + ค่าแรง  (ราคา/หน่วย=ของจริง — จำนวน+ทุนคำนวณเอง)</t>
        </is>
      </c>
    </row>
    <row r="12">
      <c r="B12" s="491" t="inlineStr">
        <is>
          <t>รายการ</t>
        </is>
      </c>
      <c r="C12" s="491" t="inlineStr">
        <is>
          <t>จำนวน</t>
        </is>
      </c>
      <c r="D12" s="491" t="inlineStr">
        <is>
          <t>หน่วย</t>
        </is>
      </c>
      <c r="E12" s="491" t="inlineStr">
        <is>
          <t>ราคา/หน่วย</t>
        </is>
      </c>
      <c r="F12" s="491" t="inlineStr">
        <is>
          <t>ทุน</t>
        </is>
      </c>
      <c r="G12" s="491" t="inlineStr">
        <is>
          <t>หมายเหตุ</t>
        </is>
      </c>
    </row>
    <row r="13">
      <c r="B13" s="492" t="inlineStr">
        <is>
          <t>แผ่นไอโซวอล 100 มม. (เสาตั้ง 1.2 ม.)</t>
        </is>
      </c>
      <c r="C13" s="493">
        <f>CEILING($C$4/1.2,1)*CEILING($C$5/IF($C$5&lt;=2.4,2.4,3),1)</f>
        <v/>
      </c>
      <c r="D13" s="494" t="inlineStr">
        <is>
          <t>แผ่น</t>
        </is>
      </c>
      <c r="E13" s="508">
        <f>IF($C$5&lt;=2.4,$C$8,$C$9)</f>
        <v/>
      </c>
      <c r="F13" s="496">
        <f>C13*E13</f>
        <v/>
      </c>
      <c r="G13" s="489" t="inlineStr">
        <is>
          <t>≤2.4→1.2×2.4 · &gt;2.4→1.2×3.0 (เลือกอัตโนมัติ)</t>
        </is>
      </c>
    </row>
    <row r="14">
      <c r="B14" s="492" t="inlineStr">
        <is>
          <t>กล่อง 1.6"×4" โครงวิ่งรอบ</t>
        </is>
      </c>
      <c r="C14" s="493">
        <f>CEILING($C$7/6,1)</f>
        <v/>
      </c>
      <c r="D14" s="494" t="inlineStr">
        <is>
          <t>เส้น</t>
        </is>
      </c>
      <c r="E14" s="495">
        <f>'ราคางานเสริม'!$D$39</f>
        <v/>
      </c>
      <c r="F14" s="496">
        <f>C14*E14</f>
        <v/>
      </c>
      <c r="G14" s="489" t="inlineStr">
        <is>
          <t>1 เส้นรอบ · เส้นยาว 6 ม.</t>
        </is>
      </c>
    </row>
    <row r="15">
      <c r="B15" s="492" t="inlineStr">
        <is>
          <t>ฉาก 4 หุน นอก+ใน (2 เส้นรอบ)</t>
        </is>
      </c>
      <c r="C15" s="493">
        <f>CEILING(2*$C$7/6,1)</f>
        <v/>
      </c>
      <c r="D15" s="494" t="inlineStr">
        <is>
          <t>เส้น</t>
        </is>
      </c>
      <c r="E15" s="495">
        <f>'ราคางานเสริม'!$D$40</f>
        <v/>
      </c>
      <c r="F15" s="496">
        <f>C15*E15</f>
        <v/>
      </c>
      <c r="G15" s="489" t="inlineStr">
        <is>
          <t>2×เส้นรอบ · เส้นยาว 6 ม.</t>
        </is>
      </c>
    </row>
    <row r="16">
      <c r="B16" s="492" t="inlineStr">
        <is>
          <t>สกรู/รีเวท + อุปกรณ์ยึด (เหมา)</t>
        </is>
      </c>
      <c r="C16" s="493">
        <f>1</f>
        <v/>
      </c>
      <c r="D16" s="494" t="inlineStr">
        <is>
          <t>งาน</t>
        </is>
      </c>
      <c r="E16" s="495">
        <f>'ราคางานเสริม'!$D$41</f>
        <v/>
      </c>
      <c r="F16" s="496">
        <f>C16*E16</f>
        <v/>
      </c>
      <c r="G16" s="489" t="inlineStr">
        <is>
          <t>เหมาต่องาน</t>
        </is>
      </c>
    </row>
    <row r="17">
      <c r="B17" s="492" t="inlineStr">
        <is>
          <t>ซิลิโคน/ซีล</t>
        </is>
      </c>
      <c r="C17" s="493">
        <f>CEILING((2*$C$7+2*(CEILING($C$4/1.2,1)-1)*$C$5)/10,1)</f>
        <v/>
      </c>
      <c r="D17" s="494" t="inlineStr">
        <is>
          <t>หลอด</t>
        </is>
      </c>
      <c r="E17" s="495">
        <f>'ราคางานเสริม'!$D$42</f>
        <v/>
      </c>
      <c r="F17" s="496">
        <f>C17*E17</f>
        <v/>
      </c>
      <c r="G17" s="489" t="inlineStr">
        <is>
          <t>ขอบ 2 หน้า + รอยต่อแผ่น · 1 หลอด/10 ม.</t>
        </is>
      </c>
    </row>
    <row r="18">
      <c r="B18" s="506" t="inlineStr">
        <is>
          <t>ค่าแรงผลิต</t>
        </is>
      </c>
      <c r="C18" s="493">
        <f>$C$6</f>
        <v/>
      </c>
      <c r="D18" s="494" t="inlineStr">
        <is>
          <t>ตร.ม.</t>
        </is>
      </c>
      <c r="E18" s="495">
        <f>'ค่าแรง'!$B$35</f>
        <v/>
      </c>
      <c r="F18" s="496">
        <f>C18*E18</f>
        <v/>
      </c>
      <c r="G18" s="489" t="inlineStr">
        <is>
          <t>ผลิต/ประกอบ ฿/ตร.ม.</t>
        </is>
      </c>
    </row>
    <row r="19">
      <c r="B19" s="506" t="inlineStr">
        <is>
          <t>ค่าแรงติดตั้ง</t>
        </is>
      </c>
      <c r="C19" s="493">
        <f>$C$6</f>
        <v/>
      </c>
      <c r="D19" s="494" t="inlineStr">
        <is>
          <t>ตร.ม.</t>
        </is>
      </c>
      <c r="E19" s="495">
        <f>'ค่าแรง'!$C$35</f>
        <v/>
      </c>
      <c r="F19" s="496">
        <f>C19*E19</f>
        <v/>
      </c>
      <c r="G19" s="489" t="inlineStr">
        <is>
          <t>ติดตั้งหน้างาน ฿/ตร.ม.</t>
        </is>
      </c>
    </row>
    <row r="20">
      <c r="B20" s="498" t="inlineStr">
        <is>
          <t>ทุนรวมทั้งงาน</t>
        </is>
      </c>
      <c r="F20" s="499">
        <f>SUM(F13:F19)</f>
        <v/>
      </c>
    </row>
    <row r="22">
      <c r="A22" s="485" t="inlineStr">
        <is>
          <t xml:space="preserve">  ③ ราคาขาย (กำไร 100% = ทุน×2)   ·   R3.9 ข้อ 39 = อ้างอิง</t>
        </is>
      </c>
    </row>
    <row r="23">
      <c r="B23" s="500" t="inlineStr">
        <is>
          <t>ค่าแรงรวม (ผลิต+ติดตั้ง)</t>
        </is>
      </c>
      <c r="F23" s="501">
        <f>F18+F19</f>
        <v/>
      </c>
      <c r="G23" s="489" t="inlineStr">
        <is>
          <t>700+440 = 1,140/ตร.ม.</t>
        </is>
      </c>
    </row>
    <row r="24">
      <c r="B24" s="500" t="inlineStr">
        <is>
          <t>ทุนเฉลี่ย / ตร.ม.</t>
        </is>
      </c>
      <c r="F24" s="501">
        <f>IF($C$6=0,0,F20/$C$6)</f>
        <v/>
      </c>
      <c r="G24" s="489" t="inlineStr">
        <is>
          <t>ทุนรวม ÷ พื้นที่</t>
        </is>
      </c>
    </row>
    <row r="25">
      <c r="B25" s="500" t="inlineStr">
        <is>
          <t>ราคาขาย (กำไร 100% = ทุน×2)</t>
        </is>
      </c>
      <c r="F25" s="502">
        <f>F20*2</f>
        <v/>
      </c>
      <c r="G25" s="489" t="inlineStr">
        <is>
          <t>ทุนรวม × 2</t>
        </is>
      </c>
    </row>
    <row r="26">
      <c r="B26" s="500" t="inlineStr">
        <is>
          <t>กำไร (บาท)</t>
        </is>
      </c>
      <c r="F26" s="503">
        <f>F25-F20</f>
        <v/>
      </c>
      <c r="G26" s="489" t="inlineStr">
        <is>
          <t>เท่าทุนรวม (กำไร 100%)</t>
        </is>
      </c>
    </row>
    <row r="27">
      <c r="B27" s="500" t="inlineStr">
        <is>
          <t>· ราคาขาย R3.9 (อ้างอิง)</t>
        </is>
      </c>
      <c r="F27" s="501">
        <f>MAX(7000,$C$6*IF($C$6&lt;=1.5,7000,IF($C$6&lt;=2,6500,IF($C$6&lt;=2.5,6000,IF($C$6&lt;=3,5500,IF($C$6&lt;=3.5,5000,4500))))))</f>
        <v/>
      </c>
      <c r="G27" s="489" t="inlineStr">
        <is>
          <t>ข้อ 39 — ไว้เทียบเฉยๆ</t>
        </is>
      </c>
    </row>
    <row r="28">
      <c r="B28" s="500" t="inlineStr">
        <is>
          <t>· กำไร% ถ้าขายตาม R3.9</t>
        </is>
      </c>
      <c r="F28" s="504">
        <f>IF(F20=0,0,(F27-F20)/F20)</f>
        <v/>
      </c>
      <c r="G28" s="489" t="inlineStr">
        <is>
          <t>อ้างอิง</t>
        </is>
      </c>
    </row>
    <row r="30">
      <c r="A30" s="505" t="inlineStr">
        <is>
          <t>แผ่นเลือกอัตโนมัติตามความสูง (≤2.4→2,016 · &gt;2.4→2,520) นับแบบเสาตั้ง 1.2 ม. · กล่อง+ฉากตามเส้นรอบ · สกรูเหมา 50 · ซิลิโคนคำนวณจากแนวจริง</t>
        </is>
      </c>
    </row>
  </sheetData>
  <mergeCells count="5">
    <mergeCell ref="A3:G3"/>
    <mergeCell ref="A1:F1"/>
    <mergeCell ref="A22:G22"/>
    <mergeCell ref="A30:G30"/>
    <mergeCell ref="A11:G11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70AD47"/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6.5" customWidth="1" style="129" min="4" max="4"/>
    <col width="12.8" customWidth="1" style="129" min="5" max="5"/>
    <col width="13" customWidth="1" style="129" min="6" max="6"/>
    <col width="24" customWidth="1" style="129" min="7" max="7"/>
    <col width="2" customWidth="1" style="129" min="8" max="8"/>
    <col width="13.8" customWidth="1" style="129" min="9" max="9"/>
    <col width="9.6" customWidth="1" style="129" min="10" max="10"/>
  </cols>
  <sheetData>
    <row r="1">
      <c r="A1" s="484" t="inlineStr">
        <is>
          <t>ถอดทุน — ฝ้าไม้เทียม/ฝ้าอลู (4 ร้าน)   |   ขาย = ทุน×2</t>
        </is>
      </c>
      <c r="G1" s="753" t="inlineStr">
        <is>
          <t>🏠 สารบัญ</t>
        </is>
      </c>
      <c r="H1" s="759" t="n"/>
      <c r="I1" s="514">
        <f>$C$4&amp;"|"&amp;$C$5</f>
        <v/>
      </c>
    </row>
    <row r="2">
      <c r="I2" s="514" t="inlineStr">
        <is>
          <t>ค่าดึงจาก LUT:</t>
        </is>
      </c>
    </row>
    <row r="3">
      <c r="A3" s="485" t="inlineStr">
        <is>
          <t xml:space="preserve">  ① เลือก ร้าน → รุ่น → สี + ขนาด  (ช่องเหลือง)</t>
        </is>
      </c>
      <c r="I3" s="515">
        <f>IFERROR(VLOOKUP($I$1,LUT_ฝ้าไม้เทียม!$A:$K,4,0),0)</f>
        <v/>
      </c>
      <c r="J3" s="514" t="inlineStr">
        <is>
          <t>width</t>
        </is>
      </c>
    </row>
    <row r="4">
      <c r="B4" s="486" t="inlineStr">
        <is>
          <t>ร้าน</t>
        </is>
      </c>
      <c r="C4" s="516" t="inlineStr">
        <is>
          <t>ไม้ทิพย์</t>
        </is>
      </c>
      <c r="D4" s="517" t="n"/>
      <c r="E4" s="518" t="n"/>
      <c r="I4" s="515">
        <f>IFERROR(VLOOKUP($I$1,LUT_ฝ้าไม้เทียม!$A:$K,5,0),0)</f>
        <v/>
      </c>
      <c r="J4" s="514" t="inlineStr">
        <is>
          <t>len</t>
        </is>
      </c>
    </row>
    <row r="5">
      <c r="B5" s="486" t="inlineStr">
        <is>
          <t>รุ่น/แบบ</t>
        </is>
      </c>
      <c r="C5" s="516" t="inlineStr">
        <is>
          <t>สีพื้น</t>
        </is>
      </c>
      <c r="D5" s="517" t="n"/>
      <c r="E5" s="518" t="n"/>
      <c r="I5" s="515">
        <f>IFERROR(VLOOKUP($I$1,LUT_ฝ้าไม้เทียม!$A:$K,6,0),0)</f>
        <v/>
      </c>
      <c r="J5" s="514" t="inlineStr">
        <is>
          <t>price</t>
        </is>
      </c>
    </row>
    <row r="6">
      <c r="B6" s="486" t="inlineStr">
        <is>
          <t>สี</t>
        </is>
      </c>
      <c r="C6" s="516" t="inlineStr">
        <is>
          <t>ขาว</t>
        </is>
      </c>
      <c r="D6" s="517" t="n"/>
      <c r="E6" s="518" t="n"/>
      <c r="I6" s="515">
        <f>IFERROR(VLOOKUP($I$1,LUT_ฝ้าไม้เทียม!$A:$K,7,0),0)</f>
        <v/>
      </c>
      <c r="J6" s="514" t="inlineStr">
        <is>
          <t>unit</t>
        </is>
      </c>
    </row>
    <row r="7">
      <c r="B7" s="519" t="inlineStr">
        <is>
          <t>ความกว้าง</t>
        </is>
      </c>
      <c r="C7" s="487" t="n">
        <v>3</v>
      </c>
      <c r="D7" s="513" t="inlineStr">
        <is>
          <t>ม.</t>
        </is>
      </c>
      <c r="I7" s="515">
        <f>IFERROR(VLOOKUP($I$1,LUT_ฝ้าไม้เทียม!$A:$K,8,0),0)</f>
        <v/>
      </c>
      <c r="J7" s="514" t="inlineStr">
        <is>
          <t>edge_p</t>
        </is>
      </c>
    </row>
    <row r="8">
      <c r="B8" s="519" t="inlineStr">
        <is>
          <t>ความยาว</t>
        </is>
      </c>
      <c r="C8" s="487" t="n">
        <v>4</v>
      </c>
      <c r="D8" s="513" t="inlineStr">
        <is>
          <t>ม.</t>
        </is>
      </c>
      <c r="I8" s="515">
        <f>IFERROR(VLOOKUP($I$1,LUT_ฝ้าไม้เทียม!$A:$K,9,0),0)</f>
        <v/>
      </c>
      <c r="J8" s="514" t="inlineStr">
        <is>
          <t>edge_len</t>
        </is>
      </c>
    </row>
    <row r="9">
      <c r="B9" s="486" t="inlineStr">
        <is>
          <t>พื้นที่ (อัตโนมัติ)</t>
        </is>
      </c>
      <c r="C9" s="490">
        <f>C7*C8</f>
        <v/>
      </c>
      <c r="D9" s="488" t="inlineStr">
        <is>
          <t>ตร.ม.</t>
        </is>
      </c>
      <c r="E9" s="489" t="inlineStr">
        <is>
          <t>กว้าง × ยาว</t>
        </is>
      </c>
      <c r="I9" s="515">
        <f>IFERROR(VLOOKUP($I$1,LUT_ฝ้าไม้เทียม!$A:$K,10,0),0)</f>
        <v/>
      </c>
      <c r="J9" s="514" t="inlineStr">
        <is>
          <t>carrier</t>
        </is>
      </c>
    </row>
    <row r="10">
      <c r="B10" s="486" t="inlineStr">
        <is>
          <t>เส้นรอบ (อัตโนมัติ)</t>
        </is>
      </c>
      <c r="C10" s="490">
        <f>2*(C7+C8)</f>
        <v/>
      </c>
      <c r="D10" s="488" t="inlineStr">
        <is>
          <t>ม.</t>
        </is>
      </c>
      <c r="E10" s="489" t="inlineStr">
        <is>
          <t>สำหรับฉากขอบ</t>
        </is>
      </c>
      <c r="I10" s="515">
        <f>IFERROR(VLOOKUP($I$1,LUT_ฝ้าไม้เทียม!$A:$K,11,0),0)</f>
        <v/>
      </c>
      <c r="J10" s="514" t="inlineStr">
        <is>
          <t>bundled</t>
        </is>
      </c>
    </row>
    <row r="11">
      <c r="B11" s="677">
        <f>IF($I$5=0,"⚠ รุ่นนี้ไม่มีในร้าน "&amp;$C$4&amp;" — คลิกช่องรุ่น(C5) เลือกใหม่ให้ตรงร้าน","")</f>
        <v/>
      </c>
    </row>
    <row r="12">
      <c r="A12" s="485" t="inlineStr">
        <is>
          <t xml:space="preserve">  ② รายการ (จำนวน+ทุนคำนวณเอง)</t>
        </is>
      </c>
    </row>
    <row r="13">
      <c r="B13" s="491" t="inlineStr">
        <is>
          <t>รายการ</t>
        </is>
      </c>
      <c r="C13" s="491" t="inlineStr">
        <is>
          <t>จำนวน</t>
        </is>
      </c>
      <c r="D13" s="491" t="inlineStr">
        <is>
          <t>หน่วย</t>
        </is>
      </c>
      <c r="E13" s="491" t="inlineStr">
        <is>
          <t>ราคา/หน่วย</t>
        </is>
      </c>
      <c r="F13" s="491" t="inlineStr">
        <is>
          <t>ทุน</t>
        </is>
      </c>
      <c r="G13" s="491" t="inlineStr">
        <is>
          <t>หมายเหตุ</t>
        </is>
      </c>
    </row>
    <row r="14">
      <c r="B14" s="492" t="inlineStr">
        <is>
          <t>เส้นฝ้า (ตามรุ่น)</t>
        </is>
      </c>
      <c r="C14" s="493">
        <f>IFERROR(IF($I$10=1,$C$9,CEILING($C$9/($I$3*$I$4),1)),0)</f>
        <v/>
      </c>
      <c r="D14" s="520">
        <f>IF($I$10=1,"ตร.ม.",IFERROR(VLOOKUP($I$1,LUT_ฝ้าไม้เทียม!$A:$K,7,0),""))</f>
        <v/>
      </c>
      <c r="E14" s="508">
        <f>$I$5</f>
        <v/>
      </c>
      <c r="F14" s="496">
        <f>C14*E14</f>
        <v/>
      </c>
      <c r="G14" s="489" t="inlineStr">
        <is>
          <t>ต่อชนปลาย · fameline รวมทุกอย่าง/ตร.ม.</t>
        </is>
      </c>
    </row>
    <row r="15">
      <c r="B15" s="492" t="inlineStr">
        <is>
          <t>ขาจับฝ้า (เฉพาะไม้ทิพย์)</t>
        </is>
      </c>
      <c r="C15" s="493">
        <f>IF($I$9=1,CEILING($C$9,1),0)</f>
        <v/>
      </c>
      <c r="D15" s="520" t="inlineStr">
        <is>
          <t>เส้น</t>
        </is>
      </c>
      <c r="E15" s="508">
        <f>'ราคางานเสริม'!$D$45</f>
        <v/>
      </c>
      <c r="F15" s="496">
        <f>C15*E15</f>
        <v/>
      </c>
      <c r="G15" s="489" t="inlineStr">
        <is>
          <t>1 เส้น/ตร.ม. (6 ม.)</t>
        </is>
      </c>
    </row>
    <row r="16">
      <c r="B16" s="492" t="inlineStr">
        <is>
          <t>ฉากเก็บขอบรอบ</t>
        </is>
      </c>
      <c r="C16" s="493">
        <f>IF($I$7=0,0,CEILING($C$10/$I$8,1))</f>
        <v/>
      </c>
      <c r="D16" s="520" t="inlineStr">
        <is>
          <t>เส้น</t>
        </is>
      </c>
      <c r="E16" s="508">
        <f>$I$7</f>
        <v/>
      </c>
      <c r="F16" s="496">
        <f>C16*E16</f>
        <v/>
      </c>
      <c r="G16" s="489" t="inlineStr">
        <is>
          <t>fameline=รวมแล้ว</t>
        </is>
      </c>
    </row>
    <row r="17">
      <c r="B17" s="492" t="inlineStr">
        <is>
          <t>โครงซีไลน์ (มาตรฐาน @1.2)</t>
        </is>
      </c>
      <c r="C17" s="493">
        <f>CEILING(($C$9/1.2+CEILING($C$9/1.44,1)*0.3)/4,1)</f>
        <v/>
      </c>
      <c r="D17" s="520" t="inlineStr">
        <is>
          <t>เส้น</t>
        </is>
      </c>
      <c r="E17" s="508">
        <f>'ราคางานเสริม'!$D$46</f>
        <v/>
      </c>
      <c r="F17" s="496">
        <f>C17*E17</f>
        <v/>
      </c>
      <c r="G17" s="489" t="inlineStr">
        <is>
          <t>carrier@1.2 + ขาแขวน@1.2×1.2</t>
        </is>
      </c>
    </row>
    <row r="18">
      <c r="B18" s="506" t="inlineStr">
        <is>
          <t>ค่าแรง</t>
        </is>
      </c>
      <c r="C18" s="493">
        <f>$C$9</f>
        <v/>
      </c>
      <c r="D18" s="520" t="inlineStr">
        <is>
          <t>ตร.ม.</t>
        </is>
      </c>
      <c r="E18" s="508">
        <f>'ค่าแรง'!$C$33</f>
        <v/>
      </c>
      <c r="F18" s="496">
        <f>C18*E18</f>
        <v/>
      </c>
      <c r="G18" s="489" t="inlineStr">
        <is>
          <t>ผลิต+ติดตั้ง</t>
        </is>
      </c>
    </row>
    <row r="19">
      <c r="B19" s="498" t="inlineStr">
        <is>
          <t>ทุนรวมทั้งงาน</t>
        </is>
      </c>
      <c r="F19" s="499">
        <f>SUM(F14:F18)</f>
        <v/>
      </c>
    </row>
    <row r="20">
      <c r="B20" s="500" t="inlineStr">
        <is>
          <t>ราคาขาย (กำไร 100% = ทุน×2)</t>
        </is>
      </c>
      <c r="F20" s="502">
        <f>F19*2</f>
        <v/>
      </c>
    </row>
    <row r="21">
      <c r="B21" s="706" t="inlineStr">
        <is>
          <t>ทุน/ตร.ม.</t>
        </is>
      </c>
      <c r="F21" s="706">
        <f>IFERROR(ROUND(F19/C9,0),0)</f>
        <v/>
      </c>
    </row>
    <row r="22">
      <c r="B22" s="521" t="inlineStr">
        <is>
          <t>เลือก: ร้าน→รุ่น→สี เปลี่ยน cascade · เส้นฝ้าต่อชนปลาย · ซีไลน์มาตรฐาน @1.2 · ขาย=ทุน×2</t>
        </is>
      </c>
    </row>
  </sheetData>
  <mergeCells count="7">
    <mergeCell ref="C5:E5"/>
    <mergeCell ref="A3:G3"/>
    <mergeCell ref="A1:F1"/>
    <mergeCell ref="B22:J22"/>
    <mergeCell ref="A12:G12"/>
    <mergeCell ref="C4:E4"/>
    <mergeCell ref="C6:E6"/>
  </mergeCells>
  <dataValidations count="3">
    <dataValidation sqref="C4" showDropDown="0" showInputMessage="0" showErrorMessage="0" allowBlank="1" type="list">
      <formula1>=LUT_ฝ้าไม้เทียม!$N$2:$N$5</formula1>
    </dataValidation>
    <dataValidation sqref="C5" showDropDown="0" showInputMessage="0" showErrorMessage="0" allowBlank="1" type="list">
      <formula1>=OFFSET(LUT_ฝ้าไม้เทียม!$C$2,MATCH($C$4,LUT_ฝ้าไม้เทียม!$B$2:$B$25,0)-1,0,COUNTIF(LUT_ฝ้าไม้เทียม!$B$2:$B$25,$C$4),1)</formula1>
    </dataValidation>
    <dataValidation sqref="C6" showDropDown="0" showInputMessage="0" showErrorMessage="0" allowBlank="1" type="list">
      <formula1>=OFFSET(สีฝ้าไม้เทียม!$B$2,MATCH($I$1,สีฝ้าไม้เทียม!$A$2:$A$118,0)-1,0,COUNTIF(สีฝ้าไม้เทียม!$A$2:$A$118,$I$1),1)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7030A0"/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9" customWidth="1" style="129" min="1" max="1"/>
    <col width="10.7" customWidth="1" style="129" min="2" max="2"/>
    <col width="15.9" customWidth="1" style="129" min="3" max="3"/>
    <col width="12.8" customWidth="1" style="129" min="4" max="4"/>
    <col width="19.1" customWidth="1" style="129" min="5" max="5"/>
    <col width="8.6" customWidth="1" style="129" min="7" max="7"/>
  </cols>
  <sheetData>
    <row r="1" ht="24" customHeight="1" s="129">
      <c r="A1" s="286" t="inlineStr">
        <is>
          <t>📊 หน้าตารางรวมทุกบาน — ทุน · ขาย · กำไร (ลิงก์สดจากทุกชีท)</t>
        </is>
      </c>
      <c r="F1" s="643" t="n"/>
      <c r="G1" s="753" t="inlineStr">
        <is>
          <t>🏠 สารบัญ</t>
        </is>
      </c>
      <c r="H1" s="754" t="n"/>
    </row>
    <row r="3">
      <c r="A3" s="131" t="inlineStr">
        <is>
          <t>แบบบาน</t>
        </is>
      </c>
      <c r="B3" s="131" t="inlineStr">
        <is>
          <t>ทุนวัสดุ</t>
        </is>
      </c>
      <c r="C3" s="131" t="inlineStr">
        <is>
          <t>ขายผลิตอย่างเดียว</t>
        </is>
      </c>
      <c r="D3" s="131" t="inlineStr">
        <is>
          <t>ขายผลิต+ติดตั้ง</t>
        </is>
      </c>
      <c r="E3" s="131" t="inlineStr">
        <is>
          <t>กำไร%</t>
        </is>
      </c>
    </row>
    <row r="4">
      <c r="A4" s="132" t="inlineStr">
        <is>
          <t>▶ บานเลื่อน</t>
        </is>
      </c>
      <c r="B4" s="133" t="n"/>
      <c r="C4" s="133" t="n"/>
      <c r="D4" s="133" t="n"/>
      <c r="E4" s="133" t="n"/>
    </row>
    <row r="5">
      <c r="A5" s="134" t="inlineStr">
        <is>
          <t>บานเลื่อน SMS</t>
        </is>
      </c>
      <c r="B5" s="136">
        <f>'คิดทุน SMS'!D28</f>
        <v/>
      </c>
      <c r="C5" s="137">
        <f>'คิดทุน SMS'!D46</f>
        <v/>
      </c>
      <c r="D5" s="138">
        <f>'คิดทุน SMS'!D47</f>
        <v/>
      </c>
      <c r="E5" s="139">
        <f>'คิดทุน SMS'!D48</f>
        <v/>
      </c>
    </row>
    <row r="6">
      <c r="A6" s="134" t="inlineStr">
        <is>
          <t>บานเลื่อน ยูโร</t>
        </is>
      </c>
      <c r="B6" s="136">
        <f>'คิดทุน ยูโร'!D36</f>
        <v/>
      </c>
      <c r="C6" s="137">
        <f>'คิดทุน ยูโร'!D46</f>
        <v/>
      </c>
      <c r="D6" s="138">
        <f>'คิดทุน ยูโร'!D47</f>
        <v/>
      </c>
      <c r="E6" s="139">
        <f>'คิดทุน ยูโร'!D48</f>
        <v/>
      </c>
    </row>
    <row r="7">
      <c r="A7" s="134" t="inlineStr">
        <is>
          <t>SlimLux</t>
        </is>
      </c>
      <c r="B7" s="136">
        <f>'คิดทุน SlimLux'!D32</f>
        <v/>
      </c>
      <c r="C7" s="137">
        <f>'คิดทุน SlimLux'!D43</f>
        <v/>
      </c>
      <c r="D7" s="138">
        <f>'คิดทุน SlimLux'!D44</f>
        <v/>
      </c>
      <c r="E7" s="139">
        <f>'คิดทุน SlimLux'!D45</f>
        <v/>
      </c>
    </row>
    <row r="8">
      <c r="A8" s="134" t="inlineStr">
        <is>
          <t>E-series</t>
        </is>
      </c>
      <c r="B8" s="136">
        <f>'คิดทุน E-series'!D29</f>
        <v/>
      </c>
      <c r="C8" s="137">
        <f>'คิดทุน E-series'!D39</f>
        <v/>
      </c>
      <c r="D8" s="138">
        <f>'คิดทุน E-series'!D40</f>
        <v/>
      </c>
      <c r="E8" s="139">
        <f>'คิดทุน E-series'!D41</f>
        <v/>
      </c>
    </row>
    <row r="9">
      <c r="A9" s="132" t="inlineStr">
        <is>
          <t>▶ บานเปิด / อื่นๆ</t>
        </is>
      </c>
      <c r="B9" s="133" t="n"/>
      <c r="C9" s="133" t="n"/>
      <c r="D9" s="133" t="n"/>
      <c r="E9" s="133" t="n"/>
    </row>
    <row r="10">
      <c r="A10" s="134" t="inlineStr">
        <is>
          <t>บานเปิด</t>
        </is>
      </c>
      <c r="B10" s="136">
        <f>'คิดทุน บานเปิด'!D27</f>
        <v/>
      </c>
      <c r="C10" s="137">
        <f>'คิดทุน บานเปิด'!D39</f>
        <v/>
      </c>
      <c r="D10" s="138">
        <f>'คิดทุน บานเปิด'!D40</f>
        <v/>
      </c>
      <c r="E10" s="139">
        <f>'คิดทุน บานเปิด'!D41</f>
        <v/>
      </c>
    </row>
    <row r="11">
      <c r="A11" s="134" t="inlineStr">
        <is>
          <t>บานกระทุ้ง</t>
        </is>
      </c>
      <c r="B11" s="136">
        <f>'คิดทุน กระทุ้ง'!D33</f>
        <v/>
      </c>
      <c r="C11" s="137">
        <f>'คิดทุน กระทุ้ง'!D45</f>
        <v/>
      </c>
      <c r="D11" s="138">
        <f>'คิดทุน กระทุ้ง'!D46</f>
        <v/>
      </c>
      <c r="E11" s="139">
        <f>'คิดทุน กระทุ้ง'!D47</f>
        <v/>
      </c>
    </row>
    <row r="12">
      <c r="A12" s="134" t="inlineStr">
        <is>
          <t>บานยก</t>
        </is>
      </c>
      <c r="B12" s="136">
        <f>'คิดทุน บานยก'!D31</f>
        <v/>
      </c>
      <c r="C12" s="137">
        <f>'คิดทุน บานยก'!D43</f>
        <v/>
      </c>
      <c r="D12" s="138">
        <f>'คิดทุน บานยก'!D44</f>
        <v/>
      </c>
      <c r="E12" s="139">
        <f>'คิดทุน บานยก'!D45</f>
        <v/>
      </c>
    </row>
    <row r="13">
      <c r="A13" s="134" t="inlineStr">
        <is>
          <t>PC Door</t>
        </is>
      </c>
      <c r="B13" s="136">
        <f>'คิดทุน PC Door'!D35</f>
        <v/>
      </c>
      <c r="C13" s="137">
        <f>'คิดทุน PC Door'!D53</f>
        <v/>
      </c>
      <c r="D13" s="138">
        <f>'คิดทุน PC Door'!D54</f>
        <v/>
      </c>
      <c r="E13" s="139">
        <f>'คิดทุน PC Door'!D55</f>
        <v/>
      </c>
    </row>
    <row r="14">
      <c r="A14" s="134" t="inlineStr">
        <is>
          <t>Velora</t>
        </is>
      </c>
      <c r="B14" s="136">
        <f>'คิดทุน Velora'!D24</f>
        <v/>
      </c>
      <c r="C14" s="137">
        <f>'คิดทุน Velora'!D35</f>
        <v/>
      </c>
      <c r="D14" s="138">
        <f>'คิดทุน Velora'!D36</f>
        <v/>
      </c>
      <c r="E14" s="139">
        <f>'คิดทุน Velora'!D37</f>
        <v/>
      </c>
    </row>
    <row r="15">
      <c r="A15" s="132" t="inlineStr">
        <is>
          <t>▶ บานเฟี้ยม</t>
        </is>
      </c>
      <c r="B15" s="133" t="n"/>
      <c r="C15" s="133" t="n"/>
      <c r="D15" s="133" t="n"/>
      <c r="E15" s="133" t="n"/>
    </row>
    <row r="16">
      <c r="A16" s="134" t="inlineStr">
        <is>
          <t>เฟี้ยม sms</t>
        </is>
      </c>
      <c r="B16" s="136">
        <f>'คิดทุน เฟี้ยม'!D26</f>
        <v/>
      </c>
      <c r="C16" s="137">
        <f>'คิดทุน เฟี้ยม'!D67</f>
        <v/>
      </c>
      <c r="D16" s="138">
        <f>'คิดทุน เฟี้ยม'!D68</f>
        <v/>
      </c>
      <c r="E16" s="139">
        <f>'คิดทุน เฟี้ยม'!D69</f>
        <v/>
      </c>
    </row>
    <row r="17">
      <c r="A17" s="134" t="inlineStr">
        <is>
          <t>เฟี้ยมยูโร</t>
        </is>
      </c>
      <c r="B17" s="136">
        <f>'คิดทุน เฟี้ยมยูโร'!E39</f>
        <v/>
      </c>
      <c r="C17" s="137">
        <f>'คิดทุน เฟี้ยมยูโร'!E49</f>
        <v/>
      </c>
      <c r="D17" s="138">
        <f>'คิดทุน เฟี้ยมยูโร'!E50</f>
        <v/>
      </c>
      <c r="E17" s="139">
        <f>'คิดทุน เฟี้ยมยูโร'!E51</f>
        <v/>
      </c>
    </row>
    <row r="18">
      <c r="A18" s="132" t="inlineStr">
        <is>
          <t>▶ ติดตาย / ดัดโค้ง</t>
        </is>
      </c>
      <c r="B18" s="133" t="n"/>
      <c r="C18" s="133" t="n"/>
      <c r="D18" s="133" t="n"/>
      <c r="E18" s="133" t="n"/>
    </row>
    <row r="19">
      <c r="A19" s="134" t="inlineStr">
        <is>
          <t>ติดตาย</t>
        </is>
      </c>
      <c r="B19" s="136">
        <f>'คิดทุน ติดตาย'!D20</f>
        <v/>
      </c>
      <c r="C19" s="137">
        <f>'คิดทุน ติดตาย'!D28</f>
        <v/>
      </c>
      <c r="D19" s="138">
        <f>'คิดทุน ติดตาย'!D29</f>
        <v/>
      </c>
      <c r="E19" s="139">
        <f>'คิดทุน ติดตาย'!D30</f>
        <v/>
      </c>
    </row>
    <row r="20">
      <c r="A20" s="134" t="inlineStr">
        <is>
          <t>ตายดัดโค้ง</t>
        </is>
      </c>
      <c r="B20" s="136">
        <f>'คิดทุน ตายดัดโค้ง'!D15</f>
        <v/>
      </c>
      <c r="C20" s="137">
        <f>'คิดทุน ตายดัดโค้ง'!D23</f>
        <v/>
      </c>
      <c r="D20" s="138">
        <f>'คิดทุน ตายดัดโค้ง'!D24</f>
        <v/>
      </c>
      <c r="E20" s="139">
        <f>'คิดทุน ตายดัดโค้ง'!D25</f>
        <v/>
      </c>
    </row>
    <row r="21">
      <c r="A21" s="134" t="inlineStr">
        <is>
          <t>เปิดดัดโค้ง</t>
        </is>
      </c>
      <c r="B21" s="136">
        <f>'คิดทุน เปิดดัดโค้ง'!D20</f>
        <v/>
      </c>
      <c r="C21" s="137">
        <f>'คิดทุน เปิดดัดโค้ง'!D25</f>
        <v/>
      </c>
      <c r="D21" s="138">
        <f>'คิดทุน เปิดดัดโค้ง'!D26</f>
        <v/>
      </c>
      <c r="E21" s="139">
        <f>'คิดทุน เปิดดัดโค้ง'!D27</f>
        <v/>
      </c>
    </row>
    <row r="22">
      <c r="A22" s="132" t="inlineStr">
        <is>
          <t>▶ ระแนง / รั้ว</t>
        </is>
      </c>
      <c r="B22" s="133" t="n"/>
      <c r="C22" s="133" t="n"/>
      <c r="D22" s="133" t="n"/>
      <c r="E22" s="133" t="n"/>
    </row>
    <row r="23">
      <c r="A23" s="134" t="inlineStr">
        <is>
          <t>ระแนง</t>
        </is>
      </c>
      <c r="B23" s="136">
        <f>'คิดทุน ระแนง'!D20</f>
        <v/>
      </c>
      <c r="C23" s="137">
        <f>'คิดทุน ระแนง'!D23</f>
        <v/>
      </c>
      <c r="D23" s="138">
        <f>'คิดทุน ระแนง'!D23</f>
        <v/>
      </c>
      <c r="E23" s="139">
        <f>'คิดทุน ระแนง'!D24</f>
        <v/>
      </c>
    </row>
    <row r="24">
      <c r="A24" s="134" t="inlineStr">
        <is>
          <t>ระแนงสลับ</t>
        </is>
      </c>
      <c r="B24" s="136">
        <f>'คิดทุน ระแนงสลับ'!D31</f>
        <v/>
      </c>
      <c r="C24" s="137">
        <f>'คิดทุน ระแนงสลับ'!D34</f>
        <v/>
      </c>
      <c r="D24" s="138">
        <f>'คิดทุน ระแนงสลับ'!D35</f>
        <v/>
      </c>
      <c r="E24" s="139">
        <f>'คิดทุน ระแนงสลับ'!D36</f>
        <v/>
      </c>
    </row>
    <row r="25">
      <c r="A25" s="134" t="inlineStr">
        <is>
          <t>ประตูรั้ว</t>
        </is>
      </c>
      <c r="B25" s="136">
        <f>('คิดทุน ประตูรั้ว'!D36-'คิดทุน ประตูรั้ว'!D34-'คิดทุน ประตูรั้ว'!D35)</f>
        <v/>
      </c>
      <c r="C25" s="137">
        <f>ROUNDUP(('คิดทุน ประตูรั้ว'!D36-'คิดทุน ประตูรั้ว'!D35)*2/100,0)*100</f>
        <v/>
      </c>
      <c r="D25" s="138">
        <f>ROUNDUP('คิดทุน ประตูรั้ว'!D36*2/100,0)*100</f>
        <v/>
      </c>
      <c r="E25" s="139">
        <f>(C25-('คิดทุน ประตูรั้ว'!D36-'คิดทุน ประตูรั้ว'!D35))/('คิดทุน ประตูรั้ว'!D36-'คิดทุน ประตูรั้ว'!D35)</f>
        <v/>
      </c>
    </row>
    <row r="26">
      <c r="A26" s="387" t="inlineStr">
        <is>
          <t>บานเกล็ด 38.1</t>
        </is>
      </c>
      <c r="B26" s="388">
        <f>'คิดทุน บานเกล็ด'!D30</f>
        <v/>
      </c>
      <c r="C26" s="388">
        <f>'คิดทุน บานเกล็ด'!D34</f>
        <v/>
      </c>
      <c r="D26" s="388">
        <f>'คิดทุน บานเกล็ด'!D35</f>
        <v/>
      </c>
      <c r="E26" s="390">
        <f>'คิดทุน บานเกล็ด'!D36</f>
        <v/>
      </c>
    </row>
    <row r="27">
      <c r="A27" s="387" t="inlineStr">
        <is>
          <t>ระแนงหมุน</t>
        </is>
      </c>
      <c r="B27" s="387">
        <f>'คิดทุน ระแนงหมุน'!D23</f>
        <v/>
      </c>
      <c r="C27" s="387">
        <f>'คิดทุน ระแนงหมุน'!D25</f>
        <v/>
      </c>
      <c r="D27" s="387">
        <f>'คิดทุน ระแนงหมุน'!D25</f>
        <v/>
      </c>
    </row>
    <row r="28">
      <c r="A28" s="276" t="inlineStr">
        <is>
          <t>▶ หลังคา</t>
        </is>
      </c>
    </row>
    <row r="29">
      <c r="A29" s="387" t="inlineStr">
        <is>
          <t>หลังคา (รวม)</t>
        </is>
      </c>
      <c r="B29" s="387">
        <f>'คิดทุน หลังคา (รวม)'!D17</f>
        <v/>
      </c>
      <c r="C29" s="387">
        <f>'คิดทุน หลังคา (รวม)'!D20</f>
        <v/>
      </c>
      <c r="D29" s="387">
        <f>'คิดทุน หลังคา (รวม)'!D20</f>
        <v/>
      </c>
      <c r="E29" s="585">
        <f>IFERROR(('คิดทุน หลังคา (รวม)'!D20-'คิดทุน หลังคา (รวม)'!D18)/'คิดทุน หลังคา (รวม)'!D18,"")</f>
        <v/>
      </c>
    </row>
  </sheetData>
  <mergeCells count="1">
    <mergeCell ref="A1:E1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7030A0"/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.8" customWidth="1" style="129" min="1" max="1"/>
    <col width="10.7" customWidth="1" style="129" min="2" max="2"/>
    <col width="10.7" customWidth="1" style="129" min="3" max="3"/>
    <col width="10.7" customWidth="1" style="129" min="4" max="4"/>
    <col width="8.6" customWidth="1" style="129" min="7" max="7"/>
  </cols>
  <sheetData>
    <row r="1">
      <c r="A1" s="398" t="inlineStr">
        <is>
          <t>สรุปค่าแรงทุกบาน (บาท/บาน ตามขนาด default ในแต่ละชีท) — ลิงก์สด</t>
        </is>
      </c>
      <c r="E1" s="643" t="n"/>
      <c r="G1" s="753" t="inlineStr">
        <is>
          <t>🏠 สารบัญ</t>
        </is>
      </c>
      <c r="H1" s="754" t="n"/>
    </row>
    <row r="2">
      <c r="A2" s="392" t="inlineStr">
        <is>
          <t>แบบบาน</t>
        </is>
      </c>
      <c r="B2" s="392" t="inlineStr">
        <is>
          <t>ค่าแรงผลิต</t>
        </is>
      </c>
      <c r="C2" s="392" t="inlineStr">
        <is>
          <t>ค่าแรงติดตั้ง</t>
        </is>
      </c>
      <c r="D2" s="392" t="inlineStr">
        <is>
          <t>รวมค่าแรง</t>
        </is>
      </c>
    </row>
    <row r="3">
      <c r="A3" s="393" t="inlineStr">
        <is>
          <t>บานเลื่อน SMS</t>
        </is>
      </c>
      <c r="B3" s="399">
        <f>'คิดทุน SMS'!D43</f>
        <v/>
      </c>
      <c r="C3" s="399">
        <f>'คิดทุน SMS'!D44</f>
        <v/>
      </c>
      <c r="D3" s="399">
        <f>B3+IF(ISNUMBER(C3),C3,0)</f>
        <v/>
      </c>
    </row>
    <row r="4">
      <c r="A4" s="393" t="inlineStr">
        <is>
          <t>บานเลื่อน ยูโร</t>
        </is>
      </c>
      <c r="B4" s="399">
        <f>'คิดทุน ยูโร'!D43</f>
        <v/>
      </c>
      <c r="C4" s="399">
        <f>'คิดทุน ยูโร'!D44</f>
        <v/>
      </c>
      <c r="D4" s="399">
        <f>B4+IF(ISNUMBER(C4),C4,0)</f>
        <v/>
      </c>
    </row>
    <row r="5">
      <c r="A5" s="393" t="inlineStr">
        <is>
          <t>SlimLux</t>
        </is>
      </c>
      <c r="B5" s="399">
        <f>'คิดทุน SlimLux'!D40</f>
        <v/>
      </c>
      <c r="C5" s="399">
        <f>'คิดทุน SlimLux'!D41</f>
        <v/>
      </c>
      <c r="D5" s="399">
        <f>B5+IF(ISNUMBER(C5),C5,0)</f>
        <v/>
      </c>
    </row>
    <row r="6">
      <c r="A6" s="393" t="inlineStr">
        <is>
          <t>E-series</t>
        </is>
      </c>
      <c r="B6" s="399">
        <f>'คิดทุน E-series'!D36</f>
        <v/>
      </c>
      <c r="C6" s="399">
        <f>'คิดทุน E-series'!D37</f>
        <v/>
      </c>
      <c r="D6" s="399">
        <f>B6+IF(ISNUMBER(C6),C6,0)</f>
        <v/>
      </c>
    </row>
    <row r="7">
      <c r="A7" s="393" t="inlineStr">
        <is>
          <t>บานเปิด</t>
        </is>
      </c>
      <c r="B7" s="399">
        <f>'คิดทุน บานเปิด'!D36</f>
        <v/>
      </c>
      <c r="C7" s="399">
        <f>'คิดทุน บานเปิด'!D37</f>
        <v/>
      </c>
      <c r="D7" s="399">
        <f>B7+IF(ISNUMBER(C7),C7,0)</f>
        <v/>
      </c>
    </row>
    <row r="8">
      <c r="A8" s="393" t="inlineStr">
        <is>
          <t>บานกระทุ้ง</t>
        </is>
      </c>
      <c r="B8" s="399">
        <f>'คิดทุน กระทุ้ง'!D42</f>
        <v/>
      </c>
      <c r="C8" s="399">
        <f>'คิดทุน กระทุ้ง'!D43</f>
        <v/>
      </c>
      <c r="D8" s="399">
        <f>B8+IF(ISNUMBER(C8),C8,0)</f>
        <v/>
      </c>
    </row>
    <row r="9">
      <c r="A9" s="393" t="inlineStr">
        <is>
          <t>บานยก</t>
        </is>
      </c>
      <c r="B9" s="399">
        <f>'คิดทุน บานยก'!D40</f>
        <v/>
      </c>
      <c r="C9" s="399">
        <f>'คิดทุน บานยก'!D41</f>
        <v/>
      </c>
      <c r="D9" s="399">
        <f>B9+IF(ISNUMBER(C9),C9,0)</f>
        <v/>
      </c>
    </row>
    <row r="10">
      <c r="A10" s="393" t="inlineStr">
        <is>
          <t>PC Door</t>
        </is>
      </c>
      <c r="B10" s="399">
        <f>'คิดทุน PC Door'!D50</f>
        <v/>
      </c>
      <c r="C10" s="399">
        <f>'คิดทุน PC Door'!D51</f>
        <v/>
      </c>
      <c r="D10" s="399">
        <f>B10+IF(ISNUMBER(C10),C10,0)</f>
        <v/>
      </c>
    </row>
    <row r="11">
      <c r="A11" s="393" t="inlineStr">
        <is>
          <t>Velora</t>
        </is>
      </c>
      <c r="B11" s="399">
        <f>'คิดทุน Velora'!D32</f>
        <v/>
      </c>
      <c r="C11" s="399">
        <f>'คิดทุน Velora'!D33</f>
        <v/>
      </c>
      <c r="D11" s="399">
        <f>B11+IF(ISNUMBER(C11),C11,0)</f>
        <v/>
      </c>
    </row>
    <row r="12">
      <c r="A12" s="393" t="inlineStr">
        <is>
          <t>เฟี้ยม sms</t>
        </is>
      </c>
      <c r="B12" s="399">
        <f>'คิดทุน เฟี้ยม'!D64</f>
        <v/>
      </c>
      <c r="C12" s="399">
        <f>'คิดทุน เฟี้ยม'!D65</f>
        <v/>
      </c>
      <c r="D12" s="399">
        <f>B12+IF(ISNUMBER(C12),C12,0)</f>
        <v/>
      </c>
    </row>
    <row r="13">
      <c r="A13" s="393" t="inlineStr">
        <is>
          <t>เฟี้ยมยูโร</t>
        </is>
      </c>
      <c r="B13" s="399">
        <f>'คิดทุน เฟี้ยมยูโร'!E46</f>
        <v/>
      </c>
      <c r="C13" s="399">
        <f>'คิดทุน เฟี้ยมยูโร'!E47</f>
        <v/>
      </c>
      <c r="D13" s="399">
        <f>B13+IF(ISNUMBER(C13),C13,0)</f>
        <v/>
      </c>
    </row>
    <row r="14">
      <c r="A14" s="393" t="inlineStr">
        <is>
          <t>ติดตาย</t>
        </is>
      </c>
      <c r="B14" s="399">
        <f>'คิดทุน ติดตาย'!D26</f>
        <v/>
      </c>
      <c r="C14" s="399">
        <f>'คิดทุน ติดตาย'!D27</f>
        <v/>
      </c>
      <c r="D14" s="399">
        <f>B14+IF(ISNUMBER(C14),C14,0)</f>
        <v/>
      </c>
    </row>
    <row r="15">
      <c r="A15" s="393" t="inlineStr">
        <is>
          <t>ตายดัดโค้ง</t>
        </is>
      </c>
      <c r="B15" s="399">
        <f>'คิดทุน ตายดัดโค้ง'!D21</f>
        <v/>
      </c>
      <c r="C15" s="399">
        <f>'คิดทุน ตายดัดโค้ง'!D22</f>
        <v/>
      </c>
      <c r="D15" s="399">
        <f>B15+IF(ISNUMBER(C15),C15,0)</f>
        <v/>
      </c>
    </row>
    <row r="16">
      <c r="A16" s="393" t="inlineStr">
        <is>
          <t>เปิดดัดโค้ง</t>
        </is>
      </c>
      <c r="B16" s="399">
        <f>'คิดทุน เปิดดัดโค้ง'!D17</f>
        <v/>
      </c>
      <c r="C16" s="399">
        <f>'คิดทุน เปิดดัดโค้ง'!D18</f>
        <v/>
      </c>
      <c r="D16" s="399">
        <f>B16+IF(ISNUMBER(C16),C16,0)</f>
        <v/>
      </c>
    </row>
    <row r="17">
      <c r="A17" s="393" t="inlineStr">
        <is>
          <t>ระแนง 38.4</t>
        </is>
      </c>
      <c r="B17" s="399">
        <f>'คิดทุน ระแนง'!B10*'คิดทุน ระแนง'!E2</f>
        <v/>
      </c>
      <c r="C17" s="399">
        <f>'คิดทุน ระแนง'!B12*'คิดทุน ระแนง'!E2</f>
        <v/>
      </c>
      <c r="D17" s="399">
        <f>B17+IF(ISNUMBER(C17),C17,0)</f>
        <v/>
      </c>
    </row>
    <row r="18">
      <c r="A18" s="393" t="inlineStr">
        <is>
          <t>ระแนงสลับ</t>
        </is>
      </c>
      <c r="B18" s="399">
        <f>'คิดทุน ระแนงสลับ'!D32</f>
        <v/>
      </c>
      <c r="C18" s="399">
        <f>'คิดทุน ระแนงสลับ'!D33</f>
        <v/>
      </c>
      <c r="D18" s="399">
        <f>B18+IF(ISNUMBER(C18),C18,0)</f>
        <v/>
      </c>
    </row>
    <row r="19">
      <c r="A19" s="393" t="inlineStr">
        <is>
          <t>ประตูรั้ว</t>
        </is>
      </c>
      <c r="B19" s="399">
        <f>'คิดทุน ประตูรั้ว'!D48</f>
        <v/>
      </c>
      <c r="C19" s="399">
        <f>'คิดทุน ประตูรั้ว'!D49</f>
        <v/>
      </c>
      <c r="D19" s="399">
        <f>B19+IF(ISNUMBER(C19),C19,0)</f>
        <v/>
      </c>
    </row>
    <row r="20">
      <c r="A20" s="418" t="inlineStr">
        <is>
          <t>บานเกล็ด 38.1</t>
        </is>
      </c>
      <c r="B20" s="419">
        <f>'คิดทุน บานเกล็ด'!D32</f>
        <v/>
      </c>
      <c r="C20" s="419">
        <f>'คิดทุน บานเกล็ด'!D33</f>
        <v/>
      </c>
      <c r="D20" s="419">
        <f>B20+IF(ISNUMBER(C20),C20,0)</f>
        <v/>
      </c>
    </row>
    <row r="21">
      <c r="A21" s="276" t="inlineStr">
        <is>
          <t>หลังคา (รวม)</t>
        </is>
      </c>
      <c r="B21" s="389">
        <f>'คิดทุน หลังคา (รวม)'!D48</f>
        <v/>
      </c>
      <c r="C21" s="389">
        <f>'คิดทุน หลังคา (รวม)'!D49</f>
        <v/>
      </c>
      <c r="D21" s="389">
        <f>SUM(D3:D20)</f>
        <v/>
      </c>
    </row>
    <row r="22">
      <c r="A22" s="276" t="inlineStr">
        <is>
          <t>รวมทั้งหมด</t>
        </is>
      </c>
      <c r="B22" s="276">
        <f>SUM(B3:B21)</f>
        <v/>
      </c>
      <c r="C22" s="276">
        <f>SUM(C3:C21)</f>
        <v/>
      </c>
    </row>
  </sheetData>
  <mergeCells count="1">
    <mergeCell ref="A1:D1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7030A0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10.7" customWidth="1" style="129" min="2" max="2"/>
    <col width="18" customWidth="1" style="129" min="3" max="3"/>
    <col width="20.1" customWidth="1" style="129" min="4" max="4"/>
    <col width="18" customWidth="1" style="129" min="5" max="5"/>
    <col width="13.8" customWidth="1" style="129" min="6" max="6"/>
    <col width="8.6" customWidth="1" style="129" min="7" max="7"/>
  </cols>
  <sheetData>
    <row r="1">
      <c r="A1" s="522" t="inlineStr">
        <is>
          <t>สรุปถอดทุน — ทุกงาน  (ราคาขาย = ทุน×2 กำไร 100%)</t>
        </is>
      </c>
      <c r="G1" s="753" t="inlineStr">
        <is>
          <t>🏠 สารบัญ</t>
        </is>
      </c>
      <c r="H1" s="754" t="n"/>
    </row>
    <row r="3">
      <c r="B3" s="491" t="inlineStr">
        <is>
          <t>งาน</t>
        </is>
      </c>
      <c r="C3" s="491" t="inlineStr">
        <is>
          <t>ทุนรวม</t>
        </is>
      </c>
      <c r="D3" s="491" t="inlineStr">
        <is>
          <t>ราคาขาย (กำไร100%)</t>
        </is>
      </c>
      <c r="E3" s="491" t="inlineStr">
        <is>
          <t>กำไร</t>
        </is>
      </c>
      <c r="F3" s="491" t="inlineStr">
        <is>
          <t>R3.9 (อ้างอิง)</t>
        </is>
      </c>
    </row>
    <row r="4">
      <c r="B4" s="523" t="inlineStr">
        <is>
          <t>ฝ้ายิปซัม</t>
        </is>
      </c>
      <c r="C4" s="508">
        <f>'ฝ้ายิปซัม'!F23</f>
        <v/>
      </c>
      <c r="D4" s="503">
        <f>'ฝ้ายิปซัม'!F27</f>
        <v/>
      </c>
      <c r="E4" s="524">
        <f>'ฝ้ายิปซัม'!F27-'ฝ้ายิปซัม'!F23</f>
        <v/>
      </c>
      <c r="F4" s="525">
        <f>'ฝ้ายิปซัม'!F29</f>
        <v/>
      </c>
    </row>
    <row r="5">
      <c r="B5" s="523" t="inlineStr">
        <is>
          <t>งานไฟ</t>
        </is>
      </c>
      <c r="C5" s="508">
        <f>'งานไฟ'!F21</f>
        <v/>
      </c>
      <c r="D5" s="503">
        <f>'งานไฟ'!F25</f>
        <v/>
      </c>
      <c r="E5" s="524">
        <f>'งานไฟ'!F25-'งานไฟ'!F21</f>
        <v/>
      </c>
      <c r="F5" s="525" t="inlineStr">
        <is>
          <t>—</t>
        </is>
      </c>
    </row>
    <row r="6">
      <c r="B6" s="523" t="inlineStr">
        <is>
          <t>สมาร์ทบอร์ด</t>
        </is>
      </c>
      <c r="C6" s="508">
        <f>'สมาร์ทบอร์ด'!F22</f>
        <v/>
      </c>
      <c r="D6" s="503">
        <f>'สมาร์ทบอร์ด'!F27</f>
        <v/>
      </c>
      <c r="E6" s="524">
        <f>'สมาร์ทบอร์ด'!F27-'สมาร์ทบอร์ด'!F22</f>
        <v/>
      </c>
      <c r="F6" s="525">
        <f>'สมาร์ทบอร์ด'!F29</f>
        <v/>
      </c>
    </row>
    <row r="7">
      <c r="B7" s="523" t="inlineStr">
        <is>
          <t>ไอโซวอล</t>
        </is>
      </c>
      <c r="C7" s="508">
        <f>'ไอโซวอล'!F20</f>
        <v/>
      </c>
      <c r="D7" s="503">
        <f>'ไอโซวอล'!F25</f>
        <v/>
      </c>
      <c r="E7" s="524">
        <f>'ไอโซวอล'!F25-'ไอโซวอล'!F20</f>
        <v/>
      </c>
      <c r="F7" s="525">
        <f>'ไอโซวอล'!F27</f>
        <v/>
      </c>
    </row>
    <row r="8">
      <c r="B8" s="523" t="inlineStr">
        <is>
          <t>ฝ้าไม้เทียม</t>
        </is>
      </c>
      <c r="C8" s="508">
        <f>'คิดทุนฝ้าไม้เทียม'!F19</f>
        <v/>
      </c>
      <c r="D8" s="503">
        <f>'คิดทุนฝ้าไม้เทียม'!F20</f>
        <v/>
      </c>
      <c r="E8" s="524">
        <f>'คิดทุนฝ้าไม้เทียม'!F19</f>
        <v/>
      </c>
      <c r="F8" s="526" t="inlineStr">
        <is>
          <t>ข้อ 36</t>
        </is>
      </c>
    </row>
    <row r="9">
      <c r="B9" s="521" t="inlineStr">
        <is>
          <t>หมายเหตุ: ตัวเลขลิงก์สดจากแต่ละชีท · แก้ขนาด/ราคาในชีทงาน ตัวเลขสรุปอัปเดตตาม · คลิกชื่องานเพื่อไปชีท</t>
        </is>
      </c>
    </row>
  </sheetData>
  <mergeCells count="2">
    <mergeCell ref="A1:F1"/>
    <mergeCell ref="B9:F9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 filterMode="0">
    <tabColor rgb="00A6A6A6"/>
    <outlinePr summaryBelow="1" summaryRight="1"/>
    <pageSetUpPr fitToPage="0"/>
  </sheetPr>
  <dimension ref="A1:W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9.6" customWidth="1" style="140" min="1" max="1"/>
    <col width="8.6" customWidth="1" style="140" min="2" max="3"/>
    <col width="20.1" customWidth="1" style="129" min="3" max="3"/>
    <col width="4.5" customWidth="1" style="140" min="4" max="4"/>
    <col width="5.4" customWidth="1" style="140" min="5" max="5"/>
    <col width="18" customWidth="1" style="140" min="6" max="6"/>
    <col width="14.8" customWidth="1" style="140" min="7" max="7"/>
    <col width="10.7" customWidth="1" style="140" min="8" max="8"/>
    <col width="18" customWidth="1" style="140" min="9" max="9"/>
    <col width="9.6" customWidth="1" style="140" min="10" max="10"/>
    <col width="10.7" customWidth="1" style="129" min="13" max="13"/>
    <col width="10.7" customWidth="1" style="129" min="14" max="14"/>
    <col width="6.5" customWidth="1" style="129" min="15" max="15"/>
    <col width="9.6" customWidth="1" style="129" min="16" max="16"/>
    <col width="9.6" customWidth="1" style="129" min="17" max="17"/>
    <col width="10.7" customWidth="1" style="129" min="18" max="18"/>
    <col width="10.7" customWidth="1" style="129" min="19" max="19"/>
    <col width="9.6" customWidth="1" style="129" min="20" max="20"/>
    <col width="9.6" customWidth="1" style="129" min="21" max="21"/>
    <col width="9.6" customWidth="1" style="129" min="22" max="22"/>
    <col width="10.7" customWidth="1" style="129" min="23" max="23"/>
  </cols>
  <sheetData>
    <row r="1" ht="24" customHeight="1" s="129">
      <c r="A1" s="286" t="inlineStr">
        <is>
          <t>ราคาขายตามกำไรเป้าหมาย — บานเลื่อน SMS (สีขาว)</t>
        </is>
      </c>
      <c r="G1" s="753" t="inlineStr">
        <is>
          <t>🏠 สารบัญ</t>
        </is>
      </c>
      <c r="H1" s="754" t="n"/>
      <c r="K1" s="643" t="n"/>
    </row>
    <row r="2" ht="15" customHeight="1" s="129">
      <c r="A2" s="288" t="inlineStr">
        <is>
          <t>รางล่าง →</t>
        </is>
      </c>
      <c r="B2" s="301" t="inlineStr">
        <is>
          <t>ภายนอก</t>
        </is>
      </c>
      <c r="C2" s="288" t="inlineStr">
        <is>
          <t>บวกกำไร % (บนทุน) →</t>
        </is>
      </c>
      <c r="D2" s="302" t="n">
        <v>1</v>
      </c>
      <c r="E2" s="290" t="inlineStr">
        <is>
          <t>← ทุน×(1+กำไร%) ปัดขึ้นหลักร้อย เช่น 100%=ขาย 2 เท่าทุน · ภายนอก/ภายใน เลือก B2</t>
        </is>
      </c>
      <c r="F2" s="154" t="n"/>
      <c r="G2" s="154" t="n"/>
      <c r="H2" s="154" t="n"/>
      <c r="I2" s="154" t="n"/>
      <c r="J2" s="155" t="n"/>
      <c r="M2" s="176">
        <f>ราคาวัสดุกลาง!$E$13</f>
        <v/>
      </c>
      <c r="N2" s="176">
        <f>ราคาวัสดุกลาง!$E$14</f>
        <v/>
      </c>
      <c r="O2" s="176">
        <f>IF($B$2="ภายใน",ราคาวัสดุกลาง!$E$16,ราคาวัสดุกลาง!$E$15)</f>
        <v/>
      </c>
      <c r="P2" s="176">
        <f>ราคาวัสดุกลาง!$E$17</f>
        <v/>
      </c>
      <c r="Q2" s="176">
        <f>ราคาวัสดุกลาง!$E$18</f>
        <v/>
      </c>
      <c r="R2" s="176">
        <f>ราคาวัสดุกลาง!$E$19</f>
        <v/>
      </c>
      <c r="S2" s="176">
        <f>ราคาวัสดุกลาง!$E$20</f>
        <v/>
      </c>
      <c r="T2" s="176">
        <f>ราคาวัสดุกลาง!$E$21</f>
        <v/>
      </c>
      <c r="U2" s="176">
        <f>ราคาวัสดุกลาง!$E$22</f>
        <v/>
      </c>
      <c r="V2" s="176">
        <f>ราคาวัสดุกลาง!$E$23</f>
        <v/>
      </c>
    </row>
    <row r="3" ht="23.25" customHeight="1" s="129">
      <c r="A3" s="292" t="inlineStr">
        <is>
          <t>ช่วงพื้นที่</t>
        </is>
      </c>
      <c r="B3" s="292" t="inlineStr">
        <is>
          <t>กว้างซม.</t>
        </is>
      </c>
      <c r="C3" s="292" t="inlineStr">
        <is>
          <t>สูงซม.</t>
        </is>
      </c>
      <c r="D3" s="292" t="inlineStr">
        <is>
          <t>บาน</t>
        </is>
      </c>
      <c r="E3" s="292" t="inlineStr">
        <is>
          <t>พื้นที่</t>
        </is>
      </c>
      <c r="F3" s="292" t="inlineStr">
        <is>
          <t>ทุน/ตร.ม.</t>
        </is>
      </c>
      <c r="G3" s="292" t="inlineStr">
        <is>
          <t>ราคาขาย/ตร.ม.
(ทุน+กำไร%)</t>
        </is>
      </c>
      <c r="H3" s="292" t="inlineStr">
        <is>
          <t>ขายรวม/ชุด</t>
        </is>
      </c>
      <c r="I3" s="292" t="inlineStr">
        <is>
          <t>%กำไรจริง</t>
        </is>
      </c>
      <c r="J3" s="292" t="inlineStr">
        <is>
          <t>R3.9 เดิม
(อ้างอิง)</t>
        </is>
      </c>
    </row>
    <row r="4" ht="15" customHeight="1" s="129">
      <c r="A4" s="294" t="inlineStr">
        <is>
          <t>2.0–2.3</t>
        </is>
      </c>
      <c r="B4" s="303" t="n">
        <v>140</v>
      </c>
      <c r="C4" s="303" t="n">
        <v>150</v>
      </c>
      <c r="D4" s="303" t="n">
        <v>2</v>
      </c>
      <c r="E4" s="304">
        <f>(B4/100)*(C4/100)</f>
        <v/>
      </c>
      <c r="F4" s="305">
        <f>(W4+((B4/100)+(D4-1)*0.1)*(C4/100)*ราคาวัสดุกลาง!$B$26+ราคาวัสดุกลาง!$B$33)/E4</f>
        <v/>
      </c>
      <c r="G4" s="306">
        <f>ROUNDUP(F4*(1+$D$2)/100,0)*100</f>
        <v/>
      </c>
      <c r="H4" s="305">
        <f>E4*G4</f>
        <v/>
      </c>
      <c r="I4" s="307">
        <f>(G4-F4)/F4</f>
        <v/>
      </c>
      <c r="J4" s="308" t="n">
        <v>6500</v>
      </c>
      <c r="M4" s="183">
        <f>IF(FLOOR(ราคาวัสดุกลาง!$B$4/($B4/100),1)&lt;1,ROUNDUP(($B4/100)/ราคาวัสดุกลาง!$B$4,0)*(1),ROUNDUP((1)/FLOOR(ราคาวัสดุกลาง!$B$4/($B4/100),1),0))</f>
        <v/>
      </c>
      <c r="N4" s="183">
        <f>IF(FLOOR(ราคาวัสดุกลาง!$B$4/($C4/100),1)&lt;1,ROUNDUP(($C4/100)/ราคาวัสดุกลาง!$B$4,0)*(2),ROUNDUP((2)/FLOOR(ราคาวัสดุกลาง!$B$4/($C4/100),1),0))</f>
        <v/>
      </c>
      <c r="O4" s="183">
        <f>IF(FLOOR(ราคาวัสดุกลาง!$B$4/($B4/100),1)&lt;1,ROUNDUP(($B4/100)/ราคาวัสดุกลาง!$B$4,0)*(1),ROUNDUP((1)/FLOOR(ราคาวัสดุกลาง!$B$4/($B4/100),1),0))</f>
        <v/>
      </c>
      <c r="P4" s="183">
        <f>IF(FLOOR(ราคาวัสดุกลาง!$B$4/($C4/100),1)&lt;1,ROUNDUP(($C4/100)/ราคาวัสดุกลาง!$B$4,0)*(2),ROUNDUP((2)/FLOOR(ราคาวัสดุกลาง!$B$4/($C4/100),1),0))</f>
        <v/>
      </c>
      <c r="Q4" s="183">
        <f>IF(FLOOR(ราคาวัสดุกลาง!$B$4/($C4/100),1)&lt;1,ROUNDUP(($C4/100)/ราคาวัสดุกลาง!$B$4,0)*(IF($C4/100&gt;2.4,$D4-1,2*($D4-1))),ROUNDUP((IF($C4/100&gt;2.4,$D4-1,2*($D4-1)))/FLOOR(ราคาวัสดุกลาง!$B$4/($C4/100),1),0))</f>
        <v/>
      </c>
      <c r="R4" s="183">
        <f>IF(FLOOR(ราคาวัสดุกลาง!$B$4/($C4/100),1)&lt;1,ROUNDUP(($C4/100)/ราคาวัสดุกลาง!$B$4,0)*(IF($C4/100&gt;2.4,$D4-1,0)),ROUNDUP((IF($C4/100&gt;2.4,$D4-1,0))/FLOOR(ราคาวัสดุกลาง!$B$4/($C4/100),1),0))</f>
        <v/>
      </c>
      <c r="S4" s="183">
        <f>IF(FLOOR(ราคาวัสดุกลาง!$B$4/(($B4/100)/$D4),1)&lt;1,ROUNDUP((($B4/100)/$D4)/ราคาวัสดุกลาง!$B$4,0)*(2*$D4),ROUNDUP((2*$D4)/FLOOR(ราคาวัสดุกลาง!$B$4/(($B4/100)/$D4),1),0))</f>
        <v/>
      </c>
      <c r="T4" s="183">
        <f>IF(FLOOR(ราคาวัสดุกลาง!$B$4/($C4/100),1)&lt;1,ROUNDUP(($C4/100)/ราคาวัสดุกลาง!$B$4,0)*(4),ROUNDUP((4)/FLOOR(ราคาวัสดุกลาง!$B$4/($C4/100),1),0))</f>
        <v/>
      </c>
      <c r="U4" s="183">
        <f>IF(FLOOR(ราคาวัสดุกลาง!$B$4/($B4/100),1)&lt;1,ROUNDUP(($B4/100)/ราคาวัสดุกลาง!$B$4,0)*(IF($B$2="ภายใน",2,0)),ROUNDUP((IF($B$2="ภายใน",2,0))/FLOOR(ราคาวัสดุกลาง!$B$4/($B4/100),1),0))</f>
        <v/>
      </c>
      <c r="V4" s="183">
        <f>IF(FLOOR(ราคาวัสดุกลาง!$B$4/($B4/100),1)&lt;1,ROUNDUP(($B4/100)/ราคาวัสดุกลาง!$B$4,0)*(IF($B$2="ภายใน",0,$D4)),ROUNDUP((IF($B$2="ภายใน",0,$D4))/FLOOR(ราคาวัสดุกลาง!$B$4/($B4/100),1),0))</f>
        <v/>
      </c>
      <c r="W4" s="184">
        <f>SUMPRODUCT(M4:V4,M$2:V$2)</f>
        <v/>
      </c>
    </row>
    <row r="5" ht="15" customHeight="1" s="129">
      <c r="A5" s="294" t="inlineStr">
        <is>
          <t>2.3–3.5</t>
        </is>
      </c>
      <c r="B5" s="303" t="n">
        <v>150</v>
      </c>
      <c r="C5" s="303" t="n">
        <v>200</v>
      </c>
      <c r="D5" s="303" t="n">
        <v>2</v>
      </c>
      <c r="E5" s="304">
        <f>(B5/100)*(C5/100)</f>
        <v/>
      </c>
      <c r="F5" s="305">
        <f>(W5+((B5/100)+(D5-1)*0.1)*(C5/100)*ราคาวัสดุกลาง!$B$26+ราคาวัสดุกลาง!$B$33)/E5</f>
        <v/>
      </c>
      <c r="G5" s="306">
        <f>ROUNDUP(F5*(1+$D$2)/100,0)*100</f>
        <v/>
      </c>
      <c r="H5" s="305">
        <f>E5*G5</f>
        <v/>
      </c>
      <c r="I5" s="307">
        <f>(G5-F5)/F5</f>
        <v/>
      </c>
      <c r="J5" s="308" t="n">
        <v>6000</v>
      </c>
      <c r="M5" s="183">
        <f>IF(FLOOR(ราคาวัสดุกลาง!$B$4/($B5/100),1)&lt;1,ROUNDUP(($B5/100)/ราคาวัสดุกลาง!$B$4,0)*(1),ROUNDUP((1)/FLOOR(ราคาวัสดุกลาง!$B$4/($B5/100),1),0))</f>
        <v/>
      </c>
      <c r="N5" s="183">
        <f>IF(FLOOR(ราคาวัสดุกลาง!$B$4/($C5/100),1)&lt;1,ROUNDUP(($C5/100)/ราคาวัสดุกลาง!$B$4,0)*(2),ROUNDUP((2)/FLOOR(ราคาวัสดุกลาง!$B$4/($C5/100),1),0))</f>
        <v/>
      </c>
      <c r="O5" s="183">
        <f>IF(FLOOR(ราคาวัสดุกลาง!$B$4/($B5/100),1)&lt;1,ROUNDUP(($B5/100)/ราคาวัสดุกลาง!$B$4,0)*(1),ROUNDUP((1)/FLOOR(ราคาวัสดุกลาง!$B$4/($B5/100),1),0))</f>
        <v/>
      </c>
      <c r="P5" s="183">
        <f>IF(FLOOR(ราคาวัสดุกลาง!$B$4/($C5/100),1)&lt;1,ROUNDUP(($C5/100)/ราคาวัสดุกลาง!$B$4,0)*(2),ROUNDUP((2)/FLOOR(ราคาวัสดุกลาง!$B$4/($C5/100),1),0))</f>
        <v/>
      </c>
      <c r="Q5" s="183">
        <f>IF(FLOOR(ราคาวัสดุกลาง!$B$4/($C5/100),1)&lt;1,ROUNDUP(($C5/100)/ราคาวัสดุกลาง!$B$4,0)*(IF($C5/100&gt;2.4,$D5-1,2*($D5-1))),ROUNDUP((IF($C5/100&gt;2.4,$D5-1,2*($D5-1)))/FLOOR(ราคาวัสดุกลาง!$B$4/($C5/100),1),0))</f>
        <v/>
      </c>
      <c r="R5" s="183">
        <f>IF(FLOOR(ราคาวัสดุกลาง!$B$4/($C5/100),1)&lt;1,ROUNDUP(($C5/100)/ราคาวัสดุกลาง!$B$4,0)*(IF($C5/100&gt;2.4,$D5-1,0)),ROUNDUP((IF($C5/100&gt;2.4,$D5-1,0))/FLOOR(ราคาวัสดุกลาง!$B$4/($C5/100),1),0))</f>
        <v/>
      </c>
      <c r="S5" s="183">
        <f>IF(FLOOR(ราคาวัสดุกลาง!$B$4/(($B5/100)/$D5),1)&lt;1,ROUNDUP((($B5/100)/$D5)/ราคาวัสดุกลาง!$B$4,0)*(2*$D5),ROUNDUP((2*$D5)/FLOOR(ราคาวัสดุกลาง!$B$4/(($B5/100)/$D5),1),0))</f>
        <v/>
      </c>
      <c r="T5" s="183">
        <f>IF(FLOOR(ราคาวัสดุกลาง!$B$4/($C5/100),1)&lt;1,ROUNDUP(($C5/100)/ราคาวัสดุกลาง!$B$4,0)*(4),ROUNDUP((4)/FLOOR(ราคาวัสดุกลาง!$B$4/($C5/100),1),0))</f>
        <v/>
      </c>
      <c r="U5" s="183">
        <f>IF(FLOOR(ราคาวัสดุกลาง!$B$4/($B5/100),1)&lt;1,ROUNDUP(($B5/100)/ราคาวัสดุกลาง!$B$4,0)*(IF($B$2="ภายใน",2,0)),ROUNDUP((IF($B$2="ภายใน",2,0))/FLOOR(ราคาวัสดุกลาง!$B$4/($B5/100),1),0))</f>
        <v/>
      </c>
      <c r="V5" s="183">
        <f>IF(FLOOR(ราคาวัสดุกลาง!$B$4/($B5/100),1)&lt;1,ROUNDUP(($B5/100)/ราคาวัสดุกลาง!$B$4,0)*(IF($B$2="ภายใน",0,$D5)),ROUNDUP((IF($B$2="ภายใน",0,$D5))/FLOOR(ราคาวัสดุกลาง!$B$4/($B5/100),1),0))</f>
        <v/>
      </c>
      <c r="W5" s="184">
        <f>SUMPRODUCT(M5:V5,M$2:V$2)</f>
        <v/>
      </c>
    </row>
    <row r="6" ht="15" customHeight="1" s="129">
      <c r="A6" s="294" t="inlineStr">
        <is>
          <t>3.5–4.5</t>
        </is>
      </c>
      <c r="B6" s="303" t="n">
        <v>200</v>
      </c>
      <c r="C6" s="303" t="n">
        <v>200</v>
      </c>
      <c r="D6" s="303" t="n">
        <v>2</v>
      </c>
      <c r="E6" s="304">
        <f>(B6/100)*(C6/100)</f>
        <v/>
      </c>
      <c r="F6" s="305">
        <f>(W6+((B6/100)+(D6-1)*0.1)*(C6/100)*ราคาวัสดุกลาง!$B$26+ราคาวัสดุกลาง!$B$33)/E6</f>
        <v/>
      </c>
      <c r="G6" s="306">
        <f>ROUNDUP(F6*(1+$D$2)/100,0)*100</f>
        <v/>
      </c>
      <c r="H6" s="305">
        <f>E6*G6</f>
        <v/>
      </c>
      <c r="I6" s="307">
        <f>(G6-F6)/F6</f>
        <v/>
      </c>
      <c r="J6" s="308" t="n">
        <v>5700</v>
      </c>
      <c r="M6" s="183">
        <f>IF(FLOOR(ราคาวัสดุกลาง!$B$4/($B6/100),1)&lt;1,ROUNDUP(($B6/100)/ราคาวัสดุกลาง!$B$4,0)*(1),ROUNDUP((1)/FLOOR(ราคาวัสดุกลาง!$B$4/($B6/100),1),0))</f>
        <v/>
      </c>
      <c r="N6" s="183">
        <f>IF(FLOOR(ราคาวัสดุกลาง!$B$4/($C6/100),1)&lt;1,ROUNDUP(($C6/100)/ราคาวัสดุกลาง!$B$4,0)*(2),ROUNDUP((2)/FLOOR(ราคาวัสดุกลาง!$B$4/($C6/100),1),0))</f>
        <v/>
      </c>
      <c r="O6" s="183">
        <f>IF(FLOOR(ราคาวัสดุกลาง!$B$4/($B6/100),1)&lt;1,ROUNDUP(($B6/100)/ราคาวัสดุกลาง!$B$4,0)*(1),ROUNDUP((1)/FLOOR(ราคาวัสดุกลาง!$B$4/($B6/100),1),0))</f>
        <v/>
      </c>
      <c r="P6" s="183">
        <f>IF(FLOOR(ราคาวัสดุกลาง!$B$4/($C6/100),1)&lt;1,ROUNDUP(($C6/100)/ราคาวัสดุกลาง!$B$4,0)*(2),ROUNDUP((2)/FLOOR(ราคาวัสดุกลาง!$B$4/($C6/100),1),0))</f>
        <v/>
      </c>
      <c r="Q6" s="183">
        <f>IF(FLOOR(ราคาวัสดุกลาง!$B$4/($C6/100),1)&lt;1,ROUNDUP(($C6/100)/ราคาวัสดุกลาง!$B$4,0)*(IF($C6/100&gt;2.4,$D6-1,2*($D6-1))),ROUNDUP((IF($C6/100&gt;2.4,$D6-1,2*($D6-1)))/FLOOR(ราคาวัสดุกลาง!$B$4/($C6/100),1),0))</f>
        <v/>
      </c>
      <c r="R6" s="183">
        <f>IF(FLOOR(ราคาวัสดุกลาง!$B$4/($C6/100),1)&lt;1,ROUNDUP(($C6/100)/ราคาวัสดุกลาง!$B$4,0)*(IF($C6/100&gt;2.4,$D6-1,0)),ROUNDUP((IF($C6/100&gt;2.4,$D6-1,0))/FLOOR(ราคาวัสดุกลาง!$B$4/($C6/100),1),0))</f>
        <v/>
      </c>
      <c r="S6" s="183">
        <f>IF(FLOOR(ราคาวัสดุกลาง!$B$4/(($B6/100)/$D6),1)&lt;1,ROUNDUP((($B6/100)/$D6)/ราคาวัสดุกลาง!$B$4,0)*(2*$D6),ROUNDUP((2*$D6)/FLOOR(ราคาวัสดุกลาง!$B$4/(($B6/100)/$D6),1),0))</f>
        <v/>
      </c>
      <c r="T6" s="183">
        <f>IF(FLOOR(ราคาวัสดุกลาง!$B$4/($C6/100),1)&lt;1,ROUNDUP(($C6/100)/ราคาวัสดุกลาง!$B$4,0)*(4),ROUNDUP((4)/FLOOR(ราคาวัสดุกลาง!$B$4/($C6/100),1),0))</f>
        <v/>
      </c>
      <c r="U6" s="183">
        <f>IF(FLOOR(ราคาวัสดุกลาง!$B$4/($B6/100),1)&lt;1,ROUNDUP(($B6/100)/ราคาวัสดุกลาง!$B$4,0)*(IF($B$2="ภายใน",2,0)),ROUNDUP((IF($B$2="ภายใน",2,0))/FLOOR(ราคาวัสดุกลาง!$B$4/($B6/100),1),0))</f>
        <v/>
      </c>
      <c r="V6" s="183">
        <f>IF(FLOOR(ราคาวัสดุกลาง!$B$4/($B6/100),1)&lt;1,ROUNDUP(($B6/100)/ราคาวัสดุกลาง!$B$4,0)*(IF($B$2="ภายใน",0,$D6)),ROUNDUP((IF($B$2="ภายใน",0,$D6))/FLOOR(ราคาวัสดุกลาง!$B$4/($B6/100),1),0))</f>
        <v/>
      </c>
      <c r="W6" s="184">
        <f>SUMPRODUCT(M6:V6,M$2:V$2)</f>
        <v/>
      </c>
    </row>
    <row r="7" ht="15" customHeight="1" s="129">
      <c r="A7" s="294" t="inlineStr">
        <is>
          <t>4.5–5.0</t>
        </is>
      </c>
      <c r="B7" s="303" t="n">
        <v>240</v>
      </c>
      <c r="C7" s="303" t="n">
        <v>200</v>
      </c>
      <c r="D7" s="303" t="n">
        <v>2</v>
      </c>
      <c r="E7" s="304">
        <f>(B7/100)*(C7/100)</f>
        <v/>
      </c>
      <c r="F7" s="305">
        <f>(W7+((B7/100)+(D7-1)*0.1)*(C7/100)*ราคาวัสดุกลาง!$B$26+ราคาวัสดุกลาง!$B$33)/E7</f>
        <v/>
      </c>
      <c r="G7" s="306">
        <f>ROUNDUP(F7*(1+$D$2)/100,0)*100</f>
        <v/>
      </c>
      <c r="H7" s="305">
        <f>E7*G7</f>
        <v/>
      </c>
      <c r="I7" s="307">
        <f>(G7-F7)/F7</f>
        <v/>
      </c>
      <c r="J7" s="308" t="n">
        <v>5000</v>
      </c>
      <c r="M7" s="183">
        <f>IF(FLOOR(ราคาวัสดุกลาง!$B$4/($B7/100),1)&lt;1,ROUNDUP(($B7/100)/ราคาวัสดุกลาง!$B$4,0)*(1),ROUNDUP((1)/FLOOR(ราคาวัสดุกลาง!$B$4/($B7/100),1),0))</f>
        <v/>
      </c>
      <c r="N7" s="183">
        <f>IF(FLOOR(ราคาวัสดุกลาง!$B$4/($C7/100),1)&lt;1,ROUNDUP(($C7/100)/ราคาวัสดุกลาง!$B$4,0)*(2),ROUNDUP((2)/FLOOR(ราคาวัสดุกลาง!$B$4/($C7/100),1),0))</f>
        <v/>
      </c>
      <c r="O7" s="183">
        <f>IF(FLOOR(ราคาวัสดุกลาง!$B$4/($B7/100),1)&lt;1,ROUNDUP(($B7/100)/ราคาวัสดุกลาง!$B$4,0)*(1),ROUNDUP((1)/FLOOR(ราคาวัสดุกลาง!$B$4/($B7/100),1),0))</f>
        <v/>
      </c>
      <c r="P7" s="183">
        <f>IF(FLOOR(ราคาวัสดุกลาง!$B$4/($C7/100),1)&lt;1,ROUNDUP(($C7/100)/ราคาวัสดุกลาง!$B$4,0)*(2),ROUNDUP((2)/FLOOR(ราคาวัสดุกลาง!$B$4/($C7/100),1),0))</f>
        <v/>
      </c>
      <c r="Q7" s="183">
        <f>IF(FLOOR(ราคาวัสดุกลาง!$B$4/($C7/100),1)&lt;1,ROUNDUP(($C7/100)/ราคาวัสดุกลาง!$B$4,0)*(IF($C7/100&gt;2.4,$D7-1,2*($D7-1))),ROUNDUP((IF($C7/100&gt;2.4,$D7-1,2*($D7-1)))/FLOOR(ราคาวัสดุกลาง!$B$4/($C7/100),1),0))</f>
        <v/>
      </c>
      <c r="R7" s="183">
        <f>IF(FLOOR(ราคาวัสดุกลาง!$B$4/($C7/100),1)&lt;1,ROUNDUP(($C7/100)/ราคาวัสดุกลาง!$B$4,0)*(IF($C7/100&gt;2.4,$D7-1,0)),ROUNDUP((IF($C7/100&gt;2.4,$D7-1,0))/FLOOR(ราคาวัสดุกลาง!$B$4/($C7/100),1),0))</f>
        <v/>
      </c>
      <c r="S7" s="183">
        <f>IF(FLOOR(ราคาวัสดุกลาง!$B$4/(($B7/100)/$D7),1)&lt;1,ROUNDUP((($B7/100)/$D7)/ราคาวัสดุกลาง!$B$4,0)*(2*$D7),ROUNDUP((2*$D7)/FLOOR(ราคาวัสดุกลาง!$B$4/(($B7/100)/$D7),1),0))</f>
        <v/>
      </c>
      <c r="T7" s="183">
        <f>IF(FLOOR(ราคาวัสดุกลาง!$B$4/($C7/100),1)&lt;1,ROUNDUP(($C7/100)/ราคาวัสดุกลาง!$B$4,0)*(4),ROUNDUP((4)/FLOOR(ราคาวัสดุกลาง!$B$4/($C7/100),1),0))</f>
        <v/>
      </c>
      <c r="U7" s="183">
        <f>IF(FLOOR(ราคาวัสดุกลาง!$B$4/($B7/100),1)&lt;1,ROUNDUP(($B7/100)/ราคาวัสดุกลาง!$B$4,0)*(IF($B$2="ภายใน",2,0)),ROUNDUP((IF($B$2="ภายใน",2,0))/FLOOR(ราคาวัสดุกลาง!$B$4/($B7/100),1),0))</f>
        <v/>
      </c>
      <c r="V7" s="183">
        <f>IF(FLOOR(ราคาวัสดุกลาง!$B$4/($B7/100),1)&lt;1,ROUNDUP(($B7/100)/ราคาวัสดุกลาง!$B$4,0)*(IF($B$2="ภายใน",0,$D7)),ROUNDUP((IF($B$2="ภายใน",0,$D7))/FLOOR(ราคาวัสดุกลาง!$B$4/($B7/100),1),0))</f>
        <v/>
      </c>
      <c r="W7" s="184">
        <f>SUMPRODUCT(M7:V7,M$2:V$2)</f>
        <v/>
      </c>
    </row>
    <row r="8" ht="15" customHeight="1" s="129">
      <c r="A8" s="294" t="inlineStr">
        <is>
          <t>5.0–7.0</t>
        </is>
      </c>
      <c r="B8" s="303" t="n">
        <v>200</v>
      </c>
      <c r="C8" s="303" t="n">
        <v>300</v>
      </c>
      <c r="D8" s="303" t="n">
        <v>3</v>
      </c>
      <c r="E8" s="304">
        <f>(B8/100)*(C8/100)</f>
        <v/>
      </c>
      <c r="F8" s="305">
        <f>(W8+((B8/100)+(D8-1)*0.1)*(C8/100)*ราคาวัสดุกลาง!$B$26+ราคาวัสดุกลาง!$B$33)/E8</f>
        <v/>
      </c>
      <c r="G8" s="306">
        <f>ROUNDUP(F8*(1+$D$2)/100,0)*100</f>
        <v/>
      </c>
      <c r="H8" s="305">
        <f>E8*G8</f>
        <v/>
      </c>
      <c r="I8" s="307">
        <f>(G8-F8)/F8</f>
        <v/>
      </c>
      <c r="J8" s="308" t="n">
        <v>4700</v>
      </c>
      <c r="M8" s="183">
        <f>IF(FLOOR(ราคาวัสดุกลาง!$B$4/($B8/100),1)&lt;1,ROUNDUP(($B8/100)/ราคาวัสดุกลาง!$B$4,0)*(1),ROUNDUP((1)/FLOOR(ราคาวัสดุกลาง!$B$4/($B8/100),1),0))</f>
        <v/>
      </c>
      <c r="N8" s="183">
        <f>IF(FLOOR(ราคาวัสดุกลาง!$B$4/($C8/100),1)&lt;1,ROUNDUP(($C8/100)/ราคาวัสดุกลาง!$B$4,0)*(2),ROUNDUP((2)/FLOOR(ราคาวัสดุกลาง!$B$4/($C8/100),1),0))</f>
        <v/>
      </c>
      <c r="O8" s="183">
        <f>IF(FLOOR(ราคาวัสดุกลาง!$B$4/($B8/100),1)&lt;1,ROUNDUP(($B8/100)/ราคาวัสดุกลาง!$B$4,0)*(1),ROUNDUP((1)/FLOOR(ราคาวัสดุกลาง!$B$4/($B8/100),1),0))</f>
        <v/>
      </c>
      <c r="P8" s="183">
        <f>IF(FLOOR(ราคาวัสดุกลาง!$B$4/($C8/100),1)&lt;1,ROUNDUP(($C8/100)/ราคาวัสดุกลาง!$B$4,0)*(2),ROUNDUP((2)/FLOOR(ราคาวัสดุกลาง!$B$4/($C8/100),1),0))</f>
        <v/>
      </c>
      <c r="Q8" s="183">
        <f>IF(FLOOR(ราคาวัสดุกลาง!$B$4/($C8/100),1)&lt;1,ROUNDUP(($C8/100)/ราคาวัสดุกลาง!$B$4,0)*(IF($C8/100&gt;2.4,$D8-1,2*($D8-1))),ROUNDUP((IF($C8/100&gt;2.4,$D8-1,2*($D8-1)))/FLOOR(ราคาวัสดุกลาง!$B$4/($C8/100),1),0))</f>
        <v/>
      </c>
      <c r="R8" s="183">
        <f>IF(FLOOR(ราคาวัสดุกลาง!$B$4/($C8/100),1)&lt;1,ROUNDUP(($C8/100)/ราคาวัสดุกลาง!$B$4,0)*(IF($C8/100&gt;2.4,$D8-1,0)),ROUNDUP((IF($C8/100&gt;2.4,$D8-1,0))/FLOOR(ราคาวัสดุกลาง!$B$4/($C8/100),1),0))</f>
        <v/>
      </c>
      <c r="S8" s="183">
        <f>IF(FLOOR(ราคาวัสดุกลาง!$B$4/(($B8/100)/$D8),1)&lt;1,ROUNDUP((($B8/100)/$D8)/ราคาวัสดุกลาง!$B$4,0)*(2*$D8),ROUNDUP((2*$D8)/FLOOR(ราคาวัสดุกลาง!$B$4/(($B8/100)/$D8),1),0))</f>
        <v/>
      </c>
      <c r="T8" s="183">
        <f>IF(FLOOR(ราคาวัสดุกลาง!$B$4/($C8/100),1)&lt;1,ROUNDUP(($C8/100)/ราคาวัสดุกลาง!$B$4,0)*(4),ROUNDUP((4)/FLOOR(ราคาวัสดุกลาง!$B$4/($C8/100),1),0))</f>
        <v/>
      </c>
      <c r="U8" s="183">
        <f>IF(FLOOR(ราคาวัสดุกลาง!$B$4/($B8/100),1)&lt;1,ROUNDUP(($B8/100)/ราคาวัสดุกลาง!$B$4,0)*(IF($B$2="ภายใน",2,0)),ROUNDUP((IF($B$2="ภายใน",2,0))/FLOOR(ราคาวัสดุกลาง!$B$4/($B8/100),1),0))</f>
        <v/>
      </c>
      <c r="V8" s="183">
        <f>IF(FLOOR(ราคาวัสดุกลาง!$B$4/($B8/100),1)&lt;1,ROUNDUP(($B8/100)/ราคาวัสดุกลาง!$B$4,0)*(IF($B$2="ภายใน",0,$D8)),ROUNDUP((IF($B$2="ภายใน",0,$D8))/FLOOR(ราคาวัสดุกลาง!$B$4/($B8/100),1),0))</f>
        <v/>
      </c>
      <c r="W8" s="184">
        <f>SUMPRODUCT(M8:V8,M$2:V$2)</f>
        <v/>
      </c>
    </row>
    <row r="9" ht="15" customHeight="1" s="129">
      <c r="A9" s="294" t="inlineStr">
        <is>
          <t>7.0–9.0</t>
        </is>
      </c>
      <c r="B9" s="303" t="n">
        <v>270</v>
      </c>
      <c r="C9" s="303" t="n">
        <v>300</v>
      </c>
      <c r="D9" s="303" t="n">
        <v>3</v>
      </c>
      <c r="E9" s="304">
        <f>(B9/100)*(C9/100)</f>
        <v/>
      </c>
      <c r="F9" s="305">
        <f>(W9+((B9/100)+(D9-1)*0.1)*(C9/100)*ราคาวัสดุกลาง!$B$26+ราคาวัสดุกลาง!$B$33)/E9</f>
        <v/>
      </c>
      <c r="G9" s="306">
        <f>ROUNDUP(F9*(1+$D$2)/100,0)*100</f>
        <v/>
      </c>
      <c r="H9" s="305">
        <f>E9*G9</f>
        <v/>
      </c>
      <c r="I9" s="307">
        <f>(G9-F9)/F9</f>
        <v/>
      </c>
      <c r="J9" s="308" t="n">
        <v>4400</v>
      </c>
      <c r="M9" s="183">
        <f>IF(FLOOR(ราคาวัสดุกลาง!$B$4/($B9/100),1)&lt;1,ROUNDUP(($B9/100)/ราคาวัสดุกลาง!$B$4,0)*(1),ROUNDUP((1)/FLOOR(ราคาวัสดุกลาง!$B$4/($B9/100),1),0))</f>
        <v/>
      </c>
      <c r="N9" s="183">
        <f>IF(FLOOR(ราคาวัสดุกลาง!$B$4/($C9/100),1)&lt;1,ROUNDUP(($C9/100)/ราคาวัสดุกลาง!$B$4,0)*(2),ROUNDUP((2)/FLOOR(ราคาวัสดุกลาง!$B$4/($C9/100),1),0))</f>
        <v/>
      </c>
      <c r="O9" s="183">
        <f>IF(FLOOR(ราคาวัสดุกลาง!$B$4/($B9/100),1)&lt;1,ROUNDUP(($B9/100)/ราคาวัสดุกลาง!$B$4,0)*(1),ROUNDUP((1)/FLOOR(ราคาวัสดุกลาง!$B$4/($B9/100),1),0))</f>
        <v/>
      </c>
      <c r="P9" s="183">
        <f>IF(FLOOR(ราคาวัสดุกลาง!$B$4/($C9/100),1)&lt;1,ROUNDUP(($C9/100)/ราคาวัสดุกลาง!$B$4,0)*(2),ROUNDUP((2)/FLOOR(ราคาวัสดุกลาง!$B$4/($C9/100),1),0))</f>
        <v/>
      </c>
      <c r="Q9" s="183">
        <f>IF(FLOOR(ราคาวัสดุกลาง!$B$4/($C9/100),1)&lt;1,ROUNDUP(($C9/100)/ราคาวัสดุกลาง!$B$4,0)*(IF($C9/100&gt;2.4,$D9-1,2*($D9-1))),ROUNDUP((IF($C9/100&gt;2.4,$D9-1,2*($D9-1)))/FLOOR(ราคาวัสดุกลาง!$B$4/($C9/100),1),0))</f>
        <v/>
      </c>
      <c r="R9" s="183">
        <f>IF(FLOOR(ราคาวัสดุกลาง!$B$4/($C9/100),1)&lt;1,ROUNDUP(($C9/100)/ราคาวัสดุกลาง!$B$4,0)*(IF($C9/100&gt;2.4,$D9-1,0)),ROUNDUP((IF($C9/100&gt;2.4,$D9-1,0))/FLOOR(ราคาวัสดุกลาง!$B$4/($C9/100),1),0))</f>
        <v/>
      </c>
      <c r="S9" s="183">
        <f>IF(FLOOR(ราคาวัสดุกลาง!$B$4/(($B9/100)/$D9),1)&lt;1,ROUNDUP((($B9/100)/$D9)/ราคาวัสดุกลาง!$B$4,0)*(2*$D9),ROUNDUP((2*$D9)/FLOOR(ราคาวัสดุกลาง!$B$4/(($B9/100)/$D9),1),0))</f>
        <v/>
      </c>
      <c r="T9" s="183">
        <f>IF(FLOOR(ราคาวัสดุกลาง!$B$4/($C9/100),1)&lt;1,ROUNDUP(($C9/100)/ราคาวัสดุกลาง!$B$4,0)*(4),ROUNDUP((4)/FLOOR(ราคาวัสดุกลาง!$B$4/($C9/100),1),0))</f>
        <v/>
      </c>
      <c r="U9" s="183">
        <f>IF(FLOOR(ราคาวัสดุกลาง!$B$4/($B9/100),1)&lt;1,ROUNDUP(($B9/100)/ราคาวัสดุกลาง!$B$4,0)*(IF($B$2="ภายใน",2,0)),ROUNDUP((IF($B$2="ภายใน",2,0))/FLOOR(ราคาวัสดุกลาง!$B$4/($B9/100),1),0))</f>
        <v/>
      </c>
      <c r="V9" s="183">
        <f>IF(FLOOR(ราคาวัสดุกลาง!$B$4/($B9/100),1)&lt;1,ROUNDUP(($B9/100)/ราคาวัสดุกลาง!$B$4,0)*(IF($B$2="ภายใน",0,$D9)),ROUNDUP((IF($B$2="ภายใน",0,$D9))/FLOOR(ราคาวัสดุกลาง!$B$4/($B9/100),1),0))</f>
        <v/>
      </c>
      <c r="W9" s="184">
        <f>SUMPRODUCT(M9:V9,M$2:V$2)</f>
        <v/>
      </c>
    </row>
    <row r="10" ht="15" customHeight="1" s="129">
      <c r="A10" s="294" t="inlineStr">
        <is>
          <t>9.0–12</t>
        </is>
      </c>
      <c r="B10" s="303" t="n">
        <v>390</v>
      </c>
      <c r="C10" s="303" t="n">
        <v>300</v>
      </c>
      <c r="D10" s="303" t="n">
        <v>3</v>
      </c>
      <c r="E10" s="304">
        <f>(B10/100)*(C10/100)</f>
        <v/>
      </c>
      <c r="F10" s="305">
        <f>(W10+((B10/100)+(D10-1)*0.1)*(C10/100)*ราคาวัสดุกลาง!$B$26+ราคาวัสดุกลาง!$B$33)/E10</f>
        <v/>
      </c>
      <c r="G10" s="306">
        <f>ROUNDUP(F10*(1+$D$2)/100,0)*100</f>
        <v/>
      </c>
      <c r="H10" s="305">
        <f>E10*G10</f>
        <v/>
      </c>
      <c r="I10" s="307">
        <f>(G10-F10)/F10</f>
        <v/>
      </c>
      <c r="J10" s="308" t="n">
        <v>4200</v>
      </c>
      <c r="M10" s="183">
        <f>IF(FLOOR(ราคาวัสดุกลาง!$B$4/($B10/100),1)&lt;1,ROUNDUP(($B10/100)/ราคาวัสดุกลาง!$B$4,0)*(1),ROUNDUP((1)/FLOOR(ราคาวัสดุกลาง!$B$4/($B10/100),1),0))</f>
        <v/>
      </c>
      <c r="N10" s="183">
        <f>IF(FLOOR(ราคาวัสดุกลาง!$B$4/($C10/100),1)&lt;1,ROUNDUP(($C10/100)/ราคาวัสดุกลาง!$B$4,0)*(2),ROUNDUP((2)/FLOOR(ราคาวัสดุกลาง!$B$4/($C10/100),1),0))</f>
        <v/>
      </c>
      <c r="O10" s="183">
        <f>IF(FLOOR(ราคาวัสดุกลาง!$B$4/($B10/100),1)&lt;1,ROUNDUP(($B10/100)/ราคาวัสดุกลาง!$B$4,0)*(1),ROUNDUP((1)/FLOOR(ราคาวัสดุกลาง!$B$4/($B10/100),1),0))</f>
        <v/>
      </c>
      <c r="P10" s="183">
        <f>IF(FLOOR(ราคาวัสดุกลาง!$B$4/($C10/100),1)&lt;1,ROUNDUP(($C10/100)/ราคาวัสดุกลาง!$B$4,0)*(2),ROUNDUP((2)/FLOOR(ราคาวัสดุกลาง!$B$4/($C10/100),1),0))</f>
        <v/>
      </c>
      <c r="Q10" s="183">
        <f>IF(FLOOR(ราคาวัสดุกลาง!$B$4/($C10/100),1)&lt;1,ROUNDUP(($C10/100)/ราคาวัสดุกลาง!$B$4,0)*(IF($C10/100&gt;2.4,$D10-1,2*($D10-1))),ROUNDUP((IF($C10/100&gt;2.4,$D10-1,2*($D10-1)))/FLOOR(ราคาวัสดุกลาง!$B$4/($C10/100),1),0))</f>
        <v/>
      </c>
      <c r="R10" s="183">
        <f>IF(FLOOR(ราคาวัสดุกลาง!$B$4/($C10/100),1)&lt;1,ROUNDUP(($C10/100)/ราคาวัสดุกลาง!$B$4,0)*(IF($C10/100&gt;2.4,$D10-1,0)),ROUNDUP((IF($C10/100&gt;2.4,$D10-1,0))/FLOOR(ราคาวัสดุกลาง!$B$4/($C10/100),1),0))</f>
        <v/>
      </c>
      <c r="S10" s="183">
        <f>IF(FLOOR(ราคาวัสดุกลาง!$B$4/(($B10/100)/$D10),1)&lt;1,ROUNDUP((($B10/100)/$D10)/ราคาวัสดุกลาง!$B$4,0)*(2*$D10),ROUNDUP((2*$D10)/FLOOR(ราคาวัสดุกลาง!$B$4/(($B10/100)/$D10),1),0))</f>
        <v/>
      </c>
      <c r="T10" s="183">
        <f>IF(FLOOR(ราคาวัสดุกลาง!$B$4/($C10/100),1)&lt;1,ROUNDUP(($C10/100)/ราคาวัสดุกลาง!$B$4,0)*(4),ROUNDUP((4)/FLOOR(ราคาวัสดุกลาง!$B$4/($C10/100),1),0))</f>
        <v/>
      </c>
      <c r="U10" s="183">
        <f>IF(FLOOR(ราคาวัสดุกลาง!$B$4/($B10/100),1)&lt;1,ROUNDUP(($B10/100)/ราคาวัสดุกลาง!$B$4,0)*(IF($B$2="ภายใน",2,0)),ROUNDUP((IF($B$2="ภายใน",2,0))/FLOOR(ราคาวัสดุกลาง!$B$4/($B10/100),1),0))</f>
        <v/>
      </c>
      <c r="V10" s="183">
        <f>IF(FLOOR(ราคาวัสดุกลาง!$B$4/($B10/100),1)&lt;1,ROUNDUP(($B10/100)/ราคาวัสดุกลาง!$B$4,0)*(IF($B$2="ภายใน",0,$D10)),ROUNDUP((IF($B$2="ภายใน",0,$D10))/FLOOR(ราคาวัสดุกลาง!$B$4/($B10/100),1),0))</f>
        <v/>
      </c>
      <c r="W10" s="184">
        <f>SUMPRODUCT(M10:V10,M$2:V$2)</f>
        <v/>
      </c>
    </row>
    <row r="11" ht="15" customHeight="1" s="129">
      <c r="A11" s="294" t="inlineStr">
        <is>
          <t>&gt;12</t>
        </is>
      </c>
      <c r="B11" s="303" t="n">
        <v>600</v>
      </c>
      <c r="C11" s="303" t="n">
        <v>300</v>
      </c>
      <c r="D11" s="303" t="n">
        <v>3</v>
      </c>
      <c r="E11" s="304">
        <f>(B11/100)*(C11/100)</f>
        <v/>
      </c>
      <c r="F11" s="305">
        <f>(W11+((B11/100)+(D11-1)*0.1)*(C11/100)*ราคาวัสดุกลาง!$B$26+ราคาวัสดุกลาง!$B$33)/E11</f>
        <v/>
      </c>
      <c r="G11" s="306">
        <f>ROUNDUP(F11*(1+$D$2)/100,0)*100</f>
        <v/>
      </c>
      <c r="H11" s="305">
        <f>E11*G11</f>
        <v/>
      </c>
      <c r="I11" s="307">
        <f>(G11-F11)/F11</f>
        <v/>
      </c>
      <c r="J11" s="308" t="n">
        <v>4000</v>
      </c>
      <c r="M11" s="183">
        <f>IF(FLOOR(ราคาวัสดุกลาง!$B$4/($B11/100),1)&lt;1,ROUNDUP(($B11/100)/ราคาวัสดุกลาง!$B$4,0)*(1),ROUNDUP((1)/FLOOR(ราคาวัสดุกลาง!$B$4/($B11/100),1),0))</f>
        <v/>
      </c>
      <c r="N11" s="183">
        <f>IF(FLOOR(ราคาวัสดุกลาง!$B$4/($C11/100),1)&lt;1,ROUNDUP(($C11/100)/ราคาวัสดุกลาง!$B$4,0)*(2),ROUNDUP((2)/FLOOR(ราคาวัสดุกลาง!$B$4/($C11/100),1),0))</f>
        <v/>
      </c>
      <c r="O11" s="183">
        <f>IF(FLOOR(ราคาวัสดุกลาง!$B$4/($B11/100),1)&lt;1,ROUNDUP(($B11/100)/ราคาวัสดุกลาง!$B$4,0)*(1),ROUNDUP((1)/FLOOR(ราคาวัสดุกลาง!$B$4/($B11/100),1),0))</f>
        <v/>
      </c>
      <c r="P11" s="183">
        <f>IF(FLOOR(ราคาวัสดุกลาง!$B$4/($C11/100),1)&lt;1,ROUNDUP(($C11/100)/ราคาวัสดุกลาง!$B$4,0)*(2),ROUNDUP((2)/FLOOR(ราคาวัสดุกลาง!$B$4/($C11/100),1),0))</f>
        <v/>
      </c>
      <c r="Q11" s="183">
        <f>IF(FLOOR(ราคาวัสดุกลาง!$B$4/($C11/100),1)&lt;1,ROUNDUP(($C11/100)/ราคาวัสดุกลาง!$B$4,0)*(IF($C11/100&gt;2.4,$D11-1,2*($D11-1))),ROUNDUP((IF($C11/100&gt;2.4,$D11-1,2*($D11-1)))/FLOOR(ราคาวัสดุกลาง!$B$4/($C11/100),1),0))</f>
        <v/>
      </c>
      <c r="R11" s="183">
        <f>IF(FLOOR(ราคาวัสดุกลาง!$B$4/($C11/100),1)&lt;1,ROUNDUP(($C11/100)/ราคาวัสดุกลาง!$B$4,0)*(IF($C11/100&gt;2.4,$D11-1,0)),ROUNDUP((IF($C11/100&gt;2.4,$D11-1,0))/FLOOR(ราคาวัสดุกลาง!$B$4/($C11/100),1),0))</f>
        <v/>
      </c>
      <c r="S11" s="183">
        <f>IF(FLOOR(ราคาวัสดุกลาง!$B$4/(($B11/100)/$D11),1)&lt;1,ROUNDUP((($B11/100)/$D11)/ราคาวัสดุกลาง!$B$4,0)*(2*$D11),ROUNDUP((2*$D11)/FLOOR(ราคาวัสดุกลาง!$B$4/(($B11/100)/$D11),1),0))</f>
        <v/>
      </c>
      <c r="T11" s="183">
        <f>IF(FLOOR(ราคาวัสดุกลาง!$B$4/($C11/100),1)&lt;1,ROUNDUP(($C11/100)/ราคาวัสดุกลาง!$B$4,0)*(4),ROUNDUP((4)/FLOOR(ราคาวัสดุกลาง!$B$4/($C11/100),1),0))</f>
        <v/>
      </c>
      <c r="U11" s="183">
        <f>IF(FLOOR(ราคาวัสดุกลาง!$B$4/($B11/100),1)&lt;1,ROUNDUP(($B11/100)/ราคาวัสดุกลาง!$B$4,0)*(IF($B$2="ภายใน",2,0)),ROUNDUP((IF($B$2="ภายใน",2,0))/FLOOR(ราคาวัสดุกลาง!$B$4/($B11/100),1),0))</f>
        <v/>
      </c>
      <c r="V11" s="183">
        <f>IF(FLOOR(ราคาวัสดุกลาง!$B$4/($B11/100),1)&lt;1,ROUNDUP(($B11/100)/ราคาวัสดุกลาง!$B$4,0)*(IF($B$2="ภายใน",0,$D11)),ROUNDUP((IF($B$2="ภายใน",0,$D11))/FLOOR(ราคาวัสดุกลาง!$B$4/($B11/100),1),0))</f>
        <v/>
      </c>
      <c r="W11" s="184">
        <f>SUMPRODUCT(M11:V11,M$2:V$2)</f>
        <v/>
      </c>
    </row>
    <row r="13" ht="15" customHeight="1" s="129">
      <c r="A13" s="309" t="inlineStr">
        <is>
          <t>เหลือง=แก้ได้ (ขนาด/บาน/กำไรเป้า) · เขียว=ราคาขายที่คำนวณให้ได้กำไรเป้า · R3.9 เดิมไว้เทียบ · M–W=ช่องคำนวณเส้น</t>
        </is>
      </c>
      <c r="B13" s="166" t="n"/>
      <c r="C13" s="166" t="n"/>
      <c r="D13" s="166" t="n"/>
      <c r="E13" s="166" t="n"/>
      <c r="F13" s="166" t="n"/>
      <c r="G13" s="166" t="n"/>
      <c r="H13" s="166" t="n"/>
      <c r="I13" s="166" t="n"/>
      <c r="J13" s="167" t="n"/>
    </row>
    <row r="14" ht="15" customHeight="1" s="129">
      <c r="A14" s="170" t="n"/>
      <c r="B14" s="171" t="n"/>
      <c r="C14" s="171" t="n"/>
      <c r="D14" s="171" t="n"/>
      <c r="E14" s="171" t="n"/>
      <c r="F14" s="171" t="n"/>
      <c r="G14" s="171" t="n"/>
      <c r="H14" s="171" t="n"/>
      <c r="I14" s="171" t="n"/>
      <c r="J14" s="172" t="n"/>
    </row>
  </sheetData>
  <mergeCells count="3">
    <mergeCell ref="E2:J2"/>
    <mergeCell ref="A1:F1"/>
    <mergeCell ref="A13:J14"/>
  </mergeCell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6.xml><?xml version="1.0" encoding="utf-8"?>
<worksheet xmlns="http://schemas.openxmlformats.org/spreadsheetml/2006/main">
  <sheetPr filterMode="0">
    <tabColor rgb="00A6A6A6"/>
    <outlinePr summaryBelow="1" summaryRight="1"/>
    <pageSetUpPr fitToPage="0"/>
  </sheetPr>
  <dimension ref="A1:Y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.1" customWidth="1" style="140" min="1" max="1"/>
    <col width="8.6" customWidth="1" style="140" min="2" max="3"/>
    <col width="6.5" customWidth="1" style="129" min="3" max="3"/>
    <col width="4.5" customWidth="1" style="140" min="4" max="4"/>
    <col width="5.4" customWidth="1" style="140" min="5" max="5"/>
    <col width="18" customWidth="1" style="140" min="6" max="6"/>
    <col width="14.8" customWidth="1" style="140" min="7" max="7"/>
    <col width="10.7" customWidth="1" style="140" min="8" max="8"/>
    <col width="18" customWidth="1" style="140" min="9" max="9"/>
    <col width="12.8" customWidth="1" style="140" min="10" max="10"/>
    <col width="11.7" customWidth="1" style="129" min="14" max="14"/>
    <col width="9.6" customWidth="1" style="129" min="15" max="15"/>
    <col width="10.7" customWidth="1" style="129" min="16" max="16"/>
    <col width="10.7" customWidth="1" style="129" min="17" max="17"/>
    <col width="10.7" customWidth="1" style="129" min="18" max="18"/>
    <col width="9.6" customWidth="1" style="129" min="19" max="19"/>
    <col width="10.7" customWidth="1" style="129" min="20" max="20"/>
    <col width="9.6" customWidth="1" style="129" min="21" max="21"/>
    <col width="9.6" customWidth="1" style="129" min="22" max="22"/>
    <col width="10.7" customWidth="1" style="129" min="23" max="23"/>
    <col width="10.7" customWidth="1" style="129" min="24" max="24"/>
    <col width="12.8" customWidth="1" style="129" min="25" max="25"/>
  </cols>
  <sheetData>
    <row r="1" ht="24" customHeight="1" s="129">
      <c r="A1" s="286" t="inlineStr">
        <is>
          <t>ราคาขายตามกำไรเป้า — บานเลื่อนยูโร (สีขาว, รางนอก)</t>
        </is>
      </c>
      <c r="G1" s="753" t="inlineStr">
        <is>
          <t>🏠 สารบัญ</t>
        </is>
      </c>
      <c r="H1" s="754" t="n"/>
      <c r="K1" s="643" t="n"/>
    </row>
    <row r="2" ht="15" customHeight="1" s="129">
      <c r="A2" s="288" t="inlineStr">
        <is>
          <t>บวกกำไร % (บนทุน) →</t>
        </is>
      </c>
      <c r="B2" s="302" t="n">
        <v>1</v>
      </c>
      <c r="C2" s="290" t="inlineStr">
        <is>
          <t>ขาย=ทุน×(1+กำไร%) ปัดขึ้นหลักร้อย</t>
        </is>
      </c>
      <c r="D2" s="154" t="n"/>
      <c r="E2" s="154" t="n"/>
      <c r="F2" s="154" t="n"/>
      <c r="G2" s="154" t="n"/>
      <c r="H2" s="154" t="n"/>
      <c r="I2" s="154" t="n"/>
      <c r="J2" s="155" t="n"/>
      <c r="N2" s="176">
        <f>ราคาวัสดุกลาง!$E$41</f>
        <v/>
      </c>
      <c r="O2" s="176">
        <f>ราคาวัสดุกลาง!$E$42</f>
        <v/>
      </c>
      <c r="P2" s="176">
        <f>ราคาวัสดุกลาง!$E$38</f>
        <v/>
      </c>
      <c r="Q2" s="176">
        <f>ราคาวัสดุกลาง!$E$38</f>
        <v/>
      </c>
      <c r="R2" s="176">
        <f>ราคาวัสดุกลาง!$E$39</f>
        <v/>
      </c>
      <c r="S2" s="176">
        <f>ราคาวัสดุกลาง!$E$43</f>
        <v/>
      </c>
      <c r="T2" s="176">
        <f>ราคาวัสดุกลาง!$E$44</f>
        <v/>
      </c>
      <c r="U2" s="176">
        <f>ราคาวัสดุกลาง!$E$45</f>
        <v/>
      </c>
      <c r="V2" s="176">
        <f>ราคาวัสดุกลาง!$E$46</f>
        <v/>
      </c>
      <c r="W2" s="176">
        <f>ราคาวัสดุกลาง!$E$47</f>
        <v/>
      </c>
      <c r="X2" s="176">
        <f>ราคาวัสดุกลาง!$E$48</f>
        <v/>
      </c>
    </row>
    <row r="3" ht="23.25" customHeight="1" s="129">
      <c r="A3" s="292" t="inlineStr">
        <is>
          <t>ช่วงพื้นที่</t>
        </is>
      </c>
      <c r="B3" s="292" t="inlineStr">
        <is>
          <t>กว้างซม.</t>
        </is>
      </c>
      <c r="C3" s="292" t="inlineStr">
        <is>
          <t>สูงซม.</t>
        </is>
      </c>
      <c r="D3" s="292" t="inlineStr">
        <is>
          <t>บาน</t>
        </is>
      </c>
      <c r="E3" s="292" t="inlineStr">
        <is>
          <t>พื้นที่</t>
        </is>
      </c>
      <c r="F3" s="292" t="inlineStr">
        <is>
          <t>ทุน/ตร.ม.</t>
        </is>
      </c>
      <c r="G3" s="292" t="inlineStr">
        <is>
          <t>ราคาขาย/ตร.ม.
(ทุน+กำไร%)</t>
        </is>
      </c>
      <c r="H3" s="292" t="inlineStr">
        <is>
          <t>ขายรวม/ชุด</t>
        </is>
      </c>
      <c r="I3" s="292" t="inlineStr">
        <is>
          <t>%กำไรจริง</t>
        </is>
      </c>
      <c r="J3" s="292" t="inlineStr">
        <is>
          <t>R3.9 ยูโรเดิม</t>
        </is>
      </c>
    </row>
    <row r="4" ht="15" customHeight="1" s="129">
      <c r="A4" s="294" t="inlineStr">
        <is>
          <t>2.0–2.3</t>
        </is>
      </c>
      <c r="B4" s="303" t="n">
        <v>140</v>
      </c>
      <c r="C4" s="303" t="n">
        <v>150</v>
      </c>
      <c r="D4" s="303" t="n">
        <v>2</v>
      </c>
      <c r="E4" s="304">
        <f>(B4/100)*(C4/100)</f>
        <v/>
      </c>
      <c r="F4" s="305">
        <f>(Y4+((B4/100)+(D4-1)*0.1)*(C4/100)*ราคาวัสดุกลาง!$B$26+2900)/E4</f>
        <v/>
      </c>
      <c r="G4" s="306">
        <f>ROUNDUP(F4*(1+$B$2)/100,0)*100</f>
        <v/>
      </c>
      <c r="H4" s="305">
        <f>E4*G4</f>
        <v/>
      </c>
      <c r="I4" s="307">
        <f>(G4-F4)/F4</f>
        <v/>
      </c>
      <c r="J4" s="308" t="n">
        <v>7200</v>
      </c>
      <c r="N4" s="183">
        <f>ROUNDUP((2*($C4/100)*$D4+2*($B4/100))/6.4,0)</f>
        <v/>
      </c>
      <c r="O4" s="183">
        <f>ROUNDUP((2*($C4/100)*$D4+2*($B4/100))/6.4,0)</f>
        <v/>
      </c>
      <c r="P4" s="183">
        <f>ROUNDUP(($B4/100)/6.4,0)</f>
        <v/>
      </c>
      <c r="Q4" s="183">
        <f>ROUNDUP(($B4/100)/6.4,0)</f>
        <v/>
      </c>
      <c r="R4" s="183">
        <f>ROUNDUP(2*($C4/100)/6.4,0)</f>
        <v/>
      </c>
      <c r="S4" s="183">
        <f>1</f>
        <v/>
      </c>
      <c r="T4" s="183">
        <f>$D4-1</f>
        <v/>
      </c>
      <c r="U4" s="183">
        <f>2*($D4-1)</f>
        <v/>
      </c>
      <c r="V4" s="183">
        <f>ROUNDUP($D4*($B4/100)/6.4,0)</f>
        <v/>
      </c>
      <c r="W4" s="183">
        <f>ROUNDUP($D4*($B4/100)/6.4,0)</f>
        <v/>
      </c>
      <c r="X4" s="183">
        <f>1</f>
        <v/>
      </c>
      <c r="Y4" s="184">
        <f>SUMPRODUCT(N4:X4,N$2:X$2)</f>
        <v/>
      </c>
    </row>
    <row r="5" ht="15" customHeight="1" s="129">
      <c r="A5" s="294" t="inlineStr">
        <is>
          <t>2.3–3.5</t>
        </is>
      </c>
      <c r="B5" s="303" t="n">
        <v>150</v>
      </c>
      <c r="C5" s="303" t="n">
        <v>200</v>
      </c>
      <c r="D5" s="303" t="n">
        <v>2</v>
      </c>
      <c r="E5" s="304">
        <f>(B5/100)*(C5/100)</f>
        <v/>
      </c>
      <c r="F5" s="305">
        <f>(Y5+((B5/100)+(D5-1)*0.1)*(C5/100)*ราคาวัสดุกลาง!$B$26+2900)/E5</f>
        <v/>
      </c>
      <c r="G5" s="306">
        <f>ROUNDUP(F5*(1+$B$2)/100,0)*100</f>
        <v/>
      </c>
      <c r="H5" s="305">
        <f>E5*G5</f>
        <v/>
      </c>
      <c r="I5" s="307">
        <f>(G5-F5)/F5</f>
        <v/>
      </c>
      <c r="J5" s="308" t="n">
        <v>6600</v>
      </c>
      <c r="N5" s="183">
        <f>ROUNDUP((2*($C5/100)*$D5+2*($B5/100))/6.4,0)</f>
        <v/>
      </c>
      <c r="O5" s="183">
        <f>ROUNDUP((2*($C5/100)*$D5+2*($B5/100))/6.4,0)</f>
        <v/>
      </c>
      <c r="P5" s="183">
        <f>ROUNDUP(($B5/100)/6.4,0)</f>
        <v/>
      </c>
      <c r="Q5" s="183">
        <f>ROUNDUP(($B5/100)/6.4,0)</f>
        <v/>
      </c>
      <c r="R5" s="183">
        <f>ROUNDUP(2*($C5/100)/6.4,0)</f>
        <v/>
      </c>
      <c r="S5" s="183">
        <f>1</f>
        <v/>
      </c>
      <c r="T5" s="183">
        <f>$D5-1</f>
        <v/>
      </c>
      <c r="U5" s="183">
        <f>2*($D5-1)</f>
        <v/>
      </c>
      <c r="V5" s="183">
        <f>ROUNDUP($D5*($B5/100)/6.4,0)</f>
        <v/>
      </c>
      <c r="W5" s="183">
        <f>ROUNDUP($D5*($B5/100)/6.4,0)</f>
        <v/>
      </c>
      <c r="X5" s="183">
        <f>1</f>
        <v/>
      </c>
      <c r="Y5" s="184">
        <f>SUMPRODUCT(N5:X5,N$2:X$2)</f>
        <v/>
      </c>
    </row>
    <row r="6" ht="15" customHeight="1" s="129">
      <c r="A6" s="294" t="inlineStr">
        <is>
          <t>3.5–4.5</t>
        </is>
      </c>
      <c r="B6" s="303" t="n">
        <v>200</v>
      </c>
      <c r="C6" s="303" t="n">
        <v>200</v>
      </c>
      <c r="D6" s="303" t="n">
        <v>2</v>
      </c>
      <c r="E6" s="304">
        <f>(B6/100)*(C6/100)</f>
        <v/>
      </c>
      <c r="F6" s="305">
        <f>(Y6+((B6/100)+(D6-1)*0.1)*(C6/100)*ราคาวัสดุกลาง!$B$26+2900)/E6</f>
        <v/>
      </c>
      <c r="G6" s="306">
        <f>ROUNDUP(F6*(1+$B$2)/100,0)*100</f>
        <v/>
      </c>
      <c r="H6" s="305">
        <f>E6*G6</f>
        <v/>
      </c>
      <c r="I6" s="307">
        <f>(G6-F6)/F6</f>
        <v/>
      </c>
      <c r="J6" s="308" t="n">
        <v>6300</v>
      </c>
      <c r="N6" s="183">
        <f>ROUNDUP((2*($C6/100)*$D6+2*($B6/100))/6.4,0)</f>
        <v/>
      </c>
      <c r="O6" s="183">
        <f>ROUNDUP((2*($C6/100)*$D6+2*($B6/100))/6.4,0)</f>
        <v/>
      </c>
      <c r="P6" s="183">
        <f>ROUNDUP(($B6/100)/6.4,0)</f>
        <v/>
      </c>
      <c r="Q6" s="183">
        <f>ROUNDUP(($B6/100)/6.4,0)</f>
        <v/>
      </c>
      <c r="R6" s="183">
        <f>ROUNDUP(2*($C6/100)/6.4,0)</f>
        <v/>
      </c>
      <c r="S6" s="183">
        <f>1</f>
        <v/>
      </c>
      <c r="T6" s="183">
        <f>$D6-1</f>
        <v/>
      </c>
      <c r="U6" s="183">
        <f>2*($D6-1)</f>
        <v/>
      </c>
      <c r="V6" s="183">
        <f>ROUNDUP($D6*($B6/100)/6.4,0)</f>
        <v/>
      </c>
      <c r="W6" s="183">
        <f>ROUNDUP($D6*($B6/100)/6.4,0)</f>
        <v/>
      </c>
      <c r="X6" s="183">
        <f>1</f>
        <v/>
      </c>
      <c r="Y6" s="184">
        <f>SUMPRODUCT(N6:X6,N$2:X$2)</f>
        <v/>
      </c>
    </row>
    <row r="7" ht="15" customHeight="1" s="129">
      <c r="A7" s="294" t="inlineStr">
        <is>
          <t>4.5–5.0</t>
        </is>
      </c>
      <c r="B7" s="303" t="n">
        <v>240</v>
      </c>
      <c r="C7" s="303" t="n">
        <v>200</v>
      </c>
      <c r="D7" s="303" t="n">
        <v>2</v>
      </c>
      <c r="E7" s="304">
        <f>(B7/100)*(C7/100)</f>
        <v/>
      </c>
      <c r="F7" s="305">
        <f>(Y7+((B7/100)+(D7-1)*0.1)*(C7/100)*ราคาวัสดุกลาง!$B$26+2900)/E7</f>
        <v/>
      </c>
      <c r="G7" s="306">
        <f>ROUNDUP(F7*(1+$B$2)/100,0)*100</f>
        <v/>
      </c>
      <c r="H7" s="305">
        <f>E7*G7</f>
        <v/>
      </c>
      <c r="I7" s="307">
        <f>(G7-F7)/F7</f>
        <v/>
      </c>
      <c r="J7" s="308" t="n">
        <v>5500</v>
      </c>
      <c r="N7" s="183">
        <f>ROUNDUP((2*($C7/100)*$D7+2*($B7/100))/6.4,0)</f>
        <v/>
      </c>
      <c r="O7" s="183">
        <f>ROUNDUP((2*($C7/100)*$D7+2*($B7/100))/6.4,0)</f>
        <v/>
      </c>
      <c r="P7" s="183">
        <f>ROUNDUP(($B7/100)/6.4,0)</f>
        <v/>
      </c>
      <c r="Q7" s="183">
        <f>ROUNDUP(($B7/100)/6.4,0)</f>
        <v/>
      </c>
      <c r="R7" s="183">
        <f>ROUNDUP(2*($C7/100)/6.4,0)</f>
        <v/>
      </c>
      <c r="S7" s="183">
        <f>1</f>
        <v/>
      </c>
      <c r="T7" s="183">
        <f>$D7-1</f>
        <v/>
      </c>
      <c r="U7" s="183">
        <f>2*($D7-1)</f>
        <v/>
      </c>
      <c r="V7" s="183">
        <f>ROUNDUP($D7*($B7/100)/6.4,0)</f>
        <v/>
      </c>
      <c r="W7" s="183">
        <f>ROUNDUP($D7*($B7/100)/6.4,0)</f>
        <v/>
      </c>
      <c r="X7" s="183">
        <f>1</f>
        <v/>
      </c>
      <c r="Y7" s="184">
        <f>SUMPRODUCT(N7:X7,N$2:X$2)</f>
        <v/>
      </c>
    </row>
    <row r="8" ht="15" customHeight="1" s="129">
      <c r="A8" s="294" t="inlineStr">
        <is>
          <t>5.0–7.0</t>
        </is>
      </c>
      <c r="B8" s="303" t="n">
        <v>200</v>
      </c>
      <c r="C8" s="303" t="n">
        <v>300</v>
      </c>
      <c r="D8" s="303" t="n">
        <v>3</v>
      </c>
      <c r="E8" s="304">
        <f>(B8/100)*(C8/100)</f>
        <v/>
      </c>
      <c r="F8" s="305">
        <f>(Y8+((B8/100)+(D8-1)*0.1)*(C8/100)*ราคาวัสดุกลาง!$B$26+2900)/E8</f>
        <v/>
      </c>
      <c r="G8" s="306">
        <f>ROUNDUP(F8*(1+$B$2)/100,0)*100</f>
        <v/>
      </c>
      <c r="H8" s="305">
        <f>E8*G8</f>
        <v/>
      </c>
      <c r="I8" s="307">
        <f>(G8-F8)/F8</f>
        <v/>
      </c>
      <c r="J8" s="308" t="n">
        <v>5200</v>
      </c>
      <c r="N8" s="183">
        <f>ROUNDUP((2*($C8/100)*$D8+2*($B8/100))/6.4,0)</f>
        <v/>
      </c>
      <c r="O8" s="183">
        <f>ROUNDUP((2*($C8/100)*$D8+2*($B8/100))/6.4,0)</f>
        <v/>
      </c>
      <c r="P8" s="183">
        <f>ROUNDUP(($B8/100)/6.4,0)</f>
        <v/>
      </c>
      <c r="Q8" s="183">
        <f>ROUNDUP(($B8/100)/6.4,0)</f>
        <v/>
      </c>
      <c r="R8" s="183">
        <f>ROUNDUP(2*($C8/100)/6.4,0)</f>
        <v/>
      </c>
      <c r="S8" s="183">
        <f>1</f>
        <v/>
      </c>
      <c r="T8" s="183">
        <f>$D8-1</f>
        <v/>
      </c>
      <c r="U8" s="183">
        <f>2*($D8-1)</f>
        <v/>
      </c>
      <c r="V8" s="183">
        <f>ROUNDUP($D8*($B8/100)/6.4,0)</f>
        <v/>
      </c>
      <c r="W8" s="183">
        <f>ROUNDUP($D8*($B8/100)/6.4,0)</f>
        <v/>
      </c>
      <c r="X8" s="183">
        <f>1</f>
        <v/>
      </c>
      <c r="Y8" s="184">
        <f>SUMPRODUCT(N8:X8,N$2:X$2)</f>
        <v/>
      </c>
    </row>
    <row r="9" ht="15" customHeight="1" s="129">
      <c r="A9" s="294" t="inlineStr">
        <is>
          <t>7.0–9.0</t>
        </is>
      </c>
      <c r="B9" s="303" t="n">
        <v>270</v>
      </c>
      <c r="C9" s="303" t="n">
        <v>300</v>
      </c>
      <c r="D9" s="303" t="n">
        <v>3</v>
      </c>
      <c r="E9" s="304">
        <f>(B9/100)*(C9/100)</f>
        <v/>
      </c>
      <c r="F9" s="305">
        <f>(Y9+((B9/100)+(D9-1)*0.1)*(C9/100)*ราคาวัสดุกลาง!$B$26+2900)/E9</f>
        <v/>
      </c>
      <c r="G9" s="306">
        <f>ROUNDUP(F9*(1+$B$2)/100,0)*100</f>
        <v/>
      </c>
      <c r="H9" s="305">
        <f>E9*G9</f>
        <v/>
      </c>
      <c r="I9" s="307">
        <f>(G9-F9)/F9</f>
        <v/>
      </c>
      <c r="J9" s="308" t="n">
        <v>4900</v>
      </c>
      <c r="N9" s="183">
        <f>ROUNDUP((2*($C9/100)*$D9+2*($B9/100))/6.4,0)</f>
        <v/>
      </c>
      <c r="O9" s="183">
        <f>ROUNDUP((2*($C9/100)*$D9+2*($B9/100))/6.4,0)</f>
        <v/>
      </c>
      <c r="P9" s="183">
        <f>ROUNDUP(($B9/100)/6.4,0)</f>
        <v/>
      </c>
      <c r="Q9" s="183">
        <f>ROUNDUP(($B9/100)/6.4,0)</f>
        <v/>
      </c>
      <c r="R9" s="183">
        <f>ROUNDUP(2*($C9/100)/6.4,0)</f>
        <v/>
      </c>
      <c r="S9" s="183">
        <f>1</f>
        <v/>
      </c>
      <c r="T9" s="183">
        <f>$D9-1</f>
        <v/>
      </c>
      <c r="U9" s="183">
        <f>2*($D9-1)</f>
        <v/>
      </c>
      <c r="V9" s="183">
        <f>ROUNDUP($D9*($B9/100)/6.4,0)</f>
        <v/>
      </c>
      <c r="W9" s="183">
        <f>ROUNDUP($D9*($B9/100)/6.4,0)</f>
        <v/>
      </c>
      <c r="X9" s="183">
        <f>1</f>
        <v/>
      </c>
      <c r="Y9" s="184">
        <f>SUMPRODUCT(N9:X9,N$2:X$2)</f>
        <v/>
      </c>
    </row>
    <row r="10" ht="15" customHeight="1" s="129">
      <c r="A10" s="294" t="inlineStr">
        <is>
          <t>9.0–12</t>
        </is>
      </c>
      <c r="B10" s="303" t="n">
        <v>390</v>
      </c>
      <c r="C10" s="303" t="n">
        <v>300</v>
      </c>
      <c r="D10" s="303" t="n">
        <v>3</v>
      </c>
      <c r="E10" s="304">
        <f>(B10/100)*(C10/100)</f>
        <v/>
      </c>
      <c r="F10" s="305">
        <f>(Y10+((B10/100)+(D10-1)*0.1)*(C10/100)*ราคาวัสดุกลาง!$B$26+2900)/E10</f>
        <v/>
      </c>
      <c r="G10" s="306">
        <f>ROUNDUP(F10*(1+$B$2)/100,0)*100</f>
        <v/>
      </c>
      <c r="H10" s="305">
        <f>E10*G10</f>
        <v/>
      </c>
      <c r="I10" s="307">
        <f>(G10-F10)/F10</f>
        <v/>
      </c>
      <c r="J10" s="308" t="n">
        <v>4700</v>
      </c>
      <c r="N10" s="183">
        <f>ROUNDUP((2*($C10/100)*$D10+2*($B10/100))/6.4,0)</f>
        <v/>
      </c>
      <c r="O10" s="183">
        <f>ROUNDUP((2*($C10/100)*$D10+2*($B10/100))/6.4,0)</f>
        <v/>
      </c>
      <c r="P10" s="183">
        <f>ROUNDUP(($B10/100)/6.4,0)</f>
        <v/>
      </c>
      <c r="Q10" s="183">
        <f>ROUNDUP(($B10/100)/6.4,0)</f>
        <v/>
      </c>
      <c r="R10" s="183">
        <f>ROUNDUP(2*($C10/100)/6.4,0)</f>
        <v/>
      </c>
      <c r="S10" s="183">
        <f>1</f>
        <v/>
      </c>
      <c r="T10" s="183">
        <f>$D10-1</f>
        <v/>
      </c>
      <c r="U10" s="183">
        <f>2*($D10-1)</f>
        <v/>
      </c>
      <c r="V10" s="183">
        <f>ROUNDUP($D10*($B10/100)/6.4,0)</f>
        <v/>
      </c>
      <c r="W10" s="183">
        <f>ROUNDUP($D10*($B10/100)/6.4,0)</f>
        <v/>
      </c>
      <c r="X10" s="183">
        <f>1</f>
        <v/>
      </c>
      <c r="Y10" s="184">
        <f>SUMPRODUCT(N10:X10,N$2:X$2)</f>
        <v/>
      </c>
    </row>
    <row r="11" ht="15" customHeight="1" s="129">
      <c r="A11" s="294" t="inlineStr">
        <is>
          <t>&gt;12</t>
        </is>
      </c>
      <c r="B11" s="303" t="n">
        <v>600</v>
      </c>
      <c r="C11" s="303" t="n">
        <v>300</v>
      </c>
      <c r="D11" s="303" t="n">
        <v>3</v>
      </c>
      <c r="E11" s="304">
        <f>(B11/100)*(C11/100)</f>
        <v/>
      </c>
      <c r="F11" s="305">
        <f>(Y11+((B11/100)+(D11-1)*0.1)*(C11/100)*ราคาวัสดุกลาง!$B$26+2900)/E11</f>
        <v/>
      </c>
      <c r="G11" s="306">
        <f>ROUNDUP(F11*(1+$B$2)/100,0)*100</f>
        <v/>
      </c>
      <c r="H11" s="305">
        <f>E11*G11</f>
        <v/>
      </c>
      <c r="I11" s="307">
        <f>(G11-F11)/F11</f>
        <v/>
      </c>
      <c r="J11" s="308" t="n">
        <v>4400</v>
      </c>
      <c r="N11" s="183">
        <f>ROUNDUP((2*($C11/100)*$D11+2*($B11/100))/6.4,0)</f>
        <v/>
      </c>
      <c r="O11" s="183">
        <f>ROUNDUP((2*($C11/100)*$D11+2*($B11/100))/6.4,0)</f>
        <v/>
      </c>
      <c r="P11" s="183">
        <f>ROUNDUP(($B11/100)/6.4,0)</f>
        <v/>
      </c>
      <c r="Q11" s="183">
        <f>ROUNDUP(($B11/100)/6.4,0)</f>
        <v/>
      </c>
      <c r="R11" s="183">
        <f>ROUNDUP(2*($C11/100)/6.4,0)</f>
        <v/>
      </c>
      <c r="S11" s="183">
        <f>1</f>
        <v/>
      </c>
      <c r="T11" s="183">
        <f>$D11-1</f>
        <v/>
      </c>
      <c r="U11" s="183">
        <f>2*($D11-1)</f>
        <v/>
      </c>
      <c r="V11" s="183">
        <f>ROUNDUP($D11*($B11/100)/6.4,0)</f>
        <v/>
      </c>
      <c r="W11" s="183">
        <f>ROUNDUP($D11*($B11/100)/6.4,0)</f>
        <v/>
      </c>
      <c r="X11" s="183">
        <f>1</f>
        <v/>
      </c>
      <c r="Y11" s="184">
        <f>SUMPRODUCT(N11:X11,N$2:X$2)</f>
        <v/>
      </c>
    </row>
    <row r="13" ht="15" customHeight="1" s="129">
      <c r="A13" s="290" t="inlineStr">
        <is>
          <t>เหลือง=แก้ได้ · ราง=นอก · ทุน=นับเส้นเต็มยูโร · R3.9 ยูโร(ข้อ1.2)ไว้เทียบ · N–Y=ช่องคำนวณ</t>
        </is>
      </c>
      <c r="B13" s="166" t="n"/>
      <c r="C13" s="166" t="n"/>
      <c r="D13" s="166" t="n"/>
      <c r="E13" s="166" t="n"/>
      <c r="F13" s="166" t="n"/>
      <c r="G13" s="166" t="n"/>
      <c r="H13" s="166" t="n"/>
      <c r="I13" s="166" t="n"/>
      <c r="J13" s="167" t="n"/>
    </row>
    <row r="14" ht="15" customHeight="1" s="129">
      <c r="A14" s="170" t="n"/>
      <c r="B14" s="171" t="n"/>
      <c r="C14" s="171" t="n"/>
      <c r="D14" s="171" t="n"/>
      <c r="E14" s="171" t="n"/>
      <c r="F14" s="171" t="n"/>
      <c r="G14" s="171" t="n"/>
      <c r="H14" s="171" t="n"/>
      <c r="I14" s="171" t="n"/>
      <c r="J14" s="172" t="n"/>
    </row>
  </sheetData>
  <mergeCells count="3">
    <mergeCell ref="C2:J2"/>
    <mergeCell ref="A1:F1"/>
    <mergeCell ref="A13:J14"/>
  </mergeCell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tabColor rgb="00A6A6A6"/>
    <outlinePr summaryBelow="1" summaryRight="1"/>
    <pageSetUpPr fitToPage="0"/>
  </sheetPr>
  <dimension ref="A1:I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.2" customWidth="1" style="140" min="1" max="2"/>
    <col width="10.7" customWidth="1" style="129" min="2" max="2"/>
    <col width="6.5" customWidth="1" style="140" min="3" max="3"/>
    <col width="10.7" customWidth="1" style="140" min="4" max="6"/>
    <col width="18" customWidth="1" style="129" min="5" max="5"/>
    <col width="10.7" customWidth="1" style="129" min="6" max="6"/>
    <col width="9.6" customWidth="1" style="140" min="7" max="7"/>
    <col width="18" customWidth="1" style="140" min="8" max="8"/>
  </cols>
  <sheetData>
    <row r="1" ht="24" customHeight="1" s="129">
      <c r="A1" s="286" t="inlineStr">
        <is>
          <t>เทียบทุน E-series — ตามขนาด (รางล่าง = ติ๊กไม่กระทบราคา)</t>
        </is>
      </c>
      <c r="G1" s="753" t="inlineStr">
        <is>
          <t>🏠 สารบัญ</t>
        </is>
      </c>
      <c r="H1" s="754" t="n"/>
      <c r="I1" s="643" t="n"/>
    </row>
    <row r="3" ht="15" customHeight="1" s="129">
      <c r="A3" s="287" t="inlineStr">
        <is>
          <t>รางล่าง →</t>
        </is>
      </c>
      <c r="B3" s="283" t="inlineStr">
        <is>
          <t>ภายนอก</t>
        </is>
      </c>
      <c r="D3" s="287" t="inlineStr">
        <is>
          <t>เลื่อน=</t>
        </is>
      </c>
      <c r="E3" s="287">
        <f>IF(B4="อิสระ",B5,IF(B4="ลากจูง",B5-1,B5-2))</f>
        <v/>
      </c>
      <c r="G3" s="287" t="inlineStr">
        <is>
          <t>เฟรมบน</t>
        </is>
      </c>
      <c r="H3" s="287">
        <f>IF($B$6="สีอบขาว/ดำ",2235,IF($B$6="เทาซาฮาร่า",ROUND(2235*1.09,0),IF($B$6="ลายไม้ stock",ROUND(2235*1.6,0),ROUND(2235/180*$E$6,0))))</f>
        <v/>
      </c>
    </row>
    <row r="4" ht="15" customHeight="1" s="129">
      <c r="A4" s="287" t="inlineStr">
        <is>
          <t>รูปแบบ →</t>
        </is>
      </c>
      <c r="B4" s="283" t="inlineStr">
        <is>
          <t>อิสระ</t>
        </is>
      </c>
      <c r="D4" s="287" t="inlineStr">
        <is>
          <t>เสากุญแจ=</t>
        </is>
      </c>
      <c r="E4" s="287">
        <f>IF(B4="เปิดคู่กลาง",4,2)</f>
        <v/>
      </c>
      <c r="G4" s="287" t="inlineStr">
        <is>
          <t>เฟรมล่าง</t>
        </is>
      </c>
      <c r="H4" s="287">
        <f>IF($B$6="สีอบขาว/ดำ",2152,IF($B$6="เทาซาฮาร่า",ROUND(2152*1.09,0),IF($B$6="ลายไม้ stock",ROUND(2152*1.6,0),ROUND(2152/180*$E$6,0))))</f>
        <v/>
      </c>
    </row>
    <row r="5" ht="15" customHeight="1" s="129">
      <c r="A5" s="287" t="inlineStr">
        <is>
          <t>จำนวนบาน →</t>
        </is>
      </c>
      <c r="B5" s="283" t="n">
        <v>3</v>
      </c>
      <c r="D5" s="287" t="inlineStr">
        <is>
          <t>รอยต่อ=</t>
        </is>
      </c>
      <c r="E5" s="287">
        <f>IF(B4="เปิดคู่กลาง",B5-2,B5-1)</f>
        <v/>
      </c>
      <c r="G5" s="287" t="inlineStr">
        <is>
          <t>เฟรมข้าง</t>
        </is>
      </c>
      <c r="H5" s="287">
        <f>IF($B$6="สีอบขาว/ดำ",1995,IF($B$6="เทาซาฮาร่า",ROUND(1995*1.09,0),IF($B$6="ลายไม้ stock",ROUND(1995*1.6,0),ROUND(1995/180*$E$6,0))))</f>
        <v/>
      </c>
    </row>
    <row r="6" ht="15" customHeight="1" s="129">
      <c r="A6" s="287" t="inlineStr">
        <is>
          <t>สี →</t>
        </is>
      </c>
      <c r="B6" s="283" t="inlineStr">
        <is>
          <t>สีอบขาว/ดำ</t>
        </is>
      </c>
      <c r="D6" s="287" t="inlineStr">
        <is>
          <t>ราคา/กก.=</t>
        </is>
      </c>
      <c r="E6" s="287" t="n"/>
      <c r="G6" s="287" t="inlineStr">
        <is>
          <t>ถาดลองน้ำ</t>
        </is>
      </c>
      <c r="H6" s="287">
        <f>IF($B$6="สีอบขาว/ดำ",742,IF($B$6="เทาซาฮาร่า",ROUND(742*1.09,0),IF($B$6="ลายไม้ stock",ROUND(742*1.6,0),ROUND(742/180*$E$6,0))))</f>
        <v/>
      </c>
    </row>
    <row r="7" ht="15" customHeight="1" s="129">
      <c r="A7" s="287" t="inlineStr">
        <is>
          <t>กระจก บาท/ตร.ม. →</t>
        </is>
      </c>
      <c r="B7" s="283" t="n">
        <v>264</v>
      </c>
      <c r="G7" s="287" t="inlineStr">
        <is>
          <t>เสากุญแจ</t>
        </is>
      </c>
      <c r="H7" s="287">
        <f>IF($B$6="สีอบขาว/ดำ",1080,IF($B$6="เทาซาฮาร่า",ROUND(1080*1.09,0),IF($B$6="ลายไม้ stock",ROUND(1080*1.6,0),ROUND(1080/180*$E$6,0))))</f>
        <v/>
      </c>
    </row>
    <row r="8" ht="15" customHeight="1" s="129">
      <c r="A8" s="287" t="inlineStr">
        <is>
          <t>บวกกำไร % (1=100%) →</t>
        </is>
      </c>
      <c r="B8" s="283" t="n">
        <v>1</v>
      </c>
      <c r="G8" s="287" t="inlineStr">
        <is>
          <t>เสาเกี่ยว</t>
        </is>
      </c>
      <c r="H8" s="287">
        <f>IF($B$6="สีอบขาว/ดำ",1072,IF($B$6="เทาซาฮาร่า",ROUND(1072*1.09,0),IF($B$6="ลายไม้ stock",ROUND(1072*1.6,0),ROUND(1072/180*$E$6,0))))</f>
        <v/>
      </c>
    </row>
    <row r="9" ht="15" customHeight="1" s="129">
      <c r="A9" s="287" t="inlineStr">
        <is>
          <t>ซิลิโคน/หลอด →</t>
        </is>
      </c>
      <c r="B9" s="283" t="n">
        <v>90</v>
      </c>
      <c r="G9" s="287" t="inlineStr">
        <is>
          <t>ขวาง</t>
        </is>
      </c>
      <c r="H9" s="287">
        <f>IF($B$6="สีอบขาว/ดำ",1162,IF($B$6="เทาซาฮาร่า",ROUND(1162*1.09,0),IF($B$6="ลายไม้ stock",ROUND(1162*1.6,0),ROUND(1162/180*$E$6,0))))</f>
        <v/>
      </c>
    </row>
    <row r="10" ht="15" customHeight="1" s="129">
      <c r="A10" s="287" t="inlineStr">
        <is>
          <t>ล็อคก้นหอย (ตัว) →</t>
        </is>
      </c>
      <c r="B10" s="283" t="n">
        <v>2</v>
      </c>
      <c r="G10" s="287" t="inlineStr">
        <is>
          <t>ตบปิดบน</t>
        </is>
      </c>
      <c r="H10" s="287">
        <f>IF($B$6="สีอบขาว/ดำ",270,IF($B$6="เทาซาฮาร่า",ROUND(270*1.09,0),IF($B$6="ลายไม้ stock",ROUND(270*1.6,0),ROUND(270/180*$E$6,0))))</f>
        <v/>
      </c>
    </row>
    <row r="11" ht="15" customHeight="1" s="129">
      <c r="G11" s="287" t="inlineStr">
        <is>
          <t>ตบธรณี</t>
        </is>
      </c>
      <c r="H11" s="287">
        <f>IF($B$6="สีอบขาว/ดำ",450,IF($B$6="เทาซาฮาร่า",ROUND(450*1.09,0),IF($B$6="ลายไม้ stock",ROUND(450*1.6,0),ROUND(450/180*$E$6,0))))</f>
        <v/>
      </c>
    </row>
    <row r="13" ht="15" customHeight="1" s="129">
      <c r="A13" s="339" t="inlineStr">
        <is>
          <t>ก(ซม.)</t>
        </is>
      </c>
      <c r="B13" s="339" t="inlineStr">
        <is>
          <t>ส(ซม.)</t>
        </is>
      </c>
      <c r="C13" s="339" t="inlineStr">
        <is>
          <t>พื้นที่</t>
        </is>
      </c>
      <c r="D13" s="339" t="inlineStr">
        <is>
          <t>ทุนรวม</t>
        </is>
      </c>
      <c r="E13" s="339" t="inlineStr">
        <is>
          <t>ทุน/ตร.ม.</t>
        </is>
      </c>
      <c r="F13" s="339" t="inlineStr">
        <is>
          <t>ขาย/ตร.ม.</t>
        </is>
      </c>
      <c r="G13" s="339" t="inlineStr">
        <is>
          <t>ขายรวม</t>
        </is>
      </c>
      <c r="H13" s="339" t="inlineStr">
        <is>
          <t>กำไร%</t>
        </is>
      </c>
    </row>
    <row r="14" ht="15" customHeight="1" s="129">
      <c r="A14" s="316" t="n">
        <v>240</v>
      </c>
      <c r="B14" s="316" t="n">
        <v>200</v>
      </c>
      <c r="C14" s="312">
        <f>(A14/100)*(B14/100)</f>
        <v/>
      </c>
      <c r="D14" s="312">
        <f>IF(FLOOR(6.4/((A14)/100),1)&gt;=1,ROUNDUP((1)/FLOOR(6.4/((A14)/100),1),0),ROUNDUP(((A14)/100)/6.4,0)*(1))*$H$3+IF(FLOOR(6.4/((A14)/100),1)&gt;=1,ROUNDUP((1)/FLOOR(6.4/((A14)/100),1),0),ROUNDUP(((A14)/100)/6.4,0)*(1))*$H$4+IF(FLOOR(6.4/((B14)/100),1)&gt;=1,ROUNDUP((2)/FLOOR(6.4/((B14)/100),1),0),ROUNDUP(((B14)/100)/6.4,0)*(2))*$H$5+IF(FLOOR(6.4/((A14)/100),1)&gt;=1,ROUNDUP((1)/FLOOR(6.4/((A14)/100),1),0),ROUNDUP(((A14)/100)/6.4,0)*(1))*$H$6+IF(FLOOR(6.4/((B14)/100),1)&gt;=1,ROUNDUP(($E$4)/FLOOR(6.4/((B14)/100),1),0),ROUNDUP(((B14)/100)/6.4,0)*($E$4))*$H$7+IF(FLOOR(6.4/((B14)/100),1)&gt;=1,ROUNDUP((2*$E$5)/FLOOR(6.4/((B14)/100),1),0),ROUNDUP(((B14)/100)/6.4,0)*(2*$E$5))*$H$8+IF(FLOOR(6.4/((A14/$B$5)/100),1)&gt;=1,ROUNDUP((2*$B$5)/FLOOR(6.4/((A14/$B$5)/100),1),0),ROUNDUP(((A14/$B$5)/100)/6.4,0)*(2*$B$5))*$H$9+(IF(AND($B$4="อิสระ",$B$5=3),0,IF(A14&gt;300,2,1)))*$H$10+(IF(AND($B$4="อิสระ",$B$5=3),0,IF(A14&gt;300,2,1)))*$H$11+(((A14/100)+($B$5-1)*0.1)*(B14/100))*$B$7+2*$E$3*135+$B$10*100+(6*(B14/100)+9*(A14/100)+2*($E$4+$E$5)*(B14/100))*1.5+(8+4*$B$5)*1+(ROUNDUP(2*((A14/100)+(B14/100))*2/12.5,0))*$B$9+IF(OR($B$6="สีอบพิเศษ",$B$6="สีลายไม้อบพิเศษ"),2000,0)</f>
        <v/>
      </c>
      <c r="E14" s="312">
        <f>D14/C14</f>
        <v/>
      </c>
      <c r="F14" s="312">
        <f>ROUNDUP(E14*(1+$B$8)/100,0)*100</f>
        <v/>
      </c>
      <c r="G14" s="312">
        <f>C14*F14</f>
        <v/>
      </c>
      <c r="H14" s="353">
        <f>(G14-D14)/D14</f>
        <v/>
      </c>
    </row>
    <row r="15" ht="15" customHeight="1" s="129">
      <c r="A15" s="316" t="n">
        <v>300</v>
      </c>
      <c r="B15" s="316" t="n">
        <v>220</v>
      </c>
      <c r="C15" s="312">
        <f>(A15/100)*(B15/100)</f>
        <v/>
      </c>
      <c r="D15" s="312">
        <f>IF(FLOOR(6.4/((A15)/100),1)&gt;=1,ROUNDUP((1)/FLOOR(6.4/((A15)/100),1),0),ROUNDUP(((A15)/100)/6.4,0)*(1))*$H$3+IF(FLOOR(6.4/((A15)/100),1)&gt;=1,ROUNDUP((1)/FLOOR(6.4/((A15)/100),1),0),ROUNDUP(((A15)/100)/6.4,0)*(1))*$H$4+IF(FLOOR(6.4/((B15)/100),1)&gt;=1,ROUNDUP((2)/FLOOR(6.4/((B15)/100),1),0),ROUNDUP(((B15)/100)/6.4,0)*(2))*$H$5+IF(FLOOR(6.4/((A15)/100),1)&gt;=1,ROUNDUP((1)/FLOOR(6.4/((A15)/100),1),0),ROUNDUP(((A15)/100)/6.4,0)*(1))*$H$6+IF(FLOOR(6.4/((B15)/100),1)&gt;=1,ROUNDUP(($E$4)/FLOOR(6.4/((B15)/100),1),0),ROUNDUP(((B15)/100)/6.4,0)*($E$4))*$H$7+IF(FLOOR(6.4/((B15)/100),1)&gt;=1,ROUNDUP((2*$E$5)/FLOOR(6.4/((B15)/100),1),0),ROUNDUP(((B15)/100)/6.4,0)*(2*$E$5))*$H$8+IF(FLOOR(6.4/((A15/$B$5)/100),1)&gt;=1,ROUNDUP((2*$B$5)/FLOOR(6.4/((A15/$B$5)/100),1),0),ROUNDUP(((A15/$B$5)/100)/6.4,0)*(2*$B$5))*$H$9+(IF(AND($B$4="อิสระ",$B$5=3),0,IF(A15&gt;300,2,1)))*$H$10+(IF(AND($B$4="อิสระ",$B$5=3),0,IF(A15&gt;300,2,1)))*$H$11+(((A15/100)+($B$5-1)*0.1)*(B15/100))*$B$7+2*$E$3*135+$B$10*100+(6*(B15/100)+9*(A15/100)+2*($E$4+$E$5)*(B15/100))*1.5+(8+4*$B$5)*1+(ROUNDUP(2*((A15/100)+(B15/100))*2/12.5,0))*$B$9+IF(OR($B$6="สีอบพิเศษ",$B$6="สีลายไม้อบพิเศษ"),2000,0)</f>
        <v/>
      </c>
      <c r="E15" s="312">
        <f>D15/C15</f>
        <v/>
      </c>
      <c r="F15" s="312">
        <f>ROUNDUP(E15*(1+$B$8)/100,0)*100</f>
        <v/>
      </c>
      <c r="G15" s="312">
        <f>C15*F15</f>
        <v/>
      </c>
      <c r="H15" s="353">
        <f>(G15-D15)/D15</f>
        <v/>
      </c>
    </row>
    <row r="16" ht="15" customHeight="1" s="129">
      <c r="A16" s="316" t="n">
        <v>360</v>
      </c>
      <c r="B16" s="316" t="n">
        <v>240</v>
      </c>
      <c r="C16" s="312">
        <f>(A16/100)*(B16/100)</f>
        <v/>
      </c>
      <c r="D16" s="312">
        <f>IF(FLOOR(6.4/((A16)/100),1)&gt;=1,ROUNDUP((1)/FLOOR(6.4/((A16)/100),1),0),ROUNDUP(((A16)/100)/6.4,0)*(1))*$H$3+IF(FLOOR(6.4/((A16)/100),1)&gt;=1,ROUNDUP((1)/FLOOR(6.4/((A16)/100),1),0),ROUNDUP(((A16)/100)/6.4,0)*(1))*$H$4+IF(FLOOR(6.4/((B16)/100),1)&gt;=1,ROUNDUP((2)/FLOOR(6.4/((B16)/100),1),0),ROUNDUP(((B16)/100)/6.4,0)*(2))*$H$5+IF(FLOOR(6.4/((A16)/100),1)&gt;=1,ROUNDUP((1)/FLOOR(6.4/((A16)/100),1),0),ROUNDUP(((A16)/100)/6.4,0)*(1))*$H$6+IF(FLOOR(6.4/((B16)/100),1)&gt;=1,ROUNDUP(($E$4)/FLOOR(6.4/((B16)/100),1),0),ROUNDUP(((B16)/100)/6.4,0)*($E$4))*$H$7+IF(FLOOR(6.4/((B16)/100),1)&gt;=1,ROUNDUP((2*$E$5)/FLOOR(6.4/((B16)/100),1),0),ROUNDUP(((B16)/100)/6.4,0)*(2*$E$5))*$H$8+IF(FLOOR(6.4/((A16/$B$5)/100),1)&gt;=1,ROUNDUP((2*$B$5)/FLOOR(6.4/((A16/$B$5)/100),1),0),ROUNDUP(((A16/$B$5)/100)/6.4,0)*(2*$B$5))*$H$9+(IF(AND($B$4="อิสระ",$B$5=3),0,IF(A16&gt;300,2,1)))*$H$10+(IF(AND($B$4="อิสระ",$B$5=3),0,IF(A16&gt;300,2,1)))*$H$11+(((A16/100)+($B$5-1)*0.1)*(B16/100))*$B$7+2*$E$3*135+$B$10*100+(6*(B16/100)+9*(A16/100)+2*($E$4+$E$5)*(B16/100))*1.5+(8+4*$B$5)*1+(ROUNDUP(2*((A16/100)+(B16/100))*2/12.5,0))*$B$9+IF(OR($B$6="สีอบพิเศษ",$B$6="สีลายไม้อบพิเศษ"),2000,0)</f>
        <v/>
      </c>
      <c r="E16" s="312">
        <f>D16/C16</f>
        <v/>
      </c>
      <c r="F16" s="312">
        <f>ROUNDUP(E16*(1+$B$8)/100,0)*100</f>
        <v/>
      </c>
      <c r="G16" s="312">
        <f>C16*F16</f>
        <v/>
      </c>
      <c r="H16" s="353">
        <f>(G16-D16)/D16</f>
        <v/>
      </c>
    </row>
    <row r="17" ht="15" customHeight="1" s="129">
      <c r="A17" s="316" t="n">
        <v>420</v>
      </c>
      <c r="B17" s="316" t="n">
        <v>250</v>
      </c>
      <c r="C17" s="312">
        <f>(A17/100)*(B17/100)</f>
        <v/>
      </c>
      <c r="D17" s="312">
        <f>IF(FLOOR(6.4/((A17)/100),1)&gt;=1,ROUNDUP((1)/FLOOR(6.4/((A17)/100),1),0),ROUNDUP(((A17)/100)/6.4,0)*(1))*$H$3+IF(FLOOR(6.4/((A17)/100),1)&gt;=1,ROUNDUP((1)/FLOOR(6.4/((A17)/100),1),0),ROUNDUP(((A17)/100)/6.4,0)*(1))*$H$4+IF(FLOOR(6.4/((B17)/100),1)&gt;=1,ROUNDUP((2)/FLOOR(6.4/((B17)/100),1),0),ROUNDUP(((B17)/100)/6.4,0)*(2))*$H$5+IF(FLOOR(6.4/((A17)/100),1)&gt;=1,ROUNDUP((1)/FLOOR(6.4/((A17)/100),1),0),ROUNDUP(((A17)/100)/6.4,0)*(1))*$H$6+IF(FLOOR(6.4/((B17)/100),1)&gt;=1,ROUNDUP(($E$4)/FLOOR(6.4/((B17)/100),1),0),ROUNDUP(((B17)/100)/6.4,0)*($E$4))*$H$7+IF(FLOOR(6.4/((B17)/100),1)&gt;=1,ROUNDUP((2*$E$5)/FLOOR(6.4/((B17)/100),1),0),ROUNDUP(((B17)/100)/6.4,0)*(2*$E$5))*$H$8+IF(FLOOR(6.4/((A17/$B$5)/100),1)&gt;=1,ROUNDUP((2*$B$5)/FLOOR(6.4/((A17/$B$5)/100),1),0),ROUNDUP(((A17/$B$5)/100)/6.4,0)*(2*$B$5))*$H$9+(IF(AND($B$4="อิสระ",$B$5=3),0,IF(A17&gt;300,2,1)))*$H$10+(IF(AND($B$4="อิสระ",$B$5=3),0,IF(A17&gt;300,2,1)))*$H$11+(((A17/100)+($B$5-1)*0.1)*(B17/100))*$B$7+2*$E$3*135+$B$10*100+(6*(B17/100)+9*(A17/100)+2*($E$4+$E$5)*(B17/100))*1.5+(8+4*$B$5)*1+(ROUNDUP(2*((A17/100)+(B17/100))*2/12.5,0))*$B$9+IF(OR($B$6="สีอบพิเศษ",$B$6="สีลายไม้อบพิเศษ"),2000,0)</f>
        <v/>
      </c>
      <c r="E17" s="312">
        <f>D17/C17</f>
        <v/>
      </c>
      <c r="F17" s="312">
        <f>ROUNDUP(E17*(1+$B$8)/100,0)*100</f>
        <v/>
      </c>
      <c r="G17" s="312">
        <f>C17*F17</f>
        <v/>
      </c>
      <c r="H17" s="353">
        <f>(G17-D17)/D17</f>
        <v/>
      </c>
    </row>
    <row r="18" ht="15" customHeight="1" s="129">
      <c r="A18" s="316" t="n">
        <v>480</v>
      </c>
      <c r="B18" s="316" t="n">
        <v>260</v>
      </c>
      <c r="C18" s="312">
        <f>(A18/100)*(B18/100)</f>
        <v/>
      </c>
      <c r="D18" s="312">
        <f>IF(FLOOR(6.4/((A18)/100),1)&gt;=1,ROUNDUP((1)/FLOOR(6.4/((A18)/100),1),0),ROUNDUP(((A18)/100)/6.4,0)*(1))*$H$3+IF(FLOOR(6.4/((A18)/100),1)&gt;=1,ROUNDUP((1)/FLOOR(6.4/((A18)/100),1),0),ROUNDUP(((A18)/100)/6.4,0)*(1))*$H$4+IF(FLOOR(6.4/((B18)/100),1)&gt;=1,ROUNDUP((2)/FLOOR(6.4/((B18)/100),1),0),ROUNDUP(((B18)/100)/6.4,0)*(2))*$H$5+IF(FLOOR(6.4/((A18)/100),1)&gt;=1,ROUNDUP((1)/FLOOR(6.4/((A18)/100),1),0),ROUNDUP(((A18)/100)/6.4,0)*(1))*$H$6+IF(FLOOR(6.4/((B18)/100),1)&gt;=1,ROUNDUP(($E$4)/FLOOR(6.4/((B18)/100),1),0),ROUNDUP(((B18)/100)/6.4,0)*($E$4))*$H$7+IF(FLOOR(6.4/((B18)/100),1)&gt;=1,ROUNDUP((2*$E$5)/FLOOR(6.4/((B18)/100),1),0),ROUNDUP(((B18)/100)/6.4,0)*(2*$E$5))*$H$8+IF(FLOOR(6.4/((A18/$B$5)/100),1)&gt;=1,ROUNDUP((2*$B$5)/FLOOR(6.4/((A18/$B$5)/100),1),0),ROUNDUP(((A18/$B$5)/100)/6.4,0)*(2*$B$5))*$H$9+(IF(AND($B$4="อิสระ",$B$5=3),0,IF(A18&gt;300,2,1)))*$H$10+(IF(AND($B$4="อิสระ",$B$5=3),0,IF(A18&gt;300,2,1)))*$H$11+(((A18/100)+($B$5-1)*0.1)*(B18/100))*$B$7+2*$E$3*135+$B$10*100+(6*(B18/100)+9*(A18/100)+2*($E$4+$E$5)*(B18/100))*1.5+(8+4*$B$5)*1+(ROUNDUP(2*((A18/100)+(B18/100))*2/12.5,0))*$B$9+IF(OR($B$6="สีอบพิเศษ",$B$6="สีลายไม้อบพิเศษ"),2000,0)</f>
        <v/>
      </c>
      <c r="E18" s="312">
        <f>D18/C18</f>
        <v/>
      </c>
      <c r="F18" s="312">
        <f>ROUNDUP(E18*(1+$B$8)/100,0)*100</f>
        <v/>
      </c>
      <c r="G18" s="312">
        <f>C18*F18</f>
        <v/>
      </c>
      <c r="H18" s="353">
        <f>(G18-D18)/D18</f>
        <v/>
      </c>
    </row>
    <row r="19" ht="15" customHeight="1" s="129">
      <c r="A19" s="316" t="n">
        <v>540</v>
      </c>
      <c r="B19" s="316" t="n">
        <v>280</v>
      </c>
      <c r="C19" s="312">
        <f>(A19/100)*(B19/100)</f>
        <v/>
      </c>
      <c r="D19" s="312">
        <f>IF(FLOOR(6.4/((A19)/100),1)&gt;=1,ROUNDUP((1)/FLOOR(6.4/((A19)/100),1),0),ROUNDUP(((A19)/100)/6.4,0)*(1))*$H$3+IF(FLOOR(6.4/((A19)/100),1)&gt;=1,ROUNDUP((1)/FLOOR(6.4/((A19)/100),1),0),ROUNDUP(((A19)/100)/6.4,0)*(1))*$H$4+IF(FLOOR(6.4/((B19)/100),1)&gt;=1,ROUNDUP((2)/FLOOR(6.4/((B19)/100),1),0),ROUNDUP(((B19)/100)/6.4,0)*(2))*$H$5+IF(FLOOR(6.4/((A19)/100),1)&gt;=1,ROUNDUP((1)/FLOOR(6.4/((A19)/100),1),0),ROUNDUP(((A19)/100)/6.4,0)*(1))*$H$6+IF(FLOOR(6.4/((B19)/100),1)&gt;=1,ROUNDUP(($E$4)/FLOOR(6.4/((B19)/100),1),0),ROUNDUP(((B19)/100)/6.4,0)*($E$4))*$H$7+IF(FLOOR(6.4/((B19)/100),1)&gt;=1,ROUNDUP((2*$E$5)/FLOOR(6.4/((B19)/100),1),0),ROUNDUP(((B19)/100)/6.4,0)*(2*$E$5))*$H$8+IF(FLOOR(6.4/((A19/$B$5)/100),1)&gt;=1,ROUNDUP((2*$B$5)/FLOOR(6.4/((A19/$B$5)/100),1),0),ROUNDUP(((A19/$B$5)/100)/6.4,0)*(2*$B$5))*$H$9+(IF(AND($B$4="อิสระ",$B$5=3),0,IF(A19&gt;300,2,1)))*$H$10+(IF(AND($B$4="อิสระ",$B$5=3),0,IF(A19&gt;300,2,1)))*$H$11+(((A19/100)+($B$5-1)*0.1)*(B19/100))*$B$7+2*$E$3*135+$B$10*100+(6*(B19/100)+9*(A19/100)+2*($E$4+$E$5)*(B19/100))*1.5+(8+4*$B$5)*1+(ROUNDUP(2*((A19/100)+(B19/100))*2/12.5,0))*$B$9+IF(OR($B$6="สีอบพิเศษ",$B$6="สีลายไม้อบพิเศษ"),2000,0)</f>
        <v/>
      </c>
      <c r="E19" s="312">
        <f>D19/C19</f>
        <v/>
      </c>
      <c r="F19" s="312">
        <f>ROUNDUP(E19*(1+$B$8)/100,0)*100</f>
        <v/>
      </c>
      <c r="G19" s="312">
        <f>C19*F19</f>
        <v/>
      </c>
      <c r="H19" s="353">
        <f>(G19-D19)/D19</f>
        <v/>
      </c>
    </row>
    <row r="20" ht="15" customHeight="1" s="129">
      <c r="A20" s="316" t="n">
        <v>600</v>
      </c>
      <c r="B20" s="316" t="n">
        <v>300</v>
      </c>
      <c r="C20" s="312">
        <f>(A20/100)*(B20/100)</f>
        <v/>
      </c>
      <c r="D20" s="312">
        <f>IF(FLOOR(6.4/((A20)/100),1)&gt;=1,ROUNDUP((1)/FLOOR(6.4/((A20)/100),1),0),ROUNDUP(((A20)/100)/6.4,0)*(1))*$H$3+IF(FLOOR(6.4/((A20)/100),1)&gt;=1,ROUNDUP((1)/FLOOR(6.4/((A20)/100),1),0),ROUNDUP(((A20)/100)/6.4,0)*(1))*$H$4+IF(FLOOR(6.4/((B20)/100),1)&gt;=1,ROUNDUP((2)/FLOOR(6.4/((B20)/100),1),0),ROUNDUP(((B20)/100)/6.4,0)*(2))*$H$5+IF(FLOOR(6.4/((A20)/100),1)&gt;=1,ROUNDUP((1)/FLOOR(6.4/((A20)/100),1),0),ROUNDUP(((A20)/100)/6.4,0)*(1))*$H$6+IF(FLOOR(6.4/((B20)/100),1)&gt;=1,ROUNDUP(($E$4)/FLOOR(6.4/((B20)/100),1),0),ROUNDUP(((B20)/100)/6.4,0)*($E$4))*$H$7+IF(FLOOR(6.4/((B20)/100),1)&gt;=1,ROUNDUP((2*$E$5)/FLOOR(6.4/((B20)/100),1),0),ROUNDUP(((B20)/100)/6.4,0)*(2*$E$5))*$H$8+IF(FLOOR(6.4/((A20/$B$5)/100),1)&gt;=1,ROUNDUP((2*$B$5)/FLOOR(6.4/((A20/$B$5)/100),1),0),ROUNDUP(((A20/$B$5)/100)/6.4,0)*(2*$B$5))*$H$9+(IF(AND($B$4="อิสระ",$B$5=3),0,IF(A20&gt;300,2,1)))*$H$10+(IF(AND($B$4="อิสระ",$B$5=3),0,IF(A20&gt;300,2,1)))*$H$11+(((A20/100)+($B$5-1)*0.1)*(B20/100))*$B$7+2*$E$3*135+$B$10*100+(6*(B20/100)+9*(A20/100)+2*($E$4+$E$5)*(B20/100))*1.5+(8+4*$B$5)*1+(ROUNDUP(2*((A20/100)+(B20/100))*2/12.5,0))*$B$9+IF(OR($B$6="สีอบพิเศษ",$B$6="สีลายไม้อบพิเศษ"),2000,0)</f>
        <v/>
      </c>
      <c r="E20" s="312">
        <f>D20/C20</f>
        <v/>
      </c>
      <c r="F20" s="312">
        <f>ROUNDUP(E20*(1+$B$8)/100,0)*100</f>
        <v/>
      </c>
      <c r="G20" s="312">
        <f>C20*F20</f>
        <v/>
      </c>
      <c r="H20" s="353">
        <f>(G20-D20)/D20</f>
        <v/>
      </c>
    </row>
    <row r="21" ht="15" customHeight="1" s="129">
      <c r="A21" s="316" t="n">
        <v>700</v>
      </c>
      <c r="B21" s="316" t="n">
        <v>300</v>
      </c>
      <c r="C21" s="312">
        <f>(A21/100)*(B21/100)</f>
        <v/>
      </c>
      <c r="D21" s="312">
        <f>IF(FLOOR(6.4/((A21)/100),1)&gt;=1,ROUNDUP((1)/FLOOR(6.4/((A21)/100),1),0),ROUNDUP(((A21)/100)/6.4,0)*(1))*$H$3+IF(FLOOR(6.4/((A21)/100),1)&gt;=1,ROUNDUP((1)/FLOOR(6.4/((A21)/100),1),0),ROUNDUP(((A21)/100)/6.4,0)*(1))*$H$4+IF(FLOOR(6.4/((B21)/100),1)&gt;=1,ROUNDUP((2)/FLOOR(6.4/((B21)/100),1),0),ROUNDUP(((B21)/100)/6.4,0)*(2))*$H$5+IF(FLOOR(6.4/((A21)/100),1)&gt;=1,ROUNDUP((1)/FLOOR(6.4/((A21)/100),1),0),ROUNDUP(((A21)/100)/6.4,0)*(1))*$H$6+IF(FLOOR(6.4/((B21)/100),1)&gt;=1,ROUNDUP(($E$4)/FLOOR(6.4/((B21)/100),1),0),ROUNDUP(((B21)/100)/6.4,0)*($E$4))*$H$7+IF(FLOOR(6.4/((B21)/100),1)&gt;=1,ROUNDUP((2*$E$5)/FLOOR(6.4/((B21)/100),1),0),ROUNDUP(((B21)/100)/6.4,0)*(2*$E$5))*$H$8+IF(FLOOR(6.4/((A21/$B$5)/100),1)&gt;=1,ROUNDUP((2*$B$5)/FLOOR(6.4/((A21/$B$5)/100),1),0),ROUNDUP(((A21/$B$5)/100)/6.4,0)*(2*$B$5))*$H$9+(IF(AND($B$4="อิสระ",$B$5=3),0,IF(A21&gt;300,2,1)))*$H$10+(IF(AND($B$4="อิสระ",$B$5=3),0,IF(A21&gt;300,2,1)))*$H$11+(((A21/100)+($B$5-1)*0.1)*(B21/100))*$B$7+2*$E$3*135+$B$10*100+(6*(B21/100)+9*(A21/100)+2*($E$4+$E$5)*(B21/100))*1.5+(8+4*$B$5)*1+(ROUNDUP(2*((A21/100)+(B21/100))*2/12.5,0))*$B$9+IF(OR($B$6="สีอบพิเศษ",$B$6="สีลายไม้อบพิเศษ"),2000,0)</f>
        <v/>
      </c>
      <c r="E21" s="312">
        <f>D21/C21</f>
        <v/>
      </c>
      <c r="F21" s="312">
        <f>ROUNDUP(E21*(1+$B$8)/100,0)*100</f>
        <v/>
      </c>
      <c r="G21" s="312">
        <f>C21*F21</f>
        <v/>
      </c>
      <c r="H21" s="353">
        <f>(G21-D21)/D21</f>
        <v/>
      </c>
    </row>
    <row r="22" ht="15" customHeight="1" s="129">
      <c r="A22" s="316" t="n">
        <v>800</v>
      </c>
      <c r="B22" s="316" t="n">
        <v>300</v>
      </c>
      <c r="C22" s="312">
        <f>(A22/100)*(B22/100)</f>
        <v/>
      </c>
      <c r="D22" s="312">
        <f>IF(FLOOR(6.4/((A22)/100),1)&gt;=1,ROUNDUP((1)/FLOOR(6.4/((A22)/100),1),0),ROUNDUP(((A22)/100)/6.4,0)*(1))*$H$3+IF(FLOOR(6.4/((A22)/100),1)&gt;=1,ROUNDUP((1)/FLOOR(6.4/((A22)/100),1),0),ROUNDUP(((A22)/100)/6.4,0)*(1))*$H$4+IF(FLOOR(6.4/((B22)/100),1)&gt;=1,ROUNDUP((2)/FLOOR(6.4/((B22)/100),1),0),ROUNDUP(((B22)/100)/6.4,0)*(2))*$H$5+IF(FLOOR(6.4/((A22)/100),1)&gt;=1,ROUNDUP((1)/FLOOR(6.4/((A22)/100),1),0),ROUNDUP(((A22)/100)/6.4,0)*(1))*$H$6+IF(FLOOR(6.4/((B22)/100),1)&gt;=1,ROUNDUP(($E$4)/FLOOR(6.4/((B22)/100),1),0),ROUNDUP(((B22)/100)/6.4,0)*($E$4))*$H$7+IF(FLOOR(6.4/((B22)/100),1)&gt;=1,ROUNDUP((2*$E$5)/FLOOR(6.4/((B22)/100),1),0),ROUNDUP(((B22)/100)/6.4,0)*(2*$E$5))*$H$8+IF(FLOOR(6.4/((A22/$B$5)/100),1)&gt;=1,ROUNDUP((2*$B$5)/FLOOR(6.4/((A22/$B$5)/100),1),0),ROUNDUP(((A22/$B$5)/100)/6.4,0)*(2*$B$5))*$H$9+(IF(AND($B$4="อิสระ",$B$5=3),0,IF(A22&gt;300,2,1)))*$H$10+(IF(AND($B$4="อิสระ",$B$5=3),0,IF(A22&gt;300,2,1)))*$H$11+(((A22/100)+($B$5-1)*0.1)*(B22/100))*$B$7+2*$E$3*135+$B$10*100+(6*(B22/100)+9*(A22/100)+2*($E$4+$E$5)*(B22/100))*1.5+(8+4*$B$5)*1+(ROUNDUP(2*((A22/100)+(B22/100))*2/12.5,0))*$B$9+IF(OR($B$6="สีอบพิเศษ",$B$6="สีลายไม้อบพิเศษ"),2000,0)</f>
        <v/>
      </c>
      <c r="E22" s="312">
        <f>D22/C22</f>
        <v/>
      </c>
      <c r="F22" s="312">
        <f>ROUNDUP(E22*(1+$B$8)/100,0)*100</f>
        <v/>
      </c>
      <c r="G22" s="312">
        <f>C22*F22</f>
        <v/>
      </c>
      <c r="H22" s="353">
        <f>(G22-D22)/D22</f>
        <v/>
      </c>
    </row>
    <row r="23" ht="15" customHeight="1" s="129">
      <c r="A23" s="316" t="n">
        <v>900</v>
      </c>
      <c r="B23" s="316" t="n">
        <v>300</v>
      </c>
      <c r="C23" s="312">
        <f>(A23/100)*(B23/100)</f>
        <v/>
      </c>
      <c r="D23" s="312">
        <f>IF(FLOOR(6.4/((A23)/100),1)&gt;=1,ROUNDUP((1)/FLOOR(6.4/((A23)/100),1),0),ROUNDUP(((A23)/100)/6.4,0)*(1))*$H$3+IF(FLOOR(6.4/((A23)/100),1)&gt;=1,ROUNDUP((1)/FLOOR(6.4/((A23)/100),1),0),ROUNDUP(((A23)/100)/6.4,0)*(1))*$H$4+IF(FLOOR(6.4/((B23)/100),1)&gt;=1,ROUNDUP((2)/FLOOR(6.4/((B23)/100),1),0),ROUNDUP(((B23)/100)/6.4,0)*(2))*$H$5+IF(FLOOR(6.4/((A23)/100),1)&gt;=1,ROUNDUP((1)/FLOOR(6.4/((A23)/100),1),0),ROUNDUP(((A23)/100)/6.4,0)*(1))*$H$6+IF(FLOOR(6.4/((B23)/100),1)&gt;=1,ROUNDUP(($E$4)/FLOOR(6.4/((B23)/100),1),0),ROUNDUP(((B23)/100)/6.4,0)*($E$4))*$H$7+IF(FLOOR(6.4/((B23)/100),1)&gt;=1,ROUNDUP((2*$E$5)/FLOOR(6.4/((B23)/100),1),0),ROUNDUP(((B23)/100)/6.4,0)*(2*$E$5))*$H$8+IF(FLOOR(6.4/((A23/$B$5)/100),1)&gt;=1,ROUNDUP((2*$B$5)/FLOOR(6.4/((A23/$B$5)/100),1),0),ROUNDUP(((A23/$B$5)/100)/6.4,0)*(2*$B$5))*$H$9+(IF(AND($B$4="อิสระ",$B$5=3),0,IF(A23&gt;300,2,1)))*$H$10+(IF(AND($B$4="อิสระ",$B$5=3),0,IF(A23&gt;300,2,1)))*$H$11+(((A23/100)+($B$5-1)*0.1)*(B23/100))*$B$7+2*$E$3*135+$B$10*100+(6*(B23/100)+9*(A23/100)+2*($E$4+$E$5)*(B23/100))*1.5+(8+4*$B$5)*1+(ROUNDUP(2*((A23/100)+(B23/100))*2/12.5,0))*$B$9+IF(OR($B$6="สีอบพิเศษ",$B$6="สีลายไม้อบพิเศษ"),2000,0)</f>
        <v/>
      </c>
      <c r="E23" s="312">
        <f>D23/C23</f>
        <v/>
      </c>
      <c r="F23" s="312">
        <f>ROUNDUP(E23*(1+$B$8)/100,0)*100</f>
        <v/>
      </c>
      <c r="G23" s="312">
        <f>C23*F23</f>
        <v/>
      </c>
      <c r="H23" s="353">
        <f>(G23-D23)/D23</f>
        <v/>
      </c>
    </row>
  </sheetData>
  <mergeCells count="1">
    <mergeCell ref="A1:F1"/>
  </mergeCells>
  <dataValidations count="3">
    <dataValidation sqref="B3" showDropDown="0" showInputMessage="0" showErrorMessage="0" allowBlank="0" type="list" errorStyle="stop" operator="between">
      <formula1>"ภายนอก,ภายใน"</formula1>
      <formula2>0</formula2>
    </dataValidation>
    <dataValidation sqref="B4" showDropDown="0" showInputMessage="0" showErrorMessage="0" allowBlank="0" type="list" errorStyle="stop" operator="between">
      <formula1>"อิสระ,ลากจูง,เปิดคู่กลาง"</formula1>
      <formula2>0</formula2>
    </dataValidation>
    <dataValidation sqref="B6" showDropDown="0" showInputMessage="0" showErrorMessage="0" allowBlank="0" type="list" errorStyle="stop" operator="between">
      <formula1>"สีอบขาว/ดำ,เทาซาฮาร่า,สีดำซาฮาร่า,ลายไม้ stock,สีอบพิเศษ,สีลายไม้อบพิเศษ"</formula1>
      <formula2>0</formula2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tabColor rgb="00A6A6A6"/>
    <outlinePr summaryBelow="1" summaryRight="1"/>
    <pageSetUpPr fitToPage="0"/>
  </sheetPr>
  <dimension ref="A1:R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.1" customWidth="1" style="140" min="1" max="1"/>
    <col width="10.7" customWidth="1" style="140" min="2" max="2"/>
    <col width="6.5" customWidth="1" style="140" min="3" max="3"/>
    <col width="12.8" customWidth="1" style="140" min="4" max="6"/>
    <col width="18" customWidth="1" style="129" min="5" max="5"/>
    <col width="10.7" customWidth="1" style="129" min="6" max="6"/>
    <col width="8.6" customWidth="1" style="140" min="7" max="7"/>
    <col width="18" customWidth="1" style="140" min="8" max="8"/>
    <col hidden="1" width="6.5" customWidth="1" style="140" min="11" max="18"/>
    <col width="6.5" customWidth="1" style="129" min="12" max="12"/>
    <col width="18" customWidth="1" style="129" min="13" max="13"/>
    <col width="4.5" customWidth="1" style="129" min="14" max="14"/>
    <col width="4.5" customWidth="1" style="129" min="15" max="15"/>
    <col width="7.5" customWidth="1" style="129" min="16" max="16"/>
    <col width="6.5" customWidth="1" style="129" min="17" max="17"/>
    <col width="11.7" customWidth="1" style="129" min="18" max="18"/>
  </cols>
  <sheetData>
    <row r="1" ht="24" customHeight="1" s="129">
      <c r="A1" s="286" t="inlineStr">
        <is>
          <t>เทียบทุนบานเฟี้ยมยูโร — ตามจำนวนบาน (พับข้างเดียว N-0)</t>
        </is>
      </c>
      <c r="G1" s="753" t="inlineStr">
        <is>
          <t>🏠 สารบัญ</t>
        </is>
      </c>
      <c r="H1" s="754" t="n"/>
      <c r="I1" s="643" t="n"/>
    </row>
    <row r="3" ht="15" customHeight="1" s="129">
      <c r="A3" s="287" t="inlineStr">
        <is>
          <t>สูง (ซม.) →</t>
        </is>
      </c>
      <c r="B3" s="283" t="n">
        <v>280</v>
      </c>
      <c r="D3" s="324" t="inlineStr">
        <is>
          <t>สีidx=</t>
        </is>
      </c>
      <c r="E3" s="324">
        <f>MATCH(B5,{"สีอบขาว/ดำ","เทาซาฮาร่า","ลายไม้ stock"},0)</f>
        <v/>
      </c>
    </row>
    <row r="4" ht="15" customHeight="1" s="129">
      <c r="A4" s="287" t="inlineStr">
        <is>
          <t>กว้าง/บาน (ซม.) →</t>
        </is>
      </c>
      <c r="B4" s="283" t="n">
        <v>90</v>
      </c>
    </row>
    <row r="5" ht="15" customHeight="1" s="129">
      <c r="A5" s="287" t="inlineStr">
        <is>
          <t>สี →</t>
        </is>
      </c>
      <c r="B5" s="283" t="inlineStr">
        <is>
          <t>สีอบขาว/ดำ</t>
        </is>
      </c>
    </row>
    <row r="6" ht="15" customHeight="1" s="129">
      <c r="A6" s="287" t="inlineStr">
        <is>
          <t>รางล่าง →</t>
        </is>
      </c>
      <c r="B6" s="283" t="inlineStr">
        <is>
          <t>ปกติ</t>
        </is>
      </c>
    </row>
    <row r="7" ht="15" customHeight="1" s="129">
      <c r="A7" s="287" t="inlineStr">
        <is>
          <t>กระจก บาท/ตร.ม. →</t>
        </is>
      </c>
      <c r="B7" s="283" t="n">
        <v>264</v>
      </c>
    </row>
    <row r="8" ht="15" customHeight="1" s="129">
      <c r="A8" s="287" t="inlineStr">
        <is>
          <t>บวกกำไร % →</t>
        </is>
      </c>
      <c r="B8" s="283" t="n">
        <v>100</v>
      </c>
    </row>
    <row r="11" ht="15" customHeight="1" s="129">
      <c r="A11" s="354" t="inlineStr">
        <is>
          <t>บาน</t>
        </is>
      </c>
      <c r="B11" s="354" t="inlineStr">
        <is>
          <t>ขนาด ก×ส</t>
        </is>
      </c>
      <c r="C11" s="354" t="inlineStr">
        <is>
          <t>พื้นที่</t>
        </is>
      </c>
      <c r="D11" s="354" t="inlineStr">
        <is>
          <t>ทุนรวม</t>
        </is>
      </c>
      <c r="E11" s="354" t="inlineStr">
        <is>
          <t>ทุน/ตร.ม.</t>
        </is>
      </c>
      <c r="F11" s="354" t="inlineStr">
        <is>
          <t>ขาย/ตร.ม.</t>
        </is>
      </c>
      <c r="G11" s="354" t="inlineStr">
        <is>
          <t>ขายรวม</t>
        </is>
      </c>
      <c r="H11" s="354" t="inlineStr">
        <is>
          <t>กำไร%</t>
        </is>
      </c>
    </row>
    <row r="12" ht="15" customHeight="1" s="129">
      <c r="A12" s="316" t="n">
        <v>2</v>
      </c>
      <c r="B12" s="316">
        <f>A12*$B$4&amp;"×"&amp;$B$3</f>
        <v/>
      </c>
      <c r="C12" s="312">
        <f>(A12*$B$4/100)*($B$3/100)</f>
        <v/>
      </c>
      <c r="D12" s="312">
        <f>P12+Q12+R12+C12*$B$7+IF($B$6="รางยู",5000,0)</f>
        <v/>
      </c>
      <c r="E12" s="312">
        <f>D12/C12</f>
        <v/>
      </c>
      <c r="F12" s="312">
        <f>ROUNDUP(E12*(1+$B$8/100)/100,0)*100</f>
        <v/>
      </c>
      <c r="G12" s="312">
        <f>C12*F12</f>
        <v/>
      </c>
      <c r="H12" s="353">
        <f>(G12-D12)/D12</f>
        <v/>
      </c>
      <c r="K12" s="324">
        <f>A12*$B$4*10</f>
        <v/>
      </c>
      <c r="L12" s="324">
        <f>$B$3*10</f>
        <v/>
      </c>
      <c r="M12" s="403">
        <f>(K12-110)/A12</f>
        <v/>
      </c>
      <c r="N12" s="403">
        <f>IF(MOD(A12,2)=0,1,0)</f>
        <v/>
      </c>
      <c r="O12" s="403">
        <f>IF(A12=2,IF(L12&lt;=2700,7,10),IF(A12=3,IF(L12&lt;=2500,7,IF(L12&lt;=3000,10,13)),IF(OR(A12=4,A12=5),IF(L12&lt;=2700,11,16),IF(OR(A12=6,A12=7),IF(L12&lt;=2700,15,22),IF(L12&lt;=2700,19,28)))))</f>
        <v/>
      </c>
      <c r="P12" s="403">
        <f>ROUNDUP((K12-36)/6400,0)*CHOOSE($E$3,3140,3370,4980)+ROUNDUP((K12-36)/6400,0)*CHOOSE($E$3,1730,1860,2745)+ROUNDUP((L12*2)/6400,0)*CHOOSE($E$3,1065,1140,1685)+ROUNDUP(((L12-120)*2)/6400,0)*CHOOSE($E$3,475,510,750)+ROUNDUP((K12-36)/6400,0)*CHOOSE($E$3,230,245,360)+ROUNDUP(((L12-94)*(2*A12)+M12*(2*A12))/6400,0)*CHOOSE($E$3,1670,1795,2650)+ROUNDUP(((L12-94)*N12)/6400,0)*CHOOSE($E$3,540,580,855)+ROUNDUP((L12-80)/6400,0)*CHOOSE($E$3,965,1035,1525)+ROUNDUP(((L12-254)*(2*A12)+(M12-120)*(2*A12))/6400,0)*CHOOSE($E$3,340,365,535)</f>
        <v/>
      </c>
      <c r="Q12" s="403">
        <f>299+O12*72+109+199+85+88+2*73+4*A12*15+12*A12*1.5</f>
        <v/>
      </c>
      <c r="R12" s="403">
        <f>(((K12-36)+(K12-36)+L12+(L12-120)*2+(L12-94)*(2*A12)*2+(L12-94)*(2*A12)*2+M12*3+(L12-80))/1000*7)+(((L12-94)*2+(L12-80)*2)/1000*1.22)+((((L12-224)+(M12-130))*2)*A12/1000*8*2)</f>
        <v/>
      </c>
    </row>
    <row r="13" ht="15" customHeight="1" s="129">
      <c r="A13" s="316" t="n">
        <v>3</v>
      </c>
      <c r="B13" s="316">
        <f>A13*$B$4&amp;"×"&amp;$B$3</f>
        <v/>
      </c>
      <c r="C13" s="312">
        <f>(A13*$B$4/100)*($B$3/100)</f>
        <v/>
      </c>
      <c r="D13" s="312">
        <f>P13+Q13+R13+C13*$B$7+IF($B$6="รางยู",5000,0)</f>
        <v/>
      </c>
      <c r="E13" s="312">
        <f>D13/C13</f>
        <v/>
      </c>
      <c r="F13" s="312">
        <f>ROUNDUP(E13*(1+$B$8/100)/100,0)*100</f>
        <v/>
      </c>
      <c r="G13" s="312">
        <f>C13*F13</f>
        <v/>
      </c>
      <c r="H13" s="353">
        <f>(G13-D13)/D13</f>
        <v/>
      </c>
      <c r="K13" s="324">
        <f>A13*$B$4*10</f>
        <v/>
      </c>
      <c r="L13" s="324">
        <f>$B$3*10</f>
        <v/>
      </c>
      <c r="M13" s="403">
        <f>(K13-110)/A13</f>
        <v/>
      </c>
      <c r="N13" s="403">
        <f>IF(MOD(A13,2)=0,1,0)</f>
        <v/>
      </c>
      <c r="O13" s="403">
        <f>IF(A13=2,IF(L13&lt;=2700,7,10),IF(A13=3,IF(L13&lt;=2500,7,IF(L13&lt;=3000,10,13)),IF(OR(A13=4,A13=5),IF(L13&lt;=2700,11,16),IF(OR(A13=6,A13=7),IF(L13&lt;=2700,15,22),IF(L13&lt;=2700,19,28)))))</f>
        <v/>
      </c>
      <c r="P13" s="403">
        <f>ROUNDUP((K13-36)/6400,0)*CHOOSE($E$3,3140,3370,4980)+ROUNDUP((K13-36)/6400,0)*CHOOSE($E$3,1730,1860,2745)+ROUNDUP((L13*2)/6400,0)*CHOOSE($E$3,1065,1140,1685)+ROUNDUP(((L13-120)*2)/6400,0)*CHOOSE($E$3,475,510,750)+ROUNDUP((K13-36)/6400,0)*CHOOSE($E$3,230,245,360)+ROUNDUP(((L13-94)*(2*A13)+M13*(2*A13))/6400,0)*CHOOSE($E$3,1670,1795,2650)+ROUNDUP(((L13-94)*N13)/6400,0)*CHOOSE($E$3,540,580,855)+ROUNDUP((L13-80)/6400,0)*CHOOSE($E$3,965,1035,1525)+ROUNDUP(((L13-254)*(2*A13)+(M13-120)*(2*A13))/6400,0)*CHOOSE($E$3,340,365,535)</f>
        <v/>
      </c>
      <c r="Q13" s="403">
        <f>299+O13*72+109+199+85+88+2*73+4*A13*15+12*A13*1.5</f>
        <v/>
      </c>
      <c r="R13" s="403">
        <f>(((K13-36)+(K13-36)+L13+(L13-120)*2+(L13-94)*(2*A13)*2+(L13-94)*(2*A13)*2+M13*3+(L13-80))/1000*7)+(((L13-94)*2+(L13-80)*2)/1000*1.22)+((((L13-224)+(M13-130))*2)*A13/1000*8*2)</f>
        <v/>
      </c>
    </row>
    <row r="14" ht="15" customHeight="1" s="129">
      <c r="A14" s="316" t="n">
        <v>4</v>
      </c>
      <c r="B14" s="316">
        <f>A14*$B$4&amp;"×"&amp;$B$3</f>
        <v/>
      </c>
      <c r="C14" s="312">
        <f>(A14*$B$4/100)*($B$3/100)</f>
        <v/>
      </c>
      <c r="D14" s="312">
        <f>P14+Q14+R14+C14*$B$7+IF($B$6="รางยู",5000,0)</f>
        <v/>
      </c>
      <c r="E14" s="312">
        <f>D14/C14</f>
        <v/>
      </c>
      <c r="F14" s="312">
        <f>ROUNDUP(E14*(1+$B$8/100)/100,0)*100</f>
        <v/>
      </c>
      <c r="G14" s="312">
        <f>C14*F14</f>
        <v/>
      </c>
      <c r="H14" s="353">
        <f>(G14-D14)/D14</f>
        <v/>
      </c>
      <c r="K14" s="324">
        <f>A14*$B$4*10</f>
        <v/>
      </c>
      <c r="L14" s="324">
        <f>$B$3*10</f>
        <v/>
      </c>
      <c r="M14" s="403">
        <f>(K14-110)/A14</f>
        <v/>
      </c>
      <c r="N14" s="403">
        <f>IF(MOD(A14,2)=0,1,0)</f>
        <v/>
      </c>
      <c r="O14" s="403">
        <f>IF(A14=2,IF(L14&lt;=2700,7,10),IF(A14=3,IF(L14&lt;=2500,7,IF(L14&lt;=3000,10,13)),IF(OR(A14=4,A14=5),IF(L14&lt;=2700,11,16),IF(OR(A14=6,A14=7),IF(L14&lt;=2700,15,22),IF(L14&lt;=2700,19,28)))))</f>
        <v/>
      </c>
      <c r="P14" s="403">
        <f>ROUNDUP((K14-36)/6400,0)*CHOOSE($E$3,3140,3370,4980)+ROUNDUP((K14-36)/6400,0)*CHOOSE($E$3,1730,1860,2745)+ROUNDUP((L14*2)/6400,0)*CHOOSE($E$3,1065,1140,1685)+ROUNDUP(((L14-120)*2)/6400,0)*CHOOSE($E$3,475,510,750)+ROUNDUP((K14-36)/6400,0)*CHOOSE($E$3,230,245,360)+ROUNDUP(((L14-94)*(2*A14)+M14*(2*A14))/6400,0)*CHOOSE($E$3,1670,1795,2650)+ROUNDUP(((L14-94)*N14)/6400,0)*CHOOSE($E$3,540,580,855)+ROUNDUP((L14-80)/6400,0)*CHOOSE($E$3,965,1035,1525)+ROUNDUP(((L14-254)*(2*A14)+(M14-120)*(2*A14))/6400,0)*CHOOSE($E$3,340,365,535)</f>
        <v/>
      </c>
      <c r="Q14" s="403">
        <f>299+O14*72+109+199+85+88+2*73+4*A14*15+12*A14*1.5</f>
        <v/>
      </c>
      <c r="R14" s="403">
        <f>(((K14-36)+(K14-36)+L14+(L14-120)*2+(L14-94)*(2*A14)*2+(L14-94)*(2*A14)*2+M14*3+(L14-80))/1000*7)+(((L14-94)*2+(L14-80)*2)/1000*1.22)+((((L14-224)+(M14-130))*2)*A14/1000*8*2)</f>
        <v/>
      </c>
    </row>
    <row r="15" ht="15" customHeight="1" s="129">
      <c r="A15" s="316" t="n">
        <v>5</v>
      </c>
      <c r="B15" s="316">
        <f>A15*$B$4&amp;"×"&amp;$B$3</f>
        <v/>
      </c>
      <c r="C15" s="312">
        <f>(A15*$B$4/100)*($B$3/100)</f>
        <v/>
      </c>
      <c r="D15" s="312">
        <f>P15+Q15+R15+C15*$B$7+IF($B$6="รางยู",5000,0)</f>
        <v/>
      </c>
      <c r="E15" s="312">
        <f>D15/C15</f>
        <v/>
      </c>
      <c r="F15" s="312">
        <f>ROUNDUP(E15*(1+$B$8/100)/100,0)*100</f>
        <v/>
      </c>
      <c r="G15" s="312">
        <f>C15*F15</f>
        <v/>
      </c>
      <c r="H15" s="353">
        <f>(G15-D15)/D15</f>
        <v/>
      </c>
      <c r="K15" s="324">
        <f>A15*$B$4*10</f>
        <v/>
      </c>
      <c r="L15" s="324">
        <f>$B$3*10</f>
        <v/>
      </c>
      <c r="M15" s="403">
        <f>(K15-110)/A15</f>
        <v/>
      </c>
      <c r="N15" s="403">
        <f>IF(MOD(A15,2)=0,1,0)</f>
        <v/>
      </c>
      <c r="O15" s="403">
        <f>IF(A15=2,IF(L15&lt;=2700,7,10),IF(A15=3,IF(L15&lt;=2500,7,IF(L15&lt;=3000,10,13)),IF(OR(A15=4,A15=5),IF(L15&lt;=2700,11,16),IF(OR(A15=6,A15=7),IF(L15&lt;=2700,15,22),IF(L15&lt;=2700,19,28)))))</f>
        <v/>
      </c>
      <c r="P15" s="403">
        <f>ROUNDUP((K15-36)/6400,0)*CHOOSE($E$3,3140,3370,4980)+ROUNDUP((K15-36)/6400,0)*CHOOSE($E$3,1730,1860,2745)+ROUNDUP((L15*2)/6400,0)*CHOOSE($E$3,1065,1140,1685)+ROUNDUP(((L15-120)*2)/6400,0)*CHOOSE($E$3,475,510,750)+ROUNDUP((K15-36)/6400,0)*CHOOSE($E$3,230,245,360)+ROUNDUP(((L15-94)*(2*A15)+M15*(2*A15))/6400,0)*CHOOSE($E$3,1670,1795,2650)+ROUNDUP(((L15-94)*N15)/6400,0)*CHOOSE($E$3,540,580,855)+ROUNDUP((L15-80)/6400,0)*CHOOSE($E$3,965,1035,1525)+ROUNDUP(((L15-254)*(2*A15)+(M15-120)*(2*A15))/6400,0)*CHOOSE($E$3,340,365,535)</f>
        <v/>
      </c>
      <c r="Q15" s="403">
        <f>299+O15*72+109+199+85+88+2*73+4*A15*15+12*A15*1.5</f>
        <v/>
      </c>
      <c r="R15" s="403">
        <f>(((K15-36)+(K15-36)+L15+(L15-120)*2+(L15-94)*(2*A15)*2+(L15-94)*(2*A15)*2+M15*3+(L15-80))/1000*7)+(((L15-94)*2+(L15-80)*2)/1000*1.22)+((((L15-224)+(M15-130))*2)*A15/1000*8*2)</f>
        <v/>
      </c>
    </row>
    <row r="16" ht="15" customHeight="1" s="129">
      <c r="A16" s="316" t="n">
        <v>6</v>
      </c>
      <c r="B16" s="316">
        <f>A16*$B$4&amp;"×"&amp;$B$3</f>
        <v/>
      </c>
      <c r="C16" s="312">
        <f>(A16*$B$4/100)*($B$3/100)</f>
        <v/>
      </c>
      <c r="D16" s="312">
        <f>P16+Q16+R16+C16*$B$7+IF($B$6="รางยู",5000,0)</f>
        <v/>
      </c>
      <c r="E16" s="312">
        <f>D16/C16</f>
        <v/>
      </c>
      <c r="F16" s="312">
        <f>ROUNDUP(E16*(1+$B$8/100)/100,0)*100</f>
        <v/>
      </c>
      <c r="G16" s="312">
        <f>C16*F16</f>
        <v/>
      </c>
      <c r="H16" s="353">
        <f>(G16-D16)/D16</f>
        <v/>
      </c>
      <c r="K16" s="324">
        <f>A16*$B$4*10</f>
        <v/>
      </c>
      <c r="L16" s="324">
        <f>$B$3*10</f>
        <v/>
      </c>
      <c r="M16" s="403">
        <f>(K16-110)/A16</f>
        <v/>
      </c>
      <c r="N16" s="403">
        <f>IF(MOD(A16,2)=0,1,0)</f>
        <v/>
      </c>
      <c r="O16" s="403">
        <f>IF(A16=2,IF(L16&lt;=2700,7,10),IF(A16=3,IF(L16&lt;=2500,7,IF(L16&lt;=3000,10,13)),IF(OR(A16=4,A16=5),IF(L16&lt;=2700,11,16),IF(OR(A16=6,A16=7),IF(L16&lt;=2700,15,22),IF(L16&lt;=2700,19,28)))))</f>
        <v/>
      </c>
      <c r="P16" s="403">
        <f>ROUNDUP((K16-36)/6400,0)*CHOOSE($E$3,3140,3370,4980)+ROUNDUP((K16-36)/6400,0)*CHOOSE($E$3,1730,1860,2745)+ROUNDUP((L16*2)/6400,0)*CHOOSE($E$3,1065,1140,1685)+ROUNDUP(((L16-120)*2)/6400,0)*CHOOSE($E$3,475,510,750)+ROUNDUP((K16-36)/6400,0)*CHOOSE($E$3,230,245,360)+ROUNDUP(((L16-94)*(2*A16)+M16*(2*A16))/6400,0)*CHOOSE($E$3,1670,1795,2650)+ROUNDUP(((L16-94)*N16)/6400,0)*CHOOSE($E$3,540,580,855)+ROUNDUP((L16-80)/6400,0)*CHOOSE($E$3,965,1035,1525)+ROUNDUP(((L16-254)*(2*A16)+(M16-120)*(2*A16))/6400,0)*CHOOSE($E$3,340,365,535)</f>
        <v/>
      </c>
      <c r="Q16" s="403">
        <f>299+O16*72+109+199+85+88+2*73+4*A16*15+12*A16*1.5</f>
        <v/>
      </c>
      <c r="R16" s="403">
        <f>(((K16-36)+(K16-36)+L16+(L16-120)*2+(L16-94)*(2*A16)*2+(L16-94)*(2*A16)*2+M16*3+(L16-80))/1000*7)+(((L16-94)*2+(L16-80)*2)/1000*1.22)+((((L16-224)+(M16-130))*2)*A16/1000*8*2)</f>
        <v/>
      </c>
    </row>
    <row r="17" ht="15" customHeight="1" s="129">
      <c r="A17" s="316" t="n">
        <v>7</v>
      </c>
      <c r="B17" s="316">
        <f>A17*$B$4&amp;"×"&amp;$B$3</f>
        <v/>
      </c>
      <c r="C17" s="312">
        <f>(A17*$B$4/100)*($B$3/100)</f>
        <v/>
      </c>
      <c r="D17" s="312">
        <f>P17+Q17+R17+C17*$B$7+IF($B$6="รางยู",5000,0)</f>
        <v/>
      </c>
      <c r="E17" s="312">
        <f>D17/C17</f>
        <v/>
      </c>
      <c r="F17" s="312">
        <f>ROUNDUP(E17*(1+$B$8/100)/100,0)*100</f>
        <v/>
      </c>
      <c r="G17" s="312">
        <f>C17*F17</f>
        <v/>
      </c>
      <c r="H17" s="353">
        <f>(G17-D17)/D17</f>
        <v/>
      </c>
      <c r="K17" s="324">
        <f>A17*$B$4*10</f>
        <v/>
      </c>
      <c r="L17" s="324">
        <f>$B$3*10</f>
        <v/>
      </c>
      <c r="M17" s="403">
        <f>(K17-110)/A17</f>
        <v/>
      </c>
      <c r="N17" s="403">
        <f>IF(MOD(A17,2)=0,1,0)</f>
        <v/>
      </c>
      <c r="O17" s="403">
        <f>IF(A17=2,IF(L17&lt;=2700,7,10),IF(A17=3,IF(L17&lt;=2500,7,IF(L17&lt;=3000,10,13)),IF(OR(A17=4,A17=5),IF(L17&lt;=2700,11,16),IF(OR(A17=6,A17=7),IF(L17&lt;=2700,15,22),IF(L17&lt;=2700,19,28)))))</f>
        <v/>
      </c>
      <c r="P17" s="403">
        <f>ROUNDUP((K17-36)/6400,0)*CHOOSE($E$3,3140,3370,4980)+ROUNDUP((K17-36)/6400,0)*CHOOSE($E$3,1730,1860,2745)+ROUNDUP((L17*2)/6400,0)*CHOOSE($E$3,1065,1140,1685)+ROUNDUP(((L17-120)*2)/6400,0)*CHOOSE($E$3,475,510,750)+ROUNDUP((K17-36)/6400,0)*CHOOSE($E$3,230,245,360)+ROUNDUP(((L17-94)*(2*A17)+M17*(2*A17))/6400,0)*CHOOSE($E$3,1670,1795,2650)+ROUNDUP(((L17-94)*N17)/6400,0)*CHOOSE($E$3,540,580,855)+ROUNDUP((L17-80)/6400,0)*CHOOSE($E$3,965,1035,1525)+ROUNDUP(((L17-254)*(2*A17)+(M17-120)*(2*A17))/6400,0)*CHOOSE($E$3,340,365,535)</f>
        <v/>
      </c>
      <c r="Q17" s="403">
        <f>299+O17*72+109+199+85+88+2*73+4*A17*15+12*A17*1.5</f>
        <v/>
      </c>
      <c r="R17" s="403">
        <f>(((K17-36)+(K17-36)+L17+(L17-120)*2+(L17-94)*(2*A17)*2+(L17-94)*(2*A17)*2+M17*3+(L17-80))/1000*7)+(((L17-94)*2+(L17-80)*2)/1000*1.22)+((((L17-224)+(M17-130))*2)*A17/1000*8*2)</f>
        <v/>
      </c>
    </row>
    <row r="18" ht="15" customHeight="1" s="129">
      <c r="A18" s="316" t="n">
        <v>8</v>
      </c>
      <c r="B18" s="316">
        <f>A18*$B$4&amp;"×"&amp;$B$3</f>
        <v/>
      </c>
      <c r="C18" s="312">
        <f>(A18*$B$4/100)*($B$3/100)</f>
        <v/>
      </c>
      <c r="D18" s="312">
        <f>P18+Q18+R18+C18*$B$7+IF($B$6="รางยู",5000,0)</f>
        <v/>
      </c>
      <c r="E18" s="312">
        <f>D18/C18</f>
        <v/>
      </c>
      <c r="F18" s="312">
        <f>ROUNDUP(E18*(1+$B$8/100)/100,0)*100</f>
        <v/>
      </c>
      <c r="G18" s="312">
        <f>C18*F18</f>
        <v/>
      </c>
      <c r="H18" s="353">
        <f>(G18-D18)/D18</f>
        <v/>
      </c>
      <c r="K18" s="324">
        <f>A18*$B$4*10</f>
        <v/>
      </c>
      <c r="L18" s="324">
        <f>$B$3*10</f>
        <v/>
      </c>
      <c r="M18" s="403">
        <f>(K18-110)/A18</f>
        <v/>
      </c>
      <c r="N18" s="403">
        <f>IF(MOD(A18,2)=0,1,0)</f>
        <v/>
      </c>
      <c r="O18" s="403">
        <f>IF(A18=2,IF(L18&lt;=2700,7,10),IF(A18=3,IF(L18&lt;=2500,7,IF(L18&lt;=3000,10,13)),IF(OR(A18=4,A18=5),IF(L18&lt;=2700,11,16),IF(OR(A18=6,A18=7),IF(L18&lt;=2700,15,22),IF(L18&lt;=2700,19,28)))))</f>
        <v/>
      </c>
      <c r="P18" s="403">
        <f>ROUNDUP((K18-36)/6400,0)*CHOOSE($E$3,3140,3370,4980)+ROUNDUP((K18-36)/6400,0)*CHOOSE($E$3,1730,1860,2745)+ROUNDUP((L18*2)/6400,0)*CHOOSE($E$3,1065,1140,1685)+ROUNDUP(((L18-120)*2)/6400,0)*CHOOSE($E$3,475,510,750)+ROUNDUP((K18-36)/6400,0)*CHOOSE($E$3,230,245,360)+ROUNDUP(((L18-94)*(2*A18)+M18*(2*A18))/6400,0)*CHOOSE($E$3,1670,1795,2650)+ROUNDUP(((L18-94)*N18)/6400,0)*CHOOSE($E$3,540,580,855)+ROUNDUP((L18-80)/6400,0)*CHOOSE($E$3,965,1035,1525)+ROUNDUP(((L18-254)*(2*A18)+(M18-120)*(2*A18))/6400,0)*CHOOSE($E$3,340,365,535)</f>
        <v/>
      </c>
      <c r="Q18" s="403">
        <f>299+O18*72+109+199+85+88+2*73+4*A18*15+12*A18*1.5</f>
        <v/>
      </c>
      <c r="R18" s="403">
        <f>(((K18-36)+(K18-36)+L18+(L18-120)*2+(L18-94)*(2*A18)*2+(L18-94)*(2*A18)*2+M18*3+(L18-80))/1000*7)+(((L18-94)*2+(L18-80)*2)/1000*1.22)+((((L18-224)+(M18-130))*2)*A18/1000*8*2)</f>
        <v/>
      </c>
    </row>
  </sheetData>
  <mergeCells count="1">
    <mergeCell ref="A1:F1"/>
  </mergeCells>
  <dataValidations count="2">
    <dataValidation sqref="B5" showDropDown="0" showInputMessage="0" showErrorMessage="0" allowBlank="0" type="list" errorStyle="stop" operator="between">
      <formula1>"สีอบขาว/ดำ,เทาซาฮาร่า,สีดำซาฮาร่า,ลายไม้ stock"</formula1>
      <formula2>0</formula2>
    </dataValidation>
    <dataValidation sqref="B6" showDropDown="0" showInputMessage="0" showErrorMessage="0" allowBlank="0" type="list" errorStyle="stop" operator="between">
      <formula1>"ปกติ,รางยู"</formula1>
      <formula2>0</formula2>
    </dataValidation>
  </dataValidation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9.xml><?xml version="1.0" encoding="utf-8"?>
<worksheet xmlns="http://schemas.openxmlformats.org/spreadsheetml/2006/main">
  <sheetPr>
    <tabColor rgb="00A6A6A6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39.7" customWidth="1" style="129" min="1" max="1"/>
    <col width="24" customWidth="1" style="129" min="2" max="2"/>
    <col width="6.5" customWidth="1" style="129" min="3" max="3"/>
    <col width="7.5" customWidth="1" style="129" min="4" max="4"/>
    <col width="6.5" customWidth="1" style="129" min="5" max="5"/>
    <col width="7.5" customWidth="1" style="129" min="6" max="6"/>
    <col width="8.6" customWidth="1" style="129" min="7" max="7"/>
  </cols>
  <sheetData>
    <row r="1">
      <c r="A1" s="451" t="inlineStr">
        <is>
          <t>ถอดทุนวัสดุ — หลังคาไวนิล</t>
        </is>
      </c>
      <c r="G1" s="753" t="inlineStr">
        <is>
          <t>🏠 สารบัญ</t>
        </is>
      </c>
      <c r="H1" s="759" t="n"/>
    </row>
    <row r="2">
      <c r="A2" s="464" t="inlineStr">
        <is>
          <t>#</t>
        </is>
      </c>
      <c r="B2" s="464" t="inlineStr">
        <is>
          <t>วัสดุ / รายการ</t>
        </is>
      </c>
      <c r="C2" s="464" t="inlineStr">
        <is>
          <t>แปเดี่ยว</t>
        </is>
      </c>
      <c r="D2" s="465" t="n"/>
      <c r="E2" s="464" t="inlineStr">
        <is>
          <t>แปคู่</t>
        </is>
      </c>
      <c r="F2" s="465" t="n"/>
      <c r="G2" s="464" t="inlineStr">
        <is>
          <t>หน่วย</t>
        </is>
      </c>
    </row>
    <row r="3">
      <c r="A3" s="466" t="n"/>
      <c r="B3" s="466" t="n"/>
      <c r="C3" s="464" t="inlineStr">
        <is>
          <t>จำนวน</t>
        </is>
      </c>
      <c r="D3" s="464" t="inlineStr">
        <is>
          <t>ราคา</t>
        </is>
      </c>
      <c r="E3" s="464" t="inlineStr">
        <is>
          <t>จำนวน</t>
        </is>
      </c>
      <c r="F3" s="464" t="inlineStr">
        <is>
          <t>ราคา</t>
        </is>
      </c>
      <c r="G3" s="466" t="n"/>
    </row>
    <row r="4">
      <c r="A4" s="467" t="inlineStr">
        <is>
          <t>ขนาด 300×150 ซม.  (4.5 ตร.ม.)</t>
        </is>
      </c>
    </row>
    <row r="5">
      <c r="A5" s="457" t="n"/>
      <c r="B5" s="457" t="inlineStr">
        <is>
          <t>กล่อง 1.6"×4"</t>
        </is>
      </c>
      <c r="C5" s="458" t="n">
        <v>3</v>
      </c>
      <c r="D5" s="468">
        <f>C5*ราคาวัสดุ!D4</f>
        <v/>
      </c>
      <c r="E5" s="458" t="n">
        <v>3</v>
      </c>
      <c r="F5" s="468">
        <f>E5*ราคาวัสดุ!D4</f>
        <v/>
      </c>
      <c r="G5" s="469" t="inlineStr">
        <is>
          <t>เส้น</t>
        </is>
      </c>
    </row>
    <row r="6">
      <c r="A6" s="457" t="n"/>
      <c r="B6" s="457" t="inlineStr">
        <is>
          <t>กล่อง 1.6"×1.6" (แปเดี่ยว)</t>
        </is>
      </c>
      <c r="C6" s="458" t="n">
        <v>1</v>
      </c>
      <c r="D6" s="468">
        <f>C6*ราคาวัสดุ!D5</f>
        <v/>
      </c>
      <c r="E6" s="458" t="n">
        <v>0</v>
      </c>
      <c r="F6" s="468" t="n">
        <v>0</v>
      </c>
      <c r="G6" s="469" t="inlineStr">
        <is>
          <t>เส้น</t>
        </is>
      </c>
    </row>
    <row r="7">
      <c r="A7" s="457" t="n"/>
      <c r="B7" s="457" t="inlineStr">
        <is>
          <t>กล่อง 1"×1.2" (แปคู่)</t>
        </is>
      </c>
      <c r="C7" s="458" t="n">
        <v>0</v>
      </c>
      <c r="D7" s="468">
        <f>C7*ราคาวัสดุ!D6</f>
        <v/>
      </c>
      <c r="E7" s="458" t="n">
        <v>2</v>
      </c>
      <c r="F7" s="468">
        <f>E7*ราคาวัสดุ!D6</f>
        <v/>
      </c>
      <c r="G7" s="469" t="inlineStr">
        <is>
          <t>เส้น</t>
        </is>
      </c>
    </row>
    <row r="8">
      <c r="A8" s="457" t="n"/>
      <c r="B8" s="457" t="inlineStr">
        <is>
          <t>ฉาก 6 หุน</t>
        </is>
      </c>
      <c r="C8" s="458" t="n">
        <v>1</v>
      </c>
      <c r="D8" s="468">
        <f>C8*ราคาวัสดุ!D7</f>
        <v/>
      </c>
      <c r="E8" s="458" t="n">
        <v>1</v>
      </c>
      <c r="F8" s="468">
        <f>E8*ราคาวัสดุ!D7</f>
        <v/>
      </c>
      <c r="G8" s="469" t="inlineStr">
        <is>
          <t>เส้น</t>
        </is>
      </c>
    </row>
    <row r="9">
      <c r="A9" s="457" t="n"/>
      <c r="B9" s="457" t="inlineStr">
        <is>
          <t>แซด 4"</t>
        </is>
      </c>
      <c r="C9" s="458" t="n">
        <v>1</v>
      </c>
      <c r="D9" s="468">
        <f>C9*ราคาวัสดุ!D8</f>
        <v/>
      </c>
      <c r="E9" s="458" t="n">
        <v>1</v>
      </c>
      <c r="F9" s="468">
        <f>E9*ราคาวัสดุ!D8</f>
        <v/>
      </c>
      <c r="G9" s="469" t="inlineStr">
        <is>
          <t>เส้น</t>
        </is>
      </c>
    </row>
    <row r="10">
      <c r="A10" s="457" t="n"/>
      <c r="B10" s="457" t="inlineStr">
        <is>
          <t>กล่องเหล็ก 1"×1"</t>
        </is>
      </c>
      <c r="C10" s="458" t="n">
        <v>3</v>
      </c>
      <c r="D10" s="468">
        <f>C10*ราคาวัสดุ!D9</f>
        <v/>
      </c>
      <c r="E10" s="458" t="n">
        <v>3</v>
      </c>
      <c r="F10" s="468">
        <f>E10*ราคาวัสดุ!D9</f>
        <v/>
      </c>
      <c r="G10" s="469" t="inlineStr">
        <is>
          <t>เส้น</t>
        </is>
      </c>
    </row>
    <row r="11">
      <c r="A11" s="457" t="n"/>
      <c r="B11" s="457" t="inlineStr">
        <is>
          <t>แผ่นเพลทเหล็ก</t>
        </is>
      </c>
      <c r="C11" s="458" t="n">
        <v>8</v>
      </c>
      <c r="D11" s="468">
        <f>C11*ราคาวัสดุ!D10</f>
        <v/>
      </c>
      <c r="E11" s="458" t="n">
        <v>8</v>
      </c>
      <c r="F11" s="468">
        <f>E11*ราคาวัสดุ!D10</f>
        <v/>
      </c>
      <c r="G11" s="469" t="inlineStr">
        <is>
          <t>แผ่น</t>
        </is>
      </c>
    </row>
    <row r="12">
      <c r="B12" s="457" t="inlineStr">
        <is>
          <t>แผ่นไวนิล (ยาว 7 ม.)</t>
        </is>
      </c>
      <c r="C12" s="458" t="n">
        <v>3</v>
      </c>
      <c r="D12" s="470">
        <f>C12*ราคาวัสดุ!D14</f>
        <v/>
      </c>
      <c r="E12" s="458" t="n">
        <v>3</v>
      </c>
      <c r="F12" s="470">
        <f>E12*ราคาวัสดุ!D14</f>
        <v/>
      </c>
      <c r="G12" s="469" t="inlineStr">
        <is>
          <t>แผ่น</t>
        </is>
      </c>
    </row>
    <row r="13">
      <c r="B13" s="457" t="inlineStr">
        <is>
          <t>ฝาครอบไวนิล (ยาว 7 ม.)</t>
        </is>
      </c>
      <c r="C13" s="458" t="n">
        <v>3</v>
      </c>
      <c r="D13" s="470">
        <f>C13*ราคาวัสดุ!D15</f>
        <v/>
      </c>
      <c r="E13" s="458" t="n">
        <v>3</v>
      </c>
      <c r="F13" s="470">
        <f>E13*ราคาวัสดุ!D15</f>
        <v/>
      </c>
      <c r="G13" s="469" t="inlineStr">
        <is>
          <t>เส้น</t>
        </is>
      </c>
    </row>
    <row r="14">
      <c r="A14" s="471" t="inlineStr">
        <is>
          <t>✅  รวมทุนวัสดุ (300×150)</t>
        </is>
      </c>
      <c r="D14" s="472">
        <f>SUM(D5:D13)</f>
        <v/>
      </c>
      <c r="E14" s="473" t="n"/>
      <c r="F14" s="472">
        <f>SUM(F5:F13)</f>
        <v/>
      </c>
    </row>
    <row r="16">
      <c r="A16" s="467" t="inlineStr">
        <is>
          <t>ขนาด 600×150 ซม.  (9.0 ตร.ม.)</t>
        </is>
      </c>
    </row>
    <row r="17">
      <c r="A17" s="457" t="n"/>
      <c r="B17" s="457" t="inlineStr">
        <is>
          <t>กล่อง 1.6"×4"</t>
        </is>
      </c>
      <c r="C17" s="458" t="n">
        <v>5</v>
      </c>
      <c r="D17" s="468">
        <f>C17*ราคาวัสดุ!D4</f>
        <v/>
      </c>
      <c r="E17" s="458" t="n">
        <v>5</v>
      </c>
      <c r="F17" s="468">
        <f>E17*ราคาวัสดุ!D4</f>
        <v/>
      </c>
      <c r="G17" s="469" t="inlineStr">
        <is>
          <t>เส้น</t>
        </is>
      </c>
    </row>
    <row r="18">
      <c r="A18" s="457" t="n"/>
      <c r="B18" s="457" t="inlineStr">
        <is>
          <t>กล่อง 1.6"×1.6" (แปเดี่ยว)</t>
        </is>
      </c>
      <c r="C18" s="458" t="n">
        <v>2</v>
      </c>
      <c r="D18" s="468">
        <f>C18*ราคาวัสดุ!D5</f>
        <v/>
      </c>
      <c r="E18" s="458" t="n">
        <v>0</v>
      </c>
      <c r="F18" s="468" t="n">
        <v>0</v>
      </c>
      <c r="G18" s="469" t="inlineStr">
        <is>
          <t>เส้น</t>
        </is>
      </c>
    </row>
    <row r="19">
      <c r="A19" s="457" t="n"/>
      <c r="B19" s="457" t="inlineStr">
        <is>
          <t>กล่อง 1"×1.2" (แปคู่)</t>
        </is>
      </c>
      <c r="C19" s="458" t="n">
        <v>0</v>
      </c>
      <c r="D19" s="468">
        <f>C19*ราคาวัสดุ!D6</f>
        <v/>
      </c>
      <c r="E19" s="458" t="n">
        <v>4</v>
      </c>
      <c r="F19" s="468">
        <f>E19*ราคาวัสดุ!D6</f>
        <v/>
      </c>
      <c r="G19" s="469" t="inlineStr">
        <is>
          <t>เส้น</t>
        </is>
      </c>
    </row>
    <row r="20">
      <c r="A20" s="457" t="n"/>
      <c r="B20" s="457" t="inlineStr">
        <is>
          <t>ฉาก 6 หุน</t>
        </is>
      </c>
      <c r="C20" s="458" t="n">
        <v>1</v>
      </c>
      <c r="D20" s="468">
        <f>C20*ราคาวัสดุ!D7</f>
        <v/>
      </c>
      <c r="E20" s="458" t="n">
        <v>1</v>
      </c>
      <c r="F20" s="468">
        <f>E20*ราคาวัสดุ!D7</f>
        <v/>
      </c>
      <c r="G20" s="469" t="inlineStr">
        <is>
          <t>เส้น</t>
        </is>
      </c>
    </row>
    <row r="21">
      <c r="A21" s="457" t="n"/>
      <c r="B21" s="457" t="inlineStr">
        <is>
          <t>แซด 4"</t>
        </is>
      </c>
      <c r="C21" s="458" t="n">
        <v>1</v>
      </c>
      <c r="D21" s="468">
        <f>C21*ราคาวัสดุ!D8</f>
        <v/>
      </c>
      <c r="E21" s="458" t="n">
        <v>1</v>
      </c>
      <c r="F21" s="468">
        <f>E21*ราคาวัสดุ!D8</f>
        <v/>
      </c>
      <c r="G21" s="469" t="inlineStr">
        <is>
          <t>เส้น</t>
        </is>
      </c>
    </row>
    <row r="22">
      <c r="A22" s="457" t="n"/>
      <c r="B22" s="457" t="inlineStr">
        <is>
          <t>กล่องเหล็ก 1"×1"</t>
        </is>
      </c>
      <c r="C22" s="458" t="n">
        <v>4</v>
      </c>
      <c r="D22" s="468">
        <f>C22*ราคาวัสดุ!D9</f>
        <v/>
      </c>
      <c r="E22" s="458" t="n">
        <v>4</v>
      </c>
      <c r="F22" s="468">
        <f>E22*ราคาวัสดุ!D9</f>
        <v/>
      </c>
      <c r="G22" s="469" t="inlineStr">
        <is>
          <t>เส้น</t>
        </is>
      </c>
    </row>
    <row r="23">
      <c r="A23" s="457" t="n"/>
      <c r="B23" s="457" t="inlineStr">
        <is>
          <t>แผ่นเพลทเหล็ก</t>
        </is>
      </c>
      <c r="C23" s="458" t="n">
        <v>14</v>
      </c>
      <c r="D23" s="468">
        <f>C23*ราคาวัสดุ!D10</f>
        <v/>
      </c>
      <c r="E23" s="458" t="n">
        <v>14</v>
      </c>
      <c r="F23" s="468">
        <f>E23*ราคาวัสดุ!D10</f>
        <v/>
      </c>
      <c r="G23" s="469" t="inlineStr">
        <is>
          <t>แผ่น</t>
        </is>
      </c>
    </row>
    <row r="24">
      <c r="B24" s="457" t="inlineStr">
        <is>
          <t>แผ่นไวนิล (ยาว 7 ม.)</t>
        </is>
      </c>
      <c r="C24" s="458" t="n">
        <v>6</v>
      </c>
      <c r="D24" s="470">
        <f>C24*ราคาวัสดุ!D14</f>
        <v/>
      </c>
      <c r="E24" s="458" t="n">
        <v>6</v>
      </c>
      <c r="F24" s="470">
        <f>E24*ราคาวัสดุ!D14</f>
        <v/>
      </c>
      <c r="G24" s="469" t="inlineStr">
        <is>
          <t>แผ่น</t>
        </is>
      </c>
    </row>
    <row r="25">
      <c r="B25" s="457" t="inlineStr">
        <is>
          <t>ฝาครอบไวนิล (ยาว 7 ม.)</t>
        </is>
      </c>
      <c r="C25" s="458" t="n">
        <v>6</v>
      </c>
      <c r="D25" s="470">
        <f>C25*ราคาวัสดุ!D15</f>
        <v/>
      </c>
      <c r="E25" s="458" t="n">
        <v>6</v>
      </c>
      <c r="F25" s="470">
        <f>E25*ราคาวัสดุ!D15</f>
        <v/>
      </c>
      <c r="G25" s="469" t="inlineStr">
        <is>
          <t>เส้น</t>
        </is>
      </c>
    </row>
    <row r="26">
      <c r="A26" s="471" t="inlineStr">
        <is>
          <t>✅  รวมทุนวัสดุ (600×150)</t>
        </is>
      </c>
      <c r="D26" s="472">
        <f>SUM(D17:D25)</f>
        <v/>
      </c>
      <c r="E26" s="473" t="n"/>
      <c r="F26" s="472">
        <f>SUM(F17:F25)</f>
        <v/>
      </c>
    </row>
    <row r="28">
      <c r="A28" s="467" t="inlineStr">
        <is>
          <t>ขนาด 900×150 ซม.  (13.5 ตร.ม.)</t>
        </is>
      </c>
    </row>
    <row r="29">
      <c r="A29" s="457" t="n"/>
      <c r="B29" s="457" t="inlineStr">
        <is>
          <t>กล่อง 1.6"×4"</t>
        </is>
      </c>
      <c r="C29" s="458" t="n">
        <v>7</v>
      </c>
      <c r="D29" s="468">
        <f>C29*ราคาวัสดุ!D4</f>
        <v/>
      </c>
      <c r="E29" s="458" t="n">
        <v>7</v>
      </c>
      <c r="F29" s="468">
        <f>E29*ราคาวัสดุ!D4</f>
        <v/>
      </c>
      <c r="G29" s="469" t="inlineStr">
        <is>
          <t>เส้น</t>
        </is>
      </c>
    </row>
    <row r="30">
      <c r="A30" s="457" t="n"/>
      <c r="B30" s="457" t="inlineStr">
        <is>
          <t>กล่อง 1.6"×1.6" (แปเดี่ยว)</t>
        </is>
      </c>
      <c r="C30" s="458" t="n">
        <v>3</v>
      </c>
      <c r="D30" s="468">
        <f>C30*ราคาวัสดุ!D5</f>
        <v/>
      </c>
      <c r="E30" s="458" t="n">
        <v>0</v>
      </c>
      <c r="F30" s="468" t="n">
        <v>0</v>
      </c>
      <c r="G30" s="469" t="inlineStr">
        <is>
          <t>เส้น</t>
        </is>
      </c>
    </row>
    <row r="31">
      <c r="A31" s="457" t="n"/>
      <c r="B31" s="457" t="inlineStr">
        <is>
          <t>กล่อง 1"×1.2" (แปคู่)</t>
        </is>
      </c>
      <c r="C31" s="458" t="n">
        <v>0</v>
      </c>
      <c r="D31" s="468">
        <f>C31*ราคาวัสดุ!D6</f>
        <v/>
      </c>
      <c r="E31" s="458" t="n">
        <v>6</v>
      </c>
      <c r="F31" s="468">
        <f>E31*ราคาวัสดุ!D6</f>
        <v/>
      </c>
      <c r="G31" s="469" t="inlineStr">
        <is>
          <t>เส้น</t>
        </is>
      </c>
    </row>
    <row r="32">
      <c r="A32" s="457" t="n"/>
      <c r="B32" s="457" t="inlineStr">
        <is>
          <t>ฉาก 6 หุน</t>
        </is>
      </c>
      <c r="C32" s="458" t="n">
        <v>1</v>
      </c>
      <c r="D32" s="468">
        <f>C32*ราคาวัสดุ!D7</f>
        <v/>
      </c>
      <c r="E32" s="458" t="n">
        <v>1</v>
      </c>
      <c r="F32" s="468">
        <f>E32*ราคาวัสดุ!D7</f>
        <v/>
      </c>
      <c r="G32" s="469" t="inlineStr">
        <is>
          <t>เส้น</t>
        </is>
      </c>
    </row>
    <row r="33">
      <c r="A33" s="457" t="n"/>
      <c r="B33" s="457" t="inlineStr">
        <is>
          <t>แซด 4"</t>
        </is>
      </c>
      <c r="C33" s="458" t="n">
        <v>2</v>
      </c>
      <c r="D33" s="468">
        <f>C33*ราคาวัสดุ!D8</f>
        <v/>
      </c>
      <c r="E33" s="458" t="n">
        <v>2</v>
      </c>
      <c r="F33" s="468">
        <f>E33*ราคาวัสดุ!D8</f>
        <v/>
      </c>
      <c r="G33" s="469" t="inlineStr">
        <is>
          <t>เส้น</t>
        </is>
      </c>
    </row>
    <row r="34">
      <c r="A34" s="457" t="n"/>
      <c r="B34" s="457" t="inlineStr">
        <is>
          <t>กล่องเหล็ก 1"×1"</t>
        </is>
      </c>
      <c r="C34" s="458" t="n">
        <v>6</v>
      </c>
      <c r="D34" s="468">
        <f>C34*ราคาวัสดุ!D9</f>
        <v/>
      </c>
      <c r="E34" s="458" t="n">
        <v>6</v>
      </c>
      <c r="F34" s="468">
        <f>E34*ราคาวัสดุ!D9</f>
        <v/>
      </c>
      <c r="G34" s="469" t="inlineStr">
        <is>
          <t>เส้น</t>
        </is>
      </c>
    </row>
    <row r="35">
      <c r="A35" s="457" t="n"/>
      <c r="B35" s="457" t="inlineStr">
        <is>
          <t>แผ่นเพลทเหล็ก</t>
        </is>
      </c>
      <c r="C35" s="458" t="n">
        <v>12</v>
      </c>
      <c r="D35" s="468">
        <f>C35*ราคาวัสดุ!D10</f>
        <v/>
      </c>
      <c r="E35" s="458" t="n">
        <v>12</v>
      </c>
      <c r="F35" s="468">
        <f>E35*ราคาวัสดุ!D10</f>
        <v/>
      </c>
      <c r="G35" s="469" t="inlineStr">
        <is>
          <t>แผ่น</t>
        </is>
      </c>
    </row>
    <row r="36">
      <c r="B36" s="457" t="inlineStr">
        <is>
          <t>แผ่นไวนิล (ยาว 7 ม.)</t>
        </is>
      </c>
      <c r="C36" s="458" t="n">
        <v>9</v>
      </c>
      <c r="D36" s="470">
        <f>C36*ราคาวัสดุ!D14</f>
        <v/>
      </c>
      <c r="E36" s="458" t="n">
        <v>9</v>
      </c>
      <c r="F36" s="470">
        <f>E36*ราคาวัสดุ!D14</f>
        <v/>
      </c>
      <c r="G36" s="469" t="inlineStr">
        <is>
          <t>แผ่น</t>
        </is>
      </c>
    </row>
    <row r="37">
      <c r="B37" s="457" t="inlineStr">
        <is>
          <t>ฝาครอบไวนิล (ยาว 7 ม.)</t>
        </is>
      </c>
      <c r="C37" s="458" t="n">
        <v>9</v>
      </c>
      <c r="D37" s="470">
        <f>C37*ราคาวัสดุ!D15</f>
        <v/>
      </c>
      <c r="E37" s="458" t="n">
        <v>9</v>
      </c>
      <c r="F37" s="470">
        <f>E37*ราคาวัสดุ!D15</f>
        <v/>
      </c>
      <c r="G37" s="469" t="inlineStr">
        <is>
          <t>เส้น</t>
        </is>
      </c>
    </row>
    <row r="38">
      <c r="A38" s="471" t="inlineStr">
        <is>
          <t>✅  รวมทุนวัสดุ (900×150)</t>
        </is>
      </c>
      <c r="D38" s="472">
        <f>SUM(D29:D37)</f>
        <v/>
      </c>
      <c r="E38" s="473" t="n"/>
      <c r="F38" s="472">
        <f>SUM(F29:F37)</f>
        <v/>
      </c>
    </row>
    <row r="40">
      <c r="A40" s="467" t="inlineStr">
        <is>
          <t>ขนาด 1200×150 ซม.  (18.0 ตร.ม.)</t>
        </is>
      </c>
    </row>
    <row r="41">
      <c r="A41" s="457" t="n"/>
      <c r="B41" s="457" t="inlineStr">
        <is>
          <t>กล่อง 1.6"×4"</t>
        </is>
      </c>
      <c r="C41" s="458" t="n">
        <v>10</v>
      </c>
      <c r="D41" s="468">
        <f>C41*ราคาวัสดุ!D4</f>
        <v/>
      </c>
      <c r="E41" s="458" t="n">
        <v>10</v>
      </c>
      <c r="F41" s="468">
        <f>E41*ราคาวัสดุ!D4</f>
        <v/>
      </c>
      <c r="G41" s="469" t="inlineStr">
        <is>
          <t>เส้น</t>
        </is>
      </c>
    </row>
    <row r="42">
      <c r="A42" s="457" t="n"/>
      <c r="B42" s="457" t="inlineStr">
        <is>
          <t>กล่อง 1.6"×1.6" (แปเดี่ยว)</t>
        </is>
      </c>
      <c r="C42" s="458" t="n">
        <v>4</v>
      </c>
      <c r="D42" s="468">
        <f>C42*ราคาวัสดุ!D5</f>
        <v/>
      </c>
      <c r="E42" s="458" t="n">
        <v>0</v>
      </c>
      <c r="F42" s="468" t="n">
        <v>0</v>
      </c>
      <c r="G42" s="469" t="inlineStr">
        <is>
          <t>เส้น</t>
        </is>
      </c>
    </row>
    <row r="43">
      <c r="A43" s="457" t="n"/>
      <c r="B43" s="457" t="inlineStr">
        <is>
          <t>กล่อง 1"×1.2" (แปคู่)</t>
        </is>
      </c>
      <c r="C43" s="458" t="n">
        <v>0</v>
      </c>
      <c r="D43" s="468">
        <f>C43*ราคาวัสดุ!D6</f>
        <v/>
      </c>
      <c r="E43" s="458" t="n">
        <v>8</v>
      </c>
      <c r="F43" s="468">
        <f>E43*ราคาวัสดุ!D6</f>
        <v/>
      </c>
      <c r="G43" s="469" t="inlineStr">
        <is>
          <t>เส้น</t>
        </is>
      </c>
    </row>
    <row r="44">
      <c r="A44" s="457" t="n"/>
      <c r="B44" s="457" t="inlineStr">
        <is>
          <t>ฉาก 6 หุน</t>
        </is>
      </c>
      <c r="C44" s="458" t="n">
        <v>1</v>
      </c>
      <c r="D44" s="468">
        <f>C44*ราคาวัสดุ!D7</f>
        <v/>
      </c>
      <c r="E44" s="458" t="n">
        <v>1</v>
      </c>
      <c r="F44" s="468">
        <f>E44*ราคาวัสดุ!D7</f>
        <v/>
      </c>
      <c r="G44" s="469" t="inlineStr">
        <is>
          <t>เส้น</t>
        </is>
      </c>
    </row>
    <row r="45">
      <c r="A45" s="457" t="n"/>
      <c r="B45" s="457" t="inlineStr">
        <is>
          <t>แซด 4"</t>
        </is>
      </c>
      <c r="C45" s="458" t="n">
        <v>2</v>
      </c>
      <c r="D45" s="468">
        <f>C45*ราคาวัสดุ!D8</f>
        <v/>
      </c>
      <c r="E45" s="458" t="n">
        <v>2</v>
      </c>
      <c r="F45" s="468">
        <f>E45*ราคาวัสดุ!D8</f>
        <v/>
      </c>
      <c r="G45" s="469" t="inlineStr">
        <is>
          <t>เส้น</t>
        </is>
      </c>
    </row>
    <row r="46">
      <c r="A46" s="457" t="n"/>
      <c r="B46" s="457" t="inlineStr">
        <is>
          <t>กล่องเหล็ก 1"×1"</t>
        </is>
      </c>
      <c r="C46" s="458" t="n">
        <v>8</v>
      </c>
      <c r="D46" s="468">
        <f>C46*ราคาวัสดุ!D9</f>
        <v/>
      </c>
      <c r="E46" s="458" t="n">
        <v>8</v>
      </c>
      <c r="F46" s="468">
        <f>E46*ราคาวัสดุ!D9</f>
        <v/>
      </c>
      <c r="G46" s="469" t="inlineStr">
        <is>
          <t>เส้น</t>
        </is>
      </c>
    </row>
    <row r="47">
      <c r="A47" s="457" t="n"/>
      <c r="B47" s="457" t="inlineStr">
        <is>
          <t>แผ่นเพลทเหล็ก</t>
        </is>
      </c>
      <c r="C47" s="458" t="n">
        <v>13</v>
      </c>
      <c r="D47" s="468">
        <f>C47*ราคาวัสดุ!D10</f>
        <v/>
      </c>
      <c r="E47" s="458" t="n">
        <v>13</v>
      </c>
      <c r="F47" s="468">
        <f>E47*ราคาวัสดุ!D10</f>
        <v/>
      </c>
      <c r="G47" s="469" t="inlineStr">
        <is>
          <t>แผ่น</t>
        </is>
      </c>
    </row>
    <row r="48">
      <c r="B48" s="457" t="inlineStr">
        <is>
          <t>แผ่นไวนิล (ยาว 7 ม.)</t>
        </is>
      </c>
      <c r="C48" s="458" t="n">
        <v>12</v>
      </c>
      <c r="D48" s="470">
        <f>C48*ราคาวัสดุ!D14</f>
        <v/>
      </c>
      <c r="E48" s="458" t="n">
        <v>12</v>
      </c>
      <c r="F48" s="470">
        <f>E48*ราคาวัสดุ!D14</f>
        <v/>
      </c>
      <c r="G48" s="469" t="inlineStr">
        <is>
          <t>แผ่น</t>
        </is>
      </c>
    </row>
    <row r="49">
      <c r="B49" s="457" t="inlineStr">
        <is>
          <t>ฝาครอบไวนิล (ยาว 7 ม.)</t>
        </is>
      </c>
      <c r="C49" s="458" t="n">
        <v>12</v>
      </c>
      <c r="D49" s="470">
        <f>C49*ราคาวัสดุ!D15</f>
        <v/>
      </c>
      <c r="E49" s="458" t="n">
        <v>12</v>
      </c>
      <c r="F49" s="470">
        <f>E49*ราคาวัสดุ!D15</f>
        <v/>
      </c>
      <c r="G49" s="469" t="inlineStr">
        <is>
          <t>เส้น</t>
        </is>
      </c>
    </row>
    <row r="50">
      <c r="A50" s="471" t="inlineStr">
        <is>
          <t>✅  รวมทุนวัสดุ (1200×150)</t>
        </is>
      </c>
      <c r="D50" s="472">
        <f>SUM(D41:D49)</f>
        <v/>
      </c>
      <c r="E50" s="473" t="n"/>
      <c r="F50" s="472">
        <f>SUM(F41:F49)</f>
        <v/>
      </c>
    </row>
    <row r="52">
      <c r="A52" s="467" t="inlineStr">
        <is>
          <t>ขนาด 1600×150 ซม.  (24.0 ตร.ม.)</t>
        </is>
      </c>
    </row>
    <row r="53">
      <c r="A53" s="457" t="n"/>
      <c r="B53" s="457" t="inlineStr">
        <is>
          <t>กล่อง 1.6"×4"</t>
        </is>
      </c>
      <c r="C53" s="458" t="n">
        <v>13</v>
      </c>
      <c r="D53" s="468">
        <f>C53*ราคาวัสดุ!D4</f>
        <v/>
      </c>
      <c r="E53" s="458" t="n">
        <v>13</v>
      </c>
      <c r="F53" s="468">
        <f>E53*ราคาวัสดุ!D4</f>
        <v/>
      </c>
      <c r="G53" s="469" t="inlineStr">
        <is>
          <t>เส้น</t>
        </is>
      </c>
    </row>
    <row r="54">
      <c r="A54" s="457" t="n"/>
      <c r="B54" s="457" t="inlineStr">
        <is>
          <t>กล่อง 1.6"×1.6" (แปเดี่ยว)</t>
        </is>
      </c>
      <c r="C54" s="458" t="n">
        <v>6</v>
      </c>
      <c r="D54" s="468">
        <f>C54*ราคาวัสดุ!D5</f>
        <v/>
      </c>
      <c r="E54" s="458" t="n">
        <v>0</v>
      </c>
      <c r="F54" s="468" t="n">
        <v>0</v>
      </c>
      <c r="G54" s="469" t="inlineStr">
        <is>
          <t>เส้น</t>
        </is>
      </c>
    </row>
    <row r="55">
      <c r="A55" s="457" t="n"/>
      <c r="B55" s="457" t="inlineStr">
        <is>
          <t>กล่อง 1"×1.2" (แปคู่)</t>
        </is>
      </c>
      <c r="C55" s="458" t="n">
        <v>0</v>
      </c>
      <c r="D55" s="468">
        <f>C55*ราคาวัสดุ!D6</f>
        <v/>
      </c>
      <c r="E55" s="458" t="n">
        <v>11</v>
      </c>
      <c r="F55" s="468">
        <f>E55*ราคาวัสดุ!D6</f>
        <v/>
      </c>
      <c r="G55" s="469" t="inlineStr">
        <is>
          <t>เส้น</t>
        </is>
      </c>
    </row>
    <row r="56">
      <c r="A56" s="457" t="n"/>
      <c r="B56" s="457" t="inlineStr">
        <is>
          <t>ฉาก 6 หุน</t>
        </is>
      </c>
      <c r="C56" s="458" t="n">
        <v>1</v>
      </c>
      <c r="D56" s="468">
        <f>C56*ราคาวัสดุ!D7</f>
        <v/>
      </c>
      <c r="E56" s="458" t="n">
        <v>1</v>
      </c>
      <c r="F56" s="468">
        <f>E56*ราคาวัสดุ!D7</f>
        <v/>
      </c>
      <c r="G56" s="469" t="inlineStr">
        <is>
          <t>เส้น</t>
        </is>
      </c>
    </row>
    <row r="57">
      <c r="A57" s="457" t="n"/>
      <c r="B57" s="457" t="inlineStr">
        <is>
          <t>แซด 4"</t>
        </is>
      </c>
      <c r="C57" s="458" t="n">
        <v>3</v>
      </c>
      <c r="D57" s="468">
        <f>C57*ราคาวัสดุ!D8</f>
        <v/>
      </c>
      <c r="E57" s="458" t="n">
        <v>3</v>
      </c>
      <c r="F57" s="468">
        <f>E57*ราคาวัสดุ!D8</f>
        <v/>
      </c>
      <c r="G57" s="469" t="inlineStr">
        <is>
          <t>เส้น</t>
        </is>
      </c>
    </row>
    <row r="58">
      <c r="A58" s="457" t="n"/>
      <c r="B58" s="457" t="inlineStr">
        <is>
          <t>กล่องเหล็ก 1"×1"</t>
        </is>
      </c>
      <c r="C58" s="458" t="n">
        <v>10</v>
      </c>
      <c r="D58" s="468">
        <f>C58*ราคาวัสดุ!D9</f>
        <v/>
      </c>
      <c r="E58" s="458" t="n">
        <v>10</v>
      </c>
      <c r="F58" s="468">
        <f>E58*ราคาวัสดุ!D9</f>
        <v/>
      </c>
      <c r="G58" s="469" t="inlineStr">
        <is>
          <t>เส้น</t>
        </is>
      </c>
    </row>
    <row r="59">
      <c r="A59" s="457" t="n"/>
      <c r="B59" s="457" t="inlineStr">
        <is>
          <t>แผ่นเพลทเหล็ก</t>
        </is>
      </c>
      <c r="C59" s="458" t="n">
        <v>17</v>
      </c>
      <c r="D59" s="468">
        <f>C59*ราคาวัสดุ!D10</f>
        <v/>
      </c>
      <c r="E59" s="458" t="n">
        <v>17</v>
      </c>
      <c r="F59" s="468">
        <f>E59*ราคาวัสดุ!D10</f>
        <v/>
      </c>
      <c r="G59" s="469" t="inlineStr">
        <is>
          <t>แผ่น</t>
        </is>
      </c>
    </row>
    <row r="60">
      <c r="B60" s="457" t="inlineStr">
        <is>
          <t>แผ่นไวนิล (ยาว 7 ม.)</t>
        </is>
      </c>
      <c r="C60" s="458" t="n">
        <v>16</v>
      </c>
      <c r="D60" s="470">
        <f>C60*ราคาวัสดุ!D14</f>
        <v/>
      </c>
      <c r="E60" s="458" t="n">
        <v>16</v>
      </c>
      <c r="F60" s="470">
        <f>E60*ราคาวัสดุ!D14</f>
        <v/>
      </c>
      <c r="G60" s="469" t="inlineStr">
        <is>
          <t>แผ่น</t>
        </is>
      </c>
    </row>
    <row r="61">
      <c r="B61" s="457" t="inlineStr">
        <is>
          <t>ฝาครอบไวนิล (ยาว 7 ม.)</t>
        </is>
      </c>
      <c r="C61" s="458" t="n">
        <v>16</v>
      </c>
      <c r="D61" s="470">
        <f>C61*ราคาวัสดุ!D15</f>
        <v/>
      </c>
      <c r="E61" s="458" t="n">
        <v>16</v>
      </c>
      <c r="F61" s="470">
        <f>E61*ราคาวัสดุ!D15</f>
        <v/>
      </c>
      <c r="G61" s="469" t="inlineStr">
        <is>
          <t>เส้น</t>
        </is>
      </c>
    </row>
    <row r="62">
      <c r="A62" s="471" t="inlineStr">
        <is>
          <t>✅  รวมทุนวัสดุ (1600×150)</t>
        </is>
      </c>
      <c r="D62" s="472">
        <f>SUM(D53:D61)</f>
        <v/>
      </c>
      <c r="E62" s="473" t="n"/>
      <c r="F62" s="472">
        <f>SUM(F53:F61)</f>
        <v/>
      </c>
    </row>
    <row r="64">
      <c r="A64" s="467" t="inlineStr">
        <is>
          <t>ขนาด 2000×150 ซม.  (30.0 ตร.ม.)</t>
        </is>
      </c>
    </row>
    <row r="65">
      <c r="A65" s="457" t="n"/>
      <c r="B65" s="457" t="inlineStr">
        <is>
          <t>กล่อง 1.6"×4"</t>
        </is>
      </c>
      <c r="C65" s="458" t="n">
        <v>16</v>
      </c>
      <c r="D65" s="468">
        <f>C65*ราคาวัสดุ!D4</f>
        <v/>
      </c>
      <c r="E65" s="458" t="n">
        <v>16</v>
      </c>
      <c r="F65" s="468">
        <f>E65*ราคาวัสดุ!D4</f>
        <v/>
      </c>
      <c r="G65" s="469" t="inlineStr">
        <is>
          <t>เส้น</t>
        </is>
      </c>
    </row>
    <row r="66">
      <c r="A66" s="457" t="n"/>
      <c r="B66" s="457" t="inlineStr">
        <is>
          <t>กล่อง 1.6"×1.6" (แปเดี่ยว)</t>
        </is>
      </c>
      <c r="C66" s="458" t="n">
        <v>7</v>
      </c>
      <c r="D66" s="468">
        <f>C66*ราคาวัสดุ!D5</f>
        <v/>
      </c>
      <c r="E66" s="458" t="n">
        <v>0</v>
      </c>
      <c r="F66" s="468" t="n">
        <v>0</v>
      </c>
      <c r="G66" s="469" t="inlineStr">
        <is>
          <t>เส้น</t>
        </is>
      </c>
    </row>
    <row r="67">
      <c r="A67" s="457" t="n"/>
      <c r="B67" s="457" t="inlineStr">
        <is>
          <t>กล่อง 1"×1.2" (แปคู่)</t>
        </is>
      </c>
      <c r="C67" s="458" t="n">
        <v>0</v>
      </c>
      <c r="D67" s="468">
        <f>C67*ราคาวัสดุ!D6</f>
        <v/>
      </c>
      <c r="E67" s="458" t="n">
        <v>14</v>
      </c>
      <c r="F67" s="468">
        <f>E67*ราคาวัสดุ!D6</f>
        <v/>
      </c>
      <c r="G67" s="469" t="inlineStr">
        <is>
          <t>เส้น</t>
        </is>
      </c>
    </row>
    <row r="68">
      <c r="A68" s="457" t="n"/>
      <c r="B68" s="457" t="inlineStr">
        <is>
          <t>ฉาก 6 หุน</t>
        </is>
      </c>
      <c r="C68" s="458" t="n">
        <v>1</v>
      </c>
      <c r="D68" s="468">
        <f>C68*ราคาวัสดุ!D7</f>
        <v/>
      </c>
      <c r="E68" s="458" t="n">
        <v>1</v>
      </c>
      <c r="F68" s="468">
        <f>E68*ราคาวัสดุ!D7</f>
        <v/>
      </c>
      <c r="G68" s="469" t="inlineStr">
        <is>
          <t>เส้น</t>
        </is>
      </c>
    </row>
    <row r="69">
      <c r="A69" s="457" t="n"/>
      <c r="B69" s="457" t="inlineStr">
        <is>
          <t>แซด 4"</t>
        </is>
      </c>
      <c r="C69" s="458" t="n">
        <v>4</v>
      </c>
      <c r="D69" s="468">
        <f>C69*ราคาวัสดุ!D8</f>
        <v/>
      </c>
      <c r="E69" s="458" t="n">
        <v>4</v>
      </c>
      <c r="F69" s="468">
        <f>E69*ราคาวัสดุ!D8</f>
        <v/>
      </c>
      <c r="G69" s="469" t="inlineStr">
        <is>
          <t>เส้น</t>
        </is>
      </c>
    </row>
    <row r="70">
      <c r="A70" s="457" t="n"/>
      <c r="B70" s="457" t="inlineStr">
        <is>
          <t>กล่องเหล็ก 1"×1"</t>
        </is>
      </c>
      <c r="C70" s="458" t="n">
        <v>13</v>
      </c>
      <c r="D70" s="468">
        <f>C70*ราคาวัสดุ!D9</f>
        <v/>
      </c>
      <c r="E70" s="458" t="n">
        <v>13</v>
      </c>
      <c r="F70" s="468">
        <f>E70*ราคาวัสดุ!D9</f>
        <v/>
      </c>
      <c r="G70" s="469" t="inlineStr">
        <is>
          <t>เส้น</t>
        </is>
      </c>
    </row>
    <row r="71">
      <c r="A71" s="457" t="n"/>
      <c r="B71" s="457" t="inlineStr">
        <is>
          <t>แผ่นเพลทเหล็ก</t>
        </is>
      </c>
      <c r="C71" s="458" t="n">
        <v>21</v>
      </c>
      <c r="D71" s="468">
        <f>C71*ราคาวัสดุ!D10</f>
        <v/>
      </c>
      <c r="E71" s="458" t="n">
        <v>21</v>
      </c>
      <c r="F71" s="468">
        <f>E71*ราคาวัสดุ!D10</f>
        <v/>
      </c>
      <c r="G71" s="469" t="inlineStr">
        <is>
          <t>แผ่น</t>
        </is>
      </c>
    </row>
    <row r="72">
      <c r="B72" s="457" t="inlineStr">
        <is>
          <t>แผ่นไวนิล (ยาว 7 ม.)</t>
        </is>
      </c>
      <c r="C72" s="458" t="n">
        <v>20</v>
      </c>
      <c r="D72" s="470">
        <f>C72*ราคาวัสดุ!D14</f>
        <v/>
      </c>
      <c r="E72" s="458" t="n">
        <v>20</v>
      </c>
      <c r="F72" s="470">
        <f>E72*ราคาวัสดุ!D14</f>
        <v/>
      </c>
      <c r="G72" s="469" t="inlineStr">
        <is>
          <t>แผ่น</t>
        </is>
      </c>
    </row>
    <row r="73">
      <c r="B73" s="457" t="inlineStr">
        <is>
          <t>ฝาครอบไวนิล (ยาว 7 ม.)</t>
        </is>
      </c>
      <c r="C73" s="458" t="n">
        <v>20</v>
      </c>
      <c r="D73" s="470">
        <f>C73*ราคาวัสดุ!D15</f>
        <v/>
      </c>
      <c r="E73" s="458" t="n">
        <v>20</v>
      </c>
      <c r="F73" s="470">
        <f>E73*ราคาวัสดุ!D15</f>
        <v/>
      </c>
      <c r="G73" s="469" t="inlineStr">
        <is>
          <t>เส้น</t>
        </is>
      </c>
    </row>
    <row r="74">
      <c r="A74" s="471" t="inlineStr">
        <is>
          <t>✅  รวมทุนวัสดุ (2000×150)</t>
        </is>
      </c>
      <c r="D74" s="472">
        <f>SUM(D65:D73)</f>
        <v/>
      </c>
      <c r="E74" s="473" t="n"/>
      <c r="F74" s="472">
        <f>SUM(F65:F73)</f>
        <v/>
      </c>
    </row>
  </sheetData>
  <mergeCells count="24">
    <mergeCell ref="E26"/>
    <mergeCell ref="A74:C74"/>
    <mergeCell ref="A4:G4"/>
    <mergeCell ref="B2:B3"/>
    <mergeCell ref="A52:G52"/>
    <mergeCell ref="A50:C50"/>
    <mergeCell ref="A26:C26"/>
    <mergeCell ref="A28:G28"/>
    <mergeCell ref="A40:G40"/>
    <mergeCell ref="E50"/>
    <mergeCell ref="A14:C14"/>
    <mergeCell ref="A62:C62"/>
    <mergeCell ref="A2:A3"/>
    <mergeCell ref="A64:G64"/>
    <mergeCell ref="E62"/>
    <mergeCell ref="E14"/>
    <mergeCell ref="A38:C38"/>
    <mergeCell ref="C2:D2"/>
    <mergeCell ref="E2:F2"/>
    <mergeCell ref="A16:G16"/>
    <mergeCell ref="E38"/>
    <mergeCell ref="E74"/>
    <mergeCell ref="A1:F1"/>
    <mergeCell ref="G2:G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A6A6A6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41.3" customWidth="1" style="129" min="1" max="1"/>
    <col width="24" customWidth="1" style="129" min="2" max="2"/>
    <col width="6.5" customWidth="1" style="129" min="3" max="3"/>
    <col width="7.5" customWidth="1" style="129" min="4" max="4"/>
    <col width="6.5" customWidth="1" style="129" min="5" max="5"/>
    <col width="7.5" customWidth="1" style="129" min="6" max="6"/>
    <col width="8.6" customWidth="1" style="129" min="7" max="7"/>
  </cols>
  <sheetData>
    <row r="1">
      <c r="A1" s="451" t="inlineStr">
        <is>
          <t>ถอดทุนวัสดุ — หลังคาดีไลท์</t>
        </is>
      </c>
      <c r="G1" s="753" t="inlineStr">
        <is>
          <t>🏠 สารบัญ</t>
        </is>
      </c>
      <c r="H1" s="759" t="n"/>
    </row>
    <row r="2">
      <c r="A2" s="464" t="inlineStr">
        <is>
          <t>#</t>
        </is>
      </c>
      <c r="B2" s="464" t="inlineStr">
        <is>
          <t>วัสดุ / รายการ</t>
        </is>
      </c>
      <c r="C2" s="464" t="inlineStr">
        <is>
          <t>แปเดี่ยว</t>
        </is>
      </c>
      <c r="D2" s="465" t="n"/>
      <c r="E2" s="464" t="inlineStr">
        <is>
          <t>แปคู่</t>
        </is>
      </c>
      <c r="F2" s="465" t="n"/>
      <c r="G2" s="464" t="inlineStr">
        <is>
          <t>หน่วย</t>
        </is>
      </c>
    </row>
    <row r="3">
      <c r="A3" s="466" t="n"/>
      <c r="B3" s="466" t="n"/>
      <c r="C3" s="464" t="inlineStr">
        <is>
          <t>จำนวน</t>
        </is>
      </c>
      <c r="D3" s="464" t="inlineStr">
        <is>
          <t>ราคา</t>
        </is>
      </c>
      <c r="E3" s="464" t="inlineStr">
        <is>
          <t>จำนวน</t>
        </is>
      </c>
      <c r="F3" s="464" t="inlineStr">
        <is>
          <t>ราคา</t>
        </is>
      </c>
      <c r="G3" s="466" t="n"/>
    </row>
    <row r="4">
      <c r="A4" s="467" t="inlineStr">
        <is>
          <t>ขนาด 300×150 ซม.  (4.5 ตร.ม.)</t>
        </is>
      </c>
    </row>
    <row r="5">
      <c r="A5" s="457" t="n"/>
      <c r="B5" s="457" t="inlineStr">
        <is>
          <t>กล่อง 1.6"×4"</t>
        </is>
      </c>
      <c r="C5" s="458" t="n">
        <v>3</v>
      </c>
      <c r="D5" s="468">
        <f>C5*ราคาวัสดุ!D4</f>
        <v/>
      </c>
      <c r="E5" s="458" t="n">
        <v>3</v>
      </c>
      <c r="F5" s="468">
        <f>E5*ราคาวัสดุ!D4</f>
        <v/>
      </c>
      <c r="G5" s="469" t="inlineStr">
        <is>
          <t>เส้น</t>
        </is>
      </c>
    </row>
    <row r="6">
      <c r="A6" s="457" t="n"/>
      <c r="B6" s="457" t="inlineStr">
        <is>
          <t>กล่อง 1.6"×1.6" (แปเดี่ยว)</t>
        </is>
      </c>
      <c r="C6" s="458" t="n">
        <v>1</v>
      </c>
      <c r="D6" s="468">
        <f>C6*ราคาวัสดุ!D5</f>
        <v/>
      </c>
      <c r="E6" s="458" t="n">
        <v>0</v>
      </c>
      <c r="F6" s="468" t="n">
        <v>0</v>
      </c>
      <c r="G6" s="469" t="inlineStr">
        <is>
          <t>เส้น</t>
        </is>
      </c>
    </row>
    <row r="7">
      <c r="A7" s="457" t="n"/>
      <c r="B7" s="457" t="inlineStr">
        <is>
          <t>กล่อง 1"×1.2" (แปคู่)</t>
        </is>
      </c>
      <c r="C7" s="458" t="n">
        <v>0</v>
      </c>
      <c r="D7" s="468">
        <f>C7*ราคาวัสดุ!D6</f>
        <v/>
      </c>
      <c r="E7" s="458" t="n">
        <v>2</v>
      </c>
      <c r="F7" s="468">
        <f>E7*ราคาวัสดุ!D6</f>
        <v/>
      </c>
      <c r="G7" s="469" t="inlineStr">
        <is>
          <t>เส้น</t>
        </is>
      </c>
    </row>
    <row r="8">
      <c r="A8" s="457" t="n"/>
      <c r="B8" s="457" t="inlineStr">
        <is>
          <t>ฉาก 6 หุน</t>
        </is>
      </c>
      <c r="C8" s="458" t="n">
        <v>1</v>
      </c>
      <c r="D8" s="468">
        <f>C8*ราคาวัสดุ!D7</f>
        <v/>
      </c>
      <c r="E8" s="458" t="n">
        <v>1</v>
      </c>
      <c r="F8" s="468">
        <f>E8*ราคาวัสดุ!D7</f>
        <v/>
      </c>
      <c r="G8" s="469" t="inlineStr">
        <is>
          <t>เส้น</t>
        </is>
      </c>
    </row>
    <row r="9">
      <c r="A9" s="457" t="n"/>
      <c r="B9" s="457" t="inlineStr">
        <is>
          <t>แซด 4"</t>
        </is>
      </c>
      <c r="C9" s="458" t="n">
        <v>1</v>
      </c>
      <c r="D9" s="468">
        <f>C9*ราคาวัสดุ!D8</f>
        <v/>
      </c>
      <c r="E9" s="458" t="n">
        <v>1</v>
      </c>
      <c r="F9" s="468">
        <f>E9*ราคาวัสดุ!D8</f>
        <v/>
      </c>
      <c r="G9" s="469" t="inlineStr">
        <is>
          <t>เส้น</t>
        </is>
      </c>
    </row>
    <row r="10">
      <c r="A10" s="457" t="n"/>
      <c r="B10" s="457" t="inlineStr">
        <is>
          <t>กล่องเหล็ก 1"×1"</t>
        </is>
      </c>
      <c r="C10" s="458" t="n">
        <v>3</v>
      </c>
      <c r="D10" s="468">
        <f>C10*ราคาวัสดุ!D9</f>
        <v/>
      </c>
      <c r="E10" s="458" t="n">
        <v>3</v>
      </c>
      <c r="F10" s="468">
        <f>E10*ราคาวัสดุ!D9</f>
        <v/>
      </c>
      <c r="G10" s="469" t="inlineStr">
        <is>
          <t>เส้น</t>
        </is>
      </c>
    </row>
    <row r="11">
      <c r="A11" s="457" t="n"/>
      <c r="B11" s="457" t="inlineStr">
        <is>
          <t>แผ่นเพลทเหล็ก</t>
        </is>
      </c>
      <c r="C11" s="458" t="n">
        <v>8</v>
      </c>
      <c r="D11" s="468">
        <f>C11*ราคาวัสดุ!D10</f>
        <v/>
      </c>
      <c r="E11" s="458" t="n">
        <v>8</v>
      </c>
      <c r="F11" s="468">
        <f>E11*ราคาวัสดุ!D10</f>
        <v/>
      </c>
      <c r="G11" s="469" t="inlineStr">
        <is>
          <t>แผ่น</t>
        </is>
      </c>
    </row>
    <row r="12">
      <c r="B12" s="457" t="inlineStr">
        <is>
          <t>แผ่นดีไลท์ (ยาว 6 ม.)</t>
        </is>
      </c>
      <c r="C12" s="458" t="n">
        <v>1</v>
      </c>
      <c r="D12" s="470">
        <f>C12*ราคาวัสดุ!D16</f>
        <v/>
      </c>
      <c r="E12" s="458" t="n">
        <v>1</v>
      </c>
      <c r="F12" s="470">
        <f>E12*ราคาวัสดุ!D16</f>
        <v/>
      </c>
      <c r="G12" s="469" t="inlineStr">
        <is>
          <t>แผ่น</t>
        </is>
      </c>
    </row>
    <row r="13">
      <c r="B13" s="474" t="inlineStr">
        <is>
          <t>ฝาครอบดีไลท์ (แถมฟรี)</t>
        </is>
      </c>
      <c r="C13" s="458" t="inlineStr">
        <is>
          <t>-</t>
        </is>
      </c>
      <c r="D13" s="468" t="n">
        <v>0</v>
      </c>
      <c r="E13" s="458" t="inlineStr">
        <is>
          <t>-</t>
        </is>
      </c>
      <c r="F13" s="468" t="n">
        <v>0</v>
      </c>
      <c r="G13" s="460" t="n"/>
    </row>
    <row r="14">
      <c r="A14" s="471" t="inlineStr">
        <is>
          <t>✅  รวมทุนวัสดุ (300×150)</t>
        </is>
      </c>
      <c r="D14" s="472">
        <f>SUM(D5:D13)</f>
        <v/>
      </c>
      <c r="E14" s="473" t="n"/>
      <c r="F14" s="472">
        <f>SUM(F5:F13)</f>
        <v/>
      </c>
    </row>
    <row r="16">
      <c r="A16" s="467" t="inlineStr">
        <is>
          <t>ขนาด 600×150 ซม.  (9.0 ตร.ม.)</t>
        </is>
      </c>
    </row>
    <row r="17">
      <c r="A17" s="457" t="n"/>
      <c r="B17" s="457" t="inlineStr">
        <is>
          <t>กล่อง 1.6"×4"</t>
        </is>
      </c>
      <c r="C17" s="458" t="n">
        <v>5</v>
      </c>
      <c r="D17" s="468">
        <f>C17*ราคาวัสดุ!D4</f>
        <v/>
      </c>
      <c r="E17" s="458" t="n">
        <v>5</v>
      </c>
      <c r="F17" s="468">
        <f>E17*ราคาวัสดุ!D4</f>
        <v/>
      </c>
      <c r="G17" s="469" t="inlineStr">
        <is>
          <t>เส้น</t>
        </is>
      </c>
    </row>
    <row r="18">
      <c r="A18" s="457" t="n"/>
      <c r="B18" s="457" t="inlineStr">
        <is>
          <t>กล่อง 1.6"×1.6" (แปเดี่ยว)</t>
        </is>
      </c>
      <c r="C18" s="458" t="n">
        <v>2</v>
      </c>
      <c r="D18" s="468">
        <f>C18*ราคาวัสดุ!D5</f>
        <v/>
      </c>
      <c r="E18" s="458" t="n">
        <v>0</v>
      </c>
      <c r="F18" s="468" t="n">
        <v>0</v>
      </c>
      <c r="G18" s="469" t="inlineStr">
        <is>
          <t>เส้น</t>
        </is>
      </c>
    </row>
    <row r="19">
      <c r="A19" s="457" t="n"/>
      <c r="B19" s="457" t="inlineStr">
        <is>
          <t>กล่อง 1"×1.2" (แปคู่)</t>
        </is>
      </c>
      <c r="C19" s="458" t="n">
        <v>0</v>
      </c>
      <c r="D19" s="468">
        <f>C19*ราคาวัสดุ!D6</f>
        <v/>
      </c>
      <c r="E19" s="458" t="n">
        <v>4</v>
      </c>
      <c r="F19" s="468">
        <f>E19*ราคาวัสดุ!D6</f>
        <v/>
      </c>
      <c r="G19" s="469" t="inlineStr">
        <is>
          <t>เส้น</t>
        </is>
      </c>
    </row>
    <row r="20">
      <c r="A20" s="457" t="n"/>
      <c r="B20" s="457" t="inlineStr">
        <is>
          <t>ฉาก 6 หุน</t>
        </is>
      </c>
      <c r="C20" s="458" t="n">
        <v>1</v>
      </c>
      <c r="D20" s="468">
        <f>C20*ราคาวัสดุ!D7</f>
        <v/>
      </c>
      <c r="E20" s="458" t="n">
        <v>1</v>
      </c>
      <c r="F20" s="468">
        <f>E20*ราคาวัสดุ!D7</f>
        <v/>
      </c>
      <c r="G20" s="469" t="inlineStr">
        <is>
          <t>เส้น</t>
        </is>
      </c>
    </row>
    <row r="21">
      <c r="A21" s="457" t="n"/>
      <c r="B21" s="457" t="inlineStr">
        <is>
          <t>แซด 4"</t>
        </is>
      </c>
      <c r="C21" s="458" t="n">
        <v>1</v>
      </c>
      <c r="D21" s="468">
        <f>C21*ราคาวัสดุ!D8</f>
        <v/>
      </c>
      <c r="E21" s="458" t="n">
        <v>1</v>
      </c>
      <c r="F21" s="468">
        <f>E21*ราคาวัสดุ!D8</f>
        <v/>
      </c>
      <c r="G21" s="469" t="inlineStr">
        <is>
          <t>เส้น</t>
        </is>
      </c>
    </row>
    <row r="22">
      <c r="A22" s="457" t="n"/>
      <c r="B22" s="457" t="inlineStr">
        <is>
          <t>กล่องเหล็ก 1"×1"</t>
        </is>
      </c>
      <c r="C22" s="458" t="n">
        <v>4</v>
      </c>
      <c r="D22" s="468">
        <f>C22*ราคาวัสดุ!D9</f>
        <v/>
      </c>
      <c r="E22" s="458" t="n">
        <v>4</v>
      </c>
      <c r="F22" s="468">
        <f>E22*ราคาวัสดุ!D9</f>
        <v/>
      </c>
      <c r="G22" s="469" t="inlineStr">
        <is>
          <t>เส้น</t>
        </is>
      </c>
    </row>
    <row r="23">
      <c r="A23" s="457" t="n"/>
      <c r="B23" s="457" t="inlineStr">
        <is>
          <t>แผ่นเพลทเหล็ก</t>
        </is>
      </c>
      <c r="C23" s="458" t="n">
        <v>14</v>
      </c>
      <c r="D23" s="468">
        <f>C23*ราคาวัสดุ!D10</f>
        <v/>
      </c>
      <c r="E23" s="458" t="n">
        <v>14</v>
      </c>
      <c r="F23" s="468">
        <f>E23*ราคาวัสดุ!D10</f>
        <v/>
      </c>
      <c r="G23" s="469" t="inlineStr">
        <is>
          <t>แผ่น</t>
        </is>
      </c>
    </row>
    <row r="24">
      <c r="B24" s="457" t="inlineStr">
        <is>
          <t>แผ่นดีไลท์ (ยาว 6 ม.)</t>
        </is>
      </c>
      <c r="C24" s="458" t="n">
        <v>2</v>
      </c>
      <c r="D24" s="470">
        <f>C24*ราคาวัสดุ!D16</f>
        <v/>
      </c>
      <c r="E24" s="458" t="n">
        <v>2</v>
      </c>
      <c r="F24" s="470">
        <f>E24*ราคาวัสดุ!D16</f>
        <v/>
      </c>
      <c r="G24" s="469" t="inlineStr">
        <is>
          <t>แผ่น</t>
        </is>
      </c>
    </row>
    <row r="25">
      <c r="B25" s="474" t="inlineStr">
        <is>
          <t>ฝาครอบดีไลท์ (แถมฟรี)</t>
        </is>
      </c>
      <c r="C25" s="458" t="inlineStr">
        <is>
          <t>-</t>
        </is>
      </c>
      <c r="D25" s="468" t="n">
        <v>0</v>
      </c>
      <c r="E25" s="458" t="inlineStr">
        <is>
          <t>-</t>
        </is>
      </c>
      <c r="F25" s="468" t="n">
        <v>0</v>
      </c>
      <c r="G25" s="460" t="n"/>
    </row>
    <row r="26">
      <c r="A26" s="471" t="inlineStr">
        <is>
          <t>✅  รวมทุนวัสดุ (600×150)</t>
        </is>
      </c>
      <c r="D26" s="472">
        <f>SUM(D17:D25)</f>
        <v/>
      </c>
      <c r="E26" s="473" t="n"/>
      <c r="F26" s="472">
        <f>SUM(F17:F25)</f>
        <v/>
      </c>
    </row>
    <row r="28">
      <c r="A28" s="467" t="inlineStr">
        <is>
          <t>ขนาด 900×150 ซม.  (13.5 ตร.ม.)</t>
        </is>
      </c>
    </row>
    <row r="29">
      <c r="A29" s="457" t="n"/>
      <c r="B29" s="457" t="inlineStr">
        <is>
          <t>กล่อง 1.6"×4"</t>
        </is>
      </c>
      <c r="C29" s="458" t="n">
        <v>7</v>
      </c>
      <c r="D29" s="468">
        <f>C29*ราคาวัสดุ!D4</f>
        <v/>
      </c>
      <c r="E29" s="458" t="n">
        <v>7</v>
      </c>
      <c r="F29" s="468">
        <f>E29*ราคาวัสดุ!D4</f>
        <v/>
      </c>
      <c r="G29" s="469" t="inlineStr">
        <is>
          <t>เส้น</t>
        </is>
      </c>
    </row>
    <row r="30">
      <c r="A30" s="457" t="n"/>
      <c r="B30" s="457" t="inlineStr">
        <is>
          <t>กล่อง 1.6"×1.6" (แปเดี่ยว)</t>
        </is>
      </c>
      <c r="C30" s="458" t="n">
        <v>3</v>
      </c>
      <c r="D30" s="468">
        <f>C30*ราคาวัสดุ!D5</f>
        <v/>
      </c>
      <c r="E30" s="458" t="n">
        <v>0</v>
      </c>
      <c r="F30" s="468" t="n">
        <v>0</v>
      </c>
      <c r="G30" s="469" t="inlineStr">
        <is>
          <t>เส้น</t>
        </is>
      </c>
    </row>
    <row r="31">
      <c r="A31" s="457" t="n"/>
      <c r="B31" s="457" t="inlineStr">
        <is>
          <t>กล่อง 1"×1.2" (แปคู่)</t>
        </is>
      </c>
      <c r="C31" s="458" t="n">
        <v>0</v>
      </c>
      <c r="D31" s="468">
        <f>C31*ราคาวัสดุ!D6</f>
        <v/>
      </c>
      <c r="E31" s="458" t="n">
        <v>6</v>
      </c>
      <c r="F31" s="468">
        <f>E31*ราคาวัสดุ!D6</f>
        <v/>
      </c>
      <c r="G31" s="469" t="inlineStr">
        <is>
          <t>เส้น</t>
        </is>
      </c>
    </row>
    <row r="32">
      <c r="A32" s="457" t="n"/>
      <c r="B32" s="457" t="inlineStr">
        <is>
          <t>ฉาก 6 หุน</t>
        </is>
      </c>
      <c r="C32" s="458" t="n">
        <v>1</v>
      </c>
      <c r="D32" s="468">
        <f>C32*ราคาวัสดุ!D7</f>
        <v/>
      </c>
      <c r="E32" s="458" t="n">
        <v>1</v>
      </c>
      <c r="F32" s="468">
        <f>E32*ราคาวัสดุ!D7</f>
        <v/>
      </c>
      <c r="G32" s="469" t="inlineStr">
        <is>
          <t>เส้น</t>
        </is>
      </c>
    </row>
    <row r="33">
      <c r="A33" s="457" t="n"/>
      <c r="B33" s="457" t="inlineStr">
        <is>
          <t>แซด 4"</t>
        </is>
      </c>
      <c r="C33" s="458" t="n">
        <v>2</v>
      </c>
      <c r="D33" s="468">
        <f>C33*ราคาวัสดุ!D8</f>
        <v/>
      </c>
      <c r="E33" s="458" t="n">
        <v>2</v>
      </c>
      <c r="F33" s="468">
        <f>E33*ราคาวัสดุ!D8</f>
        <v/>
      </c>
      <c r="G33" s="469" t="inlineStr">
        <is>
          <t>เส้น</t>
        </is>
      </c>
    </row>
    <row r="34">
      <c r="A34" s="457" t="n"/>
      <c r="B34" s="457" t="inlineStr">
        <is>
          <t>กล่องเหล็ก 1"×1"</t>
        </is>
      </c>
      <c r="C34" s="458" t="n">
        <v>6</v>
      </c>
      <c r="D34" s="468">
        <f>C34*ราคาวัสดุ!D9</f>
        <v/>
      </c>
      <c r="E34" s="458" t="n">
        <v>6</v>
      </c>
      <c r="F34" s="468">
        <f>E34*ราคาวัสดุ!D9</f>
        <v/>
      </c>
      <c r="G34" s="469" t="inlineStr">
        <is>
          <t>เส้น</t>
        </is>
      </c>
    </row>
    <row r="35">
      <c r="A35" s="457" t="n"/>
      <c r="B35" s="457" t="inlineStr">
        <is>
          <t>แผ่นเพลทเหล็ก</t>
        </is>
      </c>
      <c r="C35" s="458" t="n">
        <v>12</v>
      </c>
      <c r="D35" s="468">
        <f>C35*ราคาวัสดุ!D10</f>
        <v/>
      </c>
      <c r="E35" s="458" t="n">
        <v>12</v>
      </c>
      <c r="F35" s="468">
        <f>E35*ราคาวัสดุ!D10</f>
        <v/>
      </c>
      <c r="G35" s="469" t="inlineStr">
        <is>
          <t>แผ่น</t>
        </is>
      </c>
    </row>
    <row r="36">
      <c r="B36" s="457" t="inlineStr">
        <is>
          <t>แผ่นดีไลท์ (ยาว 6 ม.)</t>
        </is>
      </c>
      <c r="C36" s="458" t="n">
        <v>3</v>
      </c>
      <c r="D36" s="470">
        <f>C36*ราคาวัสดุ!D16</f>
        <v/>
      </c>
      <c r="E36" s="458" t="n">
        <v>3</v>
      </c>
      <c r="F36" s="470">
        <f>E36*ราคาวัสดุ!D16</f>
        <v/>
      </c>
      <c r="G36" s="469" t="inlineStr">
        <is>
          <t>แผ่น</t>
        </is>
      </c>
    </row>
    <row r="37">
      <c r="B37" s="474" t="inlineStr">
        <is>
          <t>ฝาครอบดีไลท์ (แถมฟรี)</t>
        </is>
      </c>
      <c r="C37" s="458" t="inlineStr">
        <is>
          <t>-</t>
        </is>
      </c>
      <c r="D37" s="468" t="n">
        <v>0</v>
      </c>
      <c r="E37" s="458" t="inlineStr">
        <is>
          <t>-</t>
        </is>
      </c>
      <c r="F37" s="468" t="n">
        <v>0</v>
      </c>
      <c r="G37" s="460" t="n"/>
    </row>
    <row r="38">
      <c r="A38" s="471" t="inlineStr">
        <is>
          <t>✅  รวมทุนวัสดุ (900×150)</t>
        </is>
      </c>
      <c r="D38" s="472">
        <f>SUM(D29:D37)</f>
        <v/>
      </c>
      <c r="E38" s="473" t="n"/>
      <c r="F38" s="472">
        <f>SUM(F29:F37)</f>
        <v/>
      </c>
    </row>
    <row r="40">
      <c r="A40" s="467" t="inlineStr">
        <is>
          <t>ขนาด 1200×150 ซม.  (18.0 ตร.ม.)</t>
        </is>
      </c>
    </row>
    <row r="41">
      <c r="A41" s="457" t="n"/>
      <c r="B41" s="457" t="inlineStr">
        <is>
          <t>กล่อง 1.6"×4"</t>
        </is>
      </c>
      <c r="C41" s="458" t="n">
        <v>10</v>
      </c>
      <c r="D41" s="468">
        <f>C41*ราคาวัสดุ!D4</f>
        <v/>
      </c>
      <c r="E41" s="458" t="n">
        <v>10</v>
      </c>
      <c r="F41" s="468">
        <f>E41*ราคาวัสดุ!D4</f>
        <v/>
      </c>
      <c r="G41" s="469" t="inlineStr">
        <is>
          <t>เส้น</t>
        </is>
      </c>
    </row>
    <row r="42">
      <c r="A42" s="457" t="n"/>
      <c r="B42" s="457" t="inlineStr">
        <is>
          <t>กล่อง 1.6"×1.6" (แปเดี่ยว)</t>
        </is>
      </c>
      <c r="C42" s="458" t="n">
        <v>4</v>
      </c>
      <c r="D42" s="468">
        <f>C42*ราคาวัสดุ!D5</f>
        <v/>
      </c>
      <c r="E42" s="458" t="n">
        <v>0</v>
      </c>
      <c r="F42" s="468" t="n">
        <v>0</v>
      </c>
      <c r="G42" s="469" t="inlineStr">
        <is>
          <t>เส้น</t>
        </is>
      </c>
    </row>
    <row r="43">
      <c r="A43" s="457" t="n"/>
      <c r="B43" s="457" t="inlineStr">
        <is>
          <t>กล่อง 1"×1.2" (แปคู่)</t>
        </is>
      </c>
      <c r="C43" s="458" t="n">
        <v>0</v>
      </c>
      <c r="D43" s="468">
        <f>C43*ราคาวัสดุ!D6</f>
        <v/>
      </c>
      <c r="E43" s="458" t="n">
        <v>8</v>
      </c>
      <c r="F43" s="468">
        <f>E43*ราคาวัสดุ!D6</f>
        <v/>
      </c>
      <c r="G43" s="469" t="inlineStr">
        <is>
          <t>เส้น</t>
        </is>
      </c>
    </row>
    <row r="44">
      <c r="A44" s="457" t="n"/>
      <c r="B44" s="457" t="inlineStr">
        <is>
          <t>ฉาก 6 หุน</t>
        </is>
      </c>
      <c r="C44" s="458" t="n">
        <v>1</v>
      </c>
      <c r="D44" s="468">
        <f>C44*ราคาวัสดุ!D7</f>
        <v/>
      </c>
      <c r="E44" s="458" t="n">
        <v>1</v>
      </c>
      <c r="F44" s="468">
        <f>E44*ราคาวัสดุ!D7</f>
        <v/>
      </c>
      <c r="G44" s="469" t="inlineStr">
        <is>
          <t>เส้น</t>
        </is>
      </c>
    </row>
    <row r="45">
      <c r="A45" s="457" t="n"/>
      <c r="B45" s="457" t="inlineStr">
        <is>
          <t>แซด 4"</t>
        </is>
      </c>
      <c r="C45" s="458" t="n">
        <v>2</v>
      </c>
      <c r="D45" s="468">
        <f>C45*ราคาวัสดุ!D8</f>
        <v/>
      </c>
      <c r="E45" s="458" t="n">
        <v>2</v>
      </c>
      <c r="F45" s="468">
        <f>E45*ราคาวัสดุ!D8</f>
        <v/>
      </c>
      <c r="G45" s="469" t="inlineStr">
        <is>
          <t>เส้น</t>
        </is>
      </c>
    </row>
    <row r="46">
      <c r="A46" s="457" t="n"/>
      <c r="B46" s="457" t="inlineStr">
        <is>
          <t>กล่องเหล็ก 1"×1"</t>
        </is>
      </c>
      <c r="C46" s="458" t="n">
        <v>8</v>
      </c>
      <c r="D46" s="468">
        <f>C46*ราคาวัสดุ!D9</f>
        <v/>
      </c>
      <c r="E46" s="458" t="n">
        <v>8</v>
      </c>
      <c r="F46" s="468">
        <f>E46*ราคาวัสดุ!D9</f>
        <v/>
      </c>
      <c r="G46" s="469" t="inlineStr">
        <is>
          <t>เส้น</t>
        </is>
      </c>
    </row>
    <row r="47">
      <c r="A47" s="457" t="n"/>
      <c r="B47" s="457" t="inlineStr">
        <is>
          <t>แผ่นเพลทเหล็ก</t>
        </is>
      </c>
      <c r="C47" s="458" t="n">
        <v>13</v>
      </c>
      <c r="D47" s="468">
        <f>C47*ราคาวัสดุ!D10</f>
        <v/>
      </c>
      <c r="E47" s="458" t="n">
        <v>13</v>
      </c>
      <c r="F47" s="468">
        <f>E47*ราคาวัสดุ!D10</f>
        <v/>
      </c>
      <c r="G47" s="469" t="inlineStr">
        <is>
          <t>แผ่น</t>
        </is>
      </c>
    </row>
    <row r="48">
      <c r="B48" s="457" t="inlineStr">
        <is>
          <t>แผ่นดีไลท์ (ยาว 6 ม.)</t>
        </is>
      </c>
      <c r="C48" s="458" t="n">
        <v>3</v>
      </c>
      <c r="D48" s="470">
        <f>C48*ราคาวัสดุ!D16</f>
        <v/>
      </c>
      <c r="E48" s="458" t="n">
        <v>3</v>
      </c>
      <c r="F48" s="470">
        <f>E48*ราคาวัสดุ!D16</f>
        <v/>
      </c>
      <c r="G48" s="469" t="inlineStr">
        <is>
          <t>แผ่น</t>
        </is>
      </c>
    </row>
    <row r="49">
      <c r="B49" s="474" t="inlineStr">
        <is>
          <t>ฝาครอบดีไลท์ (แถมฟรี)</t>
        </is>
      </c>
      <c r="C49" s="458" t="inlineStr">
        <is>
          <t>-</t>
        </is>
      </c>
      <c r="D49" s="468" t="n">
        <v>0</v>
      </c>
      <c r="E49" s="458" t="inlineStr">
        <is>
          <t>-</t>
        </is>
      </c>
      <c r="F49" s="468" t="n">
        <v>0</v>
      </c>
      <c r="G49" s="460" t="n"/>
    </row>
    <row r="50">
      <c r="A50" s="471" t="inlineStr">
        <is>
          <t>✅  รวมทุนวัสดุ (1200×150)</t>
        </is>
      </c>
      <c r="D50" s="472">
        <f>SUM(D41:D49)</f>
        <v/>
      </c>
      <c r="E50" s="473" t="n"/>
      <c r="F50" s="472">
        <f>SUM(F41:F49)</f>
        <v/>
      </c>
    </row>
    <row r="52">
      <c r="A52" s="467" t="inlineStr">
        <is>
          <t>ขนาด 1600×150 ซม.  (24.0 ตร.ม.)</t>
        </is>
      </c>
    </row>
    <row r="53">
      <c r="A53" s="457" t="n"/>
      <c r="B53" s="457" t="inlineStr">
        <is>
          <t>กล่อง 1.6"×4"</t>
        </is>
      </c>
      <c r="C53" s="458" t="n">
        <v>13</v>
      </c>
      <c r="D53" s="468">
        <f>C53*ราคาวัสดุ!D4</f>
        <v/>
      </c>
      <c r="E53" s="458" t="n">
        <v>13</v>
      </c>
      <c r="F53" s="468">
        <f>E53*ราคาวัสดุ!D4</f>
        <v/>
      </c>
      <c r="G53" s="469" t="inlineStr">
        <is>
          <t>เส้น</t>
        </is>
      </c>
    </row>
    <row r="54">
      <c r="A54" s="457" t="n"/>
      <c r="B54" s="457" t="inlineStr">
        <is>
          <t>กล่อง 1.6"×1.6" (แปเดี่ยว)</t>
        </is>
      </c>
      <c r="C54" s="458" t="n">
        <v>6</v>
      </c>
      <c r="D54" s="468">
        <f>C54*ราคาวัสดุ!D5</f>
        <v/>
      </c>
      <c r="E54" s="458" t="n">
        <v>0</v>
      </c>
      <c r="F54" s="468" t="n">
        <v>0</v>
      </c>
      <c r="G54" s="469" t="inlineStr">
        <is>
          <t>เส้น</t>
        </is>
      </c>
    </row>
    <row r="55">
      <c r="A55" s="457" t="n"/>
      <c r="B55" s="457" t="inlineStr">
        <is>
          <t>กล่อง 1"×1.2" (แปคู่)</t>
        </is>
      </c>
      <c r="C55" s="458" t="n">
        <v>0</v>
      </c>
      <c r="D55" s="468">
        <f>C55*ราคาวัสดุ!D6</f>
        <v/>
      </c>
      <c r="E55" s="458" t="n">
        <v>11</v>
      </c>
      <c r="F55" s="468">
        <f>E55*ราคาวัสดุ!D6</f>
        <v/>
      </c>
      <c r="G55" s="469" t="inlineStr">
        <is>
          <t>เส้น</t>
        </is>
      </c>
    </row>
    <row r="56">
      <c r="A56" s="457" t="n"/>
      <c r="B56" s="457" t="inlineStr">
        <is>
          <t>ฉาก 6 หุน</t>
        </is>
      </c>
      <c r="C56" s="458" t="n">
        <v>1</v>
      </c>
      <c r="D56" s="468">
        <f>C56*ราคาวัสดุ!D7</f>
        <v/>
      </c>
      <c r="E56" s="458" t="n">
        <v>1</v>
      </c>
      <c r="F56" s="468">
        <f>E56*ราคาวัสดุ!D7</f>
        <v/>
      </c>
      <c r="G56" s="469" t="inlineStr">
        <is>
          <t>เส้น</t>
        </is>
      </c>
    </row>
    <row r="57">
      <c r="A57" s="457" t="n"/>
      <c r="B57" s="457" t="inlineStr">
        <is>
          <t>แซด 4"</t>
        </is>
      </c>
      <c r="C57" s="458" t="n">
        <v>3</v>
      </c>
      <c r="D57" s="468">
        <f>C57*ราคาวัสดุ!D8</f>
        <v/>
      </c>
      <c r="E57" s="458" t="n">
        <v>3</v>
      </c>
      <c r="F57" s="468">
        <f>E57*ราคาวัสดุ!D8</f>
        <v/>
      </c>
      <c r="G57" s="469" t="inlineStr">
        <is>
          <t>เส้น</t>
        </is>
      </c>
    </row>
    <row r="58">
      <c r="A58" s="457" t="n"/>
      <c r="B58" s="457" t="inlineStr">
        <is>
          <t>กล่องเหล็ก 1"×1"</t>
        </is>
      </c>
      <c r="C58" s="458" t="n">
        <v>10</v>
      </c>
      <c r="D58" s="468">
        <f>C58*ราคาวัสดุ!D9</f>
        <v/>
      </c>
      <c r="E58" s="458" t="n">
        <v>10</v>
      </c>
      <c r="F58" s="468">
        <f>E58*ราคาวัสดุ!D9</f>
        <v/>
      </c>
      <c r="G58" s="469" t="inlineStr">
        <is>
          <t>เส้น</t>
        </is>
      </c>
    </row>
    <row r="59">
      <c r="A59" s="457" t="n"/>
      <c r="B59" s="457" t="inlineStr">
        <is>
          <t>แผ่นเพลทเหล็ก</t>
        </is>
      </c>
      <c r="C59" s="458" t="n">
        <v>17</v>
      </c>
      <c r="D59" s="468">
        <f>C59*ราคาวัสดุ!D10</f>
        <v/>
      </c>
      <c r="E59" s="458" t="n">
        <v>17</v>
      </c>
      <c r="F59" s="468">
        <f>E59*ราคาวัสดุ!D10</f>
        <v/>
      </c>
      <c r="G59" s="469" t="inlineStr">
        <is>
          <t>แผ่น</t>
        </is>
      </c>
    </row>
    <row r="60">
      <c r="B60" s="457" t="inlineStr">
        <is>
          <t>แผ่นดีไลท์ (ยาว 6 ม.)</t>
        </is>
      </c>
      <c r="C60" s="458" t="n">
        <v>3</v>
      </c>
      <c r="D60" s="470">
        <f>C60*ราคาวัสดุ!D16</f>
        <v/>
      </c>
      <c r="E60" s="458" t="n">
        <v>3</v>
      </c>
      <c r="F60" s="470">
        <f>E60*ราคาวัสดุ!D16</f>
        <v/>
      </c>
      <c r="G60" s="469" t="inlineStr">
        <is>
          <t>แผ่น</t>
        </is>
      </c>
    </row>
    <row r="61">
      <c r="B61" s="474" t="inlineStr">
        <is>
          <t>ฝาครอบดีไลท์ (แถมฟรี)</t>
        </is>
      </c>
      <c r="C61" s="458" t="inlineStr">
        <is>
          <t>-</t>
        </is>
      </c>
      <c r="D61" s="468" t="n">
        <v>0</v>
      </c>
      <c r="E61" s="458" t="inlineStr">
        <is>
          <t>-</t>
        </is>
      </c>
      <c r="F61" s="468" t="n">
        <v>0</v>
      </c>
      <c r="G61" s="460" t="n"/>
    </row>
    <row r="62">
      <c r="A62" s="471" t="inlineStr">
        <is>
          <t>✅  รวมทุนวัสดุ (1600×150)</t>
        </is>
      </c>
      <c r="D62" s="472">
        <f>SUM(D53:D61)</f>
        <v/>
      </c>
      <c r="E62" s="473" t="n"/>
      <c r="F62" s="472">
        <f>SUM(F53:F61)</f>
        <v/>
      </c>
    </row>
    <row r="64">
      <c r="A64" s="467" t="inlineStr">
        <is>
          <t>ขนาด 2000×150 ซม.  (30.0 ตร.ม.)</t>
        </is>
      </c>
    </row>
    <row r="65">
      <c r="A65" s="457" t="n"/>
      <c r="B65" s="457" t="inlineStr">
        <is>
          <t>กล่อง 1.6"×4"</t>
        </is>
      </c>
      <c r="C65" s="458" t="n">
        <v>16</v>
      </c>
      <c r="D65" s="468">
        <f>C65*ราคาวัสดุ!D4</f>
        <v/>
      </c>
      <c r="E65" s="458" t="n">
        <v>16</v>
      </c>
      <c r="F65" s="468">
        <f>E65*ราคาวัสดุ!D4</f>
        <v/>
      </c>
      <c r="G65" s="469" t="inlineStr">
        <is>
          <t>เส้น</t>
        </is>
      </c>
    </row>
    <row r="66">
      <c r="A66" s="457" t="n"/>
      <c r="B66" s="457" t="inlineStr">
        <is>
          <t>กล่อง 1.6"×1.6" (แปเดี่ยว)</t>
        </is>
      </c>
      <c r="C66" s="458" t="n">
        <v>7</v>
      </c>
      <c r="D66" s="468">
        <f>C66*ราคาวัสดุ!D5</f>
        <v/>
      </c>
      <c r="E66" s="458" t="n">
        <v>0</v>
      </c>
      <c r="F66" s="468" t="n">
        <v>0</v>
      </c>
      <c r="G66" s="469" t="inlineStr">
        <is>
          <t>เส้น</t>
        </is>
      </c>
    </row>
    <row r="67">
      <c r="A67" s="457" t="n"/>
      <c r="B67" s="457" t="inlineStr">
        <is>
          <t>กล่อง 1"×1.2" (แปคู่)</t>
        </is>
      </c>
      <c r="C67" s="458" t="n">
        <v>0</v>
      </c>
      <c r="D67" s="468">
        <f>C67*ราคาวัสดุ!D6</f>
        <v/>
      </c>
      <c r="E67" s="458" t="n">
        <v>14</v>
      </c>
      <c r="F67" s="468">
        <f>E67*ราคาวัสดุ!D6</f>
        <v/>
      </c>
      <c r="G67" s="469" t="inlineStr">
        <is>
          <t>เส้น</t>
        </is>
      </c>
    </row>
    <row r="68">
      <c r="A68" s="457" t="n"/>
      <c r="B68" s="457" t="inlineStr">
        <is>
          <t>ฉาก 6 หุน</t>
        </is>
      </c>
      <c r="C68" s="458" t="n">
        <v>1</v>
      </c>
      <c r="D68" s="468">
        <f>C68*ราคาวัสดุ!D7</f>
        <v/>
      </c>
      <c r="E68" s="458" t="n">
        <v>1</v>
      </c>
      <c r="F68" s="468">
        <f>E68*ราคาวัสดุ!D7</f>
        <v/>
      </c>
      <c r="G68" s="469" t="inlineStr">
        <is>
          <t>เส้น</t>
        </is>
      </c>
    </row>
    <row r="69">
      <c r="A69" s="457" t="n"/>
      <c r="B69" s="457" t="inlineStr">
        <is>
          <t>แซด 4"</t>
        </is>
      </c>
      <c r="C69" s="458" t="n">
        <v>4</v>
      </c>
      <c r="D69" s="468">
        <f>C69*ราคาวัสดุ!D8</f>
        <v/>
      </c>
      <c r="E69" s="458" t="n">
        <v>4</v>
      </c>
      <c r="F69" s="468">
        <f>E69*ราคาวัสดุ!D8</f>
        <v/>
      </c>
      <c r="G69" s="469" t="inlineStr">
        <is>
          <t>เส้น</t>
        </is>
      </c>
    </row>
    <row r="70">
      <c r="A70" s="457" t="n"/>
      <c r="B70" s="457" t="inlineStr">
        <is>
          <t>กล่องเหล็ก 1"×1"</t>
        </is>
      </c>
      <c r="C70" s="458" t="n">
        <v>13</v>
      </c>
      <c r="D70" s="468">
        <f>C70*ราคาวัสดุ!D9</f>
        <v/>
      </c>
      <c r="E70" s="458" t="n">
        <v>13</v>
      </c>
      <c r="F70" s="468">
        <f>E70*ราคาวัสดุ!D9</f>
        <v/>
      </c>
      <c r="G70" s="469" t="inlineStr">
        <is>
          <t>เส้น</t>
        </is>
      </c>
    </row>
    <row r="71">
      <c r="A71" s="457" t="n"/>
      <c r="B71" s="457" t="inlineStr">
        <is>
          <t>แผ่นเพลทเหล็ก</t>
        </is>
      </c>
      <c r="C71" s="458" t="n">
        <v>21</v>
      </c>
      <c r="D71" s="468">
        <f>C71*ราคาวัสดุ!D10</f>
        <v/>
      </c>
      <c r="E71" s="458" t="n">
        <v>21</v>
      </c>
      <c r="F71" s="468">
        <f>E71*ราคาวัสดุ!D10</f>
        <v/>
      </c>
      <c r="G71" s="469" t="inlineStr">
        <is>
          <t>แผ่น</t>
        </is>
      </c>
    </row>
    <row r="72">
      <c r="B72" s="457" t="inlineStr">
        <is>
          <t>แผ่นดีไลท์ (ยาว 6 ม.)</t>
        </is>
      </c>
      <c r="C72" s="458" t="n">
        <v>4</v>
      </c>
      <c r="D72" s="470">
        <f>C72*ราคาวัสดุ!D16</f>
        <v/>
      </c>
      <c r="E72" s="458" t="n">
        <v>4</v>
      </c>
      <c r="F72" s="470">
        <f>E72*ราคาวัสดุ!D16</f>
        <v/>
      </c>
      <c r="G72" s="469" t="inlineStr">
        <is>
          <t>แผ่น</t>
        </is>
      </c>
    </row>
    <row r="73">
      <c r="B73" s="474" t="inlineStr">
        <is>
          <t>ฝาครอบดีไลท์ (แถมฟรี)</t>
        </is>
      </c>
      <c r="C73" s="458" t="inlineStr">
        <is>
          <t>-</t>
        </is>
      </c>
      <c r="D73" s="468" t="n">
        <v>0</v>
      </c>
      <c r="E73" s="458" t="inlineStr">
        <is>
          <t>-</t>
        </is>
      </c>
      <c r="F73" s="468" t="n">
        <v>0</v>
      </c>
      <c r="G73" s="460" t="n"/>
    </row>
    <row r="74">
      <c r="A74" s="471" t="inlineStr">
        <is>
          <t>✅  รวมทุนวัสดุ (2000×150)</t>
        </is>
      </c>
      <c r="D74" s="472">
        <f>SUM(D65:D73)</f>
        <v/>
      </c>
      <c r="E74" s="473" t="n"/>
      <c r="F74" s="472">
        <f>SUM(F65:F73)</f>
        <v/>
      </c>
    </row>
  </sheetData>
  <mergeCells count="24">
    <mergeCell ref="E26"/>
    <mergeCell ref="A74:C74"/>
    <mergeCell ref="A4:G4"/>
    <mergeCell ref="B2:B3"/>
    <mergeCell ref="A52:G52"/>
    <mergeCell ref="A50:C50"/>
    <mergeCell ref="A26:C26"/>
    <mergeCell ref="A28:G28"/>
    <mergeCell ref="A40:G40"/>
    <mergeCell ref="E50"/>
    <mergeCell ref="A14:C14"/>
    <mergeCell ref="A62:C62"/>
    <mergeCell ref="A2:A3"/>
    <mergeCell ref="A64:G64"/>
    <mergeCell ref="E62"/>
    <mergeCell ref="E14"/>
    <mergeCell ref="A38:C38"/>
    <mergeCell ref="C2:D2"/>
    <mergeCell ref="E2:F2"/>
    <mergeCell ref="A16:G16"/>
    <mergeCell ref="E38"/>
    <mergeCell ref="E74"/>
    <mergeCell ref="A1:F1"/>
    <mergeCell ref="G2:G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A6A6A6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42.9" customWidth="1" style="129" min="1" max="1"/>
    <col width="24" customWidth="1" style="129" min="2" max="2"/>
    <col width="6.5" customWidth="1" style="129" min="3" max="3"/>
    <col width="7.5" customWidth="1" style="129" min="4" max="4"/>
    <col width="6.5" customWidth="1" style="129" min="5" max="5"/>
    <col width="7.5" customWidth="1" style="129" min="6" max="6"/>
    <col width="8.6" customWidth="1" style="129" min="7" max="7"/>
  </cols>
  <sheetData>
    <row r="1">
      <c r="A1" s="451" t="inlineStr">
        <is>
          <t>ถอดทุนวัสดุ — หลังคาโพลีตัน</t>
        </is>
      </c>
      <c r="G1" s="753" t="inlineStr">
        <is>
          <t>🏠 สารบัญ</t>
        </is>
      </c>
      <c r="H1" s="759" t="n"/>
    </row>
    <row r="2">
      <c r="A2" s="464" t="inlineStr">
        <is>
          <t>#</t>
        </is>
      </c>
      <c r="B2" s="464" t="inlineStr">
        <is>
          <t>วัสดุ / รายการ</t>
        </is>
      </c>
      <c r="C2" s="464" t="inlineStr">
        <is>
          <t>แปเดี่ยว</t>
        </is>
      </c>
      <c r="D2" s="465" t="n"/>
      <c r="E2" s="464" t="inlineStr">
        <is>
          <t>แปคู่</t>
        </is>
      </c>
      <c r="F2" s="465" t="n"/>
      <c r="G2" s="464" t="inlineStr">
        <is>
          <t>หน่วย</t>
        </is>
      </c>
    </row>
    <row r="3">
      <c r="A3" s="466" t="n"/>
      <c r="B3" s="466" t="n"/>
      <c r="C3" s="464" t="inlineStr">
        <is>
          <t>จำนวน</t>
        </is>
      </c>
      <c r="D3" s="464" t="inlineStr">
        <is>
          <t>ราคา</t>
        </is>
      </c>
      <c r="E3" s="464" t="inlineStr">
        <is>
          <t>จำนวน</t>
        </is>
      </c>
      <c r="F3" s="464" t="inlineStr">
        <is>
          <t>ราคา</t>
        </is>
      </c>
      <c r="G3" s="466" t="n"/>
    </row>
    <row r="4">
      <c r="A4" s="467" t="inlineStr">
        <is>
          <t>ขนาด 300×150 ซม.  (4.5 ตร.ม.)</t>
        </is>
      </c>
    </row>
    <row r="5">
      <c r="A5" s="457" t="n"/>
      <c r="B5" s="457" t="inlineStr">
        <is>
          <t>กล่อง 1.6"×4"</t>
        </is>
      </c>
      <c r="C5" s="458" t="n">
        <v>3</v>
      </c>
      <c r="D5" s="468">
        <f>C5*ราคาวัสดุ!D4</f>
        <v/>
      </c>
      <c r="E5" s="458" t="n">
        <v>3</v>
      </c>
      <c r="F5" s="468">
        <f>E5*ราคาวัสดุ!D4</f>
        <v/>
      </c>
      <c r="G5" s="469" t="inlineStr">
        <is>
          <t>เส้น</t>
        </is>
      </c>
    </row>
    <row r="6">
      <c r="A6" s="457" t="n"/>
      <c r="B6" s="457" t="inlineStr">
        <is>
          <t>กล่อง 1.6"×1.6" (แปเดี่ยว)</t>
        </is>
      </c>
      <c r="C6" s="458" t="n">
        <v>1</v>
      </c>
      <c r="D6" s="468">
        <f>C6*ราคาวัสดุ!D5</f>
        <v/>
      </c>
      <c r="E6" s="458" t="n">
        <v>0</v>
      </c>
      <c r="F6" s="468" t="n">
        <v>0</v>
      </c>
      <c r="G6" s="469" t="inlineStr">
        <is>
          <t>เส้น</t>
        </is>
      </c>
    </row>
    <row r="7">
      <c r="A7" s="457" t="n"/>
      <c r="B7" s="457" t="inlineStr">
        <is>
          <t>กล่อง 1"×1.2" (แปคู่)</t>
        </is>
      </c>
      <c r="C7" s="458" t="n">
        <v>0</v>
      </c>
      <c r="D7" s="468">
        <f>C7*ราคาวัสดุ!D6</f>
        <v/>
      </c>
      <c r="E7" s="458" t="n">
        <v>2</v>
      </c>
      <c r="F7" s="468">
        <f>E7*ราคาวัสดุ!D6</f>
        <v/>
      </c>
      <c r="G7" s="469" t="inlineStr">
        <is>
          <t>เส้น</t>
        </is>
      </c>
    </row>
    <row r="8">
      <c r="A8" s="457" t="n"/>
      <c r="B8" s="457" t="inlineStr">
        <is>
          <t>ฉาก 6 หุน</t>
        </is>
      </c>
      <c r="C8" s="458" t="n">
        <v>1</v>
      </c>
      <c r="D8" s="468">
        <f>C8*ราคาวัสดุ!D7</f>
        <v/>
      </c>
      <c r="E8" s="458" t="n">
        <v>1</v>
      </c>
      <c r="F8" s="468">
        <f>E8*ราคาวัสดุ!D7</f>
        <v/>
      </c>
      <c r="G8" s="469" t="inlineStr">
        <is>
          <t>เส้น</t>
        </is>
      </c>
    </row>
    <row r="9">
      <c r="A9" s="457" t="n"/>
      <c r="B9" s="457" t="inlineStr">
        <is>
          <t>แซด 4"</t>
        </is>
      </c>
      <c r="C9" s="458" t="n">
        <v>1</v>
      </c>
      <c r="D9" s="468">
        <f>C9*ราคาวัสดุ!D8</f>
        <v/>
      </c>
      <c r="E9" s="458" t="n">
        <v>1</v>
      </c>
      <c r="F9" s="468">
        <f>E9*ราคาวัสดุ!D8</f>
        <v/>
      </c>
      <c r="G9" s="469" t="inlineStr">
        <is>
          <t>เส้น</t>
        </is>
      </c>
    </row>
    <row r="10">
      <c r="A10" s="457" t="n"/>
      <c r="B10" s="457" t="inlineStr">
        <is>
          <t>กล่องเหล็ก 1"×1"</t>
        </is>
      </c>
      <c r="C10" s="458" t="n">
        <v>3</v>
      </c>
      <c r="D10" s="468">
        <f>C10*ราคาวัสดุ!D9</f>
        <v/>
      </c>
      <c r="E10" s="458" t="n">
        <v>3</v>
      </c>
      <c r="F10" s="468">
        <f>E10*ราคาวัสดุ!D9</f>
        <v/>
      </c>
      <c r="G10" s="469" t="inlineStr">
        <is>
          <t>เส้น</t>
        </is>
      </c>
    </row>
    <row r="11">
      <c r="A11" s="457" t="n"/>
      <c r="B11" s="457" t="inlineStr">
        <is>
          <t>แผ่นเพลทเหล็ก</t>
        </is>
      </c>
      <c r="C11" s="458" t="n">
        <v>8</v>
      </c>
      <c r="D11" s="468">
        <f>C11*ราคาวัสดุ!D10</f>
        <v/>
      </c>
      <c r="E11" s="458" t="n">
        <v>8</v>
      </c>
      <c r="F11" s="468">
        <f>E11*ราคาวัสดุ!D10</f>
        <v/>
      </c>
      <c r="G11" s="469" t="inlineStr">
        <is>
          <t>แผ่น</t>
        </is>
      </c>
    </row>
    <row r="12">
      <c r="B12" s="457" t="inlineStr">
        <is>
          <t>แผ่นโพลีตัน (ยาว 1 ม.)</t>
        </is>
      </c>
      <c r="C12" s="458" t="n">
        <v>5</v>
      </c>
      <c r="D12" s="470">
        <f>C12*ราคาวัสดุ!D17</f>
        <v/>
      </c>
      <c r="E12" s="458" t="n">
        <v>5</v>
      </c>
      <c r="F12" s="470">
        <f>E12*ราคาวัสดุ!D17</f>
        <v/>
      </c>
      <c r="G12" s="469" t="inlineStr">
        <is>
          <t>ม.</t>
        </is>
      </c>
    </row>
    <row r="13">
      <c r="B13" s="457" t="inlineStr">
        <is>
          <t>ตัวครอบโพลีตัน</t>
        </is>
      </c>
      <c r="C13" s="458" t="n">
        <v>5</v>
      </c>
      <c r="D13" s="470">
        <f>C13*ราคาวัสดุ!D18</f>
        <v/>
      </c>
      <c r="E13" s="458" t="n">
        <v>5</v>
      </c>
      <c r="F13" s="470">
        <f>E13*ราคาวัสดุ!D18</f>
        <v/>
      </c>
      <c r="G13" s="469" t="inlineStr">
        <is>
          <t>จุด</t>
        </is>
      </c>
    </row>
    <row r="14">
      <c r="A14" s="471" t="inlineStr">
        <is>
          <t>✅  รวมทุนวัสดุ (300×150)</t>
        </is>
      </c>
      <c r="D14" s="472">
        <f>SUM(D5:D13)</f>
        <v/>
      </c>
      <c r="E14" s="473" t="n"/>
      <c r="F14" s="472">
        <f>SUM(F5:F13)</f>
        <v/>
      </c>
    </row>
    <row r="16">
      <c r="A16" s="467" t="inlineStr">
        <is>
          <t>ขนาด 600×150 ซม.  (9.0 ตร.ม.)</t>
        </is>
      </c>
    </row>
    <row r="17">
      <c r="A17" s="457" t="n"/>
      <c r="B17" s="457" t="inlineStr">
        <is>
          <t>กล่อง 1.6"×4"</t>
        </is>
      </c>
      <c r="C17" s="458" t="n">
        <v>5</v>
      </c>
      <c r="D17" s="468">
        <f>C17*ราคาวัสดุ!D4</f>
        <v/>
      </c>
      <c r="E17" s="458" t="n">
        <v>5</v>
      </c>
      <c r="F17" s="468">
        <f>E17*ราคาวัสดุ!D4</f>
        <v/>
      </c>
      <c r="G17" s="469" t="inlineStr">
        <is>
          <t>เส้น</t>
        </is>
      </c>
    </row>
    <row r="18">
      <c r="A18" s="457" t="n"/>
      <c r="B18" s="457" t="inlineStr">
        <is>
          <t>กล่อง 1.6"×1.6" (แปเดี่ยว)</t>
        </is>
      </c>
      <c r="C18" s="458" t="n">
        <v>2</v>
      </c>
      <c r="D18" s="468">
        <f>C18*ราคาวัสดุ!D5</f>
        <v/>
      </c>
      <c r="E18" s="458" t="n">
        <v>0</v>
      </c>
      <c r="F18" s="468" t="n">
        <v>0</v>
      </c>
      <c r="G18" s="469" t="inlineStr">
        <is>
          <t>เส้น</t>
        </is>
      </c>
    </row>
    <row r="19">
      <c r="A19" s="457" t="n"/>
      <c r="B19" s="457" t="inlineStr">
        <is>
          <t>กล่อง 1"×1.2" (แปคู่)</t>
        </is>
      </c>
      <c r="C19" s="458" t="n">
        <v>0</v>
      </c>
      <c r="D19" s="468">
        <f>C19*ราคาวัสดุ!D6</f>
        <v/>
      </c>
      <c r="E19" s="458" t="n">
        <v>4</v>
      </c>
      <c r="F19" s="468">
        <f>E19*ราคาวัสดุ!D6</f>
        <v/>
      </c>
      <c r="G19" s="469" t="inlineStr">
        <is>
          <t>เส้น</t>
        </is>
      </c>
    </row>
    <row r="20">
      <c r="A20" s="457" t="n"/>
      <c r="B20" s="457" t="inlineStr">
        <is>
          <t>ฉาก 6 หุน</t>
        </is>
      </c>
      <c r="C20" s="458" t="n">
        <v>1</v>
      </c>
      <c r="D20" s="468">
        <f>C20*ราคาวัสดุ!D7</f>
        <v/>
      </c>
      <c r="E20" s="458" t="n">
        <v>1</v>
      </c>
      <c r="F20" s="468">
        <f>E20*ราคาวัสดุ!D7</f>
        <v/>
      </c>
      <c r="G20" s="469" t="inlineStr">
        <is>
          <t>เส้น</t>
        </is>
      </c>
    </row>
    <row r="21">
      <c r="A21" s="457" t="n"/>
      <c r="B21" s="457" t="inlineStr">
        <is>
          <t>แซด 4"</t>
        </is>
      </c>
      <c r="C21" s="458" t="n">
        <v>1</v>
      </c>
      <c r="D21" s="468">
        <f>C21*ราคาวัสดุ!D8</f>
        <v/>
      </c>
      <c r="E21" s="458" t="n">
        <v>1</v>
      </c>
      <c r="F21" s="468">
        <f>E21*ราคาวัสดุ!D8</f>
        <v/>
      </c>
      <c r="G21" s="469" t="inlineStr">
        <is>
          <t>เส้น</t>
        </is>
      </c>
    </row>
    <row r="22">
      <c r="A22" s="457" t="n"/>
      <c r="B22" s="457" t="inlineStr">
        <is>
          <t>กล่องเหล็ก 1"×1"</t>
        </is>
      </c>
      <c r="C22" s="458" t="n">
        <v>4</v>
      </c>
      <c r="D22" s="468">
        <f>C22*ราคาวัสดุ!D9</f>
        <v/>
      </c>
      <c r="E22" s="458" t="n">
        <v>4</v>
      </c>
      <c r="F22" s="468">
        <f>E22*ราคาวัสดุ!D9</f>
        <v/>
      </c>
      <c r="G22" s="469" t="inlineStr">
        <is>
          <t>เส้น</t>
        </is>
      </c>
    </row>
    <row r="23">
      <c r="A23" s="457" t="n"/>
      <c r="B23" s="457" t="inlineStr">
        <is>
          <t>แผ่นเพลทเหล็ก</t>
        </is>
      </c>
      <c r="C23" s="458" t="n">
        <v>14</v>
      </c>
      <c r="D23" s="468">
        <f>C23*ราคาวัสดุ!D10</f>
        <v/>
      </c>
      <c r="E23" s="458" t="n">
        <v>14</v>
      </c>
      <c r="F23" s="468">
        <f>E23*ราคาวัสดุ!D10</f>
        <v/>
      </c>
      <c r="G23" s="469" t="inlineStr">
        <is>
          <t>แผ่น</t>
        </is>
      </c>
    </row>
    <row r="24">
      <c r="B24" s="457" t="inlineStr">
        <is>
          <t>แผ่นโพลีตัน (ยาว 1 ม.)</t>
        </is>
      </c>
      <c r="C24" s="458" t="n">
        <v>9</v>
      </c>
      <c r="D24" s="470">
        <f>C24*ราคาวัสดุ!D17</f>
        <v/>
      </c>
      <c r="E24" s="458" t="n">
        <v>9</v>
      </c>
      <c r="F24" s="470">
        <f>E24*ราคาวัสดุ!D17</f>
        <v/>
      </c>
      <c r="G24" s="469" t="inlineStr">
        <is>
          <t>ม.</t>
        </is>
      </c>
    </row>
    <row r="25">
      <c r="B25" s="457" t="inlineStr">
        <is>
          <t>ตัวครอบโพลีตัน</t>
        </is>
      </c>
      <c r="C25" s="458" t="n">
        <v>8</v>
      </c>
      <c r="D25" s="470">
        <f>C25*ราคาวัสดุ!D18</f>
        <v/>
      </c>
      <c r="E25" s="458" t="n">
        <v>8</v>
      </c>
      <c r="F25" s="470">
        <f>E25*ราคาวัสดุ!D18</f>
        <v/>
      </c>
      <c r="G25" s="469" t="inlineStr">
        <is>
          <t>จุด</t>
        </is>
      </c>
    </row>
    <row r="26">
      <c r="A26" s="471" t="inlineStr">
        <is>
          <t>✅  รวมทุนวัสดุ (600×150)</t>
        </is>
      </c>
      <c r="D26" s="472">
        <f>SUM(D17:D25)</f>
        <v/>
      </c>
      <c r="E26" s="473" t="n"/>
      <c r="F26" s="472">
        <f>SUM(F17:F25)</f>
        <v/>
      </c>
    </row>
    <row r="28">
      <c r="A28" s="467" t="inlineStr">
        <is>
          <t>ขนาด 900×150 ซม.  (13.5 ตร.ม.)</t>
        </is>
      </c>
    </row>
    <row r="29">
      <c r="A29" s="457" t="n"/>
      <c r="B29" s="457" t="inlineStr">
        <is>
          <t>กล่อง 1.6"×4"</t>
        </is>
      </c>
      <c r="C29" s="458" t="n">
        <v>7</v>
      </c>
      <c r="D29" s="468">
        <f>C29*ราคาวัสดุ!D4</f>
        <v/>
      </c>
      <c r="E29" s="458" t="n">
        <v>7</v>
      </c>
      <c r="F29" s="468">
        <f>E29*ราคาวัสดุ!D4</f>
        <v/>
      </c>
      <c r="G29" s="469" t="inlineStr">
        <is>
          <t>เส้น</t>
        </is>
      </c>
    </row>
    <row r="30">
      <c r="A30" s="457" t="n"/>
      <c r="B30" s="457" t="inlineStr">
        <is>
          <t>กล่อง 1.6"×1.6" (แปเดี่ยว)</t>
        </is>
      </c>
      <c r="C30" s="458" t="n">
        <v>3</v>
      </c>
      <c r="D30" s="468">
        <f>C30*ราคาวัสดุ!D5</f>
        <v/>
      </c>
      <c r="E30" s="458" t="n">
        <v>0</v>
      </c>
      <c r="F30" s="468" t="n">
        <v>0</v>
      </c>
      <c r="G30" s="469" t="inlineStr">
        <is>
          <t>เส้น</t>
        </is>
      </c>
    </row>
    <row r="31">
      <c r="A31" s="457" t="n"/>
      <c r="B31" s="457" t="inlineStr">
        <is>
          <t>กล่อง 1"×1.2" (แปคู่)</t>
        </is>
      </c>
      <c r="C31" s="458" t="n">
        <v>0</v>
      </c>
      <c r="D31" s="468">
        <f>C31*ราคาวัสดุ!D6</f>
        <v/>
      </c>
      <c r="E31" s="458" t="n">
        <v>6</v>
      </c>
      <c r="F31" s="468">
        <f>E31*ราคาวัสดุ!D6</f>
        <v/>
      </c>
      <c r="G31" s="469" t="inlineStr">
        <is>
          <t>เส้น</t>
        </is>
      </c>
    </row>
    <row r="32">
      <c r="A32" s="457" t="n"/>
      <c r="B32" s="457" t="inlineStr">
        <is>
          <t>ฉาก 6 หุน</t>
        </is>
      </c>
      <c r="C32" s="458" t="n">
        <v>1</v>
      </c>
      <c r="D32" s="468">
        <f>C32*ราคาวัสดุ!D7</f>
        <v/>
      </c>
      <c r="E32" s="458" t="n">
        <v>1</v>
      </c>
      <c r="F32" s="468">
        <f>E32*ราคาวัสดุ!D7</f>
        <v/>
      </c>
      <c r="G32" s="469" t="inlineStr">
        <is>
          <t>เส้น</t>
        </is>
      </c>
    </row>
    <row r="33">
      <c r="A33" s="457" t="n"/>
      <c r="B33" s="457" t="inlineStr">
        <is>
          <t>แซด 4"</t>
        </is>
      </c>
      <c r="C33" s="458" t="n">
        <v>2</v>
      </c>
      <c r="D33" s="468">
        <f>C33*ราคาวัสดุ!D8</f>
        <v/>
      </c>
      <c r="E33" s="458" t="n">
        <v>2</v>
      </c>
      <c r="F33" s="468">
        <f>E33*ราคาวัสดุ!D8</f>
        <v/>
      </c>
      <c r="G33" s="469" t="inlineStr">
        <is>
          <t>เส้น</t>
        </is>
      </c>
    </row>
    <row r="34">
      <c r="A34" s="457" t="n"/>
      <c r="B34" s="457" t="inlineStr">
        <is>
          <t>กล่องเหล็ก 1"×1"</t>
        </is>
      </c>
      <c r="C34" s="458" t="n">
        <v>6</v>
      </c>
      <c r="D34" s="468">
        <f>C34*ราคาวัสดุ!D9</f>
        <v/>
      </c>
      <c r="E34" s="458" t="n">
        <v>6</v>
      </c>
      <c r="F34" s="468">
        <f>E34*ราคาวัสดุ!D9</f>
        <v/>
      </c>
      <c r="G34" s="469" t="inlineStr">
        <is>
          <t>เส้น</t>
        </is>
      </c>
    </row>
    <row r="35">
      <c r="A35" s="457" t="n"/>
      <c r="B35" s="457" t="inlineStr">
        <is>
          <t>แผ่นเพลทเหล็ก</t>
        </is>
      </c>
      <c r="C35" s="458" t="n">
        <v>12</v>
      </c>
      <c r="D35" s="468">
        <f>C35*ราคาวัสดุ!D10</f>
        <v/>
      </c>
      <c r="E35" s="458" t="n">
        <v>12</v>
      </c>
      <c r="F35" s="468">
        <f>E35*ราคาวัสดุ!D10</f>
        <v/>
      </c>
      <c r="G35" s="469" t="inlineStr">
        <is>
          <t>แผ่น</t>
        </is>
      </c>
    </row>
    <row r="36">
      <c r="B36" s="457" t="inlineStr">
        <is>
          <t>แผ่นโพลีตัน (ยาว 1 ม.)</t>
        </is>
      </c>
      <c r="C36" s="458" t="n">
        <v>12</v>
      </c>
      <c r="D36" s="470">
        <f>C36*ราคาวัสดุ!D17</f>
        <v/>
      </c>
      <c r="E36" s="458" t="n">
        <v>12</v>
      </c>
      <c r="F36" s="470">
        <f>E36*ราคาวัสดุ!D17</f>
        <v/>
      </c>
      <c r="G36" s="469" t="inlineStr">
        <is>
          <t>ม.</t>
        </is>
      </c>
    </row>
    <row r="37">
      <c r="B37" s="457" t="inlineStr">
        <is>
          <t>ตัวครอบโพลีตัน</t>
        </is>
      </c>
      <c r="C37" s="458" t="n">
        <v>12</v>
      </c>
      <c r="D37" s="470">
        <f>C37*ราคาวัสดุ!D18</f>
        <v/>
      </c>
      <c r="E37" s="458" t="n">
        <v>12</v>
      </c>
      <c r="F37" s="470">
        <f>E37*ราคาวัสดุ!D18</f>
        <v/>
      </c>
      <c r="G37" s="469" t="inlineStr">
        <is>
          <t>จุด</t>
        </is>
      </c>
    </row>
    <row r="38">
      <c r="A38" s="471" t="inlineStr">
        <is>
          <t>✅  รวมทุนวัสดุ (900×150)</t>
        </is>
      </c>
      <c r="D38" s="472">
        <f>SUM(D29:D37)</f>
        <v/>
      </c>
      <c r="E38" s="473" t="n"/>
      <c r="F38" s="472">
        <f>SUM(F29:F37)</f>
        <v/>
      </c>
    </row>
    <row r="40">
      <c r="A40" s="467" t="inlineStr">
        <is>
          <t>ขนาด 1200×150 ซม.  (18.0 ตร.ม.)</t>
        </is>
      </c>
    </row>
    <row r="41">
      <c r="A41" s="457" t="n"/>
      <c r="B41" s="457" t="inlineStr">
        <is>
          <t>กล่อง 1.6"×4"</t>
        </is>
      </c>
      <c r="C41" s="458" t="n">
        <v>10</v>
      </c>
      <c r="D41" s="468">
        <f>C41*ราคาวัสดุ!D4</f>
        <v/>
      </c>
      <c r="E41" s="458" t="n">
        <v>10</v>
      </c>
      <c r="F41" s="468">
        <f>E41*ราคาวัสดุ!D4</f>
        <v/>
      </c>
      <c r="G41" s="469" t="inlineStr">
        <is>
          <t>เส้น</t>
        </is>
      </c>
    </row>
    <row r="42">
      <c r="A42" s="457" t="n"/>
      <c r="B42" s="457" t="inlineStr">
        <is>
          <t>กล่อง 1.6"×1.6" (แปเดี่ยว)</t>
        </is>
      </c>
      <c r="C42" s="458" t="n">
        <v>4</v>
      </c>
      <c r="D42" s="468">
        <f>C42*ราคาวัสดุ!D5</f>
        <v/>
      </c>
      <c r="E42" s="458" t="n">
        <v>0</v>
      </c>
      <c r="F42" s="468" t="n">
        <v>0</v>
      </c>
      <c r="G42" s="469" t="inlineStr">
        <is>
          <t>เส้น</t>
        </is>
      </c>
    </row>
    <row r="43">
      <c r="A43" s="457" t="n"/>
      <c r="B43" s="457" t="inlineStr">
        <is>
          <t>กล่อง 1"×1.2" (แปคู่)</t>
        </is>
      </c>
      <c r="C43" s="458" t="n">
        <v>0</v>
      </c>
      <c r="D43" s="468">
        <f>C43*ราคาวัสดุ!D6</f>
        <v/>
      </c>
      <c r="E43" s="458" t="n">
        <v>8</v>
      </c>
      <c r="F43" s="468">
        <f>E43*ราคาวัสดุ!D6</f>
        <v/>
      </c>
      <c r="G43" s="469" t="inlineStr">
        <is>
          <t>เส้น</t>
        </is>
      </c>
    </row>
    <row r="44">
      <c r="A44" s="457" t="n"/>
      <c r="B44" s="457" t="inlineStr">
        <is>
          <t>ฉาก 6 หุน</t>
        </is>
      </c>
      <c r="C44" s="458" t="n">
        <v>1</v>
      </c>
      <c r="D44" s="468">
        <f>C44*ราคาวัสดุ!D7</f>
        <v/>
      </c>
      <c r="E44" s="458" t="n">
        <v>1</v>
      </c>
      <c r="F44" s="468">
        <f>E44*ราคาวัสดุ!D7</f>
        <v/>
      </c>
      <c r="G44" s="469" t="inlineStr">
        <is>
          <t>เส้น</t>
        </is>
      </c>
    </row>
    <row r="45">
      <c r="A45" s="457" t="n"/>
      <c r="B45" s="457" t="inlineStr">
        <is>
          <t>แซด 4"</t>
        </is>
      </c>
      <c r="C45" s="458" t="n">
        <v>2</v>
      </c>
      <c r="D45" s="468">
        <f>C45*ราคาวัสดุ!D8</f>
        <v/>
      </c>
      <c r="E45" s="458" t="n">
        <v>2</v>
      </c>
      <c r="F45" s="468">
        <f>E45*ราคาวัสดุ!D8</f>
        <v/>
      </c>
      <c r="G45" s="469" t="inlineStr">
        <is>
          <t>เส้น</t>
        </is>
      </c>
    </row>
    <row r="46">
      <c r="A46" s="457" t="n"/>
      <c r="B46" s="457" t="inlineStr">
        <is>
          <t>กล่องเหล็ก 1"×1"</t>
        </is>
      </c>
      <c r="C46" s="458" t="n">
        <v>8</v>
      </c>
      <c r="D46" s="468">
        <f>C46*ราคาวัสดุ!D9</f>
        <v/>
      </c>
      <c r="E46" s="458" t="n">
        <v>8</v>
      </c>
      <c r="F46" s="468">
        <f>E46*ราคาวัสดุ!D9</f>
        <v/>
      </c>
      <c r="G46" s="469" t="inlineStr">
        <is>
          <t>เส้น</t>
        </is>
      </c>
    </row>
    <row r="47">
      <c r="A47" s="457" t="n"/>
      <c r="B47" s="457" t="inlineStr">
        <is>
          <t>แผ่นเพลทเหล็ก</t>
        </is>
      </c>
      <c r="C47" s="458" t="n">
        <v>13</v>
      </c>
      <c r="D47" s="468">
        <f>C47*ราคาวัสดุ!D10</f>
        <v/>
      </c>
      <c r="E47" s="458" t="n">
        <v>13</v>
      </c>
      <c r="F47" s="468">
        <f>E47*ราคาวัสดุ!D10</f>
        <v/>
      </c>
      <c r="G47" s="469" t="inlineStr">
        <is>
          <t>แผ่น</t>
        </is>
      </c>
    </row>
    <row r="48">
      <c r="B48" s="457" t="inlineStr">
        <is>
          <t>แผ่นโพลีตัน (ยาว 1 ม.)</t>
        </is>
      </c>
      <c r="C48" s="458" t="n">
        <v>15</v>
      </c>
      <c r="D48" s="470">
        <f>C48*ราคาวัสดุ!D17</f>
        <v/>
      </c>
      <c r="E48" s="458" t="n">
        <v>15</v>
      </c>
      <c r="F48" s="470">
        <f>E48*ราคาวัสดุ!D17</f>
        <v/>
      </c>
      <c r="G48" s="469" t="inlineStr">
        <is>
          <t>ม.</t>
        </is>
      </c>
    </row>
    <row r="49">
      <c r="B49" s="457" t="inlineStr">
        <is>
          <t>ตัวครอบโพลีตัน</t>
        </is>
      </c>
      <c r="C49" s="458" t="n">
        <v>15</v>
      </c>
      <c r="D49" s="470">
        <f>C49*ราคาวัสดุ!D18</f>
        <v/>
      </c>
      <c r="E49" s="458" t="n">
        <v>15</v>
      </c>
      <c r="F49" s="470">
        <f>E49*ราคาวัสดุ!D18</f>
        <v/>
      </c>
      <c r="G49" s="469" t="inlineStr">
        <is>
          <t>จุด</t>
        </is>
      </c>
    </row>
    <row r="50">
      <c r="A50" s="471" t="inlineStr">
        <is>
          <t>✅  รวมทุนวัสดุ (1200×150)</t>
        </is>
      </c>
      <c r="D50" s="472">
        <f>SUM(D41:D49)</f>
        <v/>
      </c>
      <c r="E50" s="473" t="n"/>
      <c r="F50" s="472">
        <f>SUM(F41:F49)</f>
        <v/>
      </c>
    </row>
    <row r="52">
      <c r="A52" s="467" t="inlineStr">
        <is>
          <t>ขนาด 1600×150 ซม.  (24.0 ตร.ม.)</t>
        </is>
      </c>
    </row>
    <row r="53">
      <c r="A53" s="457" t="n"/>
      <c r="B53" s="457" t="inlineStr">
        <is>
          <t>กล่อง 1.6"×4"</t>
        </is>
      </c>
      <c r="C53" s="458" t="n">
        <v>13</v>
      </c>
      <c r="D53" s="468">
        <f>C53*ราคาวัสดุ!D4</f>
        <v/>
      </c>
      <c r="E53" s="458" t="n">
        <v>13</v>
      </c>
      <c r="F53" s="468">
        <f>E53*ราคาวัสดุ!D4</f>
        <v/>
      </c>
      <c r="G53" s="469" t="inlineStr">
        <is>
          <t>เส้น</t>
        </is>
      </c>
    </row>
    <row r="54">
      <c r="A54" s="457" t="n"/>
      <c r="B54" s="457" t="inlineStr">
        <is>
          <t>กล่อง 1.6"×1.6" (แปเดี่ยว)</t>
        </is>
      </c>
      <c r="C54" s="458" t="n">
        <v>6</v>
      </c>
      <c r="D54" s="468">
        <f>C54*ราคาวัสดุ!D5</f>
        <v/>
      </c>
      <c r="E54" s="458" t="n">
        <v>0</v>
      </c>
      <c r="F54" s="468" t="n">
        <v>0</v>
      </c>
      <c r="G54" s="469" t="inlineStr">
        <is>
          <t>เส้น</t>
        </is>
      </c>
    </row>
    <row r="55">
      <c r="A55" s="457" t="n"/>
      <c r="B55" s="457" t="inlineStr">
        <is>
          <t>กล่อง 1"×1.2" (แปคู่)</t>
        </is>
      </c>
      <c r="C55" s="458" t="n">
        <v>0</v>
      </c>
      <c r="D55" s="468">
        <f>C55*ราคาวัสดุ!D6</f>
        <v/>
      </c>
      <c r="E55" s="458" t="n">
        <v>11</v>
      </c>
      <c r="F55" s="468">
        <f>E55*ราคาวัสดุ!D6</f>
        <v/>
      </c>
      <c r="G55" s="469" t="inlineStr">
        <is>
          <t>เส้น</t>
        </is>
      </c>
    </row>
    <row r="56">
      <c r="A56" s="457" t="n"/>
      <c r="B56" s="457" t="inlineStr">
        <is>
          <t>ฉาก 6 หุน</t>
        </is>
      </c>
      <c r="C56" s="458" t="n">
        <v>1</v>
      </c>
      <c r="D56" s="468">
        <f>C56*ราคาวัสดุ!D7</f>
        <v/>
      </c>
      <c r="E56" s="458" t="n">
        <v>1</v>
      </c>
      <c r="F56" s="468">
        <f>E56*ราคาวัสดุ!D7</f>
        <v/>
      </c>
      <c r="G56" s="469" t="inlineStr">
        <is>
          <t>เส้น</t>
        </is>
      </c>
    </row>
    <row r="57">
      <c r="A57" s="457" t="n"/>
      <c r="B57" s="457" t="inlineStr">
        <is>
          <t>แซด 4"</t>
        </is>
      </c>
      <c r="C57" s="458" t="n">
        <v>3</v>
      </c>
      <c r="D57" s="468">
        <f>C57*ราคาวัสดุ!D8</f>
        <v/>
      </c>
      <c r="E57" s="458" t="n">
        <v>3</v>
      </c>
      <c r="F57" s="468">
        <f>E57*ราคาวัสดุ!D8</f>
        <v/>
      </c>
      <c r="G57" s="469" t="inlineStr">
        <is>
          <t>เส้น</t>
        </is>
      </c>
    </row>
    <row r="58">
      <c r="A58" s="457" t="n"/>
      <c r="B58" s="457" t="inlineStr">
        <is>
          <t>กล่องเหล็ก 1"×1"</t>
        </is>
      </c>
      <c r="C58" s="458" t="n">
        <v>10</v>
      </c>
      <c r="D58" s="468">
        <f>C58*ราคาวัสดุ!D9</f>
        <v/>
      </c>
      <c r="E58" s="458" t="n">
        <v>10</v>
      </c>
      <c r="F58" s="468">
        <f>E58*ราคาวัสดุ!D9</f>
        <v/>
      </c>
      <c r="G58" s="469" t="inlineStr">
        <is>
          <t>เส้น</t>
        </is>
      </c>
    </row>
    <row r="59">
      <c r="A59" s="457" t="n"/>
      <c r="B59" s="457" t="inlineStr">
        <is>
          <t>แผ่นเพลทเหล็ก</t>
        </is>
      </c>
      <c r="C59" s="458" t="n">
        <v>17</v>
      </c>
      <c r="D59" s="468">
        <f>C59*ราคาวัสดุ!D10</f>
        <v/>
      </c>
      <c r="E59" s="458" t="n">
        <v>17</v>
      </c>
      <c r="F59" s="468">
        <f>E59*ราคาวัสดุ!D10</f>
        <v/>
      </c>
      <c r="G59" s="469" t="inlineStr">
        <is>
          <t>แผ่น</t>
        </is>
      </c>
    </row>
    <row r="60">
      <c r="B60" s="457" t="inlineStr">
        <is>
          <t>แผ่นโพลีตัน (ยาว 1 ม.)</t>
        </is>
      </c>
      <c r="C60" s="458" t="n">
        <v>20</v>
      </c>
      <c r="D60" s="470">
        <f>C60*ราคาวัสดุ!D17</f>
        <v/>
      </c>
      <c r="E60" s="458" t="n">
        <v>20</v>
      </c>
      <c r="F60" s="470">
        <f>E60*ราคาวัสดุ!D17</f>
        <v/>
      </c>
      <c r="G60" s="469" t="inlineStr">
        <is>
          <t>ม.</t>
        </is>
      </c>
    </row>
    <row r="61">
      <c r="B61" s="457" t="inlineStr">
        <is>
          <t>ตัวครอบโพลีตัน</t>
        </is>
      </c>
      <c r="C61" s="458" t="n">
        <v>20</v>
      </c>
      <c r="D61" s="470">
        <f>C61*ราคาวัสดุ!D18</f>
        <v/>
      </c>
      <c r="E61" s="458" t="n">
        <v>20</v>
      </c>
      <c r="F61" s="470">
        <f>E61*ราคาวัสดุ!D18</f>
        <v/>
      </c>
      <c r="G61" s="469" t="inlineStr">
        <is>
          <t>จุด</t>
        </is>
      </c>
    </row>
    <row r="62">
      <c r="A62" s="471" t="inlineStr">
        <is>
          <t>✅  รวมทุนวัสดุ (1600×150)</t>
        </is>
      </c>
      <c r="D62" s="472">
        <f>SUM(D53:D61)</f>
        <v/>
      </c>
      <c r="E62" s="473" t="n"/>
      <c r="F62" s="472">
        <f>SUM(F53:F61)</f>
        <v/>
      </c>
    </row>
    <row r="64">
      <c r="A64" s="467" t="inlineStr">
        <is>
          <t>ขนาด 2000×150 ซม.  (30.0 ตร.ม.)</t>
        </is>
      </c>
    </row>
    <row r="65">
      <c r="A65" s="457" t="n"/>
      <c r="B65" s="457" t="inlineStr">
        <is>
          <t>กล่อง 1.6"×4"</t>
        </is>
      </c>
      <c r="C65" s="458" t="n">
        <v>16</v>
      </c>
      <c r="D65" s="468">
        <f>C65*ราคาวัสดุ!D4</f>
        <v/>
      </c>
      <c r="E65" s="458" t="n">
        <v>16</v>
      </c>
      <c r="F65" s="468">
        <f>E65*ราคาวัสดุ!D4</f>
        <v/>
      </c>
      <c r="G65" s="469" t="inlineStr">
        <is>
          <t>เส้น</t>
        </is>
      </c>
    </row>
    <row r="66">
      <c r="A66" s="457" t="n"/>
      <c r="B66" s="457" t="inlineStr">
        <is>
          <t>กล่อง 1.6"×1.6" (แปเดี่ยว)</t>
        </is>
      </c>
      <c r="C66" s="458" t="n">
        <v>7</v>
      </c>
      <c r="D66" s="468">
        <f>C66*ราคาวัสดุ!D5</f>
        <v/>
      </c>
      <c r="E66" s="458" t="n">
        <v>0</v>
      </c>
      <c r="F66" s="468" t="n">
        <v>0</v>
      </c>
      <c r="G66" s="469" t="inlineStr">
        <is>
          <t>เส้น</t>
        </is>
      </c>
    </row>
    <row r="67">
      <c r="A67" s="457" t="n"/>
      <c r="B67" s="457" t="inlineStr">
        <is>
          <t>กล่อง 1"×1.2" (แปคู่)</t>
        </is>
      </c>
      <c r="C67" s="458" t="n">
        <v>0</v>
      </c>
      <c r="D67" s="468">
        <f>C67*ราคาวัสดุ!D6</f>
        <v/>
      </c>
      <c r="E67" s="458" t="n">
        <v>14</v>
      </c>
      <c r="F67" s="468">
        <f>E67*ราคาวัสดุ!D6</f>
        <v/>
      </c>
      <c r="G67" s="469" t="inlineStr">
        <is>
          <t>เส้น</t>
        </is>
      </c>
    </row>
    <row r="68">
      <c r="A68" s="457" t="n"/>
      <c r="B68" s="457" t="inlineStr">
        <is>
          <t>ฉาก 6 หุน</t>
        </is>
      </c>
      <c r="C68" s="458" t="n">
        <v>1</v>
      </c>
      <c r="D68" s="468">
        <f>C68*ราคาวัสดุ!D7</f>
        <v/>
      </c>
      <c r="E68" s="458" t="n">
        <v>1</v>
      </c>
      <c r="F68" s="468">
        <f>E68*ราคาวัสดุ!D7</f>
        <v/>
      </c>
      <c r="G68" s="469" t="inlineStr">
        <is>
          <t>เส้น</t>
        </is>
      </c>
    </row>
    <row r="69">
      <c r="A69" s="457" t="n"/>
      <c r="B69" s="457" t="inlineStr">
        <is>
          <t>แซด 4"</t>
        </is>
      </c>
      <c r="C69" s="458" t="n">
        <v>4</v>
      </c>
      <c r="D69" s="468">
        <f>C69*ราคาวัสดุ!D8</f>
        <v/>
      </c>
      <c r="E69" s="458" t="n">
        <v>4</v>
      </c>
      <c r="F69" s="468">
        <f>E69*ราคาวัสดุ!D8</f>
        <v/>
      </c>
      <c r="G69" s="469" t="inlineStr">
        <is>
          <t>เส้น</t>
        </is>
      </c>
    </row>
    <row r="70">
      <c r="A70" s="457" t="n"/>
      <c r="B70" s="457" t="inlineStr">
        <is>
          <t>กล่องเหล็ก 1"×1"</t>
        </is>
      </c>
      <c r="C70" s="458" t="n">
        <v>13</v>
      </c>
      <c r="D70" s="468">
        <f>C70*ราคาวัสดุ!D9</f>
        <v/>
      </c>
      <c r="E70" s="458" t="n">
        <v>13</v>
      </c>
      <c r="F70" s="468">
        <f>E70*ราคาวัสดุ!D9</f>
        <v/>
      </c>
      <c r="G70" s="469" t="inlineStr">
        <is>
          <t>เส้น</t>
        </is>
      </c>
    </row>
    <row r="71">
      <c r="A71" s="457" t="n"/>
      <c r="B71" s="457" t="inlineStr">
        <is>
          <t>แผ่นเพลทเหล็ก</t>
        </is>
      </c>
      <c r="C71" s="458" t="n">
        <v>21</v>
      </c>
      <c r="D71" s="468">
        <f>C71*ราคาวัสดุ!D10</f>
        <v/>
      </c>
      <c r="E71" s="458" t="n">
        <v>21</v>
      </c>
      <c r="F71" s="468">
        <f>E71*ราคาวัสดุ!D10</f>
        <v/>
      </c>
      <c r="G71" s="469" t="inlineStr">
        <is>
          <t>แผ่น</t>
        </is>
      </c>
    </row>
    <row r="72">
      <c r="B72" s="457" t="inlineStr">
        <is>
          <t>แผ่นโพลีตัน (ยาว 1 ม.)</t>
        </is>
      </c>
      <c r="C72" s="458" t="n">
        <v>26</v>
      </c>
      <c r="D72" s="470">
        <f>C72*ราคาวัสดุ!D17</f>
        <v/>
      </c>
      <c r="E72" s="458" t="n">
        <v>26</v>
      </c>
      <c r="F72" s="470">
        <f>E72*ราคาวัสดุ!D17</f>
        <v/>
      </c>
      <c r="G72" s="469" t="inlineStr">
        <is>
          <t>ม.</t>
        </is>
      </c>
    </row>
    <row r="73">
      <c r="B73" s="457" t="inlineStr">
        <is>
          <t>ตัวครอบโพลีตัน</t>
        </is>
      </c>
      <c r="C73" s="458" t="n">
        <v>26</v>
      </c>
      <c r="D73" s="470">
        <f>C73*ราคาวัสดุ!D18</f>
        <v/>
      </c>
      <c r="E73" s="458" t="n">
        <v>26</v>
      </c>
      <c r="F73" s="470">
        <f>E73*ราคาวัสดุ!D18</f>
        <v/>
      </c>
      <c r="G73" s="469" t="inlineStr">
        <is>
          <t>จุด</t>
        </is>
      </c>
    </row>
    <row r="74">
      <c r="A74" s="471" t="inlineStr">
        <is>
          <t>✅  รวมทุนวัสดุ (2000×150)</t>
        </is>
      </c>
      <c r="D74" s="472">
        <f>SUM(D65:D73)</f>
        <v/>
      </c>
      <c r="E74" s="473" t="n"/>
      <c r="F74" s="472">
        <f>SUM(F65:F73)</f>
        <v/>
      </c>
    </row>
  </sheetData>
  <mergeCells count="24">
    <mergeCell ref="E26"/>
    <mergeCell ref="A74:C74"/>
    <mergeCell ref="A4:G4"/>
    <mergeCell ref="B2:B3"/>
    <mergeCell ref="A52:G52"/>
    <mergeCell ref="A50:C50"/>
    <mergeCell ref="A26:C26"/>
    <mergeCell ref="A28:G28"/>
    <mergeCell ref="A40:G40"/>
    <mergeCell ref="E50"/>
    <mergeCell ref="A14:C14"/>
    <mergeCell ref="A62:C62"/>
    <mergeCell ref="A2:A3"/>
    <mergeCell ref="A64:G64"/>
    <mergeCell ref="E62"/>
    <mergeCell ref="E14"/>
    <mergeCell ref="A38:C38"/>
    <mergeCell ref="C2:D2"/>
    <mergeCell ref="E2:F2"/>
    <mergeCell ref="A16:G16"/>
    <mergeCell ref="E38"/>
    <mergeCell ref="E74"/>
    <mergeCell ref="A1:F1"/>
    <mergeCell ref="G2:G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A6A6A6"/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8.6" customWidth="1" style="129" min="4" max="4"/>
    <col width="6.5" customWidth="1" style="129" min="5" max="5"/>
    <col width="8.6" customWidth="1" style="129" min="6" max="6"/>
    <col width="8.6" customWidth="1" style="129" min="7" max="7"/>
  </cols>
  <sheetData>
    <row r="1">
      <c r="A1" s="451" t="inlineStr">
        <is>
          <t>ถอดทุนวัสดุ — ชินโคร์ไลท์ Heat Cut</t>
        </is>
      </c>
      <c r="G1" s="753" t="inlineStr">
        <is>
          <t>🏠 สารบัญ</t>
        </is>
      </c>
      <c r="H1" s="759" t="n"/>
    </row>
    <row r="2">
      <c r="A2" s="464" t="inlineStr">
        <is>
          <t>#</t>
        </is>
      </c>
      <c r="B2" s="464" t="inlineStr">
        <is>
          <t>วัสดุ / รายการ</t>
        </is>
      </c>
      <c r="C2" s="464" t="inlineStr">
        <is>
          <t>แปเดี่ยว</t>
        </is>
      </c>
      <c r="D2" s="465" t="n"/>
      <c r="E2" s="464" t="inlineStr">
        <is>
          <t>แปคู่</t>
        </is>
      </c>
      <c r="F2" s="465" t="n"/>
      <c r="G2" s="464" t="inlineStr">
        <is>
          <t>หน่วย</t>
        </is>
      </c>
    </row>
    <row r="3">
      <c r="A3" s="466" t="n"/>
      <c r="B3" s="466" t="n"/>
      <c r="C3" s="464" t="inlineStr">
        <is>
          <t>จำนวน</t>
        </is>
      </c>
      <c r="D3" s="464" t="inlineStr">
        <is>
          <t>ราคา</t>
        </is>
      </c>
      <c r="E3" s="464" t="inlineStr">
        <is>
          <t>จำนวน</t>
        </is>
      </c>
      <c r="F3" s="464" t="inlineStr">
        <is>
          <t>ราคา</t>
        </is>
      </c>
      <c r="G3" s="466" t="n"/>
    </row>
    <row r="4">
      <c r="A4" s="467" t="inlineStr">
        <is>
          <t>ขนาด 300×150 ซม.  (4.5 ตร.ม.)</t>
        </is>
      </c>
    </row>
    <row r="5">
      <c r="A5" s="457" t="n"/>
      <c r="B5" s="457" t="inlineStr">
        <is>
          <t>กล่อง 1.6"×4"</t>
        </is>
      </c>
      <c r="C5" s="458" t="n">
        <v>3</v>
      </c>
      <c r="D5" s="468">
        <f>C5*ราคาวัสดุ!D4</f>
        <v/>
      </c>
      <c r="E5" s="458" t="n">
        <v>3</v>
      </c>
      <c r="F5" s="468">
        <f>E5*ราคาวัสดุ!D4</f>
        <v/>
      </c>
      <c r="G5" s="469" t="inlineStr">
        <is>
          <t>เส้น</t>
        </is>
      </c>
    </row>
    <row r="6">
      <c r="A6" s="457" t="n"/>
      <c r="B6" s="457" t="inlineStr">
        <is>
          <t>กล่อง 1.6"×1.6" (แปเดี่ยว)</t>
        </is>
      </c>
      <c r="C6" s="458" t="n">
        <v>1</v>
      </c>
      <c r="D6" s="468">
        <f>C6*ราคาวัสดุ!D5</f>
        <v/>
      </c>
      <c r="E6" s="458" t="n">
        <v>0</v>
      </c>
      <c r="F6" s="468" t="n">
        <v>0</v>
      </c>
      <c r="G6" s="469" t="inlineStr">
        <is>
          <t>เส้น</t>
        </is>
      </c>
    </row>
    <row r="7">
      <c r="A7" s="457" t="n"/>
      <c r="B7" s="457" t="inlineStr">
        <is>
          <t>กล่อง 1"×1.2" (แปคู่)</t>
        </is>
      </c>
      <c r="C7" s="458" t="n">
        <v>0</v>
      </c>
      <c r="D7" s="468">
        <f>C7*ราคาวัสดุ!D6</f>
        <v/>
      </c>
      <c r="E7" s="458" t="n">
        <v>2</v>
      </c>
      <c r="F7" s="468">
        <f>E7*ราคาวัสดุ!D6</f>
        <v/>
      </c>
      <c r="G7" s="469" t="inlineStr">
        <is>
          <t>เส้น</t>
        </is>
      </c>
    </row>
    <row r="8">
      <c r="A8" s="457" t="n"/>
      <c r="B8" s="457" t="inlineStr">
        <is>
          <t>ฉาก 6 หุน</t>
        </is>
      </c>
      <c r="C8" s="458" t="n">
        <v>1</v>
      </c>
      <c r="D8" s="468">
        <f>C8*ราคาวัสดุ!D7</f>
        <v/>
      </c>
      <c r="E8" s="458" t="n">
        <v>1</v>
      </c>
      <c r="F8" s="468">
        <f>E8*ราคาวัสดุ!D7</f>
        <v/>
      </c>
      <c r="G8" s="469" t="inlineStr">
        <is>
          <t>เส้น</t>
        </is>
      </c>
    </row>
    <row r="9">
      <c r="A9" s="457" t="n"/>
      <c r="B9" s="457" t="inlineStr">
        <is>
          <t>แซด 4"</t>
        </is>
      </c>
      <c r="C9" s="458" t="n">
        <v>1</v>
      </c>
      <c r="D9" s="468">
        <f>C9*ราคาวัสดุ!D8</f>
        <v/>
      </c>
      <c r="E9" s="458" t="n">
        <v>1</v>
      </c>
      <c r="F9" s="468">
        <f>E9*ราคาวัสดุ!D8</f>
        <v/>
      </c>
      <c r="G9" s="469" t="inlineStr">
        <is>
          <t>เส้น</t>
        </is>
      </c>
    </row>
    <row r="10">
      <c r="A10" s="457" t="n"/>
      <c r="B10" s="457" t="inlineStr">
        <is>
          <t>กล่องเหล็ก 1"×1"</t>
        </is>
      </c>
      <c r="C10" s="458" t="n">
        <v>3</v>
      </c>
      <c r="D10" s="468">
        <f>C10*ราคาวัสดุ!D9</f>
        <v/>
      </c>
      <c r="E10" s="458" t="n">
        <v>3</v>
      </c>
      <c r="F10" s="468">
        <f>E10*ราคาวัสดุ!D9</f>
        <v/>
      </c>
      <c r="G10" s="469" t="inlineStr">
        <is>
          <t>เส้น</t>
        </is>
      </c>
    </row>
    <row r="11">
      <c r="A11" s="457" t="n"/>
      <c r="B11" s="457" t="inlineStr">
        <is>
          <t>แผ่นเพลทเหล็ก</t>
        </is>
      </c>
      <c r="C11" s="458" t="n">
        <v>8</v>
      </c>
      <c r="D11" s="468">
        <f>C11*ราคาวัสดุ!D10</f>
        <v/>
      </c>
      <c r="E11" s="458" t="n">
        <v>8</v>
      </c>
      <c r="F11" s="468">
        <f>E11*ราคาวัสดุ!D10</f>
        <v/>
      </c>
      <c r="G11" s="469" t="inlineStr">
        <is>
          <t>แผ่น</t>
        </is>
      </c>
    </row>
    <row r="12">
      <c r="B12" s="457" t="inlineStr">
        <is>
          <t>ชินโคร์ไลท์ Heat Cut</t>
        </is>
      </c>
      <c r="C12" s="458" t="n">
        <v>4.5</v>
      </c>
      <c r="D12" s="470">
        <f>C12*ราคาวัสดุ!D19</f>
        <v/>
      </c>
      <c r="E12" s="458" t="n">
        <v>4.5</v>
      </c>
      <c r="F12" s="470">
        <f>E12*ราคาวัสดุ!D19</f>
        <v/>
      </c>
      <c r="G12" s="469" t="inlineStr">
        <is>
          <t>ตร.ม.</t>
        </is>
      </c>
    </row>
    <row r="13">
      <c r="A13" s="471" t="inlineStr">
        <is>
          <t>✅  รวมทุนวัสดุ (300×150)</t>
        </is>
      </c>
      <c r="D13" s="472">
        <f>SUM(D5:D12)</f>
        <v/>
      </c>
      <c r="E13" s="473" t="n"/>
      <c r="F13" s="472">
        <f>SUM(F5:F12)</f>
        <v/>
      </c>
    </row>
    <row r="15">
      <c r="A15" s="467" t="inlineStr">
        <is>
          <t>ขนาด 600×150 ซม.  (9.0 ตร.ม.)</t>
        </is>
      </c>
    </row>
    <row r="16">
      <c r="A16" s="457" t="n"/>
      <c r="B16" s="457" t="inlineStr">
        <is>
          <t>กล่อง 1.6"×4"</t>
        </is>
      </c>
      <c r="C16" s="458" t="n">
        <v>5</v>
      </c>
      <c r="D16" s="468">
        <f>C16*ราคาวัสดุ!D4</f>
        <v/>
      </c>
      <c r="E16" s="458" t="n">
        <v>5</v>
      </c>
      <c r="F16" s="468">
        <f>E16*ราคาวัสดุ!D4</f>
        <v/>
      </c>
      <c r="G16" s="469" t="inlineStr">
        <is>
          <t>เส้น</t>
        </is>
      </c>
    </row>
    <row r="17">
      <c r="A17" s="457" t="n"/>
      <c r="B17" s="457" t="inlineStr">
        <is>
          <t>กล่อง 1.6"×1.6" (แปเดี่ยว)</t>
        </is>
      </c>
      <c r="C17" s="458" t="n">
        <v>2</v>
      </c>
      <c r="D17" s="468">
        <f>C17*ราคาวัสดุ!D5</f>
        <v/>
      </c>
      <c r="E17" s="458" t="n">
        <v>0</v>
      </c>
      <c r="F17" s="468" t="n">
        <v>0</v>
      </c>
      <c r="G17" s="469" t="inlineStr">
        <is>
          <t>เส้น</t>
        </is>
      </c>
    </row>
    <row r="18">
      <c r="A18" s="457" t="n"/>
      <c r="B18" s="457" t="inlineStr">
        <is>
          <t>กล่อง 1"×1.2" (แปคู่)</t>
        </is>
      </c>
      <c r="C18" s="458" t="n">
        <v>0</v>
      </c>
      <c r="D18" s="468">
        <f>C18*ราคาวัสดุ!D6</f>
        <v/>
      </c>
      <c r="E18" s="458" t="n">
        <v>4</v>
      </c>
      <c r="F18" s="468">
        <f>E18*ราคาวัสดุ!D6</f>
        <v/>
      </c>
      <c r="G18" s="469" t="inlineStr">
        <is>
          <t>เส้น</t>
        </is>
      </c>
    </row>
    <row r="19">
      <c r="A19" s="457" t="n"/>
      <c r="B19" s="457" t="inlineStr">
        <is>
          <t>ฉาก 6 หุน</t>
        </is>
      </c>
      <c r="C19" s="458" t="n">
        <v>1</v>
      </c>
      <c r="D19" s="468">
        <f>C19*ราคาวัสดุ!D7</f>
        <v/>
      </c>
      <c r="E19" s="458" t="n">
        <v>1</v>
      </c>
      <c r="F19" s="468">
        <f>E19*ราคาวัสดุ!D7</f>
        <v/>
      </c>
      <c r="G19" s="469" t="inlineStr">
        <is>
          <t>เส้น</t>
        </is>
      </c>
    </row>
    <row r="20">
      <c r="A20" s="457" t="n"/>
      <c r="B20" s="457" t="inlineStr">
        <is>
          <t>แซด 4"</t>
        </is>
      </c>
      <c r="C20" s="458" t="n">
        <v>1</v>
      </c>
      <c r="D20" s="468">
        <f>C20*ราคาวัสดุ!D8</f>
        <v/>
      </c>
      <c r="E20" s="458" t="n">
        <v>1</v>
      </c>
      <c r="F20" s="468">
        <f>E20*ราคาวัสดุ!D8</f>
        <v/>
      </c>
      <c r="G20" s="469" t="inlineStr">
        <is>
          <t>เส้น</t>
        </is>
      </c>
    </row>
    <row r="21">
      <c r="A21" s="457" t="n"/>
      <c r="B21" s="457" t="inlineStr">
        <is>
          <t>กล่องเหล็ก 1"×1"</t>
        </is>
      </c>
      <c r="C21" s="458" t="n">
        <v>4</v>
      </c>
      <c r="D21" s="468">
        <f>C21*ราคาวัสดุ!D9</f>
        <v/>
      </c>
      <c r="E21" s="458" t="n">
        <v>4</v>
      </c>
      <c r="F21" s="468">
        <f>E21*ราคาวัสดุ!D9</f>
        <v/>
      </c>
      <c r="G21" s="469" t="inlineStr">
        <is>
          <t>เส้น</t>
        </is>
      </c>
    </row>
    <row r="22">
      <c r="A22" s="457" t="n"/>
      <c r="B22" s="457" t="inlineStr">
        <is>
          <t>แผ่นเพลทเหล็ก</t>
        </is>
      </c>
      <c r="C22" s="458" t="n">
        <v>14</v>
      </c>
      <c r="D22" s="468">
        <f>C22*ราคาวัสดุ!D10</f>
        <v/>
      </c>
      <c r="E22" s="458" t="n">
        <v>14</v>
      </c>
      <c r="F22" s="468">
        <f>E22*ราคาวัสดุ!D10</f>
        <v/>
      </c>
      <c r="G22" s="469" t="inlineStr">
        <is>
          <t>แผ่น</t>
        </is>
      </c>
    </row>
    <row r="23">
      <c r="B23" s="457" t="inlineStr">
        <is>
          <t>ชินโคร์ไลท์ Heat Cut</t>
        </is>
      </c>
      <c r="C23" s="458" t="n">
        <v>9</v>
      </c>
      <c r="D23" s="470">
        <f>C23*ราคาวัสดุ!D19</f>
        <v/>
      </c>
      <c r="E23" s="458" t="n">
        <v>9</v>
      </c>
      <c r="F23" s="470">
        <f>E23*ราคาวัสดุ!D19</f>
        <v/>
      </c>
      <c r="G23" s="469" t="inlineStr">
        <is>
          <t>ตร.ม.</t>
        </is>
      </c>
    </row>
    <row r="24">
      <c r="A24" s="471" t="inlineStr">
        <is>
          <t>✅  รวมทุนวัสดุ (600×150)</t>
        </is>
      </c>
      <c r="D24" s="472">
        <f>SUM(D16:D23)</f>
        <v/>
      </c>
      <c r="E24" s="473" t="n"/>
      <c r="F24" s="472">
        <f>SUM(F16:F23)</f>
        <v/>
      </c>
    </row>
    <row r="26">
      <c r="A26" s="467" t="inlineStr">
        <is>
          <t>ขนาด 900×150 ซม.  (13.5 ตร.ม.)</t>
        </is>
      </c>
    </row>
    <row r="27">
      <c r="A27" s="457" t="n"/>
      <c r="B27" s="457" t="inlineStr">
        <is>
          <t>กล่อง 1.6"×4"</t>
        </is>
      </c>
      <c r="C27" s="458" t="n">
        <v>7</v>
      </c>
      <c r="D27" s="468">
        <f>C27*ราคาวัสดุ!D4</f>
        <v/>
      </c>
      <c r="E27" s="458" t="n">
        <v>7</v>
      </c>
      <c r="F27" s="468">
        <f>E27*ราคาวัสดุ!D4</f>
        <v/>
      </c>
      <c r="G27" s="469" t="inlineStr">
        <is>
          <t>เส้น</t>
        </is>
      </c>
    </row>
    <row r="28">
      <c r="A28" s="457" t="n"/>
      <c r="B28" s="457" t="inlineStr">
        <is>
          <t>กล่อง 1.6"×1.6" (แปเดี่ยว)</t>
        </is>
      </c>
      <c r="C28" s="458" t="n">
        <v>3</v>
      </c>
      <c r="D28" s="468">
        <f>C28*ราคาวัสดุ!D5</f>
        <v/>
      </c>
      <c r="E28" s="458" t="n">
        <v>0</v>
      </c>
      <c r="F28" s="468" t="n">
        <v>0</v>
      </c>
      <c r="G28" s="469" t="inlineStr">
        <is>
          <t>เส้น</t>
        </is>
      </c>
    </row>
    <row r="29">
      <c r="A29" s="457" t="n"/>
      <c r="B29" s="457" t="inlineStr">
        <is>
          <t>กล่อง 1"×1.2" (แปคู่)</t>
        </is>
      </c>
      <c r="C29" s="458" t="n">
        <v>0</v>
      </c>
      <c r="D29" s="468">
        <f>C29*ราคาวัสดุ!D6</f>
        <v/>
      </c>
      <c r="E29" s="458" t="n">
        <v>6</v>
      </c>
      <c r="F29" s="468">
        <f>E29*ราคาวัสดุ!D6</f>
        <v/>
      </c>
      <c r="G29" s="469" t="inlineStr">
        <is>
          <t>เส้น</t>
        </is>
      </c>
    </row>
    <row r="30">
      <c r="A30" s="457" t="n"/>
      <c r="B30" s="457" t="inlineStr">
        <is>
          <t>ฉาก 6 หุน</t>
        </is>
      </c>
      <c r="C30" s="458" t="n">
        <v>1</v>
      </c>
      <c r="D30" s="468">
        <f>C30*ราคาวัสดุ!D7</f>
        <v/>
      </c>
      <c r="E30" s="458" t="n">
        <v>1</v>
      </c>
      <c r="F30" s="468">
        <f>E30*ราคาวัสดุ!D7</f>
        <v/>
      </c>
      <c r="G30" s="469" t="inlineStr">
        <is>
          <t>เส้น</t>
        </is>
      </c>
    </row>
    <row r="31">
      <c r="A31" s="457" t="n"/>
      <c r="B31" s="457" t="inlineStr">
        <is>
          <t>แซด 4"</t>
        </is>
      </c>
      <c r="C31" s="458" t="n">
        <v>2</v>
      </c>
      <c r="D31" s="468">
        <f>C31*ราคาวัสดุ!D8</f>
        <v/>
      </c>
      <c r="E31" s="458" t="n">
        <v>2</v>
      </c>
      <c r="F31" s="468">
        <f>E31*ราคาวัสดุ!D8</f>
        <v/>
      </c>
      <c r="G31" s="469" t="inlineStr">
        <is>
          <t>เส้น</t>
        </is>
      </c>
    </row>
    <row r="32">
      <c r="A32" s="457" t="n"/>
      <c r="B32" s="457" t="inlineStr">
        <is>
          <t>กล่องเหล็ก 1"×1"</t>
        </is>
      </c>
      <c r="C32" s="458" t="n">
        <v>6</v>
      </c>
      <c r="D32" s="468">
        <f>C32*ราคาวัสดุ!D9</f>
        <v/>
      </c>
      <c r="E32" s="458" t="n">
        <v>6</v>
      </c>
      <c r="F32" s="468">
        <f>E32*ราคาวัสดุ!D9</f>
        <v/>
      </c>
      <c r="G32" s="469" t="inlineStr">
        <is>
          <t>เส้น</t>
        </is>
      </c>
    </row>
    <row r="33">
      <c r="A33" s="457" t="n"/>
      <c r="B33" s="457" t="inlineStr">
        <is>
          <t>แผ่นเพลทเหล็ก</t>
        </is>
      </c>
      <c r="C33" s="458" t="n">
        <v>12</v>
      </c>
      <c r="D33" s="468">
        <f>C33*ราคาวัสดุ!D10</f>
        <v/>
      </c>
      <c r="E33" s="458" t="n">
        <v>12</v>
      </c>
      <c r="F33" s="468">
        <f>E33*ราคาวัสดุ!D10</f>
        <v/>
      </c>
      <c r="G33" s="469" t="inlineStr">
        <is>
          <t>แผ่น</t>
        </is>
      </c>
    </row>
    <row r="34">
      <c r="B34" s="457" t="inlineStr">
        <is>
          <t>ชินโคร์ไลท์ Heat Cut</t>
        </is>
      </c>
      <c r="C34" s="458" t="n">
        <v>13.5</v>
      </c>
      <c r="D34" s="470">
        <f>C34*ราคาวัสดุ!D19</f>
        <v/>
      </c>
      <c r="E34" s="458" t="n">
        <v>13.5</v>
      </c>
      <c r="F34" s="470">
        <f>E34*ราคาวัสดุ!D19</f>
        <v/>
      </c>
      <c r="G34" s="469" t="inlineStr">
        <is>
          <t>ตร.ม.</t>
        </is>
      </c>
    </row>
    <row r="35">
      <c r="A35" s="471" t="inlineStr">
        <is>
          <t>✅  รวมทุนวัสดุ (900×150)</t>
        </is>
      </c>
      <c r="D35" s="472">
        <f>SUM(D27:D34)</f>
        <v/>
      </c>
      <c r="E35" s="473" t="n"/>
      <c r="F35" s="472">
        <f>SUM(F27:F34)</f>
        <v/>
      </c>
    </row>
    <row r="37">
      <c r="A37" s="467" t="inlineStr">
        <is>
          <t>ขนาด 1200×150 ซม.  (18.0 ตร.ม.)</t>
        </is>
      </c>
    </row>
    <row r="38">
      <c r="A38" s="457" t="n"/>
      <c r="B38" s="457" t="inlineStr">
        <is>
          <t>กล่อง 1.6"×4"</t>
        </is>
      </c>
      <c r="C38" s="458" t="n">
        <v>10</v>
      </c>
      <c r="D38" s="468">
        <f>C38*ราคาวัสดุ!D4</f>
        <v/>
      </c>
      <c r="E38" s="458" t="n">
        <v>10</v>
      </c>
      <c r="F38" s="468">
        <f>E38*ราคาวัสดุ!D4</f>
        <v/>
      </c>
      <c r="G38" s="469" t="inlineStr">
        <is>
          <t>เส้น</t>
        </is>
      </c>
    </row>
    <row r="39">
      <c r="A39" s="457" t="n"/>
      <c r="B39" s="457" t="inlineStr">
        <is>
          <t>กล่อง 1.6"×1.6" (แปเดี่ยว)</t>
        </is>
      </c>
      <c r="C39" s="458" t="n">
        <v>4</v>
      </c>
      <c r="D39" s="468">
        <f>C39*ราคาวัสดุ!D5</f>
        <v/>
      </c>
      <c r="E39" s="458" t="n">
        <v>0</v>
      </c>
      <c r="F39" s="468" t="n">
        <v>0</v>
      </c>
      <c r="G39" s="469" t="inlineStr">
        <is>
          <t>เส้น</t>
        </is>
      </c>
    </row>
    <row r="40">
      <c r="A40" s="457" t="n"/>
      <c r="B40" s="457" t="inlineStr">
        <is>
          <t>กล่อง 1"×1.2" (แปคู่)</t>
        </is>
      </c>
      <c r="C40" s="458" t="n">
        <v>0</v>
      </c>
      <c r="D40" s="468">
        <f>C40*ราคาวัสดุ!D6</f>
        <v/>
      </c>
      <c r="E40" s="458" t="n">
        <v>8</v>
      </c>
      <c r="F40" s="468">
        <f>E40*ราคาวัสดุ!D6</f>
        <v/>
      </c>
      <c r="G40" s="469" t="inlineStr">
        <is>
          <t>เส้น</t>
        </is>
      </c>
    </row>
    <row r="41">
      <c r="A41" s="457" t="n"/>
      <c r="B41" s="457" t="inlineStr">
        <is>
          <t>ฉาก 6 หุน</t>
        </is>
      </c>
      <c r="C41" s="458" t="n">
        <v>1</v>
      </c>
      <c r="D41" s="468">
        <f>C41*ราคาวัสดุ!D7</f>
        <v/>
      </c>
      <c r="E41" s="458" t="n">
        <v>1</v>
      </c>
      <c r="F41" s="468">
        <f>E41*ราคาวัสดุ!D7</f>
        <v/>
      </c>
      <c r="G41" s="469" t="inlineStr">
        <is>
          <t>เส้น</t>
        </is>
      </c>
    </row>
    <row r="42">
      <c r="A42" s="457" t="n"/>
      <c r="B42" s="457" t="inlineStr">
        <is>
          <t>แซด 4"</t>
        </is>
      </c>
      <c r="C42" s="458" t="n">
        <v>2</v>
      </c>
      <c r="D42" s="468">
        <f>C42*ราคาวัสดุ!D8</f>
        <v/>
      </c>
      <c r="E42" s="458" t="n">
        <v>2</v>
      </c>
      <c r="F42" s="468">
        <f>E42*ราคาวัสดุ!D8</f>
        <v/>
      </c>
      <c r="G42" s="469" t="inlineStr">
        <is>
          <t>เส้น</t>
        </is>
      </c>
    </row>
    <row r="43">
      <c r="A43" s="457" t="n"/>
      <c r="B43" s="457" t="inlineStr">
        <is>
          <t>กล่องเหล็ก 1"×1"</t>
        </is>
      </c>
      <c r="C43" s="458" t="n">
        <v>8</v>
      </c>
      <c r="D43" s="468">
        <f>C43*ราคาวัสดุ!D9</f>
        <v/>
      </c>
      <c r="E43" s="458" t="n">
        <v>8</v>
      </c>
      <c r="F43" s="468">
        <f>E43*ราคาวัสดุ!D9</f>
        <v/>
      </c>
      <c r="G43" s="469" t="inlineStr">
        <is>
          <t>เส้น</t>
        </is>
      </c>
    </row>
    <row r="44">
      <c r="A44" s="457" t="n"/>
      <c r="B44" s="457" t="inlineStr">
        <is>
          <t>แผ่นเพลทเหล็ก</t>
        </is>
      </c>
      <c r="C44" s="458" t="n">
        <v>13</v>
      </c>
      <c r="D44" s="468">
        <f>C44*ราคาวัสดุ!D10</f>
        <v/>
      </c>
      <c r="E44" s="458" t="n">
        <v>13</v>
      </c>
      <c r="F44" s="468">
        <f>E44*ราคาวัสดุ!D10</f>
        <v/>
      </c>
      <c r="G44" s="469" t="inlineStr">
        <is>
          <t>แผ่น</t>
        </is>
      </c>
    </row>
    <row r="45">
      <c r="B45" s="457" t="inlineStr">
        <is>
          <t>ชินโคร์ไลท์ Heat Cut</t>
        </is>
      </c>
      <c r="C45" s="458" t="n">
        <v>18</v>
      </c>
      <c r="D45" s="470">
        <f>C45*ราคาวัสดุ!D19</f>
        <v/>
      </c>
      <c r="E45" s="458" t="n">
        <v>18</v>
      </c>
      <c r="F45" s="470">
        <f>E45*ราคาวัสดุ!D19</f>
        <v/>
      </c>
      <c r="G45" s="469" t="inlineStr">
        <is>
          <t>ตร.ม.</t>
        </is>
      </c>
    </row>
    <row r="46">
      <c r="A46" s="471" t="inlineStr">
        <is>
          <t>✅  รวมทุนวัสดุ (1200×150)</t>
        </is>
      </c>
      <c r="D46" s="472">
        <f>SUM(D38:D45)</f>
        <v/>
      </c>
      <c r="E46" s="473" t="n"/>
      <c r="F46" s="472">
        <f>SUM(F38:F45)</f>
        <v/>
      </c>
    </row>
    <row r="48">
      <c r="A48" s="467" t="inlineStr">
        <is>
          <t>ขนาด 1600×150 ซม.  (24.0 ตร.ม.)</t>
        </is>
      </c>
    </row>
    <row r="49">
      <c r="A49" s="457" t="n"/>
      <c r="B49" s="457" t="inlineStr">
        <is>
          <t>กล่อง 1.6"×4"</t>
        </is>
      </c>
      <c r="C49" s="458" t="n">
        <v>13</v>
      </c>
      <c r="D49" s="468">
        <f>C49*ราคาวัสดุ!D4</f>
        <v/>
      </c>
      <c r="E49" s="458" t="n">
        <v>13</v>
      </c>
      <c r="F49" s="468">
        <f>E49*ราคาวัสดุ!D4</f>
        <v/>
      </c>
      <c r="G49" s="469" t="inlineStr">
        <is>
          <t>เส้น</t>
        </is>
      </c>
    </row>
    <row r="50">
      <c r="A50" s="457" t="n"/>
      <c r="B50" s="457" t="inlineStr">
        <is>
          <t>กล่อง 1.6"×1.6" (แปเดี่ยว)</t>
        </is>
      </c>
      <c r="C50" s="458" t="n">
        <v>6</v>
      </c>
      <c r="D50" s="468">
        <f>C50*ราคาวัสดุ!D5</f>
        <v/>
      </c>
      <c r="E50" s="458" t="n">
        <v>0</v>
      </c>
      <c r="F50" s="468" t="n">
        <v>0</v>
      </c>
      <c r="G50" s="469" t="inlineStr">
        <is>
          <t>เส้น</t>
        </is>
      </c>
    </row>
    <row r="51">
      <c r="A51" s="457" t="n"/>
      <c r="B51" s="457" t="inlineStr">
        <is>
          <t>กล่อง 1"×1.2" (แปคู่)</t>
        </is>
      </c>
      <c r="C51" s="458" t="n">
        <v>0</v>
      </c>
      <c r="D51" s="468">
        <f>C51*ราคาวัสดุ!D6</f>
        <v/>
      </c>
      <c r="E51" s="458" t="n">
        <v>11</v>
      </c>
      <c r="F51" s="468">
        <f>E51*ราคาวัสดุ!D6</f>
        <v/>
      </c>
      <c r="G51" s="469" t="inlineStr">
        <is>
          <t>เส้น</t>
        </is>
      </c>
    </row>
    <row r="52">
      <c r="A52" s="457" t="n"/>
      <c r="B52" s="457" t="inlineStr">
        <is>
          <t>ฉาก 6 หุน</t>
        </is>
      </c>
      <c r="C52" s="458" t="n">
        <v>1</v>
      </c>
      <c r="D52" s="468">
        <f>C52*ราคาวัสดุ!D7</f>
        <v/>
      </c>
      <c r="E52" s="458" t="n">
        <v>1</v>
      </c>
      <c r="F52" s="468">
        <f>E52*ราคาวัสดุ!D7</f>
        <v/>
      </c>
      <c r="G52" s="469" t="inlineStr">
        <is>
          <t>เส้น</t>
        </is>
      </c>
    </row>
    <row r="53">
      <c r="A53" s="457" t="n"/>
      <c r="B53" s="457" t="inlineStr">
        <is>
          <t>แซด 4"</t>
        </is>
      </c>
      <c r="C53" s="458" t="n">
        <v>3</v>
      </c>
      <c r="D53" s="468">
        <f>C53*ราคาวัสดุ!D8</f>
        <v/>
      </c>
      <c r="E53" s="458" t="n">
        <v>3</v>
      </c>
      <c r="F53" s="468">
        <f>E53*ราคาวัสดุ!D8</f>
        <v/>
      </c>
      <c r="G53" s="469" t="inlineStr">
        <is>
          <t>เส้น</t>
        </is>
      </c>
    </row>
    <row r="54">
      <c r="A54" s="457" t="n"/>
      <c r="B54" s="457" t="inlineStr">
        <is>
          <t>กล่องเหล็ก 1"×1"</t>
        </is>
      </c>
      <c r="C54" s="458" t="n">
        <v>10</v>
      </c>
      <c r="D54" s="468">
        <f>C54*ราคาวัสดุ!D9</f>
        <v/>
      </c>
      <c r="E54" s="458" t="n">
        <v>10</v>
      </c>
      <c r="F54" s="468">
        <f>E54*ราคาวัสดุ!D9</f>
        <v/>
      </c>
      <c r="G54" s="469" t="inlineStr">
        <is>
          <t>เส้น</t>
        </is>
      </c>
    </row>
    <row r="55">
      <c r="A55" s="457" t="n"/>
      <c r="B55" s="457" t="inlineStr">
        <is>
          <t>แผ่นเพลทเหล็ก</t>
        </is>
      </c>
      <c r="C55" s="458" t="n">
        <v>17</v>
      </c>
      <c r="D55" s="468">
        <f>C55*ราคาวัสดุ!D10</f>
        <v/>
      </c>
      <c r="E55" s="458" t="n">
        <v>17</v>
      </c>
      <c r="F55" s="468">
        <f>E55*ราคาวัสดุ!D10</f>
        <v/>
      </c>
      <c r="G55" s="469" t="inlineStr">
        <is>
          <t>แผ่น</t>
        </is>
      </c>
    </row>
    <row r="56">
      <c r="B56" s="457" t="inlineStr">
        <is>
          <t>ชินโคร์ไลท์ Heat Cut</t>
        </is>
      </c>
      <c r="C56" s="458" t="n">
        <v>24</v>
      </c>
      <c r="D56" s="470">
        <f>C56*ราคาวัสดุ!D19</f>
        <v/>
      </c>
      <c r="E56" s="458" t="n">
        <v>24</v>
      </c>
      <c r="F56" s="470">
        <f>E56*ราคาวัสดุ!D19</f>
        <v/>
      </c>
      <c r="G56" s="469" t="inlineStr">
        <is>
          <t>ตร.ม.</t>
        </is>
      </c>
    </row>
    <row r="57">
      <c r="A57" s="471" t="inlineStr">
        <is>
          <t>✅  รวมทุนวัสดุ (1600×150)</t>
        </is>
      </c>
      <c r="D57" s="472">
        <f>SUM(D49:D56)</f>
        <v/>
      </c>
      <c r="E57" s="473" t="n"/>
      <c r="F57" s="472">
        <f>SUM(F49:F56)</f>
        <v/>
      </c>
    </row>
    <row r="59">
      <c r="A59" s="467" t="inlineStr">
        <is>
          <t>ขนาด 2000×150 ซม.  (30.0 ตร.ม.)</t>
        </is>
      </c>
    </row>
    <row r="60">
      <c r="A60" s="457" t="n"/>
      <c r="B60" s="457" t="inlineStr">
        <is>
          <t>กล่อง 1.6"×4"</t>
        </is>
      </c>
      <c r="C60" s="458" t="n">
        <v>16</v>
      </c>
      <c r="D60" s="468">
        <f>C60*ราคาวัสดุ!D4</f>
        <v/>
      </c>
      <c r="E60" s="458" t="n">
        <v>16</v>
      </c>
      <c r="F60" s="468">
        <f>E60*ราคาวัสดุ!D4</f>
        <v/>
      </c>
      <c r="G60" s="469" t="inlineStr">
        <is>
          <t>เส้น</t>
        </is>
      </c>
    </row>
    <row r="61">
      <c r="A61" s="457" t="n"/>
      <c r="B61" s="457" t="inlineStr">
        <is>
          <t>กล่อง 1.6"×1.6" (แปเดี่ยว)</t>
        </is>
      </c>
      <c r="C61" s="458" t="n">
        <v>7</v>
      </c>
      <c r="D61" s="468">
        <f>C61*ราคาวัสดุ!D5</f>
        <v/>
      </c>
      <c r="E61" s="458" t="n">
        <v>0</v>
      </c>
      <c r="F61" s="468" t="n">
        <v>0</v>
      </c>
      <c r="G61" s="469" t="inlineStr">
        <is>
          <t>เส้น</t>
        </is>
      </c>
    </row>
    <row r="62">
      <c r="A62" s="457" t="n"/>
      <c r="B62" s="457" t="inlineStr">
        <is>
          <t>กล่อง 1"×1.2" (แปคู่)</t>
        </is>
      </c>
      <c r="C62" s="458" t="n">
        <v>0</v>
      </c>
      <c r="D62" s="468">
        <f>C62*ราคาวัสดุ!D6</f>
        <v/>
      </c>
      <c r="E62" s="458" t="n">
        <v>14</v>
      </c>
      <c r="F62" s="468">
        <f>E62*ราคาวัสดุ!D6</f>
        <v/>
      </c>
      <c r="G62" s="469" t="inlineStr">
        <is>
          <t>เส้น</t>
        </is>
      </c>
    </row>
    <row r="63">
      <c r="A63" s="457" t="n"/>
      <c r="B63" s="457" t="inlineStr">
        <is>
          <t>ฉาก 6 หุน</t>
        </is>
      </c>
      <c r="C63" s="458" t="n">
        <v>1</v>
      </c>
      <c r="D63" s="468">
        <f>C63*ราคาวัสดุ!D7</f>
        <v/>
      </c>
      <c r="E63" s="458" t="n">
        <v>1</v>
      </c>
      <c r="F63" s="468">
        <f>E63*ราคาวัสดุ!D7</f>
        <v/>
      </c>
      <c r="G63" s="469" t="inlineStr">
        <is>
          <t>เส้น</t>
        </is>
      </c>
    </row>
    <row r="64">
      <c r="A64" s="457" t="n"/>
      <c r="B64" s="457" t="inlineStr">
        <is>
          <t>แซด 4"</t>
        </is>
      </c>
      <c r="C64" s="458" t="n">
        <v>4</v>
      </c>
      <c r="D64" s="468">
        <f>C64*ราคาวัสดุ!D8</f>
        <v/>
      </c>
      <c r="E64" s="458" t="n">
        <v>4</v>
      </c>
      <c r="F64" s="468">
        <f>E64*ราคาวัสดุ!D8</f>
        <v/>
      </c>
      <c r="G64" s="469" t="inlineStr">
        <is>
          <t>เส้น</t>
        </is>
      </c>
    </row>
    <row r="65">
      <c r="A65" s="457" t="n"/>
      <c r="B65" s="457" t="inlineStr">
        <is>
          <t>กล่องเหล็ก 1"×1"</t>
        </is>
      </c>
      <c r="C65" s="458" t="n">
        <v>13</v>
      </c>
      <c r="D65" s="468">
        <f>C65*ราคาวัสดุ!D9</f>
        <v/>
      </c>
      <c r="E65" s="458" t="n">
        <v>13</v>
      </c>
      <c r="F65" s="468">
        <f>E65*ราคาวัสดุ!D9</f>
        <v/>
      </c>
      <c r="G65" s="469" t="inlineStr">
        <is>
          <t>เส้น</t>
        </is>
      </c>
    </row>
    <row r="66">
      <c r="A66" s="457" t="n"/>
      <c r="B66" s="457" t="inlineStr">
        <is>
          <t>แผ่นเพลทเหล็ก</t>
        </is>
      </c>
      <c r="C66" s="458" t="n">
        <v>21</v>
      </c>
      <c r="D66" s="468">
        <f>C66*ราคาวัสดุ!D10</f>
        <v/>
      </c>
      <c r="E66" s="458" t="n">
        <v>21</v>
      </c>
      <c r="F66" s="468">
        <f>E66*ราคาวัสดุ!D10</f>
        <v/>
      </c>
      <c r="G66" s="469" t="inlineStr">
        <is>
          <t>แผ่น</t>
        </is>
      </c>
    </row>
    <row r="67">
      <c r="B67" s="457" t="inlineStr">
        <is>
          <t>ชินโคร์ไลท์ Heat Cut</t>
        </is>
      </c>
      <c r="C67" s="458" t="n">
        <v>30</v>
      </c>
      <c r="D67" s="470">
        <f>C67*ราคาวัสดุ!D19</f>
        <v/>
      </c>
      <c r="E67" s="458" t="n">
        <v>30</v>
      </c>
      <c r="F67" s="470">
        <f>E67*ราคาวัสดุ!D19</f>
        <v/>
      </c>
      <c r="G67" s="469" t="inlineStr">
        <is>
          <t>ตร.ม.</t>
        </is>
      </c>
    </row>
    <row r="68">
      <c r="A68" s="471" t="inlineStr">
        <is>
          <t>✅  รวมทุนวัสดุ (2000×150)</t>
        </is>
      </c>
      <c r="D68" s="472">
        <f>SUM(D60:D67)</f>
        <v/>
      </c>
      <c r="E68" s="473" t="n"/>
      <c r="F68" s="472">
        <f>SUM(F60:F67)</f>
        <v/>
      </c>
    </row>
  </sheetData>
  <mergeCells count="24">
    <mergeCell ref="E57"/>
    <mergeCell ref="A46:C46"/>
    <mergeCell ref="A4:G4"/>
    <mergeCell ref="B2:B3"/>
    <mergeCell ref="A57:C57"/>
    <mergeCell ref="A48:G48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A24:C24"/>
    <mergeCell ref="A37:G37"/>
    <mergeCell ref="A1:F1"/>
    <mergeCell ref="A26:G26"/>
    <mergeCell ref="E46"/>
    <mergeCell ref="G2:G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A6A6A6"/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7.5" customWidth="1" style="129" min="4" max="4"/>
    <col width="6.5" customWidth="1" style="129" min="5" max="5"/>
    <col width="7.5" customWidth="1" style="129" min="6" max="6"/>
    <col width="8.6" customWidth="1" style="129" min="7" max="7"/>
  </cols>
  <sheetData>
    <row r="1">
      <c r="A1" s="451" t="inlineStr">
        <is>
          <t>ถอดทุนวัสดุ — ชินโคร์ไลท์ Superior</t>
        </is>
      </c>
      <c r="G1" s="753" t="inlineStr">
        <is>
          <t>🏠 สารบัญ</t>
        </is>
      </c>
      <c r="H1" s="759" t="n"/>
    </row>
    <row r="2">
      <c r="A2" s="464" t="inlineStr">
        <is>
          <t>#</t>
        </is>
      </c>
      <c r="B2" s="464" t="inlineStr">
        <is>
          <t>วัสดุ / รายการ</t>
        </is>
      </c>
      <c r="C2" s="464" t="inlineStr">
        <is>
          <t>แปเดี่ยว</t>
        </is>
      </c>
      <c r="D2" s="465" t="n"/>
      <c r="E2" s="464" t="inlineStr">
        <is>
          <t>แปคู่</t>
        </is>
      </c>
      <c r="F2" s="465" t="n"/>
      <c r="G2" s="464" t="inlineStr">
        <is>
          <t>หน่วย</t>
        </is>
      </c>
    </row>
    <row r="3">
      <c r="A3" s="466" t="n"/>
      <c r="B3" s="466" t="n"/>
      <c r="C3" s="464" t="inlineStr">
        <is>
          <t>จำนวน</t>
        </is>
      </c>
      <c r="D3" s="464" t="inlineStr">
        <is>
          <t>ราคา</t>
        </is>
      </c>
      <c r="E3" s="464" t="inlineStr">
        <is>
          <t>จำนวน</t>
        </is>
      </c>
      <c r="F3" s="464" t="inlineStr">
        <is>
          <t>ราคา</t>
        </is>
      </c>
      <c r="G3" s="466" t="n"/>
    </row>
    <row r="4">
      <c r="A4" s="467" t="inlineStr">
        <is>
          <t>ขนาด 300×150 ซม.  (4.5 ตร.ม.)</t>
        </is>
      </c>
    </row>
    <row r="5">
      <c r="A5" s="457" t="n"/>
      <c r="B5" s="457" t="inlineStr">
        <is>
          <t>กล่อง 1.6"×4"</t>
        </is>
      </c>
      <c r="C5" s="458" t="n">
        <v>3</v>
      </c>
      <c r="D5" s="468">
        <f>C5*ราคาวัสดุ!D4</f>
        <v/>
      </c>
      <c r="E5" s="458" t="n">
        <v>3</v>
      </c>
      <c r="F5" s="468">
        <f>E5*ราคาวัสดุ!D4</f>
        <v/>
      </c>
      <c r="G5" s="469" t="inlineStr">
        <is>
          <t>เส้น</t>
        </is>
      </c>
    </row>
    <row r="6">
      <c r="A6" s="457" t="n"/>
      <c r="B6" s="457" t="inlineStr">
        <is>
          <t>กล่อง 1.6"×1.6" (แปเดี่ยว)</t>
        </is>
      </c>
      <c r="C6" s="458" t="n">
        <v>1</v>
      </c>
      <c r="D6" s="468">
        <f>C6*ราคาวัสดุ!D5</f>
        <v/>
      </c>
      <c r="E6" s="458" t="n">
        <v>0</v>
      </c>
      <c r="F6" s="468" t="n">
        <v>0</v>
      </c>
      <c r="G6" s="469" t="inlineStr">
        <is>
          <t>เส้น</t>
        </is>
      </c>
    </row>
    <row r="7">
      <c r="A7" s="457" t="n"/>
      <c r="B7" s="457" t="inlineStr">
        <is>
          <t>กล่อง 1"×1.2" (แปคู่)</t>
        </is>
      </c>
      <c r="C7" s="458" t="n">
        <v>0</v>
      </c>
      <c r="D7" s="468">
        <f>C7*ราคาวัสดุ!D6</f>
        <v/>
      </c>
      <c r="E7" s="458" t="n">
        <v>2</v>
      </c>
      <c r="F7" s="468">
        <f>E7*ราคาวัสดุ!D6</f>
        <v/>
      </c>
      <c r="G7" s="469" t="inlineStr">
        <is>
          <t>เส้น</t>
        </is>
      </c>
    </row>
    <row r="8">
      <c r="A8" s="457" t="n"/>
      <c r="B8" s="457" t="inlineStr">
        <is>
          <t>ฉาก 6 หุน</t>
        </is>
      </c>
      <c r="C8" s="458" t="n">
        <v>1</v>
      </c>
      <c r="D8" s="468">
        <f>C8*ราคาวัสดุ!D7</f>
        <v/>
      </c>
      <c r="E8" s="458" t="n">
        <v>1</v>
      </c>
      <c r="F8" s="468">
        <f>E8*ราคาวัสดุ!D7</f>
        <v/>
      </c>
      <c r="G8" s="469" t="inlineStr">
        <is>
          <t>เส้น</t>
        </is>
      </c>
    </row>
    <row r="9">
      <c r="A9" s="457" t="n"/>
      <c r="B9" s="457" t="inlineStr">
        <is>
          <t>แซด 4"</t>
        </is>
      </c>
      <c r="C9" s="458" t="n">
        <v>1</v>
      </c>
      <c r="D9" s="468">
        <f>C9*ราคาวัสดุ!D8</f>
        <v/>
      </c>
      <c r="E9" s="458" t="n">
        <v>1</v>
      </c>
      <c r="F9" s="468">
        <f>E9*ราคาวัสดุ!D8</f>
        <v/>
      </c>
      <c r="G9" s="469" t="inlineStr">
        <is>
          <t>เส้น</t>
        </is>
      </c>
    </row>
    <row r="10">
      <c r="A10" s="457" t="n"/>
      <c r="B10" s="457" t="inlineStr">
        <is>
          <t>กล่องเหล็ก 1"×1"</t>
        </is>
      </c>
      <c r="C10" s="458" t="n">
        <v>3</v>
      </c>
      <c r="D10" s="468">
        <f>C10*ราคาวัสดุ!D9</f>
        <v/>
      </c>
      <c r="E10" s="458" t="n">
        <v>3</v>
      </c>
      <c r="F10" s="468">
        <f>E10*ราคาวัสดุ!D9</f>
        <v/>
      </c>
      <c r="G10" s="469" t="inlineStr">
        <is>
          <t>เส้น</t>
        </is>
      </c>
    </row>
    <row r="11">
      <c r="A11" s="457" t="n"/>
      <c r="B11" s="457" t="inlineStr">
        <is>
          <t>แผ่นเพลทเหล็ก</t>
        </is>
      </c>
      <c r="C11" s="458" t="n">
        <v>8</v>
      </c>
      <c r="D11" s="468">
        <f>C11*ราคาวัสดุ!D10</f>
        <v/>
      </c>
      <c r="E11" s="458" t="n">
        <v>8</v>
      </c>
      <c r="F11" s="468">
        <f>E11*ราคาวัสดุ!D10</f>
        <v/>
      </c>
      <c r="G11" s="469" t="inlineStr">
        <is>
          <t>แผ่น</t>
        </is>
      </c>
    </row>
    <row r="12">
      <c r="B12" s="457" t="inlineStr">
        <is>
          <t>ชินโคร์ไลท์ Superior</t>
        </is>
      </c>
      <c r="C12" s="458" t="n">
        <v>4.5</v>
      </c>
      <c r="D12" s="470">
        <f>C12*ราคาวัสดุ!D20</f>
        <v/>
      </c>
      <c r="E12" s="458" t="n">
        <v>4.5</v>
      </c>
      <c r="F12" s="470">
        <f>E12*ราคาวัสดุ!D20</f>
        <v/>
      </c>
      <c r="G12" s="469" t="inlineStr">
        <is>
          <t>ตร.ม.</t>
        </is>
      </c>
    </row>
    <row r="13">
      <c r="A13" s="471" t="inlineStr">
        <is>
          <t>✅  รวมทุนวัสดุ (300×150)</t>
        </is>
      </c>
      <c r="D13" s="472">
        <f>SUM(D5:D12)</f>
        <v/>
      </c>
      <c r="E13" s="473" t="n"/>
      <c r="F13" s="472">
        <f>SUM(F5:F12)</f>
        <v/>
      </c>
    </row>
    <row r="15">
      <c r="A15" s="467" t="inlineStr">
        <is>
          <t>ขนาด 600×150 ซม.  (9.0 ตร.ม.)</t>
        </is>
      </c>
    </row>
    <row r="16">
      <c r="A16" s="457" t="n"/>
      <c r="B16" s="457" t="inlineStr">
        <is>
          <t>กล่อง 1.6"×4"</t>
        </is>
      </c>
      <c r="C16" s="458" t="n">
        <v>5</v>
      </c>
      <c r="D16" s="468">
        <f>C16*ราคาวัสดุ!D4</f>
        <v/>
      </c>
      <c r="E16" s="458" t="n">
        <v>5</v>
      </c>
      <c r="F16" s="468">
        <f>E16*ราคาวัสดุ!D4</f>
        <v/>
      </c>
      <c r="G16" s="469" t="inlineStr">
        <is>
          <t>เส้น</t>
        </is>
      </c>
    </row>
    <row r="17">
      <c r="A17" s="457" t="n"/>
      <c r="B17" s="457" t="inlineStr">
        <is>
          <t>กล่อง 1.6"×1.6" (แปเดี่ยว)</t>
        </is>
      </c>
      <c r="C17" s="458" t="n">
        <v>2</v>
      </c>
      <c r="D17" s="468">
        <f>C17*ราคาวัสดุ!D5</f>
        <v/>
      </c>
      <c r="E17" s="458" t="n">
        <v>0</v>
      </c>
      <c r="F17" s="468" t="n">
        <v>0</v>
      </c>
      <c r="G17" s="469" t="inlineStr">
        <is>
          <t>เส้น</t>
        </is>
      </c>
    </row>
    <row r="18">
      <c r="A18" s="457" t="n"/>
      <c r="B18" s="457" t="inlineStr">
        <is>
          <t>กล่อง 1"×1.2" (แปคู่)</t>
        </is>
      </c>
      <c r="C18" s="458" t="n">
        <v>0</v>
      </c>
      <c r="D18" s="468">
        <f>C18*ราคาวัสดุ!D6</f>
        <v/>
      </c>
      <c r="E18" s="458" t="n">
        <v>4</v>
      </c>
      <c r="F18" s="468">
        <f>E18*ราคาวัสดุ!D6</f>
        <v/>
      </c>
      <c r="G18" s="469" t="inlineStr">
        <is>
          <t>เส้น</t>
        </is>
      </c>
    </row>
    <row r="19">
      <c r="A19" s="457" t="n"/>
      <c r="B19" s="457" t="inlineStr">
        <is>
          <t>ฉาก 6 หุน</t>
        </is>
      </c>
      <c r="C19" s="458" t="n">
        <v>1</v>
      </c>
      <c r="D19" s="468">
        <f>C19*ราคาวัสดุ!D7</f>
        <v/>
      </c>
      <c r="E19" s="458" t="n">
        <v>1</v>
      </c>
      <c r="F19" s="468">
        <f>E19*ราคาวัสดุ!D7</f>
        <v/>
      </c>
      <c r="G19" s="469" t="inlineStr">
        <is>
          <t>เส้น</t>
        </is>
      </c>
    </row>
    <row r="20">
      <c r="A20" s="457" t="n"/>
      <c r="B20" s="457" t="inlineStr">
        <is>
          <t>แซด 4"</t>
        </is>
      </c>
      <c r="C20" s="458" t="n">
        <v>1</v>
      </c>
      <c r="D20" s="468">
        <f>C20*ราคาวัสดุ!D8</f>
        <v/>
      </c>
      <c r="E20" s="458" t="n">
        <v>1</v>
      </c>
      <c r="F20" s="468">
        <f>E20*ราคาวัสดุ!D8</f>
        <v/>
      </c>
      <c r="G20" s="469" t="inlineStr">
        <is>
          <t>เส้น</t>
        </is>
      </c>
    </row>
    <row r="21">
      <c r="A21" s="457" t="n"/>
      <c r="B21" s="457" t="inlineStr">
        <is>
          <t>กล่องเหล็ก 1"×1"</t>
        </is>
      </c>
      <c r="C21" s="458" t="n">
        <v>4</v>
      </c>
      <c r="D21" s="468">
        <f>C21*ราคาวัสดุ!D9</f>
        <v/>
      </c>
      <c r="E21" s="458" t="n">
        <v>4</v>
      </c>
      <c r="F21" s="468">
        <f>E21*ราคาวัสดุ!D9</f>
        <v/>
      </c>
      <c r="G21" s="469" t="inlineStr">
        <is>
          <t>เส้น</t>
        </is>
      </c>
    </row>
    <row r="22">
      <c r="A22" s="457" t="n"/>
      <c r="B22" s="457" t="inlineStr">
        <is>
          <t>แผ่นเพลทเหล็ก</t>
        </is>
      </c>
      <c r="C22" s="458" t="n">
        <v>14</v>
      </c>
      <c r="D22" s="468">
        <f>C22*ราคาวัสดุ!D10</f>
        <v/>
      </c>
      <c r="E22" s="458" t="n">
        <v>14</v>
      </c>
      <c r="F22" s="468">
        <f>E22*ราคาวัสดุ!D10</f>
        <v/>
      </c>
      <c r="G22" s="469" t="inlineStr">
        <is>
          <t>แผ่น</t>
        </is>
      </c>
    </row>
    <row r="23">
      <c r="B23" s="457" t="inlineStr">
        <is>
          <t>ชินโคร์ไลท์ Superior</t>
        </is>
      </c>
      <c r="C23" s="458" t="n">
        <v>9</v>
      </c>
      <c r="D23" s="470">
        <f>C23*ราคาวัสดุ!D20</f>
        <v/>
      </c>
      <c r="E23" s="458" t="n">
        <v>9</v>
      </c>
      <c r="F23" s="470">
        <f>E23*ราคาวัสดุ!D20</f>
        <v/>
      </c>
      <c r="G23" s="469" t="inlineStr">
        <is>
          <t>ตร.ม.</t>
        </is>
      </c>
    </row>
    <row r="24">
      <c r="A24" s="471" t="inlineStr">
        <is>
          <t>✅  รวมทุนวัสดุ (600×150)</t>
        </is>
      </c>
      <c r="D24" s="472">
        <f>SUM(D16:D23)</f>
        <v/>
      </c>
      <c r="E24" s="473" t="n"/>
      <c r="F24" s="472">
        <f>SUM(F16:F23)</f>
        <v/>
      </c>
    </row>
    <row r="26">
      <c r="A26" s="467" t="inlineStr">
        <is>
          <t>ขนาด 900×150 ซม.  (13.5 ตร.ม.)</t>
        </is>
      </c>
    </row>
    <row r="27">
      <c r="A27" s="457" t="n"/>
      <c r="B27" s="457" t="inlineStr">
        <is>
          <t>กล่อง 1.6"×4"</t>
        </is>
      </c>
      <c r="C27" s="458" t="n">
        <v>7</v>
      </c>
      <c r="D27" s="468">
        <f>C27*ราคาวัสดุ!D4</f>
        <v/>
      </c>
      <c r="E27" s="458" t="n">
        <v>7</v>
      </c>
      <c r="F27" s="468">
        <f>E27*ราคาวัสดุ!D4</f>
        <v/>
      </c>
      <c r="G27" s="469" t="inlineStr">
        <is>
          <t>เส้น</t>
        </is>
      </c>
    </row>
    <row r="28">
      <c r="A28" s="457" t="n"/>
      <c r="B28" s="457" t="inlineStr">
        <is>
          <t>กล่อง 1.6"×1.6" (แปเดี่ยว)</t>
        </is>
      </c>
      <c r="C28" s="458" t="n">
        <v>3</v>
      </c>
      <c r="D28" s="468">
        <f>C28*ราคาวัสดุ!D5</f>
        <v/>
      </c>
      <c r="E28" s="458" t="n">
        <v>0</v>
      </c>
      <c r="F28" s="468" t="n">
        <v>0</v>
      </c>
      <c r="G28" s="469" t="inlineStr">
        <is>
          <t>เส้น</t>
        </is>
      </c>
    </row>
    <row r="29">
      <c r="A29" s="457" t="n"/>
      <c r="B29" s="457" t="inlineStr">
        <is>
          <t>กล่อง 1"×1.2" (แปคู่)</t>
        </is>
      </c>
      <c r="C29" s="458" t="n">
        <v>0</v>
      </c>
      <c r="D29" s="468">
        <f>C29*ราคาวัสดุ!D6</f>
        <v/>
      </c>
      <c r="E29" s="458" t="n">
        <v>6</v>
      </c>
      <c r="F29" s="468">
        <f>E29*ราคาวัสดุ!D6</f>
        <v/>
      </c>
      <c r="G29" s="469" t="inlineStr">
        <is>
          <t>เส้น</t>
        </is>
      </c>
    </row>
    <row r="30">
      <c r="A30" s="457" t="n"/>
      <c r="B30" s="457" t="inlineStr">
        <is>
          <t>ฉาก 6 หุน</t>
        </is>
      </c>
      <c r="C30" s="458" t="n">
        <v>1</v>
      </c>
      <c r="D30" s="468">
        <f>C30*ราคาวัสดุ!D7</f>
        <v/>
      </c>
      <c r="E30" s="458" t="n">
        <v>1</v>
      </c>
      <c r="F30" s="468">
        <f>E30*ราคาวัสดุ!D7</f>
        <v/>
      </c>
      <c r="G30" s="469" t="inlineStr">
        <is>
          <t>เส้น</t>
        </is>
      </c>
    </row>
    <row r="31">
      <c r="A31" s="457" t="n"/>
      <c r="B31" s="457" t="inlineStr">
        <is>
          <t>แซด 4"</t>
        </is>
      </c>
      <c r="C31" s="458" t="n">
        <v>2</v>
      </c>
      <c r="D31" s="468">
        <f>C31*ราคาวัสดุ!D8</f>
        <v/>
      </c>
      <c r="E31" s="458" t="n">
        <v>2</v>
      </c>
      <c r="F31" s="468">
        <f>E31*ราคาวัสดุ!D8</f>
        <v/>
      </c>
      <c r="G31" s="469" t="inlineStr">
        <is>
          <t>เส้น</t>
        </is>
      </c>
    </row>
    <row r="32">
      <c r="A32" s="457" t="n"/>
      <c r="B32" s="457" t="inlineStr">
        <is>
          <t>กล่องเหล็ก 1"×1"</t>
        </is>
      </c>
      <c r="C32" s="458" t="n">
        <v>6</v>
      </c>
      <c r="D32" s="468">
        <f>C32*ราคาวัสดุ!D9</f>
        <v/>
      </c>
      <c r="E32" s="458" t="n">
        <v>6</v>
      </c>
      <c r="F32" s="468">
        <f>E32*ราคาวัสดุ!D9</f>
        <v/>
      </c>
      <c r="G32" s="469" t="inlineStr">
        <is>
          <t>เส้น</t>
        </is>
      </c>
    </row>
    <row r="33">
      <c r="A33" s="457" t="n"/>
      <c r="B33" s="457" t="inlineStr">
        <is>
          <t>แผ่นเพลทเหล็ก</t>
        </is>
      </c>
      <c r="C33" s="458" t="n">
        <v>12</v>
      </c>
      <c r="D33" s="468">
        <f>C33*ราคาวัสดุ!D10</f>
        <v/>
      </c>
      <c r="E33" s="458" t="n">
        <v>12</v>
      </c>
      <c r="F33" s="468">
        <f>E33*ราคาวัสดุ!D10</f>
        <v/>
      </c>
      <c r="G33" s="469" t="inlineStr">
        <is>
          <t>แผ่น</t>
        </is>
      </c>
    </row>
    <row r="34">
      <c r="B34" s="457" t="inlineStr">
        <is>
          <t>ชินโคร์ไลท์ Superior</t>
        </is>
      </c>
      <c r="C34" s="458" t="n">
        <v>13.5</v>
      </c>
      <c r="D34" s="470">
        <f>C34*ราคาวัสดุ!D20</f>
        <v/>
      </c>
      <c r="E34" s="458" t="n">
        <v>13.5</v>
      </c>
      <c r="F34" s="470">
        <f>E34*ราคาวัสดุ!D20</f>
        <v/>
      </c>
      <c r="G34" s="469" t="inlineStr">
        <is>
          <t>ตร.ม.</t>
        </is>
      </c>
    </row>
    <row r="35">
      <c r="A35" s="471" t="inlineStr">
        <is>
          <t>✅  รวมทุนวัสดุ (900×150)</t>
        </is>
      </c>
      <c r="D35" s="472">
        <f>SUM(D27:D34)</f>
        <v/>
      </c>
      <c r="E35" s="473" t="n"/>
      <c r="F35" s="472">
        <f>SUM(F27:F34)</f>
        <v/>
      </c>
    </row>
    <row r="37">
      <c r="A37" s="467" t="inlineStr">
        <is>
          <t>ขนาด 1200×150 ซม.  (18.0 ตร.ม.)</t>
        </is>
      </c>
    </row>
    <row r="38">
      <c r="A38" s="457" t="n"/>
      <c r="B38" s="457" t="inlineStr">
        <is>
          <t>กล่อง 1.6"×4"</t>
        </is>
      </c>
      <c r="C38" s="458" t="n">
        <v>10</v>
      </c>
      <c r="D38" s="468">
        <f>C38*ราคาวัสดุ!D4</f>
        <v/>
      </c>
      <c r="E38" s="458" t="n">
        <v>10</v>
      </c>
      <c r="F38" s="468">
        <f>E38*ราคาวัสดุ!D4</f>
        <v/>
      </c>
      <c r="G38" s="469" t="inlineStr">
        <is>
          <t>เส้น</t>
        </is>
      </c>
    </row>
    <row r="39">
      <c r="A39" s="457" t="n"/>
      <c r="B39" s="457" t="inlineStr">
        <is>
          <t>กล่อง 1.6"×1.6" (แปเดี่ยว)</t>
        </is>
      </c>
      <c r="C39" s="458" t="n">
        <v>4</v>
      </c>
      <c r="D39" s="468">
        <f>C39*ราคาวัสดุ!D5</f>
        <v/>
      </c>
      <c r="E39" s="458" t="n">
        <v>0</v>
      </c>
      <c r="F39" s="468" t="n">
        <v>0</v>
      </c>
      <c r="G39" s="469" t="inlineStr">
        <is>
          <t>เส้น</t>
        </is>
      </c>
    </row>
    <row r="40">
      <c r="A40" s="457" t="n"/>
      <c r="B40" s="457" t="inlineStr">
        <is>
          <t>กล่อง 1"×1.2" (แปคู่)</t>
        </is>
      </c>
      <c r="C40" s="458" t="n">
        <v>0</v>
      </c>
      <c r="D40" s="468">
        <f>C40*ราคาวัสดุ!D6</f>
        <v/>
      </c>
      <c r="E40" s="458" t="n">
        <v>8</v>
      </c>
      <c r="F40" s="468">
        <f>E40*ราคาวัสดุ!D6</f>
        <v/>
      </c>
      <c r="G40" s="469" t="inlineStr">
        <is>
          <t>เส้น</t>
        </is>
      </c>
    </row>
    <row r="41">
      <c r="A41" s="457" t="n"/>
      <c r="B41" s="457" t="inlineStr">
        <is>
          <t>ฉาก 6 หุน</t>
        </is>
      </c>
      <c r="C41" s="458" t="n">
        <v>1</v>
      </c>
      <c r="D41" s="468">
        <f>C41*ราคาวัสดุ!D7</f>
        <v/>
      </c>
      <c r="E41" s="458" t="n">
        <v>1</v>
      </c>
      <c r="F41" s="468">
        <f>E41*ราคาวัสดุ!D7</f>
        <v/>
      </c>
      <c r="G41" s="469" t="inlineStr">
        <is>
          <t>เส้น</t>
        </is>
      </c>
    </row>
    <row r="42">
      <c r="A42" s="457" t="n"/>
      <c r="B42" s="457" t="inlineStr">
        <is>
          <t>แซด 4"</t>
        </is>
      </c>
      <c r="C42" s="458" t="n">
        <v>2</v>
      </c>
      <c r="D42" s="468">
        <f>C42*ราคาวัสดุ!D8</f>
        <v/>
      </c>
      <c r="E42" s="458" t="n">
        <v>2</v>
      </c>
      <c r="F42" s="468">
        <f>E42*ราคาวัสดุ!D8</f>
        <v/>
      </c>
      <c r="G42" s="469" t="inlineStr">
        <is>
          <t>เส้น</t>
        </is>
      </c>
    </row>
    <row r="43">
      <c r="A43" s="457" t="n"/>
      <c r="B43" s="457" t="inlineStr">
        <is>
          <t>กล่องเหล็ก 1"×1"</t>
        </is>
      </c>
      <c r="C43" s="458" t="n">
        <v>8</v>
      </c>
      <c r="D43" s="468">
        <f>C43*ราคาวัสดุ!D9</f>
        <v/>
      </c>
      <c r="E43" s="458" t="n">
        <v>8</v>
      </c>
      <c r="F43" s="468">
        <f>E43*ราคาวัสดุ!D9</f>
        <v/>
      </c>
      <c r="G43" s="469" t="inlineStr">
        <is>
          <t>เส้น</t>
        </is>
      </c>
    </row>
    <row r="44">
      <c r="A44" s="457" t="n"/>
      <c r="B44" s="457" t="inlineStr">
        <is>
          <t>แผ่นเพลทเหล็ก</t>
        </is>
      </c>
      <c r="C44" s="458" t="n">
        <v>13</v>
      </c>
      <c r="D44" s="468">
        <f>C44*ราคาวัสดุ!D10</f>
        <v/>
      </c>
      <c r="E44" s="458" t="n">
        <v>13</v>
      </c>
      <c r="F44" s="468">
        <f>E44*ราคาวัสดุ!D10</f>
        <v/>
      </c>
      <c r="G44" s="469" t="inlineStr">
        <is>
          <t>แผ่น</t>
        </is>
      </c>
    </row>
    <row r="45">
      <c r="B45" s="457" t="inlineStr">
        <is>
          <t>ชินโคร์ไลท์ Superior</t>
        </is>
      </c>
      <c r="C45" s="458" t="n">
        <v>18</v>
      </c>
      <c r="D45" s="470">
        <f>C45*ราคาวัสดุ!D20</f>
        <v/>
      </c>
      <c r="E45" s="458" t="n">
        <v>18</v>
      </c>
      <c r="F45" s="470">
        <f>E45*ราคาวัสดุ!D20</f>
        <v/>
      </c>
      <c r="G45" s="469" t="inlineStr">
        <is>
          <t>ตร.ม.</t>
        </is>
      </c>
    </row>
    <row r="46">
      <c r="A46" s="471" t="inlineStr">
        <is>
          <t>✅  รวมทุนวัสดุ (1200×150)</t>
        </is>
      </c>
      <c r="D46" s="472">
        <f>SUM(D38:D45)</f>
        <v/>
      </c>
      <c r="E46" s="473" t="n"/>
      <c r="F46" s="472">
        <f>SUM(F38:F45)</f>
        <v/>
      </c>
    </row>
    <row r="48">
      <c r="A48" s="467" t="inlineStr">
        <is>
          <t>ขนาด 1600×150 ซม.  (24.0 ตร.ม.)</t>
        </is>
      </c>
    </row>
    <row r="49">
      <c r="A49" s="457" t="n"/>
      <c r="B49" s="457" t="inlineStr">
        <is>
          <t>กล่อง 1.6"×4"</t>
        </is>
      </c>
      <c r="C49" s="458" t="n">
        <v>13</v>
      </c>
      <c r="D49" s="468">
        <f>C49*ราคาวัสดุ!D4</f>
        <v/>
      </c>
      <c r="E49" s="458" t="n">
        <v>13</v>
      </c>
      <c r="F49" s="468">
        <f>E49*ราคาวัสดุ!D4</f>
        <v/>
      </c>
      <c r="G49" s="469" t="inlineStr">
        <is>
          <t>เส้น</t>
        </is>
      </c>
    </row>
    <row r="50">
      <c r="A50" s="457" t="n"/>
      <c r="B50" s="457" t="inlineStr">
        <is>
          <t>กล่อง 1.6"×1.6" (แปเดี่ยว)</t>
        </is>
      </c>
      <c r="C50" s="458" t="n">
        <v>6</v>
      </c>
      <c r="D50" s="468">
        <f>C50*ราคาวัสดุ!D5</f>
        <v/>
      </c>
      <c r="E50" s="458" t="n">
        <v>0</v>
      </c>
      <c r="F50" s="468" t="n">
        <v>0</v>
      </c>
      <c r="G50" s="469" t="inlineStr">
        <is>
          <t>เส้น</t>
        </is>
      </c>
    </row>
    <row r="51">
      <c r="A51" s="457" t="n"/>
      <c r="B51" s="457" t="inlineStr">
        <is>
          <t>กล่อง 1"×1.2" (แปคู่)</t>
        </is>
      </c>
      <c r="C51" s="458" t="n">
        <v>0</v>
      </c>
      <c r="D51" s="468">
        <f>C51*ราคาวัสดุ!D6</f>
        <v/>
      </c>
      <c r="E51" s="458" t="n">
        <v>11</v>
      </c>
      <c r="F51" s="468">
        <f>E51*ราคาวัสดุ!D6</f>
        <v/>
      </c>
      <c r="G51" s="469" t="inlineStr">
        <is>
          <t>เส้น</t>
        </is>
      </c>
    </row>
    <row r="52">
      <c r="A52" s="457" t="n"/>
      <c r="B52" s="457" t="inlineStr">
        <is>
          <t>ฉาก 6 หุน</t>
        </is>
      </c>
      <c r="C52" s="458" t="n">
        <v>1</v>
      </c>
      <c r="D52" s="468">
        <f>C52*ราคาวัสดุ!D7</f>
        <v/>
      </c>
      <c r="E52" s="458" t="n">
        <v>1</v>
      </c>
      <c r="F52" s="468">
        <f>E52*ราคาวัสดุ!D7</f>
        <v/>
      </c>
      <c r="G52" s="469" t="inlineStr">
        <is>
          <t>เส้น</t>
        </is>
      </c>
    </row>
    <row r="53">
      <c r="A53" s="457" t="n"/>
      <c r="B53" s="457" t="inlineStr">
        <is>
          <t>แซด 4"</t>
        </is>
      </c>
      <c r="C53" s="458" t="n">
        <v>3</v>
      </c>
      <c r="D53" s="468">
        <f>C53*ราคาวัสดุ!D8</f>
        <v/>
      </c>
      <c r="E53" s="458" t="n">
        <v>3</v>
      </c>
      <c r="F53" s="468">
        <f>E53*ราคาวัสดุ!D8</f>
        <v/>
      </c>
      <c r="G53" s="469" t="inlineStr">
        <is>
          <t>เส้น</t>
        </is>
      </c>
    </row>
    <row r="54">
      <c r="A54" s="457" t="n"/>
      <c r="B54" s="457" t="inlineStr">
        <is>
          <t>กล่องเหล็ก 1"×1"</t>
        </is>
      </c>
      <c r="C54" s="458" t="n">
        <v>10</v>
      </c>
      <c r="D54" s="468">
        <f>C54*ราคาวัสดุ!D9</f>
        <v/>
      </c>
      <c r="E54" s="458" t="n">
        <v>10</v>
      </c>
      <c r="F54" s="468">
        <f>E54*ราคาวัสดุ!D9</f>
        <v/>
      </c>
      <c r="G54" s="469" t="inlineStr">
        <is>
          <t>เส้น</t>
        </is>
      </c>
    </row>
    <row r="55">
      <c r="A55" s="457" t="n"/>
      <c r="B55" s="457" t="inlineStr">
        <is>
          <t>แผ่นเพลทเหล็ก</t>
        </is>
      </c>
      <c r="C55" s="458" t="n">
        <v>17</v>
      </c>
      <c r="D55" s="468">
        <f>C55*ราคาวัสดุ!D10</f>
        <v/>
      </c>
      <c r="E55" s="458" t="n">
        <v>17</v>
      </c>
      <c r="F55" s="468">
        <f>E55*ราคาวัสดุ!D10</f>
        <v/>
      </c>
      <c r="G55" s="469" t="inlineStr">
        <is>
          <t>แผ่น</t>
        </is>
      </c>
    </row>
    <row r="56">
      <c r="B56" s="457" t="inlineStr">
        <is>
          <t>ชินโคร์ไลท์ Superior</t>
        </is>
      </c>
      <c r="C56" s="458" t="n">
        <v>24</v>
      </c>
      <c r="D56" s="470">
        <f>C56*ราคาวัสดุ!D20</f>
        <v/>
      </c>
      <c r="E56" s="458" t="n">
        <v>24</v>
      </c>
      <c r="F56" s="470">
        <f>E56*ราคาวัสดุ!D20</f>
        <v/>
      </c>
      <c r="G56" s="469" t="inlineStr">
        <is>
          <t>ตร.ม.</t>
        </is>
      </c>
    </row>
    <row r="57">
      <c r="A57" s="471" t="inlineStr">
        <is>
          <t>✅  รวมทุนวัสดุ (1600×150)</t>
        </is>
      </c>
      <c r="D57" s="472">
        <f>SUM(D49:D56)</f>
        <v/>
      </c>
      <c r="E57" s="473" t="n"/>
      <c r="F57" s="472">
        <f>SUM(F49:F56)</f>
        <v/>
      </c>
    </row>
    <row r="59">
      <c r="A59" s="467" t="inlineStr">
        <is>
          <t>ขนาด 2000×150 ซม.  (30.0 ตร.ม.)</t>
        </is>
      </c>
    </row>
    <row r="60">
      <c r="A60" s="457" t="n"/>
      <c r="B60" s="457" t="inlineStr">
        <is>
          <t>กล่อง 1.6"×4"</t>
        </is>
      </c>
      <c r="C60" s="458" t="n">
        <v>16</v>
      </c>
      <c r="D60" s="468">
        <f>C60*ราคาวัสดุ!D4</f>
        <v/>
      </c>
      <c r="E60" s="458" t="n">
        <v>16</v>
      </c>
      <c r="F60" s="468">
        <f>E60*ราคาวัสดุ!D4</f>
        <v/>
      </c>
      <c r="G60" s="469" t="inlineStr">
        <is>
          <t>เส้น</t>
        </is>
      </c>
    </row>
    <row r="61">
      <c r="A61" s="457" t="n"/>
      <c r="B61" s="457" t="inlineStr">
        <is>
          <t>กล่อง 1.6"×1.6" (แปเดี่ยว)</t>
        </is>
      </c>
      <c r="C61" s="458" t="n">
        <v>7</v>
      </c>
      <c r="D61" s="468">
        <f>C61*ราคาวัสดุ!D5</f>
        <v/>
      </c>
      <c r="E61" s="458" t="n">
        <v>0</v>
      </c>
      <c r="F61" s="468" t="n">
        <v>0</v>
      </c>
      <c r="G61" s="469" t="inlineStr">
        <is>
          <t>เส้น</t>
        </is>
      </c>
    </row>
    <row r="62">
      <c r="A62" s="457" t="n"/>
      <c r="B62" s="457" t="inlineStr">
        <is>
          <t>กล่อง 1"×1.2" (แปคู่)</t>
        </is>
      </c>
      <c r="C62" s="458" t="n">
        <v>0</v>
      </c>
      <c r="D62" s="468">
        <f>C62*ราคาวัสดุ!D6</f>
        <v/>
      </c>
      <c r="E62" s="458" t="n">
        <v>14</v>
      </c>
      <c r="F62" s="468">
        <f>E62*ราคาวัสดุ!D6</f>
        <v/>
      </c>
      <c r="G62" s="469" t="inlineStr">
        <is>
          <t>เส้น</t>
        </is>
      </c>
    </row>
    <row r="63">
      <c r="A63" s="457" t="n"/>
      <c r="B63" s="457" t="inlineStr">
        <is>
          <t>ฉาก 6 หุน</t>
        </is>
      </c>
      <c r="C63" s="458" t="n">
        <v>1</v>
      </c>
      <c r="D63" s="468">
        <f>C63*ราคาวัสดุ!D7</f>
        <v/>
      </c>
      <c r="E63" s="458" t="n">
        <v>1</v>
      </c>
      <c r="F63" s="468">
        <f>E63*ราคาวัสดุ!D7</f>
        <v/>
      </c>
      <c r="G63" s="469" t="inlineStr">
        <is>
          <t>เส้น</t>
        </is>
      </c>
    </row>
    <row r="64">
      <c r="A64" s="457" t="n"/>
      <c r="B64" s="457" t="inlineStr">
        <is>
          <t>แซด 4"</t>
        </is>
      </c>
      <c r="C64" s="458" t="n">
        <v>4</v>
      </c>
      <c r="D64" s="468">
        <f>C64*ราคาวัสดุ!D8</f>
        <v/>
      </c>
      <c r="E64" s="458" t="n">
        <v>4</v>
      </c>
      <c r="F64" s="468">
        <f>E64*ราคาวัสดุ!D8</f>
        <v/>
      </c>
      <c r="G64" s="469" t="inlineStr">
        <is>
          <t>เส้น</t>
        </is>
      </c>
    </row>
    <row r="65">
      <c r="A65" s="457" t="n"/>
      <c r="B65" s="457" t="inlineStr">
        <is>
          <t>กล่องเหล็ก 1"×1"</t>
        </is>
      </c>
      <c r="C65" s="458" t="n">
        <v>13</v>
      </c>
      <c r="D65" s="468">
        <f>C65*ราคาวัสดุ!D9</f>
        <v/>
      </c>
      <c r="E65" s="458" t="n">
        <v>13</v>
      </c>
      <c r="F65" s="468">
        <f>E65*ราคาวัสดุ!D9</f>
        <v/>
      </c>
      <c r="G65" s="469" t="inlineStr">
        <is>
          <t>เส้น</t>
        </is>
      </c>
    </row>
    <row r="66">
      <c r="A66" s="457" t="n"/>
      <c r="B66" s="457" t="inlineStr">
        <is>
          <t>แผ่นเพลทเหล็ก</t>
        </is>
      </c>
      <c r="C66" s="458" t="n">
        <v>21</v>
      </c>
      <c r="D66" s="468">
        <f>C66*ราคาวัสดุ!D10</f>
        <v/>
      </c>
      <c r="E66" s="458" t="n">
        <v>21</v>
      </c>
      <c r="F66" s="468">
        <f>E66*ราคาวัสดุ!D10</f>
        <v/>
      </c>
      <c r="G66" s="469" t="inlineStr">
        <is>
          <t>แผ่น</t>
        </is>
      </c>
    </row>
    <row r="67">
      <c r="B67" s="457" t="inlineStr">
        <is>
          <t>ชินโคร์ไลท์ Superior</t>
        </is>
      </c>
      <c r="C67" s="458" t="n">
        <v>30</v>
      </c>
      <c r="D67" s="470">
        <f>C67*ราคาวัสดุ!D20</f>
        <v/>
      </c>
      <c r="E67" s="458" t="n">
        <v>30</v>
      </c>
      <c r="F67" s="470">
        <f>E67*ราคาวัสดุ!D20</f>
        <v/>
      </c>
      <c r="G67" s="469" t="inlineStr">
        <is>
          <t>ตร.ม.</t>
        </is>
      </c>
    </row>
    <row r="68">
      <c r="A68" s="471" t="inlineStr">
        <is>
          <t>✅  รวมทุนวัสดุ (2000×150)</t>
        </is>
      </c>
      <c r="D68" s="472">
        <f>SUM(D60:D67)</f>
        <v/>
      </c>
      <c r="E68" s="473" t="n"/>
      <c r="F68" s="472">
        <f>SUM(F60:F67)</f>
        <v/>
      </c>
    </row>
  </sheetData>
  <mergeCells count="24">
    <mergeCell ref="E57"/>
    <mergeCell ref="A46:C46"/>
    <mergeCell ref="A4:G4"/>
    <mergeCell ref="B2:B3"/>
    <mergeCell ref="A57:C57"/>
    <mergeCell ref="A48:G48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A24:C24"/>
    <mergeCell ref="A37:G37"/>
    <mergeCell ref="A1:F1"/>
    <mergeCell ref="A26:G26"/>
    <mergeCell ref="E46"/>
    <mergeCell ref="G2:G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A6A6A6"/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7.5" customWidth="1" style="129" min="4" max="4"/>
    <col width="6.5" customWidth="1" style="129" min="5" max="5"/>
    <col width="7.5" customWidth="1" style="129" min="6" max="6"/>
    <col width="8.6" customWidth="1" style="129" min="7" max="7"/>
  </cols>
  <sheetData>
    <row r="1">
      <c r="A1" s="451" t="inlineStr">
        <is>
          <t>ถอดทุนวัสดุ — เมทัลชีท PU 2" Snap Lock</t>
        </is>
      </c>
      <c r="G1" s="753" t="inlineStr">
        <is>
          <t>🏠 สารบัญ</t>
        </is>
      </c>
      <c r="H1" s="759" t="n"/>
    </row>
    <row r="2">
      <c r="A2" s="464" t="inlineStr">
        <is>
          <t>#</t>
        </is>
      </c>
      <c r="B2" s="464" t="inlineStr">
        <is>
          <t>วัสดุ / รายการ</t>
        </is>
      </c>
      <c r="C2" s="464" t="inlineStr">
        <is>
          <t>แปเดี่ยว</t>
        </is>
      </c>
      <c r="D2" s="465" t="n"/>
      <c r="E2" s="464" t="inlineStr">
        <is>
          <t>แปคู่</t>
        </is>
      </c>
      <c r="F2" s="465" t="n"/>
      <c r="G2" s="464" t="inlineStr">
        <is>
          <t>หน่วย</t>
        </is>
      </c>
    </row>
    <row r="3">
      <c r="A3" s="466" t="n"/>
      <c r="B3" s="466" t="n"/>
      <c r="C3" s="464" t="inlineStr">
        <is>
          <t>จำนวน</t>
        </is>
      </c>
      <c r="D3" s="464" t="inlineStr">
        <is>
          <t>ราคา</t>
        </is>
      </c>
      <c r="E3" s="464" t="inlineStr">
        <is>
          <t>จำนวน</t>
        </is>
      </c>
      <c r="F3" s="464" t="inlineStr">
        <is>
          <t>ราคา</t>
        </is>
      </c>
      <c r="G3" s="466" t="n"/>
    </row>
    <row r="4">
      <c r="A4" s="467" t="inlineStr">
        <is>
          <t>ขนาด 300×150 ซม.  (4.5 ตร.ม.)</t>
        </is>
      </c>
    </row>
    <row r="5">
      <c r="A5" s="457" t="n"/>
      <c r="B5" s="457" t="inlineStr">
        <is>
          <t>กล่อง 1.6"×4"</t>
        </is>
      </c>
      <c r="C5" s="458" t="n">
        <v>3</v>
      </c>
      <c r="D5" s="468">
        <f>C5*ราคาวัสดุ!D4</f>
        <v/>
      </c>
      <c r="E5" s="458" t="n">
        <v>3</v>
      </c>
      <c r="F5" s="468">
        <f>E5*ราคาวัสดุ!D4</f>
        <v/>
      </c>
      <c r="G5" s="469" t="inlineStr">
        <is>
          <t>เส้น</t>
        </is>
      </c>
    </row>
    <row r="6">
      <c r="A6" s="457" t="n"/>
      <c r="B6" s="457" t="inlineStr">
        <is>
          <t>กล่อง 1.6"×1.6" (แปเดี่ยว)</t>
        </is>
      </c>
      <c r="C6" s="458" t="n">
        <v>1</v>
      </c>
      <c r="D6" s="468">
        <f>C6*ราคาวัสดุ!D5</f>
        <v/>
      </c>
      <c r="E6" s="458" t="n">
        <v>0</v>
      </c>
      <c r="F6" s="468" t="n">
        <v>0</v>
      </c>
      <c r="G6" s="469" t="inlineStr">
        <is>
          <t>เส้น</t>
        </is>
      </c>
    </row>
    <row r="7">
      <c r="A7" s="457" t="n"/>
      <c r="B7" s="457" t="inlineStr">
        <is>
          <t>กล่อง 1"×1.2" (แปคู่)</t>
        </is>
      </c>
      <c r="C7" s="458" t="n">
        <v>0</v>
      </c>
      <c r="D7" s="468">
        <f>C7*ราคาวัสดุ!D6</f>
        <v/>
      </c>
      <c r="E7" s="458" t="n">
        <v>2</v>
      </c>
      <c r="F7" s="468">
        <f>E7*ราคาวัสดุ!D6</f>
        <v/>
      </c>
      <c r="G7" s="469" t="inlineStr">
        <is>
          <t>เส้น</t>
        </is>
      </c>
    </row>
    <row r="8">
      <c r="A8" s="457" t="n"/>
      <c r="B8" s="457" t="inlineStr">
        <is>
          <t>ฉาก 6 หุน</t>
        </is>
      </c>
      <c r="C8" s="458" t="n">
        <v>1</v>
      </c>
      <c r="D8" s="468">
        <f>C8*ราคาวัสดุ!D7</f>
        <v/>
      </c>
      <c r="E8" s="458" t="n">
        <v>1</v>
      </c>
      <c r="F8" s="468">
        <f>E8*ราคาวัสดุ!D7</f>
        <v/>
      </c>
      <c r="G8" s="469" t="inlineStr">
        <is>
          <t>เส้น</t>
        </is>
      </c>
    </row>
    <row r="9">
      <c r="A9" s="457" t="n"/>
      <c r="B9" s="457" t="inlineStr">
        <is>
          <t>แซด 4"</t>
        </is>
      </c>
      <c r="C9" s="458" t="n">
        <v>1</v>
      </c>
      <c r="D9" s="468">
        <f>C9*ราคาวัสดุ!D8</f>
        <v/>
      </c>
      <c r="E9" s="458" t="n">
        <v>1</v>
      </c>
      <c r="F9" s="468">
        <f>E9*ราคาวัสดุ!D8</f>
        <v/>
      </c>
      <c r="G9" s="469" t="inlineStr">
        <is>
          <t>เส้น</t>
        </is>
      </c>
    </row>
    <row r="10">
      <c r="A10" s="457" t="n"/>
      <c r="B10" s="457" t="inlineStr">
        <is>
          <t>กล่องเหล็ก 1"×1"</t>
        </is>
      </c>
      <c r="C10" s="458" t="n">
        <v>3</v>
      </c>
      <c r="D10" s="468">
        <f>C10*ราคาวัสดุ!D9</f>
        <v/>
      </c>
      <c r="E10" s="458" t="n">
        <v>3</v>
      </c>
      <c r="F10" s="468">
        <f>E10*ราคาวัสดุ!D9</f>
        <v/>
      </c>
      <c r="G10" s="469" t="inlineStr">
        <is>
          <t>เส้น</t>
        </is>
      </c>
    </row>
    <row r="11">
      <c r="A11" s="457" t="n"/>
      <c r="B11" s="457" t="inlineStr">
        <is>
          <t>แผ่นเพลทเหล็ก</t>
        </is>
      </c>
      <c r="C11" s="458" t="n">
        <v>8</v>
      </c>
      <c r="D11" s="468">
        <f>C11*ราคาวัสดุ!D10</f>
        <v/>
      </c>
      <c r="E11" s="458" t="n">
        <v>8</v>
      </c>
      <c r="F11" s="468">
        <f>E11*ราคาวัสดุ!D10</f>
        <v/>
      </c>
      <c r="G11" s="469" t="inlineStr">
        <is>
          <t>แผ่น</t>
        </is>
      </c>
    </row>
    <row r="12">
      <c r="B12" s="457" t="inlineStr">
        <is>
          <t>เมทัลชีท PU 2" Snap Lock</t>
        </is>
      </c>
      <c r="C12" s="458" t="n">
        <v>4.5</v>
      </c>
      <c r="D12" s="470">
        <f>C12*ราคาวัสดุ!D21</f>
        <v/>
      </c>
      <c r="E12" s="458" t="n">
        <v>4.5</v>
      </c>
      <c r="F12" s="470">
        <f>E12*ราคาวัสดุ!D21</f>
        <v/>
      </c>
      <c r="G12" s="469" t="inlineStr">
        <is>
          <t>ตร.ม.</t>
        </is>
      </c>
    </row>
    <row r="13">
      <c r="A13" s="471" t="inlineStr">
        <is>
          <t>✅  รวมทุนวัสดุ (300×150)</t>
        </is>
      </c>
      <c r="D13" s="472">
        <f>SUM(D5:D12)</f>
        <v/>
      </c>
      <c r="E13" s="473" t="n"/>
      <c r="F13" s="472">
        <f>SUM(F5:F12)</f>
        <v/>
      </c>
    </row>
    <row r="15">
      <c r="A15" s="467" t="inlineStr">
        <is>
          <t>ขนาด 600×150 ซม.  (9.0 ตร.ม.)</t>
        </is>
      </c>
    </row>
    <row r="16">
      <c r="A16" s="457" t="n"/>
      <c r="B16" s="457" t="inlineStr">
        <is>
          <t>กล่อง 1.6"×4"</t>
        </is>
      </c>
      <c r="C16" s="458" t="n">
        <v>5</v>
      </c>
      <c r="D16" s="468">
        <f>C16*ราคาวัสดุ!D4</f>
        <v/>
      </c>
      <c r="E16" s="458" t="n">
        <v>5</v>
      </c>
      <c r="F16" s="468">
        <f>E16*ราคาวัสดุ!D4</f>
        <v/>
      </c>
      <c r="G16" s="469" t="inlineStr">
        <is>
          <t>เส้น</t>
        </is>
      </c>
    </row>
    <row r="17">
      <c r="A17" s="457" t="n"/>
      <c r="B17" s="457" t="inlineStr">
        <is>
          <t>กล่อง 1.6"×1.6" (แปเดี่ยว)</t>
        </is>
      </c>
      <c r="C17" s="458" t="n">
        <v>2</v>
      </c>
      <c r="D17" s="468">
        <f>C17*ราคาวัสดุ!D5</f>
        <v/>
      </c>
      <c r="E17" s="458" t="n">
        <v>0</v>
      </c>
      <c r="F17" s="468" t="n">
        <v>0</v>
      </c>
      <c r="G17" s="469" t="inlineStr">
        <is>
          <t>เส้น</t>
        </is>
      </c>
    </row>
    <row r="18">
      <c r="A18" s="457" t="n"/>
      <c r="B18" s="457" t="inlineStr">
        <is>
          <t>กล่อง 1"×1.2" (แปคู่)</t>
        </is>
      </c>
      <c r="C18" s="458" t="n">
        <v>0</v>
      </c>
      <c r="D18" s="468">
        <f>C18*ราคาวัสดุ!D6</f>
        <v/>
      </c>
      <c r="E18" s="458" t="n">
        <v>4</v>
      </c>
      <c r="F18" s="468">
        <f>E18*ราคาวัสดุ!D6</f>
        <v/>
      </c>
      <c r="G18" s="469" t="inlineStr">
        <is>
          <t>เส้น</t>
        </is>
      </c>
    </row>
    <row r="19">
      <c r="A19" s="457" t="n"/>
      <c r="B19" s="457" t="inlineStr">
        <is>
          <t>ฉาก 6 หุน</t>
        </is>
      </c>
      <c r="C19" s="458" t="n">
        <v>1</v>
      </c>
      <c r="D19" s="468">
        <f>C19*ราคาวัสดุ!D7</f>
        <v/>
      </c>
      <c r="E19" s="458" t="n">
        <v>1</v>
      </c>
      <c r="F19" s="468">
        <f>E19*ราคาวัสดุ!D7</f>
        <v/>
      </c>
      <c r="G19" s="469" t="inlineStr">
        <is>
          <t>เส้น</t>
        </is>
      </c>
    </row>
    <row r="20">
      <c r="A20" s="457" t="n"/>
      <c r="B20" s="457" t="inlineStr">
        <is>
          <t>แซด 4"</t>
        </is>
      </c>
      <c r="C20" s="458" t="n">
        <v>1</v>
      </c>
      <c r="D20" s="468">
        <f>C20*ราคาวัสดุ!D8</f>
        <v/>
      </c>
      <c r="E20" s="458" t="n">
        <v>1</v>
      </c>
      <c r="F20" s="468">
        <f>E20*ราคาวัสดุ!D8</f>
        <v/>
      </c>
      <c r="G20" s="469" t="inlineStr">
        <is>
          <t>เส้น</t>
        </is>
      </c>
    </row>
    <row r="21">
      <c r="A21" s="457" t="n"/>
      <c r="B21" s="457" t="inlineStr">
        <is>
          <t>กล่องเหล็ก 1"×1"</t>
        </is>
      </c>
      <c r="C21" s="458" t="n">
        <v>4</v>
      </c>
      <c r="D21" s="468">
        <f>C21*ราคาวัสดุ!D9</f>
        <v/>
      </c>
      <c r="E21" s="458" t="n">
        <v>4</v>
      </c>
      <c r="F21" s="468">
        <f>E21*ราคาวัสดุ!D9</f>
        <v/>
      </c>
      <c r="G21" s="469" t="inlineStr">
        <is>
          <t>เส้น</t>
        </is>
      </c>
    </row>
    <row r="22">
      <c r="A22" s="457" t="n"/>
      <c r="B22" s="457" t="inlineStr">
        <is>
          <t>แผ่นเพลทเหล็ก</t>
        </is>
      </c>
      <c r="C22" s="458" t="n">
        <v>14</v>
      </c>
      <c r="D22" s="468">
        <f>C22*ราคาวัสดุ!D10</f>
        <v/>
      </c>
      <c r="E22" s="458" t="n">
        <v>14</v>
      </c>
      <c r="F22" s="468">
        <f>E22*ราคาวัสดุ!D10</f>
        <v/>
      </c>
      <c r="G22" s="469" t="inlineStr">
        <is>
          <t>แผ่น</t>
        </is>
      </c>
    </row>
    <row r="23">
      <c r="B23" s="457" t="inlineStr">
        <is>
          <t>เมทัลชีท PU 2" Snap Lock</t>
        </is>
      </c>
      <c r="C23" s="458" t="n">
        <v>9</v>
      </c>
      <c r="D23" s="470">
        <f>C23*ราคาวัสดุ!D21</f>
        <v/>
      </c>
      <c r="E23" s="458" t="n">
        <v>9</v>
      </c>
      <c r="F23" s="470">
        <f>E23*ราคาวัสดุ!D21</f>
        <v/>
      </c>
      <c r="G23" s="469" t="inlineStr">
        <is>
          <t>ตร.ม.</t>
        </is>
      </c>
    </row>
    <row r="24">
      <c r="A24" s="471" t="inlineStr">
        <is>
          <t>✅  รวมทุนวัสดุ (600×150)</t>
        </is>
      </c>
      <c r="D24" s="472">
        <f>SUM(D16:D23)</f>
        <v/>
      </c>
      <c r="E24" s="473" t="n"/>
      <c r="F24" s="472">
        <f>SUM(F16:F23)</f>
        <v/>
      </c>
    </row>
    <row r="26">
      <c r="A26" s="467" t="inlineStr">
        <is>
          <t>ขนาด 900×150 ซม.  (13.5 ตร.ม.)</t>
        </is>
      </c>
    </row>
    <row r="27">
      <c r="A27" s="457" t="n"/>
      <c r="B27" s="457" t="inlineStr">
        <is>
          <t>กล่อง 1.6"×4"</t>
        </is>
      </c>
      <c r="C27" s="458" t="n">
        <v>7</v>
      </c>
      <c r="D27" s="468">
        <f>C27*ราคาวัสดุ!D4</f>
        <v/>
      </c>
      <c r="E27" s="458" t="n">
        <v>7</v>
      </c>
      <c r="F27" s="468">
        <f>E27*ราคาวัสดุ!D4</f>
        <v/>
      </c>
      <c r="G27" s="469" t="inlineStr">
        <is>
          <t>เส้น</t>
        </is>
      </c>
    </row>
    <row r="28">
      <c r="A28" s="457" t="n"/>
      <c r="B28" s="457" t="inlineStr">
        <is>
          <t>กล่อง 1.6"×1.6" (แปเดี่ยว)</t>
        </is>
      </c>
      <c r="C28" s="458" t="n">
        <v>3</v>
      </c>
      <c r="D28" s="468">
        <f>C28*ราคาวัสดุ!D5</f>
        <v/>
      </c>
      <c r="E28" s="458" t="n">
        <v>0</v>
      </c>
      <c r="F28" s="468" t="n">
        <v>0</v>
      </c>
      <c r="G28" s="469" t="inlineStr">
        <is>
          <t>เส้น</t>
        </is>
      </c>
    </row>
    <row r="29">
      <c r="A29" s="457" t="n"/>
      <c r="B29" s="457" t="inlineStr">
        <is>
          <t>กล่อง 1"×1.2" (แปคู่)</t>
        </is>
      </c>
      <c r="C29" s="458" t="n">
        <v>0</v>
      </c>
      <c r="D29" s="468">
        <f>C29*ราคาวัสดุ!D6</f>
        <v/>
      </c>
      <c r="E29" s="458" t="n">
        <v>6</v>
      </c>
      <c r="F29" s="468">
        <f>E29*ราคาวัสดุ!D6</f>
        <v/>
      </c>
      <c r="G29" s="469" t="inlineStr">
        <is>
          <t>เส้น</t>
        </is>
      </c>
    </row>
    <row r="30">
      <c r="A30" s="457" t="n"/>
      <c r="B30" s="457" t="inlineStr">
        <is>
          <t>ฉาก 6 หุน</t>
        </is>
      </c>
      <c r="C30" s="458" t="n">
        <v>1</v>
      </c>
      <c r="D30" s="468">
        <f>C30*ราคาวัสดุ!D7</f>
        <v/>
      </c>
      <c r="E30" s="458" t="n">
        <v>1</v>
      </c>
      <c r="F30" s="468">
        <f>E30*ราคาวัสดุ!D7</f>
        <v/>
      </c>
      <c r="G30" s="469" t="inlineStr">
        <is>
          <t>เส้น</t>
        </is>
      </c>
    </row>
    <row r="31">
      <c r="A31" s="457" t="n"/>
      <c r="B31" s="457" t="inlineStr">
        <is>
          <t>แซด 4"</t>
        </is>
      </c>
      <c r="C31" s="458" t="n">
        <v>2</v>
      </c>
      <c r="D31" s="468">
        <f>C31*ราคาวัสดุ!D8</f>
        <v/>
      </c>
      <c r="E31" s="458" t="n">
        <v>2</v>
      </c>
      <c r="F31" s="468">
        <f>E31*ราคาวัสดุ!D8</f>
        <v/>
      </c>
      <c r="G31" s="469" t="inlineStr">
        <is>
          <t>เส้น</t>
        </is>
      </c>
    </row>
    <row r="32">
      <c r="A32" s="457" t="n"/>
      <c r="B32" s="457" t="inlineStr">
        <is>
          <t>กล่องเหล็ก 1"×1"</t>
        </is>
      </c>
      <c r="C32" s="458" t="n">
        <v>6</v>
      </c>
      <c r="D32" s="468">
        <f>C32*ราคาวัสดุ!D9</f>
        <v/>
      </c>
      <c r="E32" s="458" t="n">
        <v>6</v>
      </c>
      <c r="F32" s="468">
        <f>E32*ราคาวัสดุ!D9</f>
        <v/>
      </c>
      <c r="G32" s="469" t="inlineStr">
        <is>
          <t>เส้น</t>
        </is>
      </c>
    </row>
    <row r="33">
      <c r="A33" s="457" t="n"/>
      <c r="B33" s="457" t="inlineStr">
        <is>
          <t>แผ่นเพลทเหล็ก</t>
        </is>
      </c>
      <c r="C33" s="458" t="n">
        <v>12</v>
      </c>
      <c r="D33" s="468">
        <f>C33*ราคาวัสดุ!D10</f>
        <v/>
      </c>
      <c r="E33" s="458" t="n">
        <v>12</v>
      </c>
      <c r="F33" s="468">
        <f>E33*ราคาวัสดุ!D10</f>
        <v/>
      </c>
      <c r="G33" s="469" t="inlineStr">
        <is>
          <t>แผ่น</t>
        </is>
      </c>
    </row>
    <row r="34">
      <c r="B34" s="457" t="inlineStr">
        <is>
          <t>เมทัลชีท PU 2" Snap Lock</t>
        </is>
      </c>
      <c r="C34" s="458" t="n">
        <v>13.5</v>
      </c>
      <c r="D34" s="470">
        <f>C34*ราคาวัสดุ!D21</f>
        <v/>
      </c>
      <c r="E34" s="458" t="n">
        <v>13.5</v>
      </c>
      <c r="F34" s="470">
        <f>E34*ราคาวัสดุ!D21</f>
        <v/>
      </c>
      <c r="G34" s="469" t="inlineStr">
        <is>
          <t>ตร.ม.</t>
        </is>
      </c>
    </row>
    <row r="35">
      <c r="A35" s="471" t="inlineStr">
        <is>
          <t>✅  รวมทุนวัสดุ (900×150)</t>
        </is>
      </c>
      <c r="D35" s="472">
        <f>SUM(D27:D34)</f>
        <v/>
      </c>
      <c r="E35" s="473" t="n"/>
      <c r="F35" s="472">
        <f>SUM(F27:F34)</f>
        <v/>
      </c>
    </row>
    <row r="37">
      <c r="A37" s="467" t="inlineStr">
        <is>
          <t>ขนาด 1200×150 ซม.  (18.0 ตร.ม.)</t>
        </is>
      </c>
    </row>
    <row r="38">
      <c r="A38" s="457" t="n"/>
      <c r="B38" s="457" t="inlineStr">
        <is>
          <t>กล่อง 1.6"×4"</t>
        </is>
      </c>
      <c r="C38" s="458" t="n">
        <v>10</v>
      </c>
      <c r="D38" s="468">
        <f>C38*ราคาวัสดุ!D4</f>
        <v/>
      </c>
      <c r="E38" s="458" t="n">
        <v>10</v>
      </c>
      <c r="F38" s="468">
        <f>E38*ราคาวัสดุ!D4</f>
        <v/>
      </c>
      <c r="G38" s="469" t="inlineStr">
        <is>
          <t>เส้น</t>
        </is>
      </c>
    </row>
    <row r="39">
      <c r="A39" s="457" t="n"/>
      <c r="B39" s="457" t="inlineStr">
        <is>
          <t>กล่อง 1.6"×1.6" (แปเดี่ยว)</t>
        </is>
      </c>
      <c r="C39" s="458" t="n">
        <v>4</v>
      </c>
      <c r="D39" s="468">
        <f>C39*ราคาวัสดุ!D5</f>
        <v/>
      </c>
      <c r="E39" s="458" t="n">
        <v>0</v>
      </c>
      <c r="F39" s="468" t="n">
        <v>0</v>
      </c>
      <c r="G39" s="469" t="inlineStr">
        <is>
          <t>เส้น</t>
        </is>
      </c>
    </row>
    <row r="40">
      <c r="A40" s="457" t="n"/>
      <c r="B40" s="457" t="inlineStr">
        <is>
          <t>กล่อง 1"×1.2" (แปคู่)</t>
        </is>
      </c>
      <c r="C40" s="458" t="n">
        <v>0</v>
      </c>
      <c r="D40" s="468">
        <f>C40*ราคาวัสดุ!D6</f>
        <v/>
      </c>
      <c r="E40" s="458" t="n">
        <v>8</v>
      </c>
      <c r="F40" s="468">
        <f>E40*ราคาวัสดุ!D6</f>
        <v/>
      </c>
      <c r="G40" s="469" t="inlineStr">
        <is>
          <t>เส้น</t>
        </is>
      </c>
    </row>
    <row r="41">
      <c r="A41" s="457" t="n"/>
      <c r="B41" s="457" t="inlineStr">
        <is>
          <t>ฉาก 6 หุน</t>
        </is>
      </c>
      <c r="C41" s="458" t="n">
        <v>1</v>
      </c>
      <c r="D41" s="468">
        <f>C41*ราคาวัสดุ!D7</f>
        <v/>
      </c>
      <c r="E41" s="458" t="n">
        <v>1</v>
      </c>
      <c r="F41" s="468">
        <f>E41*ราคาวัสดุ!D7</f>
        <v/>
      </c>
      <c r="G41" s="469" t="inlineStr">
        <is>
          <t>เส้น</t>
        </is>
      </c>
    </row>
    <row r="42">
      <c r="A42" s="457" t="n"/>
      <c r="B42" s="457" t="inlineStr">
        <is>
          <t>แซด 4"</t>
        </is>
      </c>
      <c r="C42" s="458" t="n">
        <v>2</v>
      </c>
      <c r="D42" s="468">
        <f>C42*ราคาวัสดุ!D8</f>
        <v/>
      </c>
      <c r="E42" s="458" t="n">
        <v>2</v>
      </c>
      <c r="F42" s="468">
        <f>E42*ราคาวัสดุ!D8</f>
        <v/>
      </c>
      <c r="G42" s="469" t="inlineStr">
        <is>
          <t>เส้น</t>
        </is>
      </c>
    </row>
    <row r="43">
      <c r="A43" s="457" t="n"/>
      <c r="B43" s="457" t="inlineStr">
        <is>
          <t>กล่องเหล็ก 1"×1"</t>
        </is>
      </c>
      <c r="C43" s="458" t="n">
        <v>8</v>
      </c>
      <c r="D43" s="468">
        <f>C43*ราคาวัสดุ!D9</f>
        <v/>
      </c>
      <c r="E43" s="458" t="n">
        <v>8</v>
      </c>
      <c r="F43" s="468">
        <f>E43*ราคาวัสดุ!D9</f>
        <v/>
      </c>
      <c r="G43" s="469" t="inlineStr">
        <is>
          <t>เส้น</t>
        </is>
      </c>
    </row>
    <row r="44">
      <c r="A44" s="457" t="n"/>
      <c r="B44" s="457" t="inlineStr">
        <is>
          <t>แผ่นเพลทเหล็ก</t>
        </is>
      </c>
      <c r="C44" s="458" t="n">
        <v>13</v>
      </c>
      <c r="D44" s="468">
        <f>C44*ราคาวัสดุ!D10</f>
        <v/>
      </c>
      <c r="E44" s="458" t="n">
        <v>13</v>
      </c>
      <c r="F44" s="468">
        <f>E44*ราคาวัสดุ!D10</f>
        <v/>
      </c>
      <c r="G44" s="469" t="inlineStr">
        <is>
          <t>แผ่น</t>
        </is>
      </c>
    </row>
    <row r="45">
      <c r="B45" s="457" t="inlineStr">
        <is>
          <t>เมทัลชีท PU 2" Snap Lock</t>
        </is>
      </c>
      <c r="C45" s="458" t="n">
        <v>18</v>
      </c>
      <c r="D45" s="470">
        <f>C45*ราคาวัสดุ!D21</f>
        <v/>
      </c>
      <c r="E45" s="458" t="n">
        <v>18</v>
      </c>
      <c r="F45" s="470">
        <f>E45*ราคาวัสดุ!D21</f>
        <v/>
      </c>
      <c r="G45" s="469" t="inlineStr">
        <is>
          <t>ตร.ม.</t>
        </is>
      </c>
    </row>
    <row r="46">
      <c r="A46" s="471" t="inlineStr">
        <is>
          <t>✅  รวมทุนวัสดุ (1200×150)</t>
        </is>
      </c>
      <c r="D46" s="472">
        <f>SUM(D38:D45)</f>
        <v/>
      </c>
      <c r="E46" s="473" t="n"/>
      <c r="F46" s="472">
        <f>SUM(F38:F45)</f>
        <v/>
      </c>
    </row>
    <row r="48">
      <c r="A48" s="467" t="inlineStr">
        <is>
          <t>ขนาด 1600×150 ซม.  (24.0 ตร.ม.)</t>
        </is>
      </c>
    </row>
    <row r="49">
      <c r="A49" s="457" t="n"/>
      <c r="B49" s="457" t="inlineStr">
        <is>
          <t>กล่อง 1.6"×4"</t>
        </is>
      </c>
      <c r="C49" s="458" t="n">
        <v>13</v>
      </c>
      <c r="D49" s="468">
        <f>C49*ราคาวัสดุ!D4</f>
        <v/>
      </c>
      <c r="E49" s="458" t="n">
        <v>13</v>
      </c>
      <c r="F49" s="468">
        <f>E49*ราคาวัสดุ!D4</f>
        <v/>
      </c>
      <c r="G49" s="469" t="inlineStr">
        <is>
          <t>เส้น</t>
        </is>
      </c>
    </row>
    <row r="50">
      <c r="A50" s="457" t="n"/>
      <c r="B50" s="457" t="inlineStr">
        <is>
          <t>กล่อง 1.6"×1.6" (แปเดี่ยว)</t>
        </is>
      </c>
      <c r="C50" s="458" t="n">
        <v>6</v>
      </c>
      <c r="D50" s="468">
        <f>C50*ราคาวัสดุ!D5</f>
        <v/>
      </c>
      <c r="E50" s="458" t="n">
        <v>0</v>
      </c>
      <c r="F50" s="468" t="n">
        <v>0</v>
      </c>
      <c r="G50" s="469" t="inlineStr">
        <is>
          <t>เส้น</t>
        </is>
      </c>
    </row>
    <row r="51">
      <c r="A51" s="457" t="n"/>
      <c r="B51" s="457" t="inlineStr">
        <is>
          <t>กล่อง 1"×1.2" (แปคู่)</t>
        </is>
      </c>
      <c r="C51" s="458" t="n">
        <v>0</v>
      </c>
      <c r="D51" s="468">
        <f>C51*ราคาวัสดุ!D6</f>
        <v/>
      </c>
      <c r="E51" s="458" t="n">
        <v>11</v>
      </c>
      <c r="F51" s="468">
        <f>E51*ราคาวัสดุ!D6</f>
        <v/>
      </c>
      <c r="G51" s="469" t="inlineStr">
        <is>
          <t>เส้น</t>
        </is>
      </c>
    </row>
    <row r="52">
      <c r="A52" s="457" t="n"/>
      <c r="B52" s="457" t="inlineStr">
        <is>
          <t>ฉาก 6 หุน</t>
        </is>
      </c>
      <c r="C52" s="458" t="n">
        <v>1</v>
      </c>
      <c r="D52" s="468">
        <f>C52*ราคาวัสดุ!D7</f>
        <v/>
      </c>
      <c r="E52" s="458" t="n">
        <v>1</v>
      </c>
      <c r="F52" s="468">
        <f>E52*ราคาวัสดุ!D7</f>
        <v/>
      </c>
      <c r="G52" s="469" t="inlineStr">
        <is>
          <t>เส้น</t>
        </is>
      </c>
    </row>
    <row r="53">
      <c r="A53" s="457" t="n"/>
      <c r="B53" s="457" t="inlineStr">
        <is>
          <t>แซด 4"</t>
        </is>
      </c>
      <c r="C53" s="458" t="n">
        <v>3</v>
      </c>
      <c r="D53" s="468">
        <f>C53*ราคาวัสดุ!D8</f>
        <v/>
      </c>
      <c r="E53" s="458" t="n">
        <v>3</v>
      </c>
      <c r="F53" s="468">
        <f>E53*ราคาวัสดุ!D8</f>
        <v/>
      </c>
      <c r="G53" s="469" t="inlineStr">
        <is>
          <t>เส้น</t>
        </is>
      </c>
    </row>
    <row r="54">
      <c r="A54" s="457" t="n"/>
      <c r="B54" s="457" t="inlineStr">
        <is>
          <t>กล่องเหล็ก 1"×1"</t>
        </is>
      </c>
      <c r="C54" s="458" t="n">
        <v>10</v>
      </c>
      <c r="D54" s="468">
        <f>C54*ราคาวัสดุ!D9</f>
        <v/>
      </c>
      <c r="E54" s="458" t="n">
        <v>10</v>
      </c>
      <c r="F54" s="468">
        <f>E54*ราคาวัสดุ!D9</f>
        <v/>
      </c>
      <c r="G54" s="469" t="inlineStr">
        <is>
          <t>เส้น</t>
        </is>
      </c>
    </row>
    <row r="55">
      <c r="A55" s="457" t="n"/>
      <c r="B55" s="457" t="inlineStr">
        <is>
          <t>แผ่นเพลทเหล็ก</t>
        </is>
      </c>
      <c r="C55" s="458" t="n">
        <v>17</v>
      </c>
      <c r="D55" s="468">
        <f>C55*ราคาวัสดุ!D10</f>
        <v/>
      </c>
      <c r="E55" s="458" t="n">
        <v>17</v>
      </c>
      <c r="F55" s="468">
        <f>E55*ราคาวัสดุ!D10</f>
        <v/>
      </c>
      <c r="G55" s="469" t="inlineStr">
        <is>
          <t>แผ่น</t>
        </is>
      </c>
    </row>
    <row r="56">
      <c r="B56" s="457" t="inlineStr">
        <is>
          <t>เมทัลชีท PU 2" Snap Lock</t>
        </is>
      </c>
      <c r="C56" s="458" t="n">
        <v>24</v>
      </c>
      <c r="D56" s="470">
        <f>C56*ราคาวัสดุ!D21</f>
        <v/>
      </c>
      <c r="E56" s="458" t="n">
        <v>24</v>
      </c>
      <c r="F56" s="470">
        <f>E56*ราคาวัสดุ!D21</f>
        <v/>
      </c>
      <c r="G56" s="469" t="inlineStr">
        <is>
          <t>ตร.ม.</t>
        </is>
      </c>
    </row>
    <row r="57">
      <c r="A57" s="471" t="inlineStr">
        <is>
          <t>✅  รวมทุนวัสดุ (1600×150)</t>
        </is>
      </c>
      <c r="D57" s="472">
        <f>SUM(D49:D56)</f>
        <v/>
      </c>
      <c r="E57" s="473" t="n"/>
      <c r="F57" s="472">
        <f>SUM(F49:F56)</f>
        <v/>
      </c>
    </row>
    <row r="59">
      <c r="A59" s="467" t="inlineStr">
        <is>
          <t>ขนาด 2000×150 ซม.  (30.0 ตร.ม.)</t>
        </is>
      </c>
    </row>
    <row r="60">
      <c r="A60" s="457" t="n"/>
      <c r="B60" s="457" t="inlineStr">
        <is>
          <t>กล่อง 1.6"×4"</t>
        </is>
      </c>
      <c r="C60" s="458" t="n">
        <v>16</v>
      </c>
      <c r="D60" s="468">
        <f>C60*ราคาวัสดุ!D4</f>
        <v/>
      </c>
      <c r="E60" s="458" t="n">
        <v>16</v>
      </c>
      <c r="F60" s="468">
        <f>E60*ราคาวัสดุ!D4</f>
        <v/>
      </c>
      <c r="G60" s="469" t="inlineStr">
        <is>
          <t>เส้น</t>
        </is>
      </c>
    </row>
    <row r="61">
      <c r="A61" s="457" t="n"/>
      <c r="B61" s="457" t="inlineStr">
        <is>
          <t>กล่อง 1.6"×1.6" (แปเดี่ยว)</t>
        </is>
      </c>
      <c r="C61" s="458" t="n">
        <v>7</v>
      </c>
      <c r="D61" s="468">
        <f>C61*ราคาวัสดุ!D5</f>
        <v/>
      </c>
      <c r="E61" s="458" t="n">
        <v>0</v>
      </c>
      <c r="F61" s="468" t="n">
        <v>0</v>
      </c>
      <c r="G61" s="469" t="inlineStr">
        <is>
          <t>เส้น</t>
        </is>
      </c>
    </row>
    <row r="62">
      <c r="A62" s="457" t="n"/>
      <c r="B62" s="457" t="inlineStr">
        <is>
          <t>กล่อง 1"×1.2" (แปคู่)</t>
        </is>
      </c>
      <c r="C62" s="458" t="n">
        <v>0</v>
      </c>
      <c r="D62" s="468">
        <f>C62*ราคาวัสดุ!D6</f>
        <v/>
      </c>
      <c r="E62" s="458" t="n">
        <v>14</v>
      </c>
      <c r="F62" s="468">
        <f>E62*ราคาวัสดุ!D6</f>
        <v/>
      </c>
      <c r="G62" s="469" t="inlineStr">
        <is>
          <t>เส้น</t>
        </is>
      </c>
    </row>
    <row r="63">
      <c r="A63" s="457" t="n"/>
      <c r="B63" s="457" t="inlineStr">
        <is>
          <t>ฉาก 6 หุน</t>
        </is>
      </c>
      <c r="C63" s="458" t="n">
        <v>1</v>
      </c>
      <c r="D63" s="468">
        <f>C63*ราคาวัสดุ!D7</f>
        <v/>
      </c>
      <c r="E63" s="458" t="n">
        <v>1</v>
      </c>
      <c r="F63" s="468">
        <f>E63*ราคาวัสดุ!D7</f>
        <v/>
      </c>
      <c r="G63" s="469" t="inlineStr">
        <is>
          <t>เส้น</t>
        </is>
      </c>
    </row>
    <row r="64">
      <c r="A64" s="457" t="n"/>
      <c r="B64" s="457" t="inlineStr">
        <is>
          <t>แซด 4"</t>
        </is>
      </c>
      <c r="C64" s="458" t="n">
        <v>4</v>
      </c>
      <c r="D64" s="468">
        <f>C64*ราคาวัสดุ!D8</f>
        <v/>
      </c>
      <c r="E64" s="458" t="n">
        <v>4</v>
      </c>
      <c r="F64" s="468">
        <f>E64*ราคาวัสดุ!D8</f>
        <v/>
      </c>
      <c r="G64" s="469" t="inlineStr">
        <is>
          <t>เส้น</t>
        </is>
      </c>
    </row>
    <row r="65">
      <c r="A65" s="457" t="n"/>
      <c r="B65" s="457" t="inlineStr">
        <is>
          <t>กล่องเหล็ก 1"×1"</t>
        </is>
      </c>
      <c r="C65" s="458" t="n">
        <v>13</v>
      </c>
      <c r="D65" s="468">
        <f>C65*ราคาวัสดุ!D9</f>
        <v/>
      </c>
      <c r="E65" s="458" t="n">
        <v>13</v>
      </c>
      <c r="F65" s="468">
        <f>E65*ราคาวัสดุ!D9</f>
        <v/>
      </c>
      <c r="G65" s="469" t="inlineStr">
        <is>
          <t>เส้น</t>
        </is>
      </c>
    </row>
    <row r="66">
      <c r="A66" s="457" t="n"/>
      <c r="B66" s="457" t="inlineStr">
        <is>
          <t>แผ่นเพลทเหล็ก</t>
        </is>
      </c>
      <c r="C66" s="458" t="n">
        <v>21</v>
      </c>
      <c r="D66" s="468">
        <f>C66*ราคาวัสดุ!D10</f>
        <v/>
      </c>
      <c r="E66" s="458" t="n">
        <v>21</v>
      </c>
      <c r="F66" s="468">
        <f>E66*ราคาวัสดุ!D10</f>
        <v/>
      </c>
      <c r="G66" s="469" t="inlineStr">
        <is>
          <t>แผ่น</t>
        </is>
      </c>
    </row>
    <row r="67">
      <c r="B67" s="457" t="inlineStr">
        <is>
          <t>เมทัลชีท PU 2" Snap Lock</t>
        </is>
      </c>
      <c r="C67" s="458" t="n">
        <v>30</v>
      </c>
      <c r="D67" s="470">
        <f>C67*ราคาวัสดุ!D21</f>
        <v/>
      </c>
      <c r="E67" s="458" t="n">
        <v>30</v>
      </c>
      <c r="F67" s="470">
        <f>E67*ราคาวัสดุ!D21</f>
        <v/>
      </c>
      <c r="G67" s="469" t="inlineStr">
        <is>
          <t>ตร.ม.</t>
        </is>
      </c>
    </row>
    <row r="68">
      <c r="A68" s="471" t="inlineStr">
        <is>
          <t>✅  รวมทุนวัสดุ (2000×150)</t>
        </is>
      </c>
      <c r="D68" s="472">
        <f>SUM(D60:D67)</f>
        <v/>
      </c>
      <c r="E68" s="473" t="n"/>
      <c r="F68" s="472">
        <f>SUM(F60:F67)</f>
        <v/>
      </c>
    </row>
  </sheetData>
  <mergeCells count="24">
    <mergeCell ref="E57"/>
    <mergeCell ref="A46:C46"/>
    <mergeCell ref="A4:G4"/>
    <mergeCell ref="B2:B3"/>
    <mergeCell ref="A57:C57"/>
    <mergeCell ref="A48:G48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A24:C24"/>
    <mergeCell ref="A37:G37"/>
    <mergeCell ref="A1:F1"/>
    <mergeCell ref="A26:G26"/>
    <mergeCell ref="E46"/>
    <mergeCell ref="G2:G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A6A6A6"/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8.6" customWidth="1" style="129" min="4" max="4"/>
    <col width="6.5" customWidth="1" style="129" min="5" max="5"/>
    <col width="8.6" customWidth="1" style="129" min="6" max="6"/>
    <col width="8.6" customWidth="1" style="129" min="7" max="7"/>
  </cols>
  <sheetData>
    <row r="1">
      <c r="A1" s="451" t="inlineStr">
        <is>
          <t>ถอดทุนวัสดุ — กระจกลามิเนต 4+4 มม.</t>
        </is>
      </c>
      <c r="G1" s="753" t="inlineStr">
        <is>
          <t>🏠 สารบัญ</t>
        </is>
      </c>
      <c r="H1" s="759" t="n"/>
    </row>
    <row r="2">
      <c r="A2" s="464" t="inlineStr">
        <is>
          <t>#</t>
        </is>
      </c>
      <c r="B2" s="464" t="inlineStr">
        <is>
          <t>วัสดุ / รายการ</t>
        </is>
      </c>
      <c r="C2" s="464" t="inlineStr">
        <is>
          <t>แปเดี่ยว</t>
        </is>
      </c>
      <c r="D2" s="465" t="n"/>
      <c r="E2" s="464" t="inlineStr">
        <is>
          <t>แปคู่</t>
        </is>
      </c>
      <c r="F2" s="465" t="n"/>
      <c r="G2" s="464" t="inlineStr">
        <is>
          <t>หน่วย</t>
        </is>
      </c>
    </row>
    <row r="3">
      <c r="A3" s="466" t="n"/>
      <c r="B3" s="466" t="n"/>
      <c r="C3" s="464" t="inlineStr">
        <is>
          <t>จำนวน</t>
        </is>
      </c>
      <c r="D3" s="464" t="inlineStr">
        <is>
          <t>ราคา</t>
        </is>
      </c>
      <c r="E3" s="464" t="inlineStr">
        <is>
          <t>จำนวน</t>
        </is>
      </c>
      <c r="F3" s="464" t="inlineStr">
        <is>
          <t>ราคา</t>
        </is>
      </c>
      <c r="G3" s="466" t="n"/>
    </row>
    <row r="4">
      <c r="A4" s="467" t="inlineStr">
        <is>
          <t>ขนาด 300×150 ซม.  (4.5 ตร.ม.)</t>
        </is>
      </c>
    </row>
    <row r="5">
      <c r="A5" s="457" t="n"/>
      <c r="B5" s="457" t="inlineStr">
        <is>
          <t>กล่อง 1.6"×4"</t>
        </is>
      </c>
      <c r="C5" s="458" t="n">
        <v>3</v>
      </c>
      <c r="D5" s="468">
        <f>C5*ราคาวัสดุ!D4</f>
        <v/>
      </c>
      <c r="E5" s="458" t="n">
        <v>3</v>
      </c>
      <c r="F5" s="468">
        <f>E5*ราคาวัสดุ!D4</f>
        <v/>
      </c>
      <c r="G5" s="469" t="inlineStr">
        <is>
          <t>เส้น</t>
        </is>
      </c>
    </row>
    <row r="6">
      <c r="A6" s="457" t="n"/>
      <c r="B6" s="457" t="inlineStr">
        <is>
          <t>กล่อง 1.6"×1.6" (แปเดี่ยว)</t>
        </is>
      </c>
      <c r="C6" s="458" t="n">
        <v>1</v>
      </c>
      <c r="D6" s="468">
        <f>C6*ราคาวัสดุ!D5</f>
        <v/>
      </c>
      <c r="E6" s="458" t="n">
        <v>0</v>
      </c>
      <c r="F6" s="468" t="n">
        <v>0</v>
      </c>
      <c r="G6" s="469" t="inlineStr">
        <is>
          <t>เส้น</t>
        </is>
      </c>
    </row>
    <row r="7">
      <c r="A7" s="457" t="n"/>
      <c r="B7" s="457" t="inlineStr">
        <is>
          <t>กล่อง 1"×1.2" (แปคู่)</t>
        </is>
      </c>
      <c r="C7" s="458" t="n">
        <v>0</v>
      </c>
      <c r="D7" s="468">
        <f>C7*ราคาวัสดุ!D6</f>
        <v/>
      </c>
      <c r="E7" s="458" t="n">
        <v>2</v>
      </c>
      <c r="F7" s="468">
        <f>E7*ราคาวัสดุ!D6</f>
        <v/>
      </c>
      <c r="G7" s="469" t="inlineStr">
        <is>
          <t>เส้น</t>
        </is>
      </c>
    </row>
    <row r="8">
      <c r="A8" s="457" t="n"/>
      <c r="B8" s="457" t="inlineStr">
        <is>
          <t>ฉาก 6 หุน</t>
        </is>
      </c>
      <c r="C8" s="458" t="n">
        <v>1</v>
      </c>
      <c r="D8" s="468">
        <f>C8*ราคาวัสดุ!D7</f>
        <v/>
      </c>
      <c r="E8" s="458" t="n">
        <v>1</v>
      </c>
      <c r="F8" s="468">
        <f>E8*ราคาวัสดุ!D7</f>
        <v/>
      </c>
      <c r="G8" s="469" t="inlineStr">
        <is>
          <t>เส้น</t>
        </is>
      </c>
    </row>
    <row r="9">
      <c r="A9" s="457" t="n"/>
      <c r="B9" s="457" t="inlineStr">
        <is>
          <t>แซด 4"</t>
        </is>
      </c>
      <c r="C9" s="458" t="n">
        <v>1</v>
      </c>
      <c r="D9" s="468">
        <f>C9*ราคาวัสดุ!D8</f>
        <v/>
      </c>
      <c r="E9" s="458" t="n">
        <v>1</v>
      </c>
      <c r="F9" s="468">
        <f>E9*ราคาวัสดุ!D8</f>
        <v/>
      </c>
      <c r="G9" s="469" t="inlineStr">
        <is>
          <t>เส้น</t>
        </is>
      </c>
    </row>
    <row r="10">
      <c r="A10" s="457" t="n"/>
      <c r="B10" s="457" t="inlineStr">
        <is>
          <t>กล่องเหล็ก 1"×1"</t>
        </is>
      </c>
      <c r="C10" s="458" t="n">
        <v>3</v>
      </c>
      <c r="D10" s="468">
        <f>C10*ราคาวัสดุ!D9</f>
        <v/>
      </c>
      <c r="E10" s="458" t="n">
        <v>3</v>
      </c>
      <c r="F10" s="468">
        <f>E10*ราคาวัสดุ!D9</f>
        <v/>
      </c>
      <c r="G10" s="469" t="inlineStr">
        <is>
          <t>เส้น</t>
        </is>
      </c>
    </row>
    <row r="11">
      <c r="A11" s="457" t="n"/>
      <c r="B11" s="457" t="inlineStr">
        <is>
          <t>แผ่นเพลทเหล็ก</t>
        </is>
      </c>
      <c r="C11" s="458" t="n">
        <v>8</v>
      </c>
      <c r="D11" s="468">
        <f>C11*ราคาวัสดุ!D10</f>
        <v/>
      </c>
      <c r="E11" s="458" t="n">
        <v>8</v>
      </c>
      <c r="F11" s="468">
        <f>E11*ราคาวัสดุ!D10</f>
        <v/>
      </c>
      <c r="G11" s="469" t="inlineStr">
        <is>
          <t>แผ่น</t>
        </is>
      </c>
    </row>
    <row r="12">
      <c r="B12" s="457" t="inlineStr">
        <is>
          <t>กระจกลามิเนต 4+4 มม.</t>
        </is>
      </c>
      <c r="C12" s="458" t="n">
        <v>4.5</v>
      </c>
      <c r="D12" s="470">
        <f>C12*ราคาวัสดุ!D22</f>
        <v/>
      </c>
      <c r="E12" s="458" t="n">
        <v>4.5</v>
      </c>
      <c r="F12" s="470">
        <f>E12*ราคาวัสดุ!D22</f>
        <v/>
      </c>
      <c r="G12" s="469" t="inlineStr">
        <is>
          <t>ตร.ม.</t>
        </is>
      </c>
    </row>
    <row r="13">
      <c r="A13" s="471" t="inlineStr">
        <is>
          <t>✅  รวมทุนวัสดุ (300×150)</t>
        </is>
      </c>
      <c r="D13" s="472">
        <f>SUM(D5:D12)</f>
        <v/>
      </c>
      <c r="E13" s="473" t="n"/>
      <c r="F13" s="472">
        <f>SUM(F5:F12)</f>
        <v/>
      </c>
    </row>
    <row r="15">
      <c r="A15" s="467" t="inlineStr">
        <is>
          <t>ขนาด 600×150 ซม.  (9.0 ตร.ม.)</t>
        </is>
      </c>
    </row>
    <row r="16">
      <c r="A16" s="457" t="n"/>
      <c r="B16" s="457" t="inlineStr">
        <is>
          <t>กล่อง 1.6"×4"</t>
        </is>
      </c>
      <c r="C16" s="458" t="n">
        <v>5</v>
      </c>
      <c r="D16" s="468">
        <f>C16*ราคาวัสดุ!D4</f>
        <v/>
      </c>
      <c r="E16" s="458" t="n">
        <v>5</v>
      </c>
      <c r="F16" s="468">
        <f>E16*ราคาวัสดุ!D4</f>
        <v/>
      </c>
      <c r="G16" s="469" t="inlineStr">
        <is>
          <t>เส้น</t>
        </is>
      </c>
    </row>
    <row r="17">
      <c r="A17" s="457" t="n"/>
      <c r="B17" s="457" t="inlineStr">
        <is>
          <t>กล่อง 1.6"×1.6" (แปเดี่ยว)</t>
        </is>
      </c>
      <c r="C17" s="458" t="n">
        <v>2</v>
      </c>
      <c r="D17" s="468">
        <f>C17*ราคาวัสดุ!D5</f>
        <v/>
      </c>
      <c r="E17" s="458" t="n">
        <v>0</v>
      </c>
      <c r="F17" s="468" t="n">
        <v>0</v>
      </c>
      <c r="G17" s="469" t="inlineStr">
        <is>
          <t>เส้น</t>
        </is>
      </c>
    </row>
    <row r="18">
      <c r="A18" s="457" t="n"/>
      <c r="B18" s="457" t="inlineStr">
        <is>
          <t>กล่อง 1"×1.2" (แปคู่)</t>
        </is>
      </c>
      <c r="C18" s="458" t="n">
        <v>0</v>
      </c>
      <c r="D18" s="468">
        <f>C18*ราคาวัสดุ!D6</f>
        <v/>
      </c>
      <c r="E18" s="458" t="n">
        <v>4</v>
      </c>
      <c r="F18" s="468">
        <f>E18*ราคาวัสดุ!D6</f>
        <v/>
      </c>
      <c r="G18" s="469" t="inlineStr">
        <is>
          <t>เส้น</t>
        </is>
      </c>
    </row>
    <row r="19">
      <c r="A19" s="457" t="n"/>
      <c r="B19" s="457" t="inlineStr">
        <is>
          <t>ฉาก 6 หุน</t>
        </is>
      </c>
      <c r="C19" s="458" t="n">
        <v>1</v>
      </c>
      <c r="D19" s="468">
        <f>C19*ราคาวัสดุ!D7</f>
        <v/>
      </c>
      <c r="E19" s="458" t="n">
        <v>1</v>
      </c>
      <c r="F19" s="468">
        <f>E19*ราคาวัสดุ!D7</f>
        <v/>
      </c>
      <c r="G19" s="469" t="inlineStr">
        <is>
          <t>เส้น</t>
        </is>
      </c>
    </row>
    <row r="20">
      <c r="A20" s="457" t="n"/>
      <c r="B20" s="457" t="inlineStr">
        <is>
          <t>แซด 4"</t>
        </is>
      </c>
      <c r="C20" s="458" t="n">
        <v>1</v>
      </c>
      <c r="D20" s="468">
        <f>C20*ราคาวัสดุ!D8</f>
        <v/>
      </c>
      <c r="E20" s="458" t="n">
        <v>1</v>
      </c>
      <c r="F20" s="468">
        <f>E20*ราคาวัสดุ!D8</f>
        <v/>
      </c>
      <c r="G20" s="469" t="inlineStr">
        <is>
          <t>เส้น</t>
        </is>
      </c>
    </row>
    <row r="21">
      <c r="A21" s="457" t="n"/>
      <c r="B21" s="457" t="inlineStr">
        <is>
          <t>กล่องเหล็ก 1"×1"</t>
        </is>
      </c>
      <c r="C21" s="458" t="n">
        <v>4</v>
      </c>
      <c r="D21" s="468">
        <f>C21*ราคาวัสดุ!D9</f>
        <v/>
      </c>
      <c r="E21" s="458" t="n">
        <v>4</v>
      </c>
      <c r="F21" s="468">
        <f>E21*ราคาวัสดุ!D9</f>
        <v/>
      </c>
      <c r="G21" s="469" t="inlineStr">
        <is>
          <t>เส้น</t>
        </is>
      </c>
    </row>
    <row r="22">
      <c r="A22" s="457" t="n"/>
      <c r="B22" s="457" t="inlineStr">
        <is>
          <t>แผ่นเพลทเหล็ก</t>
        </is>
      </c>
      <c r="C22" s="458" t="n">
        <v>14</v>
      </c>
      <c r="D22" s="468">
        <f>C22*ราคาวัสดุ!D10</f>
        <v/>
      </c>
      <c r="E22" s="458" t="n">
        <v>14</v>
      </c>
      <c r="F22" s="468">
        <f>E22*ราคาวัสดุ!D10</f>
        <v/>
      </c>
      <c r="G22" s="469" t="inlineStr">
        <is>
          <t>แผ่น</t>
        </is>
      </c>
    </row>
    <row r="23">
      <c r="B23" s="457" t="inlineStr">
        <is>
          <t>กระจกลามิเนต 4+4 มม.</t>
        </is>
      </c>
      <c r="C23" s="458" t="n">
        <v>9</v>
      </c>
      <c r="D23" s="470">
        <f>C23*ราคาวัสดุ!D22</f>
        <v/>
      </c>
      <c r="E23" s="458" t="n">
        <v>9</v>
      </c>
      <c r="F23" s="470">
        <f>E23*ราคาวัสดุ!D22</f>
        <v/>
      </c>
      <c r="G23" s="469" t="inlineStr">
        <is>
          <t>ตร.ม.</t>
        </is>
      </c>
    </row>
    <row r="24">
      <c r="A24" s="471" t="inlineStr">
        <is>
          <t>✅  รวมทุนวัสดุ (600×150)</t>
        </is>
      </c>
      <c r="D24" s="472">
        <f>SUM(D16:D23)</f>
        <v/>
      </c>
      <c r="E24" s="473" t="n"/>
      <c r="F24" s="472">
        <f>SUM(F16:F23)</f>
        <v/>
      </c>
    </row>
    <row r="26">
      <c r="A26" s="467" t="inlineStr">
        <is>
          <t>ขนาด 900×150 ซม.  (13.5 ตร.ม.)</t>
        </is>
      </c>
    </row>
    <row r="27">
      <c r="A27" s="457" t="n"/>
      <c r="B27" s="457" t="inlineStr">
        <is>
          <t>กล่อง 1.6"×4"</t>
        </is>
      </c>
      <c r="C27" s="458" t="n">
        <v>7</v>
      </c>
      <c r="D27" s="468">
        <f>C27*ราคาวัสดุ!D4</f>
        <v/>
      </c>
      <c r="E27" s="458" t="n">
        <v>7</v>
      </c>
      <c r="F27" s="468">
        <f>E27*ราคาวัสดุ!D4</f>
        <v/>
      </c>
      <c r="G27" s="469" t="inlineStr">
        <is>
          <t>เส้น</t>
        </is>
      </c>
    </row>
    <row r="28">
      <c r="A28" s="457" t="n"/>
      <c r="B28" s="457" t="inlineStr">
        <is>
          <t>กล่อง 1.6"×1.6" (แปเดี่ยว)</t>
        </is>
      </c>
      <c r="C28" s="458" t="n">
        <v>3</v>
      </c>
      <c r="D28" s="468">
        <f>C28*ราคาวัสดุ!D5</f>
        <v/>
      </c>
      <c r="E28" s="458" t="n">
        <v>0</v>
      </c>
      <c r="F28" s="468" t="n">
        <v>0</v>
      </c>
      <c r="G28" s="469" t="inlineStr">
        <is>
          <t>เส้น</t>
        </is>
      </c>
    </row>
    <row r="29">
      <c r="A29" s="457" t="n"/>
      <c r="B29" s="457" t="inlineStr">
        <is>
          <t>กล่อง 1"×1.2" (แปคู่)</t>
        </is>
      </c>
      <c r="C29" s="458" t="n">
        <v>0</v>
      </c>
      <c r="D29" s="468">
        <f>C29*ราคาวัสดุ!D6</f>
        <v/>
      </c>
      <c r="E29" s="458" t="n">
        <v>6</v>
      </c>
      <c r="F29" s="468">
        <f>E29*ราคาวัสดุ!D6</f>
        <v/>
      </c>
      <c r="G29" s="469" t="inlineStr">
        <is>
          <t>เส้น</t>
        </is>
      </c>
    </row>
    <row r="30">
      <c r="A30" s="457" t="n"/>
      <c r="B30" s="457" t="inlineStr">
        <is>
          <t>ฉาก 6 หุน</t>
        </is>
      </c>
      <c r="C30" s="458" t="n">
        <v>1</v>
      </c>
      <c r="D30" s="468">
        <f>C30*ราคาวัสดุ!D7</f>
        <v/>
      </c>
      <c r="E30" s="458" t="n">
        <v>1</v>
      </c>
      <c r="F30" s="468">
        <f>E30*ราคาวัสดุ!D7</f>
        <v/>
      </c>
      <c r="G30" s="469" t="inlineStr">
        <is>
          <t>เส้น</t>
        </is>
      </c>
    </row>
    <row r="31">
      <c r="A31" s="457" t="n"/>
      <c r="B31" s="457" t="inlineStr">
        <is>
          <t>แซด 4"</t>
        </is>
      </c>
      <c r="C31" s="458" t="n">
        <v>2</v>
      </c>
      <c r="D31" s="468">
        <f>C31*ราคาวัสดุ!D8</f>
        <v/>
      </c>
      <c r="E31" s="458" t="n">
        <v>2</v>
      </c>
      <c r="F31" s="468">
        <f>E31*ราคาวัสดุ!D8</f>
        <v/>
      </c>
      <c r="G31" s="469" t="inlineStr">
        <is>
          <t>เส้น</t>
        </is>
      </c>
    </row>
    <row r="32">
      <c r="A32" s="457" t="n"/>
      <c r="B32" s="457" t="inlineStr">
        <is>
          <t>กล่องเหล็ก 1"×1"</t>
        </is>
      </c>
      <c r="C32" s="458" t="n">
        <v>6</v>
      </c>
      <c r="D32" s="468">
        <f>C32*ราคาวัสดุ!D9</f>
        <v/>
      </c>
      <c r="E32" s="458" t="n">
        <v>6</v>
      </c>
      <c r="F32" s="468">
        <f>E32*ราคาวัสดุ!D9</f>
        <v/>
      </c>
      <c r="G32" s="469" t="inlineStr">
        <is>
          <t>เส้น</t>
        </is>
      </c>
    </row>
    <row r="33">
      <c r="A33" s="457" t="n"/>
      <c r="B33" s="457" t="inlineStr">
        <is>
          <t>แผ่นเพลทเหล็ก</t>
        </is>
      </c>
      <c r="C33" s="458" t="n">
        <v>12</v>
      </c>
      <c r="D33" s="468">
        <f>C33*ราคาวัสดุ!D10</f>
        <v/>
      </c>
      <c r="E33" s="458" t="n">
        <v>12</v>
      </c>
      <c r="F33" s="468">
        <f>E33*ราคาวัสดุ!D10</f>
        <v/>
      </c>
      <c r="G33" s="469" t="inlineStr">
        <is>
          <t>แผ่น</t>
        </is>
      </c>
    </row>
    <row r="34">
      <c r="B34" s="457" t="inlineStr">
        <is>
          <t>กระจกลามิเนต 4+4 มม.</t>
        </is>
      </c>
      <c r="C34" s="458" t="n">
        <v>13.5</v>
      </c>
      <c r="D34" s="470">
        <f>C34*ราคาวัสดุ!D22</f>
        <v/>
      </c>
      <c r="E34" s="458" t="n">
        <v>13.5</v>
      </c>
      <c r="F34" s="470">
        <f>E34*ราคาวัสดุ!D22</f>
        <v/>
      </c>
      <c r="G34" s="469" t="inlineStr">
        <is>
          <t>ตร.ม.</t>
        </is>
      </c>
    </row>
    <row r="35">
      <c r="A35" s="471" t="inlineStr">
        <is>
          <t>✅  รวมทุนวัสดุ (900×150)</t>
        </is>
      </c>
      <c r="D35" s="472">
        <f>SUM(D27:D34)</f>
        <v/>
      </c>
      <c r="E35" s="473" t="n"/>
      <c r="F35" s="472">
        <f>SUM(F27:F34)</f>
        <v/>
      </c>
    </row>
    <row r="37">
      <c r="A37" s="467" t="inlineStr">
        <is>
          <t>ขนาด 1200×150 ซม.  (18.0 ตร.ม.)</t>
        </is>
      </c>
    </row>
    <row r="38">
      <c r="A38" s="457" t="n"/>
      <c r="B38" s="457" t="inlineStr">
        <is>
          <t>กล่อง 1.6"×4"</t>
        </is>
      </c>
      <c r="C38" s="458" t="n">
        <v>10</v>
      </c>
      <c r="D38" s="468">
        <f>C38*ราคาวัสดุ!D4</f>
        <v/>
      </c>
      <c r="E38" s="458" t="n">
        <v>10</v>
      </c>
      <c r="F38" s="468">
        <f>E38*ราคาวัสดุ!D4</f>
        <v/>
      </c>
      <c r="G38" s="469" t="inlineStr">
        <is>
          <t>เส้น</t>
        </is>
      </c>
    </row>
    <row r="39">
      <c r="A39" s="457" t="n"/>
      <c r="B39" s="457" t="inlineStr">
        <is>
          <t>กล่อง 1.6"×1.6" (แปเดี่ยว)</t>
        </is>
      </c>
      <c r="C39" s="458" t="n">
        <v>4</v>
      </c>
      <c r="D39" s="468">
        <f>C39*ราคาวัสดุ!D5</f>
        <v/>
      </c>
      <c r="E39" s="458" t="n">
        <v>0</v>
      </c>
      <c r="F39" s="468" t="n">
        <v>0</v>
      </c>
      <c r="G39" s="469" t="inlineStr">
        <is>
          <t>เส้น</t>
        </is>
      </c>
    </row>
    <row r="40">
      <c r="A40" s="457" t="n"/>
      <c r="B40" s="457" t="inlineStr">
        <is>
          <t>กล่อง 1"×1.2" (แปคู่)</t>
        </is>
      </c>
      <c r="C40" s="458" t="n">
        <v>0</v>
      </c>
      <c r="D40" s="468">
        <f>C40*ราคาวัสดุ!D6</f>
        <v/>
      </c>
      <c r="E40" s="458" t="n">
        <v>8</v>
      </c>
      <c r="F40" s="468">
        <f>E40*ราคาวัสดุ!D6</f>
        <v/>
      </c>
      <c r="G40" s="469" t="inlineStr">
        <is>
          <t>เส้น</t>
        </is>
      </c>
    </row>
    <row r="41">
      <c r="A41" s="457" t="n"/>
      <c r="B41" s="457" t="inlineStr">
        <is>
          <t>ฉาก 6 หุน</t>
        </is>
      </c>
      <c r="C41" s="458" t="n">
        <v>1</v>
      </c>
      <c r="D41" s="468">
        <f>C41*ราคาวัสดุ!D7</f>
        <v/>
      </c>
      <c r="E41" s="458" t="n">
        <v>1</v>
      </c>
      <c r="F41" s="468">
        <f>E41*ราคาวัสดุ!D7</f>
        <v/>
      </c>
      <c r="G41" s="469" t="inlineStr">
        <is>
          <t>เส้น</t>
        </is>
      </c>
    </row>
    <row r="42">
      <c r="A42" s="457" t="n"/>
      <c r="B42" s="457" t="inlineStr">
        <is>
          <t>แซด 4"</t>
        </is>
      </c>
      <c r="C42" s="458" t="n">
        <v>2</v>
      </c>
      <c r="D42" s="468">
        <f>C42*ราคาวัสดุ!D8</f>
        <v/>
      </c>
      <c r="E42" s="458" t="n">
        <v>2</v>
      </c>
      <c r="F42" s="468">
        <f>E42*ราคาวัสดุ!D8</f>
        <v/>
      </c>
      <c r="G42" s="469" t="inlineStr">
        <is>
          <t>เส้น</t>
        </is>
      </c>
    </row>
    <row r="43">
      <c r="A43" s="457" t="n"/>
      <c r="B43" s="457" t="inlineStr">
        <is>
          <t>กล่องเหล็ก 1"×1"</t>
        </is>
      </c>
      <c r="C43" s="458" t="n">
        <v>8</v>
      </c>
      <c r="D43" s="468">
        <f>C43*ราคาวัสดุ!D9</f>
        <v/>
      </c>
      <c r="E43" s="458" t="n">
        <v>8</v>
      </c>
      <c r="F43" s="468">
        <f>E43*ราคาวัสดุ!D9</f>
        <v/>
      </c>
      <c r="G43" s="469" t="inlineStr">
        <is>
          <t>เส้น</t>
        </is>
      </c>
    </row>
    <row r="44">
      <c r="A44" s="457" t="n"/>
      <c r="B44" s="457" t="inlineStr">
        <is>
          <t>แผ่นเพลทเหล็ก</t>
        </is>
      </c>
      <c r="C44" s="458" t="n">
        <v>13</v>
      </c>
      <c r="D44" s="468">
        <f>C44*ราคาวัสดุ!D10</f>
        <v/>
      </c>
      <c r="E44" s="458" t="n">
        <v>13</v>
      </c>
      <c r="F44" s="468">
        <f>E44*ราคาวัสดุ!D10</f>
        <v/>
      </c>
      <c r="G44" s="469" t="inlineStr">
        <is>
          <t>แผ่น</t>
        </is>
      </c>
    </row>
    <row r="45">
      <c r="B45" s="457" t="inlineStr">
        <is>
          <t>กระจกลามิเนต 4+4 มม.</t>
        </is>
      </c>
      <c r="C45" s="458" t="n">
        <v>18</v>
      </c>
      <c r="D45" s="470">
        <f>C45*ราคาวัสดุ!D22</f>
        <v/>
      </c>
      <c r="E45" s="458" t="n">
        <v>18</v>
      </c>
      <c r="F45" s="470">
        <f>E45*ราคาวัสดุ!D22</f>
        <v/>
      </c>
      <c r="G45" s="469" t="inlineStr">
        <is>
          <t>ตร.ม.</t>
        </is>
      </c>
    </row>
    <row r="46">
      <c r="A46" s="471" t="inlineStr">
        <is>
          <t>✅  รวมทุนวัสดุ (1200×150)</t>
        </is>
      </c>
      <c r="D46" s="472">
        <f>SUM(D38:D45)</f>
        <v/>
      </c>
      <c r="E46" s="473" t="n"/>
      <c r="F46" s="472">
        <f>SUM(F38:F45)</f>
        <v/>
      </c>
    </row>
    <row r="48">
      <c r="A48" s="467" t="inlineStr">
        <is>
          <t>ขนาด 1600×150 ซม.  (24.0 ตร.ม.)</t>
        </is>
      </c>
    </row>
    <row r="49">
      <c r="A49" s="457" t="n"/>
      <c r="B49" s="457" t="inlineStr">
        <is>
          <t>กล่อง 1.6"×4"</t>
        </is>
      </c>
      <c r="C49" s="458" t="n">
        <v>13</v>
      </c>
      <c r="D49" s="468">
        <f>C49*ราคาวัสดุ!D4</f>
        <v/>
      </c>
      <c r="E49" s="458" t="n">
        <v>13</v>
      </c>
      <c r="F49" s="468">
        <f>E49*ราคาวัสดุ!D4</f>
        <v/>
      </c>
      <c r="G49" s="469" t="inlineStr">
        <is>
          <t>เส้น</t>
        </is>
      </c>
    </row>
    <row r="50">
      <c r="A50" s="457" t="n"/>
      <c r="B50" s="457" t="inlineStr">
        <is>
          <t>กล่อง 1.6"×1.6" (แปเดี่ยว)</t>
        </is>
      </c>
      <c r="C50" s="458" t="n">
        <v>6</v>
      </c>
      <c r="D50" s="468">
        <f>C50*ราคาวัสดุ!D5</f>
        <v/>
      </c>
      <c r="E50" s="458" t="n">
        <v>0</v>
      </c>
      <c r="F50" s="468" t="n">
        <v>0</v>
      </c>
      <c r="G50" s="469" t="inlineStr">
        <is>
          <t>เส้น</t>
        </is>
      </c>
    </row>
    <row r="51">
      <c r="A51" s="457" t="n"/>
      <c r="B51" s="457" t="inlineStr">
        <is>
          <t>กล่อง 1"×1.2" (แปคู่)</t>
        </is>
      </c>
      <c r="C51" s="458" t="n">
        <v>0</v>
      </c>
      <c r="D51" s="468">
        <f>C51*ราคาวัสดุ!D6</f>
        <v/>
      </c>
      <c r="E51" s="458" t="n">
        <v>11</v>
      </c>
      <c r="F51" s="468">
        <f>E51*ราคาวัสดุ!D6</f>
        <v/>
      </c>
      <c r="G51" s="469" t="inlineStr">
        <is>
          <t>เส้น</t>
        </is>
      </c>
    </row>
    <row r="52">
      <c r="A52" s="457" t="n"/>
      <c r="B52" s="457" t="inlineStr">
        <is>
          <t>ฉาก 6 หุน</t>
        </is>
      </c>
      <c r="C52" s="458" t="n">
        <v>1</v>
      </c>
      <c r="D52" s="468">
        <f>C52*ราคาวัสดุ!D7</f>
        <v/>
      </c>
      <c r="E52" s="458" t="n">
        <v>1</v>
      </c>
      <c r="F52" s="468">
        <f>E52*ราคาวัสดุ!D7</f>
        <v/>
      </c>
      <c r="G52" s="469" t="inlineStr">
        <is>
          <t>เส้น</t>
        </is>
      </c>
    </row>
    <row r="53">
      <c r="A53" s="457" t="n"/>
      <c r="B53" s="457" t="inlineStr">
        <is>
          <t>แซด 4"</t>
        </is>
      </c>
      <c r="C53" s="458" t="n">
        <v>3</v>
      </c>
      <c r="D53" s="468">
        <f>C53*ราคาวัสดุ!D8</f>
        <v/>
      </c>
      <c r="E53" s="458" t="n">
        <v>3</v>
      </c>
      <c r="F53" s="468">
        <f>E53*ราคาวัสดุ!D8</f>
        <v/>
      </c>
      <c r="G53" s="469" t="inlineStr">
        <is>
          <t>เส้น</t>
        </is>
      </c>
    </row>
    <row r="54">
      <c r="A54" s="457" t="n"/>
      <c r="B54" s="457" t="inlineStr">
        <is>
          <t>กล่องเหล็ก 1"×1"</t>
        </is>
      </c>
      <c r="C54" s="458" t="n">
        <v>10</v>
      </c>
      <c r="D54" s="468">
        <f>C54*ราคาวัสดุ!D9</f>
        <v/>
      </c>
      <c r="E54" s="458" t="n">
        <v>10</v>
      </c>
      <c r="F54" s="468">
        <f>E54*ราคาวัสดุ!D9</f>
        <v/>
      </c>
      <c r="G54" s="469" t="inlineStr">
        <is>
          <t>เส้น</t>
        </is>
      </c>
    </row>
    <row r="55">
      <c r="A55" s="457" t="n"/>
      <c r="B55" s="457" t="inlineStr">
        <is>
          <t>แผ่นเพลทเหล็ก</t>
        </is>
      </c>
      <c r="C55" s="458" t="n">
        <v>17</v>
      </c>
      <c r="D55" s="468">
        <f>C55*ราคาวัสดุ!D10</f>
        <v/>
      </c>
      <c r="E55" s="458" t="n">
        <v>17</v>
      </c>
      <c r="F55" s="468">
        <f>E55*ราคาวัสดุ!D10</f>
        <v/>
      </c>
      <c r="G55" s="469" t="inlineStr">
        <is>
          <t>แผ่น</t>
        </is>
      </c>
    </row>
    <row r="56">
      <c r="B56" s="457" t="inlineStr">
        <is>
          <t>กระจกลามิเนต 4+4 มม.</t>
        </is>
      </c>
      <c r="C56" s="458" t="n">
        <v>24</v>
      </c>
      <c r="D56" s="470">
        <f>C56*ราคาวัสดุ!D22</f>
        <v/>
      </c>
      <c r="E56" s="458" t="n">
        <v>24</v>
      </c>
      <c r="F56" s="470">
        <f>E56*ราคาวัสดุ!D22</f>
        <v/>
      </c>
      <c r="G56" s="469" t="inlineStr">
        <is>
          <t>ตร.ม.</t>
        </is>
      </c>
    </row>
    <row r="57">
      <c r="A57" s="471" t="inlineStr">
        <is>
          <t>✅  รวมทุนวัสดุ (1600×150)</t>
        </is>
      </c>
      <c r="D57" s="472">
        <f>SUM(D49:D56)</f>
        <v/>
      </c>
      <c r="E57" s="473" t="n"/>
      <c r="F57" s="472">
        <f>SUM(F49:F56)</f>
        <v/>
      </c>
    </row>
    <row r="59">
      <c r="A59" s="467" t="inlineStr">
        <is>
          <t>ขนาด 2000×150 ซม.  (30.0 ตร.ม.)</t>
        </is>
      </c>
    </row>
    <row r="60">
      <c r="A60" s="457" t="n"/>
      <c r="B60" s="457" t="inlineStr">
        <is>
          <t>กล่อง 1.6"×4"</t>
        </is>
      </c>
      <c r="C60" s="458" t="n">
        <v>16</v>
      </c>
      <c r="D60" s="468">
        <f>C60*ราคาวัสดุ!D4</f>
        <v/>
      </c>
      <c r="E60" s="458" t="n">
        <v>16</v>
      </c>
      <c r="F60" s="468">
        <f>E60*ราคาวัสดุ!D4</f>
        <v/>
      </c>
      <c r="G60" s="469" t="inlineStr">
        <is>
          <t>เส้น</t>
        </is>
      </c>
    </row>
    <row r="61">
      <c r="A61" s="457" t="n"/>
      <c r="B61" s="457" t="inlineStr">
        <is>
          <t>กล่อง 1.6"×1.6" (แปเดี่ยว)</t>
        </is>
      </c>
      <c r="C61" s="458" t="n">
        <v>7</v>
      </c>
      <c r="D61" s="468">
        <f>C61*ราคาวัสดุ!D5</f>
        <v/>
      </c>
      <c r="E61" s="458" t="n">
        <v>0</v>
      </c>
      <c r="F61" s="468" t="n">
        <v>0</v>
      </c>
      <c r="G61" s="469" t="inlineStr">
        <is>
          <t>เส้น</t>
        </is>
      </c>
    </row>
    <row r="62">
      <c r="A62" s="457" t="n"/>
      <c r="B62" s="457" t="inlineStr">
        <is>
          <t>กล่อง 1"×1.2" (แปคู่)</t>
        </is>
      </c>
      <c r="C62" s="458" t="n">
        <v>0</v>
      </c>
      <c r="D62" s="468">
        <f>C62*ราคาวัสดุ!D6</f>
        <v/>
      </c>
      <c r="E62" s="458" t="n">
        <v>14</v>
      </c>
      <c r="F62" s="468">
        <f>E62*ราคาวัสดุ!D6</f>
        <v/>
      </c>
      <c r="G62" s="469" t="inlineStr">
        <is>
          <t>เส้น</t>
        </is>
      </c>
    </row>
    <row r="63">
      <c r="A63" s="457" t="n"/>
      <c r="B63" s="457" t="inlineStr">
        <is>
          <t>ฉาก 6 หุน</t>
        </is>
      </c>
      <c r="C63" s="458" t="n">
        <v>1</v>
      </c>
      <c r="D63" s="468">
        <f>C63*ราคาวัสดุ!D7</f>
        <v/>
      </c>
      <c r="E63" s="458" t="n">
        <v>1</v>
      </c>
      <c r="F63" s="468">
        <f>E63*ราคาวัสดุ!D7</f>
        <v/>
      </c>
      <c r="G63" s="469" t="inlineStr">
        <is>
          <t>เส้น</t>
        </is>
      </c>
    </row>
    <row r="64">
      <c r="A64" s="457" t="n"/>
      <c r="B64" s="457" t="inlineStr">
        <is>
          <t>แซด 4"</t>
        </is>
      </c>
      <c r="C64" s="458" t="n">
        <v>4</v>
      </c>
      <c r="D64" s="468">
        <f>C64*ราคาวัสดุ!D8</f>
        <v/>
      </c>
      <c r="E64" s="458" t="n">
        <v>4</v>
      </c>
      <c r="F64" s="468">
        <f>E64*ราคาวัสดุ!D8</f>
        <v/>
      </c>
      <c r="G64" s="469" t="inlineStr">
        <is>
          <t>เส้น</t>
        </is>
      </c>
    </row>
    <row r="65">
      <c r="A65" s="457" t="n"/>
      <c r="B65" s="457" t="inlineStr">
        <is>
          <t>กล่องเหล็ก 1"×1"</t>
        </is>
      </c>
      <c r="C65" s="458" t="n">
        <v>13</v>
      </c>
      <c r="D65" s="468">
        <f>C65*ราคาวัสดุ!D9</f>
        <v/>
      </c>
      <c r="E65" s="458" t="n">
        <v>13</v>
      </c>
      <c r="F65" s="468">
        <f>E65*ราคาวัสดุ!D9</f>
        <v/>
      </c>
      <c r="G65" s="469" t="inlineStr">
        <is>
          <t>เส้น</t>
        </is>
      </c>
    </row>
    <row r="66">
      <c r="A66" s="457" t="n"/>
      <c r="B66" s="457" t="inlineStr">
        <is>
          <t>แผ่นเพลทเหล็ก</t>
        </is>
      </c>
      <c r="C66" s="458" t="n">
        <v>21</v>
      </c>
      <c r="D66" s="468">
        <f>C66*ราคาวัสดุ!D10</f>
        <v/>
      </c>
      <c r="E66" s="458" t="n">
        <v>21</v>
      </c>
      <c r="F66" s="468">
        <f>E66*ราคาวัสดุ!D10</f>
        <v/>
      </c>
      <c r="G66" s="469" t="inlineStr">
        <is>
          <t>แผ่น</t>
        </is>
      </c>
    </row>
    <row r="67">
      <c r="B67" s="457" t="inlineStr">
        <is>
          <t>กระจกลามิเนต 4+4 มม.</t>
        </is>
      </c>
      <c r="C67" s="458" t="n">
        <v>30</v>
      </c>
      <c r="D67" s="470">
        <f>C67*ราคาวัสดุ!D22</f>
        <v/>
      </c>
      <c r="E67" s="458" t="n">
        <v>30</v>
      </c>
      <c r="F67" s="470">
        <f>E67*ราคาวัสดุ!D22</f>
        <v/>
      </c>
      <c r="G67" s="469" t="inlineStr">
        <is>
          <t>ตร.ม.</t>
        </is>
      </c>
    </row>
    <row r="68">
      <c r="A68" s="471" t="inlineStr">
        <is>
          <t>✅  รวมทุนวัสดุ (2000×150)</t>
        </is>
      </c>
      <c r="D68" s="472">
        <f>SUM(D60:D67)</f>
        <v/>
      </c>
      <c r="E68" s="473" t="n"/>
      <c r="F68" s="472">
        <f>SUM(F60:F67)</f>
        <v/>
      </c>
    </row>
  </sheetData>
  <mergeCells count="24">
    <mergeCell ref="E57"/>
    <mergeCell ref="A46:C46"/>
    <mergeCell ref="A4:G4"/>
    <mergeCell ref="B2:B3"/>
    <mergeCell ref="A57:C57"/>
    <mergeCell ref="A48:G48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A24:C24"/>
    <mergeCell ref="A37:G37"/>
    <mergeCell ref="A1:F1"/>
    <mergeCell ref="A26:G26"/>
    <mergeCell ref="E46"/>
    <mergeCell ref="G2:G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tabColor rgb="00A6A6A6"/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46" customWidth="1" style="129" min="1" max="1"/>
    <col width="24" customWidth="1" style="129" min="2" max="2"/>
    <col width="6.5" customWidth="1" style="129" min="3" max="3"/>
    <col width="7.5" customWidth="1" style="129" min="4" max="4"/>
    <col width="6.5" customWidth="1" style="129" min="5" max="5"/>
    <col width="7.5" customWidth="1" style="129" min="6" max="6"/>
    <col width="8.6" customWidth="1" style="129" min="7" max="7"/>
  </cols>
  <sheetData>
    <row r="1">
      <c r="A1" s="451" t="inlineStr">
        <is>
          <t>ถอดทุนวัสดุ — กระจกลามิเนต 5+5 มม.</t>
        </is>
      </c>
      <c r="G1" s="753" t="inlineStr">
        <is>
          <t>🏠 สารบัญ</t>
        </is>
      </c>
      <c r="H1" s="759" t="n"/>
    </row>
    <row r="2">
      <c r="A2" s="464" t="inlineStr">
        <is>
          <t>#</t>
        </is>
      </c>
      <c r="B2" s="464" t="inlineStr">
        <is>
          <t>วัสดุ / รายการ</t>
        </is>
      </c>
      <c r="C2" s="464" t="inlineStr">
        <is>
          <t>แปเดี่ยว</t>
        </is>
      </c>
      <c r="D2" s="465" t="n"/>
      <c r="E2" s="464" t="inlineStr">
        <is>
          <t>แปคู่</t>
        </is>
      </c>
      <c r="F2" s="465" t="n"/>
      <c r="G2" s="464" t="inlineStr">
        <is>
          <t>หน่วย</t>
        </is>
      </c>
    </row>
    <row r="3">
      <c r="A3" s="466" t="n"/>
      <c r="B3" s="466" t="n"/>
      <c r="C3" s="464" t="inlineStr">
        <is>
          <t>จำนวน</t>
        </is>
      </c>
      <c r="D3" s="464" t="inlineStr">
        <is>
          <t>ราคา</t>
        </is>
      </c>
      <c r="E3" s="464" t="inlineStr">
        <is>
          <t>จำนวน</t>
        </is>
      </c>
      <c r="F3" s="464" t="inlineStr">
        <is>
          <t>ราคา</t>
        </is>
      </c>
      <c r="G3" s="466" t="n"/>
    </row>
    <row r="4">
      <c r="A4" s="467" t="inlineStr">
        <is>
          <t>ขนาด 300×150 ซม.  (4.5 ตร.ม.)</t>
        </is>
      </c>
    </row>
    <row r="5">
      <c r="A5" s="457" t="n"/>
      <c r="B5" s="457" t="inlineStr">
        <is>
          <t>กล่อง 1.6"×4"</t>
        </is>
      </c>
      <c r="C5" s="458" t="n">
        <v>3</v>
      </c>
      <c r="D5" s="468">
        <f>C5*ราคาวัสดุ!D4</f>
        <v/>
      </c>
      <c r="E5" s="458" t="n">
        <v>3</v>
      </c>
      <c r="F5" s="468">
        <f>E5*ราคาวัสดุ!D4</f>
        <v/>
      </c>
      <c r="G5" s="469" t="inlineStr">
        <is>
          <t>เส้น</t>
        </is>
      </c>
    </row>
    <row r="6">
      <c r="A6" s="457" t="n"/>
      <c r="B6" s="457" t="inlineStr">
        <is>
          <t>กล่อง 1.6"×1.6" (แปเดี่ยว)</t>
        </is>
      </c>
      <c r="C6" s="458" t="n">
        <v>1</v>
      </c>
      <c r="D6" s="468">
        <f>C6*ราคาวัสดุ!D5</f>
        <v/>
      </c>
      <c r="E6" s="458" t="n">
        <v>0</v>
      </c>
      <c r="F6" s="468" t="n">
        <v>0</v>
      </c>
      <c r="G6" s="469" t="inlineStr">
        <is>
          <t>เส้น</t>
        </is>
      </c>
    </row>
    <row r="7">
      <c r="A7" s="457" t="n"/>
      <c r="B7" s="457" t="inlineStr">
        <is>
          <t>กล่อง 1"×1.2" (แปคู่)</t>
        </is>
      </c>
      <c r="C7" s="458" t="n">
        <v>0</v>
      </c>
      <c r="D7" s="468">
        <f>C7*ราคาวัสดุ!D6</f>
        <v/>
      </c>
      <c r="E7" s="458" t="n">
        <v>2</v>
      </c>
      <c r="F7" s="468">
        <f>E7*ราคาวัสดุ!D6</f>
        <v/>
      </c>
      <c r="G7" s="469" t="inlineStr">
        <is>
          <t>เส้น</t>
        </is>
      </c>
    </row>
    <row r="8">
      <c r="A8" s="457" t="n"/>
      <c r="B8" s="457" t="inlineStr">
        <is>
          <t>ฉาก 6 หุน</t>
        </is>
      </c>
      <c r="C8" s="458" t="n">
        <v>1</v>
      </c>
      <c r="D8" s="468">
        <f>C8*ราคาวัสดุ!D7</f>
        <v/>
      </c>
      <c r="E8" s="458" t="n">
        <v>1</v>
      </c>
      <c r="F8" s="468">
        <f>E8*ราคาวัสดุ!D7</f>
        <v/>
      </c>
      <c r="G8" s="469" t="inlineStr">
        <is>
          <t>เส้น</t>
        </is>
      </c>
    </row>
    <row r="9">
      <c r="A9" s="457" t="n"/>
      <c r="B9" s="457" t="inlineStr">
        <is>
          <t>แซด 4"</t>
        </is>
      </c>
      <c r="C9" s="458" t="n">
        <v>1</v>
      </c>
      <c r="D9" s="468">
        <f>C9*ราคาวัสดุ!D8</f>
        <v/>
      </c>
      <c r="E9" s="458" t="n">
        <v>1</v>
      </c>
      <c r="F9" s="468">
        <f>E9*ราคาวัสดุ!D8</f>
        <v/>
      </c>
      <c r="G9" s="469" t="inlineStr">
        <is>
          <t>เส้น</t>
        </is>
      </c>
    </row>
    <row r="10">
      <c r="A10" s="457" t="n"/>
      <c r="B10" s="457" t="inlineStr">
        <is>
          <t>กล่องเหล็ก 1"×1"</t>
        </is>
      </c>
      <c r="C10" s="458" t="n">
        <v>3</v>
      </c>
      <c r="D10" s="468">
        <f>C10*ราคาวัสดุ!D9</f>
        <v/>
      </c>
      <c r="E10" s="458" t="n">
        <v>3</v>
      </c>
      <c r="F10" s="468">
        <f>E10*ราคาวัสดุ!D9</f>
        <v/>
      </c>
      <c r="G10" s="469" t="inlineStr">
        <is>
          <t>เส้น</t>
        </is>
      </c>
    </row>
    <row r="11">
      <c r="A11" s="457" t="n"/>
      <c r="B11" s="457" t="inlineStr">
        <is>
          <t>แผ่นเพลทเหล็ก</t>
        </is>
      </c>
      <c r="C11" s="458" t="n">
        <v>8</v>
      </c>
      <c r="D11" s="468">
        <f>C11*ราคาวัสดุ!D10</f>
        <v/>
      </c>
      <c r="E11" s="458" t="n">
        <v>8</v>
      </c>
      <c r="F11" s="468">
        <f>E11*ราคาวัสดุ!D10</f>
        <v/>
      </c>
      <c r="G11" s="469" t="inlineStr">
        <is>
          <t>แผ่น</t>
        </is>
      </c>
    </row>
    <row r="12">
      <c r="B12" s="457" t="inlineStr">
        <is>
          <t>กระจกลามิเนต 5+5 มม.</t>
        </is>
      </c>
      <c r="C12" s="458" t="n">
        <v>4.5</v>
      </c>
      <c r="D12" s="470">
        <f>C12*ราคาวัสดุ!D23</f>
        <v/>
      </c>
      <c r="E12" s="458" t="n">
        <v>4.5</v>
      </c>
      <c r="F12" s="470">
        <f>E12*ราคาวัสดุ!D23</f>
        <v/>
      </c>
      <c r="G12" s="469" t="inlineStr">
        <is>
          <t>ตร.ม.</t>
        </is>
      </c>
    </row>
    <row r="13">
      <c r="A13" s="471" t="inlineStr">
        <is>
          <t>✅  รวมทุนวัสดุ (300×150)</t>
        </is>
      </c>
      <c r="D13" s="472">
        <f>SUM(D5:D12)</f>
        <v/>
      </c>
      <c r="E13" s="473" t="n"/>
      <c r="F13" s="472">
        <f>SUM(F5:F12)</f>
        <v/>
      </c>
    </row>
    <row r="15">
      <c r="A15" s="467" t="inlineStr">
        <is>
          <t>ขนาด 600×150 ซม.  (9.0 ตร.ม.)</t>
        </is>
      </c>
    </row>
    <row r="16">
      <c r="A16" s="457" t="n"/>
      <c r="B16" s="457" t="inlineStr">
        <is>
          <t>กล่อง 1.6"×4"</t>
        </is>
      </c>
      <c r="C16" s="458" t="n">
        <v>5</v>
      </c>
      <c r="D16" s="468">
        <f>C16*ราคาวัสดุ!D4</f>
        <v/>
      </c>
      <c r="E16" s="458" t="n">
        <v>5</v>
      </c>
      <c r="F16" s="468">
        <f>E16*ราคาวัสดุ!D4</f>
        <v/>
      </c>
      <c r="G16" s="469" t="inlineStr">
        <is>
          <t>เส้น</t>
        </is>
      </c>
    </row>
    <row r="17">
      <c r="A17" s="457" t="n"/>
      <c r="B17" s="457" t="inlineStr">
        <is>
          <t>กล่อง 1.6"×1.6" (แปเดี่ยว)</t>
        </is>
      </c>
      <c r="C17" s="458" t="n">
        <v>2</v>
      </c>
      <c r="D17" s="468">
        <f>C17*ราคาวัสดุ!D5</f>
        <v/>
      </c>
      <c r="E17" s="458" t="n">
        <v>0</v>
      </c>
      <c r="F17" s="468" t="n">
        <v>0</v>
      </c>
      <c r="G17" s="469" t="inlineStr">
        <is>
          <t>เส้น</t>
        </is>
      </c>
    </row>
    <row r="18">
      <c r="A18" s="457" t="n"/>
      <c r="B18" s="457" t="inlineStr">
        <is>
          <t>กล่อง 1"×1.2" (แปคู่)</t>
        </is>
      </c>
      <c r="C18" s="458" t="n">
        <v>0</v>
      </c>
      <c r="D18" s="468">
        <f>C18*ราคาวัสดุ!D6</f>
        <v/>
      </c>
      <c r="E18" s="458" t="n">
        <v>4</v>
      </c>
      <c r="F18" s="468">
        <f>E18*ราคาวัสดุ!D6</f>
        <v/>
      </c>
      <c r="G18" s="469" t="inlineStr">
        <is>
          <t>เส้น</t>
        </is>
      </c>
    </row>
    <row r="19">
      <c r="A19" s="457" t="n"/>
      <c r="B19" s="457" t="inlineStr">
        <is>
          <t>ฉาก 6 หุน</t>
        </is>
      </c>
      <c r="C19" s="458" t="n">
        <v>1</v>
      </c>
      <c r="D19" s="468">
        <f>C19*ราคาวัสดุ!D7</f>
        <v/>
      </c>
      <c r="E19" s="458" t="n">
        <v>1</v>
      </c>
      <c r="F19" s="468">
        <f>E19*ราคาวัสดุ!D7</f>
        <v/>
      </c>
      <c r="G19" s="469" t="inlineStr">
        <is>
          <t>เส้น</t>
        </is>
      </c>
    </row>
    <row r="20">
      <c r="A20" s="457" t="n"/>
      <c r="B20" s="457" t="inlineStr">
        <is>
          <t>แซด 4"</t>
        </is>
      </c>
      <c r="C20" s="458" t="n">
        <v>1</v>
      </c>
      <c r="D20" s="468">
        <f>C20*ราคาวัสดุ!D8</f>
        <v/>
      </c>
      <c r="E20" s="458" t="n">
        <v>1</v>
      </c>
      <c r="F20" s="468">
        <f>E20*ราคาวัสดุ!D8</f>
        <v/>
      </c>
      <c r="G20" s="469" t="inlineStr">
        <is>
          <t>เส้น</t>
        </is>
      </c>
    </row>
    <row r="21">
      <c r="A21" s="457" t="n"/>
      <c r="B21" s="457" t="inlineStr">
        <is>
          <t>กล่องเหล็ก 1"×1"</t>
        </is>
      </c>
      <c r="C21" s="458" t="n">
        <v>4</v>
      </c>
      <c r="D21" s="468">
        <f>C21*ราคาวัสดุ!D9</f>
        <v/>
      </c>
      <c r="E21" s="458" t="n">
        <v>4</v>
      </c>
      <c r="F21" s="468">
        <f>E21*ราคาวัสดุ!D9</f>
        <v/>
      </c>
      <c r="G21" s="469" t="inlineStr">
        <is>
          <t>เส้น</t>
        </is>
      </c>
    </row>
    <row r="22">
      <c r="A22" s="457" t="n"/>
      <c r="B22" s="457" t="inlineStr">
        <is>
          <t>แผ่นเพลทเหล็ก</t>
        </is>
      </c>
      <c r="C22" s="458" t="n">
        <v>14</v>
      </c>
      <c r="D22" s="468">
        <f>C22*ราคาวัสดุ!D10</f>
        <v/>
      </c>
      <c r="E22" s="458" t="n">
        <v>14</v>
      </c>
      <c r="F22" s="468">
        <f>E22*ราคาวัสดุ!D10</f>
        <v/>
      </c>
      <c r="G22" s="469" t="inlineStr">
        <is>
          <t>แผ่น</t>
        </is>
      </c>
    </row>
    <row r="23">
      <c r="B23" s="457" t="inlineStr">
        <is>
          <t>กระจกลามิเนต 5+5 มม.</t>
        </is>
      </c>
      <c r="C23" s="458" t="n">
        <v>9</v>
      </c>
      <c r="D23" s="470">
        <f>C23*ราคาวัสดุ!D23</f>
        <v/>
      </c>
      <c r="E23" s="458" t="n">
        <v>9</v>
      </c>
      <c r="F23" s="470">
        <f>E23*ราคาวัสดุ!D23</f>
        <v/>
      </c>
      <c r="G23" s="469" t="inlineStr">
        <is>
          <t>ตร.ม.</t>
        </is>
      </c>
    </row>
    <row r="24">
      <c r="A24" s="471" t="inlineStr">
        <is>
          <t>✅  รวมทุนวัสดุ (600×150)</t>
        </is>
      </c>
      <c r="D24" s="472">
        <f>SUM(D16:D23)</f>
        <v/>
      </c>
      <c r="E24" s="473" t="n"/>
      <c r="F24" s="472">
        <f>SUM(F16:F23)</f>
        <v/>
      </c>
    </row>
    <row r="26">
      <c r="A26" s="467" t="inlineStr">
        <is>
          <t>ขนาด 900×150 ซม.  (13.5 ตร.ม.)</t>
        </is>
      </c>
    </row>
    <row r="27">
      <c r="A27" s="457" t="n"/>
      <c r="B27" s="457" t="inlineStr">
        <is>
          <t>กล่อง 1.6"×4"</t>
        </is>
      </c>
      <c r="C27" s="458" t="n">
        <v>7</v>
      </c>
      <c r="D27" s="468">
        <f>C27*ราคาวัสดุ!D4</f>
        <v/>
      </c>
      <c r="E27" s="458" t="n">
        <v>7</v>
      </c>
      <c r="F27" s="468">
        <f>E27*ราคาวัสดุ!D4</f>
        <v/>
      </c>
      <c r="G27" s="469" t="inlineStr">
        <is>
          <t>เส้น</t>
        </is>
      </c>
    </row>
    <row r="28">
      <c r="A28" s="457" t="n"/>
      <c r="B28" s="457" t="inlineStr">
        <is>
          <t>กล่อง 1.6"×1.6" (แปเดี่ยว)</t>
        </is>
      </c>
      <c r="C28" s="458" t="n">
        <v>3</v>
      </c>
      <c r="D28" s="468">
        <f>C28*ราคาวัสดุ!D5</f>
        <v/>
      </c>
      <c r="E28" s="458" t="n">
        <v>0</v>
      </c>
      <c r="F28" s="468" t="n">
        <v>0</v>
      </c>
      <c r="G28" s="469" t="inlineStr">
        <is>
          <t>เส้น</t>
        </is>
      </c>
    </row>
    <row r="29">
      <c r="A29" s="457" t="n"/>
      <c r="B29" s="457" t="inlineStr">
        <is>
          <t>กล่อง 1"×1.2" (แปคู่)</t>
        </is>
      </c>
      <c r="C29" s="458" t="n">
        <v>0</v>
      </c>
      <c r="D29" s="468">
        <f>C29*ราคาวัสดุ!D6</f>
        <v/>
      </c>
      <c r="E29" s="458" t="n">
        <v>6</v>
      </c>
      <c r="F29" s="468">
        <f>E29*ราคาวัสดุ!D6</f>
        <v/>
      </c>
      <c r="G29" s="469" t="inlineStr">
        <is>
          <t>เส้น</t>
        </is>
      </c>
    </row>
    <row r="30">
      <c r="A30" s="457" t="n"/>
      <c r="B30" s="457" t="inlineStr">
        <is>
          <t>ฉาก 6 หุน</t>
        </is>
      </c>
      <c r="C30" s="458" t="n">
        <v>1</v>
      </c>
      <c r="D30" s="468">
        <f>C30*ราคาวัสดุ!D7</f>
        <v/>
      </c>
      <c r="E30" s="458" t="n">
        <v>1</v>
      </c>
      <c r="F30" s="468">
        <f>E30*ราคาวัสดุ!D7</f>
        <v/>
      </c>
      <c r="G30" s="469" t="inlineStr">
        <is>
          <t>เส้น</t>
        </is>
      </c>
    </row>
    <row r="31">
      <c r="A31" s="457" t="n"/>
      <c r="B31" s="457" t="inlineStr">
        <is>
          <t>แซด 4"</t>
        </is>
      </c>
      <c r="C31" s="458" t="n">
        <v>2</v>
      </c>
      <c r="D31" s="468">
        <f>C31*ราคาวัสดุ!D8</f>
        <v/>
      </c>
      <c r="E31" s="458" t="n">
        <v>2</v>
      </c>
      <c r="F31" s="468">
        <f>E31*ราคาวัสดุ!D8</f>
        <v/>
      </c>
      <c r="G31" s="469" t="inlineStr">
        <is>
          <t>เส้น</t>
        </is>
      </c>
    </row>
    <row r="32">
      <c r="A32" s="457" t="n"/>
      <c r="B32" s="457" t="inlineStr">
        <is>
          <t>กล่องเหล็ก 1"×1"</t>
        </is>
      </c>
      <c r="C32" s="458" t="n">
        <v>6</v>
      </c>
      <c r="D32" s="468">
        <f>C32*ราคาวัสดุ!D9</f>
        <v/>
      </c>
      <c r="E32" s="458" t="n">
        <v>6</v>
      </c>
      <c r="F32" s="468">
        <f>E32*ราคาวัสดุ!D9</f>
        <v/>
      </c>
      <c r="G32" s="469" t="inlineStr">
        <is>
          <t>เส้น</t>
        </is>
      </c>
    </row>
    <row r="33">
      <c r="A33" s="457" t="n"/>
      <c r="B33" s="457" t="inlineStr">
        <is>
          <t>แผ่นเพลทเหล็ก</t>
        </is>
      </c>
      <c r="C33" s="458" t="n">
        <v>12</v>
      </c>
      <c r="D33" s="468">
        <f>C33*ราคาวัสดุ!D10</f>
        <v/>
      </c>
      <c r="E33" s="458" t="n">
        <v>12</v>
      </c>
      <c r="F33" s="468">
        <f>E33*ราคาวัสดุ!D10</f>
        <v/>
      </c>
      <c r="G33" s="469" t="inlineStr">
        <is>
          <t>แผ่น</t>
        </is>
      </c>
    </row>
    <row r="34">
      <c r="B34" s="457" t="inlineStr">
        <is>
          <t>กระจกลามิเนต 5+5 มม.</t>
        </is>
      </c>
      <c r="C34" s="458" t="n">
        <v>13.5</v>
      </c>
      <c r="D34" s="470">
        <f>C34*ราคาวัสดุ!D23</f>
        <v/>
      </c>
      <c r="E34" s="458" t="n">
        <v>13.5</v>
      </c>
      <c r="F34" s="470">
        <f>E34*ราคาวัสดุ!D23</f>
        <v/>
      </c>
      <c r="G34" s="469" t="inlineStr">
        <is>
          <t>ตร.ม.</t>
        </is>
      </c>
    </row>
    <row r="35">
      <c r="A35" s="471" t="inlineStr">
        <is>
          <t>✅  รวมทุนวัสดุ (900×150)</t>
        </is>
      </c>
      <c r="D35" s="472">
        <f>SUM(D27:D34)</f>
        <v/>
      </c>
      <c r="E35" s="473" t="n"/>
      <c r="F35" s="472">
        <f>SUM(F27:F34)</f>
        <v/>
      </c>
    </row>
    <row r="37">
      <c r="A37" s="467" t="inlineStr">
        <is>
          <t>ขนาด 1200×150 ซม.  (18.0 ตร.ม.)</t>
        </is>
      </c>
    </row>
    <row r="38">
      <c r="A38" s="457" t="n"/>
      <c r="B38" s="457" t="inlineStr">
        <is>
          <t>กล่อง 1.6"×4"</t>
        </is>
      </c>
      <c r="C38" s="458" t="n">
        <v>10</v>
      </c>
      <c r="D38" s="468">
        <f>C38*ราคาวัสดุ!D4</f>
        <v/>
      </c>
      <c r="E38" s="458" t="n">
        <v>10</v>
      </c>
      <c r="F38" s="468">
        <f>E38*ราคาวัสดุ!D4</f>
        <v/>
      </c>
      <c r="G38" s="469" t="inlineStr">
        <is>
          <t>เส้น</t>
        </is>
      </c>
    </row>
    <row r="39">
      <c r="A39" s="457" t="n"/>
      <c r="B39" s="457" t="inlineStr">
        <is>
          <t>กล่อง 1.6"×1.6" (แปเดี่ยว)</t>
        </is>
      </c>
      <c r="C39" s="458" t="n">
        <v>4</v>
      </c>
      <c r="D39" s="468">
        <f>C39*ราคาวัสดุ!D5</f>
        <v/>
      </c>
      <c r="E39" s="458" t="n">
        <v>0</v>
      </c>
      <c r="F39" s="468" t="n">
        <v>0</v>
      </c>
      <c r="G39" s="469" t="inlineStr">
        <is>
          <t>เส้น</t>
        </is>
      </c>
    </row>
    <row r="40">
      <c r="A40" s="457" t="n"/>
      <c r="B40" s="457" t="inlineStr">
        <is>
          <t>กล่อง 1"×1.2" (แปคู่)</t>
        </is>
      </c>
      <c r="C40" s="458" t="n">
        <v>0</v>
      </c>
      <c r="D40" s="468">
        <f>C40*ราคาวัสดุ!D6</f>
        <v/>
      </c>
      <c r="E40" s="458" t="n">
        <v>8</v>
      </c>
      <c r="F40" s="468">
        <f>E40*ราคาวัสดุ!D6</f>
        <v/>
      </c>
      <c r="G40" s="469" t="inlineStr">
        <is>
          <t>เส้น</t>
        </is>
      </c>
    </row>
    <row r="41">
      <c r="A41" s="457" t="n"/>
      <c r="B41" s="457" t="inlineStr">
        <is>
          <t>ฉาก 6 หุน</t>
        </is>
      </c>
      <c r="C41" s="458" t="n">
        <v>1</v>
      </c>
      <c r="D41" s="468">
        <f>C41*ราคาวัสดุ!D7</f>
        <v/>
      </c>
      <c r="E41" s="458" t="n">
        <v>1</v>
      </c>
      <c r="F41" s="468">
        <f>E41*ราคาวัสดุ!D7</f>
        <v/>
      </c>
      <c r="G41" s="469" t="inlineStr">
        <is>
          <t>เส้น</t>
        </is>
      </c>
    </row>
    <row r="42">
      <c r="A42" s="457" t="n"/>
      <c r="B42" s="457" t="inlineStr">
        <is>
          <t>แซด 4"</t>
        </is>
      </c>
      <c r="C42" s="458" t="n">
        <v>2</v>
      </c>
      <c r="D42" s="468">
        <f>C42*ราคาวัสดุ!D8</f>
        <v/>
      </c>
      <c r="E42" s="458" t="n">
        <v>2</v>
      </c>
      <c r="F42" s="468">
        <f>E42*ราคาวัสดุ!D8</f>
        <v/>
      </c>
      <c r="G42" s="469" t="inlineStr">
        <is>
          <t>เส้น</t>
        </is>
      </c>
    </row>
    <row r="43">
      <c r="A43" s="457" t="n"/>
      <c r="B43" s="457" t="inlineStr">
        <is>
          <t>กล่องเหล็ก 1"×1"</t>
        </is>
      </c>
      <c r="C43" s="458" t="n">
        <v>8</v>
      </c>
      <c r="D43" s="468">
        <f>C43*ราคาวัสดุ!D9</f>
        <v/>
      </c>
      <c r="E43" s="458" t="n">
        <v>8</v>
      </c>
      <c r="F43" s="468">
        <f>E43*ราคาวัสดุ!D9</f>
        <v/>
      </c>
      <c r="G43" s="469" t="inlineStr">
        <is>
          <t>เส้น</t>
        </is>
      </c>
    </row>
    <row r="44">
      <c r="A44" s="457" t="n"/>
      <c r="B44" s="457" t="inlineStr">
        <is>
          <t>แผ่นเพลทเหล็ก</t>
        </is>
      </c>
      <c r="C44" s="458" t="n">
        <v>13</v>
      </c>
      <c r="D44" s="468">
        <f>C44*ราคาวัสดุ!D10</f>
        <v/>
      </c>
      <c r="E44" s="458" t="n">
        <v>13</v>
      </c>
      <c r="F44" s="468">
        <f>E44*ราคาวัสดุ!D10</f>
        <v/>
      </c>
      <c r="G44" s="469" t="inlineStr">
        <is>
          <t>แผ่น</t>
        </is>
      </c>
    </row>
    <row r="45">
      <c r="B45" s="457" t="inlineStr">
        <is>
          <t>กระจกลามิเนต 5+5 มม.</t>
        </is>
      </c>
      <c r="C45" s="458" t="n">
        <v>18</v>
      </c>
      <c r="D45" s="470">
        <f>C45*ราคาวัสดุ!D23</f>
        <v/>
      </c>
      <c r="E45" s="458" t="n">
        <v>18</v>
      </c>
      <c r="F45" s="470">
        <f>E45*ราคาวัสดุ!D23</f>
        <v/>
      </c>
      <c r="G45" s="469" t="inlineStr">
        <is>
          <t>ตร.ม.</t>
        </is>
      </c>
    </row>
    <row r="46">
      <c r="A46" s="471" t="inlineStr">
        <is>
          <t>✅  รวมทุนวัสดุ (1200×150)</t>
        </is>
      </c>
      <c r="D46" s="472">
        <f>SUM(D38:D45)</f>
        <v/>
      </c>
      <c r="E46" s="473" t="n"/>
      <c r="F46" s="472">
        <f>SUM(F38:F45)</f>
        <v/>
      </c>
    </row>
    <row r="48">
      <c r="A48" s="467" t="inlineStr">
        <is>
          <t>ขนาด 1600×150 ซม.  (24.0 ตร.ม.)</t>
        </is>
      </c>
    </row>
    <row r="49">
      <c r="A49" s="457" t="n"/>
      <c r="B49" s="457" t="inlineStr">
        <is>
          <t>กล่อง 1.6"×4"</t>
        </is>
      </c>
      <c r="C49" s="458" t="n">
        <v>13</v>
      </c>
      <c r="D49" s="468">
        <f>C49*ราคาวัสดุ!D4</f>
        <v/>
      </c>
      <c r="E49" s="458" t="n">
        <v>13</v>
      </c>
      <c r="F49" s="468">
        <f>E49*ราคาวัสดุ!D4</f>
        <v/>
      </c>
      <c r="G49" s="469" t="inlineStr">
        <is>
          <t>เส้น</t>
        </is>
      </c>
    </row>
    <row r="50">
      <c r="A50" s="457" t="n"/>
      <c r="B50" s="457" t="inlineStr">
        <is>
          <t>กล่อง 1.6"×1.6" (แปเดี่ยว)</t>
        </is>
      </c>
      <c r="C50" s="458" t="n">
        <v>6</v>
      </c>
      <c r="D50" s="468">
        <f>C50*ราคาวัสดุ!D5</f>
        <v/>
      </c>
      <c r="E50" s="458" t="n">
        <v>0</v>
      </c>
      <c r="F50" s="468" t="n">
        <v>0</v>
      </c>
      <c r="G50" s="469" t="inlineStr">
        <is>
          <t>เส้น</t>
        </is>
      </c>
    </row>
    <row r="51">
      <c r="A51" s="457" t="n"/>
      <c r="B51" s="457" t="inlineStr">
        <is>
          <t>กล่อง 1"×1.2" (แปคู่)</t>
        </is>
      </c>
      <c r="C51" s="458" t="n">
        <v>0</v>
      </c>
      <c r="D51" s="468">
        <f>C51*ราคาวัสดุ!D6</f>
        <v/>
      </c>
      <c r="E51" s="458" t="n">
        <v>11</v>
      </c>
      <c r="F51" s="468">
        <f>E51*ราคาวัสดุ!D6</f>
        <v/>
      </c>
      <c r="G51" s="469" t="inlineStr">
        <is>
          <t>เส้น</t>
        </is>
      </c>
    </row>
    <row r="52">
      <c r="A52" s="457" t="n"/>
      <c r="B52" s="457" t="inlineStr">
        <is>
          <t>ฉาก 6 หุน</t>
        </is>
      </c>
      <c r="C52" s="458" t="n">
        <v>1</v>
      </c>
      <c r="D52" s="468">
        <f>C52*ราคาวัสดุ!D7</f>
        <v/>
      </c>
      <c r="E52" s="458" t="n">
        <v>1</v>
      </c>
      <c r="F52" s="468">
        <f>E52*ราคาวัสดุ!D7</f>
        <v/>
      </c>
      <c r="G52" s="469" t="inlineStr">
        <is>
          <t>เส้น</t>
        </is>
      </c>
    </row>
    <row r="53">
      <c r="A53" s="457" t="n"/>
      <c r="B53" s="457" t="inlineStr">
        <is>
          <t>แซด 4"</t>
        </is>
      </c>
      <c r="C53" s="458" t="n">
        <v>3</v>
      </c>
      <c r="D53" s="468">
        <f>C53*ราคาวัสดุ!D8</f>
        <v/>
      </c>
      <c r="E53" s="458" t="n">
        <v>3</v>
      </c>
      <c r="F53" s="468">
        <f>E53*ราคาวัสดุ!D8</f>
        <v/>
      </c>
      <c r="G53" s="469" t="inlineStr">
        <is>
          <t>เส้น</t>
        </is>
      </c>
    </row>
    <row r="54">
      <c r="A54" s="457" t="n"/>
      <c r="B54" s="457" t="inlineStr">
        <is>
          <t>กล่องเหล็ก 1"×1"</t>
        </is>
      </c>
      <c r="C54" s="458" t="n">
        <v>10</v>
      </c>
      <c r="D54" s="468">
        <f>C54*ราคาวัสดุ!D9</f>
        <v/>
      </c>
      <c r="E54" s="458" t="n">
        <v>10</v>
      </c>
      <c r="F54" s="468">
        <f>E54*ราคาวัสดุ!D9</f>
        <v/>
      </c>
      <c r="G54" s="469" t="inlineStr">
        <is>
          <t>เส้น</t>
        </is>
      </c>
    </row>
    <row r="55">
      <c r="A55" s="457" t="n"/>
      <c r="B55" s="457" t="inlineStr">
        <is>
          <t>แผ่นเพลทเหล็ก</t>
        </is>
      </c>
      <c r="C55" s="458" t="n">
        <v>17</v>
      </c>
      <c r="D55" s="468">
        <f>C55*ราคาวัสดุ!D10</f>
        <v/>
      </c>
      <c r="E55" s="458" t="n">
        <v>17</v>
      </c>
      <c r="F55" s="468">
        <f>E55*ราคาวัสดุ!D10</f>
        <v/>
      </c>
      <c r="G55" s="469" t="inlineStr">
        <is>
          <t>แผ่น</t>
        </is>
      </c>
    </row>
    <row r="56">
      <c r="B56" s="457" t="inlineStr">
        <is>
          <t>กระจกลามิเนต 5+5 มม.</t>
        </is>
      </c>
      <c r="C56" s="458" t="n">
        <v>24</v>
      </c>
      <c r="D56" s="470">
        <f>C56*ราคาวัสดุ!D23</f>
        <v/>
      </c>
      <c r="E56" s="458" t="n">
        <v>24</v>
      </c>
      <c r="F56" s="470">
        <f>E56*ราคาวัสดุ!D23</f>
        <v/>
      </c>
      <c r="G56" s="469" t="inlineStr">
        <is>
          <t>ตร.ม.</t>
        </is>
      </c>
    </row>
    <row r="57">
      <c r="A57" s="471" t="inlineStr">
        <is>
          <t>✅  รวมทุนวัสดุ (1600×150)</t>
        </is>
      </c>
      <c r="D57" s="472">
        <f>SUM(D49:D56)</f>
        <v/>
      </c>
      <c r="E57" s="473" t="n"/>
      <c r="F57" s="472">
        <f>SUM(F49:F56)</f>
        <v/>
      </c>
    </row>
    <row r="59">
      <c r="A59" s="467" t="inlineStr">
        <is>
          <t>ขนาด 2000×150 ซม.  (30.0 ตร.ม.)</t>
        </is>
      </c>
    </row>
    <row r="60">
      <c r="A60" s="457" t="n"/>
      <c r="B60" s="457" t="inlineStr">
        <is>
          <t>กล่อง 1.6"×4"</t>
        </is>
      </c>
      <c r="C60" s="458" t="n">
        <v>16</v>
      </c>
      <c r="D60" s="468">
        <f>C60*ราคาวัสดุ!D4</f>
        <v/>
      </c>
      <c r="E60" s="458" t="n">
        <v>16</v>
      </c>
      <c r="F60" s="468">
        <f>E60*ราคาวัสดุ!D4</f>
        <v/>
      </c>
      <c r="G60" s="469" t="inlineStr">
        <is>
          <t>เส้น</t>
        </is>
      </c>
    </row>
    <row r="61">
      <c r="A61" s="457" t="n"/>
      <c r="B61" s="457" t="inlineStr">
        <is>
          <t>กล่อง 1.6"×1.6" (แปเดี่ยว)</t>
        </is>
      </c>
      <c r="C61" s="458" t="n">
        <v>7</v>
      </c>
      <c r="D61" s="468">
        <f>C61*ราคาวัสดุ!D5</f>
        <v/>
      </c>
      <c r="E61" s="458" t="n">
        <v>0</v>
      </c>
      <c r="F61" s="468" t="n">
        <v>0</v>
      </c>
      <c r="G61" s="469" t="inlineStr">
        <is>
          <t>เส้น</t>
        </is>
      </c>
    </row>
    <row r="62">
      <c r="A62" s="457" t="n"/>
      <c r="B62" s="457" t="inlineStr">
        <is>
          <t>กล่อง 1"×1.2" (แปคู่)</t>
        </is>
      </c>
      <c r="C62" s="458" t="n">
        <v>0</v>
      </c>
      <c r="D62" s="468">
        <f>C62*ราคาวัสดุ!D6</f>
        <v/>
      </c>
      <c r="E62" s="458" t="n">
        <v>14</v>
      </c>
      <c r="F62" s="468">
        <f>E62*ราคาวัสดุ!D6</f>
        <v/>
      </c>
      <c r="G62" s="469" t="inlineStr">
        <is>
          <t>เส้น</t>
        </is>
      </c>
    </row>
    <row r="63">
      <c r="A63" s="457" t="n"/>
      <c r="B63" s="457" t="inlineStr">
        <is>
          <t>ฉาก 6 หุน</t>
        </is>
      </c>
      <c r="C63" s="458" t="n">
        <v>1</v>
      </c>
      <c r="D63" s="468">
        <f>C63*ราคาวัสดุ!D7</f>
        <v/>
      </c>
      <c r="E63" s="458" t="n">
        <v>1</v>
      </c>
      <c r="F63" s="468">
        <f>E63*ราคาวัสดุ!D7</f>
        <v/>
      </c>
      <c r="G63" s="469" t="inlineStr">
        <is>
          <t>เส้น</t>
        </is>
      </c>
    </row>
    <row r="64">
      <c r="A64" s="457" t="n"/>
      <c r="B64" s="457" t="inlineStr">
        <is>
          <t>แซด 4"</t>
        </is>
      </c>
      <c r="C64" s="458" t="n">
        <v>4</v>
      </c>
      <c r="D64" s="468">
        <f>C64*ราคาวัสดุ!D8</f>
        <v/>
      </c>
      <c r="E64" s="458" t="n">
        <v>4</v>
      </c>
      <c r="F64" s="468">
        <f>E64*ราคาวัสดุ!D8</f>
        <v/>
      </c>
      <c r="G64" s="469" t="inlineStr">
        <is>
          <t>เส้น</t>
        </is>
      </c>
    </row>
    <row r="65">
      <c r="A65" s="457" t="n"/>
      <c r="B65" s="457" t="inlineStr">
        <is>
          <t>กล่องเหล็ก 1"×1"</t>
        </is>
      </c>
      <c r="C65" s="458" t="n">
        <v>13</v>
      </c>
      <c r="D65" s="468">
        <f>C65*ราคาวัสดุ!D9</f>
        <v/>
      </c>
      <c r="E65" s="458" t="n">
        <v>13</v>
      </c>
      <c r="F65" s="468">
        <f>E65*ราคาวัสดุ!D9</f>
        <v/>
      </c>
      <c r="G65" s="469" t="inlineStr">
        <is>
          <t>เส้น</t>
        </is>
      </c>
    </row>
    <row r="66">
      <c r="A66" s="457" t="n"/>
      <c r="B66" s="457" t="inlineStr">
        <is>
          <t>แผ่นเพลทเหล็ก</t>
        </is>
      </c>
      <c r="C66" s="458" t="n">
        <v>21</v>
      </c>
      <c r="D66" s="468">
        <f>C66*ราคาวัสดุ!D10</f>
        <v/>
      </c>
      <c r="E66" s="458" t="n">
        <v>21</v>
      </c>
      <c r="F66" s="468">
        <f>E66*ราคาวัสดุ!D10</f>
        <v/>
      </c>
      <c r="G66" s="469" t="inlineStr">
        <is>
          <t>แผ่น</t>
        </is>
      </c>
    </row>
    <row r="67">
      <c r="B67" s="457" t="inlineStr">
        <is>
          <t>กระจกลามิเนต 5+5 มม.</t>
        </is>
      </c>
      <c r="C67" s="458" t="n">
        <v>30</v>
      </c>
      <c r="D67" s="470">
        <f>C67*ราคาวัสดุ!D23</f>
        <v/>
      </c>
      <c r="E67" s="458" t="n">
        <v>30</v>
      </c>
      <c r="F67" s="470">
        <f>E67*ราคาวัสดุ!D23</f>
        <v/>
      </c>
      <c r="G67" s="469" t="inlineStr">
        <is>
          <t>ตร.ม.</t>
        </is>
      </c>
    </row>
    <row r="68">
      <c r="A68" s="471" t="inlineStr">
        <is>
          <t>✅  รวมทุนวัสดุ (2000×150)</t>
        </is>
      </c>
      <c r="D68" s="472">
        <f>SUM(D60:D67)</f>
        <v/>
      </c>
      <c r="E68" s="473" t="n"/>
      <c r="F68" s="472">
        <f>SUM(F60:F67)</f>
        <v/>
      </c>
    </row>
  </sheetData>
  <mergeCells count="24">
    <mergeCell ref="E57"/>
    <mergeCell ref="A46:C46"/>
    <mergeCell ref="A4:G4"/>
    <mergeCell ref="B2:B3"/>
    <mergeCell ref="A57:C57"/>
    <mergeCell ref="A48:G48"/>
    <mergeCell ref="E68"/>
    <mergeCell ref="A2:A3"/>
    <mergeCell ref="A15:G15"/>
    <mergeCell ref="E24"/>
    <mergeCell ref="A35:C35"/>
    <mergeCell ref="A59:G59"/>
    <mergeCell ref="A13:C13"/>
    <mergeCell ref="A68:C68"/>
    <mergeCell ref="C2:D2"/>
    <mergeCell ref="E35"/>
    <mergeCell ref="E2:F2"/>
    <mergeCell ref="E13"/>
    <mergeCell ref="A24:C24"/>
    <mergeCell ref="A37:G37"/>
    <mergeCell ref="A1:F1"/>
    <mergeCell ref="A26:G26"/>
    <mergeCell ref="E46"/>
    <mergeCell ref="G2:G3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tabColor rgb="00A6A6A6"/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13.8" customWidth="1" style="129" min="1" max="1"/>
    <col width="8.6" customWidth="1" style="129" min="2" max="2"/>
    <col width="8.6" customWidth="1" style="129" min="3" max="3"/>
    <col width="18" customWidth="1" style="129" min="4" max="4"/>
    <col width="9.6" customWidth="1" style="129" min="5" max="5"/>
    <col width="8.6" customWidth="1" style="129" min="6" max="6"/>
    <col width="8.6" customWidth="1" style="129" min="7" max="7"/>
    <col width="8.6" customWidth="1" style="129" min="8" max="8"/>
    <col width="11.7" customWidth="1" style="129" min="9" max="9"/>
    <col width="19.1" customWidth="1" style="129" min="10" max="10"/>
    <col width="6.5" customWidth="1" style="129" min="11" max="11"/>
    <col width="6.5" customWidth="1" style="129" min="12" max="12"/>
    <col width="9.6" customWidth="1" style="129" min="13" max="13"/>
    <col width="10.7" customWidth="1" style="129" min="14" max="14"/>
  </cols>
  <sheetData>
    <row r="1">
      <c r="A1" s="451" t="inlineStr">
        <is>
          <t>📊 เทียบทุนวัสดุ vs ราคาขาย R3.9 — ก่อนค่าแรง</t>
        </is>
      </c>
      <c r="G1" s="753" t="inlineStr">
        <is>
          <t>🏠 สารบัญ</t>
        </is>
      </c>
      <c r="H1" s="754" t="n"/>
      <c r="M1" s="643" t="n"/>
    </row>
    <row r="2">
      <c r="A2" s="464" t="inlineStr">
        <is>
          <t>วัสดุ</t>
        </is>
      </c>
      <c r="B2" s="464" t="inlineStr">
        <is>
          <t>พื้นที่
(ตร.ม.)</t>
        </is>
      </c>
      <c r="C2" s="464" t="inlineStr">
        <is>
          <t>ทุนวัสดุ
แปเดี่ยว</t>
        </is>
      </c>
      <c r="D2" s="464" t="inlineStr">
        <is>
          <t>ทุน/ตร.ม.
แปเดี่ยว</t>
        </is>
      </c>
      <c r="E2" s="464" t="inlineStr">
        <is>
          <t>เรต R3.9
/ตร.ม.</t>
        </is>
      </c>
      <c r="F2" s="464" t="inlineStr">
        <is>
          <t>ราคาขาย
R3.9</t>
        </is>
      </c>
      <c r="G2" s="464" t="inlineStr">
        <is>
          <t>ขั้นต่ำ
R3.9</t>
        </is>
      </c>
      <c r="H2" s="464" t="inlineStr">
        <is>
          <t>ราคาขาย
จริง</t>
        </is>
      </c>
      <c r="I2" s="475" t="inlineStr">
        <is>
          <t>กำไร(บาท)
หลังหักค่าแรง</t>
        </is>
      </c>
      <c r="J2" s="475" t="inlineStr">
        <is>
          <t>กำไร(%)
หลังหักค่าแรง</t>
        </is>
      </c>
      <c r="K2" s="464" t="inlineStr">
        <is>
          <t>ขั้นต่ำ
ใช้ไหม</t>
        </is>
      </c>
      <c r="L2" s="464" t="inlineStr">
        <is>
          <t>สถานะ</t>
        </is>
      </c>
      <c r="M2" s="475" t="inlineStr">
        <is>
          <t>ค่าแรงผลิต</t>
        </is>
      </c>
      <c r="N2" s="475" t="inlineStr">
        <is>
          <t>ค่าแรงติดตั้ง</t>
        </is>
      </c>
    </row>
    <row r="3">
      <c r="A3" s="467" t="inlineStr">
        <is>
          <t>▶  ไวนิล</t>
        </is>
      </c>
    </row>
    <row r="4">
      <c r="A4" s="457" t="inlineStr">
        <is>
          <t>300×150 ซม.</t>
        </is>
      </c>
      <c r="B4" s="458" t="n">
        <v>4.5</v>
      </c>
      <c r="C4" s="468">
        <f>'ทุนไวนิล'!D14</f>
        <v/>
      </c>
      <c r="D4" s="468">
        <f>IF(B4&gt;0,C4/B4,0)</f>
        <v/>
      </c>
      <c r="E4" s="468" t="n">
        <v>6500</v>
      </c>
      <c r="F4" s="468" t="n">
        <v>29250</v>
      </c>
      <c r="G4" s="468" t="n">
        <v>28000</v>
      </c>
      <c r="H4" s="476" t="n">
        <v>29250</v>
      </c>
      <c r="I4" s="477">
        <f>H4-C4-M4-N4</f>
        <v/>
      </c>
      <c r="J4" s="478">
        <f>IF(H4&gt;0,I4/H4,0)</f>
        <v/>
      </c>
      <c r="K4" s="479" t="inlineStr">
        <is>
          <t>-</t>
        </is>
      </c>
      <c r="L4" s="480">
        <f>IF(I4&lt;0,"🔴 ขาดทุน",IF(J4&lt;0.2,"⚠️ บาง","✅ OK"))</f>
        <v/>
      </c>
      <c r="M4" s="136">
        <f>ROUND(3320+308*B4,0)</f>
        <v/>
      </c>
      <c r="N4" s="136">
        <f>ROUND(5470+390*B4,0)</f>
        <v/>
      </c>
    </row>
    <row r="5">
      <c r="A5" s="457" t="inlineStr">
        <is>
          <t>600×150 ซม.</t>
        </is>
      </c>
      <c r="B5" s="458" t="n">
        <v>9</v>
      </c>
      <c r="C5" s="468">
        <f>'ทุนไวนิล'!D26</f>
        <v/>
      </c>
      <c r="D5" s="468">
        <f>IF(B5&gt;0,C5/B5,0)</f>
        <v/>
      </c>
      <c r="E5" s="468" t="n">
        <v>6500</v>
      </c>
      <c r="F5" s="468" t="n">
        <v>58500</v>
      </c>
      <c r="G5" s="468" t="n">
        <v>28000</v>
      </c>
      <c r="H5" s="476" t="n">
        <v>58500</v>
      </c>
      <c r="I5" s="477">
        <f>H5-C5-M5-N5</f>
        <v/>
      </c>
      <c r="J5" s="478">
        <f>IF(H5&gt;0,I5/H5,0)</f>
        <v/>
      </c>
      <c r="K5" s="479" t="inlineStr">
        <is>
          <t>-</t>
        </is>
      </c>
      <c r="L5" s="480">
        <f>IF(I5&lt;0,"🔴 ขาดทุน",IF(J5&lt;0.2,"⚠️ บาง","✅ OK"))</f>
        <v/>
      </c>
      <c r="M5" s="136">
        <f>ROUND(3320+308*B5,0)</f>
        <v/>
      </c>
      <c r="N5" s="136">
        <f>ROUND(5470+390*B5,0)</f>
        <v/>
      </c>
    </row>
    <row r="6">
      <c r="A6" s="457" t="inlineStr">
        <is>
          <t>900×150 ซม.</t>
        </is>
      </c>
      <c r="B6" s="458" t="n">
        <v>13.5</v>
      </c>
      <c r="C6" s="468">
        <f>'ทุนไวนิล'!D38</f>
        <v/>
      </c>
      <c r="D6" s="468">
        <f>IF(B6&gt;0,C6/B6,0)</f>
        <v/>
      </c>
      <c r="E6" s="468" t="n">
        <v>6000</v>
      </c>
      <c r="F6" s="468" t="n">
        <v>81000</v>
      </c>
      <c r="G6" s="468" t="n">
        <v>28000</v>
      </c>
      <c r="H6" s="476" t="n">
        <v>81000</v>
      </c>
      <c r="I6" s="477">
        <f>H6-C6-M6-N6</f>
        <v/>
      </c>
      <c r="J6" s="478">
        <f>IF(H6&gt;0,I6/H6,0)</f>
        <v/>
      </c>
      <c r="K6" s="479" t="inlineStr">
        <is>
          <t>-</t>
        </is>
      </c>
      <c r="L6" s="480">
        <f>IF(I6&lt;0,"🔴 ขาดทุน",IF(J6&lt;0.2,"⚠️ บาง","✅ OK"))</f>
        <v/>
      </c>
      <c r="M6" s="136">
        <f>ROUND(3320+308*B6,0)</f>
        <v/>
      </c>
      <c r="N6" s="136">
        <f>ROUND(5470+390*B6,0)</f>
        <v/>
      </c>
    </row>
    <row r="7">
      <c r="A7" s="457" t="inlineStr">
        <is>
          <t>1200×150 ซม.</t>
        </is>
      </c>
      <c r="B7" s="458" t="n">
        <v>18</v>
      </c>
      <c r="C7" s="468">
        <f>'ทุนไวนิล'!D50</f>
        <v/>
      </c>
      <c r="D7" s="468">
        <f>IF(B7&gt;0,C7/B7,0)</f>
        <v/>
      </c>
      <c r="E7" s="468" t="n">
        <v>5500</v>
      </c>
      <c r="F7" s="468" t="n">
        <v>99000</v>
      </c>
      <c r="G7" s="468" t="n">
        <v>28000</v>
      </c>
      <c r="H7" s="476" t="n">
        <v>99000</v>
      </c>
      <c r="I7" s="477">
        <f>H7-C7-M7-N7</f>
        <v/>
      </c>
      <c r="J7" s="478">
        <f>IF(H7&gt;0,I7/H7,0)</f>
        <v/>
      </c>
      <c r="K7" s="479" t="inlineStr">
        <is>
          <t>-</t>
        </is>
      </c>
      <c r="L7" s="480">
        <f>IF(I7&lt;0,"🔴 ขาดทุน",IF(J7&lt;0.2,"⚠️ บาง","✅ OK"))</f>
        <v/>
      </c>
      <c r="M7" s="136">
        <f>ROUND(3320+308*B7,0)</f>
        <v/>
      </c>
      <c r="N7" s="136">
        <f>ROUND(5470+390*B7,0)</f>
        <v/>
      </c>
    </row>
    <row r="8">
      <c r="A8" s="457" t="inlineStr">
        <is>
          <t>1600×150 ซม.</t>
        </is>
      </c>
      <c r="B8" s="458" t="n">
        <v>24</v>
      </c>
      <c r="C8" s="468">
        <f>'ทุนไวนิล'!D62</f>
        <v/>
      </c>
      <c r="D8" s="468">
        <f>IF(B8&gt;0,C8/B8,0)</f>
        <v/>
      </c>
      <c r="E8" s="468" t="n">
        <v>5500</v>
      </c>
      <c r="F8" s="468" t="n">
        <v>132000</v>
      </c>
      <c r="G8" s="468" t="n">
        <v>28000</v>
      </c>
      <c r="H8" s="476" t="n">
        <v>132000</v>
      </c>
      <c r="I8" s="477">
        <f>H8-C8-M8-N8</f>
        <v/>
      </c>
      <c r="J8" s="478">
        <f>IF(H8&gt;0,I8/H8,0)</f>
        <v/>
      </c>
      <c r="K8" s="479" t="inlineStr">
        <is>
          <t>-</t>
        </is>
      </c>
      <c r="L8" s="480">
        <f>IF(I8&lt;0,"🔴 ขาดทุน",IF(J8&lt;0.2,"⚠️ บาง","✅ OK"))</f>
        <v/>
      </c>
      <c r="M8" s="136">
        <f>ROUND(3320+308*B8,0)</f>
        <v/>
      </c>
      <c r="N8" s="136">
        <f>ROUND(5470+390*B8,0)</f>
        <v/>
      </c>
    </row>
    <row r="9">
      <c r="A9" s="457" t="inlineStr">
        <is>
          <t>2000×150 ซม.</t>
        </is>
      </c>
      <c r="B9" s="458" t="n">
        <v>30</v>
      </c>
      <c r="C9" s="468">
        <f>'ทุนไวนิล'!D74</f>
        <v/>
      </c>
      <c r="D9" s="468">
        <f>IF(B9&gt;0,C9/B9,0)</f>
        <v/>
      </c>
      <c r="E9" s="468" t="n">
        <v>5500</v>
      </c>
      <c r="F9" s="468" t="n">
        <v>165000</v>
      </c>
      <c r="G9" s="468" t="n">
        <v>28000</v>
      </c>
      <c r="H9" s="476" t="n">
        <v>165000</v>
      </c>
      <c r="I9" s="477">
        <f>H9-C9-M9-N9</f>
        <v/>
      </c>
      <c r="J9" s="478">
        <f>IF(H9&gt;0,I9/H9,0)</f>
        <v/>
      </c>
      <c r="K9" s="479" t="inlineStr">
        <is>
          <t>-</t>
        </is>
      </c>
      <c r="L9" s="480">
        <f>IF(I9&lt;0,"🔴 ขาดทุน",IF(J9&lt;0.2,"⚠️ บาง","✅ OK"))</f>
        <v/>
      </c>
      <c r="M9" s="136">
        <f>ROUND(3320+308*B9,0)</f>
        <v/>
      </c>
      <c r="N9" s="136">
        <f>ROUND(5470+390*B9,0)</f>
        <v/>
      </c>
    </row>
    <row r="11">
      <c r="A11" s="467" t="inlineStr">
        <is>
          <t>▶  ดีไลท์</t>
        </is>
      </c>
    </row>
    <row r="12">
      <c r="A12" s="457" t="inlineStr">
        <is>
          <t>300×150 ซม.</t>
        </is>
      </c>
      <c r="B12" s="458" t="n">
        <v>4.5</v>
      </c>
      <c r="C12" s="468">
        <f>'ทุนดีไลท์'!D14</f>
        <v/>
      </c>
      <c r="D12" s="468">
        <f>IF(B12&gt;0,C12/B12,0)</f>
        <v/>
      </c>
      <c r="E12" s="468" t="n">
        <v>6500</v>
      </c>
      <c r="F12" s="468" t="n">
        <v>29250</v>
      </c>
      <c r="G12" s="468" t="n">
        <v>28000</v>
      </c>
      <c r="H12" s="476" t="n">
        <v>29250</v>
      </c>
      <c r="I12" s="477">
        <f>H12-C12-M12-N12</f>
        <v/>
      </c>
      <c r="J12" s="478">
        <f>IF(H12&gt;0,I12/H12,0)</f>
        <v/>
      </c>
      <c r="K12" s="479" t="inlineStr">
        <is>
          <t>-</t>
        </is>
      </c>
      <c r="L12" s="480">
        <f>IF(I12&lt;0,"🔴 ขาดทุน",IF(J12&lt;0.2,"⚠️ บาง","✅ OK"))</f>
        <v/>
      </c>
      <c r="M12" s="136">
        <f>ROUND(3320+308*B12,0)</f>
        <v/>
      </c>
      <c r="N12" s="136">
        <f>ROUND(5470+390*B12,0)</f>
        <v/>
      </c>
    </row>
    <row r="13">
      <c r="A13" s="457" t="inlineStr">
        <is>
          <t>600×150 ซม.</t>
        </is>
      </c>
      <c r="B13" s="458" t="n">
        <v>9</v>
      </c>
      <c r="C13" s="468">
        <f>'ทุนดีไลท์'!D26</f>
        <v/>
      </c>
      <c r="D13" s="468">
        <f>IF(B13&gt;0,C13/B13,0)</f>
        <v/>
      </c>
      <c r="E13" s="468" t="n">
        <v>6500</v>
      </c>
      <c r="F13" s="468" t="n">
        <v>58500</v>
      </c>
      <c r="G13" s="468" t="n">
        <v>28000</v>
      </c>
      <c r="H13" s="476" t="n">
        <v>58500</v>
      </c>
      <c r="I13" s="477">
        <f>H13-C13-M13-N13</f>
        <v/>
      </c>
      <c r="J13" s="478">
        <f>IF(H13&gt;0,I13/H13,0)</f>
        <v/>
      </c>
      <c r="K13" s="479" t="inlineStr">
        <is>
          <t>-</t>
        </is>
      </c>
      <c r="L13" s="480">
        <f>IF(I13&lt;0,"🔴 ขาดทุน",IF(J13&lt;0.2,"⚠️ บาง","✅ OK"))</f>
        <v/>
      </c>
      <c r="M13" s="136">
        <f>ROUND(3320+308*B13,0)</f>
        <v/>
      </c>
      <c r="N13" s="136">
        <f>ROUND(5470+390*B13,0)</f>
        <v/>
      </c>
    </row>
    <row r="14">
      <c r="A14" s="457" t="inlineStr">
        <is>
          <t>900×150 ซม.</t>
        </is>
      </c>
      <c r="B14" s="458" t="n">
        <v>13.5</v>
      </c>
      <c r="C14" s="468">
        <f>'ทุนดีไลท์'!D38</f>
        <v/>
      </c>
      <c r="D14" s="468">
        <f>IF(B14&gt;0,C14/B14,0)</f>
        <v/>
      </c>
      <c r="E14" s="468" t="n">
        <v>6000</v>
      </c>
      <c r="F14" s="468" t="n">
        <v>81000</v>
      </c>
      <c r="G14" s="468" t="n">
        <v>28000</v>
      </c>
      <c r="H14" s="476" t="n">
        <v>81000</v>
      </c>
      <c r="I14" s="477">
        <f>H14-C14-M14-N14</f>
        <v/>
      </c>
      <c r="J14" s="478">
        <f>IF(H14&gt;0,I14/H14,0)</f>
        <v/>
      </c>
      <c r="K14" s="479" t="inlineStr">
        <is>
          <t>-</t>
        </is>
      </c>
      <c r="L14" s="480">
        <f>IF(I14&lt;0,"🔴 ขาดทุน",IF(J14&lt;0.2,"⚠️ บาง","✅ OK"))</f>
        <v/>
      </c>
      <c r="M14" s="136">
        <f>ROUND(3320+308*B14,0)</f>
        <v/>
      </c>
      <c r="N14" s="136">
        <f>ROUND(5470+390*B14,0)</f>
        <v/>
      </c>
    </row>
    <row r="15">
      <c r="A15" s="457" t="inlineStr">
        <is>
          <t>1200×150 ซม.</t>
        </is>
      </c>
      <c r="B15" s="458" t="n">
        <v>18</v>
      </c>
      <c r="C15" s="468">
        <f>'ทุนดีไลท์'!D50</f>
        <v/>
      </c>
      <c r="D15" s="468">
        <f>IF(B15&gt;0,C15/B15,0)</f>
        <v/>
      </c>
      <c r="E15" s="468" t="n">
        <v>5500</v>
      </c>
      <c r="F15" s="468" t="n">
        <v>99000</v>
      </c>
      <c r="G15" s="468" t="n">
        <v>28000</v>
      </c>
      <c r="H15" s="476" t="n">
        <v>99000</v>
      </c>
      <c r="I15" s="477">
        <f>H15-C15-M15-N15</f>
        <v/>
      </c>
      <c r="J15" s="478">
        <f>IF(H15&gt;0,I15/H15,0)</f>
        <v/>
      </c>
      <c r="K15" s="479" t="inlineStr">
        <is>
          <t>-</t>
        </is>
      </c>
      <c r="L15" s="480">
        <f>IF(I15&lt;0,"🔴 ขาดทุน",IF(J15&lt;0.2,"⚠️ บาง","✅ OK"))</f>
        <v/>
      </c>
      <c r="M15" s="136">
        <f>ROUND(3320+308*B15,0)</f>
        <v/>
      </c>
      <c r="N15" s="136">
        <f>ROUND(5470+390*B15,0)</f>
        <v/>
      </c>
    </row>
    <row r="16">
      <c r="A16" s="457" t="inlineStr">
        <is>
          <t>1600×150 ซม.</t>
        </is>
      </c>
      <c r="B16" s="458" t="n">
        <v>24</v>
      </c>
      <c r="C16" s="468">
        <f>'ทุนดีไลท์'!D62</f>
        <v/>
      </c>
      <c r="D16" s="468">
        <f>IF(B16&gt;0,C16/B16,0)</f>
        <v/>
      </c>
      <c r="E16" s="468" t="n">
        <v>5500</v>
      </c>
      <c r="F16" s="468" t="n">
        <v>132000</v>
      </c>
      <c r="G16" s="468" t="n">
        <v>28000</v>
      </c>
      <c r="H16" s="476" t="n">
        <v>132000</v>
      </c>
      <c r="I16" s="477">
        <f>H16-C16-M16-N16</f>
        <v/>
      </c>
      <c r="J16" s="478">
        <f>IF(H16&gt;0,I16/H16,0)</f>
        <v/>
      </c>
      <c r="K16" s="479" t="inlineStr">
        <is>
          <t>-</t>
        </is>
      </c>
      <c r="L16" s="480">
        <f>IF(I16&lt;0,"🔴 ขาดทุน",IF(J16&lt;0.2,"⚠️ บาง","✅ OK"))</f>
        <v/>
      </c>
      <c r="M16" s="136">
        <f>ROUND(3320+308*B16,0)</f>
        <v/>
      </c>
      <c r="N16" s="136">
        <f>ROUND(5470+390*B16,0)</f>
        <v/>
      </c>
    </row>
    <row r="17">
      <c r="A17" s="457" t="inlineStr">
        <is>
          <t>2000×150 ซม.</t>
        </is>
      </c>
      <c r="B17" s="458" t="n">
        <v>30</v>
      </c>
      <c r="C17" s="468">
        <f>'ทุนดีไลท์'!D74</f>
        <v/>
      </c>
      <c r="D17" s="468">
        <f>IF(B17&gt;0,C17/B17,0)</f>
        <v/>
      </c>
      <c r="E17" s="468" t="n">
        <v>5500</v>
      </c>
      <c r="F17" s="468" t="n">
        <v>165000</v>
      </c>
      <c r="G17" s="468" t="n">
        <v>28000</v>
      </c>
      <c r="H17" s="476" t="n">
        <v>165000</v>
      </c>
      <c r="I17" s="477">
        <f>H17-C17-M17-N17</f>
        <v/>
      </c>
      <c r="J17" s="478">
        <f>IF(H17&gt;0,I17/H17,0)</f>
        <v/>
      </c>
      <c r="K17" s="479" t="inlineStr">
        <is>
          <t>-</t>
        </is>
      </c>
      <c r="L17" s="480">
        <f>IF(I17&lt;0,"🔴 ขาดทุน",IF(J17&lt;0.2,"⚠️ บาง","✅ OK"))</f>
        <v/>
      </c>
      <c r="M17" s="136">
        <f>ROUND(3320+308*B17,0)</f>
        <v/>
      </c>
      <c r="N17" s="136">
        <f>ROUND(5470+390*B17,0)</f>
        <v/>
      </c>
    </row>
    <row r="19">
      <c r="A19" s="467" t="inlineStr">
        <is>
          <t>▶  โพลีตัน</t>
        </is>
      </c>
    </row>
    <row r="20">
      <c r="A20" s="457" t="inlineStr">
        <is>
          <t>300×150 ซม.</t>
        </is>
      </c>
      <c r="B20" s="458" t="n">
        <v>4.5</v>
      </c>
      <c r="C20" s="468">
        <f>'ทุนโพลีตัน'!D14</f>
        <v/>
      </c>
      <c r="D20" s="468">
        <f>IF(B20&gt;0,C20/B20,0)</f>
        <v/>
      </c>
      <c r="E20" s="468" t="n">
        <v>7500</v>
      </c>
      <c r="F20" s="468" t="n">
        <v>33750</v>
      </c>
      <c r="G20" s="468" t="n">
        <v>28000</v>
      </c>
      <c r="H20" s="476" t="n">
        <v>33750</v>
      </c>
      <c r="I20" s="477">
        <f>H20-C20-M20-N20</f>
        <v/>
      </c>
      <c r="J20" s="478">
        <f>IF(H20&gt;0,I20/H20,0)</f>
        <v/>
      </c>
      <c r="K20" s="479" t="inlineStr">
        <is>
          <t>-</t>
        </is>
      </c>
      <c r="L20" s="480">
        <f>IF(I20&lt;0,"🔴 ขาดทุน",IF(J20&lt;0.2,"⚠️ บาง","✅ OK"))</f>
        <v/>
      </c>
      <c r="M20" s="136">
        <f>ROUND(3320+308*B20,0)</f>
        <v/>
      </c>
      <c r="N20" s="136">
        <f>ROUND(5470+390*B20,0)</f>
        <v/>
      </c>
    </row>
    <row r="21">
      <c r="A21" s="457" t="inlineStr">
        <is>
          <t>600×150 ซม.</t>
        </is>
      </c>
      <c r="B21" s="458" t="n">
        <v>9</v>
      </c>
      <c r="C21" s="468">
        <f>'ทุนโพลีตัน'!D26</f>
        <v/>
      </c>
      <c r="D21" s="468">
        <f>IF(B21&gt;0,C21/B21,0)</f>
        <v/>
      </c>
      <c r="E21" s="468" t="n">
        <v>7500</v>
      </c>
      <c r="F21" s="468" t="n">
        <v>67500</v>
      </c>
      <c r="G21" s="468" t="n">
        <v>28000</v>
      </c>
      <c r="H21" s="476" t="n">
        <v>67500</v>
      </c>
      <c r="I21" s="477">
        <f>H21-C21-M21-N21</f>
        <v/>
      </c>
      <c r="J21" s="478">
        <f>IF(H21&gt;0,I21/H21,0)</f>
        <v/>
      </c>
      <c r="K21" s="479" t="inlineStr">
        <is>
          <t>-</t>
        </is>
      </c>
      <c r="L21" s="480">
        <f>IF(I21&lt;0,"🔴 ขาดทุน",IF(J21&lt;0.2,"⚠️ บาง","✅ OK"))</f>
        <v/>
      </c>
      <c r="M21" s="136">
        <f>ROUND(3320+308*B21,0)</f>
        <v/>
      </c>
      <c r="N21" s="136">
        <f>ROUND(5470+390*B21,0)</f>
        <v/>
      </c>
    </row>
    <row r="22">
      <c r="A22" s="457" t="inlineStr">
        <is>
          <t>900×150 ซม.</t>
        </is>
      </c>
      <c r="B22" s="458" t="n">
        <v>13.5</v>
      </c>
      <c r="C22" s="468">
        <f>'ทุนโพลีตัน'!D38</f>
        <v/>
      </c>
      <c r="D22" s="468">
        <f>IF(B22&gt;0,C22/B22,0)</f>
        <v/>
      </c>
      <c r="E22" s="468" t="n">
        <v>6500</v>
      </c>
      <c r="F22" s="468" t="n">
        <v>87750</v>
      </c>
      <c r="G22" s="468" t="n">
        <v>28000</v>
      </c>
      <c r="H22" s="476" t="n">
        <v>87750</v>
      </c>
      <c r="I22" s="477">
        <f>H22-C22-M22-N22</f>
        <v/>
      </c>
      <c r="J22" s="478">
        <f>IF(H22&gt;0,I22/H22,0)</f>
        <v/>
      </c>
      <c r="K22" s="479" t="inlineStr">
        <is>
          <t>-</t>
        </is>
      </c>
      <c r="L22" s="480">
        <f>IF(I22&lt;0,"🔴 ขาดทุน",IF(J22&lt;0.2,"⚠️ บาง","✅ OK"))</f>
        <v/>
      </c>
      <c r="M22" s="136">
        <f>ROUND(3320+308*B22,0)</f>
        <v/>
      </c>
      <c r="N22" s="136">
        <f>ROUND(5470+390*B22,0)</f>
        <v/>
      </c>
    </row>
    <row r="23">
      <c r="A23" s="457" t="inlineStr">
        <is>
          <t>1200×150 ซม.</t>
        </is>
      </c>
      <c r="B23" s="458" t="n">
        <v>18</v>
      </c>
      <c r="C23" s="468">
        <f>'ทุนโพลีตัน'!D50</f>
        <v/>
      </c>
      <c r="D23" s="468">
        <f>IF(B23&gt;0,C23/B23,0)</f>
        <v/>
      </c>
      <c r="E23" s="468" t="n">
        <v>6000</v>
      </c>
      <c r="F23" s="468" t="n">
        <v>108000</v>
      </c>
      <c r="G23" s="468" t="n">
        <v>28000</v>
      </c>
      <c r="H23" s="476" t="n">
        <v>108000</v>
      </c>
      <c r="I23" s="477">
        <f>H23-C23-M23-N23</f>
        <v/>
      </c>
      <c r="J23" s="478">
        <f>IF(H23&gt;0,I23/H23,0)</f>
        <v/>
      </c>
      <c r="K23" s="479" t="inlineStr">
        <is>
          <t>-</t>
        </is>
      </c>
      <c r="L23" s="480">
        <f>IF(I23&lt;0,"🔴 ขาดทุน",IF(J23&lt;0.2,"⚠️ บาง","✅ OK"))</f>
        <v/>
      </c>
      <c r="M23" s="136">
        <f>ROUND(3320+308*B23,0)</f>
        <v/>
      </c>
      <c r="N23" s="136">
        <f>ROUND(5470+390*B23,0)</f>
        <v/>
      </c>
    </row>
    <row r="24">
      <c r="A24" s="457" t="inlineStr">
        <is>
          <t>1600×150 ซม.</t>
        </is>
      </c>
      <c r="B24" s="458" t="n">
        <v>24</v>
      </c>
      <c r="C24" s="468">
        <f>'ทุนโพลีตัน'!D62</f>
        <v/>
      </c>
      <c r="D24" s="468">
        <f>IF(B24&gt;0,C24/B24,0)</f>
        <v/>
      </c>
      <c r="E24" s="468" t="n">
        <v>6000</v>
      </c>
      <c r="F24" s="468" t="n">
        <v>144000</v>
      </c>
      <c r="G24" s="468" t="n">
        <v>28000</v>
      </c>
      <c r="H24" s="476" t="n">
        <v>144000</v>
      </c>
      <c r="I24" s="477">
        <f>H24-C24-M24-N24</f>
        <v/>
      </c>
      <c r="J24" s="478">
        <f>IF(H24&gt;0,I24/H24,0)</f>
        <v/>
      </c>
      <c r="K24" s="479" t="inlineStr">
        <is>
          <t>-</t>
        </is>
      </c>
      <c r="L24" s="480">
        <f>IF(I24&lt;0,"🔴 ขาดทุน",IF(J24&lt;0.2,"⚠️ บาง","✅ OK"))</f>
        <v/>
      </c>
      <c r="M24" s="136">
        <f>ROUND(3320+308*B24,0)</f>
        <v/>
      </c>
      <c r="N24" s="136">
        <f>ROUND(5470+390*B24,0)</f>
        <v/>
      </c>
    </row>
    <row r="25">
      <c r="A25" s="457" t="inlineStr">
        <is>
          <t>2000×150 ซม.</t>
        </is>
      </c>
      <c r="B25" s="458" t="n">
        <v>30</v>
      </c>
      <c r="C25" s="468">
        <f>'ทุนโพลีตัน'!D74</f>
        <v/>
      </c>
      <c r="D25" s="468">
        <f>IF(B25&gt;0,C25/B25,0)</f>
        <v/>
      </c>
      <c r="E25" s="468" t="n">
        <v>6000</v>
      </c>
      <c r="F25" s="468" t="n">
        <v>180000</v>
      </c>
      <c r="G25" s="468" t="n">
        <v>28000</v>
      </c>
      <c r="H25" s="476" t="n">
        <v>180000</v>
      </c>
      <c r="I25" s="477">
        <f>H25-C25-M25-N25</f>
        <v/>
      </c>
      <c r="J25" s="478">
        <f>IF(H25&gt;0,I25/H25,0)</f>
        <v/>
      </c>
      <c r="K25" s="479" t="inlineStr">
        <is>
          <t>-</t>
        </is>
      </c>
      <c r="L25" s="480">
        <f>IF(I25&lt;0,"🔴 ขาดทุน",IF(J25&lt;0.2,"⚠️ บาง","✅ OK"))</f>
        <v/>
      </c>
      <c r="M25" s="136">
        <f>ROUND(3320+308*B25,0)</f>
        <v/>
      </c>
      <c r="N25" s="136">
        <f>ROUND(5470+390*B25,0)</f>
        <v/>
      </c>
    </row>
    <row r="27">
      <c r="A27" s="467" t="inlineStr">
        <is>
          <t>▶  ชินโคร์HC</t>
        </is>
      </c>
    </row>
    <row r="28">
      <c r="A28" s="457" t="inlineStr">
        <is>
          <t>300×150 ซม.</t>
        </is>
      </c>
      <c r="B28" s="458" t="n">
        <v>4.5</v>
      </c>
      <c r="C28" s="468">
        <f>'ทุนชินโคร์ HC'!D13</f>
        <v/>
      </c>
      <c r="D28" s="468">
        <f>IF(B28&gt;0,C28/B28,0)</f>
        <v/>
      </c>
      <c r="E28" s="468" t="n">
        <v>11000</v>
      </c>
      <c r="F28" s="468" t="n">
        <v>49500</v>
      </c>
      <c r="G28" s="481" t="inlineStr">
        <is>
          <t>ตามรุ่น</t>
        </is>
      </c>
      <c r="H28" s="476" t="n">
        <v>49500</v>
      </c>
      <c r="I28" s="477">
        <f>H28-C28-M28-N28</f>
        <v/>
      </c>
      <c r="J28" s="478">
        <f>IF(H28&gt;0,I28/H28,0)</f>
        <v/>
      </c>
      <c r="K28" s="479" t="inlineStr">
        <is>
          <t>-</t>
        </is>
      </c>
      <c r="L28" s="480">
        <f>IF(I28&lt;0,"🔴 ขาดทุน",IF(J28&lt;0.2,"⚠️ บาง","✅ OK"))</f>
        <v/>
      </c>
      <c r="M28" s="136">
        <f>ROUND(3320+308*B28,0)</f>
        <v/>
      </c>
      <c r="N28" s="136">
        <f>ROUND(5470+390*B28,0)</f>
        <v/>
      </c>
    </row>
    <row r="29">
      <c r="A29" s="457" t="inlineStr">
        <is>
          <t>600×150 ซม.</t>
        </is>
      </c>
      <c r="B29" s="458" t="n">
        <v>9</v>
      </c>
      <c r="C29" s="468">
        <f>'ทุนชินโคร์ HC'!D24</f>
        <v/>
      </c>
      <c r="D29" s="468">
        <f>IF(B29&gt;0,C29/B29,0)</f>
        <v/>
      </c>
      <c r="E29" s="468" t="n">
        <v>11000</v>
      </c>
      <c r="F29" s="468" t="n">
        <v>99000</v>
      </c>
      <c r="G29" s="481" t="inlineStr">
        <is>
          <t>ตามรุ่น</t>
        </is>
      </c>
      <c r="H29" s="476" t="n">
        <v>99000</v>
      </c>
      <c r="I29" s="477">
        <f>H29-C29-M29-N29</f>
        <v/>
      </c>
      <c r="J29" s="478">
        <f>IF(H29&gt;0,I29/H29,0)</f>
        <v/>
      </c>
      <c r="K29" s="479" t="inlineStr">
        <is>
          <t>-</t>
        </is>
      </c>
      <c r="L29" s="480">
        <f>IF(I29&lt;0,"🔴 ขาดทุน",IF(J29&lt;0.2,"⚠️ บาง","✅ OK"))</f>
        <v/>
      </c>
      <c r="M29" s="136">
        <f>ROUND(3320+308*B29,0)</f>
        <v/>
      </c>
      <c r="N29" s="136">
        <f>ROUND(5470+390*B29,0)</f>
        <v/>
      </c>
    </row>
    <row r="30">
      <c r="A30" s="457" t="inlineStr">
        <is>
          <t>900×150 ซม.</t>
        </is>
      </c>
      <c r="B30" s="458" t="n">
        <v>13.5</v>
      </c>
      <c r="C30" s="468">
        <f>'ทุนชินโคร์ HC'!D35</f>
        <v/>
      </c>
      <c r="D30" s="468">
        <f>IF(B30&gt;0,C30/B30,0)</f>
        <v/>
      </c>
      <c r="E30" s="468" t="n">
        <v>10500</v>
      </c>
      <c r="F30" s="468" t="n">
        <v>141750</v>
      </c>
      <c r="G30" s="481" t="inlineStr">
        <is>
          <t>ตามรุ่น</t>
        </is>
      </c>
      <c r="H30" s="476" t="n">
        <v>141750</v>
      </c>
      <c r="I30" s="477">
        <f>H30-C30-M30-N30</f>
        <v/>
      </c>
      <c r="J30" s="478">
        <f>IF(H30&gt;0,I30/H30,0)</f>
        <v/>
      </c>
      <c r="K30" s="479" t="inlineStr">
        <is>
          <t>-</t>
        </is>
      </c>
      <c r="L30" s="480">
        <f>IF(I30&lt;0,"🔴 ขาดทุน",IF(J30&lt;0.2,"⚠️ บาง","✅ OK"))</f>
        <v/>
      </c>
      <c r="M30" s="136">
        <f>ROUND(3320+308*B30,0)</f>
        <v/>
      </c>
      <c r="N30" s="136">
        <f>ROUND(5470+390*B30,0)</f>
        <v/>
      </c>
    </row>
    <row r="31">
      <c r="A31" s="457" t="inlineStr">
        <is>
          <t>1200×150 ซม.</t>
        </is>
      </c>
      <c r="B31" s="458" t="n">
        <v>18</v>
      </c>
      <c r="C31" s="468">
        <f>'ทุนชินโคร์ HC'!D46</f>
        <v/>
      </c>
      <c r="D31" s="468">
        <f>IF(B31&gt;0,C31/B31,0)</f>
        <v/>
      </c>
      <c r="E31" s="468" t="n">
        <v>10000</v>
      </c>
      <c r="F31" s="468" t="n">
        <v>180000</v>
      </c>
      <c r="G31" s="481" t="inlineStr">
        <is>
          <t>ตามรุ่น</t>
        </is>
      </c>
      <c r="H31" s="476" t="n">
        <v>180000</v>
      </c>
      <c r="I31" s="477">
        <f>H31-C31-M31-N31</f>
        <v/>
      </c>
      <c r="J31" s="478">
        <f>IF(H31&gt;0,I31/H31,0)</f>
        <v/>
      </c>
      <c r="K31" s="479" t="inlineStr">
        <is>
          <t>-</t>
        </is>
      </c>
      <c r="L31" s="480">
        <f>IF(I31&lt;0,"🔴 ขาดทุน",IF(J31&lt;0.2,"⚠️ บาง","✅ OK"))</f>
        <v/>
      </c>
      <c r="M31" s="136">
        <f>ROUND(3320+308*B31,0)</f>
        <v/>
      </c>
      <c r="N31" s="136">
        <f>ROUND(5470+390*B31,0)</f>
        <v/>
      </c>
    </row>
    <row r="32">
      <c r="A32" s="457" t="inlineStr">
        <is>
          <t>1600×150 ซม.</t>
        </is>
      </c>
      <c r="B32" s="458" t="n">
        <v>24</v>
      </c>
      <c r="C32" s="468">
        <f>'ทุนชินโคร์ HC'!D57</f>
        <v/>
      </c>
      <c r="D32" s="468">
        <f>IF(B32&gt;0,C32/B32,0)</f>
        <v/>
      </c>
      <c r="E32" s="468" t="n">
        <v>10000</v>
      </c>
      <c r="F32" s="468" t="n">
        <v>240000</v>
      </c>
      <c r="G32" s="481" t="inlineStr">
        <is>
          <t>ตามรุ่น</t>
        </is>
      </c>
      <c r="H32" s="476" t="n">
        <v>240000</v>
      </c>
      <c r="I32" s="477">
        <f>H32-C32-M32-N32</f>
        <v/>
      </c>
      <c r="J32" s="478">
        <f>IF(H32&gt;0,I32/H32,0)</f>
        <v/>
      </c>
      <c r="K32" s="479" t="inlineStr">
        <is>
          <t>-</t>
        </is>
      </c>
      <c r="L32" s="480">
        <f>IF(I32&lt;0,"🔴 ขาดทุน",IF(J32&lt;0.2,"⚠️ บาง","✅ OK"))</f>
        <v/>
      </c>
      <c r="M32" s="136">
        <f>ROUND(3320+308*B32,0)</f>
        <v/>
      </c>
      <c r="N32" s="136">
        <f>ROUND(5470+390*B32,0)</f>
        <v/>
      </c>
    </row>
    <row r="33">
      <c r="A33" s="457" t="inlineStr">
        <is>
          <t>2000×150 ซม.</t>
        </is>
      </c>
      <c r="B33" s="458" t="n">
        <v>30</v>
      </c>
      <c r="C33" s="468">
        <f>'ทุนชินโคร์ HC'!D68</f>
        <v/>
      </c>
      <c r="D33" s="468">
        <f>IF(B33&gt;0,C33/B33,0)</f>
        <v/>
      </c>
      <c r="E33" s="468" t="n">
        <v>10000</v>
      </c>
      <c r="F33" s="468" t="n">
        <v>300000</v>
      </c>
      <c r="G33" s="481" t="inlineStr">
        <is>
          <t>ตามรุ่น</t>
        </is>
      </c>
      <c r="H33" s="476" t="n">
        <v>300000</v>
      </c>
      <c r="I33" s="477">
        <f>H33-C33-M33-N33</f>
        <v/>
      </c>
      <c r="J33" s="478">
        <f>IF(H33&gt;0,I33/H33,0)</f>
        <v/>
      </c>
      <c r="K33" s="479" t="inlineStr">
        <is>
          <t>-</t>
        </is>
      </c>
      <c r="L33" s="480">
        <f>IF(I33&lt;0,"🔴 ขาดทุน",IF(J33&lt;0.2,"⚠️ บาง","✅ OK"))</f>
        <v/>
      </c>
      <c r="M33" s="136">
        <f>ROUND(3320+308*B33,0)</f>
        <v/>
      </c>
      <c r="N33" s="136">
        <f>ROUND(5470+390*B33,0)</f>
        <v/>
      </c>
    </row>
    <row r="35">
      <c r="A35" s="467" t="inlineStr">
        <is>
          <t>▶  ชินโคร์Sup</t>
        </is>
      </c>
    </row>
    <row r="36">
      <c r="A36" s="457" t="inlineStr">
        <is>
          <t>300×150 ซม.</t>
        </is>
      </c>
      <c r="B36" s="458" t="n">
        <v>4.5</v>
      </c>
      <c r="C36" s="468">
        <f>'ทุนชินโคร์ Sup'!D13</f>
        <v/>
      </c>
      <c r="D36" s="468">
        <f>IF(B36&gt;0,C36/B36,0)</f>
        <v/>
      </c>
      <c r="E36" s="468" t="n">
        <v>10600</v>
      </c>
      <c r="F36" s="468" t="n">
        <v>47700</v>
      </c>
      <c r="G36" s="481" t="inlineStr">
        <is>
          <t>ตามรุ่น</t>
        </is>
      </c>
      <c r="H36" s="476" t="n">
        <v>47700</v>
      </c>
      <c r="I36" s="477">
        <f>H36-C36-M36-N36</f>
        <v/>
      </c>
      <c r="J36" s="478">
        <f>IF(H36&gt;0,I36/H36,0)</f>
        <v/>
      </c>
      <c r="K36" s="479" t="inlineStr">
        <is>
          <t>-</t>
        </is>
      </c>
      <c r="L36" s="480">
        <f>IF(I36&lt;0,"🔴 ขาดทุน",IF(J36&lt;0.2,"⚠️ บาง","✅ OK"))</f>
        <v/>
      </c>
      <c r="M36" s="136">
        <f>ROUND(3320+308*B36,0)</f>
        <v/>
      </c>
      <c r="N36" s="136">
        <f>ROUND(5470+390*B36,0)</f>
        <v/>
      </c>
    </row>
    <row r="37">
      <c r="A37" s="457" t="inlineStr">
        <is>
          <t>600×150 ซม.</t>
        </is>
      </c>
      <c r="B37" s="458" t="n">
        <v>9</v>
      </c>
      <c r="C37" s="468">
        <f>'ทุนชินโคร์ Sup'!D24</f>
        <v/>
      </c>
      <c r="D37" s="468">
        <f>IF(B37&gt;0,C37/B37,0)</f>
        <v/>
      </c>
      <c r="E37" s="468" t="n">
        <v>10600</v>
      </c>
      <c r="F37" s="468" t="n">
        <v>95400</v>
      </c>
      <c r="G37" s="481" t="inlineStr">
        <is>
          <t>ตามรุ่น</t>
        </is>
      </c>
      <c r="H37" s="476" t="n">
        <v>95400</v>
      </c>
      <c r="I37" s="477">
        <f>H37-C37-M37-N37</f>
        <v/>
      </c>
      <c r="J37" s="478">
        <f>IF(H37&gt;0,I37/H37,0)</f>
        <v/>
      </c>
      <c r="K37" s="479" t="inlineStr">
        <is>
          <t>-</t>
        </is>
      </c>
      <c r="L37" s="480">
        <f>IF(I37&lt;0,"🔴 ขาดทุน",IF(J37&lt;0.2,"⚠️ บาง","✅ OK"))</f>
        <v/>
      </c>
      <c r="M37" s="136">
        <f>ROUND(3320+308*B37,0)</f>
        <v/>
      </c>
      <c r="N37" s="136">
        <f>ROUND(5470+390*B37,0)</f>
        <v/>
      </c>
    </row>
    <row r="38">
      <c r="A38" s="457" t="inlineStr">
        <is>
          <t>900×150 ซม.</t>
        </is>
      </c>
      <c r="B38" s="458" t="n">
        <v>13.5</v>
      </c>
      <c r="C38" s="468">
        <f>'ทุนชินโคร์ Sup'!D35</f>
        <v/>
      </c>
      <c r="D38" s="468">
        <f>IF(B38&gt;0,C38/B38,0)</f>
        <v/>
      </c>
      <c r="E38" s="468" t="n">
        <v>10000</v>
      </c>
      <c r="F38" s="468" t="n">
        <v>135000</v>
      </c>
      <c r="G38" s="481" t="inlineStr">
        <is>
          <t>ตามรุ่น</t>
        </is>
      </c>
      <c r="H38" s="476" t="n">
        <v>135000</v>
      </c>
      <c r="I38" s="477">
        <f>H38-C38-M38-N38</f>
        <v/>
      </c>
      <c r="J38" s="478">
        <f>IF(H38&gt;0,I38/H38,0)</f>
        <v/>
      </c>
      <c r="K38" s="479" t="inlineStr">
        <is>
          <t>-</t>
        </is>
      </c>
      <c r="L38" s="480">
        <f>IF(I38&lt;0,"🔴 ขาดทุน",IF(J38&lt;0.2,"⚠️ บาง","✅ OK"))</f>
        <v/>
      </c>
      <c r="M38" s="136">
        <f>ROUND(3320+308*B38,0)</f>
        <v/>
      </c>
      <c r="N38" s="136">
        <f>ROUND(5470+390*B38,0)</f>
        <v/>
      </c>
    </row>
    <row r="39">
      <c r="A39" s="457" t="inlineStr">
        <is>
          <t>1200×150 ซม.</t>
        </is>
      </c>
      <c r="B39" s="458" t="n">
        <v>18</v>
      </c>
      <c r="C39" s="468">
        <f>'ทุนชินโคร์ Sup'!D46</f>
        <v/>
      </c>
      <c r="D39" s="468">
        <f>IF(B39&gt;0,C39/B39,0)</f>
        <v/>
      </c>
      <c r="E39" s="468" t="n">
        <v>9600</v>
      </c>
      <c r="F39" s="468" t="n">
        <v>172800</v>
      </c>
      <c r="G39" s="481" t="inlineStr">
        <is>
          <t>ตามรุ่น</t>
        </is>
      </c>
      <c r="H39" s="476" t="n">
        <v>172800</v>
      </c>
      <c r="I39" s="477">
        <f>H39-C39-M39-N39</f>
        <v/>
      </c>
      <c r="J39" s="478">
        <f>IF(H39&gt;0,I39/H39,0)</f>
        <v/>
      </c>
      <c r="K39" s="479" t="inlineStr">
        <is>
          <t>-</t>
        </is>
      </c>
      <c r="L39" s="480">
        <f>IF(I39&lt;0,"🔴 ขาดทุน",IF(J39&lt;0.2,"⚠️ บาง","✅ OK"))</f>
        <v/>
      </c>
      <c r="M39" s="136">
        <f>ROUND(3320+308*B39,0)</f>
        <v/>
      </c>
      <c r="N39" s="136">
        <f>ROUND(5470+390*B39,0)</f>
        <v/>
      </c>
    </row>
    <row r="40">
      <c r="A40" s="457" t="inlineStr">
        <is>
          <t>1600×150 ซม.</t>
        </is>
      </c>
      <c r="B40" s="458" t="n">
        <v>24</v>
      </c>
      <c r="C40" s="468">
        <f>'ทุนชินโคร์ Sup'!D57</f>
        <v/>
      </c>
      <c r="D40" s="468">
        <f>IF(B40&gt;0,C40/B40,0)</f>
        <v/>
      </c>
      <c r="E40" s="468" t="n">
        <v>9600</v>
      </c>
      <c r="F40" s="468" t="n">
        <v>230400</v>
      </c>
      <c r="G40" s="481" t="inlineStr">
        <is>
          <t>ตามรุ่น</t>
        </is>
      </c>
      <c r="H40" s="476" t="n">
        <v>230400</v>
      </c>
      <c r="I40" s="477">
        <f>H40-C40-M40-N40</f>
        <v/>
      </c>
      <c r="J40" s="478">
        <f>IF(H40&gt;0,I40/H40,0)</f>
        <v/>
      </c>
      <c r="K40" s="479" t="inlineStr">
        <is>
          <t>-</t>
        </is>
      </c>
      <c r="L40" s="480">
        <f>IF(I40&lt;0,"🔴 ขาดทุน",IF(J40&lt;0.2,"⚠️ บาง","✅ OK"))</f>
        <v/>
      </c>
      <c r="M40" s="136">
        <f>ROUND(3320+308*B40,0)</f>
        <v/>
      </c>
      <c r="N40" s="136">
        <f>ROUND(5470+390*B40,0)</f>
        <v/>
      </c>
    </row>
    <row r="41">
      <c r="A41" s="457" t="inlineStr">
        <is>
          <t>2000×150 ซม.</t>
        </is>
      </c>
      <c r="B41" s="458" t="n">
        <v>30</v>
      </c>
      <c r="C41" s="468">
        <f>'ทุนชินโคร์ Sup'!D68</f>
        <v/>
      </c>
      <c r="D41" s="468">
        <f>IF(B41&gt;0,C41/B41,0)</f>
        <v/>
      </c>
      <c r="E41" s="468" t="n">
        <v>9600</v>
      </c>
      <c r="F41" s="468" t="n">
        <v>288000</v>
      </c>
      <c r="G41" s="481" t="inlineStr">
        <is>
          <t>ตามรุ่น</t>
        </is>
      </c>
      <c r="H41" s="476" t="n">
        <v>288000</v>
      </c>
      <c r="I41" s="477">
        <f>H41-C41-M41-N41</f>
        <v/>
      </c>
      <c r="J41" s="478">
        <f>IF(H41&gt;0,I41/H41,0)</f>
        <v/>
      </c>
      <c r="K41" s="479" t="inlineStr">
        <is>
          <t>-</t>
        </is>
      </c>
      <c r="L41" s="480">
        <f>IF(I41&lt;0,"🔴 ขาดทุน",IF(J41&lt;0.2,"⚠️ บาง","✅ OK"))</f>
        <v/>
      </c>
      <c r="M41" s="136">
        <f>ROUND(3320+308*B41,0)</f>
        <v/>
      </c>
      <c r="N41" s="136">
        <f>ROUND(5470+390*B41,0)</f>
        <v/>
      </c>
    </row>
    <row r="43">
      <c r="A43" s="467" t="inlineStr">
        <is>
          <t>▶  เมทัลชีท</t>
        </is>
      </c>
    </row>
    <row r="44">
      <c r="A44" s="457" t="inlineStr">
        <is>
          <t>300×150 ซม.</t>
        </is>
      </c>
      <c r="B44" s="458" t="n">
        <v>4.5</v>
      </c>
      <c r="C44" s="468">
        <f>'ทุนเมทัลชีท'!D13</f>
        <v/>
      </c>
      <c r="D44" s="468">
        <f>IF(B44&gt;0,C44/B44,0)</f>
        <v/>
      </c>
      <c r="E44" s="468" t="n">
        <v>7500</v>
      </c>
      <c r="F44" s="468" t="n">
        <v>33750</v>
      </c>
      <c r="G44" s="468" t="n">
        <v>30000</v>
      </c>
      <c r="H44" s="476" t="n">
        <v>33750</v>
      </c>
      <c r="I44" s="477">
        <f>H44-C44-M44-N44</f>
        <v/>
      </c>
      <c r="J44" s="478">
        <f>IF(H44&gt;0,I44/H44,0)</f>
        <v/>
      </c>
      <c r="K44" s="479" t="inlineStr">
        <is>
          <t>-</t>
        </is>
      </c>
      <c r="L44" s="480">
        <f>IF(I44&lt;0,"🔴 ขาดทุน",IF(J44&lt;0.2,"⚠️ บาง","✅ OK"))</f>
        <v/>
      </c>
      <c r="M44" s="136">
        <f>ROUND(3320+308*B44,0)</f>
        <v/>
      </c>
      <c r="N44" s="136">
        <f>ROUND(5470+390*B44,0)</f>
        <v/>
      </c>
    </row>
    <row r="45">
      <c r="A45" s="457" t="inlineStr">
        <is>
          <t>600×150 ซม.</t>
        </is>
      </c>
      <c r="B45" s="458" t="n">
        <v>9</v>
      </c>
      <c r="C45" s="468">
        <f>'ทุนเมทัลชีท'!D24</f>
        <v/>
      </c>
      <c r="D45" s="468">
        <f>IF(B45&gt;0,C45/B45,0)</f>
        <v/>
      </c>
      <c r="E45" s="468" t="n">
        <v>7500</v>
      </c>
      <c r="F45" s="468" t="n">
        <v>67500</v>
      </c>
      <c r="G45" s="468" t="n">
        <v>30000</v>
      </c>
      <c r="H45" s="476" t="n">
        <v>67500</v>
      </c>
      <c r="I45" s="477">
        <f>H45-C45-M45-N45</f>
        <v/>
      </c>
      <c r="J45" s="478">
        <f>IF(H45&gt;0,I45/H45,0)</f>
        <v/>
      </c>
      <c r="K45" s="479" t="inlineStr">
        <is>
          <t>-</t>
        </is>
      </c>
      <c r="L45" s="480">
        <f>IF(I45&lt;0,"🔴 ขาดทุน",IF(J45&lt;0.2,"⚠️ บาง","✅ OK"))</f>
        <v/>
      </c>
      <c r="M45" s="136">
        <f>ROUND(3320+308*B45,0)</f>
        <v/>
      </c>
      <c r="N45" s="136">
        <f>ROUND(5470+390*B45,0)</f>
        <v/>
      </c>
    </row>
    <row r="46">
      <c r="A46" s="457" t="inlineStr">
        <is>
          <t>900×150 ซม.</t>
        </is>
      </c>
      <c r="B46" s="458" t="n">
        <v>13.5</v>
      </c>
      <c r="C46" s="468">
        <f>'ทุนเมทัลชีท'!D35</f>
        <v/>
      </c>
      <c r="D46" s="468">
        <f>IF(B46&gt;0,C46/B46,0)</f>
        <v/>
      </c>
      <c r="E46" s="468" t="n">
        <v>7000</v>
      </c>
      <c r="F46" s="468" t="n">
        <v>94500</v>
      </c>
      <c r="G46" s="468" t="n">
        <v>30000</v>
      </c>
      <c r="H46" s="476" t="n">
        <v>94500</v>
      </c>
      <c r="I46" s="477">
        <f>H46-C46-M46-N46</f>
        <v/>
      </c>
      <c r="J46" s="478">
        <f>IF(H46&gt;0,I46/H46,0)</f>
        <v/>
      </c>
      <c r="K46" s="479" t="inlineStr">
        <is>
          <t>-</t>
        </is>
      </c>
      <c r="L46" s="480">
        <f>IF(I46&lt;0,"🔴 ขาดทุน",IF(J46&lt;0.2,"⚠️ บาง","✅ OK"))</f>
        <v/>
      </c>
      <c r="M46" s="136">
        <f>ROUND(3320+308*B46,0)</f>
        <v/>
      </c>
      <c r="N46" s="136">
        <f>ROUND(5470+390*B46,0)</f>
        <v/>
      </c>
    </row>
    <row r="47">
      <c r="A47" s="457" t="inlineStr">
        <is>
          <t>1200×150 ซม.</t>
        </is>
      </c>
      <c r="B47" s="458" t="n">
        <v>18</v>
      </c>
      <c r="C47" s="468">
        <f>'ทุนเมทัลชีท'!D46</f>
        <v/>
      </c>
      <c r="D47" s="468">
        <f>IF(B47&gt;0,C47/B47,0)</f>
        <v/>
      </c>
      <c r="E47" s="468" t="n">
        <v>6500</v>
      </c>
      <c r="F47" s="468" t="n">
        <v>117000</v>
      </c>
      <c r="G47" s="468" t="n">
        <v>30000</v>
      </c>
      <c r="H47" s="476" t="n">
        <v>117000</v>
      </c>
      <c r="I47" s="477">
        <f>H47-C47-M47-N47</f>
        <v/>
      </c>
      <c r="J47" s="478">
        <f>IF(H47&gt;0,I47/H47,0)</f>
        <v/>
      </c>
      <c r="K47" s="479" t="inlineStr">
        <is>
          <t>-</t>
        </is>
      </c>
      <c r="L47" s="480">
        <f>IF(I47&lt;0,"🔴 ขาดทุน",IF(J47&lt;0.2,"⚠️ บาง","✅ OK"))</f>
        <v/>
      </c>
      <c r="M47" s="136">
        <f>ROUND(3320+308*B47,0)</f>
        <v/>
      </c>
      <c r="N47" s="136">
        <f>ROUND(5470+390*B47,0)</f>
        <v/>
      </c>
    </row>
    <row r="48">
      <c r="A48" s="457" t="inlineStr">
        <is>
          <t>1600×150 ซม.</t>
        </is>
      </c>
      <c r="B48" s="458" t="n">
        <v>24</v>
      </c>
      <c r="C48" s="468">
        <f>'ทุนเมทัลชีท'!D57</f>
        <v/>
      </c>
      <c r="D48" s="468">
        <f>IF(B48&gt;0,C48/B48,0)</f>
        <v/>
      </c>
      <c r="E48" s="468" t="n">
        <v>6500</v>
      </c>
      <c r="F48" s="468" t="n">
        <v>156000</v>
      </c>
      <c r="G48" s="468" t="n">
        <v>30000</v>
      </c>
      <c r="H48" s="476" t="n">
        <v>156000</v>
      </c>
      <c r="I48" s="477">
        <f>H48-C48-M48-N48</f>
        <v/>
      </c>
      <c r="J48" s="478">
        <f>IF(H48&gt;0,I48/H48,0)</f>
        <v/>
      </c>
      <c r="K48" s="479" t="inlineStr">
        <is>
          <t>-</t>
        </is>
      </c>
      <c r="L48" s="480">
        <f>IF(I48&lt;0,"🔴 ขาดทุน",IF(J48&lt;0.2,"⚠️ บาง","✅ OK"))</f>
        <v/>
      </c>
      <c r="M48" s="136">
        <f>ROUND(3320+308*B48,0)</f>
        <v/>
      </c>
      <c r="N48" s="136">
        <f>ROUND(5470+390*B48,0)</f>
        <v/>
      </c>
    </row>
    <row r="49">
      <c r="A49" s="457" t="inlineStr">
        <is>
          <t>2000×150 ซม.</t>
        </is>
      </c>
      <c r="B49" s="458" t="n">
        <v>30</v>
      </c>
      <c r="C49" s="468">
        <f>'ทุนเมทัลชีท'!D68</f>
        <v/>
      </c>
      <c r="D49" s="468">
        <f>IF(B49&gt;0,C49/B49,0)</f>
        <v/>
      </c>
      <c r="E49" s="468" t="n">
        <v>6500</v>
      </c>
      <c r="F49" s="468" t="n">
        <v>195000</v>
      </c>
      <c r="G49" s="468" t="n">
        <v>30000</v>
      </c>
      <c r="H49" s="476" t="n">
        <v>195000</v>
      </c>
      <c r="I49" s="477">
        <f>H49-C49-M49-N49</f>
        <v/>
      </c>
      <c r="J49" s="478">
        <f>IF(H49&gt;0,I49/H49,0)</f>
        <v/>
      </c>
      <c r="K49" s="479" t="inlineStr">
        <is>
          <t>-</t>
        </is>
      </c>
      <c r="L49" s="480">
        <f>IF(I49&lt;0,"🔴 ขาดทุน",IF(J49&lt;0.2,"⚠️ บาง","✅ OK"))</f>
        <v/>
      </c>
      <c r="M49" s="136">
        <f>ROUND(3320+308*B49,0)</f>
        <v/>
      </c>
      <c r="N49" s="136">
        <f>ROUND(5470+390*B49,0)</f>
        <v/>
      </c>
    </row>
    <row r="51">
      <c r="A51" s="467" t="inlineStr">
        <is>
          <t>▶  กระจก4+4</t>
        </is>
      </c>
    </row>
    <row r="52">
      <c r="A52" s="457" t="inlineStr">
        <is>
          <t>300×150 ซม.</t>
        </is>
      </c>
      <c r="B52" s="458" t="n">
        <v>4.5</v>
      </c>
      <c r="C52" s="468">
        <f>'ทุนกระจก 4+4'!D13</f>
        <v/>
      </c>
      <c r="D52" s="468">
        <f>IF(B52&gt;0,C52/B52,0)</f>
        <v/>
      </c>
      <c r="E52" s="468" t="n">
        <v>11000</v>
      </c>
      <c r="F52" s="468" t="n">
        <v>49500</v>
      </c>
      <c r="G52" s="468" t="n">
        <v>45000</v>
      </c>
      <c r="H52" s="476" t="n">
        <v>49500</v>
      </c>
      <c r="I52" s="477">
        <f>H52-C52-M52-N52</f>
        <v/>
      </c>
      <c r="J52" s="478">
        <f>IF(H52&gt;0,I52/H52,0)</f>
        <v/>
      </c>
      <c r="K52" s="479" t="inlineStr">
        <is>
          <t>-</t>
        </is>
      </c>
      <c r="L52" s="480">
        <f>IF(I52&lt;0,"🔴 ขาดทุน",IF(J52&lt;0.2,"⚠️ บาง","✅ OK"))</f>
        <v/>
      </c>
      <c r="M52" s="136">
        <f>ROUND(3320+308*B52,0)</f>
        <v/>
      </c>
      <c r="N52" s="136">
        <f>ROUND(5470+390*B52,0)</f>
        <v/>
      </c>
    </row>
    <row r="53">
      <c r="A53" s="457" t="inlineStr">
        <is>
          <t>600×150 ซม.</t>
        </is>
      </c>
      <c r="B53" s="458" t="n">
        <v>9</v>
      </c>
      <c r="C53" s="468">
        <f>'ทุนกระจก 4+4'!D24</f>
        <v/>
      </c>
      <c r="D53" s="468">
        <f>IF(B53&gt;0,C53/B53,0)</f>
        <v/>
      </c>
      <c r="E53" s="468" t="n">
        <v>11000</v>
      </c>
      <c r="F53" s="468" t="n">
        <v>99000</v>
      </c>
      <c r="G53" s="468" t="n">
        <v>45000</v>
      </c>
      <c r="H53" s="476" t="n">
        <v>99000</v>
      </c>
      <c r="I53" s="477">
        <f>H53-C53-M53-N53</f>
        <v/>
      </c>
      <c r="J53" s="478">
        <f>IF(H53&gt;0,I53/H53,0)</f>
        <v/>
      </c>
      <c r="K53" s="479" t="inlineStr">
        <is>
          <t>-</t>
        </is>
      </c>
      <c r="L53" s="480">
        <f>IF(I53&lt;0,"🔴 ขาดทุน",IF(J53&lt;0.2,"⚠️ บาง","✅ OK"))</f>
        <v/>
      </c>
      <c r="M53" s="136">
        <f>ROUND(3320+308*B53,0)</f>
        <v/>
      </c>
      <c r="N53" s="136">
        <f>ROUND(5470+390*B53,0)</f>
        <v/>
      </c>
    </row>
    <row r="54">
      <c r="A54" s="457" t="inlineStr">
        <is>
          <t>900×150 ซม.</t>
        </is>
      </c>
      <c r="B54" s="458" t="n">
        <v>13.5</v>
      </c>
      <c r="C54" s="468">
        <f>'ทุนกระจก 4+4'!D35</f>
        <v/>
      </c>
      <c r="D54" s="468">
        <f>IF(B54&gt;0,C54/B54,0)</f>
        <v/>
      </c>
      <c r="E54" s="468" t="n">
        <v>10500</v>
      </c>
      <c r="F54" s="468" t="n">
        <v>141750</v>
      </c>
      <c r="G54" s="468" t="n">
        <v>45000</v>
      </c>
      <c r="H54" s="476" t="n">
        <v>141750</v>
      </c>
      <c r="I54" s="477">
        <f>H54-C54-M54-N54</f>
        <v/>
      </c>
      <c r="J54" s="478">
        <f>IF(H54&gt;0,I54/H54,0)</f>
        <v/>
      </c>
      <c r="K54" s="479" t="inlineStr">
        <is>
          <t>-</t>
        </is>
      </c>
      <c r="L54" s="480">
        <f>IF(I54&lt;0,"🔴 ขาดทุน",IF(J54&lt;0.2,"⚠️ บาง","✅ OK"))</f>
        <v/>
      </c>
      <c r="M54" s="136">
        <f>ROUND(3320+308*B54,0)</f>
        <v/>
      </c>
      <c r="N54" s="136">
        <f>ROUND(5470+390*B54,0)</f>
        <v/>
      </c>
    </row>
    <row r="55">
      <c r="A55" s="457" t="inlineStr">
        <is>
          <t>1200×150 ซม.</t>
        </is>
      </c>
      <c r="B55" s="458" t="n">
        <v>18</v>
      </c>
      <c r="C55" s="468">
        <f>'ทุนกระจก 4+4'!D46</f>
        <v/>
      </c>
      <c r="D55" s="468">
        <f>IF(B55&gt;0,C55/B55,0)</f>
        <v/>
      </c>
      <c r="E55" s="468" t="n">
        <v>10000</v>
      </c>
      <c r="F55" s="468" t="n">
        <v>180000</v>
      </c>
      <c r="G55" s="468" t="n">
        <v>45000</v>
      </c>
      <c r="H55" s="476" t="n">
        <v>180000</v>
      </c>
      <c r="I55" s="477">
        <f>H55-C55-M55-N55</f>
        <v/>
      </c>
      <c r="J55" s="478">
        <f>IF(H55&gt;0,I55/H55,0)</f>
        <v/>
      </c>
      <c r="K55" s="479" t="inlineStr">
        <is>
          <t>-</t>
        </is>
      </c>
      <c r="L55" s="480">
        <f>IF(I55&lt;0,"🔴 ขาดทุน",IF(J55&lt;0.2,"⚠️ บาง","✅ OK"))</f>
        <v/>
      </c>
      <c r="M55" s="136">
        <f>ROUND(3320+308*B55,0)</f>
        <v/>
      </c>
      <c r="N55" s="136">
        <f>ROUND(5470+390*B55,0)</f>
        <v/>
      </c>
    </row>
    <row r="56">
      <c r="A56" s="457" t="inlineStr">
        <is>
          <t>1600×150 ซม.</t>
        </is>
      </c>
      <c r="B56" s="458" t="n">
        <v>24</v>
      </c>
      <c r="C56" s="468">
        <f>'ทุนกระจก 4+4'!D57</f>
        <v/>
      </c>
      <c r="D56" s="468">
        <f>IF(B56&gt;0,C56/B56,0)</f>
        <v/>
      </c>
      <c r="E56" s="468" t="n">
        <v>10000</v>
      </c>
      <c r="F56" s="468" t="n">
        <v>240000</v>
      </c>
      <c r="G56" s="468" t="n">
        <v>45000</v>
      </c>
      <c r="H56" s="476" t="n">
        <v>240000</v>
      </c>
      <c r="I56" s="477">
        <f>H56-C56-M56-N56</f>
        <v/>
      </c>
      <c r="J56" s="478">
        <f>IF(H56&gt;0,I56/H56,0)</f>
        <v/>
      </c>
      <c r="K56" s="479" t="inlineStr">
        <is>
          <t>-</t>
        </is>
      </c>
      <c r="L56" s="480">
        <f>IF(I56&lt;0,"🔴 ขาดทุน",IF(J56&lt;0.2,"⚠️ บาง","✅ OK"))</f>
        <v/>
      </c>
      <c r="M56" s="136">
        <f>ROUND(3320+308*B56,0)</f>
        <v/>
      </c>
      <c r="N56" s="136">
        <f>ROUND(5470+390*B56,0)</f>
        <v/>
      </c>
    </row>
    <row r="57">
      <c r="A57" s="457" t="inlineStr">
        <is>
          <t>2000×150 ซม.</t>
        </is>
      </c>
      <c r="B57" s="458" t="n">
        <v>30</v>
      </c>
      <c r="C57" s="468">
        <f>'ทุนกระจก 4+4'!D68</f>
        <v/>
      </c>
      <c r="D57" s="468">
        <f>IF(B57&gt;0,C57/B57,0)</f>
        <v/>
      </c>
      <c r="E57" s="468" t="n">
        <v>10000</v>
      </c>
      <c r="F57" s="468" t="n">
        <v>300000</v>
      </c>
      <c r="G57" s="468" t="n">
        <v>45000</v>
      </c>
      <c r="H57" s="476" t="n">
        <v>300000</v>
      </c>
      <c r="I57" s="477">
        <f>H57-C57-M57-N57</f>
        <v/>
      </c>
      <c r="J57" s="478">
        <f>IF(H57&gt;0,I57/H57,0)</f>
        <v/>
      </c>
      <c r="K57" s="479" t="inlineStr">
        <is>
          <t>-</t>
        </is>
      </c>
      <c r="L57" s="480">
        <f>IF(I57&lt;0,"🔴 ขาดทุน",IF(J57&lt;0.2,"⚠️ บาง","✅ OK"))</f>
        <v/>
      </c>
      <c r="M57" s="136">
        <f>ROUND(3320+308*B57,0)</f>
        <v/>
      </c>
      <c r="N57" s="136">
        <f>ROUND(5470+390*B57,0)</f>
        <v/>
      </c>
    </row>
    <row r="59">
      <c r="A59" s="467" t="inlineStr">
        <is>
          <t>▶  กระจก5+5</t>
        </is>
      </c>
    </row>
    <row r="60">
      <c r="A60" s="457" t="inlineStr">
        <is>
          <t>300×150 ซม.</t>
        </is>
      </c>
      <c r="B60" s="458" t="n">
        <v>4.5</v>
      </c>
      <c r="C60" s="468">
        <f>'ทุนกระจก 5+5'!D13</f>
        <v/>
      </c>
      <c r="D60" s="468">
        <f>IF(B60&gt;0,C60/B60,0)</f>
        <v/>
      </c>
      <c r="E60" s="468" t="n">
        <v>11000</v>
      </c>
      <c r="F60" s="468" t="n">
        <v>49500</v>
      </c>
      <c r="G60" s="468" t="n">
        <v>45000</v>
      </c>
      <c r="H60" s="476" t="n">
        <v>49500</v>
      </c>
      <c r="I60" s="477">
        <f>H60-C60-M60-N60</f>
        <v/>
      </c>
      <c r="J60" s="478">
        <f>IF(H60&gt;0,I60/H60,0)</f>
        <v/>
      </c>
      <c r="K60" s="479" t="inlineStr">
        <is>
          <t>-</t>
        </is>
      </c>
      <c r="L60" s="480">
        <f>IF(I60&lt;0,"🔴 ขาดทุน",IF(J60&lt;0.2,"⚠️ บาง","✅ OK"))</f>
        <v/>
      </c>
      <c r="M60" s="136">
        <f>ROUND(3320+308*B60,0)</f>
        <v/>
      </c>
      <c r="N60" s="136">
        <f>ROUND(5470+390*B60,0)</f>
        <v/>
      </c>
    </row>
    <row r="61">
      <c r="A61" s="457" t="inlineStr">
        <is>
          <t>600×150 ซม.</t>
        </is>
      </c>
      <c r="B61" s="458" t="n">
        <v>9</v>
      </c>
      <c r="C61" s="468">
        <f>'ทุนกระจก 5+5'!D24</f>
        <v/>
      </c>
      <c r="D61" s="468">
        <f>IF(B61&gt;0,C61/B61,0)</f>
        <v/>
      </c>
      <c r="E61" s="468" t="n">
        <v>11000</v>
      </c>
      <c r="F61" s="468" t="n">
        <v>99000</v>
      </c>
      <c r="G61" s="468" t="n">
        <v>45000</v>
      </c>
      <c r="H61" s="476" t="n">
        <v>99000</v>
      </c>
      <c r="I61" s="477">
        <f>H61-C61-M61-N61</f>
        <v/>
      </c>
      <c r="J61" s="478">
        <f>IF(H61&gt;0,I61/H61,0)</f>
        <v/>
      </c>
      <c r="K61" s="479" t="inlineStr">
        <is>
          <t>-</t>
        </is>
      </c>
      <c r="L61" s="480">
        <f>IF(I61&lt;0,"🔴 ขาดทุน",IF(J61&lt;0.2,"⚠️ บาง","✅ OK"))</f>
        <v/>
      </c>
      <c r="M61" s="136">
        <f>ROUND(3320+308*B61,0)</f>
        <v/>
      </c>
      <c r="N61" s="136">
        <f>ROUND(5470+390*B61,0)</f>
        <v/>
      </c>
    </row>
    <row r="62">
      <c r="A62" s="457" t="inlineStr">
        <is>
          <t>900×150 ซม.</t>
        </is>
      </c>
      <c r="B62" s="458" t="n">
        <v>13.5</v>
      </c>
      <c r="C62" s="468">
        <f>'ทุนกระจก 5+5'!D35</f>
        <v/>
      </c>
      <c r="D62" s="468">
        <f>IF(B62&gt;0,C62/B62,0)</f>
        <v/>
      </c>
      <c r="E62" s="468" t="n">
        <v>10500</v>
      </c>
      <c r="F62" s="468" t="n">
        <v>141750</v>
      </c>
      <c r="G62" s="468" t="n">
        <v>45000</v>
      </c>
      <c r="H62" s="476" t="n">
        <v>141750</v>
      </c>
      <c r="I62" s="477">
        <f>H62-C62-M62-N62</f>
        <v/>
      </c>
      <c r="J62" s="478">
        <f>IF(H62&gt;0,I62/H62,0)</f>
        <v/>
      </c>
      <c r="K62" s="479" t="inlineStr">
        <is>
          <t>-</t>
        </is>
      </c>
      <c r="L62" s="480">
        <f>IF(I62&lt;0,"🔴 ขาดทุน",IF(J62&lt;0.2,"⚠️ บาง","✅ OK"))</f>
        <v/>
      </c>
      <c r="M62" s="136">
        <f>ROUND(3320+308*B62,0)</f>
        <v/>
      </c>
      <c r="N62" s="136">
        <f>ROUND(5470+390*B62,0)</f>
        <v/>
      </c>
    </row>
    <row r="63">
      <c r="A63" s="457" t="inlineStr">
        <is>
          <t>1200×150 ซม.</t>
        </is>
      </c>
      <c r="B63" s="458" t="n">
        <v>18</v>
      </c>
      <c r="C63" s="468">
        <f>'ทุนกระจก 5+5'!D46</f>
        <v/>
      </c>
      <c r="D63" s="468">
        <f>IF(B63&gt;0,C63/B63,0)</f>
        <v/>
      </c>
      <c r="E63" s="468" t="n">
        <v>10000</v>
      </c>
      <c r="F63" s="468" t="n">
        <v>180000</v>
      </c>
      <c r="G63" s="468" t="n">
        <v>45000</v>
      </c>
      <c r="H63" s="476" t="n">
        <v>180000</v>
      </c>
      <c r="I63" s="477">
        <f>H63-C63-M63-N63</f>
        <v/>
      </c>
      <c r="J63" s="478">
        <f>IF(H63&gt;0,I63/H63,0)</f>
        <v/>
      </c>
      <c r="K63" s="479" t="inlineStr">
        <is>
          <t>-</t>
        </is>
      </c>
      <c r="L63" s="480">
        <f>IF(I63&lt;0,"🔴 ขาดทุน",IF(J63&lt;0.2,"⚠️ บาง","✅ OK"))</f>
        <v/>
      </c>
      <c r="M63" s="136">
        <f>ROUND(3320+308*B63,0)</f>
        <v/>
      </c>
      <c r="N63" s="136">
        <f>ROUND(5470+390*B63,0)</f>
        <v/>
      </c>
    </row>
    <row r="64">
      <c r="A64" s="457" t="inlineStr">
        <is>
          <t>1600×150 ซม.</t>
        </is>
      </c>
      <c r="B64" s="458" t="n">
        <v>24</v>
      </c>
      <c r="C64" s="468">
        <f>'ทุนกระจก 5+5'!D57</f>
        <v/>
      </c>
      <c r="D64" s="468">
        <f>IF(B64&gt;0,C64/B64,0)</f>
        <v/>
      </c>
      <c r="E64" s="468" t="n">
        <v>10000</v>
      </c>
      <c r="F64" s="468" t="n">
        <v>240000</v>
      </c>
      <c r="G64" s="468" t="n">
        <v>45000</v>
      </c>
      <c r="H64" s="476" t="n">
        <v>240000</v>
      </c>
      <c r="I64" s="477">
        <f>H64-C64-M64-N64</f>
        <v/>
      </c>
      <c r="J64" s="478">
        <f>IF(H64&gt;0,I64/H64,0)</f>
        <v/>
      </c>
      <c r="K64" s="479" t="inlineStr">
        <is>
          <t>-</t>
        </is>
      </c>
      <c r="L64" s="480">
        <f>IF(I64&lt;0,"🔴 ขาดทุน",IF(J64&lt;0.2,"⚠️ บาง","✅ OK"))</f>
        <v/>
      </c>
      <c r="M64" s="136">
        <f>ROUND(3320+308*B64,0)</f>
        <v/>
      </c>
      <c r="N64" s="136">
        <f>ROUND(5470+390*B64,0)</f>
        <v/>
      </c>
    </row>
    <row r="65">
      <c r="A65" s="457" t="inlineStr">
        <is>
          <t>2000×150 ซม.</t>
        </is>
      </c>
      <c r="B65" s="458" t="n">
        <v>30</v>
      </c>
      <c r="C65" s="468">
        <f>'ทุนกระจก 5+5'!D68</f>
        <v/>
      </c>
      <c r="D65" s="468">
        <f>IF(B65&gt;0,C65/B65,0)</f>
        <v/>
      </c>
      <c r="E65" s="468" t="n">
        <v>10000</v>
      </c>
      <c r="F65" s="468" t="n">
        <v>300000</v>
      </c>
      <c r="G65" s="468" t="n">
        <v>45000</v>
      </c>
      <c r="H65" s="476" t="n">
        <v>300000</v>
      </c>
      <c r="I65" s="477">
        <f>H65-C65-M65-N65</f>
        <v/>
      </c>
      <c r="J65" s="478">
        <f>IF(H65&gt;0,I65/H65,0)</f>
        <v/>
      </c>
      <c r="K65" s="479" t="inlineStr">
        <is>
          <t>-</t>
        </is>
      </c>
      <c r="L65" s="480">
        <f>IF(I65&lt;0,"🔴 ขาดทุน",IF(J65&lt;0.2,"⚠️ บาง","✅ OK"))</f>
        <v/>
      </c>
      <c r="M65" s="136">
        <f>ROUND(3320+308*B65,0)</f>
        <v/>
      </c>
      <c r="N65" s="136">
        <f>ROUND(5470+390*B65,0)</f>
        <v/>
      </c>
    </row>
    <row r="67">
      <c r="A67" s="482" t="inlineStr">
        <is>
          <t>หมายเหตุ: ทุนวัสดุ = โครงอลูมิเนียม + วัสดุปิดผิว (ยังไม่รวมค่าแรงผลิต+ติดตั้ง)  |  กำไร ≥25% = ✅  15-25% = ⚠️  &lt;15% = 🔴</t>
        </is>
      </c>
    </row>
  </sheetData>
  <mergeCells count="10">
    <mergeCell ref="A43:L43"/>
    <mergeCell ref="A19:L19"/>
    <mergeCell ref="A11:L11"/>
    <mergeCell ref="A51:L51"/>
    <mergeCell ref="A1:F1"/>
    <mergeCell ref="A27:L27"/>
    <mergeCell ref="A3:L3"/>
    <mergeCell ref="A67:L67"/>
    <mergeCell ref="A35:L35"/>
    <mergeCell ref="A59:L59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tabColor rgb="00A6A6A6"/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20.1" customWidth="1" style="129" min="2" max="2"/>
    <col width="13" customWidth="1" style="129" min="6" max="6"/>
    <col width="8.6" customWidth="1" style="129" min="7" max="7"/>
  </cols>
  <sheetData>
    <row r="1">
      <c r="A1" s="510" t="inlineStr">
        <is>
          <t>key</t>
        </is>
      </c>
      <c r="B1" s="510" t="inlineStr">
        <is>
          <t>สี</t>
        </is>
      </c>
      <c r="C1" s="643" t="n"/>
      <c r="G1" s="753" t="inlineStr">
        <is>
          <t>🏠 สารบัญ</t>
        </is>
      </c>
      <c r="H1" s="754" t="n"/>
    </row>
    <row r="2">
      <c r="A2" s="513" t="inlineStr">
        <is>
          <t>ไม้ทิพย์|สีพื้น</t>
        </is>
      </c>
      <c r="B2" s="513" t="inlineStr">
        <is>
          <t>ขาว</t>
        </is>
      </c>
    </row>
    <row r="3">
      <c r="A3" s="513" t="inlineStr">
        <is>
          <t>ไม้ทิพย์|สีพื้น</t>
        </is>
      </c>
      <c r="B3" s="513" t="inlineStr">
        <is>
          <t>ดำ</t>
        </is>
      </c>
    </row>
    <row r="4">
      <c r="A4" s="513" t="inlineStr">
        <is>
          <t>ไม้ทิพย์|ลายไม้</t>
        </is>
      </c>
      <c r="B4" s="513" t="inlineStr">
        <is>
          <t>ไม้โอ๊ค</t>
        </is>
      </c>
    </row>
    <row r="5">
      <c r="A5" s="513" t="inlineStr">
        <is>
          <t>ไม้ทิพย์|ลายไม้</t>
        </is>
      </c>
      <c r="B5" s="513" t="inlineStr">
        <is>
          <t>ไม้แดง</t>
        </is>
      </c>
    </row>
    <row r="6">
      <c r="A6" s="513" t="inlineStr">
        <is>
          <t>ไม้ทิพย์|ลายไม้</t>
        </is>
      </c>
      <c r="B6" s="513" t="inlineStr">
        <is>
          <t>ไม้จามจุรี</t>
        </is>
      </c>
    </row>
    <row r="7">
      <c r="A7" s="513" t="inlineStr">
        <is>
          <t>ไม้ทิพย์|ลายไม้</t>
        </is>
      </c>
      <c r="B7" s="513" t="inlineStr">
        <is>
          <t>ลายไม้สักทอง</t>
        </is>
      </c>
    </row>
    <row r="8">
      <c r="A8" s="513" t="inlineStr">
        <is>
          <t>ไม้ทิพย์|ลายไม้</t>
        </is>
      </c>
      <c r="B8" s="513" t="inlineStr">
        <is>
          <t>ไม้พะยุงทอง</t>
        </is>
      </c>
    </row>
    <row r="9">
      <c r="A9" s="513" t="inlineStr">
        <is>
          <t>ไม้ทิพย์|ลายไม้</t>
        </is>
      </c>
      <c r="B9" s="513" t="inlineStr">
        <is>
          <t>ไม้เมเปิ้ล</t>
        </is>
      </c>
    </row>
    <row r="10">
      <c r="A10" s="513" t="inlineStr">
        <is>
          <t>fameline|สีมาตรฐาน</t>
        </is>
      </c>
      <c r="B10" s="513" t="inlineStr">
        <is>
          <t>ขาว</t>
        </is>
      </c>
    </row>
    <row r="11">
      <c r="A11" s="513" t="inlineStr">
        <is>
          <t>fameline|สีมาตรฐาน</t>
        </is>
      </c>
      <c r="B11" s="513" t="inlineStr">
        <is>
          <t>ซิลเวอร์</t>
        </is>
      </c>
    </row>
    <row r="12">
      <c r="A12" s="513" t="inlineStr">
        <is>
          <t>fameline|สีอื่น</t>
        </is>
      </c>
      <c r="B12" s="513" t="inlineStr">
        <is>
          <t>Traffic White</t>
        </is>
      </c>
    </row>
    <row r="13">
      <c r="A13" s="513" t="inlineStr">
        <is>
          <t>fameline|สีอื่น</t>
        </is>
      </c>
      <c r="B13" s="513" t="inlineStr">
        <is>
          <t>Solid sand grey</t>
        </is>
      </c>
    </row>
    <row r="14">
      <c r="A14" s="513" t="inlineStr">
        <is>
          <t>fameline|สีอื่น</t>
        </is>
      </c>
      <c r="B14" s="513" t="inlineStr">
        <is>
          <t>Beige</t>
        </is>
      </c>
    </row>
    <row r="15">
      <c r="A15" s="513" t="inlineStr">
        <is>
          <t>fameline|สีอื่น</t>
        </is>
      </c>
      <c r="B15" s="513" t="inlineStr">
        <is>
          <t>Solid Light Oak</t>
        </is>
      </c>
    </row>
    <row r="16">
      <c r="A16" s="513" t="inlineStr">
        <is>
          <t>fameline|สีอื่น</t>
        </is>
      </c>
      <c r="B16" s="513" t="inlineStr">
        <is>
          <t>Dff grey</t>
        </is>
      </c>
    </row>
    <row r="17">
      <c r="A17" s="513" t="inlineStr">
        <is>
          <t>fameline|สีอื่น</t>
        </is>
      </c>
      <c r="B17" s="513" t="inlineStr">
        <is>
          <t>Solid beech</t>
        </is>
      </c>
    </row>
    <row r="18">
      <c r="A18" s="513" t="inlineStr">
        <is>
          <t>fameline|สีอื่น</t>
        </is>
      </c>
      <c r="B18" s="513" t="inlineStr">
        <is>
          <t>Dark grey</t>
        </is>
      </c>
    </row>
    <row r="19">
      <c r="A19" s="513" t="inlineStr">
        <is>
          <t>fameline|สีอื่น</t>
        </is>
      </c>
      <c r="B19" s="513" t="inlineStr">
        <is>
          <t>Solid golden teak</t>
        </is>
      </c>
    </row>
    <row r="20">
      <c r="A20" s="513" t="inlineStr">
        <is>
          <t>fameline|สีอื่น</t>
        </is>
      </c>
      <c r="B20" s="513" t="inlineStr">
        <is>
          <t>Matt black</t>
        </is>
      </c>
    </row>
    <row r="21">
      <c r="A21" s="513" t="inlineStr">
        <is>
          <t>fameline|สีอื่น</t>
        </is>
      </c>
      <c r="B21" s="513" t="inlineStr">
        <is>
          <t>Solid thai teak</t>
        </is>
      </c>
    </row>
    <row r="22">
      <c r="A22" s="513" t="inlineStr">
        <is>
          <t>fameline|สีอื่น</t>
        </is>
      </c>
      <c r="B22" s="513" t="inlineStr">
        <is>
          <t>Thai teak</t>
        </is>
      </c>
    </row>
    <row r="23">
      <c r="A23" s="513" t="inlineStr">
        <is>
          <t>fameline|สีอื่น</t>
        </is>
      </c>
      <c r="B23" s="513" t="inlineStr">
        <is>
          <t>Golden teak</t>
        </is>
      </c>
    </row>
    <row r="24">
      <c r="A24" s="513" t="inlineStr">
        <is>
          <t>fameline|สีอื่น</t>
        </is>
      </c>
      <c r="B24" s="513" t="inlineStr">
        <is>
          <t>Beech</t>
        </is>
      </c>
    </row>
    <row r="25">
      <c r="A25" s="513" t="inlineStr">
        <is>
          <t>fameline|สีอื่น</t>
        </is>
      </c>
      <c r="B25" s="513" t="inlineStr">
        <is>
          <t>Light Oak</t>
        </is>
      </c>
    </row>
    <row r="26">
      <c r="A26" s="513" t="inlineStr">
        <is>
          <t>fameline|สีอื่น</t>
        </is>
      </c>
      <c r="B26" s="513" t="inlineStr">
        <is>
          <t>Sand grey</t>
        </is>
      </c>
    </row>
    <row r="27">
      <c r="A27" s="513" t="inlineStr">
        <is>
          <t>HIGO|C19 (ใน)</t>
        </is>
      </c>
      <c r="B27" s="513" t="inlineStr">
        <is>
          <t>c1901</t>
        </is>
      </c>
    </row>
    <row r="28">
      <c r="A28" s="513" t="inlineStr">
        <is>
          <t>HIGO|C19 (ใน)</t>
        </is>
      </c>
      <c r="B28" s="513" t="inlineStr">
        <is>
          <t>c1902</t>
        </is>
      </c>
    </row>
    <row r="29">
      <c r="A29" s="513" t="inlineStr">
        <is>
          <t>HIGO|C19 (ใน)</t>
        </is>
      </c>
      <c r="B29" s="513" t="inlineStr">
        <is>
          <t>c1903</t>
        </is>
      </c>
    </row>
    <row r="30">
      <c r="A30" s="513" t="inlineStr">
        <is>
          <t>HIGO|C19 (ใน)</t>
        </is>
      </c>
      <c r="B30" s="513" t="inlineStr">
        <is>
          <t>c1904</t>
        </is>
      </c>
    </row>
    <row r="31">
      <c r="A31" s="513" t="inlineStr">
        <is>
          <t>HIGO|C19 (ใน)</t>
        </is>
      </c>
      <c r="B31" s="513" t="inlineStr">
        <is>
          <t>c1905</t>
        </is>
      </c>
    </row>
    <row r="32">
      <c r="A32" s="513" t="inlineStr">
        <is>
          <t>HIGO|C19 (ใน)</t>
        </is>
      </c>
      <c r="B32" s="513" t="inlineStr">
        <is>
          <t>c1906</t>
        </is>
      </c>
    </row>
    <row r="33">
      <c r="A33" s="513" t="inlineStr">
        <is>
          <t>HIGO|C19 (ใน)</t>
        </is>
      </c>
      <c r="B33" s="513" t="inlineStr">
        <is>
          <t>c1907</t>
        </is>
      </c>
    </row>
    <row r="34">
      <c r="A34" s="513" t="inlineStr">
        <is>
          <t>HIGO|C19 (ใน)</t>
        </is>
      </c>
      <c r="B34" s="513" t="inlineStr">
        <is>
          <t>c1908</t>
        </is>
      </c>
    </row>
    <row r="35">
      <c r="A35" s="513" t="inlineStr">
        <is>
          <t>HIGO|C19 (ใน)</t>
        </is>
      </c>
      <c r="B35" s="513" t="inlineStr">
        <is>
          <t>c1909</t>
        </is>
      </c>
    </row>
    <row r="36">
      <c r="A36" s="513" t="inlineStr">
        <is>
          <t>HIGO|C19 (ใน)</t>
        </is>
      </c>
      <c r="B36" s="513" t="inlineStr">
        <is>
          <t>c1910</t>
        </is>
      </c>
    </row>
    <row r="37">
      <c r="A37" s="513" t="inlineStr">
        <is>
          <t>HIGO|G15 (ใน)</t>
        </is>
      </c>
      <c r="B37" s="513" t="inlineStr">
        <is>
          <t>g1501</t>
        </is>
      </c>
    </row>
    <row r="38">
      <c r="A38" s="513" t="inlineStr">
        <is>
          <t>HIGO|G15 (ใน)</t>
        </is>
      </c>
      <c r="B38" s="513" t="inlineStr">
        <is>
          <t>g1502</t>
        </is>
      </c>
    </row>
    <row r="39">
      <c r="A39" s="513" t="inlineStr">
        <is>
          <t>HIGO|G15 (ใน)</t>
        </is>
      </c>
      <c r="B39" s="513" t="inlineStr">
        <is>
          <t>g1503</t>
        </is>
      </c>
    </row>
    <row r="40">
      <c r="A40" s="513" t="inlineStr">
        <is>
          <t>HIGO|G15 (ใน)</t>
        </is>
      </c>
      <c r="B40" s="513" t="inlineStr">
        <is>
          <t>g1504</t>
        </is>
      </c>
    </row>
    <row r="41">
      <c r="A41" s="513" t="inlineStr">
        <is>
          <t>HIGO|G15 (ใน)</t>
        </is>
      </c>
      <c r="B41" s="513" t="inlineStr">
        <is>
          <t>g1505</t>
        </is>
      </c>
    </row>
    <row r="42">
      <c r="A42" s="513" t="inlineStr">
        <is>
          <t>HIGO|G15 (ใน)</t>
        </is>
      </c>
      <c r="B42" s="513" t="inlineStr">
        <is>
          <t>g1506</t>
        </is>
      </c>
    </row>
    <row r="43">
      <c r="A43" s="513" t="inlineStr">
        <is>
          <t>HIGO|G15 (ใน)</t>
        </is>
      </c>
      <c r="B43" s="513" t="inlineStr">
        <is>
          <t>g1507</t>
        </is>
      </c>
    </row>
    <row r="44">
      <c r="A44" s="513" t="inlineStr">
        <is>
          <t>HIGO|G15 (ใน)</t>
        </is>
      </c>
      <c r="B44" s="513" t="inlineStr">
        <is>
          <t>g1508</t>
        </is>
      </c>
    </row>
    <row r="45">
      <c r="A45" s="513" t="inlineStr">
        <is>
          <t>HIGO|G15 (ใน)</t>
        </is>
      </c>
      <c r="B45" s="513" t="inlineStr">
        <is>
          <t>g1509</t>
        </is>
      </c>
    </row>
    <row r="46">
      <c r="A46" s="513" t="inlineStr">
        <is>
          <t>HIGO|G15 (ใน)</t>
        </is>
      </c>
      <c r="B46" s="513" t="inlineStr">
        <is>
          <t>g1510</t>
        </is>
      </c>
    </row>
    <row r="47">
      <c r="A47" s="513" t="inlineStr">
        <is>
          <t>HIGO|R16 (ใน)</t>
        </is>
      </c>
      <c r="B47" s="513" t="inlineStr">
        <is>
          <t>R1601</t>
        </is>
      </c>
    </row>
    <row r="48">
      <c r="A48" s="513" t="inlineStr">
        <is>
          <t>HIGO|R16 (ใน)</t>
        </is>
      </c>
      <c r="B48" s="513" t="inlineStr">
        <is>
          <t>R1602</t>
        </is>
      </c>
    </row>
    <row r="49">
      <c r="A49" s="513" t="inlineStr">
        <is>
          <t>HIGO|R16 (ใน)</t>
        </is>
      </c>
      <c r="B49" s="513" t="inlineStr">
        <is>
          <t>R1603</t>
        </is>
      </c>
    </row>
    <row r="50">
      <c r="A50" s="513" t="inlineStr">
        <is>
          <t>HIGO|R16 (ใน)</t>
        </is>
      </c>
      <c r="B50" s="513" t="inlineStr">
        <is>
          <t>R1604</t>
        </is>
      </c>
    </row>
    <row r="51">
      <c r="A51" s="513" t="inlineStr">
        <is>
          <t>HIGO|R16 (ใน)</t>
        </is>
      </c>
      <c r="B51" s="513" t="inlineStr">
        <is>
          <t>R1605</t>
        </is>
      </c>
    </row>
    <row r="52">
      <c r="A52" s="513" t="inlineStr">
        <is>
          <t>HIGO|R16 (ใน)</t>
        </is>
      </c>
      <c r="B52" s="513" t="inlineStr">
        <is>
          <t>R1606</t>
        </is>
      </c>
    </row>
    <row r="53">
      <c r="A53" s="513" t="inlineStr">
        <is>
          <t>HIGO|R16 (ใน)</t>
        </is>
      </c>
      <c r="B53" s="513" t="inlineStr">
        <is>
          <t>R1607</t>
        </is>
      </c>
    </row>
    <row r="54">
      <c r="A54" s="513" t="inlineStr">
        <is>
          <t>HIGO|R16 (ใน)</t>
        </is>
      </c>
      <c r="B54" s="513" t="inlineStr">
        <is>
          <t>R1608</t>
        </is>
      </c>
    </row>
    <row r="55">
      <c r="A55" s="513" t="inlineStr">
        <is>
          <t>HIGO|R16 (ใน)</t>
        </is>
      </c>
      <c r="B55" s="513" t="inlineStr">
        <is>
          <t>R1609</t>
        </is>
      </c>
    </row>
    <row r="56">
      <c r="A56" s="513" t="inlineStr">
        <is>
          <t>HIGO|R16 (ใน)</t>
        </is>
      </c>
      <c r="B56" s="513" t="inlineStr">
        <is>
          <t>R1610</t>
        </is>
      </c>
    </row>
    <row r="57">
      <c r="A57" s="513" t="inlineStr">
        <is>
          <t>HIGO|Y18 (ใน)</t>
        </is>
      </c>
      <c r="B57" s="513" t="inlineStr">
        <is>
          <t>Y1801</t>
        </is>
      </c>
    </row>
    <row r="58">
      <c r="A58" s="513" t="inlineStr">
        <is>
          <t>HIGO|Y18 (ใน)</t>
        </is>
      </c>
      <c r="B58" s="513" t="inlineStr">
        <is>
          <t>Y1802</t>
        </is>
      </c>
    </row>
    <row r="59">
      <c r="A59" s="513" t="inlineStr">
        <is>
          <t>HIGO|Y18 (ใน)</t>
        </is>
      </c>
      <c r="B59" s="513" t="inlineStr">
        <is>
          <t>Y1803</t>
        </is>
      </c>
    </row>
    <row r="60">
      <c r="A60" s="513" t="inlineStr">
        <is>
          <t>HIGO|Y18 (ใน)</t>
        </is>
      </c>
      <c r="B60" s="513" t="inlineStr">
        <is>
          <t>Y1804</t>
        </is>
      </c>
    </row>
    <row r="61">
      <c r="A61" s="513" t="inlineStr">
        <is>
          <t>HIGO|Y18 (ใน)</t>
        </is>
      </c>
      <c r="B61" s="513" t="inlineStr">
        <is>
          <t>Y1805</t>
        </is>
      </c>
    </row>
    <row r="62">
      <c r="A62" s="513" t="inlineStr">
        <is>
          <t>HIGO|Y18 (ใน)</t>
        </is>
      </c>
      <c r="B62" s="513" t="inlineStr">
        <is>
          <t>Y1806</t>
        </is>
      </c>
    </row>
    <row r="63">
      <c r="A63" s="513" t="inlineStr">
        <is>
          <t>HIGO|Y18 (ใน)</t>
        </is>
      </c>
      <c r="B63" s="513" t="inlineStr">
        <is>
          <t>Y1807</t>
        </is>
      </c>
    </row>
    <row r="64">
      <c r="A64" s="513" t="inlineStr">
        <is>
          <t>HIGO|Y18 (ใน)</t>
        </is>
      </c>
      <c r="B64" s="513" t="inlineStr">
        <is>
          <t>Y1808</t>
        </is>
      </c>
    </row>
    <row r="65">
      <c r="A65" s="513" t="inlineStr">
        <is>
          <t>HIGO|Y18 (ใน)</t>
        </is>
      </c>
      <c r="B65" s="513" t="inlineStr">
        <is>
          <t>Y1809</t>
        </is>
      </c>
    </row>
    <row r="66">
      <c r="A66" s="513" t="inlineStr">
        <is>
          <t>HIGO|Y18 (ใน)</t>
        </is>
      </c>
      <c r="B66" s="513" t="inlineStr">
        <is>
          <t>Y1810</t>
        </is>
      </c>
    </row>
    <row r="67">
      <c r="A67" s="513" t="inlineStr">
        <is>
          <t>HIGO|P155 (นอก)</t>
        </is>
      </c>
      <c r="B67" s="513" t="inlineStr">
        <is>
          <t>P155-1</t>
        </is>
      </c>
    </row>
    <row r="68">
      <c r="A68" s="513" t="inlineStr">
        <is>
          <t>HIGO|P155 (นอก)</t>
        </is>
      </c>
      <c r="B68" s="513" t="inlineStr">
        <is>
          <t>P155-2</t>
        </is>
      </c>
    </row>
    <row r="69">
      <c r="A69" s="513" t="inlineStr">
        <is>
          <t>HIGO|P155 (นอก)</t>
        </is>
      </c>
      <c r="B69" s="513" t="inlineStr">
        <is>
          <t>P155-3</t>
        </is>
      </c>
    </row>
    <row r="70">
      <c r="A70" s="513" t="inlineStr">
        <is>
          <t>HIGO|P155 (นอก)</t>
        </is>
      </c>
      <c r="B70" s="513" t="inlineStr">
        <is>
          <t>P155-4</t>
        </is>
      </c>
    </row>
    <row r="71">
      <c r="A71" s="513" t="inlineStr">
        <is>
          <t>HIGO|P155 (นอก)</t>
        </is>
      </c>
      <c r="B71" s="513" t="inlineStr">
        <is>
          <t>P155-5</t>
        </is>
      </c>
    </row>
    <row r="72">
      <c r="A72" s="513" t="inlineStr">
        <is>
          <t>HIGO|P155 (นอก)</t>
        </is>
      </c>
      <c r="B72" s="513" t="inlineStr">
        <is>
          <t>P155-6</t>
        </is>
      </c>
    </row>
    <row r="73">
      <c r="A73" s="513" t="inlineStr">
        <is>
          <t>HIGO|WH200 (นอก)</t>
        </is>
      </c>
      <c r="B73" s="513" t="inlineStr">
        <is>
          <t>WH200-1</t>
        </is>
      </c>
    </row>
    <row r="74">
      <c r="A74" s="513" t="inlineStr">
        <is>
          <t>HIGO|WH200 (นอก)</t>
        </is>
      </c>
      <c r="B74" s="513" t="inlineStr">
        <is>
          <t>WH200-2</t>
        </is>
      </c>
    </row>
    <row r="75">
      <c r="A75" s="513" t="inlineStr">
        <is>
          <t>HIGO|WH200 (นอก)</t>
        </is>
      </c>
      <c r="B75" s="513" t="inlineStr">
        <is>
          <t>WH200-3</t>
        </is>
      </c>
    </row>
    <row r="76">
      <c r="A76" s="513" t="inlineStr">
        <is>
          <t>HIGO|WH200 (นอก)</t>
        </is>
      </c>
      <c r="B76" s="513" t="inlineStr">
        <is>
          <t>WH200-4</t>
        </is>
      </c>
    </row>
    <row r="77">
      <c r="A77" s="513" t="inlineStr">
        <is>
          <t>HIGO|WH200 (นอก)</t>
        </is>
      </c>
      <c r="B77" s="513" t="inlineStr">
        <is>
          <t>WH200-5</t>
        </is>
      </c>
    </row>
    <row r="78">
      <c r="A78" s="513" t="inlineStr">
        <is>
          <t>HIGO|WH200 (นอก)</t>
        </is>
      </c>
      <c r="B78" s="513" t="inlineStr">
        <is>
          <t>WH200-6</t>
        </is>
      </c>
    </row>
    <row r="79">
      <c r="A79" s="513" t="inlineStr">
        <is>
          <t>remood|Entree เรียบ</t>
        </is>
      </c>
      <c r="B79" s="513" t="inlineStr">
        <is>
          <t>thai makka</t>
        </is>
      </c>
    </row>
    <row r="80">
      <c r="A80" s="513" t="inlineStr">
        <is>
          <t>remood|Entree เรียบ</t>
        </is>
      </c>
      <c r="B80" s="513" t="inlineStr">
        <is>
          <t>burmese teak</t>
        </is>
      </c>
    </row>
    <row r="81">
      <c r="A81" s="513" t="inlineStr">
        <is>
          <t>remood|Entree เรียบ</t>
        </is>
      </c>
      <c r="B81" s="513" t="inlineStr">
        <is>
          <t>brazilian rosewood</t>
        </is>
      </c>
    </row>
    <row r="82">
      <c r="A82" s="513" t="inlineStr">
        <is>
          <t>remood|Entree มีลาย</t>
        </is>
      </c>
      <c r="B82" s="513" t="inlineStr">
        <is>
          <t>thai makka</t>
        </is>
      </c>
    </row>
    <row r="83">
      <c r="A83" s="513" t="inlineStr">
        <is>
          <t>remood|Entree มีลาย</t>
        </is>
      </c>
      <c r="B83" s="513" t="inlineStr">
        <is>
          <t>burmese teak</t>
        </is>
      </c>
    </row>
    <row r="84">
      <c r="A84" s="513" t="inlineStr">
        <is>
          <t>remood|Entree มีลาย</t>
        </is>
      </c>
      <c r="B84" s="513" t="inlineStr">
        <is>
          <t>brazilian rosewood</t>
        </is>
      </c>
    </row>
    <row r="85">
      <c r="A85" s="513" t="inlineStr">
        <is>
          <t>remood|Entree ชักร่อง</t>
        </is>
      </c>
      <c r="B85" s="513" t="inlineStr">
        <is>
          <t>thai makka</t>
        </is>
      </c>
    </row>
    <row r="86">
      <c r="A86" s="513" t="inlineStr">
        <is>
          <t>remood|Entree ชักร่อง</t>
        </is>
      </c>
      <c r="B86" s="513" t="inlineStr">
        <is>
          <t>burmese teak</t>
        </is>
      </c>
    </row>
    <row r="87">
      <c r="A87" s="513" t="inlineStr">
        <is>
          <t>remood|Entree ชักร่อง</t>
        </is>
      </c>
      <c r="B87" s="513" t="inlineStr">
        <is>
          <t>brazilian rosewood</t>
        </is>
      </c>
    </row>
    <row r="88">
      <c r="A88" s="513" t="inlineStr">
        <is>
          <t>remood|Duratech+ เรียบ13</t>
        </is>
      </c>
      <c r="B88" s="513" t="inlineStr">
        <is>
          <t>american white oak</t>
        </is>
      </c>
    </row>
    <row r="89">
      <c r="A89" s="513" t="inlineStr">
        <is>
          <t>remood|Duratech+ เรียบ13</t>
        </is>
      </c>
      <c r="B89" s="513" t="inlineStr">
        <is>
          <t>burmese teak</t>
        </is>
      </c>
    </row>
    <row r="90">
      <c r="A90" s="513" t="inlineStr">
        <is>
          <t>remood|Duratech+ เรียบ13</t>
        </is>
      </c>
      <c r="B90" s="513" t="inlineStr">
        <is>
          <t>brazilian rosewood</t>
        </is>
      </c>
    </row>
    <row r="91">
      <c r="A91" s="513" t="inlineStr">
        <is>
          <t>remood|Duratech+ เรียบ16</t>
        </is>
      </c>
      <c r="B91" s="513" t="inlineStr">
        <is>
          <t>american white oak</t>
        </is>
      </c>
    </row>
    <row r="92">
      <c r="A92" s="513" t="inlineStr">
        <is>
          <t>remood|Duratech+ เรียบ16</t>
        </is>
      </c>
      <c r="B92" s="513" t="inlineStr">
        <is>
          <t>burmese teak</t>
        </is>
      </c>
    </row>
    <row r="93">
      <c r="A93" s="513" t="inlineStr">
        <is>
          <t>remood|Duratech+ เรียบ16</t>
        </is>
      </c>
      <c r="B93" s="513" t="inlineStr">
        <is>
          <t>brazilian rosewood</t>
        </is>
      </c>
    </row>
    <row r="94">
      <c r="A94" s="513" t="inlineStr">
        <is>
          <t>remood|Duratech+ เรียบ14</t>
        </is>
      </c>
      <c r="B94" s="513" t="inlineStr">
        <is>
          <t>american white oak</t>
        </is>
      </c>
    </row>
    <row r="95">
      <c r="A95" s="513" t="inlineStr">
        <is>
          <t>remood|Duratech+ เรียบ14</t>
        </is>
      </c>
      <c r="B95" s="513" t="inlineStr">
        <is>
          <t>burmese teak</t>
        </is>
      </c>
    </row>
    <row r="96">
      <c r="A96" s="513" t="inlineStr">
        <is>
          <t>remood|Duratech+ เรียบ14</t>
        </is>
      </c>
      <c r="B96" s="513" t="inlineStr">
        <is>
          <t>brazilian rosewood</t>
        </is>
      </c>
    </row>
    <row r="97">
      <c r="A97" s="513" t="inlineStr">
        <is>
          <t>remood|Duratech+ ชักร่อง15</t>
        </is>
      </c>
      <c r="B97" s="513" t="inlineStr">
        <is>
          <t>american white oak</t>
        </is>
      </c>
    </row>
    <row r="98">
      <c r="A98" s="513" t="inlineStr">
        <is>
          <t>remood|Duratech+ ชักร่อง15</t>
        </is>
      </c>
      <c r="B98" s="513" t="inlineStr">
        <is>
          <t>burmese teak</t>
        </is>
      </c>
    </row>
    <row r="99">
      <c r="A99" s="513" t="inlineStr">
        <is>
          <t>remood|Duratech+ ชักร่อง15</t>
        </is>
      </c>
      <c r="B99" s="513" t="inlineStr">
        <is>
          <t>brazilian rosewood</t>
        </is>
      </c>
    </row>
    <row r="100">
      <c r="A100" s="513" t="inlineStr">
        <is>
          <t>remood|Duratech+ ชักร่อง21</t>
        </is>
      </c>
      <c r="B100" s="513" t="inlineStr">
        <is>
          <t>american white oak</t>
        </is>
      </c>
    </row>
    <row r="101">
      <c r="A101" s="513" t="inlineStr">
        <is>
          <t>remood|Duratech+ ชักร่อง21</t>
        </is>
      </c>
      <c r="B101" s="513" t="inlineStr">
        <is>
          <t>burmese teak</t>
        </is>
      </c>
    </row>
    <row r="102">
      <c r="A102" s="513" t="inlineStr">
        <is>
          <t>remood|Duratech+ ชักร่อง21</t>
        </is>
      </c>
      <c r="B102" s="513" t="inlineStr">
        <is>
          <t>brazilian rosewood</t>
        </is>
      </c>
    </row>
    <row r="103">
      <c r="A103" s="513" t="inlineStr">
        <is>
          <t>remood|LIGHT+ เรียบ12</t>
        </is>
      </c>
      <c r="B103" s="513" t="inlineStr">
        <is>
          <t>american white oak</t>
        </is>
      </c>
    </row>
    <row r="104">
      <c r="A104" s="513" t="inlineStr">
        <is>
          <t>remood|LIGHT+ เรียบ12</t>
        </is>
      </c>
      <c r="B104" s="513" t="inlineStr">
        <is>
          <t>burmese teak</t>
        </is>
      </c>
    </row>
    <row r="105">
      <c r="A105" s="513" t="inlineStr">
        <is>
          <t>remood|LIGHT+ เรียบ12</t>
        </is>
      </c>
      <c r="B105" s="513" t="inlineStr">
        <is>
          <t>brazilian rosewood</t>
        </is>
      </c>
    </row>
    <row r="106">
      <c r="A106" s="513" t="inlineStr">
        <is>
          <t>remood|LIGHT+ ลอนเล็ก</t>
        </is>
      </c>
      <c r="B106" s="513" t="inlineStr">
        <is>
          <t>american white oak</t>
        </is>
      </c>
    </row>
    <row r="107">
      <c r="A107" s="513" t="inlineStr">
        <is>
          <t>remood|LIGHT+ ลอนเล็ก</t>
        </is>
      </c>
      <c r="B107" s="513" t="inlineStr">
        <is>
          <t>burmese teak</t>
        </is>
      </c>
    </row>
    <row r="108">
      <c r="A108" s="513" t="inlineStr">
        <is>
          <t>remood|LIGHT+ ลอนเล็ก</t>
        </is>
      </c>
      <c r="B108" s="513" t="inlineStr">
        <is>
          <t>brazilian rosewood</t>
        </is>
      </c>
    </row>
    <row r="109">
      <c r="A109" s="513" t="inlineStr">
        <is>
          <t>remood|LIGHT+ ชักร่อง16</t>
        </is>
      </c>
      <c r="B109" s="513" t="inlineStr">
        <is>
          <t>american white oak</t>
        </is>
      </c>
    </row>
    <row r="110">
      <c r="A110" s="513" t="inlineStr">
        <is>
          <t>remood|LIGHT+ ชักร่อง16</t>
        </is>
      </c>
      <c r="B110" s="513" t="inlineStr">
        <is>
          <t>burmese teak</t>
        </is>
      </c>
    </row>
    <row r="111">
      <c r="A111" s="513" t="inlineStr">
        <is>
          <t>remood|LIGHT+ ชักร่อง16</t>
        </is>
      </c>
      <c r="B111" s="513" t="inlineStr">
        <is>
          <t>brazilian rosewood</t>
        </is>
      </c>
    </row>
    <row r="112">
      <c r="A112" s="513" t="inlineStr">
        <is>
          <t>remood|LIGHT+ ชักร่อง21</t>
        </is>
      </c>
      <c r="B112" s="513" t="inlineStr">
        <is>
          <t>american white oak</t>
        </is>
      </c>
    </row>
    <row r="113">
      <c r="A113" s="513" t="inlineStr">
        <is>
          <t>remood|LIGHT+ ชักร่อง21</t>
        </is>
      </c>
      <c r="B113" s="513" t="inlineStr">
        <is>
          <t>burmese teak</t>
        </is>
      </c>
    </row>
    <row r="114">
      <c r="A114" s="513" t="inlineStr">
        <is>
          <t>remood|LIGHT+ ชักร่อง21</t>
        </is>
      </c>
      <c r="B114" s="513" t="inlineStr">
        <is>
          <t>brazilian rosewood</t>
        </is>
      </c>
    </row>
    <row r="115">
      <c r="A115" s="513" t="inlineStr">
        <is>
          <t>remood|Duralight+ เรียบ15</t>
        </is>
      </c>
      <c r="B115" s="513" t="inlineStr">
        <is>
          <t>american white oak</t>
        </is>
      </c>
    </row>
    <row r="116">
      <c r="A116" s="513" t="inlineStr">
        <is>
          <t>remood|Duralight+ เรียบ15</t>
        </is>
      </c>
      <c r="B116" s="513" t="inlineStr">
        <is>
          <t>burmese teak</t>
        </is>
      </c>
    </row>
    <row r="117">
      <c r="A117" s="513" t="inlineStr">
        <is>
          <t>remood|Duralight+ ชักร่อง</t>
        </is>
      </c>
      <c r="B117" s="513" t="inlineStr">
        <is>
          <t>american white oak</t>
        </is>
      </c>
    </row>
    <row r="118">
      <c r="A118" s="513" t="inlineStr">
        <is>
          <t>remood|Duralight+ ชักร่อง</t>
        </is>
      </c>
      <c r="B118" s="513" t="inlineStr">
        <is>
          <t>burmese teak</t>
        </is>
      </c>
    </row>
  </sheetData>
  <hyperlinks>
    <hyperlink ref="G1" location="'สารบัญ'!A1" display="🏠 สารบัญ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tabColor rgb="00A6A6A6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5.9" customWidth="1" style="129" min="1" max="1"/>
    <col width="24" customWidth="1" style="129" min="2" max="2"/>
    <col width="8.6" customWidth="1" style="129" min="7" max="7"/>
    <col width="13.8" customWidth="1" style="129" min="8" max="8"/>
    <col width="8.6" customWidth="1" style="129" min="9" max="9"/>
    <col width="7.5" customWidth="1" style="129" min="10" max="10"/>
    <col width="8.6" customWidth="1" style="129" min="11" max="11"/>
    <col width="7.5" customWidth="1" style="129" min="12" max="12"/>
  </cols>
  <sheetData>
    <row r="1">
      <c r="A1" s="535" t="inlineStr">
        <is>
          <t>✅ เช็กขนาดกระจกผลิตได้</t>
        </is>
      </c>
      <c r="D1" s="643" t="n"/>
      <c r="G1" s="753" t="inlineStr">
        <is>
          <t>🏠 สารบัญ</t>
        </is>
      </c>
      <c r="H1" s="764" t="inlineStr">
        <is>
          <t>ประเภท</t>
        </is>
      </c>
      <c r="I1" s="536" t="inlineStr">
        <is>
          <t>minกว้าง</t>
        </is>
      </c>
      <c r="J1" s="536" t="inlineStr">
        <is>
          <t>minยาว</t>
        </is>
      </c>
      <c r="K1" s="536" t="inlineStr">
        <is>
          <t>maxกว้าง</t>
        </is>
      </c>
      <c r="L1" s="536" t="inlineStr">
        <is>
          <t>maxยาว</t>
        </is>
      </c>
    </row>
    <row r="2">
      <c r="H2" s="536" t="inlineStr">
        <is>
          <t>ลามิเนต</t>
        </is>
      </c>
      <c r="I2" s="536" t="n">
        <v>250</v>
      </c>
      <c r="J2" s="536" t="n">
        <v>620</v>
      </c>
      <c r="K2" s="536" t="n">
        <v>2800</v>
      </c>
      <c r="L2" s="536" t="n">
        <v>6000</v>
      </c>
    </row>
    <row r="3">
      <c r="A3" s="537" t="n"/>
      <c r="H3" s="536" t="inlineStr">
        <is>
          <t>กระจกใส 5มม.</t>
        </is>
      </c>
      <c r="I3" s="536" t="n">
        <v>0</v>
      </c>
      <c r="J3" s="536" t="n">
        <v>0</v>
      </c>
      <c r="K3" s="536" t="n">
        <v>2743</v>
      </c>
      <c r="L3" s="536" t="n">
        <v>3658</v>
      </c>
    </row>
    <row r="4">
      <c r="A4" s="538" t="n"/>
      <c r="B4" s="539" t="n">
        <v>1000</v>
      </c>
      <c r="H4" s="536" t="inlineStr">
        <is>
          <t>กระจกใส 4มม.</t>
        </is>
      </c>
      <c r="I4" s="536" t="n">
        <v>0</v>
      </c>
      <c r="J4" s="536" t="n">
        <v>0</v>
      </c>
      <c r="K4" s="536" t="n">
        <v>2667</v>
      </c>
      <c r="L4" s="536" t="n">
        <v>3658</v>
      </c>
    </row>
    <row r="5">
      <c r="A5" s="538" t="n"/>
      <c r="B5" s="539" t="n">
        <v>2000</v>
      </c>
      <c r="H5" s="536" t="inlineStr">
        <is>
          <t>อื่นๆ (ไม่จำกัด)</t>
        </is>
      </c>
      <c r="I5" s="536" t="n">
        <v>0</v>
      </c>
      <c r="J5" s="536" t="n">
        <v>0</v>
      </c>
      <c r="K5" s="536" t="n">
        <v>99999</v>
      </c>
      <c r="L5" s="536" t="n">
        <v>99999</v>
      </c>
    </row>
    <row r="6">
      <c r="A6" s="538" t="n"/>
      <c r="B6" s="539" t="inlineStr">
        <is>
          <t>ลามิเนต</t>
        </is>
      </c>
    </row>
    <row r="8">
      <c r="A8" s="540" t="inlineStr">
        <is>
          <t>ด้านสั้น (มม.) =</t>
        </is>
      </c>
      <c r="B8" s="140">
        <f>MIN(B4,B5)</f>
        <v/>
      </c>
    </row>
    <row r="9">
      <c r="A9" s="540" t="inlineStr">
        <is>
          <t>ด้านยาว (มม.) =</t>
        </is>
      </c>
      <c r="B9" s="140">
        <f>MAX(B4,B5)</f>
        <v/>
      </c>
    </row>
    <row r="10">
      <c r="A10" s="540" t="inlineStr">
        <is>
          <t>ขีดจำกัด =</t>
        </is>
      </c>
      <c r="B10" s="140">
        <f>VLOOKUP(B6,$H$2:$L$5,2,0)&amp;"×"&amp;VLOOKUP(B6,$H$2:$L$5,3,0)&amp;" ถึง "&amp;VLOOKUP(B6,$H$2:$L$5,4,0)&amp;"×"&amp;VLOOKUP(B6,$H$2:$L$5,5,0)&amp;" มม."</f>
        <v/>
      </c>
    </row>
    <row r="12">
      <c r="A12" s="398" t="inlineStr">
        <is>
          <t>ผลลัพธ์ →</t>
        </is>
      </c>
      <c r="B12" s="398">
        <f>IF(OR(B4="",B5=""),"กรอกขนาด",IF(AND(B8&gt;=VLOOKUP(B6,$H$2:$L$5,2,0),B9&gt;=VLOOKUP(B6,$H$2:$L$5,3,0),B8&lt;=VLOOKUP(B6,$H$2:$L$5,4,0),B9&lt;=VLOOKUP(B6,$H$2:$L$5,5,0)),"✅ ผลิตได้","❌ ผลิตไม่ได้: "&amp;IF(B8&lt;VLOOKUP(B6,$H$2:$L$5,2,0),"ด้านสั้นเล็กกว่า "&amp;VLOOKUP(B6,$H$2:$L$5,2,0)&amp;"มม. ","")&amp;IF(B9&lt;VLOOKUP(B6,$H$2:$L$5,3,0),"ด้านยาวสั้นกว่า "&amp;VLOOKUP(B6,$H$2:$L$5,3,0)&amp;"มม. ","")&amp;IF(B8&gt;VLOOKUP(B6,$H$2:$L$5,4,0),"ด้านสั้นเกิน "&amp;VLOOKUP(B6,$H$2:$L$5,4,0)&amp;"มม. ","")&amp;IF(B9&gt;VLOOKUP(B6,$H$2:$L$5,5,0),"ด้านยาวเกิน "&amp;VLOOKUP(B6,$H$2:$L$5,5,0)&amp;"มม. ","")))</f>
        <v/>
      </c>
    </row>
    <row r="14">
      <c r="A14" s="441" t="inlineStr">
        <is>
          <t>หมายเหตุ: ลามิเนต 250×620 – 2,800×6,000 มม. | ใส5มม. สูงสุด 108"×144" (2743×3658) | ใส4มม. 105"×144" (2667×3658)</t>
        </is>
      </c>
    </row>
  </sheetData>
  <mergeCells count="4">
    <mergeCell ref="A1:C1"/>
    <mergeCell ref="A14:F14"/>
    <mergeCell ref="B12:E12"/>
    <mergeCell ref="A3:C3"/>
  </mergeCells>
  <dataValidations count="1">
    <dataValidation sqref="B6" showDropDown="0" showInputMessage="0" showErrorMessage="0" allowBlank="0" type="list">
      <formula1>=$H$2:$H$5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tabColor rgb="00ED7D31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7.5" customWidth="1" style="129" min="2" max="2"/>
    <col width="10.7" customWidth="1" style="129" min="3" max="3"/>
    <col width="9.6" customWidth="1" style="129" min="4" max="4"/>
    <col width="7.5" customWidth="1" style="129" min="5" max="5"/>
    <col width="8.6" customWidth="1" style="129" min="7" max="7"/>
  </cols>
  <sheetData>
    <row r="1">
      <c r="A1" s="527" t="inlineStr">
        <is>
          <t>คิดทุนหลังคา (ขนาดอิสระ — กรอกกว้าง×ยื่น คำนวณเอง)</t>
        </is>
      </c>
      <c r="B1" s="643" t="n"/>
      <c r="E1" s="287">
        <f>IF(B2="โพลีตัน",122,IF(OR(B2="ชินโคร์ HC",B2="ชินโคร์ Sup",B2="ชินโคร์ Shade",B2="ชินโคร์ Prime"),138,100))</f>
        <v/>
      </c>
      <c r="G1" s="753" t="inlineStr">
        <is>
          <t>🏠 สารบัญ</t>
        </is>
      </c>
      <c r="H1" s="754" t="n"/>
    </row>
    <row r="2">
      <c r="A2" s="287" t="inlineStr">
        <is>
          <t>ชนิดหลังคา →</t>
        </is>
      </c>
      <c r="B2" s="528">
        <f>'คิดทุน หลังคา (รวม)'!B4</f>
        <v/>
      </c>
      <c r="E2" s="287">
        <f>CEILING(B3/E1,1)+1</f>
        <v/>
      </c>
    </row>
    <row r="3">
      <c r="A3" s="287" t="inlineStr">
        <is>
          <t>กว้าง (ซม.) →</t>
        </is>
      </c>
      <c r="B3" s="528">
        <f>'คิดทุน หลังคา (รวม)'!B9</f>
        <v/>
      </c>
      <c r="E3" s="287">
        <f>(B3/100)*(B4/100)</f>
        <v/>
      </c>
    </row>
    <row r="4">
      <c r="A4" s="287" t="inlineStr">
        <is>
          <t>ยื่น (ซม.) →</t>
        </is>
      </c>
      <c r="B4" s="528">
        <f>'คิดทุน หลังคา (รวม)'!B10</f>
        <v/>
      </c>
      <c r="E4" s="287">
        <f>E2*ROUNDUP(B4/600,0)</f>
        <v/>
      </c>
    </row>
    <row r="5">
      <c r="A5" s="287" t="inlineStr">
        <is>
          <t>แป →</t>
        </is>
      </c>
      <c r="B5" s="528">
        <f>'คิดทุน หลังคา (รวม)'!B5</f>
        <v/>
      </c>
      <c r="E5" s="287">
        <f>CEILING(B4/50,1)+1</f>
        <v/>
      </c>
    </row>
    <row r="6">
      <c r="A6" s="538" t="inlineStr">
        <is>
          <t>ปลายหลังคา →</t>
        </is>
      </c>
      <c r="B6" s="541">
        <f>'คิดทุน หลังคา (รวม)'!B6</f>
        <v/>
      </c>
      <c r="E6" s="287">
        <f>E5*ROUNDUP(B3/600,0)</f>
        <v/>
      </c>
    </row>
    <row r="7">
      <c r="E7" s="287">
        <f>IF(B4&lt;=300,3,IF(B4&lt;=400,4,IF(B4&lt;=500,5,6)))</f>
        <v/>
      </c>
    </row>
    <row r="8">
      <c r="A8" s="529" t="inlineStr">
        <is>
          <t>รายการวัสดุ</t>
        </is>
      </c>
      <c r="B8" s="529" t="inlineStr">
        <is>
          <t>จำนวน</t>
        </is>
      </c>
      <c r="C8" s="529" t="inlineStr">
        <is>
          <t>ราคา/หน่วย</t>
        </is>
      </c>
      <c r="D8" s="529" t="inlineStr">
        <is>
          <t>ทุน (บาท)</t>
        </is>
      </c>
      <c r="E8" s="287">
        <f>IF(B2="ไวนิล",CEILING(CEILING(B3/25,1)/MAX(1,INT(700/B4)),1)*ราคาวัสดุ!D14,IF(B2="ดีไลท์",CEILING(B3/100,1)*ราคาวัสดุ!D16,IF(B2="โพลีตัน",CEILING(B3/122,1)*ROUNDUP(B4/100,0)*ราคาวัสดุ!D17,IF(B2="ชินโคร์ HC",CEILING(B3/138,1)*(1.38*E7)*ราคาวัสดุ!D19,IF(B2="ชินโคร์ Sup",CEILING(B3/138,1)*(1.38*E7)*ราคาวัสดุ!D20,IF(B2="ชินโคร์ Shade",CEILING(B3/138,1)*(1.38*E7)*ราคาวัสดุ!D24,IF(B2="ชินโคร์ Prime",CEILING(B3/138,1)*(1.38*E7)*ราคาวัสดุ!D25,IF(OR(B2="เมทัลชีท",B2="เมทัลชีท EPS"),CEILING(B3/34,1)*(0.34*B4/100)*IF(B2="เมทัลชีท EPS",ราคาวัสดุ!D27,ราคาวัสดุ!D21),IF(B2="กระจก 4+4",E3*ราคาวัสดุ!D22,IF(B2="กระจก 5+5",E3*ราคาวัสดุ!D23,0))))))))))</f>
        <v/>
      </c>
    </row>
    <row r="9">
      <c r="A9" s="140" t="inlineStr">
        <is>
          <t>ปลายหลังคา/รางน้ำ</t>
        </is>
      </c>
      <c r="D9" s="140">
        <f>IF(B6="ปิดปลาย",ROUND(201*mult_mtong*1*B3/100,0),IF(B6="รางน้ำอลู",ROUNDUP(B3/600,0)*1*ROUND(2273*mult_mtong,0),IF(B6="รางน้ำสแตน M",ROUND(990*1*B3/100,0),IF(B6="รางน้ำสแตน L",ROUND(1035*1*B3/100,0),0))))</f>
        <v/>
      </c>
      <c r="E9" s="287">
        <f>IF(B2="ไวนิล",CEILING(B3/25,1)*ราคาวัสดุ!D15,IF(B2="โพลีตัน",E2*ราคาวัสดุ!D18,0))</f>
        <v/>
      </c>
    </row>
    <row r="10">
      <c r="A10" s="287" t="inlineStr">
        <is>
          <t>จันทัน 1.6×4 (วิ่งรอบ+ซอย)</t>
        </is>
      </c>
      <c r="B10" s="287">
        <f>((2*B3+E2*B4)/600)*buf_scrap</f>
        <v/>
      </c>
      <c r="C10" s="287">
        <f>'คิดทุน หลังคา (รวม)'!$F$4</f>
        <v/>
      </c>
      <c r="D10" s="287">
        <f>B10*C10</f>
        <v/>
      </c>
    </row>
    <row r="11">
      <c r="A11" s="287" t="inlineStr">
        <is>
          <t>แป (เดี่ยว 1.6×1.6 / คู่ 1×1½)</t>
        </is>
      </c>
      <c r="B11" s="287">
        <f>(E5*IF(B5="แปคู่",2,1)*B3/600)*buf_scrap</f>
        <v/>
      </c>
      <c r="C11" s="287">
        <f>IF(B5="แปคู่",'คิดทุน หลังคา (รวม)'!$F$6,'คิดทุน หลังคา (รวม)'!$F$5)</f>
        <v/>
      </c>
      <c r="D11" s="287">
        <f>B11*C11</f>
        <v/>
      </c>
    </row>
    <row r="12">
      <c r="A12" s="287" t="inlineStr">
        <is>
          <t>ฉาก 6 หุน</t>
        </is>
      </c>
      <c r="B12" s="287">
        <f>(B3/600)*buf_scrap</f>
        <v/>
      </c>
      <c r="C12" s="287">
        <f>ราคาวัสดุ!D7</f>
        <v/>
      </c>
      <c r="D12" s="287">
        <f>B12*C12</f>
        <v/>
      </c>
    </row>
    <row r="13">
      <c r="A13" s="287" t="inlineStr">
        <is>
          <t>แซด 4"</t>
        </is>
      </c>
      <c r="B13" s="287">
        <f>(B3/600)*buf_scrap</f>
        <v/>
      </c>
      <c r="C13" s="287">
        <f>ราคาวัสดุ!D8</f>
        <v/>
      </c>
      <c r="D13" s="287">
        <f>B13*C13</f>
        <v/>
      </c>
    </row>
    <row r="14">
      <c r="A14" s="287" t="inlineStr">
        <is>
          <t>กล่องเหล็ก 1"×1"</t>
        </is>
      </c>
      <c r="B14" s="287">
        <f>E2*(B4/600)*buf_scrap</f>
        <v/>
      </c>
      <c r="C14" s="287">
        <f>ราคาวัสดุ!D9</f>
        <v/>
      </c>
      <c r="D14" s="287">
        <f>B14*C14</f>
        <v/>
      </c>
    </row>
    <row r="15">
      <c r="A15" s="287" t="inlineStr">
        <is>
          <t>เพลทเหล็ก</t>
        </is>
      </c>
      <c r="B15" s="287">
        <f>2*E2</f>
        <v/>
      </c>
      <c r="C15" s="287">
        <f>ราคาวัสดุ!D10</f>
        <v/>
      </c>
      <c r="D15" s="287">
        <f>B15*C15</f>
        <v/>
      </c>
    </row>
    <row r="16">
      <c r="A16" s="287" t="inlineStr">
        <is>
          <t>แผ่นหลังคา</t>
        </is>
      </c>
      <c r="D16" s="287">
        <f>E8</f>
        <v/>
      </c>
    </row>
    <row r="17">
      <c r="A17" s="287" t="inlineStr">
        <is>
          <t>ฝาครอบ</t>
        </is>
      </c>
      <c r="D17" s="287">
        <f>E9</f>
        <v/>
      </c>
    </row>
    <row r="18">
      <c r="A18" s="287" t="inlineStr">
        <is>
          <t>ค่าแรงผลิต</t>
        </is>
      </c>
      <c r="D18" s="287">
        <f>MAX(0,VLOOKUP("หลังคา",ค่าแรง!$A$12:$E$27,2,0)+VLOOKUP("หลังคา",ค่าแรง!$A$12:$E$27,3,0)*E3)</f>
        <v/>
      </c>
    </row>
    <row r="19">
      <c r="A19" s="287" t="inlineStr">
        <is>
          <t>ค่าแรงติดตั้ง</t>
        </is>
      </c>
      <c r="D19" s="287">
        <f>MAX(0,VLOOKUP("หลังคา",ค่าแรง!$A$12:$E$27,4,0)+VLOOKUP("หลังคา",ค่าแรง!$A$12:$E$27,5,0)*E3)</f>
        <v/>
      </c>
    </row>
    <row r="20">
      <c r="A20" s="287" t="inlineStr">
        <is>
          <t>ทุนวัสดุรวม</t>
        </is>
      </c>
      <c r="D20" s="530">
        <f>SUM(D9:D17)+D24+D25+D26</f>
        <v/>
      </c>
    </row>
    <row r="21">
      <c r="A21" s="287" t="inlineStr">
        <is>
          <t>ทุนรวม (วัสดุ+ค่าแรง)</t>
        </is>
      </c>
      <c r="D21" s="530">
        <f>D20+D18+D19</f>
        <v/>
      </c>
    </row>
    <row r="22">
      <c r="A22" s="287" t="inlineStr">
        <is>
          <t>ทุน/ตร.ม.</t>
        </is>
      </c>
      <c r="D22" s="287">
        <f>IFERROR(D21/E3,0)</f>
        <v/>
      </c>
    </row>
    <row r="23">
      <c r="A23" s="287" t="inlineStr">
        <is>
          <t>ราคาขาย/ชุด (ทุน×2)</t>
        </is>
      </c>
      <c r="D23" s="531">
        <f>ROUNDUP(D21*2/100,0)*100</f>
        <v/>
      </c>
    </row>
    <row r="24">
      <c r="A24" s="781" t="inlineStr">
        <is>
          <t>กล่องครอบเพลท 1.6×4 (1/3 ยื่น × จันทัน)</t>
        </is>
      </c>
      <c r="B24" s="140">
        <f>((B4/3*E2)/600)*buf_scrap</f>
        <v/>
      </c>
      <c r="C24" s="140">
        <f>ราคาวัสดุ!D4</f>
        <v/>
      </c>
      <c r="D24" s="140">
        <f>B24*C24</f>
        <v/>
      </c>
    </row>
    <row r="25">
      <c r="A25" s="781" t="inlineStr">
        <is>
          <t>กล่องรัดรอบ 1×1½ (รอบทุกด้าน)</t>
        </is>
      </c>
      <c r="B25" s="140">
        <f>(2*(B3+B4)/600)*buf_scrap</f>
        <v/>
      </c>
      <c r="C25" s="140">
        <f>ราคาวัสดุ!D6</f>
        <v/>
      </c>
      <c r="D25" s="140">
        <f>B25*C25</f>
        <v/>
      </c>
    </row>
    <row r="26">
      <c r="A26" s="140" t="inlineStr">
        <is>
          <t>ค่าอบสี (อลู · ทุกตัว)</t>
        </is>
      </c>
      <c r="D26" s="140">
        <f>6*(IF('คิดทุน หลังคา (รวม)'!$F$3="อลู",B10*'คิดทุน หลังคา (รวม)'!$I$10+B11*IF($B$5="แปคู่",'คิดทุน หลังคา (รวม)'!$I$12,'คิดทุน หลังคา (รวม)'!$I$11),0)+B12*'คิดทุน หลังคา (รวม)'!$I$13+B13*'คิดทุน หลังคา (รวม)'!$I$14+B24*'คิดทุน หลังคา (รวม)'!$I$10+B25*'คิดทุน หลังคา (รวม)'!$I$12)*'คิดทุน หลังคา (รวม)'!$F$9</f>
        <v/>
      </c>
    </row>
  </sheetData>
  <dataValidations count="3">
    <dataValidation sqref="B2" showDropDown="0" showInputMessage="0" showErrorMessage="0" allowBlank="1" type="list">
      <formula1>"ไวนิล,ดีไลท์,โพลีตัน,ชินโคร์ HC,ชินโคร์ Sup,เมทัลชีท,กระจก 4+4,กระจก 5+5,ชินโคร์ Shade,ชินโคร์ Prime,เมทัลชีท EPS"</formula1>
    </dataValidation>
    <dataValidation sqref="B5" showDropDown="0" showInputMessage="0" showErrorMessage="0" allowBlank="1" type="list">
      <formula1>"แปเดี่ยว,แปคู่"</formula1>
    </dataValidation>
    <dataValidation sqref="B6" showDropDown="0" showInputMessage="0" showErrorMessage="0" allowBlank="0" type="list">
      <formula1>"ยื่นปลาย,ปิดปลาย,รางน้ำอลู,รางน้ำสแตน M,รางน้ำสแตน L"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tabColor rgb="00ED7D31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7.5" customWidth="1" style="129" min="2" max="2"/>
    <col width="10.7" customWidth="1" style="129" min="3" max="3"/>
    <col width="9.6" customWidth="1" style="129" min="4" max="4"/>
    <col width="7.5" customWidth="1" style="129" min="5" max="5"/>
    <col width="8.6" customWidth="1" style="129" min="7" max="7"/>
  </cols>
  <sheetData>
    <row r="1">
      <c r="A1" s="398" t="inlineStr">
        <is>
          <t>คิดทุนหลังคาจั่ว (ขนาดอิสระ — กว้าง×ลึก×สูง คำนวณเฉียง 2 ด้าน + คาน T)</t>
        </is>
      </c>
      <c r="B1" s="643" t="n"/>
      <c r="E1" s="140">
        <f>IF(B2="โพลีตัน",122,IF(OR(B2="ชินโคร์ HC",B2="ชินโคร์ Sup",B2="ชินโคร์ Shade",B2="ชินโคร์ Prime"),138,100))</f>
        <v/>
      </c>
      <c r="G1" s="753" t="inlineStr">
        <is>
          <t>🏠 สารบัญ</t>
        </is>
      </c>
      <c r="H1" s="754" t="n"/>
    </row>
    <row r="2">
      <c r="A2" s="140" t="inlineStr">
        <is>
          <t>ชนิดหลังคา →</t>
        </is>
      </c>
      <c r="B2" s="483">
        <f>'คิดทุน หลังคา (รวม)'!B4</f>
        <v/>
      </c>
      <c r="E2" s="140">
        <f>ROUND(SQRT((B3/2)^2+B5^2),1)</f>
        <v/>
      </c>
    </row>
    <row r="3">
      <c r="A3" s="140" t="inlineStr">
        <is>
          <t>กว้าง W (ซม.) →</t>
        </is>
      </c>
      <c r="B3" s="483">
        <f>'คิดทุน หลังคา (รวม)'!B9</f>
        <v/>
      </c>
      <c r="E3" s="140">
        <f>CEILING(B4/E1,1)+1</f>
        <v/>
      </c>
    </row>
    <row r="4">
      <c r="A4" s="140" t="inlineStr">
        <is>
          <t>ลึก D (ซม.) →</t>
        </is>
      </c>
      <c r="B4" s="483">
        <f>'คิดทุน หลังคา (รวม)'!B10</f>
        <v/>
      </c>
      <c r="E4" s="140">
        <f>(B3/100)*(B4/100)</f>
        <v/>
      </c>
    </row>
    <row r="5">
      <c r="A5" s="140" t="inlineStr">
        <is>
          <t>สูงยอดจั่ว H (ซม.) →</t>
        </is>
      </c>
      <c r="B5" s="483">
        <f>'คิดทุน หลังคา (รวม)'!B11</f>
        <v/>
      </c>
      <c r="E5" s="140">
        <f>IF(E2&lt;=300,3,IF(E2&lt;=400,4,IF(E2&lt;=500,5,6)))</f>
        <v/>
      </c>
    </row>
    <row r="6">
      <c r="A6" s="140" t="inlineStr">
        <is>
          <t>แป →</t>
        </is>
      </c>
      <c r="B6" s="483">
        <f>'คิดทุน หลังคา (รวม)'!B5</f>
        <v/>
      </c>
      <c r="E6" s="140">
        <f>2*IF(B2="ไวนิล",CEILING(CEILING(B4/25,1)/MAX(1,INT(700/E2)),1)*ราคาวัสดุ!D14,IF(B2="ดีไลท์",CEILING(B4/100,1)*ราคาวัสดุ!D16,IF(B2="โพลีตัน",CEILING(B4/122,1)*ROUNDUP(E2/100,0)*ราคาวัสดุ!D17,IF(B2="ชินโคร์ HC",CEILING(B4/138,1)*(1.38*E5)*ราคาวัสดุ!D19,IF(B2="ชินโคร์ Sup",CEILING(B4/138,1)*(1.38*E5)*ราคาวัสดุ!D20,IF(B2="ชินโคร์ Shade",CEILING(B4/138,1)*(1.38*E5)*ราคาวัสดุ!D24,IF(B2="ชินโคร์ Prime",CEILING(B4/138,1)*(1.38*E5)*ราคาวัสดุ!D25,IF(OR(B2="เมทัลชีท",B2="เมทัลชีท EPS"),CEILING(B4/34,1)*(0.34*E2/100)*IF(B2="เมทัลชีท EPS",ราคาวัสดุ!D27,ราคาวัสดุ!D21),IF(B2="กระจก 4+4",(B4/100)*(E2/100)*ราคาวัสดุ!D22,IF(B2="กระจก 5+5",(B4/100)*(E2/100)*ราคาวัสดุ!D23,0))))))))))</f>
        <v/>
      </c>
    </row>
    <row r="7">
      <c r="A7" s="538" t="inlineStr">
        <is>
          <t>ปลายหลังคา →</t>
        </is>
      </c>
      <c r="B7" s="541">
        <f>'คิดทุน หลังคา (รวม)'!B6</f>
        <v/>
      </c>
      <c r="E7" s="140">
        <f>2*IF(B2="ไวนิล",CEILING(B4/25,1)*ราคาวัสดุ!D15,IF(B2="โพลีตัน",E3*ราคาวัสดุ!D18,0))</f>
        <v/>
      </c>
    </row>
    <row r="8">
      <c r="A8" s="140" t="inlineStr">
        <is>
          <t>ปลายหลังคา/รางน้ำ (2 ชายคา)</t>
        </is>
      </c>
      <c r="D8" s="140">
        <f>IF(B7="ปิดปลาย",ROUND(201*mult_mtong*2*B4/100,0),IF(B7="รางน้ำอลู",ROUNDUP(B4/600,0)*2*ROUND(2273*mult_mtong,0),IF(B7="รางน้ำสแตน M",ROUND(990*2*B4/100,0),IF(B7="รางน้ำสแตน L",ROUND(1035*2*B4/100,0),0))))</f>
        <v/>
      </c>
    </row>
    <row r="9">
      <c r="A9" s="140" t="inlineStr">
        <is>
          <t>รายการวัสดุ</t>
        </is>
      </c>
      <c r="B9" s="140" t="inlineStr">
        <is>
          <t>จำนวน</t>
        </is>
      </c>
      <c r="C9" s="140" t="inlineStr">
        <is>
          <t>ราคา/หน่วย</t>
        </is>
      </c>
      <c r="D9" s="140" t="inlineStr">
        <is>
          <t>ทุน (บาท)</t>
        </is>
      </c>
    </row>
    <row r="10">
      <c r="A10" s="140" t="inlineStr">
        <is>
          <t>จันทัน 1.6"×4" (เฉียง×2 ด้าน)</t>
        </is>
      </c>
      <c r="B10" s="140">
        <f>2*E3*(E2/600)*buf_scrap</f>
        <v/>
      </c>
      <c r="C10" s="140">
        <f>'คิดทุน หลังคา (รวม)'!$F$4</f>
        <v/>
      </c>
      <c r="D10" s="140">
        <f>B10*C10</f>
        <v/>
      </c>
    </row>
    <row r="11">
      <c r="A11" s="140" t="inlineStr">
        <is>
          <t>แป (×2 ด้าน)</t>
        </is>
      </c>
      <c r="B11" s="140">
        <f>2*(CEILING(E2/50,1)+1)*(B4/600)*buf_scrap</f>
        <v/>
      </c>
      <c r="C11" s="140">
        <f>IF(B6="แปคู่",'คิดทุน หลังคา (รวม)'!$F$6,'คิดทุน หลังคา (รวม)'!$F$5)</f>
        <v/>
      </c>
      <c r="D11" s="140">
        <f>B11*C11</f>
        <v/>
      </c>
    </row>
    <row r="12">
      <c r="A12" s="140" t="inlineStr">
        <is>
          <t>ฉาก 6 หุน (2 ชายคา)</t>
        </is>
      </c>
      <c r="B12" s="140">
        <f>2*(B4/600)*buf_scrap</f>
        <v/>
      </c>
      <c r="C12" s="140">
        <f>ราคาวัสดุ!D7</f>
        <v/>
      </c>
      <c r="D12" s="140">
        <f>B12*C12</f>
        <v/>
      </c>
    </row>
    <row r="13">
      <c r="A13" s="140" t="inlineStr">
        <is>
          <t>แซด 4" (2 ชายคา)</t>
        </is>
      </c>
      <c r="B13" s="140">
        <f>2*(B4/600)*buf_scrap</f>
        <v/>
      </c>
      <c r="C13" s="140">
        <f>ราคาวัสดุ!D8</f>
        <v/>
      </c>
      <c r="D13" s="140">
        <f>B13*C13</f>
        <v/>
      </c>
    </row>
    <row r="14">
      <c r="A14" s="140" t="inlineStr">
        <is>
          <t>กล่องเหล็ก 1"×1"</t>
        </is>
      </c>
      <c r="B14" s="140">
        <f>2*E3*(E2/600)*buf_scrap</f>
        <v/>
      </c>
      <c r="C14" s="140">
        <f>ราคาวัสดุ!D9</f>
        <v/>
      </c>
      <c r="D14" s="140">
        <f>B14*C14</f>
        <v/>
      </c>
    </row>
    <row r="15">
      <c r="A15" s="140" t="inlineStr">
        <is>
          <t>เพลทเหล็ก</t>
        </is>
      </c>
      <c r="B15" s="140">
        <f>4*E3</f>
        <v/>
      </c>
      <c r="C15" s="140">
        <f>ราคาวัสดุ!D10</f>
        <v/>
      </c>
      <c r="D15" s="140">
        <f>B15*C15</f>
        <v/>
      </c>
    </row>
    <row r="16">
      <c r="A16" s="140" t="inlineStr">
        <is>
          <t>คาน 4"×4" T (W+H · เว้นจันทัน)</t>
        </is>
      </c>
      <c r="B16" s="140">
        <f>ROUNDUP(E3/2,0)*((B3+B5)/600)*buf_scrap</f>
        <v/>
      </c>
      <c r="C16" s="140">
        <f>ราคาวัสดุ!D11</f>
        <v/>
      </c>
      <c r="D16" s="140">
        <f>B16*C16</f>
        <v/>
      </c>
    </row>
    <row r="17">
      <c r="A17" s="140" t="inlineStr">
        <is>
          <t>แผ่นหลังคา (2 ด้าน)</t>
        </is>
      </c>
      <c r="D17" s="140">
        <f>E6</f>
        <v/>
      </c>
    </row>
    <row r="18">
      <c r="A18" s="140" t="inlineStr">
        <is>
          <t>ฝาครอบ (2 ด้าน)</t>
        </is>
      </c>
      <c r="D18" s="140">
        <f>E7</f>
        <v/>
      </c>
    </row>
    <row r="19">
      <c r="A19" s="140" t="inlineStr">
        <is>
          <t>ค่าแรงผลิต (700/ตร.ม.)</t>
        </is>
      </c>
      <c r="D19" s="140">
        <f>ROUND(VLOOKUP("หลังคาจั่ว",'ค่าแรง'!$A$12:$E$27,3,0)*E4,0)</f>
        <v/>
      </c>
    </row>
    <row r="20">
      <c r="A20" s="140" t="inlineStr">
        <is>
          <t>ค่าแรงติดตั้ง (625/ตร.ม.)</t>
        </is>
      </c>
      <c r="D20" s="140">
        <f>ROUND(VLOOKUP("หลังคาจั่ว",'ค่าแรง'!$A$12:$E$27,5,0)*E4,0)</f>
        <v/>
      </c>
    </row>
    <row r="21">
      <c r="A21" s="140" t="inlineStr">
        <is>
          <t>ทุนวัสดุรวม</t>
        </is>
      </c>
      <c r="D21" s="140">
        <f>SUM(D10:D18)+D8+D23</f>
        <v/>
      </c>
    </row>
    <row r="22">
      <c r="A22" s="140" t="inlineStr">
        <is>
          <t>ทุนรวม (วัสดุ+ค่าแรง)</t>
        </is>
      </c>
      <c r="D22" s="140">
        <f>D21+D19+D20</f>
        <v/>
      </c>
    </row>
    <row r="23">
      <c r="A23" s="140" t="inlineStr">
        <is>
          <t>ค่าอบสี (อลู · ทุกตัว)</t>
        </is>
      </c>
      <c r="D23" s="140">
        <f>6*(IF('คิดทุน หลังคา (รวม)'!$F$3="อลู",B10*'คิดทุน หลังคา (รวม)'!$I$10+B11*IF($B$6="แปคู่",'คิดทุน หลังคา (รวม)'!$I$12,'คิดทุน หลังคา (รวม)'!$I$11),0)+B12*'คิดทุน หลังคา (รวม)'!$I$13+B13*'คิดทุน หลังคา (รวม)'!$I$14+B16*'คิดทุน หลังคา (รวม)'!$I$15)*'คิดทุน หลังคา (รวม)'!$F$9</f>
        <v/>
      </c>
    </row>
    <row r="24">
      <c r="A24" s="140" t="inlineStr">
        <is>
          <t>ราคาขาย/ชุด (ทุน×2)</t>
        </is>
      </c>
      <c r="D24" s="140">
        <f>ROUNDUP(D22*2/100,0)*100</f>
        <v/>
      </c>
    </row>
    <row r="26">
      <c r="A26" s="140" t="inlineStr">
        <is>
          <t>เฉียง/ด้าน (ซม.)</t>
        </is>
      </c>
      <c r="B26" s="140">
        <f>E2</f>
        <v/>
      </c>
    </row>
  </sheetData>
  <dataValidations count="3">
    <dataValidation sqref="B2" showDropDown="0" showInputMessage="0" showErrorMessage="0" allowBlank="1" type="list">
      <formula1>"ไวนิล,ดีไลท์,โพลีตัน,ชินโคร์ HC,ชินโคร์ Sup,เมทัลชีท,กระจก 4+4,กระจก 5+5,ชินโคร์ Shade,ชินโคร์ Prime,เมทัลชีท EPS"</formula1>
    </dataValidation>
    <dataValidation sqref="B6" showDropDown="0" showInputMessage="0" showErrorMessage="0" allowBlank="1" type="list">
      <formula1>"แปเดี่ยว,แปคู่"</formula1>
    </dataValidation>
    <dataValidation sqref="B7" showDropDown="0" showInputMessage="0" showErrorMessage="0" allowBlank="0" type="list">
      <formula1>"ยื่นปลาย,ปิดปลาย,รางน้ำอลู,รางน้ำสแตน M,รางน้ำสแตน L"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tabColor rgb="00ED7D31"/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10.7" customWidth="1" style="129" min="2" max="2"/>
    <col width="4.5" customWidth="1" style="129" min="3" max="3"/>
    <col width="9.6" customWidth="1" style="129" min="4" max="4"/>
    <col width="4.5" customWidth="1" style="129" min="5" max="5"/>
    <col width="8.6" customWidth="1" style="129" min="7" max="7"/>
    <col width="7.5" customWidth="1" style="129" min="8" max="8"/>
    <col width="7.5" customWidth="1" style="129" min="10" max="10"/>
    <col width="10.7" customWidth="1" style="129" min="11" max="11"/>
    <col width="9.6" customWidth="1" style="129" min="12" max="12"/>
  </cols>
  <sheetData>
    <row r="1">
      <c r="A1" s="527" t="inlineStr">
        <is>
          <t>คิดทุนหลังคาเลื่อน (หลังคาติดตาย + หลังคาเลื่อน + ราง + มอเตอร์)</t>
        </is>
      </c>
      <c r="B1" s="643" t="n"/>
      <c r="G1" s="753" t="inlineStr">
        <is>
          <t>🏠 สารบัญ</t>
        </is>
      </c>
      <c r="H1" s="755">
        <f>IF(B2="โพลีตัน",122,IF(OR(B2="ชินโคร์ HC",B2="ชินโคร์ Sup",B2="ชินโคร์ Shade",B2="ชินโคร์ Prime"),138,100))</f>
        <v/>
      </c>
      <c r="J1" s="287">
        <f>IF(B2="โพลีตัน",122,IF(OR(B2="ชินโคร์ HC",B2="ชินโคร์ Sup",B2="ชินโคร์ Shade",B2="ชินโคร์ Prime"),138,100))</f>
        <v/>
      </c>
      <c r="K1" s="140" t="inlineStr">
        <is>
          <t>count/บาน</t>
        </is>
      </c>
      <c r="L1" s="140" t="inlineStr">
        <is>
          <t>cost/บาน</t>
        </is>
      </c>
    </row>
    <row r="2">
      <c r="A2" s="287" t="inlineStr">
        <is>
          <t>ชนิดหลังคา →</t>
        </is>
      </c>
      <c r="B2" s="528">
        <f>'คิดทุน หลังคา (รวม)'!B4</f>
        <v/>
      </c>
      <c r="H2" s="287">
        <f>CEILING(B6/H1,1)+1</f>
        <v/>
      </c>
      <c r="J2" s="287">
        <f>CEILING(B7/J1,1)+1</f>
        <v/>
      </c>
      <c r="K2" s="140">
        <f>J2*ROUNDUP(C7/600,0)</f>
        <v/>
      </c>
      <c r="L2" s="140">
        <f>K2*'คิดทุน หลังคา (รวม)'!$F$4</f>
        <v/>
      </c>
    </row>
    <row r="3">
      <c r="A3" s="287" t="inlineStr">
        <is>
          <t>รูปแบบเลื่อน →</t>
        </is>
      </c>
      <c r="B3" s="528">
        <f>'คิดทุน หลังคา (รวม)'!B13</f>
        <v/>
      </c>
      <c r="E3" s="140">
        <f>'คิดทุน หลังคา (รวม)'!B15</f>
        <v/>
      </c>
      <c r="H3" s="287">
        <f>(B6/100)*(C6/100)</f>
        <v/>
      </c>
      <c r="J3" s="287">
        <f>(B7/100)*(C7/100)</f>
        <v/>
      </c>
      <c r="K3" s="140">
        <f>(CEILING(C7/50,1)+1)*ROUNDUP(B7/600,0)</f>
        <v/>
      </c>
      <c r="L3" s="140">
        <f>K3*IF(B4="แปคู่",'คิดทุน หลังคา (รวม)'!$F$6,'คิดทุน หลังคา (รวม)'!$F$5)</f>
        <v/>
      </c>
    </row>
    <row r="4">
      <c r="A4" s="287" t="inlineStr">
        <is>
          <t>แป →</t>
        </is>
      </c>
      <c r="B4" s="528">
        <f>'คิดทุน หลังคา (รวม)'!B5</f>
        <v/>
      </c>
      <c r="K4" s="140">
        <f>ROUNDUP(B7/600,0)</f>
        <v/>
      </c>
      <c r="L4" s="140">
        <f>K4*ราคาวัสดุ!D7</f>
        <v/>
      </c>
    </row>
    <row r="5">
      <c r="A5" s="287" t="inlineStr">
        <is>
          <t>มอเตอร์ →</t>
        </is>
      </c>
      <c r="B5" s="528">
        <f>'คิดทุน หลังคา (รวม)'!B14</f>
        <v/>
      </c>
      <c r="K5" s="140">
        <f>ROUNDUP(B7/600,0)</f>
        <v/>
      </c>
      <c r="L5" s="140">
        <f>K5*ราคาวัสดุ!D8</f>
        <v/>
      </c>
    </row>
    <row r="6">
      <c r="A6" s="287" t="inlineStr">
        <is>
          <t>ติดตาย: กว้าง×ยื่น (ซม.) →</t>
        </is>
      </c>
      <c r="B6" s="528">
        <f>'คิดทุน หลังคา (รวม)'!B9</f>
        <v/>
      </c>
      <c r="C6" s="528">
        <f>'คิดทุน หลังคา (รวม)'!B10</f>
        <v/>
      </c>
      <c r="H6" s="287">
        <f>IF(C6&lt;=300,3,IF(C6&lt;=400,4,IF(C6&lt;=500,5,6)))</f>
        <v/>
      </c>
      <c r="J6" s="287">
        <f>IF(C7&lt;=300,3,IF(C7&lt;=400,4,IF(C7&lt;=500,5,6)))</f>
        <v/>
      </c>
      <c r="K6" s="140">
        <f>J2*ROUNDUP(C7/600,0)</f>
        <v/>
      </c>
      <c r="L6" s="140">
        <f>K6*ราคาวัสดุ!D9</f>
        <v/>
      </c>
    </row>
    <row r="7">
      <c r="A7" s="287" t="inlineStr">
        <is>
          <t>เลื่อน: กว้าง×ยื่น (ซม.) →</t>
        </is>
      </c>
      <c r="B7" s="528">
        <f>'คิดทุน หลังคา (รวม)'!B11</f>
        <v/>
      </c>
      <c r="C7" s="528">
        <f>'คิดทุน หลังคา (รวม)'!B12</f>
        <v/>
      </c>
      <c r="H7" s="287">
        <f>IF(B2="ไวนิล",CEILING(CEILING(B6/25,1)/MAX(1,INT(700/C6)),1)*ราคาวัสดุ!D14,IF(B2="ดีไลท์",CEILING(B6/100,1)*ราคาวัสดุ!D16,IF(B2="โพลีตัน",CEILING(B6/122,1)*ROUNDUP(C6/100,0)*ราคาวัสดุ!D17,IF(B2="ชินโคร์ HC",CEILING(B6/138,1)*(1.38*H6)*ราคาวัสดุ!D19,IF(B2="ชินโคร์ Sup",CEILING(B6/138,1)*(1.38*H6)*ราคาวัสดุ!D20,IF(B2="ชินโคร์ Shade",CEILING(B6/138,1)*(1.38*H6)*ราคาวัสดุ!D24,IF(B2="ชินโคร์ Prime",CEILING(B6/138,1)*(1.38*H6)*ราคาวัสดุ!D25,IF(OR(B2="เมทัลชีท",B2="เมทัลชีท EPS"),CEILING(B6/34,1)*(0.34*C6/100)*IF(B2="เมทัลชีท EPS",ราคาวัสดุ!D27,ราคาวัสดุ!D21),IF(B2="กระจก 4+4",H3*ราคาวัสดุ!D22,IF(B2="กระจก 5+5",H3*ราคาวัสดุ!D23,0))))))))))</f>
        <v/>
      </c>
      <c r="J7" s="287">
        <f>IF(B2="ไวนิล",CEILING(CEILING(B7/25,1)/MAX(1,INT(700/C7)),1)*ราคาวัสดุ!D14,IF(B2="ดีไลท์",CEILING(B7/100,1)*ราคาวัสดุ!D16,IF(B2="โพลีตัน",CEILING(B7/122,1)*ROUNDUP(C7/100,0)*ราคาวัสดุ!D17,IF(B2="ชินโคร์ HC",CEILING(B7/138,1)*(1.38*J6)*ราคาวัสดุ!D19,IF(B2="ชินโคร์ Sup",CEILING(B7/138,1)*(1.38*J6)*ราคาวัสดุ!D20,IF(B2="ชินโคร์ Shade",CEILING(B7/138,1)*(1.38*J6)*ราคาวัสดุ!D24,IF(B2="ชินโคร์ Prime",CEILING(B7/138,1)*(1.38*J6)*ราคาวัสดุ!D25,IF(OR(B2="เมทัลชีท",B2="เมทัลชีท EPS"),CEILING(B7/34,1)*(0.34*C7/100)*IF(B2="เมทัลชีท EPS",ราคาวัสดุ!D27,ราคาวัสดุ!D21),IF(B2="กระจก 4+4",J3*ราคาวัสดุ!D22,IF(B2="กระจก 5+5",J3*ราคาวัสดุ!D23,0))))))))))</f>
        <v/>
      </c>
      <c r="K7" s="140">
        <f>2*J2</f>
        <v/>
      </c>
      <c r="L7" s="140">
        <f>K7*ราคาวัสดุ!D10</f>
        <v/>
      </c>
    </row>
    <row r="8">
      <c r="A8" s="538" t="inlineStr">
        <is>
          <t>ปลายหลังคา →</t>
        </is>
      </c>
      <c r="B8" s="541">
        <f>'คิดทุน หลังคา (รวม)'!B6</f>
        <v/>
      </c>
      <c r="H8" s="287">
        <f>IF(B2="ไวนิล",CEILING(B6/25,1)*ราคาวัสดุ!D15,IF(B2="โพลีตัน",H2*ราคาวัสดุ!D18,0))</f>
        <v/>
      </c>
      <c r="J8" s="287">
        <f>IF(B2="ไวนิล",CEILING(B7/25,1)*ราคาวัสดุ!D15,IF(B2="โพลีตัน",J2*ราคาวัสดุ!D18,0))</f>
        <v/>
      </c>
      <c r="K8" s="387">
        <f>IF(B2="ไวนิล",CEILING(B7/25,1),IF(B2="ดีไลท์",CEILING(B7/100,1),IF(B2="โพลีตัน",CEILING(B7/122,1)&amp;"×"&amp;ROUNDUP(C7/100,0),IF(OR(B2="ชินโคร์ HC",B2="ชินโคร์ Sup",B2="กระจก 4+4",B2="กระจก 5+5"),ROUND(B7*C7/10000,1)&amp;" ตร.ม.",CEILING(B7/34,1)))))</f>
        <v/>
      </c>
      <c r="L8" s="140">
        <f>J7</f>
        <v/>
      </c>
    </row>
    <row r="9">
      <c r="A9" s="529" t="inlineStr">
        <is>
          <t>รายการ</t>
        </is>
      </c>
      <c r="B9" s="532" t="n"/>
      <c r="C9" s="532" t="n"/>
      <c r="D9" s="529" t="inlineStr">
        <is>
          <t>ทุน (บาท)</t>
        </is>
      </c>
      <c r="H9" s="287">
        <f>MAX(0,VLOOKUP("หลังคา",ค่าแรง!$A$12:$E$27,2,0)+VLOOKUP("หลังคา",ค่าแรง!$A$12:$E$27,3,0)*H3)</f>
        <v/>
      </c>
      <c r="J9" s="287">
        <f>MAX(0,VLOOKUP("หลังคา",ค่าแรง!$A$12:$E$27,2,0)+VLOOKUP("หลังคา",ค่าแรง!$A$12:$E$27,3,0)*J3)</f>
        <v/>
      </c>
      <c r="L9" s="140">
        <f>J8</f>
        <v/>
      </c>
    </row>
    <row r="10">
      <c r="A10" s="287" t="inlineStr">
        <is>
          <t>หลังคาติดตาย (วัสดุ)</t>
        </is>
      </c>
      <c r="D10" s="287">
        <f>H11</f>
        <v/>
      </c>
      <c r="H10" s="287">
        <f>MAX(0,VLOOKUP("หลังคา",ค่าแรง!$A$12:$E$27,4,0)+VLOOKUP("หลังคา",ค่าแรง!$A$12:$E$27,5,0)*H3)</f>
        <v/>
      </c>
      <c r="J10" s="287">
        <f>MAX(0,VLOOKUP("หลังคา",ค่าแรง!$A$12:$E$27,4,0)+VLOOKUP("หลังคา",ค่าแรง!$A$12:$E$27,5,0)*J3)</f>
        <v/>
      </c>
    </row>
    <row r="11">
      <c r="A11" s="287" t="inlineStr">
        <is>
          <t>หลังคาเลื่อน (วัสดุ)</t>
        </is>
      </c>
      <c r="D11" s="287">
        <f>J11*E3</f>
        <v/>
      </c>
      <c r="H11" s="287">
        <f>H2*ROUNDUP(C6/600,0)*'คิดทุน หลังคา (รวม)'!$F$4+(CEILING(C6/50,1)+1)*ROUNDUP(B6/600,0)*IF(B4="แปคู่",'คิดทุน หลังคา (รวม)'!$F$6,'คิดทุน หลังคา (รวม)'!$F$5)+ROUNDUP(B6/600,0)*ราคาวัสดุ!D7+ROUNDUP(B6/600,0)*ราคาวัสดุ!D8+H2*ROUNDUP(C6/600,0)*ราคาวัสดุ!D9+2*H2*ราคาวัสดุ!D10+H7+H8</f>
        <v/>
      </c>
      <c r="J11" s="287">
        <f>J2*ROUNDUP(C7/600,0)*'คิดทุน หลังคา (รวม)'!$F$4+(CEILING(C7/50,1)+1)*ROUNDUP(B7/600,0)*IF(B4="แปคู่",'คิดทุน หลังคา (รวม)'!$F$6,'คิดทุน หลังคา (รวม)'!$F$5)+ROUNDUP(B7/600,0)*ราคาวัสดุ!D7+ROUNDUP(B7/600,0)*ราคาวัสดุ!D8+J2*ROUNDUP(C7/600,0)*ราคาวัสดุ!D9+2*J2*ราคาวัสดุ!D10+J7+J8</f>
        <v/>
      </c>
    </row>
    <row r="12">
      <c r="A12" s="287" t="inlineStr">
        <is>
          <t>ราง (2 ฝั่ง)</t>
        </is>
      </c>
      <c r="D12" s="287">
        <f>(IF(B3="เลื่อนยื่น",C7,B7)/600)*buf_scrap*2*ราคาวัสดุ!D26</f>
        <v/>
      </c>
    </row>
    <row r="13">
      <c r="A13" s="287" t="inlineStr">
        <is>
          <t>มอเตอร์</t>
        </is>
      </c>
      <c r="D13" s="287">
        <f>IFERROR(INDEX(ราคาออโต้!$C:$C,MATCH(B5,ราคาออโต้!$B:$B,0)),0)+IFERROR(INDEX(ราคาออโต้!$D:$D,MATCH(B5,ราคาออโต้!$B:$B,0)),0)</f>
        <v/>
      </c>
    </row>
    <row r="14">
      <c r="A14" s="287" t="inlineStr">
        <is>
          <t>ค่าแรงผลิต (470/ตร.ม. รวม)</t>
        </is>
      </c>
      <c r="D14" s="530">
        <f>ROUND(VLOOKUP("หลังคาเลื่อน",'ค่าแรง'!$A$12:$E$27,2,0)+VLOOKUP("หลังคาเลื่อน",'ค่าแรง'!$A$12:$E$27,3,0)*(H3+J3*E3),0)</f>
        <v/>
      </c>
    </row>
    <row r="15">
      <c r="A15" s="287" t="inlineStr">
        <is>
          <t>ค่าแรงติดตั้ง (650/ตร.ม. รวม)</t>
        </is>
      </c>
      <c r="D15" s="530">
        <f>ROUND(VLOOKUP("หลังคาเลื่อน",'ค่าแรง'!$A$12:$E$27,4,0)+VLOOKUP("หลังคาเลื่อน",'ค่าแรง'!$A$12:$E$27,5,0)*(H3+J3*E3),0)</f>
        <v/>
      </c>
    </row>
    <row r="16">
      <c r="A16" s="287" t="inlineStr">
        <is>
          <t>ทุนรวม</t>
        </is>
      </c>
      <c r="D16" s="530">
        <f>SUM(D10:D15)+D18</f>
        <v/>
      </c>
    </row>
    <row r="17">
      <c r="A17" s="287" t="inlineStr">
        <is>
          <t>ราคาขาย/ชุด (ทุน×2)</t>
        </is>
      </c>
      <c r="D17" s="531">
        <f>ROUNDUP(D16*2/100,0)*100</f>
        <v/>
      </c>
    </row>
    <row r="18">
      <c r="A18" s="140" t="inlineStr">
        <is>
          <t>ปลายหลังคา/รางน้ำ</t>
        </is>
      </c>
      <c r="D18" s="140">
        <f>IF(B8="ปิดปลาย",ROUND(201*mult_mtong*1*B6/100,0),IF(B8="รางน้ำอลู",ROUNDUP(B6/600,0)*1*ROUND(2273*mult_mtong,0),IF(B8="รางน้ำสแตน M",ROUND(990*1*B6/100,0),IF(B8="รางน้ำสแตน L",ROUND(1035*1*B6/100,0),0))))</f>
        <v/>
      </c>
    </row>
    <row r="19">
      <c r="A19" s="140" t="inlineStr">
        <is>
          <t>ค่าอบสี (อลู)</t>
        </is>
      </c>
      <c r="D19" s="140">
        <f>6*(IF('คิดทุน หลังคา (รวม)'!$F$3="อลู",(H2*ROUNDUP(C6/600,0)+J2*ROUNDUP(C7/600,0))*'คิดทุน หลังคา (รวม)'!$I$10+((CEILING(C6/50,1)+1)*ROUNDUP(B6/600,0)+(CEILING(C7/50,1)+1)*ROUNDUP(B7/600,0))*IF($B$4="แปคู่",'คิดทุน หลังคา (รวม)'!$I$12,'คิดทุน หลังคา (รวม)'!$I$11),0)+(ROUNDUP(B6/600,0)+ROUNDUP(B7/600,0))*'คิดทุน หลังคา (รวม)'!$I$13+(ROUNDUP(B6/600,0)+ROUNDUP(B7/600,0))*'คิดทุน หลังคา (รวม)'!$I$14)*'คิดทุน หลังคา (รวม)'!$F$9</f>
        <v/>
      </c>
    </row>
  </sheetData>
  <dataValidations count="5">
    <dataValidation sqref="B2" showDropDown="0" showInputMessage="0" showErrorMessage="0" allowBlank="1" type="list">
      <formula1>"ไวนิล,ดีไลท์,โพลีตัน,ชินโคร์ HC,ชินโคร์ Sup,เมทัลชีท,กระจก 4+4,กระจก 5+5,ชินโคร์ Shade,ชินโคร์ Prime,เมทัลชีท EPS"</formula1>
    </dataValidation>
    <dataValidation sqref="B4" showDropDown="0" showInputMessage="0" showErrorMessage="0" allowBlank="1" type="list">
      <formula1>"แปเดี่ยว,แปคู่"</formula1>
    </dataValidation>
    <dataValidation sqref="B5" showDropDown="0" showInputMessage="0" showErrorMessage="0" allowBlank="1" type="list">
      <formula1>"ยก 80 กก.,ยก 300 กก."</formula1>
    </dataValidation>
    <dataValidation sqref="B8" showDropDown="0" showInputMessage="0" showErrorMessage="0" allowBlank="0" type="list">
      <formula1>"ยื่นปลาย,ปิดปลาย,รางน้ำอลู,รางน้ำสแตน M,รางน้ำสแตน L"</formula1>
    </dataValidation>
    <dataValidation sqref="B3" showDropDown="0" showInputMessage="0" showErrorMessage="0" allowBlank="1" type="list">
      <formula1>"เลื่อนยื่น,เลื่อนข้าง,เลื่อนเปิดกลาง"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 filterMode="0">
    <tabColor rgb="00A6A6A6"/>
    <outlinePr summaryBelow="1" summaryRight="1"/>
    <pageSetUpPr fitToPage="0"/>
  </sheetPr>
  <dimension ref="A1:AF201"/>
  <sheetViews>
    <sheetView workbookViewId="0">
      <selection activeCell="A1" sqref="A1"/>
    </sheetView>
  </sheetViews>
  <sheetFormatPr baseColWidth="8" defaultColWidth="8.6796875" defaultRowHeight="15" customHeight="0" zeroHeight="0" outlineLevelRow="0"/>
  <cols>
    <col width="24" customWidth="1" style="140" min="1" max="1"/>
    <col width="13.8" customWidth="1" style="140" min="2" max="2"/>
    <col width="9.6" customWidth="1" style="140" min="3" max="3"/>
    <col width="18" customWidth="1" style="140" min="4" max="4"/>
    <col width="18" customWidth="1" style="140" min="5" max="5"/>
    <col width="10.7" customWidth="1" style="140" min="7" max="7"/>
    <col width="4.5" customWidth="1" style="129" min="8" max="8"/>
    <col width="15.9" customWidth="1" style="140" min="10" max="10"/>
    <col width="8.6" customWidth="1" style="140" min="11" max="11"/>
    <col width="6.5" customWidth="1" style="129" min="12" max="12"/>
    <col width="4.5" customWidth="1" style="129" min="13" max="13"/>
    <col width="4.5" customWidth="1" style="129" min="14" max="14"/>
    <col width="5.4" customWidth="1" style="129" min="15" max="15"/>
    <col width="18" customWidth="1" style="129" min="16" max="16"/>
    <col width="18" customWidth="1" style="129" min="17" max="17"/>
    <col width="4.5" customWidth="1" style="129" min="18" max="18"/>
    <col width="4.5" customWidth="1" style="129" min="19" max="19"/>
    <col width="4.5" customWidth="1" style="129" min="20" max="20"/>
    <col width="4.5" customWidth="1" style="140" min="22" max="22"/>
    <col hidden="1" width="15.9" customWidth="1" style="129" min="28" max="28"/>
    <col hidden="1" width="5.4" customWidth="1" style="129" min="29" max="29"/>
    <col hidden="1" width="5.4" customWidth="1" style="129" min="30" max="30"/>
    <col hidden="1" width="13" customWidth="1" style="129" min="32" max="32"/>
  </cols>
  <sheetData>
    <row r="1" ht="24" customHeight="1" s="129">
      <c r="A1" s="286" t="inlineStr">
        <is>
          <t>คิดทุนระแนงวางสลับ 2 โปรไฟล์ — ปรับระยะห่างเต็มบานพอดี</t>
        </is>
      </c>
      <c r="G1" s="753" t="inlineStr">
        <is>
          <t>🏠 สารบัญ</t>
        </is>
      </c>
      <c r="H1" s="754" t="n"/>
      <c r="I1" s="643" t="n"/>
      <c r="J1" s="355" t="inlineStr">
        <is>
          <t>LUT</t>
        </is>
      </c>
      <c r="M1" s="242" t="inlineStr">
        <is>
          <t>idx</t>
        </is>
      </c>
      <c r="AF1" s="140">
        <f>IFERROR(VLOOKUP(B2,$AB$2:$AD$8,2,0),"")</f>
        <v/>
      </c>
    </row>
    <row r="2" ht="15" customHeight="1" s="129">
      <c r="A2" s="355" t="inlineStr">
        <is>
          <t>กล่อง A →</t>
        </is>
      </c>
      <c r="B2" s="356">
        <f>'คิดทุน ประตูรั้ว'!B2</f>
        <v/>
      </c>
      <c r="D2" s="357" t="inlineStr">
        <is>
          <t>พื้นที่ ตร.ม.</t>
        </is>
      </c>
      <c r="E2" s="358">
        <f>(B9/100)*(H4/100)</f>
        <v/>
      </c>
      <c r="G2" s="357" t="inlineStr">
        <is>
          <t>low สูง</t>
        </is>
      </c>
      <c r="H2" s="359">
        <f>LOOKUP(B10,$V$2:$V$10)</f>
        <v/>
      </c>
      <c r="J2" s="357" t="inlineStr">
        <is>
          <t>กล่อง 1×5 cm</t>
        </is>
      </c>
      <c r="K2" s="359" t="n">
        <v>500</v>
      </c>
      <c r="M2" s="249" t="n">
        <v>1</v>
      </c>
      <c r="N2" s="249">
        <f>IF(MOD(M2-1,$B$4+$B$7)&lt;$B$4,"A","B")</f>
        <v/>
      </c>
      <c r="O2" s="269">
        <f>IF(N2="A",$E$3,$E$4)</f>
        <v/>
      </c>
      <c r="P2" s="270">
        <f>O2</f>
        <v/>
      </c>
      <c r="Q2" s="270">
        <f>P2+(M2-1)*$B$8</f>
        <v/>
      </c>
      <c r="R2" s="249">
        <f>IF(AND(Q2&lt;=$B$9,N2="A"),1,0)</f>
        <v/>
      </c>
      <c r="S2" s="249">
        <f>IF(AND(Q2&lt;=$B$9,N2="B"),1,0)</f>
        <v/>
      </c>
      <c r="T2" s="249">
        <f>IF(Q2&lt;=$B$9,1,0)</f>
        <v/>
      </c>
      <c r="V2" s="249" t="n">
        <v>50</v>
      </c>
      <c r="AB2" s="140" t="inlineStr">
        <is>
          <t>กล่อง 1×5 cm</t>
        </is>
      </c>
      <c r="AC2" s="140" t="inlineStr">
        <is>
          <t>1 cm</t>
        </is>
      </c>
      <c r="AD2" s="140" t="inlineStr">
        <is>
          <t>5 cm</t>
        </is>
      </c>
      <c r="AF2" s="140">
        <f>IFERROR(VLOOKUP(B2,$AB$2:$AD$8,3,0),"")</f>
        <v/>
      </c>
    </row>
    <row r="3" ht="15" customHeight="1" s="129">
      <c r="A3" s="355" t="inlineStr">
        <is>
          <t>โชว์ A →</t>
        </is>
      </c>
      <c r="B3" s="356">
        <f>'คิดทุน ประตูรั้ว'!B3</f>
        <v/>
      </c>
      <c r="D3" s="357" t="inlineStr">
        <is>
          <t>โชว์A ซม.</t>
        </is>
      </c>
      <c r="E3" s="358">
        <f>VLOOKUP(B3,$J$18:$K$23,2,0)</f>
        <v/>
      </c>
      <c r="G3" s="357" t="inlineStr">
        <is>
          <t>up สูง</t>
        </is>
      </c>
      <c r="H3" s="359">
        <f>IFERROR(INDEX($V$2:$V$10,MATCH(B10,$V$2:$V$10,1)+1),99999)</f>
        <v/>
      </c>
      <c r="J3" s="357" t="inlineStr">
        <is>
          <t>กล่อง 1"×1"</t>
        </is>
      </c>
      <c r="K3" s="359" t="n">
        <v>310</v>
      </c>
      <c r="M3" s="249" t="n">
        <v>2</v>
      </c>
      <c r="N3" s="249">
        <f>IF(MOD(M3-1,$B$4+$B$7)&lt;$B$4,"A","B")</f>
        <v/>
      </c>
      <c r="O3" s="269">
        <f>IF(N3="A",$E$3,$E$4)</f>
        <v/>
      </c>
      <c r="P3" s="270">
        <f>P2+O3</f>
        <v/>
      </c>
      <c r="Q3" s="270">
        <f>P3+(M3-1)*$B$8</f>
        <v/>
      </c>
      <c r="R3" s="249">
        <f>IF(AND(Q3&lt;=$B$9,N3="A"),1,0)</f>
        <v/>
      </c>
      <c r="S3" s="249">
        <f>IF(AND(Q3&lt;=$B$9,N3="B"),1,0)</f>
        <v/>
      </c>
      <c r="T3" s="249">
        <f>IF(Q3&lt;=$B$9,1,0)</f>
        <v/>
      </c>
      <c r="V3" s="249" t="n">
        <v>60</v>
      </c>
      <c r="AB3" s="140" t="inlineStr">
        <is>
          <t>กล่อง 1"×1"</t>
        </is>
      </c>
      <c r="AC3" s="140" t="inlineStr">
        <is>
          <t>1"</t>
        </is>
      </c>
      <c r="AD3" s="140" t="inlineStr">
        <is>
          <t>1"</t>
        </is>
      </c>
      <c r="AF3" s="140">
        <f>IFERROR(VLOOKUP(B5,$AB$2:$AD$8,2,0),"")</f>
        <v/>
      </c>
    </row>
    <row r="4" ht="15" customHeight="1" s="129">
      <c r="A4" s="355" t="inlineStr">
        <is>
          <t>A กี่ท่อน/ชุด →</t>
        </is>
      </c>
      <c r="B4" s="360">
        <f>'คิดทุน ประตูรั้ว'!F5</f>
        <v/>
      </c>
      <c r="D4" s="357" t="inlineStr">
        <is>
          <t>โชว์B ซม.</t>
        </is>
      </c>
      <c r="E4" s="358">
        <f>VLOOKUP(B6,$J$18:$K$23,2,0)</f>
        <v/>
      </c>
      <c r="G4" s="357" t="inlineStr">
        <is>
          <t>สูงใช้</t>
        </is>
      </c>
      <c r="H4" s="359">
        <f>IF(B10-H2&lt;=20,H2,IF(H3-B10&lt;=20,H3,B10))</f>
        <v/>
      </c>
      <c r="J4" s="357" t="inlineStr">
        <is>
          <t>กล่อง 1"×1.5"</t>
        </is>
      </c>
      <c r="K4" s="359" t="n">
        <v>395</v>
      </c>
      <c r="M4" s="249" t="n">
        <v>3</v>
      </c>
      <c r="N4" s="249">
        <f>IF(MOD(M4-1,$B$4+$B$7)&lt;$B$4,"A","B")</f>
        <v/>
      </c>
      <c r="O4" s="269">
        <f>IF(N4="A",$E$3,$E$4)</f>
        <v/>
      </c>
      <c r="P4" s="270">
        <f>P3+O4</f>
        <v/>
      </c>
      <c r="Q4" s="270">
        <f>P4+(M4-1)*$B$8</f>
        <v/>
      </c>
      <c r="R4" s="249">
        <f>IF(AND(Q4&lt;=$B$9,N4="A"),1,0)</f>
        <v/>
      </c>
      <c r="S4" s="249">
        <f>IF(AND(Q4&lt;=$B$9,N4="B"),1,0)</f>
        <v/>
      </c>
      <c r="T4" s="249">
        <f>IF(Q4&lt;=$B$9,1,0)</f>
        <v/>
      </c>
      <c r="V4" s="249" t="n">
        <v>75</v>
      </c>
      <c r="AB4" s="140" t="inlineStr">
        <is>
          <t>กล่อง 1"×1.5"</t>
        </is>
      </c>
      <c r="AC4" s="140" t="inlineStr">
        <is>
          <t>1"</t>
        </is>
      </c>
      <c r="AD4" s="140" t="inlineStr">
        <is>
          <t>1.5"</t>
        </is>
      </c>
      <c r="AF4" s="140">
        <f>IFERROR(VLOOKUP(B5,$AB$2:$AD$8,3,0),"")</f>
        <v/>
      </c>
    </row>
    <row r="5" ht="15" customHeight="1" s="129">
      <c r="A5" s="355" t="inlineStr">
        <is>
          <t>กล่อง B →</t>
        </is>
      </c>
      <c r="B5" s="356">
        <f>'คิดทุน ประตูรั้ว'!F6</f>
        <v/>
      </c>
      <c r="D5" s="357" t="inlineStr">
        <is>
          <t>ปัจจัยสี</t>
        </is>
      </c>
      <c r="E5" s="361">
        <f>VLOOKUP(B11,$J$11:$L$15,2,0)</f>
        <v/>
      </c>
      <c r="G5" s="357" t="inlineStr">
        <is>
          <t>L0</t>
        </is>
      </c>
      <c r="H5" s="359">
        <f>LOOKUP(H4,$V$2:$V$10)</f>
        <v/>
      </c>
      <c r="J5" s="357" t="inlineStr">
        <is>
          <t>กล่อง 1"×1.6"</t>
        </is>
      </c>
      <c r="K5" s="359" t="n">
        <v>485</v>
      </c>
      <c r="M5" s="249" t="n">
        <v>4</v>
      </c>
      <c r="N5" s="249">
        <f>IF(MOD(M5-1,$B$4+$B$7)&lt;$B$4,"A","B")</f>
        <v/>
      </c>
      <c r="O5" s="269">
        <f>IF(N5="A",$E$3,$E$4)</f>
        <v/>
      </c>
      <c r="P5" s="270">
        <f>P4+O5</f>
        <v/>
      </c>
      <c r="Q5" s="270">
        <f>P5+(M5-1)*$B$8</f>
        <v/>
      </c>
      <c r="R5" s="249">
        <f>IF(AND(Q5&lt;=$B$9,N5="A"),1,0)</f>
        <v/>
      </c>
      <c r="S5" s="249">
        <f>IF(AND(Q5&lt;=$B$9,N5="B"),1,0)</f>
        <v/>
      </c>
      <c r="T5" s="249">
        <f>IF(Q5&lt;=$B$9,1,0)</f>
        <v/>
      </c>
      <c r="V5" s="249" t="n">
        <v>100</v>
      </c>
      <c r="AB5" s="140" t="inlineStr">
        <is>
          <t>กล่อง 1"×1.6"</t>
        </is>
      </c>
      <c r="AC5" s="140" t="inlineStr">
        <is>
          <t>1"</t>
        </is>
      </c>
      <c r="AD5" s="140" t="inlineStr">
        <is>
          <t>1.6"</t>
        </is>
      </c>
    </row>
    <row r="6" ht="15" customHeight="1" s="129">
      <c r="A6" s="355" t="inlineStr">
        <is>
          <t>โชว์ B →</t>
        </is>
      </c>
      <c r="B6" s="356">
        <f>'คิดทุน ประตูรั้ว'!F7</f>
        <v/>
      </c>
      <c r="D6" s="357" t="inlineStr">
        <is>
          <t>ราคา A/เส้น</t>
        </is>
      </c>
      <c r="E6" s="359">
        <f>ROUND(VLOOKUP(B2,$J$2:$K$8,2,0)*E5/5,0)*5</f>
        <v/>
      </c>
      <c r="G6" s="357" t="inlineStr">
        <is>
          <t>R</t>
        </is>
      </c>
      <c r="H6" s="359">
        <f>H4-H5</f>
        <v/>
      </c>
      <c r="J6" s="357" t="inlineStr">
        <is>
          <t>กล่อง 1"×4"</t>
        </is>
      </c>
      <c r="K6" s="359" t="n">
        <v>905</v>
      </c>
      <c r="M6" s="249" t="n">
        <v>5</v>
      </c>
      <c r="N6" s="249">
        <f>IF(MOD(M6-1,$B$4+$B$7)&lt;$B$4,"A","B")</f>
        <v/>
      </c>
      <c r="O6" s="269">
        <f>IF(N6="A",$E$3,$E$4)</f>
        <v/>
      </c>
      <c r="P6" s="270">
        <f>P5+O6</f>
        <v/>
      </c>
      <c r="Q6" s="270">
        <f>P6+(M6-1)*$B$8</f>
        <v/>
      </c>
      <c r="R6" s="249">
        <f>IF(AND(Q6&lt;=$B$9,N6="A"),1,0)</f>
        <v/>
      </c>
      <c r="S6" s="249">
        <f>IF(AND(Q6&lt;=$B$9,N6="B"),1,0)</f>
        <v/>
      </c>
      <c r="T6" s="249">
        <f>IF(Q6&lt;=$B$9,1,0)</f>
        <v/>
      </c>
      <c r="V6" s="249" t="n">
        <v>120</v>
      </c>
      <c r="AB6" s="140" t="inlineStr">
        <is>
          <t>กล่อง 1"×4"</t>
        </is>
      </c>
      <c r="AC6" s="140" t="inlineStr">
        <is>
          <t>1"</t>
        </is>
      </c>
      <c r="AD6" s="140" t="inlineStr">
        <is>
          <t>4"</t>
        </is>
      </c>
    </row>
    <row r="7" ht="15" customHeight="1" s="129">
      <c r="A7" s="355" t="inlineStr">
        <is>
          <t>B กี่ท่อน/ชุด →</t>
        </is>
      </c>
      <c r="B7" s="360">
        <f>'คิดทุน ประตูรั้ว'!F8</f>
        <v/>
      </c>
      <c r="D7" s="357" t="inlineStr">
        <is>
          <t>ราคา B/เส้น</t>
        </is>
      </c>
      <c r="E7" s="359">
        <f>ROUND(VLOOKUP(B5,$J$2:$K$8,2,0)*E5/5,0)*5</f>
        <v/>
      </c>
      <c r="G7" s="357" t="inlineStr">
        <is>
          <t>เส้นA ไม่ต่อ</t>
        </is>
      </c>
      <c r="H7" s="359">
        <f>ROUNDUP(E9/MAX(INT(600/H4),1),0)</f>
        <v/>
      </c>
      <c r="J7" s="357" t="inlineStr">
        <is>
          <t>กล่อง 1.6"×1.6"</t>
        </is>
      </c>
      <c r="K7" s="359" t="n">
        <v>770</v>
      </c>
      <c r="M7" s="249" t="n">
        <v>6</v>
      </c>
      <c r="N7" s="249">
        <f>IF(MOD(M7-1,$B$4+$B$7)&lt;$B$4,"A","B")</f>
        <v/>
      </c>
      <c r="O7" s="269">
        <f>IF(N7="A",$E$3,$E$4)</f>
        <v/>
      </c>
      <c r="P7" s="270">
        <f>P6+O7</f>
        <v/>
      </c>
      <c r="Q7" s="270">
        <f>P7+(M7-1)*$B$8</f>
        <v/>
      </c>
      <c r="R7" s="249">
        <f>IF(AND(Q7&lt;=$B$9,N7="A"),1,0)</f>
        <v/>
      </c>
      <c r="S7" s="249">
        <f>IF(AND(Q7&lt;=$B$9,N7="B"),1,0)</f>
        <v/>
      </c>
      <c r="T7" s="249">
        <f>IF(Q7&lt;=$B$9,1,0)</f>
        <v/>
      </c>
      <c r="V7" s="249" t="n">
        <v>150</v>
      </c>
      <c r="AB7" s="140" t="inlineStr">
        <is>
          <t>กล่อง 1.6"×1.6"</t>
        </is>
      </c>
      <c r="AC7" s="140" t="inlineStr">
        <is>
          <t>1.6"</t>
        </is>
      </c>
      <c r="AD7" s="140" t="inlineStr">
        <is>
          <t>1.6"</t>
        </is>
      </c>
    </row>
    <row r="8" ht="15" customHeight="1" s="129">
      <c r="A8" s="355" t="inlineStr">
        <is>
          <t>ระยะห่างเป้า (ซม.) →</t>
        </is>
      </c>
      <c r="B8" s="379">
        <f>'คิดทุน ประตูรั้ว'!F9</f>
        <v/>
      </c>
      <c r="D8" s="357" t="inlineStr">
        <is>
          <t>ท่อนรวม</t>
        </is>
      </c>
      <c r="E8" s="359">
        <f>SUM(T2:T201)</f>
        <v/>
      </c>
      <c r="G8" s="357" t="inlineStr">
        <is>
          <t>เส้นA ต่อ</t>
        </is>
      </c>
      <c r="H8" s="359">
        <f>ROUNDUP(E9/(600/H5),0)+IF(H6&gt;0,ROUNDUP(E9/INT(600/H6),0),0)</f>
        <v/>
      </c>
      <c r="J8" s="357" t="inlineStr">
        <is>
          <t>กล่อง 1.6"×4"</t>
        </is>
      </c>
      <c r="K8" s="359" t="n">
        <v>1220</v>
      </c>
      <c r="M8" s="249" t="n">
        <v>7</v>
      </c>
      <c r="N8" s="249">
        <f>IF(MOD(M8-1,$B$4+$B$7)&lt;$B$4,"A","B")</f>
        <v/>
      </c>
      <c r="O8" s="269">
        <f>IF(N8="A",$E$3,$E$4)</f>
        <v/>
      </c>
      <c r="P8" s="270">
        <f>P7+O8</f>
        <v/>
      </c>
      <c r="Q8" s="270">
        <f>P8+(M8-1)*$B$8</f>
        <v/>
      </c>
      <c r="R8" s="249">
        <f>IF(AND(Q8&lt;=$B$9,N8="A"),1,0)</f>
        <v/>
      </c>
      <c r="S8" s="249">
        <f>IF(AND(Q8&lt;=$B$9,N8="B"),1,0)</f>
        <v/>
      </c>
      <c r="T8" s="249">
        <f>IF(Q8&lt;=$B$9,1,0)</f>
        <v/>
      </c>
      <c r="V8" s="249" t="n">
        <v>200</v>
      </c>
      <c r="AB8" s="140" t="inlineStr">
        <is>
          <t>กล่อง 1.6"×4"</t>
        </is>
      </c>
      <c r="AC8" s="140" t="inlineStr">
        <is>
          <t>1.6"</t>
        </is>
      </c>
      <c r="AD8" s="140" t="inlineStr">
        <is>
          <t>4"</t>
        </is>
      </c>
    </row>
    <row r="9" ht="15" customHeight="1" s="129">
      <c r="A9" s="355" t="inlineStr">
        <is>
          <t>กว้างบาน (ซม.) →</t>
        </is>
      </c>
      <c r="B9" s="360">
        <f>'คิดทุน ประตูรั้ว'!B7</f>
        <v/>
      </c>
      <c r="D9" s="357" t="inlineStr">
        <is>
          <t>ท่อน A</t>
        </is>
      </c>
      <c r="E9" s="359">
        <f>SUM(R2:R201)</f>
        <v/>
      </c>
      <c r="G9" s="357" t="inlineStr">
        <is>
          <t>เส้นB ไม่ต่อ</t>
        </is>
      </c>
      <c r="H9" s="359">
        <f>ROUNDUP(E10/MAX(INT(600/H4),1),0)</f>
        <v/>
      </c>
      <c r="M9" s="249" t="n">
        <v>8</v>
      </c>
      <c r="N9" s="249">
        <f>IF(MOD(M9-1,$B$4+$B$7)&lt;$B$4,"A","B")</f>
        <v/>
      </c>
      <c r="O9" s="269">
        <f>IF(N9="A",$E$3,$E$4)</f>
        <v/>
      </c>
      <c r="P9" s="270">
        <f>P8+O9</f>
        <v/>
      </c>
      <c r="Q9" s="270">
        <f>P9+(M9-1)*$B$8</f>
        <v/>
      </c>
      <c r="R9" s="249">
        <f>IF(AND(Q9&lt;=$B$9,N9="A"),1,0)</f>
        <v/>
      </c>
      <c r="S9" s="249">
        <f>IF(AND(Q9&lt;=$B$9,N9="B"),1,0)</f>
        <v/>
      </c>
      <c r="T9" s="249">
        <f>IF(Q9&lt;=$B$9,1,0)</f>
        <v/>
      </c>
      <c r="V9" s="249" t="n">
        <v>300</v>
      </c>
    </row>
    <row r="10" ht="15" customHeight="1" s="129">
      <c r="A10" s="355" t="inlineStr">
        <is>
          <t>สูงบาน (ซม.) →</t>
        </is>
      </c>
      <c r="B10" s="360">
        <f>'คิดทุน ประตูรั้ว'!B8</f>
        <v/>
      </c>
      <c r="D10" s="357" t="inlineStr">
        <is>
          <t>ท่อน B</t>
        </is>
      </c>
      <c r="E10" s="359">
        <f>SUM(S2:S201)</f>
        <v/>
      </c>
      <c r="G10" s="357" t="inlineStr">
        <is>
          <t>เส้นB ต่อ</t>
        </is>
      </c>
      <c r="H10" s="359">
        <f>ROUNDUP(E10/(600/H5),0)+IF(H6&gt;0,ROUNDUP(E10/INT(600/H6),0),0)</f>
        <v/>
      </c>
      <c r="M10" s="249" t="n">
        <v>9</v>
      </c>
      <c r="N10" s="249">
        <f>IF(MOD(M10-1,$B$4+$B$7)&lt;$B$4,"A","B")</f>
        <v/>
      </c>
      <c r="O10" s="269">
        <f>IF(N10="A",$E$3,$E$4)</f>
        <v/>
      </c>
      <c r="P10" s="270">
        <f>P9+O10</f>
        <v/>
      </c>
      <c r="Q10" s="270">
        <f>P10+(M10-1)*$B$8</f>
        <v/>
      </c>
      <c r="R10" s="249">
        <f>IF(AND(Q10&lt;=$B$9,N10="A"),1,0)</f>
        <v/>
      </c>
      <c r="S10" s="249">
        <f>IF(AND(Q10&lt;=$B$9,N10="B"),1,0)</f>
        <v/>
      </c>
      <c r="T10" s="249">
        <f>IF(Q10&lt;=$B$9,1,0)</f>
        <v/>
      </c>
      <c r="V10" s="249" t="n">
        <v>600</v>
      </c>
    </row>
    <row r="11" ht="15" customHeight="1" s="129">
      <c r="A11" s="355" t="inlineStr">
        <is>
          <t>สี →</t>
        </is>
      </c>
      <c r="B11" s="356">
        <f>'คิดทุน ประตูรั้ว'!B5</f>
        <v/>
      </c>
      <c r="D11" s="357" t="inlineStr">
        <is>
          <t>หน้ารวม(ซม.)</t>
        </is>
      </c>
      <c r="E11" s="380">
        <f>SUMPRODUCT($T$2:$T$201,$O$2:$O$201)</f>
        <v/>
      </c>
      <c r="G11" s="357" t="inlineStr">
        <is>
          <t>ค่าต่อ</t>
        </is>
      </c>
      <c r="H11" s="359">
        <f>IF(AND(B15="ต่อ",H6&gt;0),(E9+E10)*80,0)</f>
        <v/>
      </c>
      <c r="J11" s="357" t="inlineStr">
        <is>
          <t>ขาว/ดำ</t>
        </is>
      </c>
      <c r="K11" s="361" t="n">
        <v>1</v>
      </c>
      <c r="L11" s="359" t="n">
        <v>0</v>
      </c>
      <c r="M11" s="249" t="n">
        <v>10</v>
      </c>
      <c r="N11" s="249">
        <f>IF(MOD(M11-1,$B$4+$B$7)&lt;$B$4,"A","B")</f>
        <v/>
      </c>
      <c r="O11" s="269">
        <f>IF(N11="A",$E$3,$E$4)</f>
        <v/>
      </c>
      <c r="P11" s="270">
        <f>P10+O11</f>
        <v/>
      </c>
      <c r="Q11" s="270">
        <f>P11+(M11-1)*$B$8</f>
        <v/>
      </c>
      <c r="R11" s="249">
        <f>IF(AND(Q11&lt;=$B$9,N11="A"),1,0)</f>
        <v/>
      </c>
      <c r="S11" s="249">
        <f>IF(AND(Q11&lt;=$B$9,N11="B"),1,0)</f>
        <v/>
      </c>
      <c r="T11" s="249">
        <f>IF(Q11&lt;=$B$9,1,0)</f>
        <v/>
      </c>
    </row>
    <row r="12" ht="15" customHeight="1" s="129">
      <c r="A12" s="355" t="inlineStr">
        <is>
          <t>โครง →</t>
        </is>
      </c>
      <c r="B12" s="356" t="inlineStr">
        <is>
          <t>ไม่รวม</t>
        </is>
      </c>
      <c r="D12" s="357" t="inlineStr">
        <is>
          <t>ระยะห่างจริง</t>
        </is>
      </c>
      <c r="E12" s="358">
        <f>(B9-E11)/(E8-1)</f>
        <v/>
      </c>
      <c r="J12" s="357" t="inlineStr">
        <is>
          <t>เทาซาฮาร่า</t>
        </is>
      </c>
      <c r="K12" s="361" t="n">
        <v>1.52083</v>
      </c>
      <c r="L12" s="359" t="n">
        <v>0</v>
      </c>
      <c r="M12" s="249" t="n">
        <v>11</v>
      </c>
      <c r="N12" s="249">
        <f>IF(MOD(M12-1,$B$4+$B$7)&lt;$B$4,"A","B")</f>
        <v/>
      </c>
      <c r="O12" s="269">
        <f>IF(N12="A",$E$3,$E$4)</f>
        <v/>
      </c>
      <c r="P12" s="270">
        <f>P11+O12</f>
        <v/>
      </c>
      <c r="Q12" s="270">
        <f>P12+(M12-1)*$B$8</f>
        <v/>
      </c>
      <c r="R12" s="249">
        <f>IF(AND(Q12&lt;=$B$9,N12="A"),1,0)</f>
        <v/>
      </c>
      <c r="S12" s="249">
        <f>IF(AND(Q12&lt;=$B$9,N12="B"),1,0)</f>
        <v/>
      </c>
      <c r="T12" s="249">
        <f>IF(Q12&lt;=$B$9,1,0)</f>
        <v/>
      </c>
    </row>
    <row r="13" ht="15" customHeight="1" s="129">
      <c r="A13" s="355" t="inlineStr">
        <is>
          <t>ค่าแรงผลิต (บาท/ตร.ม.) →</t>
        </is>
      </c>
      <c r="B13" s="360" t="n">
        <v>300</v>
      </c>
      <c r="D13" s="357" t="inlineStr">
        <is>
          <t>เส้น A</t>
        </is>
      </c>
      <c r="E13" s="359">
        <f>IF(B15="ต่อ",H8,H7)</f>
        <v/>
      </c>
      <c r="J13" s="357" t="inlineStr">
        <is>
          <t>ลายไม้สต๊อก</t>
        </is>
      </c>
      <c r="K13" s="361" t="n">
        <v>1.586</v>
      </c>
      <c r="L13" s="359" t="n">
        <v>0</v>
      </c>
      <c r="M13" s="249" t="n">
        <v>12</v>
      </c>
      <c r="N13" s="249">
        <f>IF(MOD(M13-1,$B$4+$B$7)&lt;$B$4,"A","B")</f>
        <v/>
      </c>
      <c r="O13" s="269">
        <f>IF(N13="A",$E$3,$E$4)</f>
        <v/>
      </c>
      <c r="P13" s="270">
        <f>P12+O13</f>
        <v/>
      </c>
      <c r="Q13" s="270">
        <f>P13+(M13-1)*$B$8</f>
        <v/>
      </c>
      <c r="R13" s="249">
        <f>IF(AND(Q13&lt;=$B$9,N13="A"),1,0)</f>
        <v/>
      </c>
      <c r="S13" s="249">
        <f>IF(AND(Q13&lt;=$B$9,N13="B"),1,0)</f>
        <v/>
      </c>
      <c r="T13" s="249">
        <f>IF(Q13&lt;=$B$9,1,0)</f>
        <v/>
      </c>
    </row>
    <row r="14" ht="15" customHeight="1" s="129">
      <c r="A14" s="281" t="inlineStr">
        <is>
          <t>ค่าแรงติดตั้ง (บาท/ตร.ม.) →</t>
        </is>
      </c>
      <c r="B14" s="360" t="n">
        <v>600</v>
      </c>
      <c r="D14" s="357" t="inlineStr">
        <is>
          <t>เส้น B</t>
        </is>
      </c>
      <c r="E14" s="359">
        <f>IF(B15="ต่อ",H10,H9)</f>
        <v/>
      </c>
      <c r="J14" s="357" t="inlineStr">
        <is>
          <t>สีอบพิเศษ</t>
        </is>
      </c>
      <c r="K14" s="361" t="n">
        <v>1.90104</v>
      </c>
      <c r="L14" s="359" t="n">
        <v>2000</v>
      </c>
      <c r="M14" s="249" t="n">
        <v>13</v>
      </c>
      <c r="N14" s="249">
        <f>IF(MOD(M14-1,$B$4+$B$7)&lt;$B$4,"A","B")</f>
        <v/>
      </c>
      <c r="O14" s="269">
        <f>IF(N14="A",$E$3,$E$4)</f>
        <v/>
      </c>
      <c r="P14" s="270">
        <f>P13+O14</f>
        <v/>
      </c>
      <c r="Q14" s="270">
        <f>P14+(M14-1)*$B$8</f>
        <v/>
      </c>
      <c r="R14" s="249">
        <f>IF(AND(Q14&lt;=$B$9,N14="A"),1,0)</f>
        <v/>
      </c>
      <c r="S14" s="249">
        <f>IF(AND(Q14&lt;=$B$9,N14="B"),1,0)</f>
        <v/>
      </c>
      <c r="T14" s="249">
        <f>IF(Q14&lt;=$B$9,1,0)</f>
        <v/>
      </c>
    </row>
    <row r="15" ht="15" customHeight="1" s="129">
      <c r="A15" s="355" t="inlineStr">
        <is>
          <t>ต่อระแนง →</t>
        </is>
      </c>
      <c r="B15" s="356">
        <f>'คิดทุน ประตูรั้ว'!B17</f>
        <v/>
      </c>
      <c r="D15" s="357" t="inlineStr">
        <is>
          <t>สีพิเศษ</t>
        </is>
      </c>
      <c r="E15" s="359">
        <f>VLOOKUP(B11,$J$11:$L$15,3,0)</f>
        <v/>
      </c>
      <c r="J15" s="357" t="inlineStr">
        <is>
          <t>สีลายไม้อบพิเศษ</t>
        </is>
      </c>
      <c r="K15" s="361" t="n">
        <v>1.98958</v>
      </c>
      <c r="L15" s="359" t="n">
        <v>2000</v>
      </c>
      <c r="M15" s="249" t="n">
        <v>14</v>
      </c>
      <c r="N15" s="249">
        <f>IF(MOD(M15-1,$B$4+$B$7)&lt;$B$4,"A","B")</f>
        <v/>
      </c>
      <c r="O15" s="269">
        <f>IF(N15="A",$E$3,$E$4)</f>
        <v/>
      </c>
      <c r="P15" s="270">
        <f>P14+O15</f>
        <v/>
      </c>
      <c r="Q15" s="270">
        <f>P15+(M15-1)*$B$8</f>
        <v/>
      </c>
      <c r="R15" s="249">
        <f>IF(AND(Q15&lt;=$B$9,N15="A"),1,0)</f>
        <v/>
      </c>
      <c r="S15" s="249">
        <f>IF(AND(Q15&lt;=$B$9,N15="B"),1,0)</f>
        <v/>
      </c>
      <c r="T15" s="249">
        <f>IF(Q15&lt;=$B$9,1,0)</f>
        <v/>
      </c>
    </row>
    <row r="16" ht="15" customHeight="1" s="129">
      <c r="D16" s="357" t="inlineStr">
        <is>
          <t>เส้นโครง</t>
        </is>
      </c>
      <c r="E16" s="359">
        <f>IF(B12="รวม",ROUNDUP(IF(B10&lt;=250,2,3)/MAX(INT(600/B9),1),0),0)</f>
        <v/>
      </c>
      <c r="M16" s="249" t="n">
        <v>15</v>
      </c>
      <c r="N16" s="249">
        <f>IF(MOD(M16-1,$B$4+$B$7)&lt;$B$4,"A","B")</f>
        <v/>
      </c>
      <c r="O16" s="269">
        <f>IF(N16="A",$E$3,$E$4)</f>
        <v/>
      </c>
      <c r="P16" s="270">
        <f>P15+O16</f>
        <v/>
      </c>
      <c r="Q16" s="270">
        <f>P16+(M16-1)*$B$8</f>
        <v/>
      </c>
      <c r="R16" s="249">
        <f>IF(AND(Q16&lt;=$B$9,N16="A"),1,0)</f>
        <v/>
      </c>
      <c r="S16" s="249">
        <f>IF(AND(Q16&lt;=$B$9,N16="B"),1,0)</f>
        <v/>
      </c>
      <c r="T16" s="249">
        <f>IF(Q16&lt;=$B$9,1,0)</f>
        <v/>
      </c>
    </row>
    <row r="17" ht="15" customHeight="1" s="129">
      <c r="D17" s="357" t="inlineStr">
        <is>
          <t>ราคาโครง</t>
        </is>
      </c>
      <c r="E17" s="359">
        <f>ROUND(485*E5/5,0)*5</f>
        <v/>
      </c>
      <c r="M17" s="249" t="n">
        <v>16</v>
      </c>
      <c r="N17" s="249">
        <f>IF(MOD(M17-1,$B$4+$B$7)&lt;$B$4,"A","B")</f>
        <v/>
      </c>
      <c r="O17" s="269">
        <f>IF(N17="A",$E$3,$E$4)</f>
        <v/>
      </c>
      <c r="P17" s="270">
        <f>P16+O17</f>
        <v/>
      </c>
      <c r="Q17" s="270">
        <f>P17+(M17-1)*$B$8</f>
        <v/>
      </c>
      <c r="R17" s="249">
        <f>IF(AND(Q17&lt;=$B$9,N17="A"),1,0)</f>
        <v/>
      </c>
      <c r="S17" s="249">
        <f>IF(AND(Q17&lt;=$B$9,N17="B"),1,0)</f>
        <v/>
      </c>
      <c r="T17" s="249">
        <f>IF(Q17&lt;=$B$9,1,0)</f>
        <v/>
      </c>
    </row>
    <row r="18" ht="15" customHeight="1" s="129">
      <c r="J18" s="357" t="inlineStr">
        <is>
          <t>1 cm</t>
        </is>
      </c>
      <c r="K18" s="381" t="n">
        <v>1</v>
      </c>
      <c r="M18" s="249" t="n">
        <v>17</v>
      </c>
      <c r="N18" s="249">
        <f>IF(MOD(M18-1,$B$4+$B$7)&lt;$B$4,"A","B")</f>
        <v/>
      </c>
      <c r="O18" s="269">
        <f>IF(N18="A",$E$3,$E$4)</f>
        <v/>
      </c>
      <c r="P18" s="270">
        <f>P17+O18</f>
        <v/>
      </c>
      <c r="Q18" s="270">
        <f>P18+(M18-1)*$B$8</f>
        <v/>
      </c>
      <c r="R18" s="249">
        <f>IF(AND(Q18&lt;=$B$9,N18="A"),1,0)</f>
        <v/>
      </c>
      <c r="S18" s="249">
        <f>IF(AND(Q18&lt;=$B$9,N18="B"),1,0)</f>
        <v/>
      </c>
      <c r="T18" s="249">
        <f>IF(Q18&lt;=$B$9,1,0)</f>
        <v/>
      </c>
    </row>
    <row r="19" ht="15" customHeight="1" s="129">
      <c r="J19" s="357" t="inlineStr">
        <is>
          <t>5 cm</t>
        </is>
      </c>
      <c r="K19" s="381" t="n">
        <v>5</v>
      </c>
      <c r="M19" s="249" t="n">
        <v>18</v>
      </c>
      <c r="N19" s="249">
        <f>IF(MOD(M19-1,$B$4+$B$7)&lt;$B$4,"A","B")</f>
        <v/>
      </c>
      <c r="O19" s="269">
        <f>IF(N19="A",$E$3,$E$4)</f>
        <v/>
      </c>
      <c r="P19" s="270">
        <f>P18+O19</f>
        <v/>
      </c>
      <c r="Q19" s="270">
        <f>P19+(M19-1)*$B$8</f>
        <v/>
      </c>
      <c r="R19" s="249">
        <f>IF(AND(Q19&lt;=$B$9,N19="A"),1,0)</f>
        <v/>
      </c>
      <c r="S19" s="249">
        <f>IF(AND(Q19&lt;=$B$9,N19="B"),1,0)</f>
        <v/>
      </c>
      <c r="T19" s="249">
        <f>IF(Q19&lt;=$B$9,1,0)</f>
        <v/>
      </c>
    </row>
    <row r="20" ht="15" customHeight="1" s="129">
      <c r="A20" s="375" t="inlineStr">
        <is>
          <t>รายการ</t>
        </is>
      </c>
      <c r="B20" s="375" t="inlineStr">
        <is>
          <t>จำนวน</t>
        </is>
      </c>
      <c r="C20" s="375" t="inlineStr">
        <is>
          <t>ราคา/เส้น</t>
        </is>
      </c>
      <c r="D20" s="375" t="inlineStr">
        <is>
          <t>ทุน (บาท)</t>
        </is>
      </c>
      <c r="J20" s="376" t="inlineStr">
        <is>
          <t>1"</t>
        </is>
      </c>
      <c r="K20" s="382" t="n">
        <v>2.54</v>
      </c>
      <c r="M20" s="249" t="n">
        <v>19</v>
      </c>
      <c r="N20" s="249">
        <f>IF(MOD(M20-1,$B$4+$B$7)&lt;$B$4,"A","B")</f>
        <v/>
      </c>
      <c r="O20" s="269">
        <f>IF(N20="A",$E$3,$E$4)</f>
        <v/>
      </c>
      <c r="P20" s="270">
        <f>P19+O20</f>
        <v/>
      </c>
      <c r="Q20" s="270">
        <f>P20+(M20-1)*$B$8</f>
        <v/>
      </c>
      <c r="R20" s="249">
        <f>IF(AND(Q20&lt;=$B$9,N20="A"),1,0)</f>
        <v/>
      </c>
      <c r="S20" s="249">
        <f>IF(AND(Q20&lt;=$B$9,N20="B"),1,0)</f>
        <v/>
      </c>
      <c r="T20" s="249">
        <f>IF(Q20&lt;=$B$9,1,0)</f>
        <v/>
      </c>
    </row>
    <row r="21" ht="15" customHeight="1" s="129">
      <c r="A21" s="363">
        <f>B2&amp;" — A (โชว์ "&amp;B3&amp;")"</f>
        <v/>
      </c>
      <c r="B21" s="346">
        <f>E13</f>
        <v/>
      </c>
      <c r="C21" s="346">
        <f>E6</f>
        <v/>
      </c>
      <c r="D21" s="346">
        <f>B21*C21</f>
        <v/>
      </c>
      <c r="J21" s="357" t="inlineStr">
        <is>
          <t>1.5"</t>
        </is>
      </c>
      <c r="K21" s="381" t="n">
        <v>3.81</v>
      </c>
      <c r="M21" s="249" t="n">
        <v>20</v>
      </c>
      <c r="N21" s="249">
        <f>IF(MOD(M21-1,$B$4+$B$7)&lt;$B$4,"A","B")</f>
        <v/>
      </c>
      <c r="O21" s="269">
        <f>IF(N21="A",$E$3,$E$4)</f>
        <v/>
      </c>
      <c r="P21" s="270">
        <f>P20+O21</f>
        <v/>
      </c>
      <c r="Q21" s="270">
        <f>P21+(M21-1)*$B$8</f>
        <v/>
      </c>
      <c r="R21" s="249">
        <f>IF(AND(Q21&lt;=$B$9,N21="A"),1,0)</f>
        <v/>
      </c>
      <c r="S21" s="249">
        <f>IF(AND(Q21&lt;=$B$9,N21="B"),1,0)</f>
        <v/>
      </c>
      <c r="T21" s="249">
        <f>IF(Q21&lt;=$B$9,1,0)</f>
        <v/>
      </c>
    </row>
    <row r="22" ht="15" customHeight="1" s="129">
      <c r="A22" s="363">
        <f>B5&amp;" — B (โชว์ "&amp;B6&amp;")"</f>
        <v/>
      </c>
      <c r="B22" s="346">
        <f>E14</f>
        <v/>
      </c>
      <c r="C22" s="346">
        <f>E7</f>
        <v/>
      </c>
      <c r="D22" s="346">
        <f>B22*C22</f>
        <v/>
      </c>
      <c r="J22" s="357" t="inlineStr">
        <is>
          <t>1.6"</t>
        </is>
      </c>
      <c r="K22" s="381" t="n">
        <v>4.06</v>
      </c>
      <c r="M22" s="249" t="n">
        <v>21</v>
      </c>
      <c r="N22" s="249">
        <f>IF(MOD(M22-1,$B$4+$B$7)&lt;$B$4,"A","B")</f>
        <v/>
      </c>
      <c r="O22" s="269">
        <f>IF(N22="A",$E$3,$E$4)</f>
        <v/>
      </c>
      <c r="P22" s="270">
        <f>P21+O22</f>
        <v/>
      </c>
      <c r="Q22" s="270">
        <f>P22+(M22-1)*$B$8</f>
        <v/>
      </c>
      <c r="R22" s="249">
        <f>IF(AND(Q22&lt;=$B$9,N22="A"),1,0)</f>
        <v/>
      </c>
      <c r="S22" s="249">
        <f>IF(AND(Q22&lt;=$B$9,N22="B"),1,0)</f>
        <v/>
      </c>
      <c r="T22" s="249">
        <f>IF(Q22&lt;=$B$9,1,0)</f>
        <v/>
      </c>
    </row>
    <row r="23" ht="15" customHeight="1" s="129">
      <c r="A23" s="363" t="inlineStr">
        <is>
          <t>ค่าต่อระแนง (80/ท่อน)</t>
        </is>
      </c>
      <c r="B23" s="346">
        <f>IF(AND(B15="ต่อ",H6&gt;0),E9+E10,0)</f>
        <v/>
      </c>
      <c r="C23" s="346" t="n">
        <v>80</v>
      </c>
      <c r="D23" s="346">
        <f>B23*C23</f>
        <v/>
      </c>
      <c r="J23" s="357" t="inlineStr">
        <is>
          <t>4"</t>
        </is>
      </c>
      <c r="K23" s="381" t="n">
        <v>10.16</v>
      </c>
      <c r="M23" s="249" t="n">
        <v>22</v>
      </c>
      <c r="N23" s="249">
        <f>IF(MOD(M23-1,$B$4+$B$7)&lt;$B$4,"A","B")</f>
        <v/>
      </c>
      <c r="O23" s="269">
        <f>IF(N23="A",$E$3,$E$4)</f>
        <v/>
      </c>
      <c r="P23" s="270">
        <f>P22+O23</f>
        <v/>
      </c>
      <c r="Q23" s="270">
        <f>P23+(M23-1)*$B$8</f>
        <v/>
      </c>
      <c r="R23" s="249">
        <f>IF(AND(Q23&lt;=$B$9,N23="A"),1,0)</f>
        <v/>
      </c>
      <c r="S23" s="249">
        <f>IF(AND(Q23&lt;=$B$9,N23="B"),1,0)</f>
        <v/>
      </c>
      <c r="T23" s="249">
        <f>IF(Q23&lt;=$B$9,1,0)</f>
        <v/>
      </c>
    </row>
    <row r="24" ht="15" customHeight="1" s="129">
      <c r="A24" s="363" t="inlineStr">
        <is>
          <t>โครงดาม 1"×1.6"</t>
        </is>
      </c>
      <c r="B24" s="346">
        <f>E16</f>
        <v/>
      </c>
      <c r="C24" s="346">
        <f>E17</f>
        <v/>
      </c>
      <c r="D24" s="346">
        <f>B24*C24</f>
        <v/>
      </c>
      <c r="M24" s="249" t="n">
        <v>23</v>
      </c>
      <c r="N24" s="249">
        <f>IF(MOD(M24-1,$B$4+$B$7)&lt;$B$4,"A","B")</f>
        <v/>
      </c>
      <c r="O24" s="269">
        <f>IF(N24="A",$E$3,$E$4)</f>
        <v/>
      </c>
      <c r="P24" s="270">
        <f>P23+O24</f>
        <v/>
      </c>
      <c r="Q24" s="270">
        <f>P24+(M24-1)*$B$8</f>
        <v/>
      </c>
      <c r="R24" s="249">
        <f>IF(AND(Q24&lt;=$B$9,N24="A"),1,0)</f>
        <v/>
      </c>
      <c r="S24" s="249">
        <f>IF(AND(Q24&lt;=$B$9,N24="B"),1,0)</f>
        <v/>
      </c>
      <c r="T24" s="249">
        <f>IF(Q24&lt;=$B$9,1,0)</f>
        <v/>
      </c>
    </row>
    <row r="25" ht="15" customHeight="1" s="129">
      <c r="A25" s="363" t="inlineStr">
        <is>
          <t>สีพิเศษ (ค่าเปิดตู้อบ)</t>
        </is>
      </c>
      <c r="B25" s="346">
        <f>IF(E15&gt;0,1,0)</f>
        <v/>
      </c>
      <c r="C25" s="346">
        <f>E15</f>
        <v/>
      </c>
      <c r="D25" s="346">
        <f>B25*C25</f>
        <v/>
      </c>
      <c r="M25" s="249" t="n">
        <v>24</v>
      </c>
      <c r="N25" s="249">
        <f>IF(MOD(M25-1,$B$4+$B$7)&lt;$B$4,"A","B")</f>
        <v/>
      </c>
      <c r="O25" s="269">
        <f>IF(N25="A",$E$3,$E$4)</f>
        <v/>
      </c>
      <c r="P25" s="270">
        <f>P24+O25</f>
        <v/>
      </c>
      <c r="Q25" s="270">
        <f>P25+(M25-1)*$B$8</f>
        <v/>
      </c>
      <c r="R25" s="249">
        <f>IF(AND(Q25&lt;=$B$9,N25="A"),1,0)</f>
        <v/>
      </c>
      <c r="S25" s="249">
        <f>IF(AND(Q25&lt;=$B$9,N25="B"),1,0)</f>
        <v/>
      </c>
      <c r="T25" s="249">
        <f>IF(Q25&lt;=$B$9,1,0)</f>
        <v/>
      </c>
    </row>
    <row r="26" ht="15" customHeight="1" s="129">
      <c r="A26" s="383" t="inlineStr">
        <is>
          <t>ค่าแรง (ผลิต+ติดตั้ง)</t>
        </is>
      </c>
      <c r="B26" s="384">
        <f>E2</f>
        <v/>
      </c>
      <c r="C26" s="384">
        <f>B13+B14</f>
        <v/>
      </c>
      <c r="D26" s="384">
        <f>B26*C26</f>
        <v/>
      </c>
      <c r="M26" s="249" t="n">
        <v>25</v>
      </c>
      <c r="N26" s="249">
        <f>IF(MOD(M26-1,$B$4+$B$7)&lt;$B$4,"A","B")</f>
        <v/>
      </c>
      <c r="O26" s="269">
        <f>IF(N26="A",$E$3,$E$4)</f>
        <v/>
      </c>
      <c r="P26" s="270">
        <f>P25+O26</f>
        <v/>
      </c>
      <c r="Q26" s="270">
        <f>P26+(M26-1)*$B$8</f>
        <v/>
      </c>
      <c r="R26" s="249">
        <f>IF(AND(Q26&lt;=$B$9,N26="A"),1,0)</f>
        <v/>
      </c>
      <c r="S26" s="249">
        <f>IF(AND(Q26&lt;=$B$9,N26="B"),1,0)</f>
        <v/>
      </c>
      <c r="T26" s="249">
        <f>IF(Q26&lt;=$B$9,1,0)</f>
        <v/>
      </c>
    </row>
    <row r="27" ht="15" customHeight="1" s="129">
      <c r="A27" s="365" t="inlineStr">
        <is>
          <t>ทุนรวม</t>
        </is>
      </c>
      <c r="B27" s="431" t="n"/>
      <c r="C27" s="431" t="n"/>
      <c r="D27" s="366">
        <f>SUM(D21:D26)</f>
        <v/>
      </c>
      <c r="M27" s="249" t="n">
        <v>26</v>
      </c>
      <c r="N27" s="249">
        <f>IF(MOD(M27-1,$B$4+$B$7)&lt;$B$4,"A","B")</f>
        <v/>
      </c>
      <c r="O27" s="269">
        <f>IF(N27="A",$E$3,$E$4)</f>
        <v/>
      </c>
      <c r="P27" s="270">
        <f>P26+O27</f>
        <v/>
      </c>
      <c r="Q27" s="270">
        <f>P27+(M27-1)*$B$8</f>
        <v/>
      </c>
      <c r="R27" s="249">
        <f>IF(AND(Q27&lt;=$B$9,N27="A"),1,0)</f>
        <v/>
      </c>
      <c r="S27" s="249">
        <f>IF(AND(Q27&lt;=$B$9,N27="B"),1,0)</f>
        <v/>
      </c>
      <c r="T27" s="249">
        <f>IF(Q27&lt;=$B$9,1,0)</f>
        <v/>
      </c>
    </row>
    <row r="28" ht="15" customHeight="1" s="129">
      <c r="A28" s="365" t="inlineStr">
        <is>
          <t>ทุน/ตร.ม.</t>
        </is>
      </c>
      <c r="B28" s="431" t="n"/>
      <c r="C28" s="431" t="n"/>
      <c r="D28" s="366">
        <f>D27/E2</f>
        <v/>
      </c>
      <c r="M28" s="249" t="n">
        <v>27</v>
      </c>
      <c r="N28" s="249">
        <f>IF(MOD(M28-1,$B$4+$B$7)&lt;$B$4,"A","B")</f>
        <v/>
      </c>
      <c r="O28" s="269">
        <f>IF(N28="A",$E$3,$E$4)</f>
        <v/>
      </c>
      <c r="P28" s="270">
        <f>P27+O28</f>
        <v/>
      </c>
      <c r="Q28" s="270">
        <f>P28+(M28-1)*$B$8</f>
        <v/>
      </c>
      <c r="R28" s="249">
        <f>IF(AND(Q28&lt;=$B$9,N28="A"),1,0)</f>
        <v/>
      </c>
      <c r="S28" s="249">
        <f>IF(AND(Q28&lt;=$B$9,N28="B"),1,0)</f>
        <v/>
      </c>
      <c r="T28" s="249">
        <f>IF(Q28&lt;=$B$9,1,0)</f>
        <v/>
      </c>
    </row>
    <row r="29" ht="15" customHeight="1" s="129">
      <c r="A29" s="275" t="n"/>
      <c r="M29" s="249" t="n">
        <v>28</v>
      </c>
      <c r="N29" s="249">
        <f>IF(MOD(M29-1,$B$4+$B$7)&lt;$B$4,"A","B")</f>
        <v/>
      </c>
      <c r="O29" s="269">
        <f>IF(N29="A",$E$3,$E$4)</f>
        <v/>
      </c>
      <c r="P29" s="270">
        <f>P28+O29</f>
        <v/>
      </c>
      <c r="Q29" s="270">
        <f>P29+(M29-1)*$B$8</f>
        <v/>
      </c>
      <c r="R29" s="249">
        <f>IF(AND(Q29&lt;=$B$9,N29="A"),1,0)</f>
        <v/>
      </c>
      <c r="S29" s="249">
        <f>IF(AND(Q29&lt;=$B$9,N29="B"),1,0)</f>
        <v/>
      </c>
      <c r="T29" s="249">
        <f>IF(Q29&lt;=$B$9,1,0)</f>
        <v/>
      </c>
    </row>
    <row r="30" ht="15" customHeight="1" s="129">
      <c r="A30" s="372" t="n"/>
      <c r="B30" s="432" t="n"/>
      <c r="M30" s="249" t="n">
        <v>29</v>
      </c>
      <c r="N30" s="249">
        <f>IF(MOD(M30-1,$B$4+$B$7)&lt;$B$4,"A","B")</f>
        <v/>
      </c>
      <c r="O30" s="269">
        <f>IF(N30="A",$E$3,$E$4)</f>
        <v/>
      </c>
      <c r="P30" s="270">
        <f>P29+O30</f>
        <v/>
      </c>
      <c r="Q30" s="270">
        <f>P30+(M30-1)*$B$8</f>
        <v/>
      </c>
      <c r="R30" s="249">
        <f>IF(AND(Q30&lt;=$B$9,N30="A"),1,0)</f>
        <v/>
      </c>
      <c r="S30" s="249">
        <f>IF(AND(Q30&lt;=$B$9,N30="B"),1,0)</f>
        <v/>
      </c>
      <c r="T30" s="249">
        <f>IF(Q30&lt;=$B$9,1,0)</f>
        <v/>
      </c>
    </row>
    <row r="31" ht="15" customHeight="1" s="129">
      <c r="A31" s="387" t="inlineStr">
        <is>
          <t>ทุนวัสดุ (ไม่รวมค่าแรง)</t>
        </is>
      </c>
      <c r="D31" s="388">
        <f>SUM(D21:D25)</f>
        <v/>
      </c>
      <c r="M31" s="249" t="n">
        <v>30</v>
      </c>
      <c r="N31" s="249">
        <f>IF(MOD(M31-1,$B$4+$B$7)&lt;$B$4,"A","B")</f>
        <v/>
      </c>
      <c r="O31" s="269">
        <f>IF(N31="A",$E$3,$E$4)</f>
        <v/>
      </c>
      <c r="P31" s="270">
        <f>P30+O31</f>
        <v/>
      </c>
      <c r="Q31" s="270">
        <f>P31+(M31-1)*$B$8</f>
        <v/>
      </c>
      <c r="R31" s="249">
        <f>IF(AND(Q31&lt;=$B$9,N31="A"),1,0)</f>
        <v/>
      </c>
      <c r="S31" s="249">
        <f>IF(AND(Q31&lt;=$B$9,N31="B"),1,0)</f>
        <v/>
      </c>
      <c r="T31" s="249">
        <f>IF(Q31&lt;=$B$9,1,0)</f>
        <v/>
      </c>
    </row>
    <row r="32" ht="15" customHeight="1" s="129">
      <c r="A32" s="387" t="inlineStr">
        <is>
          <t>ค่าแรงผลิต</t>
        </is>
      </c>
      <c r="D32" s="388">
        <f>B13*E2</f>
        <v/>
      </c>
      <c r="M32" s="249" t="n">
        <v>31</v>
      </c>
      <c r="N32" s="249">
        <f>IF(MOD(M32-1,$B$4+$B$7)&lt;$B$4,"A","B")</f>
        <v/>
      </c>
      <c r="O32" s="269">
        <f>IF(N32="A",$E$3,$E$4)</f>
        <v/>
      </c>
      <c r="P32" s="270">
        <f>P31+O32</f>
        <v/>
      </c>
      <c r="Q32" s="270">
        <f>P32+(M32-1)*$B$8</f>
        <v/>
      </c>
      <c r="R32" s="249">
        <f>IF(AND(Q32&lt;=$B$9,N32="A"),1,0)</f>
        <v/>
      </c>
      <c r="S32" s="249">
        <f>IF(AND(Q32&lt;=$B$9,N32="B"),1,0)</f>
        <v/>
      </c>
      <c r="T32" s="249">
        <f>IF(Q32&lt;=$B$9,1,0)</f>
        <v/>
      </c>
    </row>
    <row r="33" ht="15" customHeight="1" s="129">
      <c r="A33" s="387" t="inlineStr">
        <is>
          <t>ค่าแรงติดตั้ง</t>
        </is>
      </c>
      <c r="D33" s="388">
        <f>B14*E2</f>
        <v/>
      </c>
      <c r="M33" s="249" t="n">
        <v>32</v>
      </c>
      <c r="N33" s="249">
        <f>IF(MOD(M33-1,$B$4+$B$7)&lt;$B$4,"A","B")</f>
        <v/>
      </c>
      <c r="O33" s="269">
        <f>IF(N33="A",$E$3,$E$4)</f>
        <v/>
      </c>
      <c r="P33" s="270">
        <f>P32+O33</f>
        <v/>
      </c>
      <c r="Q33" s="270">
        <f>P33+(M33-1)*$B$8</f>
        <v/>
      </c>
      <c r="R33" s="249">
        <f>IF(AND(Q33&lt;=$B$9,N33="A"),1,0)</f>
        <v/>
      </c>
      <c r="S33" s="249">
        <f>IF(AND(Q33&lt;=$B$9,N33="B"),1,0)</f>
        <v/>
      </c>
      <c r="T33" s="249">
        <f>IF(Q33&lt;=$B$9,1,0)</f>
        <v/>
      </c>
    </row>
    <row r="34" ht="15" customHeight="1" s="129">
      <c r="A34" s="276" t="inlineStr">
        <is>
          <t>ขายผลิตอย่างเดียว (กำไร 100%)</t>
        </is>
      </c>
      <c r="D34" s="389">
        <f>(D31+D32)*2</f>
        <v/>
      </c>
      <c r="M34" s="249" t="n">
        <v>33</v>
      </c>
      <c r="N34" s="249">
        <f>IF(MOD(M34-1,$B$4+$B$7)&lt;$B$4,"A","B")</f>
        <v/>
      </c>
      <c r="O34" s="269">
        <f>IF(N34="A",$E$3,$E$4)</f>
        <v/>
      </c>
      <c r="P34" s="270">
        <f>P33+O34</f>
        <v/>
      </c>
      <c r="Q34" s="270">
        <f>P34+(M34-1)*$B$8</f>
        <v/>
      </c>
      <c r="R34" s="249">
        <f>IF(AND(Q34&lt;=$B$9,N34="A"),1,0)</f>
        <v/>
      </c>
      <c r="S34" s="249">
        <f>IF(AND(Q34&lt;=$B$9,N34="B"),1,0)</f>
        <v/>
      </c>
      <c r="T34" s="249">
        <f>IF(Q34&lt;=$B$9,1,0)</f>
        <v/>
      </c>
    </row>
    <row r="35" ht="15" customHeight="1" s="129">
      <c r="A35" s="276" t="inlineStr">
        <is>
          <t>ขายผลิต+ติดตั้ง (กำไร 100%)</t>
        </is>
      </c>
      <c r="D35" s="389">
        <f>D34+D33*2</f>
        <v/>
      </c>
      <c r="M35" s="249" t="n">
        <v>34</v>
      </c>
      <c r="N35" s="249">
        <f>IF(MOD(M35-1,$B$4+$B$7)&lt;$B$4,"A","B")</f>
        <v/>
      </c>
      <c r="O35" s="269">
        <f>IF(N35="A",$E$3,$E$4)</f>
        <v/>
      </c>
      <c r="P35" s="270">
        <f>P34+O35</f>
        <v/>
      </c>
      <c r="Q35" s="270">
        <f>P35+(M35-1)*$B$8</f>
        <v/>
      </c>
      <c r="R35" s="249">
        <f>IF(AND(Q35&lt;=$B$9,N35="A"),1,0)</f>
        <v/>
      </c>
      <c r="S35" s="249">
        <f>IF(AND(Q35&lt;=$B$9,N35="B"),1,0)</f>
        <v/>
      </c>
      <c r="T35" s="249">
        <f>IF(Q35&lt;=$B$9,1,0)</f>
        <v/>
      </c>
    </row>
    <row r="36" ht="15" customHeight="1" s="129">
      <c r="A36" s="387" t="inlineStr">
        <is>
          <t>กำไร% (ฐานวัสดุ+ค่าแรงผลิต)</t>
        </is>
      </c>
      <c r="D36" s="390">
        <f>(D34-(D31+D32))/(D31+D32)</f>
        <v/>
      </c>
      <c r="M36" s="249" t="n">
        <v>35</v>
      </c>
      <c r="N36" s="249">
        <f>IF(MOD(M36-1,$B$4+$B$7)&lt;$B$4,"A","B")</f>
        <v/>
      </c>
      <c r="O36" s="269">
        <f>IF(N36="A",$E$3,$E$4)</f>
        <v/>
      </c>
      <c r="P36" s="270">
        <f>P35+O36</f>
        <v/>
      </c>
      <c r="Q36" s="270">
        <f>P36+(M36-1)*$B$8</f>
        <v/>
      </c>
      <c r="R36" s="249">
        <f>IF(AND(Q36&lt;=$B$9,N36="A"),1,0)</f>
        <v/>
      </c>
      <c r="S36" s="249">
        <f>IF(AND(Q36&lt;=$B$9,N36="B"),1,0)</f>
        <v/>
      </c>
      <c r="T36" s="249">
        <f>IF(Q36&lt;=$B$9,1,0)</f>
        <v/>
      </c>
    </row>
    <row r="37" ht="15" customHeight="1" s="129">
      <c r="M37" s="249" t="n">
        <v>36</v>
      </c>
      <c r="N37" s="249">
        <f>IF(MOD(M37-1,$B$4+$B$7)&lt;$B$4,"A","B")</f>
        <v/>
      </c>
      <c r="O37" s="269">
        <f>IF(N37="A",$E$3,$E$4)</f>
        <v/>
      </c>
      <c r="P37" s="270">
        <f>P36+O37</f>
        <v/>
      </c>
      <c r="Q37" s="270">
        <f>P37+(M37-1)*$B$8</f>
        <v/>
      </c>
      <c r="R37" s="249">
        <f>IF(AND(Q37&lt;=$B$9,N37="A"),1,0)</f>
        <v/>
      </c>
      <c r="S37" s="249">
        <f>IF(AND(Q37&lt;=$B$9,N37="B"),1,0)</f>
        <v/>
      </c>
      <c r="T37" s="249">
        <f>IF(Q37&lt;=$B$9,1,0)</f>
        <v/>
      </c>
    </row>
    <row r="38" ht="15" customHeight="1" s="129">
      <c r="M38" s="249" t="n">
        <v>37</v>
      </c>
      <c r="N38" s="249">
        <f>IF(MOD(M38-1,$B$4+$B$7)&lt;$B$4,"A","B")</f>
        <v/>
      </c>
      <c r="O38" s="269">
        <f>IF(N38="A",$E$3,$E$4)</f>
        <v/>
      </c>
      <c r="P38" s="270">
        <f>P37+O38</f>
        <v/>
      </c>
      <c r="Q38" s="270">
        <f>P38+(M38-1)*$B$8</f>
        <v/>
      </c>
      <c r="R38" s="249">
        <f>IF(AND(Q38&lt;=$B$9,N38="A"),1,0)</f>
        <v/>
      </c>
      <c r="S38" s="249">
        <f>IF(AND(Q38&lt;=$B$9,N38="B"),1,0)</f>
        <v/>
      </c>
      <c r="T38" s="249">
        <f>IF(Q38&lt;=$B$9,1,0)</f>
        <v/>
      </c>
    </row>
    <row r="39" ht="15" customHeight="1" s="129">
      <c r="M39" s="249" t="n">
        <v>38</v>
      </c>
      <c r="N39" s="249">
        <f>IF(MOD(M39-1,$B$4+$B$7)&lt;$B$4,"A","B")</f>
        <v/>
      </c>
      <c r="O39" s="269">
        <f>IF(N39="A",$E$3,$E$4)</f>
        <v/>
      </c>
      <c r="P39" s="270">
        <f>P38+O39</f>
        <v/>
      </c>
      <c r="Q39" s="270">
        <f>P39+(M39-1)*$B$8</f>
        <v/>
      </c>
      <c r="R39" s="249">
        <f>IF(AND(Q39&lt;=$B$9,N39="A"),1,0)</f>
        <v/>
      </c>
      <c r="S39" s="249">
        <f>IF(AND(Q39&lt;=$B$9,N39="B"),1,0)</f>
        <v/>
      </c>
      <c r="T39" s="249">
        <f>IF(Q39&lt;=$B$9,1,0)</f>
        <v/>
      </c>
    </row>
    <row r="40" ht="15" customHeight="1" s="129">
      <c r="M40" s="249" t="n">
        <v>39</v>
      </c>
      <c r="N40" s="249">
        <f>IF(MOD(M40-1,$B$4+$B$7)&lt;$B$4,"A","B")</f>
        <v/>
      </c>
      <c r="O40" s="269">
        <f>IF(N40="A",$E$3,$E$4)</f>
        <v/>
      </c>
      <c r="P40" s="270">
        <f>P39+O40</f>
        <v/>
      </c>
      <c r="Q40" s="270">
        <f>P40+(M40-1)*$B$8</f>
        <v/>
      </c>
      <c r="R40" s="249">
        <f>IF(AND(Q40&lt;=$B$9,N40="A"),1,0)</f>
        <v/>
      </c>
      <c r="S40" s="249">
        <f>IF(AND(Q40&lt;=$B$9,N40="B"),1,0)</f>
        <v/>
      </c>
      <c r="T40" s="249">
        <f>IF(Q40&lt;=$B$9,1,0)</f>
        <v/>
      </c>
    </row>
    <row r="41" ht="15" customHeight="1" s="129">
      <c r="M41" s="249" t="n">
        <v>40</v>
      </c>
      <c r="N41" s="249">
        <f>IF(MOD(M41-1,$B$4+$B$7)&lt;$B$4,"A","B")</f>
        <v/>
      </c>
      <c r="O41" s="269">
        <f>IF(N41="A",$E$3,$E$4)</f>
        <v/>
      </c>
      <c r="P41" s="270">
        <f>P40+O41</f>
        <v/>
      </c>
      <c r="Q41" s="270">
        <f>P41+(M41-1)*$B$8</f>
        <v/>
      </c>
      <c r="R41" s="249">
        <f>IF(AND(Q41&lt;=$B$9,N41="A"),1,0)</f>
        <v/>
      </c>
      <c r="S41" s="249">
        <f>IF(AND(Q41&lt;=$B$9,N41="B"),1,0)</f>
        <v/>
      </c>
      <c r="T41" s="249">
        <f>IF(Q41&lt;=$B$9,1,0)</f>
        <v/>
      </c>
    </row>
    <row r="42" ht="15" customHeight="1" s="129">
      <c r="M42" s="249" t="n">
        <v>41</v>
      </c>
      <c r="N42" s="249">
        <f>IF(MOD(M42-1,$B$4+$B$7)&lt;$B$4,"A","B")</f>
        <v/>
      </c>
      <c r="O42" s="269">
        <f>IF(N42="A",$E$3,$E$4)</f>
        <v/>
      </c>
      <c r="P42" s="270">
        <f>P41+O42</f>
        <v/>
      </c>
      <c r="Q42" s="270">
        <f>P42+(M42-1)*$B$8</f>
        <v/>
      </c>
      <c r="R42" s="249">
        <f>IF(AND(Q42&lt;=$B$9,N42="A"),1,0)</f>
        <v/>
      </c>
      <c r="S42" s="249">
        <f>IF(AND(Q42&lt;=$B$9,N42="B"),1,0)</f>
        <v/>
      </c>
      <c r="T42" s="249">
        <f>IF(Q42&lt;=$B$9,1,0)</f>
        <v/>
      </c>
    </row>
    <row r="43" ht="15" customHeight="1" s="129">
      <c r="M43" s="249" t="n">
        <v>42</v>
      </c>
      <c r="N43" s="249">
        <f>IF(MOD(M43-1,$B$4+$B$7)&lt;$B$4,"A","B")</f>
        <v/>
      </c>
      <c r="O43" s="269">
        <f>IF(N43="A",$E$3,$E$4)</f>
        <v/>
      </c>
      <c r="P43" s="270">
        <f>P42+O43</f>
        <v/>
      </c>
      <c r="Q43" s="270">
        <f>P43+(M43-1)*$B$8</f>
        <v/>
      </c>
      <c r="R43" s="249">
        <f>IF(AND(Q43&lt;=$B$9,N43="A"),1,0)</f>
        <v/>
      </c>
      <c r="S43" s="249">
        <f>IF(AND(Q43&lt;=$B$9,N43="B"),1,0)</f>
        <v/>
      </c>
      <c r="T43" s="249">
        <f>IF(Q43&lt;=$B$9,1,0)</f>
        <v/>
      </c>
    </row>
    <row r="44" ht="15" customHeight="1" s="129">
      <c r="M44" s="249" t="n">
        <v>43</v>
      </c>
      <c r="N44" s="249">
        <f>IF(MOD(M44-1,$B$4+$B$7)&lt;$B$4,"A","B")</f>
        <v/>
      </c>
      <c r="O44" s="269">
        <f>IF(N44="A",$E$3,$E$4)</f>
        <v/>
      </c>
      <c r="P44" s="270">
        <f>P43+O44</f>
        <v/>
      </c>
      <c r="Q44" s="270">
        <f>P44+(M44-1)*$B$8</f>
        <v/>
      </c>
      <c r="R44" s="249">
        <f>IF(AND(Q44&lt;=$B$9,N44="A"),1,0)</f>
        <v/>
      </c>
      <c r="S44" s="249">
        <f>IF(AND(Q44&lt;=$B$9,N44="B"),1,0)</f>
        <v/>
      </c>
      <c r="T44" s="249">
        <f>IF(Q44&lt;=$B$9,1,0)</f>
        <v/>
      </c>
    </row>
    <row r="45" ht="15" customHeight="1" s="129">
      <c r="M45" s="249" t="n">
        <v>44</v>
      </c>
      <c r="N45" s="249">
        <f>IF(MOD(M45-1,$B$4+$B$7)&lt;$B$4,"A","B")</f>
        <v/>
      </c>
      <c r="O45" s="269">
        <f>IF(N45="A",$E$3,$E$4)</f>
        <v/>
      </c>
      <c r="P45" s="270">
        <f>P44+O45</f>
        <v/>
      </c>
      <c r="Q45" s="270">
        <f>P45+(M45-1)*$B$8</f>
        <v/>
      </c>
      <c r="R45" s="249">
        <f>IF(AND(Q45&lt;=$B$9,N45="A"),1,0)</f>
        <v/>
      </c>
      <c r="S45" s="249">
        <f>IF(AND(Q45&lt;=$B$9,N45="B"),1,0)</f>
        <v/>
      </c>
      <c r="T45" s="249">
        <f>IF(Q45&lt;=$B$9,1,0)</f>
        <v/>
      </c>
    </row>
    <row r="46" ht="15" customHeight="1" s="129">
      <c r="M46" s="249" t="n">
        <v>45</v>
      </c>
      <c r="N46" s="249">
        <f>IF(MOD(M46-1,$B$4+$B$7)&lt;$B$4,"A","B")</f>
        <v/>
      </c>
      <c r="O46" s="269">
        <f>IF(N46="A",$E$3,$E$4)</f>
        <v/>
      </c>
      <c r="P46" s="270">
        <f>P45+O46</f>
        <v/>
      </c>
      <c r="Q46" s="270">
        <f>P46+(M46-1)*$B$8</f>
        <v/>
      </c>
      <c r="R46" s="249">
        <f>IF(AND(Q46&lt;=$B$9,N46="A"),1,0)</f>
        <v/>
      </c>
      <c r="S46" s="249">
        <f>IF(AND(Q46&lt;=$B$9,N46="B"),1,0)</f>
        <v/>
      </c>
      <c r="T46" s="249">
        <f>IF(Q46&lt;=$B$9,1,0)</f>
        <v/>
      </c>
    </row>
    <row r="47" ht="15" customHeight="1" s="129">
      <c r="M47" s="249" t="n">
        <v>46</v>
      </c>
      <c r="N47" s="249">
        <f>IF(MOD(M47-1,$B$4+$B$7)&lt;$B$4,"A","B")</f>
        <v/>
      </c>
      <c r="O47" s="269">
        <f>IF(N47="A",$E$3,$E$4)</f>
        <v/>
      </c>
      <c r="P47" s="270">
        <f>P46+O47</f>
        <v/>
      </c>
      <c r="Q47" s="270">
        <f>P47+(M47-1)*$B$8</f>
        <v/>
      </c>
      <c r="R47" s="249">
        <f>IF(AND(Q47&lt;=$B$9,N47="A"),1,0)</f>
        <v/>
      </c>
      <c r="S47" s="249">
        <f>IF(AND(Q47&lt;=$B$9,N47="B"),1,0)</f>
        <v/>
      </c>
      <c r="T47" s="249">
        <f>IF(Q47&lt;=$B$9,1,0)</f>
        <v/>
      </c>
    </row>
    <row r="48" ht="15" customHeight="1" s="129">
      <c r="M48" s="249" t="n">
        <v>47</v>
      </c>
      <c r="N48" s="249">
        <f>IF(MOD(M48-1,$B$4+$B$7)&lt;$B$4,"A","B")</f>
        <v/>
      </c>
      <c r="O48" s="269">
        <f>IF(N48="A",$E$3,$E$4)</f>
        <v/>
      </c>
      <c r="P48" s="270">
        <f>P47+O48</f>
        <v/>
      </c>
      <c r="Q48" s="270">
        <f>P48+(M48-1)*$B$8</f>
        <v/>
      </c>
      <c r="R48" s="249">
        <f>IF(AND(Q48&lt;=$B$9,N48="A"),1,0)</f>
        <v/>
      </c>
      <c r="S48" s="249">
        <f>IF(AND(Q48&lt;=$B$9,N48="B"),1,0)</f>
        <v/>
      </c>
      <c r="T48" s="249">
        <f>IF(Q48&lt;=$B$9,1,0)</f>
        <v/>
      </c>
    </row>
    <row r="49" ht="15" customHeight="1" s="129">
      <c r="M49" s="249" t="n">
        <v>48</v>
      </c>
      <c r="N49" s="249">
        <f>IF(MOD(M49-1,$B$4+$B$7)&lt;$B$4,"A","B")</f>
        <v/>
      </c>
      <c r="O49" s="269">
        <f>IF(N49="A",$E$3,$E$4)</f>
        <v/>
      </c>
      <c r="P49" s="270">
        <f>P48+O49</f>
        <v/>
      </c>
      <c r="Q49" s="270">
        <f>P49+(M49-1)*$B$8</f>
        <v/>
      </c>
      <c r="R49" s="249">
        <f>IF(AND(Q49&lt;=$B$9,N49="A"),1,0)</f>
        <v/>
      </c>
      <c r="S49" s="249">
        <f>IF(AND(Q49&lt;=$B$9,N49="B"),1,0)</f>
        <v/>
      </c>
      <c r="T49" s="249">
        <f>IF(Q49&lt;=$B$9,1,0)</f>
        <v/>
      </c>
    </row>
    <row r="50" ht="15" customHeight="1" s="129">
      <c r="M50" s="249" t="n">
        <v>49</v>
      </c>
      <c r="N50" s="249">
        <f>IF(MOD(M50-1,$B$4+$B$7)&lt;$B$4,"A","B")</f>
        <v/>
      </c>
      <c r="O50" s="269">
        <f>IF(N50="A",$E$3,$E$4)</f>
        <v/>
      </c>
      <c r="P50" s="270">
        <f>P49+O50</f>
        <v/>
      </c>
      <c r="Q50" s="270">
        <f>P50+(M50-1)*$B$8</f>
        <v/>
      </c>
      <c r="R50" s="249">
        <f>IF(AND(Q50&lt;=$B$9,N50="A"),1,0)</f>
        <v/>
      </c>
      <c r="S50" s="249">
        <f>IF(AND(Q50&lt;=$B$9,N50="B"),1,0)</f>
        <v/>
      </c>
      <c r="T50" s="249">
        <f>IF(Q50&lt;=$B$9,1,0)</f>
        <v/>
      </c>
    </row>
    <row r="51" ht="15" customHeight="1" s="129">
      <c r="M51" s="249" t="n">
        <v>50</v>
      </c>
      <c r="N51" s="249">
        <f>IF(MOD(M51-1,$B$4+$B$7)&lt;$B$4,"A","B")</f>
        <v/>
      </c>
      <c r="O51" s="269">
        <f>IF(N51="A",$E$3,$E$4)</f>
        <v/>
      </c>
      <c r="P51" s="270">
        <f>P50+O51</f>
        <v/>
      </c>
      <c r="Q51" s="270">
        <f>P51+(M51-1)*$B$8</f>
        <v/>
      </c>
      <c r="R51" s="249">
        <f>IF(AND(Q51&lt;=$B$9,N51="A"),1,0)</f>
        <v/>
      </c>
      <c r="S51" s="249">
        <f>IF(AND(Q51&lt;=$B$9,N51="B"),1,0)</f>
        <v/>
      </c>
      <c r="T51" s="249">
        <f>IF(Q51&lt;=$B$9,1,0)</f>
        <v/>
      </c>
    </row>
    <row r="52" ht="15" customHeight="1" s="129">
      <c r="M52" s="249" t="n">
        <v>51</v>
      </c>
      <c r="N52" s="249">
        <f>IF(MOD(M52-1,$B$4+$B$7)&lt;$B$4,"A","B")</f>
        <v/>
      </c>
      <c r="O52" s="269">
        <f>IF(N52="A",$E$3,$E$4)</f>
        <v/>
      </c>
      <c r="P52" s="270">
        <f>P51+O52</f>
        <v/>
      </c>
      <c r="Q52" s="270">
        <f>P52+(M52-1)*$B$8</f>
        <v/>
      </c>
      <c r="R52" s="249">
        <f>IF(AND(Q52&lt;=$B$9,N52="A"),1,0)</f>
        <v/>
      </c>
      <c r="S52" s="249">
        <f>IF(AND(Q52&lt;=$B$9,N52="B"),1,0)</f>
        <v/>
      </c>
      <c r="T52" s="249">
        <f>IF(Q52&lt;=$B$9,1,0)</f>
        <v/>
      </c>
    </row>
    <row r="53" ht="15" customHeight="1" s="129">
      <c r="M53" s="249" t="n">
        <v>52</v>
      </c>
      <c r="N53" s="249">
        <f>IF(MOD(M53-1,$B$4+$B$7)&lt;$B$4,"A","B")</f>
        <v/>
      </c>
      <c r="O53" s="269">
        <f>IF(N53="A",$E$3,$E$4)</f>
        <v/>
      </c>
      <c r="P53" s="270">
        <f>P52+O53</f>
        <v/>
      </c>
      <c r="Q53" s="270">
        <f>P53+(M53-1)*$B$8</f>
        <v/>
      </c>
      <c r="R53" s="249">
        <f>IF(AND(Q53&lt;=$B$9,N53="A"),1,0)</f>
        <v/>
      </c>
      <c r="S53" s="249">
        <f>IF(AND(Q53&lt;=$B$9,N53="B"),1,0)</f>
        <v/>
      </c>
      <c r="T53" s="249">
        <f>IF(Q53&lt;=$B$9,1,0)</f>
        <v/>
      </c>
    </row>
    <row r="54" ht="15" customHeight="1" s="129">
      <c r="M54" s="249" t="n">
        <v>53</v>
      </c>
      <c r="N54" s="249">
        <f>IF(MOD(M54-1,$B$4+$B$7)&lt;$B$4,"A","B")</f>
        <v/>
      </c>
      <c r="O54" s="269">
        <f>IF(N54="A",$E$3,$E$4)</f>
        <v/>
      </c>
      <c r="P54" s="270">
        <f>P53+O54</f>
        <v/>
      </c>
      <c r="Q54" s="270">
        <f>P54+(M54-1)*$B$8</f>
        <v/>
      </c>
      <c r="R54" s="249">
        <f>IF(AND(Q54&lt;=$B$9,N54="A"),1,0)</f>
        <v/>
      </c>
      <c r="S54" s="249">
        <f>IF(AND(Q54&lt;=$B$9,N54="B"),1,0)</f>
        <v/>
      </c>
      <c r="T54" s="249">
        <f>IF(Q54&lt;=$B$9,1,0)</f>
        <v/>
      </c>
    </row>
    <row r="55" ht="15" customHeight="1" s="129">
      <c r="M55" s="249" t="n">
        <v>54</v>
      </c>
      <c r="N55" s="249">
        <f>IF(MOD(M55-1,$B$4+$B$7)&lt;$B$4,"A","B")</f>
        <v/>
      </c>
      <c r="O55" s="269">
        <f>IF(N55="A",$E$3,$E$4)</f>
        <v/>
      </c>
      <c r="P55" s="270">
        <f>P54+O55</f>
        <v/>
      </c>
      <c r="Q55" s="270">
        <f>P55+(M55-1)*$B$8</f>
        <v/>
      </c>
      <c r="R55" s="249">
        <f>IF(AND(Q55&lt;=$B$9,N55="A"),1,0)</f>
        <v/>
      </c>
      <c r="S55" s="249">
        <f>IF(AND(Q55&lt;=$B$9,N55="B"),1,0)</f>
        <v/>
      </c>
      <c r="T55" s="249">
        <f>IF(Q55&lt;=$B$9,1,0)</f>
        <v/>
      </c>
    </row>
    <row r="56" ht="15" customHeight="1" s="129">
      <c r="M56" s="249" t="n">
        <v>55</v>
      </c>
      <c r="N56" s="249">
        <f>IF(MOD(M56-1,$B$4+$B$7)&lt;$B$4,"A","B")</f>
        <v/>
      </c>
      <c r="O56" s="269">
        <f>IF(N56="A",$E$3,$E$4)</f>
        <v/>
      </c>
      <c r="P56" s="270">
        <f>P55+O56</f>
        <v/>
      </c>
      <c r="Q56" s="270">
        <f>P56+(M56-1)*$B$8</f>
        <v/>
      </c>
      <c r="R56" s="249">
        <f>IF(AND(Q56&lt;=$B$9,N56="A"),1,0)</f>
        <v/>
      </c>
      <c r="S56" s="249">
        <f>IF(AND(Q56&lt;=$B$9,N56="B"),1,0)</f>
        <v/>
      </c>
      <c r="T56" s="249">
        <f>IF(Q56&lt;=$B$9,1,0)</f>
        <v/>
      </c>
    </row>
    <row r="57" ht="15" customHeight="1" s="129">
      <c r="M57" s="249" t="n">
        <v>56</v>
      </c>
      <c r="N57" s="249">
        <f>IF(MOD(M57-1,$B$4+$B$7)&lt;$B$4,"A","B")</f>
        <v/>
      </c>
      <c r="O57" s="269">
        <f>IF(N57="A",$E$3,$E$4)</f>
        <v/>
      </c>
      <c r="P57" s="270">
        <f>P56+O57</f>
        <v/>
      </c>
      <c r="Q57" s="270">
        <f>P57+(M57-1)*$B$8</f>
        <v/>
      </c>
      <c r="R57" s="249">
        <f>IF(AND(Q57&lt;=$B$9,N57="A"),1,0)</f>
        <v/>
      </c>
      <c r="S57" s="249">
        <f>IF(AND(Q57&lt;=$B$9,N57="B"),1,0)</f>
        <v/>
      </c>
      <c r="T57" s="249">
        <f>IF(Q57&lt;=$B$9,1,0)</f>
        <v/>
      </c>
    </row>
    <row r="58" ht="15" customHeight="1" s="129">
      <c r="M58" s="249" t="n">
        <v>57</v>
      </c>
      <c r="N58" s="249">
        <f>IF(MOD(M58-1,$B$4+$B$7)&lt;$B$4,"A","B")</f>
        <v/>
      </c>
      <c r="O58" s="269">
        <f>IF(N58="A",$E$3,$E$4)</f>
        <v/>
      </c>
      <c r="P58" s="270">
        <f>P57+O58</f>
        <v/>
      </c>
      <c r="Q58" s="270">
        <f>P58+(M58-1)*$B$8</f>
        <v/>
      </c>
      <c r="R58" s="249">
        <f>IF(AND(Q58&lt;=$B$9,N58="A"),1,0)</f>
        <v/>
      </c>
      <c r="S58" s="249">
        <f>IF(AND(Q58&lt;=$B$9,N58="B"),1,0)</f>
        <v/>
      </c>
      <c r="T58" s="249">
        <f>IF(Q58&lt;=$B$9,1,0)</f>
        <v/>
      </c>
    </row>
    <row r="59" ht="15" customHeight="1" s="129">
      <c r="M59" s="249" t="n">
        <v>58</v>
      </c>
      <c r="N59" s="249">
        <f>IF(MOD(M59-1,$B$4+$B$7)&lt;$B$4,"A","B")</f>
        <v/>
      </c>
      <c r="O59" s="269">
        <f>IF(N59="A",$E$3,$E$4)</f>
        <v/>
      </c>
      <c r="P59" s="270">
        <f>P58+O59</f>
        <v/>
      </c>
      <c r="Q59" s="270">
        <f>P59+(M59-1)*$B$8</f>
        <v/>
      </c>
      <c r="R59" s="249">
        <f>IF(AND(Q59&lt;=$B$9,N59="A"),1,0)</f>
        <v/>
      </c>
      <c r="S59" s="249">
        <f>IF(AND(Q59&lt;=$B$9,N59="B"),1,0)</f>
        <v/>
      </c>
      <c r="T59" s="249">
        <f>IF(Q59&lt;=$B$9,1,0)</f>
        <v/>
      </c>
    </row>
    <row r="60" ht="15" customHeight="1" s="129">
      <c r="M60" s="249" t="n">
        <v>59</v>
      </c>
      <c r="N60" s="249">
        <f>IF(MOD(M60-1,$B$4+$B$7)&lt;$B$4,"A","B")</f>
        <v/>
      </c>
      <c r="O60" s="269">
        <f>IF(N60="A",$E$3,$E$4)</f>
        <v/>
      </c>
      <c r="P60" s="270">
        <f>P59+O60</f>
        <v/>
      </c>
      <c r="Q60" s="270">
        <f>P60+(M60-1)*$B$8</f>
        <v/>
      </c>
      <c r="R60" s="249">
        <f>IF(AND(Q60&lt;=$B$9,N60="A"),1,0)</f>
        <v/>
      </c>
      <c r="S60" s="249">
        <f>IF(AND(Q60&lt;=$B$9,N60="B"),1,0)</f>
        <v/>
      </c>
      <c r="T60" s="249">
        <f>IF(Q60&lt;=$B$9,1,0)</f>
        <v/>
      </c>
    </row>
    <row r="61" ht="15" customHeight="1" s="129">
      <c r="M61" s="249" t="n">
        <v>60</v>
      </c>
      <c r="N61" s="249">
        <f>IF(MOD(M61-1,$B$4+$B$7)&lt;$B$4,"A","B")</f>
        <v/>
      </c>
      <c r="O61" s="269">
        <f>IF(N61="A",$E$3,$E$4)</f>
        <v/>
      </c>
      <c r="P61" s="270">
        <f>P60+O61</f>
        <v/>
      </c>
      <c r="Q61" s="270">
        <f>P61+(M61-1)*$B$8</f>
        <v/>
      </c>
      <c r="R61" s="249">
        <f>IF(AND(Q61&lt;=$B$9,N61="A"),1,0)</f>
        <v/>
      </c>
      <c r="S61" s="249">
        <f>IF(AND(Q61&lt;=$B$9,N61="B"),1,0)</f>
        <v/>
      </c>
      <c r="T61" s="249">
        <f>IF(Q61&lt;=$B$9,1,0)</f>
        <v/>
      </c>
    </row>
    <row r="62" ht="15" customHeight="1" s="129">
      <c r="M62" s="249" t="n">
        <v>61</v>
      </c>
      <c r="N62" s="249">
        <f>IF(MOD(M62-1,$B$4+$B$7)&lt;$B$4,"A","B")</f>
        <v/>
      </c>
      <c r="O62" s="269">
        <f>IF(N62="A",$E$3,$E$4)</f>
        <v/>
      </c>
      <c r="P62" s="270">
        <f>P61+O62</f>
        <v/>
      </c>
      <c r="Q62" s="270">
        <f>P62+(M62-1)*$B$8</f>
        <v/>
      </c>
      <c r="R62" s="249">
        <f>IF(AND(Q62&lt;=$B$9,N62="A"),1,0)</f>
        <v/>
      </c>
      <c r="S62" s="249">
        <f>IF(AND(Q62&lt;=$B$9,N62="B"),1,0)</f>
        <v/>
      </c>
      <c r="T62" s="249">
        <f>IF(Q62&lt;=$B$9,1,0)</f>
        <v/>
      </c>
    </row>
    <row r="63" ht="15" customHeight="1" s="129">
      <c r="M63" s="249" t="n">
        <v>62</v>
      </c>
      <c r="N63" s="249">
        <f>IF(MOD(M63-1,$B$4+$B$7)&lt;$B$4,"A","B")</f>
        <v/>
      </c>
      <c r="O63" s="269">
        <f>IF(N63="A",$E$3,$E$4)</f>
        <v/>
      </c>
      <c r="P63" s="270">
        <f>P62+O63</f>
        <v/>
      </c>
      <c r="Q63" s="270">
        <f>P63+(M63-1)*$B$8</f>
        <v/>
      </c>
      <c r="R63" s="249">
        <f>IF(AND(Q63&lt;=$B$9,N63="A"),1,0)</f>
        <v/>
      </c>
      <c r="S63" s="249">
        <f>IF(AND(Q63&lt;=$B$9,N63="B"),1,0)</f>
        <v/>
      </c>
      <c r="T63" s="249">
        <f>IF(Q63&lt;=$B$9,1,0)</f>
        <v/>
      </c>
    </row>
    <row r="64" ht="15" customHeight="1" s="129">
      <c r="M64" s="249" t="n">
        <v>63</v>
      </c>
      <c r="N64" s="249">
        <f>IF(MOD(M64-1,$B$4+$B$7)&lt;$B$4,"A","B")</f>
        <v/>
      </c>
      <c r="O64" s="269">
        <f>IF(N64="A",$E$3,$E$4)</f>
        <v/>
      </c>
      <c r="P64" s="270">
        <f>P63+O64</f>
        <v/>
      </c>
      <c r="Q64" s="270">
        <f>P64+(M64-1)*$B$8</f>
        <v/>
      </c>
      <c r="R64" s="249">
        <f>IF(AND(Q64&lt;=$B$9,N64="A"),1,0)</f>
        <v/>
      </c>
      <c r="S64" s="249">
        <f>IF(AND(Q64&lt;=$B$9,N64="B"),1,0)</f>
        <v/>
      </c>
      <c r="T64" s="249">
        <f>IF(Q64&lt;=$B$9,1,0)</f>
        <v/>
      </c>
    </row>
    <row r="65" ht="15" customHeight="1" s="129">
      <c r="M65" s="249" t="n">
        <v>64</v>
      </c>
      <c r="N65" s="249">
        <f>IF(MOD(M65-1,$B$4+$B$7)&lt;$B$4,"A","B")</f>
        <v/>
      </c>
      <c r="O65" s="269">
        <f>IF(N65="A",$E$3,$E$4)</f>
        <v/>
      </c>
      <c r="P65" s="270">
        <f>P64+O65</f>
        <v/>
      </c>
      <c r="Q65" s="270">
        <f>P65+(M65-1)*$B$8</f>
        <v/>
      </c>
      <c r="R65" s="249">
        <f>IF(AND(Q65&lt;=$B$9,N65="A"),1,0)</f>
        <v/>
      </c>
      <c r="S65" s="249">
        <f>IF(AND(Q65&lt;=$B$9,N65="B"),1,0)</f>
        <v/>
      </c>
      <c r="T65" s="249">
        <f>IF(Q65&lt;=$B$9,1,0)</f>
        <v/>
      </c>
    </row>
    <row r="66" ht="15" customHeight="1" s="129">
      <c r="M66" s="249" t="n">
        <v>65</v>
      </c>
      <c r="N66" s="249">
        <f>IF(MOD(M66-1,$B$4+$B$7)&lt;$B$4,"A","B")</f>
        <v/>
      </c>
      <c r="O66" s="269">
        <f>IF(N66="A",$E$3,$E$4)</f>
        <v/>
      </c>
      <c r="P66" s="270">
        <f>P65+O66</f>
        <v/>
      </c>
      <c r="Q66" s="270">
        <f>P66+(M66-1)*$B$8</f>
        <v/>
      </c>
      <c r="R66" s="249">
        <f>IF(AND(Q66&lt;=$B$9,N66="A"),1,0)</f>
        <v/>
      </c>
      <c r="S66" s="249">
        <f>IF(AND(Q66&lt;=$B$9,N66="B"),1,0)</f>
        <v/>
      </c>
      <c r="T66" s="249">
        <f>IF(Q66&lt;=$B$9,1,0)</f>
        <v/>
      </c>
    </row>
    <row r="67" ht="15" customHeight="1" s="129">
      <c r="M67" s="249" t="n">
        <v>66</v>
      </c>
      <c r="N67" s="249">
        <f>IF(MOD(M67-1,$B$4+$B$7)&lt;$B$4,"A","B")</f>
        <v/>
      </c>
      <c r="O67" s="269">
        <f>IF(N67="A",$E$3,$E$4)</f>
        <v/>
      </c>
      <c r="P67" s="270">
        <f>P66+O67</f>
        <v/>
      </c>
      <c r="Q67" s="270">
        <f>P67+(M67-1)*$B$8</f>
        <v/>
      </c>
      <c r="R67" s="249">
        <f>IF(AND(Q67&lt;=$B$9,N67="A"),1,0)</f>
        <v/>
      </c>
      <c r="S67" s="249">
        <f>IF(AND(Q67&lt;=$B$9,N67="B"),1,0)</f>
        <v/>
      </c>
      <c r="T67" s="249">
        <f>IF(Q67&lt;=$B$9,1,0)</f>
        <v/>
      </c>
    </row>
    <row r="68" ht="15" customHeight="1" s="129">
      <c r="M68" s="249" t="n">
        <v>67</v>
      </c>
      <c r="N68" s="249">
        <f>IF(MOD(M68-1,$B$4+$B$7)&lt;$B$4,"A","B")</f>
        <v/>
      </c>
      <c r="O68" s="269">
        <f>IF(N68="A",$E$3,$E$4)</f>
        <v/>
      </c>
      <c r="P68" s="270">
        <f>P67+O68</f>
        <v/>
      </c>
      <c r="Q68" s="270">
        <f>P68+(M68-1)*$B$8</f>
        <v/>
      </c>
      <c r="R68" s="249">
        <f>IF(AND(Q68&lt;=$B$9,N68="A"),1,0)</f>
        <v/>
      </c>
      <c r="S68" s="249">
        <f>IF(AND(Q68&lt;=$B$9,N68="B"),1,0)</f>
        <v/>
      </c>
      <c r="T68" s="249">
        <f>IF(Q68&lt;=$B$9,1,0)</f>
        <v/>
      </c>
    </row>
    <row r="69" ht="15" customHeight="1" s="129">
      <c r="M69" s="249" t="n">
        <v>68</v>
      </c>
      <c r="N69" s="249">
        <f>IF(MOD(M69-1,$B$4+$B$7)&lt;$B$4,"A","B")</f>
        <v/>
      </c>
      <c r="O69" s="269">
        <f>IF(N69="A",$E$3,$E$4)</f>
        <v/>
      </c>
      <c r="P69" s="270">
        <f>P68+O69</f>
        <v/>
      </c>
      <c r="Q69" s="270">
        <f>P69+(M69-1)*$B$8</f>
        <v/>
      </c>
      <c r="R69" s="249">
        <f>IF(AND(Q69&lt;=$B$9,N69="A"),1,0)</f>
        <v/>
      </c>
      <c r="S69" s="249">
        <f>IF(AND(Q69&lt;=$B$9,N69="B"),1,0)</f>
        <v/>
      </c>
      <c r="T69" s="249">
        <f>IF(Q69&lt;=$B$9,1,0)</f>
        <v/>
      </c>
    </row>
    <row r="70" ht="15" customHeight="1" s="129">
      <c r="M70" s="249" t="n">
        <v>69</v>
      </c>
      <c r="N70" s="249">
        <f>IF(MOD(M70-1,$B$4+$B$7)&lt;$B$4,"A","B")</f>
        <v/>
      </c>
      <c r="O70" s="269">
        <f>IF(N70="A",$E$3,$E$4)</f>
        <v/>
      </c>
      <c r="P70" s="270">
        <f>P69+O70</f>
        <v/>
      </c>
      <c r="Q70" s="270">
        <f>P70+(M70-1)*$B$8</f>
        <v/>
      </c>
      <c r="R70" s="249">
        <f>IF(AND(Q70&lt;=$B$9,N70="A"),1,0)</f>
        <v/>
      </c>
      <c r="S70" s="249">
        <f>IF(AND(Q70&lt;=$B$9,N70="B"),1,0)</f>
        <v/>
      </c>
      <c r="T70" s="249">
        <f>IF(Q70&lt;=$B$9,1,0)</f>
        <v/>
      </c>
    </row>
    <row r="71" ht="15" customHeight="1" s="129">
      <c r="M71" s="249" t="n">
        <v>70</v>
      </c>
      <c r="N71" s="249">
        <f>IF(MOD(M71-1,$B$4+$B$7)&lt;$B$4,"A","B")</f>
        <v/>
      </c>
      <c r="O71" s="269">
        <f>IF(N71="A",$E$3,$E$4)</f>
        <v/>
      </c>
      <c r="P71" s="270">
        <f>P70+O71</f>
        <v/>
      </c>
      <c r="Q71" s="270">
        <f>P71+(M71-1)*$B$8</f>
        <v/>
      </c>
      <c r="R71" s="249">
        <f>IF(AND(Q71&lt;=$B$9,N71="A"),1,0)</f>
        <v/>
      </c>
      <c r="S71" s="249">
        <f>IF(AND(Q71&lt;=$B$9,N71="B"),1,0)</f>
        <v/>
      </c>
      <c r="T71" s="249">
        <f>IF(Q71&lt;=$B$9,1,0)</f>
        <v/>
      </c>
    </row>
    <row r="72" ht="15" customHeight="1" s="129">
      <c r="M72" s="249" t="n">
        <v>71</v>
      </c>
      <c r="N72" s="249">
        <f>IF(MOD(M72-1,$B$4+$B$7)&lt;$B$4,"A","B")</f>
        <v/>
      </c>
      <c r="O72" s="269">
        <f>IF(N72="A",$E$3,$E$4)</f>
        <v/>
      </c>
      <c r="P72" s="270">
        <f>P71+O72</f>
        <v/>
      </c>
      <c r="Q72" s="270">
        <f>P72+(M72-1)*$B$8</f>
        <v/>
      </c>
      <c r="R72" s="249">
        <f>IF(AND(Q72&lt;=$B$9,N72="A"),1,0)</f>
        <v/>
      </c>
      <c r="S72" s="249">
        <f>IF(AND(Q72&lt;=$B$9,N72="B"),1,0)</f>
        <v/>
      </c>
      <c r="T72" s="249">
        <f>IF(Q72&lt;=$B$9,1,0)</f>
        <v/>
      </c>
    </row>
    <row r="73" ht="15" customHeight="1" s="129">
      <c r="M73" s="249" t="n">
        <v>72</v>
      </c>
      <c r="N73" s="249">
        <f>IF(MOD(M73-1,$B$4+$B$7)&lt;$B$4,"A","B")</f>
        <v/>
      </c>
      <c r="O73" s="269">
        <f>IF(N73="A",$E$3,$E$4)</f>
        <v/>
      </c>
      <c r="P73" s="270">
        <f>P72+O73</f>
        <v/>
      </c>
      <c r="Q73" s="270">
        <f>P73+(M73-1)*$B$8</f>
        <v/>
      </c>
      <c r="R73" s="249">
        <f>IF(AND(Q73&lt;=$B$9,N73="A"),1,0)</f>
        <v/>
      </c>
      <c r="S73" s="249">
        <f>IF(AND(Q73&lt;=$B$9,N73="B"),1,0)</f>
        <v/>
      </c>
      <c r="T73" s="249">
        <f>IF(Q73&lt;=$B$9,1,0)</f>
        <v/>
      </c>
    </row>
    <row r="74" ht="15" customHeight="1" s="129">
      <c r="M74" s="249" t="n">
        <v>73</v>
      </c>
      <c r="N74" s="249">
        <f>IF(MOD(M74-1,$B$4+$B$7)&lt;$B$4,"A","B")</f>
        <v/>
      </c>
      <c r="O74" s="269">
        <f>IF(N74="A",$E$3,$E$4)</f>
        <v/>
      </c>
      <c r="P74" s="270">
        <f>P73+O74</f>
        <v/>
      </c>
      <c r="Q74" s="270">
        <f>P74+(M74-1)*$B$8</f>
        <v/>
      </c>
      <c r="R74" s="249">
        <f>IF(AND(Q74&lt;=$B$9,N74="A"),1,0)</f>
        <v/>
      </c>
      <c r="S74" s="249">
        <f>IF(AND(Q74&lt;=$B$9,N74="B"),1,0)</f>
        <v/>
      </c>
      <c r="T74" s="249">
        <f>IF(Q74&lt;=$B$9,1,0)</f>
        <v/>
      </c>
    </row>
    <row r="75" ht="15" customHeight="1" s="129">
      <c r="M75" s="249" t="n">
        <v>74</v>
      </c>
      <c r="N75" s="249">
        <f>IF(MOD(M75-1,$B$4+$B$7)&lt;$B$4,"A","B")</f>
        <v/>
      </c>
      <c r="O75" s="269">
        <f>IF(N75="A",$E$3,$E$4)</f>
        <v/>
      </c>
      <c r="P75" s="270">
        <f>P74+O75</f>
        <v/>
      </c>
      <c r="Q75" s="270">
        <f>P75+(M75-1)*$B$8</f>
        <v/>
      </c>
      <c r="R75" s="249">
        <f>IF(AND(Q75&lt;=$B$9,N75="A"),1,0)</f>
        <v/>
      </c>
      <c r="S75" s="249">
        <f>IF(AND(Q75&lt;=$B$9,N75="B"),1,0)</f>
        <v/>
      </c>
      <c r="T75" s="249">
        <f>IF(Q75&lt;=$B$9,1,0)</f>
        <v/>
      </c>
    </row>
    <row r="76" ht="15" customHeight="1" s="129">
      <c r="M76" s="249" t="n">
        <v>75</v>
      </c>
      <c r="N76" s="249">
        <f>IF(MOD(M76-1,$B$4+$B$7)&lt;$B$4,"A","B")</f>
        <v/>
      </c>
      <c r="O76" s="269">
        <f>IF(N76="A",$E$3,$E$4)</f>
        <v/>
      </c>
      <c r="P76" s="270">
        <f>P75+O76</f>
        <v/>
      </c>
      <c r="Q76" s="270">
        <f>P76+(M76-1)*$B$8</f>
        <v/>
      </c>
      <c r="R76" s="249">
        <f>IF(AND(Q76&lt;=$B$9,N76="A"),1,0)</f>
        <v/>
      </c>
      <c r="S76" s="249">
        <f>IF(AND(Q76&lt;=$B$9,N76="B"),1,0)</f>
        <v/>
      </c>
      <c r="T76" s="249">
        <f>IF(Q76&lt;=$B$9,1,0)</f>
        <v/>
      </c>
    </row>
    <row r="77" ht="15" customHeight="1" s="129">
      <c r="M77" s="249" t="n">
        <v>76</v>
      </c>
      <c r="N77" s="249">
        <f>IF(MOD(M77-1,$B$4+$B$7)&lt;$B$4,"A","B")</f>
        <v/>
      </c>
      <c r="O77" s="269">
        <f>IF(N77="A",$E$3,$E$4)</f>
        <v/>
      </c>
      <c r="P77" s="270">
        <f>P76+O77</f>
        <v/>
      </c>
      <c r="Q77" s="270">
        <f>P77+(M77-1)*$B$8</f>
        <v/>
      </c>
      <c r="R77" s="249">
        <f>IF(AND(Q77&lt;=$B$9,N77="A"),1,0)</f>
        <v/>
      </c>
      <c r="S77" s="249">
        <f>IF(AND(Q77&lt;=$B$9,N77="B"),1,0)</f>
        <v/>
      </c>
      <c r="T77" s="249">
        <f>IF(Q77&lt;=$B$9,1,0)</f>
        <v/>
      </c>
    </row>
    <row r="78" ht="15" customHeight="1" s="129">
      <c r="M78" s="249" t="n">
        <v>77</v>
      </c>
      <c r="N78" s="249">
        <f>IF(MOD(M78-1,$B$4+$B$7)&lt;$B$4,"A","B")</f>
        <v/>
      </c>
      <c r="O78" s="269">
        <f>IF(N78="A",$E$3,$E$4)</f>
        <v/>
      </c>
      <c r="P78" s="270">
        <f>P77+O78</f>
        <v/>
      </c>
      <c r="Q78" s="270">
        <f>P78+(M78-1)*$B$8</f>
        <v/>
      </c>
      <c r="R78" s="249">
        <f>IF(AND(Q78&lt;=$B$9,N78="A"),1,0)</f>
        <v/>
      </c>
      <c r="S78" s="249">
        <f>IF(AND(Q78&lt;=$B$9,N78="B"),1,0)</f>
        <v/>
      </c>
      <c r="T78" s="249">
        <f>IF(Q78&lt;=$B$9,1,0)</f>
        <v/>
      </c>
    </row>
    <row r="79" ht="15" customHeight="1" s="129">
      <c r="M79" s="249" t="n">
        <v>78</v>
      </c>
      <c r="N79" s="249">
        <f>IF(MOD(M79-1,$B$4+$B$7)&lt;$B$4,"A","B")</f>
        <v/>
      </c>
      <c r="O79" s="269">
        <f>IF(N79="A",$E$3,$E$4)</f>
        <v/>
      </c>
      <c r="P79" s="270">
        <f>P78+O79</f>
        <v/>
      </c>
      <c r="Q79" s="270">
        <f>P79+(M79-1)*$B$8</f>
        <v/>
      </c>
      <c r="R79" s="249">
        <f>IF(AND(Q79&lt;=$B$9,N79="A"),1,0)</f>
        <v/>
      </c>
      <c r="S79" s="249">
        <f>IF(AND(Q79&lt;=$B$9,N79="B"),1,0)</f>
        <v/>
      </c>
      <c r="T79" s="249">
        <f>IF(Q79&lt;=$B$9,1,0)</f>
        <v/>
      </c>
    </row>
    <row r="80" ht="15" customHeight="1" s="129">
      <c r="M80" s="249" t="n">
        <v>79</v>
      </c>
      <c r="N80" s="249">
        <f>IF(MOD(M80-1,$B$4+$B$7)&lt;$B$4,"A","B")</f>
        <v/>
      </c>
      <c r="O80" s="269">
        <f>IF(N80="A",$E$3,$E$4)</f>
        <v/>
      </c>
      <c r="P80" s="270">
        <f>P79+O80</f>
        <v/>
      </c>
      <c r="Q80" s="270">
        <f>P80+(M80-1)*$B$8</f>
        <v/>
      </c>
      <c r="R80" s="249">
        <f>IF(AND(Q80&lt;=$B$9,N80="A"),1,0)</f>
        <v/>
      </c>
      <c r="S80" s="249">
        <f>IF(AND(Q80&lt;=$B$9,N80="B"),1,0)</f>
        <v/>
      </c>
      <c r="T80" s="249">
        <f>IF(Q80&lt;=$B$9,1,0)</f>
        <v/>
      </c>
    </row>
    <row r="81" ht="15" customHeight="1" s="129">
      <c r="M81" s="249" t="n">
        <v>80</v>
      </c>
      <c r="N81" s="249">
        <f>IF(MOD(M81-1,$B$4+$B$7)&lt;$B$4,"A","B")</f>
        <v/>
      </c>
      <c r="O81" s="269">
        <f>IF(N81="A",$E$3,$E$4)</f>
        <v/>
      </c>
      <c r="P81" s="270">
        <f>P80+O81</f>
        <v/>
      </c>
      <c r="Q81" s="270">
        <f>P81+(M81-1)*$B$8</f>
        <v/>
      </c>
      <c r="R81" s="249">
        <f>IF(AND(Q81&lt;=$B$9,N81="A"),1,0)</f>
        <v/>
      </c>
      <c r="S81" s="249">
        <f>IF(AND(Q81&lt;=$B$9,N81="B"),1,0)</f>
        <v/>
      </c>
      <c r="T81" s="249">
        <f>IF(Q81&lt;=$B$9,1,0)</f>
        <v/>
      </c>
    </row>
    <row r="82" ht="15" customHeight="1" s="129">
      <c r="M82" s="249" t="n">
        <v>81</v>
      </c>
      <c r="N82" s="249">
        <f>IF(MOD(M82-1,$B$4+$B$7)&lt;$B$4,"A","B")</f>
        <v/>
      </c>
      <c r="O82" s="269">
        <f>IF(N82="A",$E$3,$E$4)</f>
        <v/>
      </c>
      <c r="P82" s="270">
        <f>P81+O82</f>
        <v/>
      </c>
      <c r="Q82" s="270">
        <f>P82+(M82-1)*$B$8</f>
        <v/>
      </c>
      <c r="R82" s="249">
        <f>IF(AND(Q82&lt;=$B$9,N82="A"),1,0)</f>
        <v/>
      </c>
      <c r="S82" s="249">
        <f>IF(AND(Q82&lt;=$B$9,N82="B"),1,0)</f>
        <v/>
      </c>
      <c r="T82" s="249">
        <f>IF(Q82&lt;=$B$9,1,0)</f>
        <v/>
      </c>
    </row>
    <row r="83" ht="15" customHeight="1" s="129">
      <c r="M83" s="249" t="n">
        <v>82</v>
      </c>
      <c r="N83" s="249">
        <f>IF(MOD(M83-1,$B$4+$B$7)&lt;$B$4,"A","B")</f>
        <v/>
      </c>
      <c r="O83" s="269">
        <f>IF(N83="A",$E$3,$E$4)</f>
        <v/>
      </c>
      <c r="P83" s="270">
        <f>P82+O83</f>
        <v/>
      </c>
      <c r="Q83" s="270">
        <f>P83+(M83-1)*$B$8</f>
        <v/>
      </c>
      <c r="R83" s="249">
        <f>IF(AND(Q83&lt;=$B$9,N83="A"),1,0)</f>
        <v/>
      </c>
      <c r="S83" s="249">
        <f>IF(AND(Q83&lt;=$B$9,N83="B"),1,0)</f>
        <v/>
      </c>
      <c r="T83" s="249">
        <f>IF(Q83&lt;=$B$9,1,0)</f>
        <v/>
      </c>
    </row>
    <row r="84" ht="15" customHeight="1" s="129">
      <c r="M84" s="249" t="n">
        <v>83</v>
      </c>
      <c r="N84" s="249">
        <f>IF(MOD(M84-1,$B$4+$B$7)&lt;$B$4,"A","B")</f>
        <v/>
      </c>
      <c r="O84" s="269">
        <f>IF(N84="A",$E$3,$E$4)</f>
        <v/>
      </c>
      <c r="P84" s="270">
        <f>P83+O84</f>
        <v/>
      </c>
      <c r="Q84" s="270">
        <f>P84+(M84-1)*$B$8</f>
        <v/>
      </c>
      <c r="R84" s="249">
        <f>IF(AND(Q84&lt;=$B$9,N84="A"),1,0)</f>
        <v/>
      </c>
      <c r="S84" s="249">
        <f>IF(AND(Q84&lt;=$B$9,N84="B"),1,0)</f>
        <v/>
      </c>
      <c r="T84" s="249">
        <f>IF(Q84&lt;=$B$9,1,0)</f>
        <v/>
      </c>
    </row>
    <row r="85" ht="15" customHeight="1" s="129">
      <c r="M85" s="249" t="n">
        <v>84</v>
      </c>
      <c r="N85" s="249">
        <f>IF(MOD(M85-1,$B$4+$B$7)&lt;$B$4,"A","B")</f>
        <v/>
      </c>
      <c r="O85" s="269">
        <f>IF(N85="A",$E$3,$E$4)</f>
        <v/>
      </c>
      <c r="P85" s="270">
        <f>P84+O85</f>
        <v/>
      </c>
      <c r="Q85" s="270">
        <f>P85+(M85-1)*$B$8</f>
        <v/>
      </c>
      <c r="R85" s="249">
        <f>IF(AND(Q85&lt;=$B$9,N85="A"),1,0)</f>
        <v/>
      </c>
      <c r="S85" s="249">
        <f>IF(AND(Q85&lt;=$B$9,N85="B"),1,0)</f>
        <v/>
      </c>
      <c r="T85" s="249">
        <f>IF(Q85&lt;=$B$9,1,0)</f>
        <v/>
      </c>
    </row>
    <row r="86" ht="15" customHeight="1" s="129">
      <c r="M86" s="249" t="n">
        <v>85</v>
      </c>
      <c r="N86" s="249">
        <f>IF(MOD(M86-1,$B$4+$B$7)&lt;$B$4,"A","B")</f>
        <v/>
      </c>
      <c r="O86" s="269">
        <f>IF(N86="A",$E$3,$E$4)</f>
        <v/>
      </c>
      <c r="P86" s="270">
        <f>P85+O86</f>
        <v/>
      </c>
      <c r="Q86" s="270">
        <f>P86+(M86-1)*$B$8</f>
        <v/>
      </c>
      <c r="R86" s="249">
        <f>IF(AND(Q86&lt;=$B$9,N86="A"),1,0)</f>
        <v/>
      </c>
      <c r="S86" s="249">
        <f>IF(AND(Q86&lt;=$B$9,N86="B"),1,0)</f>
        <v/>
      </c>
      <c r="T86" s="249">
        <f>IF(Q86&lt;=$B$9,1,0)</f>
        <v/>
      </c>
    </row>
    <row r="87" ht="15" customHeight="1" s="129">
      <c r="M87" s="249" t="n">
        <v>86</v>
      </c>
      <c r="N87" s="249">
        <f>IF(MOD(M87-1,$B$4+$B$7)&lt;$B$4,"A","B")</f>
        <v/>
      </c>
      <c r="O87" s="269">
        <f>IF(N87="A",$E$3,$E$4)</f>
        <v/>
      </c>
      <c r="P87" s="270">
        <f>P86+O87</f>
        <v/>
      </c>
      <c r="Q87" s="270">
        <f>P87+(M87-1)*$B$8</f>
        <v/>
      </c>
      <c r="R87" s="249">
        <f>IF(AND(Q87&lt;=$B$9,N87="A"),1,0)</f>
        <v/>
      </c>
      <c r="S87" s="249">
        <f>IF(AND(Q87&lt;=$B$9,N87="B"),1,0)</f>
        <v/>
      </c>
      <c r="T87" s="249">
        <f>IF(Q87&lt;=$B$9,1,0)</f>
        <v/>
      </c>
    </row>
    <row r="88" ht="15" customHeight="1" s="129">
      <c r="M88" s="249" t="n">
        <v>87</v>
      </c>
      <c r="N88" s="249">
        <f>IF(MOD(M88-1,$B$4+$B$7)&lt;$B$4,"A","B")</f>
        <v/>
      </c>
      <c r="O88" s="269">
        <f>IF(N88="A",$E$3,$E$4)</f>
        <v/>
      </c>
      <c r="P88" s="270">
        <f>P87+O88</f>
        <v/>
      </c>
      <c r="Q88" s="270">
        <f>P88+(M88-1)*$B$8</f>
        <v/>
      </c>
      <c r="R88" s="249">
        <f>IF(AND(Q88&lt;=$B$9,N88="A"),1,0)</f>
        <v/>
      </c>
      <c r="S88" s="249">
        <f>IF(AND(Q88&lt;=$B$9,N88="B"),1,0)</f>
        <v/>
      </c>
      <c r="T88" s="249">
        <f>IF(Q88&lt;=$B$9,1,0)</f>
        <v/>
      </c>
    </row>
    <row r="89" ht="15" customHeight="1" s="129">
      <c r="M89" s="249" t="n">
        <v>88</v>
      </c>
      <c r="N89" s="249">
        <f>IF(MOD(M89-1,$B$4+$B$7)&lt;$B$4,"A","B")</f>
        <v/>
      </c>
      <c r="O89" s="269">
        <f>IF(N89="A",$E$3,$E$4)</f>
        <v/>
      </c>
      <c r="P89" s="270">
        <f>P88+O89</f>
        <v/>
      </c>
      <c r="Q89" s="270">
        <f>P89+(M89-1)*$B$8</f>
        <v/>
      </c>
      <c r="R89" s="249">
        <f>IF(AND(Q89&lt;=$B$9,N89="A"),1,0)</f>
        <v/>
      </c>
      <c r="S89" s="249">
        <f>IF(AND(Q89&lt;=$B$9,N89="B"),1,0)</f>
        <v/>
      </c>
      <c r="T89" s="249">
        <f>IF(Q89&lt;=$B$9,1,0)</f>
        <v/>
      </c>
    </row>
    <row r="90" ht="15" customHeight="1" s="129">
      <c r="M90" s="249" t="n">
        <v>89</v>
      </c>
      <c r="N90" s="249">
        <f>IF(MOD(M90-1,$B$4+$B$7)&lt;$B$4,"A","B")</f>
        <v/>
      </c>
      <c r="O90" s="269">
        <f>IF(N90="A",$E$3,$E$4)</f>
        <v/>
      </c>
      <c r="P90" s="270">
        <f>P89+O90</f>
        <v/>
      </c>
      <c r="Q90" s="270">
        <f>P90+(M90-1)*$B$8</f>
        <v/>
      </c>
      <c r="R90" s="249">
        <f>IF(AND(Q90&lt;=$B$9,N90="A"),1,0)</f>
        <v/>
      </c>
      <c r="S90" s="249">
        <f>IF(AND(Q90&lt;=$B$9,N90="B"),1,0)</f>
        <v/>
      </c>
      <c r="T90" s="249">
        <f>IF(Q90&lt;=$B$9,1,0)</f>
        <v/>
      </c>
    </row>
    <row r="91" ht="15" customHeight="1" s="129">
      <c r="M91" s="249" t="n">
        <v>90</v>
      </c>
      <c r="N91" s="249">
        <f>IF(MOD(M91-1,$B$4+$B$7)&lt;$B$4,"A","B")</f>
        <v/>
      </c>
      <c r="O91" s="269">
        <f>IF(N91="A",$E$3,$E$4)</f>
        <v/>
      </c>
      <c r="P91" s="270">
        <f>P90+O91</f>
        <v/>
      </c>
      <c r="Q91" s="270">
        <f>P91+(M91-1)*$B$8</f>
        <v/>
      </c>
      <c r="R91" s="249">
        <f>IF(AND(Q91&lt;=$B$9,N91="A"),1,0)</f>
        <v/>
      </c>
      <c r="S91" s="249">
        <f>IF(AND(Q91&lt;=$B$9,N91="B"),1,0)</f>
        <v/>
      </c>
      <c r="T91" s="249">
        <f>IF(Q91&lt;=$B$9,1,0)</f>
        <v/>
      </c>
    </row>
    <row r="92" ht="15" customHeight="1" s="129">
      <c r="M92" s="249" t="n">
        <v>91</v>
      </c>
      <c r="N92" s="249">
        <f>IF(MOD(M92-1,$B$4+$B$7)&lt;$B$4,"A","B")</f>
        <v/>
      </c>
      <c r="O92" s="269">
        <f>IF(N92="A",$E$3,$E$4)</f>
        <v/>
      </c>
      <c r="P92" s="270">
        <f>P91+O92</f>
        <v/>
      </c>
      <c r="Q92" s="270">
        <f>P92+(M92-1)*$B$8</f>
        <v/>
      </c>
      <c r="R92" s="249">
        <f>IF(AND(Q92&lt;=$B$9,N92="A"),1,0)</f>
        <v/>
      </c>
      <c r="S92" s="249">
        <f>IF(AND(Q92&lt;=$B$9,N92="B"),1,0)</f>
        <v/>
      </c>
      <c r="T92" s="249">
        <f>IF(Q92&lt;=$B$9,1,0)</f>
        <v/>
      </c>
    </row>
    <row r="93" ht="15" customHeight="1" s="129">
      <c r="M93" s="249" t="n">
        <v>92</v>
      </c>
      <c r="N93" s="249">
        <f>IF(MOD(M93-1,$B$4+$B$7)&lt;$B$4,"A","B")</f>
        <v/>
      </c>
      <c r="O93" s="269">
        <f>IF(N93="A",$E$3,$E$4)</f>
        <v/>
      </c>
      <c r="P93" s="270">
        <f>P92+O93</f>
        <v/>
      </c>
      <c r="Q93" s="270">
        <f>P93+(M93-1)*$B$8</f>
        <v/>
      </c>
      <c r="R93" s="249">
        <f>IF(AND(Q93&lt;=$B$9,N93="A"),1,0)</f>
        <v/>
      </c>
      <c r="S93" s="249">
        <f>IF(AND(Q93&lt;=$B$9,N93="B"),1,0)</f>
        <v/>
      </c>
      <c r="T93" s="249">
        <f>IF(Q93&lt;=$B$9,1,0)</f>
        <v/>
      </c>
    </row>
    <row r="94" ht="15" customHeight="1" s="129">
      <c r="M94" s="249" t="n">
        <v>93</v>
      </c>
      <c r="N94" s="249">
        <f>IF(MOD(M94-1,$B$4+$B$7)&lt;$B$4,"A","B")</f>
        <v/>
      </c>
      <c r="O94" s="269">
        <f>IF(N94="A",$E$3,$E$4)</f>
        <v/>
      </c>
      <c r="P94" s="270">
        <f>P93+O94</f>
        <v/>
      </c>
      <c r="Q94" s="270">
        <f>P94+(M94-1)*$B$8</f>
        <v/>
      </c>
      <c r="R94" s="249">
        <f>IF(AND(Q94&lt;=$B$9,N94="A"),1,0)</f>
        <v/>
      </c>
      <c r="S94" s="249">
        <f>IF(AND(Q94&lt;=$B$9,N94="B"),1,0)</f>
        <v/>
      </c>
      <c r="T94" s="249">
        <f>IF(Q94&lt;=$B$9,1,0)</f>
        <v/>
      </c>
    </row>
    <row r="95" ht="15" customHeight="1" s="129">
      <c r="M95" s="249" t="n">
        <v>94</v>
      </c>
      <c r="N95" s="249">
        <f>IF(MOD(M95-1,$B$4+$B$7)&lt;$B$4,"A","B")</f>
        <v/>
      </c>
      <c r="O95" s="269">
        <f>IF(N95="A",$E$3,$E$4)</f>
        <v/>
      </c>
      <c r="P95" s="270">
        <f>P94+O95</f>
        <v/>
      </c>
      <c r="Q95" s="270">
        <f>P95+(M95-1)*$B$8</f>
        <v/>
      </c>
      <c r="R95" s="249">
        <f>IF(AND(Q95&lt;=$B$9,N95="A"),1,0)</f>
        <v/>
      </c>
      <c r="S95" s="249">
        <f>IF(AND(Q95&lt;=$B$9,N95="B"),1,0)</f>
        <v/>
      </c>
      <c r="T95" s="249">
        <f>IF(Q95&lt;=$B$9,1,0)</f>
        <v/>
      </c>
    </row>
    <row r="96" ht="15" customHeight="1" s="129">
      <c r="M96" s="249" t="n">
        <v>95</v>
      </c>
      <c r="N96" s="249">
        <f>IF(MOD(M96-1,$B$4+$B$7)&lt;$B$4,"A","B")</f>
        <v/>
      </c>
      <c r="O96" s="269">
        <f>IF(N96="A",$E$3,$E$4)</f>
        <v/>
      </c>
      <c r="P96" s="270">
        <f>P95+O96</f>
        <v/>
      </c>
      <c r="Q96" s="270">
        <f>P96+(M96-1)*$B$8</f>
        <v/>
      </c>
      <c r="R96" s="249">
        <f>IF(AND(Q96&lt;=$B$9,N96="A"),1,0)</f>
        <v/>
      </c>
      <c r="S96" s="249">
        <f>IF(AND(Q96&lt;=$B$9,N96="B"),1,0)</f>
        <v/>
      </c>
      <c r="T96" s="249">
        <f>IF(Q96&lt;=$B$9,1,0)</f>
        <v/>
      </c>
    </row>
    <row r="97" ht="15" customHeight="1" s="129">
      <c r="M97" s="249" t="n">
        <v>96</v>
      </c>
      <c r="N97" s="249">
        <f>IF(MOD(M97-1,$B$4+$B$7)&lt;$B$4,"A","B")</f>
        <v/>
      </c>
      <c r="O97" s="269">
        <f>IF(N97="A",$E$3,$E$4)</f>
        <v/>
      </c>
      <c r="P97" s="270">
        <f>P96+O97</f>
        <v/>
      </c>
      <c r="Q97" s="270">
        <f>P97+(M97-1)*$B$8</f>
        <v/>
      </c>
      <c r="R97" s="249">
        <f>IF(AND(Q97&lt;=$B$9,N97="A"),1,0)</f>
        <v/>
      </c>
      <c r="S97" s="249">
        <f>IF(AND(Q97&lt;=$B$9,N97="B"),1,0)</f>
        <v/>
      </c>
      <c r="T97" s="249">
        <f>IF(Q97&lt;=$B$9,1,0)</f>
        <v/>
      </c>
    </row>
    <row r="98" ht="15" customHeight="1" s="129">
      <c r="M98" s="249" t="n">
        <v>97</v>
      </c>
      <c r="N98" s="249">
        <f>IF(MOD(M98-1,$B$4+$B$7)&lt;$B$4,"A","B")</f>
        <v/>
      </c>
      <c r="O98" s="269">
        <f>IF(N98="A",$E$3,$E$4)</f>
        <v/>
      </c>
      <c r="P98" s="270">
        <f>P97+O98</f>
        <v/>
      </c>
      <c r="Q98" s="270">
        <f>P98+(M98-1)*$B$8</f>
        <v/>
      </c>
      <c r="R98" s="249">
        <f>IF(AND(Q98&lt;=$B$9,N98="A"),1,0)</f>
        <v/>
      </c>
      <c r="S98" s="249">
        <f>IF(AND(Q98&lt;=$B$9,N98="B"),1,0)</f>
        <v/>
      </c>
      <c r="T98" s="249">
        <f>IF(Q98&lt;=$B$9,1,0)</f>
        <v/>
      </c>
    </row>
    <row r="99" ht="15" customHeight="1" s="129">
      <c r="M99" s="249" t="n">
        <v>98</v>
      </c>
      <c r="N99" s="249">
        <f>IF(MOD(M99-1,$B$4+$B$7)&lt;$B$4,"A","B")</f>
        <v/>
      </c>
      <c r="O99" s="269">
        <f>IF(N99="A",$E$3,$E$4)</f>
        <v/>
      </c>
      <c r="P99" s="270">
        <f>P98+O99</f>
        <v/>
      </c>
      <c r="Q99" s="270">
        <f>P99+(M99-1)*$B$8</f>
        <v/>
      </c>
      <c r="R99" s="249">
        <f>IF(AND(Q99&lt;=$B$9,N99="A"),1,0)</f>
        <v/>
      </c>
      <c r="S99" s="249">
        <f>IF(AND(Q99&lt;=$B$9,N99="B"),1,0)</f>
        <v/>
      </c>
      <c r="T99" s="249">
        <f>IF(Q99&lt;=$B$9,1,0)</f>
        <v/>
      </c>
    </row>
    <row r="100" ht="15" customHeight="1" s="129">
      <c r="M100" s="249" t="n">
        <v>99</v>
      </c>
      <c r="N100" s="249">
        <f>IF(MOD(M100-1,$B$4+$B$7)&lt;$B$4,"A","B")</f>
        <v/>
      </c>
      <c r="O100" s="269">
        <f>IF(N100="A",$E$3,$E$4)</f>
        <v/>
      </c>
      <c r="P100" s="270">
        <f>P99+O100</f>
        <v/>
      </c>
      <c r="Q100" s="270">
        <f>P100+(M100-1)*$B$8</f>
        <v/>
      </c>
      <c r="R100" s="249">
        <f>IF(AND(Q100&lt;=$B$9,N100="A"),1,0)</f>
        <v/>
      </c>
      <c r="S100" s="249">
        <f>IF(AND(Q100&lt;=$B$9,N100="B"),1,0)</f>
        <v/>
      </c>
      <c r="T100" s="249">
        <f>IF(Q100&lt;=$B$9,1,0)</f>
        <v/>
      </c>
    </row>
    <row r="101" ht="15" customHeight="1" s="129">
      <c r="M101" s="249" t="n">
        <v>100</v>
      </c>
      <c r="N101" s="249">
        <f>IF(MOD(M101-1,$B$4+$B$7)&lt;$B$4,"A","B")</f>
        <v/>
      </c>
      <c r="O101" s="269">
        <f>IF(N101="A",$E$3,$E$4)</f>
        <v/>
      </c>
      <c r="P101" s="270">
        <f>P100+O101</f>
        <v/>
      </c>
      <c r="Q101" s="270">
        <f>P101+(M101-1)*$B$8</f>
        <v/>
      </c>
      <c r="R101" s="249">
        <f>IF(AND(Q101&lt;=$B$9,N101="A"),1,0)</f>
        <v/>
      </c>
      <c r="S101" s="249">
        <f>IF(AND(Q101&lt;=$B$9,N101="B"),1,0)</f>
        <v/>
      </c>
      <c r="T101" s="249">
        <f>IF(Q101&lt;=$B$9,1,0)</f>
        <v/>
      </c>
    </row>
    <row r="102" ht="15" customHeight="1" s="129">
      <c r="M102" s="249" t="n">
        <v>101</v>
      </c>
      <c r="N102" s="249">
        <f>IF(MOD(M102-1,$B$4+$B$7)&lt;$B$4,"A","B")</f>
        <v/>
      </c>
      <c r="O102" s="269">
        <f>IF(N102="A",$E$3,$E$4)</f>
        <v/>
      </c>
      <c r="P102" s="270">
        <f>P101+O102</f>
        <v/>
      </c>
      <c r="Q102" s="270">
        <f>P102+(M102-1)*$B$8</f>
        <v/>
      </c>
      <c r="R102" s="249">
        <f>IF(AND(Q102&lt;=$B$9,N102="A"),1,0)</f>
        <v/>
      </c>
      <c r="S102" s="249">
        <f>IF(AND(Q102&lt;=$B$9,N102="B"),1,0)</f>
        <v/>
      </c>
      <c r="T102" s="249">
        <f>IF(Q102&lt;=$B$9,1,0)</f>
        <v/>
      </c>
    </row>
    <row r="103" ht="15" customHeight="1" s="129">
      <c r="M103" s="249" t="n">
        <v>102</v>
      </c>
      <c r="N103" s="249">
        <f>IF(MOD(M103-1,$B$4+$B$7)&lt;$B$4,"A","B")</f>
        <v/>
      </c>
      <c r="O103" s="269">
        <f>IF(N103="A",$E$3,$E$4)</f>
        <v/>
      </c>
      <c r="P103" s="270">
        <f>P102+O103</f>
        <v/>
      </c>
      <c r="Q103" s="270">
        <f>P103+(M103-1)*$B$8</f>
        <v/>
      </c>
      <c r="R103" s="249">
        <f>IF(AND(Q103&lt;=$B$9,N103="A"),1,0)</f>
        <v/>
      </c>
      <c r="S103" s="249">
        <f>IF(AND(Q103&lt;=$B$9,N103="B"),1,0)</f>
        <v/>
      </c>
      <c r="T103" s="249">
        <f>IF(Q103&lt;=$B$9,1,0)</f>
        <v/>
      </c>
    </row>
    <row r="104" ht="15" customHeight="1" s="129">
      <c r="M104" s="249" t="n">
        <v>103</v>
      </c>
      <c r="N104" s="249">
        <f>IF(MOD(M104-1,$B$4+$B$7)&lt;$B$4,"A","B")</f>
        <v/>
      </c>
      <c r="O104" s="269">
        <f>IF(N104="A",$E$3,$E$4)</f>
        <v/>
      </c>
      <c r="P104" s="270">
        <f>P103+O104</f>
        <v/>
      </c>
      <c r="Q104" s="270">
        <f>P104+(M104-1)*$B$8</f>
        <v/>
      </c>
      <c r="R104" s="249">
        <f>IF(AND(Q104&lt;=$B$9,N104="A"),1,0)</f>
        <v/>
      </c>
      <c r="S104" s="249">
        <f>IF(AND(Q104&lt;=$B$9,N104="B"),1,0)</f>
        <v/>
      </c>
      <c r="T104" s="249">
        <f>IF(Q104&lt;=$B$9,1,0)</f>
        <v/>
      </c>
    </row>
    <row r="105" ht="15" customHeight="1" s="129">
      <c r="M105" s="249" t="n">
        <v>104</v>
      </c>
      <c r="N105" s="249">
        <f>IF(MOD(M105-1,$B$4+$B$7)&lt;$B$4,"A","B")</f>
        <v/>
      </c>
      <c r="O105" s="269">
        <f>IF(N105="A",$E$3,$E$4)</f>
        <v/>
      </c>
      <c r="P105" s="270">
        <f>P104+O105</f>
        <v/>
      </c>
      <c r="Q105" s="270">
        <f>P105+(M105-1)*$B$8</f>
        <v/>
      </c>
      <c r="R105" s="249">
        <f>IF(AND(Q105&lt;=$B$9,N105="A"),1,0)</f>
        <v/>
      </c>
      <c r="S105" s="249">
        <f>IF(AND(Q105&lt;=$B$9,N105="B"),1,0)</f>
        <v/>
      </c>
      <c r="T105" s="249">
        <f>IF(Q105&lt;=$B$9,1,0)</f>
        <v/>
      </c>
    </row>
    <row r="106" ht="15" customHeight="1" s="129">
      <c r="M106" s="249" t="n">
        <v>105</v>
      </c>
      <c r="N106" s="249">
        <f>IF(MOD(M106-1,$B$4+$B$7)&lt;$B$4,"A","B")</f>
        <v/>
      </c>
      <c r="O106" s="269">
        <f>IF(N106="A",$E$3,$E$4)</f>
        <v/>
      </c>
      <c r="P106" s="270">
        <f>P105+O106</f>
        <v/>
      </c>
      <c r="Q106" s="270">
        <f>P106+(M106-1)*$B$8</f>
        <v/>
      </c>
      <c r="R106" s="249">
        <f>IF(AND(Q106&lt;=$B$9,N106="A"),1,0)</f>
        <v/>
      </c>
      <c r="S106" s="249">
        <f>IF(AND(Q106&lt;=$B$9,N106="B"),1,0)</f>
        <v/>
      </c>
      <c r="T106" s="249">
        <f>IF(Q106&lt;=$B$9,1,0)</f>
        <v/>
      </c>
    </row>
    <row r="107" ht="15" customHeight="1" s="129">
      <c r="M107" s="249" t="n">
        <v>106</v>
      </c>
      <c r="N107" s="249">
        <f>IF(MOD(M107-1,$B$4+$B$7)&lt;$B$4,"A","B")</f>
        <v/>
      </c>
      <c r="O107" s="269">
        <f>IF(N107="A",$E$3,$E$4)</f>
        <v/>
      </c>
      <c r="P107" s="270">
        <f>P106+O107</f>
        <v/>
      </c>
      <c r="Q107" s="270">
        <f>P107+(M107-1)*$B$8</f>
        <v/>
      </c>
      <c r="R107" s="249">
        <f>IF(AND(Q107&lt;=$B$9,N107="A"),1,0)</f>
        <v/>
      </c>
      <c r="S107" s="249">
        <f>IF(AND(Q107&lt;=$B$9,N107="B"),1,0)</f>
        <v/>
      </c>
      <c r="T107" s="249">
        <f>IF(Q107&lt;=$B$9,1,0)</f>
        <v/>
      </c>
    </row>
    <row r="108" ht="15" customHeight="1" s="129">
      <c r="M108" s="249" t="n">
        <v>107</v>
      </c>
      <c r="N108" s="249">
        <f>IF(MOD(M108-1,$B$4+$B$7)&lt;$B$4,"A","B")</f>
        <v/>
      </c>
      <c r="O108" s="269">
        <f>IF(N108="A",$E$3,$E$4)</f>
        <v/>
      </c>
      <c r="P108" s="270">
        <f>P107+O108</f>
        <v/>
      </c>
      <c r="Q108" s="270">
        <f>P108+(M108-1)*$B$8</f>
        <v/>
      </c>
      <c r="R108" s="249">
        <f>IF(AND(Q108&lt;=$B$9,N108="A"),1,0)</f>
        <v/>
      </c>
      <c r="S108" s="249">
        <f>IF(AND(Q108&lt;=$B$9,N108="B"),1,0)</f>
        <v/>
      </c>
      <c r="T108" s="249">
        <f>IF(Q108&lt;=$B$9,1,0)</f>
        <v/>
      </c>
    </row>
    <row r="109" ht="15" customHeight="1" s="129">
      <c r="M109" s="249" t="n">
        <v>108</v>
      </c>
      <c r="N109" s="249">
        <f>IF(MOD(M109-1,$B$4+$B$7)&lt;$B$4,"A","B")</f>
        <v/>
      </c>
      <c r="O109" s="269">
        <f>IF(N109="A",$E$3,$E$4)</f>
        <v/>
      </c>
      <c r="P109" s="270">
        <f>P108+O109</f>
        <v/>
      </c>
      <c r="Q109" s="270">
        <f>P109+(M109-1)*$B$8</f>
        <v/>
      </c>
      <c r="R109" s="249">
        <f>IF(AND(Q109&lt;=$B$9,N109="A"),1,0)</f>
        <v/>
      </c>
      <c r="S109" s="249">
        <f>IF(AND(Q109&lt;=$B$9,N109="B"),1,0)</f>
        <v/>
      </c>
      <c r="T109" s="249">
        <f>IF(Q109&lt;=$B$9,1,0)</f>
        <v/>
      </c>
    </row>
    <row r="110" ht="15" customHeight="1" s="129">
      <c r="M110" s="249" t="n">
        <v>109</v>
      </c>
      <c r="N110" s="249">
        <f>IF(MOD(M110-1,$B$4+$B$7)&lt;$B$4,"A","B")</f>
        <v/>
      </c>
      <c r="O110" s="269">
        <f>IF(N110="A",$E$3,$E$4)</f>
        <v/>
      </c>
      <c r="P110" s="270">
        <f>P109+O110</f>
        <v/>
      </c>
      <c r="Q110" s="270">
        <f>P110+(M110-1)*$B$8</f>
        <v/>
      </c>
      <c r="R110" s="249">
        <f>IF(AND(Q110&lt;=$B$9,N110="A"),1,0)</f>
        <v/>
      </c>
      <c r="S110" s="249">
        <f>IF(AND(Q110&lt;=$B$9,N110="B"),1,0)</f>
        <v/>
      </c>
      <c r="T110" s="249">
        <f>IF(Q110&lt;=$B$9,1,0)</f>
        <v/>
      </c>
    </row>
    <row r="111" ht="15" customHeight="1" s="129">
      <c r="M111" s="249" t="n">
        <v>110</v>
      </c>
      <c r="N111" s="249">
        <f>IF(MOD(M111-1,$B$4+$B$7)&lt;$B$4,"A","B")</f>
        <v/>
      </c>
      <c r="O111" s="269">
        <f>IF(N111="A",$E$3,$E$4)</f>
        <v/>
      </c>
      <c r="P111" s="270">
        <f>P110+O111</f>
        <v/>
      </c>
      <c r="Q111" s="270">
        <f>P111+(M111-1)*$B$8</f>
        <v/>
      </c>
      <c r="R111" s="249">
        <f>IF(AND(Q111&lt;=$B$9,N111="A"),1,0)</f>
        <v/>
      </c>
      <c r="S111" s="249">
        <f>IF(AND(Q111&lt;=$B$9,N111="B"),1,0)</f>
        <v/>
      </c>
      <c r="T111" s="249">
        <f>IF(Q111&lt;=$B$9,1,0)</f>
        <v/>
      </c>
    </row>
    <row r="112" ht="15" customHeight="1" s="129">
      <c r="M112" s="249" t="n">
        <v>111</v>
      </c>
      <c r="N112" s="249">
        <f>IF(MOD(M112-1,$B$4+$B$7)&lt;$B$4,"A","B")</f>
        <v/>
      </c>
      <c r="O112" s="269">
        <f>IF(N112="A",$E$3,$E$4)</f>
        <v/>
      </c>
      <c r="P112" s="270">
        <f>P111+O112</f>
        <v/>
      </c>
      <c r="Q112" s="270">
        <f>P112+(M112-1)*$B$8</f>
        <v/>
      </c>
      <c r="R112" s="249">
        <f>IF(AND(Q112&lt;=$B$9,N112="A"),1,0)</f>
        <v/>
      </c>
      <c r="S112" s="249">
        <f>IF(AND(Q112&lt;=$B$9,N112="B"),1,0)</f>
        <v/>
      </c>
      <c r="T112" s="249">
        <f>IF(Q112&lt;=$B$9,1,0)</f>
        <v/>
      </c>
    </row>
    <row r="113" ht="15" customHeight="1" s="129">
      <c r="M113" s="249" t="n">
        <v>112</v>
      </c>
      <c r="N113" s="249">
        <f>IF(MOD(M113-1,$B$4+$B$7)&lt;$B$4,"A","B")</f>
        <v/>
      </c>
      <c r="O113" s="269">
        <f>IF(N113="A",$E$3,$E$4)</f>
        <v/>
      </c>
      <c r="P113" s="270">
        <f>P112+O113</f>
        <v/>
      </c>
      <c r="Q113" s="270">
        <f>P113+(M113-1)*$B$8</f>
        <v/>
      </c>
      <c r="R113" s="249">
        <f>IF(AND(Q113&lt;=$B$9,N113="A"),1,0)</f>
        <v/>
      </c>
      <c r="S113" s="249">
        <f>IF(AND(Q113&lt;=$B$9,N113="B"),1,0)</f>
        <v/>
      </c>
      <c r="T113" s="249">
        <f>IF(Q113&lt;=$B$9,1,0)</f>
        <v/>
      </c>
    </row>
    <row r="114" ht="15" customHeight="1" s="129">
      <c r="M114" s="249" t="n">
        <v>113</v>
      </c>
      <c r="N114" s="249">
        <f>IF(MOD(M114-1,$B$4+$B$7)&lt;$B$4,"A","B")</f>
        <v/>
      </c>
      <c r="O114" s="269">
        <f>IF(N114="A",$E$3,$E$4)</f>
        <v/>
      </c>
      <c r="P114" s="270">
        <f>P113+O114</f>
        <v/>
      </c>
      <c r="Q114" s="270">
        <f>P114+(M114-1)*$B$8</f>
        <v/>
      </c>
      <c r="R114" s="249">
        <f>IF(AND(Q114&lt;=$B$9,N114="A"),1,0)</f>
        <v/>
      </c>
      <c r="S114" s="249">
        <f>IF(AND(Q114&lt;=$B$9,N114="B"),1,0)</f>
        <v/>
      </c>
      <c r="T114" s="249">
        <f>IF(Q114&lt;=$B$9,1,0)</f>
        <v/>
      </c>
    </row>
    <row r="115" ht="15" customHeight="1" s="129">
      <c r="M115" s="249" t="n">
        <v>114</v>
      </c>
      <c r="N115" s="249">
        <f>IF(MOD(M115-1,$B$4+$B$7)&lt;$B$4,"A","B")</f>
        <v/>
      </c>
      <c r="O115" s="269">
        <f>IF(N115="A",$E$3,$E$4)</f>
        <v/>
      </c>
      <c r="P115" s="270">
        <f>P114+O115</f>
        <v/>
      </c>
      <c r="Q115" s="270">
        <f>P115+(M115-1)*$B$8</f>
        <v/>
      </c>
      <c r="R115" s="249">
        <f>IF(AND(Q115&lt;=$B$9,N115="A"),1,0)</f>
        <v/>
      </c>
      <c r="S115" s="249">
        <f>IF(AND(Q115&lt;=$B$9,N115="B"),1,0)</f>
        <v/>
      </c>
      <c r="T115" s="249">
        <f>IF(Q115&lt;=$B$9,1,0)</f>
        <v/>
      </c>
    </row>
    <row r="116" ht="15" customHeight="1" s="129">
      <c r="M116" s="249" t="n">
        <v>115</v>
      </c>
      <c r="N116" s="249">
        <f>IF(MOD(M116-1,$B$4+$B$7)&lt;$B$4,"A","B")</f>
        <v/>
      </c>
      <c r="O116" s="269">
        <f>IF(N116="A",$E$3,$E$4)</f>
        <v/>
      </c>
      <c r="P116" s="270">
        <f>P115+O116</f>
        <v/>
      </c>
      <c r="Q116" s="270">
        <f>P116+(M116-1)*$B$8</f>
        <v/>
      </c>
      <c r="R116" s="249">
        <f>IF(AND(Q116&lt;=$B$9,N116="A"),1,0)</f>
        <v/>
      </c>
      <c r="S116" s="249">
        <f>IF(AND(Q116&lt;=$B$9,N116="B"),1,0)</f>
        <v/>
      </c>
      <c r="T116" s="249">
        <f>IF(Q116&lt;=$B$9,1,0)</f>
        <v/>
      </c>
    </row>
    <row r="117" ht="15" customHeight="1" s="129">
      <c r="M117" s="249" t="n">
        <v>116</v>
      </c>
      <c r="N117" s="249">
        <f>IF(MOD(M117-1,$B$4+$B$7)&lt;$B$4,"A","B")</f>
        <v/>
      </c>
      <c r="O117" s="269">
        <f>IF(N117="A",$E$3,$E$4)</f>
        <v/>
      </c>
      <c r="P117" s="270">
        <f>P116+O117</f>
        <v/>
      </c>
      <c r="Q117" s="270">
        <f>P117+(M117-1)*$B$8</f>
        <v/>
      </c>
      <c r="R117" s="249">
        <f>IF(AND(Q117&lt;=$B$9,N117="A"),1,0)</f>
        <v/>
      </c>
      <c r="S117" s="249">
        <f>IF(AND(Q117&lt;=$B$9,N117="B"),1,0)</f>
        <v/>
      </c>
      <c r="T117" s="249">
        <f>IF(Q117&lt;=$B$9,1,0)</f>
        <v/>
      </c>
    </row>
    <row r="118" ht="15" customHeight="1" s="129">
      <c r="M118" s="249" t="n">
        <v>117</v>
      </c>
      <c r="N118" s="249">
        <f>IF(MOD(M118-1,$B$4+$B$7)&lt;$B$4,"A","B")</f>
        <v/>
      </c>
      <c r="O118" s="269">
        <f>IF(N118="A",$E$3,$E$4)</f>
        <v/>
      </c>
      <c r="P118" s="270">
        <f>P117+O118</f>
        <v/>
      </c>
      <c r="Q118" s="270">
        <f>P118+(M118-1)*$B$8</f>
        <v/>
      </c>
      <c r="R118" s="249">
        <f>IF(AND(Q118&lt;=$B$9,N118="A"),1,0)</f>
        <v/>
      </c>
      <c r="S118" s="249">
        <f>IF(AND(Q118&lt;=$B$9,N118="B"),1,0)</f>
        <v/>
      </c>
      <c r="T118" s="249">
        <f>IF(Q118&lt;=$B$9,1,0)</f>
        <v/>
      </c>
    </row>
    <row r="119" ht="15" customHeight="1" s="129">
      <c r="M119" s="249" t="n">
        <v>118</v>
      </c>
      <c r="N119" s="249">
        <f>IF(MOD(M119-1,$B$4+$B$7)&lt;$B$4,"A","B")</f>
        <v/>
      </c>
      <c r="O119" s="269">
        <f>IF(N119="A",$E$3,$E$4)</f>
        <v/>
      </c>
      <c r="P119" s="270">
        <f>P118+O119</f>
        <v/>
      </c>
      <c r="Q119" s="270">
        <f>P119+(M119-1)*$B$8</f>
        <v/>
      </c>
      <c r="R119" s="249">
        <f>IF(AND(Q119&lt;=$B$9,N119="A"),1,0)</f>
        <v/>
      </c>
      <c r="S119" s="249">
        <f>IF(AND(Q119&lt;=$B$9,N119="B"),1,0)</f>
        <v/>
      </c>
      <c r="T119" s="249">
        <f>IF(Q119&lt;=$B$9,1,0)</f>
        <v/>
      </c>
    </row>
    <row r="120" ht="15" customHeight="1" s="129">
      <c r="M120" s="249" t="n">
        <v>119</v>
      </c>
      <c r="N120" s="249">
        <f>IF(MOD(M120-1,$B$4+$B$7)&lt;$B$4,"A","B")</f>
        <v/>
      </c>
      <c r="O120" s="269">
        <f>IF(N120="A",$E$3,$E$4)</f>
        <v/>
      </c>
      <c r="P120" s="270">
        <f>P119+O120</f>
        <v/>
      </c>
      <c r="Q120" s="270">
        <f>P120+(M120-1)*$B$8</f>
        <v/>
      </c>
      <c r="R120" s="249">
        <f>IF(AND(Q120&lt;=$B$9,N120="A"),1,0)</f>
        <v/>
      </c>
      <c r="S120" s="249">
        <f>IF(AND(Q120&lt;=$B$9,N120="B"),1,0)</f>
        <v/>
      </c>
      <c r="T120" s="249">
        <f>IF(Q120&lt;=$B$9,1,0)</f>
        <v/>
      </c>
    </row>
    <row r="121" ht="15" customHeight="1" s="129">
      <c r="M121" s="249" t="n">
        <v>120</v>
      </c>
      <c r="N121" s="249">
        <f>IF(MOD(M121-1,$B$4+$B$7)&lt;$B$4,"A","B")</f>
        <v/>
      </c>
      <c r="O121" s="269">
        <f>IF(N121="A",$E$3,$E$4)</f>
        <v/>
      </c>
      <c r="P121" s="270">
        <f>P120+O121</f>
        <v/>
      </c>
      <c r="Q121" s="270">
        <f>P121+(M121-1)*$B$8</f>
        <v/>
      </c>
      <c r="R121" s="249">
        <f>IF(AND(Q121&lt;=$B$9,N121="A"),1,0)</f>
        <v/>
      </c>
      <c r="S121" s="249">
        <f>IF(AND(Q121&lt;=$B$9,N121="B"),1,0)</f>
        <v/>
      </c>
      <c r="T121" s="249">
        <f>IF(Q121&lt;=$B$9,1,0)</f>
        <v/>
      </c>
    </row>
    <row r="122" ht="15" customHeight="1" s="129">
      <c r="M122" s="249" t="n">
        <v>121</v>
      </c>
      <c r="N122" s="249">
        <f>IF(MOD(M122-1,$B$4+$B$7)&lt;$B$4,"A","B")</f>
        <v/>
      </c>
      <c r="O122" s="269">
        <f>IF(N122="A",$E$3,$E$4)</f>
        <v/>
      </c>
      <c r="P122" s="270">
        <f>P121+O122</f>
        <v/>
      </c>
      <c r="Q122" s="270">
        <f>P122+(M122-1)*$B$8</f>
        <v/>
      </c>
      <c r="R122" s="249">
        <f>IF(AND(Q122&lt;=$B$9,N122="A"),1,0)</f>
        <v/>
      </c>
      <c r="S122" s="249">
        <f>IF(AND(Q122&lt;=$B$9,N122="B"),1,0)</f>
        <v/>
      </c>
      <c r="T122" s="249">
        <f>IF(Q122&lt;=$B$9,1,0)</f>
        <v/>
      </c>
    </row>
    <row r="123" ht="15" customHeight="1" s="129">
      <c r="M123" s="249" t="n">
        <v>122</v>
      </c>
      <c r="N123" s="249">
        <f>IF(MOD(M123-1,$B$4+$B$7)&lt;$B$4,"A","B")</f>
        <v/>
      </c>
      <c r="O123" s="269">
        <f>IF(N123="A",$E$3,$E$4)</f>
        <v/>
      </c>
      <c r="P123" s="270">
        <f>P122+O123</f>
        <v/>
      </c>
      <c r="Q123" s="270">
        <f>P123+(M123-1)*$B$8</f>
        <v/>
      </c>
      <c r="R123" s="249">
        <f>IF(AND(Q123&lt;=$B$9,N123="A"),1,0)</f>
        <v/>
      </c>
      <c r="S123" s="249">
        <f>IF(AND(Q123&lt;=$B$9,N123="B"),1,0)</f>
        <v/>
      </c>
      <c r="T123" s="249">
        <f>IF(Q123&lt;=$B$9,1,0)</f>
        <v/>
      </c>
    </row>
    <row r="124" ht="15" customHeight="1" s="129">
      <c r="M124" s="249" t="n">
        <v>123</v>
      </c>
      <c r="N124" s="249">
        <f>IF(MOD(M124-1,$B$4+$B$7)&lt;$B$4,"A","B")</f>
        <v/>
      </c>
      <c r="O124" s="269">
        <f>IF(N124="A",$E$3,$E$4)</f>
        <v/>
      </c>
      <c r="P124" s="270">
        <f>P123+O124</f>
        <v/>
      </c>
      <c r="Q124" s="270">
        <f>P124+(M124-1)*$B$8</f>
        <v/>
      </c>
      <c r="R124" s="249">
        <f>IF(AND(Q124&lt;=$B$9,N124="A"),1,0)</f>
        <v/>
      </c>
      <c r="S124" s="249">
        <f>IF(AND(Q124&lt;=$B$9,N124="B"),1,0)</f>
        <v/>
      </c>
      <c r="T124" s="249">
        <f>IF(Q124&lt;=$B$9,1,0)</f>
        <v/>
      </c>
    </row>
    <row r="125" ht="15" customHeight="1" s="129">
      <c r="M125" s="249" t="n">
        <v>124</v>
      </c>
      <c r="N125" s="249">
        <f>IF(MOD(M125-1,$B$4+$B$7)&lt;$B$4,"A","B")</f>
        <v/>
      </c>
      <c r="O125" s="269">
        <f>IF(N125="A",$E$3,$E$4)</f>
        <v/>
      </c>
      <c r="P125" s="270">
        <f>P124+O125</f>
        <v/>
      </c>
      <c r="Q125" s="270">
        <f>P125+(M125-1)*$B$8</f>
        <v/>
      </c>
      <c r="R125" s="249">
        <f>IF(AND(Q125&lt;=$B$9,N125="A"),1,0)</f>
        <v/>
      </c>
      <c r="S125" s="249">
        <f>IF(AND(Q125&lt;=$B$9,N125="B"),1,0)</f>
        <v/>
      </c>
      <c r="T125" s="249">
        <f>IF(Q125&lt;=$B$9,1,0)</f>
        <v/>
      </c>
    </row>
    <row r="126" ht="15" customHeight="1" s="129">
      <c r="M126" s="249" t="n">
        <v>125</v>
      </c>
      <c r="N126" s="249">
        <f>IF(MOD(M126-1,$B$4+$B$7)&lt;$B$4,"A","B")</f>
        <v/>
      </c>
      <c r="O126" s="269">
        <f>IF(N126="A",$E$3,$E$4)</f>
        <v/>
      </c>
      <c r="P126" s="270">
        <f>P125+O126</f>
        <v/>
      </c>
      <c r="Q126" s="270">
        <f>P126+(M126-1)*$B$8</f>
        <v/>
      </c>
      <c r="R126" s="249">
        <f>IF(AND(Q126&lt;=$B$9,N126="A"),1,0)</f>
        <v/>
      </c>
      <c r="S126" s="249">
        <f>IF(AND(Q126&lt;=$B$9,N126="B"),1,0)</f>
        <v/>
      </c>
      <c r="T126" s="249">
        <f>IF(Q126&lt;=$B$9,1,0)</f>
        <v/>
      </c>
    </row>
    <row r="127" ht="15" customHeight="1" s="129">
      <c r="M127" s="249" t="n">
        <v>126</v>
      </c>
      <c r="N127" s="249">
        <f>IF(MOD(M127-1,$B$4+$B$7)&lt;$B$4,"A","B")</f>
        <v/>
      </c>
      <c r="O127" s="269">
        <f>IF(N127="A",$E$3,$E$4)</f>
        <v/>
      </c>
      <c r="P127" s="270">
        <f>P126+O127</f>
        <v/>
      </c>
      <c r="Q127" s="270">
        <f>P127+(M127-1)*$B$8</f>
        <v/>
      </c>
      <c r="R127" s="249">
        <f>IF(AND(Q127&lt;=$B$9,N127="A"),1,0)</f>
        <v/>
      </c>
      <c r="S127" s="249">
        <f>IF(AND(Q127&lt;=$B$9,N127="B"),1,0)</f>
        <v/>
      </c>
      <c r="T127" s="249">
        <f>IF(Q127&lt;=$B$9,1,0)</f>
        <v/>
      </c>
    </row>
    <row r="128" ht="15" customHeight="1" s="129">
      <c r="M128" s="249" t="n">
        <v>127</v>
      </c>
      <c r="N128" s="249">
        <f>IF(MOD(M128-1,$B$4+$B$7)&lt;$B$4,"A","B")</f>
        <v/>
      </c>
      <c r="O128" s="269">
        <f>IF(N128="A",$E$3,$E$4)</f>
        <v/>
      </c>
      <c r="P128" s="270">
        <f>P127+O128</f>
        <v/>
      </c>
      <c r="Q128" s="270">
        <f>P128+(M128-1)*$B$8</f>
        <v/>
      </c>
      <c r="R128" s="249">
        <f>IF(AND(Q128&lt;=$B$9,N128="A"),1,0)</f>
        <v/>
      </c>
      <c r="S128" s="249">
        <f>IF(AND(Q128&lt;=$B$9,N128="B"),1,0)</f>
        <v/>
      </c>
      <c r="T128" s="249">
        <f>IF(Q128&lt;=$B$9,1,0)</f>
        <v/>
      </c>
    </row>
    <row r="129" ht="15" customHeight="1" s="129">
      <c r="M129" s="249" t="n">
        <v>128</v>
      </c>
      <c r="N129" s="249">
        <f>IF(MOD(M129-1,$B$4+$B$7)&lt;$B$4,"A","B")</f>
        <v/>
      </c>
      <c r="O129" s="269">
        <f>IF(N129="A",$E$3,$E$4)</f>
        <v/>
      </c>
      <c r="P129" s="270">
        <f>P128+O129</f>
        <v/>
      </c>
      <c r="Q129" s="270">
        <f>P129+(M129-1)*$B$8</f>
        <v/>
      </c>
      <c r="R129" s="249">
        <f>IF(AND(Q129&lt;=$B$9,N129="A"),1,0)</f>
        <v/>
      </c>
      <c r="S129" s="249">
        <f>IF(AND(Q129&lt;=$B$9,N129="B"),1,0)</f>
        <v/>
      </c>
      <c r="T129" s="249">
        <f>IF(Q129&lt;=$B$9,1,0)</f>
        <v/>
      </c>
    </row>
    <row r="130" ht="15" customHeight="1" s="129">
      <c r="M130" s="249" t="n">
        <v>129</v>
      </c>
      <c r="N130" s="249">
        <f>IF(MOD(M130-1,$B$4+$B$7)&lt;$B$4,"A","B")</f>
        <v/>
      </c>
      <c r="O130" s="269">
        <f>IF(N130="A",$E$3,$E$4)</f>
        <v/>
      </c>
      <c r="P130" s="270">
        <f>P129+O130</f>
        <v/>
      </c>
      <c r="Q130" s="270">
        <f>P130+(M130-1)*$B$8</f>
        <v/>
      </c>
      <c r="R130" s="249">
        <f>IF(AND(Q130&lt;=$B$9,N130="A"),1,0)</f>
        <v/>
      </c>
      <c r="S130" s="249">
        <f>IF(AND(Q130&lt;=$B$9,N130="B"),1,0)</f>
        <v/>
      </c>
      <c r="T130" s="249">
        <f>IF(Q130&lt;=$B$9,1,0)</f>
        <v/>
      </c>
    </row>
    <row r="131" ht="15" customHeight="1" s="129">
      <c r="M131" s="249" t="n">
        <v>130</v>
      </c>
      <c r="N131" s="249">
        <f>IF(MOD(M131-1,$B$4+$B$7)&lt;$B$4,"A","B")</f>
        <v/>
      </c>
      <c r="O131" s="269">
        <f>IF(N131="A",$E$3,$E$4)</f>
        <v/>
      </c>
      <c r="P131" s="270">
        <f>P130+O131</f>
        <v/>
      </c>
      <c r="Q131" s="270">
        <f>P131+(M131-1)*$B$8</f>
        <v/>
      </c>
      <c r="R131" s="249">
        <f>IF(AND(Q131&lt;=$B$9,N131="A"),1,0)</f>
        <v/>
      </c>
      <c r="S131" s="249">
        <f>IF(AND(Q131&lt;=$B$9,N131="B"),1,0)</f>
        <v/>
      </c>
      <c r="T131" s="249">
        <f>IF(Q131&lt;=$B$9,1,0)</f>
        <v/>
      </c>
    </row>
    <row r="132" ht="15" customHeight="1" s="129">
      <c r="M132" s="249" t="n">
        <v>131</v>
      </c>
      <c r="N132" s="249">
        <f>IF(MOD(M132-1,$B$4+$B$7)&lt;$B$4,"A","B")</f>
        <v/>
      </c>
      <c r="O132" s="269">
        <f>IF(N132="A",$E$3,$E$4)</f>
        <v/>
      </c>
      <c r="P132" s="270">
        <f>P131+O132</f>
        <v/>
      </c>
      <c r="Q132" s="270">
        <f>P132+(M132-1)*$B$8</f>
        <v/>
      </c>
      <c r="R132" s="249">
        <f>IF(AND(Q132&lt;=$B$9,N132="A"),1,0)</f>
        <v/>
      </c>
      <c r="S132" s="249">
        <f>IF(AND(Q132&lt;=$B$9,N132="B"),1,0)</f>
        <v/>
      </c>
      <c r="T132" s="249">
        <f>IF(Q132&lt;=$B$9,1,0)</f>
        <v/>
      </c>
    </row>
    <row r="133" ht="15" customHeight="1" s="129">
      <c r="M133" s="249" t="n">
        <v>132</v>
      </c>
      <c r="N133" s="249">
        <f>IF(MOD(M133-1,$B$4+$B$7)&lt;$B$4,"A","B")</f>
        <v/>
      </c>
      <c r="O133" s="269">
        <f>IF(N133="A",$E$3,$E$4)</f>
        <v/>
      </c>
      <c r="P133" s="270">
        <f>P132+O133</f>
        <v/>
      </c>
      <c r="Q133" s="270">
        <f>P133+(M133-1)*$B$8</f>
        <v/>
      </c>
      <c r="R133" s="249">
        <f>IF(AND(Q133&lt;=$B$9,N133="A"),1,0)</f>
        <v/>
      </c>
      <c r="S133" s="249">
        <f>IF(AND(Q133&lt;=$B$9,N133="B"),1,0)</f>
        <v/>
      </c>
      <c r="T133" s="249">
        <f>IF(Q133&lt;=$B$9,1,0)</f>
        <v/>
      </c>
    </row>
    <row r="134" ht="15" customHeight="1" s="129">
      <c r="M134" s="249" t="n">
        <v>133</v>
      </c>
      <c r="N134" s="249">
        <f>IF(MOD(M134-1,$B$4+$B$7)&lt;$B$4,"A","B")</f>
        <v/>
      </c>
      <c r="O134" s="269">
        <f>IF(N134="A",$E$3,$E$4)</f>
        <v/>
      </c>
      <c r="P134" s="270">
        <f>P133+O134</f>
        <v/>
      </c>
      <c r="Q134" s="270">
        <f>P134+(M134-1)*$B$8</f>
        <v/>
      </c>
      <c r="R134" s="249">
        <f>IF(AND(Q134&lt;=$B$9,N134="A"),1,0)</f>
        <v/>
      </c>
      <c r="S134" s="249">
        <f>IF(AND(Q134&lt;=$B$9,N134="B"),1,0)</f>
        <v/>
      </c>
      <c r="T134" s="249">
        <f>IF(Q134&lt;=$B$9,1,0)</f>
        <v/>
      </c>
    </row>
    <row r="135" ht="15" customHeight="1" s="129">
      <c r="M135" s="249" t="n">
        <v>134</v>
      </c>
      <c r="N135" s="249">
        <f>IF(MOD(M135-1,$B$4+$B$7)&lt;$B$4,"A","B")</f>
        <v/>
      </c>
      <c r="O135" s="269">
        <f>IF(N135="A",$E$3,$E$4)</f>
        <v/>
      </c>
      <c r="P135" s="270">
        <f>P134+O135</f>
        <v/>
      </c>
      <c r="Q135" s="270">
        <f>P135+(M135-1)*$B$8</f>
        <v/>
      </c>
      <c r="R135" s="249">
        <f>IF(AND(Q135&lt;=$B$9,N135="A"),1,0)</f>
        <v/>
      </c>
      <c r="S135" s="249">
        <f>IF(AND(Q135&lt;=$B$9,N135="B"),1,0)</f>
        <v/>
      </c>
      <c r="T135" s="249">
        <f>IF(Q135&lt;=$B$9,1,0)</f>
        <v/>
      </c>
    </row>
    <row r="136" ht="15" customHeight="1" s="129">
      <c r="M136" s="249" t="n">
        <v>135</v>
      </c>
      <c r="N136" s="249">
        <f>IF(MOD(M136-1,$B$4+$B$7)&lt;$B$4,"A","B")</f>
        <v/>
      </c>
      <c r="O136" s="269">
        <f>IF(N136="A",$E$3,$E$4)</f>
        <v/>
      </c>
      <c r="P136" s="270">
        <f>P135+O136</f>
        <v/>
      </c>
      <c r="Q136" s="270">
        <f>P136+(M136-1)*$B$8</f>
        <v/>
      </c>
      <c r="R136" s="249">
        <f>IF(AND(Q136&lt;=$B$9,N136="A"),1,0)</f>
        <v/>
      </c>
      <c r="S136" s="249">
        <f>IF(AND(Q136&lt;=$B$9,N136="B"),1,0)</f>
        <v/>
      </c>
      <c r="T136" s="249">
        <f>IF(Q136&lt;=$B$9,1,0)</f>
        <v/>
      </c>
    </row>
    <row r="137" ht="15" customHeight="1" s="129">
      <c r="M137" s="249" t="n">
        <v>136</v>
      </c>
      <c r="N137" s="249">
        <f>IF(MOD(M137-1,$B$4+$B$7)&lt;$B$4,"A","B")</f>
        <v/>
      </c>
      <c r="O137" s="269">
        <f>IF(N137="A",$E$3,$E$4)</f>
        <v/>
      </c>
      <c r="P137" s="270">
        <f>P136+O137</f>
        <v/>
      </c>
      <c r="Q137" s="270">
        <f>P137+(M137-1)*$B$8</f>
        <v/>
      </c>
      <c r="R137" s="249">
        <f>IF(AND(Q137&lt;=$B$9,N137="A"),1,0)</f>
        <v/>
      </c>
      <c r="S137" s="249">
        <f>IF(AND(Q137&lt;=$B$9,N137="B"),1,0)</f>
        <v/>
      </c>
      <c r="T137" s="249">
        <f>IF(Q137&lt;=$B$9,1,0)</f>
        <v/>
      </c>
    </row>
    <row r="138" ht="15" customHeight="1" s="129">
      <c r="M138" s="249" t="n">
        <v>137</v>
      </c>
      <c r="N138" s="249">
        <f>IF(MOD(M138-1,$B$4+$B$7)&lt;$B$4,"A","B")</f>
        <v/>
      </c>
      <c r="O138" s="269">
        <f>IF(N138="A",$E$3,$E$4)</f>
        <v/>
      </c>
      <c r="P138" s="270">
        <f>P137+O138</f>
        <v/>
      </c>
      <c r="Q138" s="270">
        <f>P138+(M138-1)*$B$8</f>
        <v/>
      </c>
      <c r="R138" s="249">
        <f>IF(AND(Q138&lt;=$B$9,N138="A"),1,0)</f>
        <v/>
      </c>
      <c r="S138" s="249">
        <f>IF(AND(Q138&lt;=$B$9,N138="B"),1,0)</f>
        <v/>
      </c>
      <c r="T138" s="249">
        <f>IF(Q138&lt;=$B$9,1,0)</f>
        <v/>
      </c>
    </row>
    <row r="139" ht="15" customHeight="1" s="129">
      <c r="M139" s="249" t="n">
        <v>138</v>
      </c>
      <c r="N139" s="249">
        <f>IF(MOD(M139-1,$B$4+$B$7)&lt;$B$4,"A","B")</f>
        <v/>
      </c>
      <c r="O139" s="269">
        <f>IF(N139="A",$E$3,$E$4)</f>
        <v/>
      </c>
      <c r="P139" s="270">
        <f>P138+O139</f>
        <v/>
      </c>
      <c r="Q139" s="270">
        <f>P139+(M139-1)*$B$8</f>
        <v/>
      </c>
      <c r="R139" s="249">
        <f>IF(AND(Q139&lt;=$B$9,N139="A"),1,0)</f>
        <v/>
      </c>
      <c r="S139" s="249">
        <f>IF(AND(Q139&lt;=$B$9,N139="B"),1,0)</f>
        <v/>
      </c>
      <c r="T139" s="249">
        <f>IF(Q139&lt;=$B$9,1,0)</f>
        <v/>
      </c>
    </row>
    <row r="140" ht="15" customHeight="1" s="129">
      <c r="M140" s="249" t="n">
        <v>139</v>
      </c>
      <c r="N140" s="249">
        <f>IF(MOD(M140-1,$B$4+$B$7)&lt;$B$4,"A","B")</f>
        <v/>
      </c>
      <c r="O140" s="269">
        <f>IF(N140="A",$E$3,$E$4)</f>
        <v/>
      </c>
      <c r="P140" s="270">
        <f>P139+O140</f>
        <v/>
      </c>
      <c r="Q140" s="270">
        <f>P140+(M140-1)*$B$8</f>
        <v/>
      </c>
      <c r="R140" s="249">
        <f>IF(AND(Q140&lt;=$B$9,N140="A"),1,0)</f>
        <v/>
      </c>
      <c r="S140" s="249">
        <f>IF(AND(Q140&lt;=$B$9,N140="B"),1,0)</f>
        <v/>
      </c>
      <c r="T140" s="249">
        <f>IF(Q140&lt;=$B$9,1,0)</f>
        <v/>
      </c>
    </row>
    <row r="141" ht="15" customHeight="1" s="129">
      <c r="M141" s="249" t="n">
        <v>140</v>
      </c>
      <c r="N141" s="249">
        <f>IF(MOD(M141-1,$B$4+$B$7)&lt;$B$4,"A","B")</f>
        <v/>
      </c>
      <c r="O141" s="269">
        <f>IF(N141="A",$E$3,$E$4)</f>
        <v/>
      </c>
      <c r="P141" s="270">
        <f>P140+O141</f>
        <v/>
      </c>
      <c r="Q141" s="270">
        <f>P141+(M141-1)*$B$8</f>
        <v/>
      </c>
      <c r="R141" s="249">
        <f>IF(AND(Q141&lt;=$B$9,N141="A"),1,0)</f>
        <v/>
      </c>
      <c r="S141" s="249">
        <f>IF(AND(Q141&lt;=$B$9,N141="B"),1,0)</f>
        <v/>
      </c>
      <c r="T141" s="249">
        <f>IF(Q141&lt;=$B$9,1,0)</f>
        <v/>
      </c>
    </row>
    <row r="142" ht="15" customHeight="1" s="129">
      <c r="M142" s="249" t="n">
        <v>141</v>
      </c>
      <c r="N142" s="249">
        <f>IF(MOD(M142-1,$B$4+$B$7)&lt;$B$4,"A","B")</f>
        <v/>
      </c>
      <c r="O142" s="269">
        <f>IF(N142="A",$E$3,$E$4)</f>
        <v/>
      </c>
      <c r="P142" s="270">
        <f>P141+O142</f>
        <v/>
      </c>
      <c r="Q142" s="270">
        <f>P142+(M142-1)*$B$8</f>
        <v/>
      </c>
      <c r="R142" s="249">
        <f>IF(AND(Q142&lt;=$B$9,N142="A"),1,0)</f>
        <v/>
      </c>
      <c r="S142" s="249">
        <f>IF(AND(Q142&lt;=$B$9,N142="B"),1,0)</f>
        <v/>
      </c>
      <c r="T142" s="249">
        <f>IF(Q142&lt;=$B$9,1,0)</f>
        <v/>
      </c>
    </row>
    <row r="143" ht="15" customHeight="1" s="129">
      <c r="M143" s="249" t="n">
        <v>142</v>
      </c>
      <c r="N143" s="249">
        <f>IF(MOD(M143-1,$B$4+$B$7)&lt;$B$4,"A","B")</f>
        <v/>
      </c>
      <c r="O143" s="269">
        <f>IF(N143="A",$E$3,$E$4)</f>
        <v/>
      </c>
      <c r="P143" s="270">
        <f>P142+O143</f>
        <v/>
      </c>
      <c r="Q143" s="270">
        <f>P143+(M143-1)*$B$8</f>
        <v/>
      </c>
      <c r="R143" s="249">
        <f>IF(AND(Q143&lt;=$B$9,N143="A"),1,0)</f>
        <v/>
      </c>
      <c r="S143" s="249">
        <f>IF(AND(Q143&lt;=$B$9,N143="B"),1,0)</f>
        <v/>
      </c>
      <c r="T143" s="249">
        <f>IF(Q143&lt;=$B$9,1,0)</f>
        <v/>
      </c>
    </row>
    <row r="144" ht="15" customHeight="1" s="129">
      <c r="M144" s="249" t="n">
        <v>143</v>
      </c>
      <c r="N144" s="249">
        <f>IF(MOD(M144-1,$B$4+$B$7)&lt;$B$4,"A","B")</f>
        <v/>
      </c>
      <c r="O144" s="269">
        <f>IF(N144="A",$E$3,$E$4)</f>
        <v/>
      </c>
      <c r="P144" s="270">
        <f>P143+O144</f>
        <v/>
      </c>
      <c r="Q144" s="270">
        <f>P144+(M144-1)*$B$8</f>
        <v/>
      </c>
      <c r="R144" s="249">
        <f>IF(AND(Q144&lt;=$B$9,N144="A"),1,0)</f>
        <v/>
      </c>
      <c r="S144" s="249">
        <f>IF(AND(Q144&lt;=$B$9,N144="B"),1,0)</f>
        <v/>
      </c>
      <c r="T144" s="249">
        <f>IF(Q144&lt;=$B$9,1,0)</f>
        <v/>
      </c>
    </row>
    <row r="145" ht="15" customHeight="1" s="129">
      <c r="M145" s="249" t="n">
        <v>144</v>
      </c>
      <c r="N145" s="249">
        <f>IF(MOD(M145-1,$B$4+$B$7)&lt;$B$4,"A","B")</f>
        <v/>
      </c>
      <c r="O145" s="269">
        <f>IF(N145="A",$E$3,$E$4)</f>
        <v/>
      </c>
      <c r="P145" s="270">
        <f>P144+O145</f>
        <v/>
      </c>
      <c r="Q145" s="270">
        <f>P145+(M145-1)*$B$8</f>
        <v/>
      </c>
      <c r="R145" s="249">
        <f>IF(AND(Q145&lt;=$B$9,N145="A"),1,0)</f>
        <v/>
      </c>
      <c r="S145" s="249">
        <f>IF(AND(Q145&lt;=$B$9,N145="B"),1,0)</f>
        <v/>
      </c>
      <c r="T145" s="249">
        <f>IF(Q145&lt;=$B$9,1,0)</f>
        <v/>
      </c>
    </row>
    <row r="146" ht="15" customHeight="1" s="129">
      <c r="M146" s="249" t="n">
        <v>145</v>
      </c>
      <c r="N146" s="249">
        <f>IF(MOD(M146-1,$B$4+$B$7)&lt;$B$4,"A","B")</f>
        <v/>
      </c>
      <c r="O146" s="269">
        <f>IF(N146="A",$E$3,$E$4)</f>
        <v/>
      </c>
      <c r="P146" s="270">
        <f>P145+O146</f>
        <v/>
      </c>
      <c r="Q146" s="270">
        <f>P146+(M146-1)*$B$8</f>
        <v/>
      </c>
      <c r="R146" s="249">
        <f>IF(AND(Q146&lt;=$B$9,N146="A"),1,0)</f>
        <v/>
      </c>
      <c r="S146" s="249">
        <f>IF(AND(Q146&lt;=$B$9,N146="B"),1,0)</f>
        <v/>
      </c>
      <c r="T146" s="249">
        <f>IF(Q146&lt;=$B$9,1,0)</f>
        <v/>
      </c>
    </row>
    <row r="147" ht="15" customHeight="1" s="129">
      <c r="M147" s="249" t="n">
        <v>146</v>
      </c>
      <c r="N147" s="249">
        <f>IF(MOD(M147-1,$B$4+$B$7)&lt;$B$4,"A","B")</f>
        <v/>
      </c>
      <c r="O147" s="269">
        <f>IF(N147="A",$E$3,$E$4)</f>
        <v/>
      </c>
      <c r="P147" s="270">
        <f>P146+O147</f>
        <v/>
      </c>
      <c r="Q147" s="270">
        <f>P147+(M147-1)*$B$8</f>
        <v/>
      </c>
      <c r="R147" s="249">
        <f>IF(AND(Q147&lt;=$B$9,N147="A"),1,0)</f>
        <v/>
      </c>
      <c r="S147" s="249">
        <f>IF(AND(Q147&lt;=$B$9,N147="B"),1,0)</f>
        <v/>
      </c>
      <c r="T147" s="249">
        <f>IF(Q147&lt;=$B$9,1,0)</f>
        <v/>
      </c>
    </row>
    <row r="148" ht="15" customHeight="1" s="129">
      <c r="M148" s="249" t="n">
        <v>147</v>
      </c>
      <c r="N148" s="249">
        <f>IF(MOD(M148-1,$B$4+$B$7)&lt;$B$4,"A","B")</f>
        <v/>
      </c>
      <c r="O148" s="269">
        <f>IF(N148="A",$E$3,$E$4)</f>
        <v/>
      </c>
      <c r="P148" s="270">
        <f>P147+O148</f>
        <v/>
      </c>
      <c r="Q148" s="270">
        <f>P148+(M148-1)*$B$8</f>
        <v/>
      </c>
      <c r="R148" s="249">
        <f>IF(AND(Q148&lt;=$B$9,N148="A"),1,0)</f>
        <v/>
      </c>
      <c r="S148" s="249">
        <f>IF(AND(Q148&lt;=$B$9,N148="B"),1,0)</f>
        <v/>
      </c>
      <c r="T148" s="249">
        <f>IF(Q148&lt;=$B$9,1,0)</f>
        <v/>
      </c>
    </row>
    <row r="149" ht="15" customHeight="1" s="129">
      <c r="M149" s="249" t="n">
        <v>148</v>
      </c>
      <c r="N149" s="249">
        <f>IF(MOD(M149-1,$B$4+$B$7)&lt;$B$4,"A","B")</f>
        <v/>
      </c>
      <c r="O149" s="269">
        <f>IF(N149="A",$E$3,$E$4)</f>
        <v/>
      </c>
      <c r="P149" s="270">
        <f>P148+O149</f>
        <v/>
      </c>
      <c r="Q149" s="270">
        <f>P149+(M149-1)*$B$8</f>
        <v/>
      </c>
      <c r="R149" s="249">
        <f>IF(AND(Q149&lt;=$B$9,N149="A"),1,0)</f>
        <v/>
      </c>
      <c r="S149" s="249">
        <f>IF(AND(Q149&lt;=$B$9,N149="B"),1,0)</f>
        <v/>
      </c>
      <c r="T149" s="249">
        <f>IF(Q149&lt;=$B$9,1,0)</f>
        <v/>
      </c>
    </row>
    <row r="150" ht="15" customHeight="1" s="129">
      <c r="M150" s="249" t="n">
        <v>149</v>
      </c>
      <c r="N150" s="249">
        <f>IF(MOD(M150-1,$B$4+$B$7)&lt;$B$4,"A","B")</f>
        <v/>
      </c>
      <c r="O150" s="269">
        <f>IF(N150="A",$E$3,$E$4)</f>
        <v/>
      </c>
      <c r="P150" s="270">
        <f>P149+O150</f>
        <v/>
      </c>
      <c r="Q150" s="270">
        <f>P150+(M150-1)*$B$8</f>
        <v/>
      </c>
      <c r="R150" s="249">
        <f>IF(AND(Q150&lt;=$B$9,N150="A"),1,0)</f>
        <v/>
      </c>
      <c r="S150" s="249">
        <f>IF(AND(Q150&lt;=$B$9,N150="B"),1,0)</f>
        <v/>
      </c>
      <c r="T150" s="249">
        <f>IF(Q150&lt;=$B$9,1,0)</f>
        <v/>
      </c>
    </row>
    <row r="151" ht="15" customHeight="1" s="129">
      <c r="M151" s="249" t="n">
        <v>150</v>
      </c>
      <c r="N151" s="249">
        <f>IF(MOD(M151-1,$B$4+$B$7)&lt;$B$4,"A","B")</f>
        <v/>
      </c>
      <c r="O151" s="269">
        <f>IF(N151="A",$E$3,$E$4)</f>
        <v/>
      </c>
      <c r="P151" s="270">
        <f>P150+O151</f>
        <v/>
      </c>
      <c r="Q151" s="270">
        <f>P151+(M151-1)*$B$8</f>
        <v/>
      </c>
      <c r="R151" s="249">
        <f>IF(AND(Q151&lt;=$B$9,N151="A"),1,0)</f>
        <v/>
      </c>
      <c r="S151" s="249">
        <f>IF(AND(Q151&lt;=$B$9,N151="B"),1,0)</f>
        <v/>
      </c>
      <c r="T151" s="249">
        <f>IF(Q151&lt;=$B$9,1,0)</f>
        <v/>
      </c>
    </row>
    <row r="152" ht="15" customHeight="1" s="129">
      <c r="M152" s="249" t="n">
        <v>151</v>
      </c>
      <c r="N152" s="249">
        <f>IF(MOD(M152-1,$B$4+$B$7)&lt;$B$4,"A","B")</f>
        <v/>
      </c>
      <c r="O152" s="269">
        <f>IF(N152="A",$E$3,$E$4)</f>
        <v/>
      </c>
      <c r="P152" s="270">
        <f>P151+O152</f>
        <v/>
      </c>
      <c r="Q152" s="270">
        <f>P152+(M152-1)*$B$8</f>
        <v/>
      </c>
      <c r="R152" s="249">
        <f>IF(AND(Q152&lt;=$B$9,N152="A"),1,0)</f>
        <v/>
      </c>
      <c r="S152" s="249">
        <f>IF(AND(Q152&lt;=$B$9,N152="B"),1,0)</f>
        <v/>
      </c>
      <c r="T152" s="249">
        <f>IF(Q152&lt;=$B$9,1,0)</f>
        <v/>
      </c>
    </row>
    <row r="153" ht="15" customHeight="1" s="129">
      <c r="M153" s="249" t="n">
        <v>152</v>
      </c>
      <c r="N153" s="249">
        <f>IF(MOD(M153-1,$B$4+$B$7)&lt;$B$4,"A","B")</f>
        <v/>
      </c>
      <c r="O153" s="269">
        <f>IF(N153="A",$E$3,$E$4)</f>
        <v/>
      </c>
      <c r="P153" s="270">
        <f>P152+O153</f>
        <v/>
      </c>
      <c r="Q153" s="270">
        <f>P153+(M153-1)*$B$8</f>
        <v/>
      </c>
      <c r="R153" s="249">
        <f>IF(AND(Q153&lt;=$B$9,N153="A"),1,0)</f>
        <v/>
      </c>
      <c r="S153" s="249">
        <f>IF(AND(Q153&lt;=$B$9,N153="B"),1,0)</f>
        <v/>
      </c>
      <c r="T153" s="249">
        <f>IF(Q153&lt;=$B$9,1,0)</f>
        <v/>
      </c>
    </row>
    <row r="154" ht="15" customHeight="1" s="129">
      <c r="M154" s="249" t="n">
        <v>153</v>
      </c>
      <c r="N154" s="249">
        <f>IF(MOD(M154-1,$B$4+$B$7)&lt;$B$4,"A","B")</f>
        <v/>
      </c>
      <c r="O154" s="269">
        <f>IF(N154="A",$E$3,$E$4)</f>
        <v/>
      </c>
      <c r="P154" s="270">
        <f>P153+O154</f>
        <v/>
      </c>
      <c r="Q154" s="270">
        <f>P154+(M154-1)*$B$8</f>
        <v/>
      </c>
      <c r="R154" s="249">
        <f>IF(AND(Q154&lt;=$B$9,N154="A"),1,0)</f>
        <v/>
      </c>
      <c r="S154" s="249">
        <f>IF(AND(Q154&lt;=$B$9,N154="B"),1,0)</f>
        <v/>
      </c>
      <c r="T154" s="249">
        <f>IF(Q154&lt;=$B$9,1,0)</f>
        <v/>
      </c>
    </row>
    <row r="155" ht="15" customHeight="1" s="129">
      <c r="M155" s="249" t="n">
        <v>154</v>
      </c>
      <c r="N155" s="249">
        <f>IF(MOD(M155-1,$B$4+$B$7)&lt;$B$4,"A","B")</f>
        <v/>
      </c>
      <c r="O155" s="269">
        <f>IF(N155="A",$E$3,$E$4)</f>
        <v/>
      </c>
      <c r="P155" s="270">
        <f>P154+O155</f>
        <v/>
      </c>
      <c r="Q155" s="270">
        <f>P155+(M155-1)*$B$8</f>
        <v/>
      </c>
      <c r="R155" s="249">
        <f>IF(AND(Q155&lt;=$B$9,N155="A"),1,0)</f>
        <v/>
      </c>
      <c r="S155" s="249">
        <f>IF(AND(Q155&lt;=$B$9,N155="B"),1,0)</f>
        <v/>
      </c>
      <c r="T155" s="249">
        <f>IF(Q155&lt;=$B$9,1,0)</f>
        <v/>
      </c>
    </row>
    <row r="156" ht="15" customHeight="1" s="129">
      <c r="M156" s="249" t="n">
        <v>155</v>
      </c>
      <c r="N156" s="249">
        <f>IF(MOD(M156-1,$B$4+$B$7)&lt;$B$4,"A","B")</f>
        <v/>
      </c>
      <c r="O156" s="269">
        <f>IF(N156="A",$E$3,$E$4)</f>
        <v/>
      </c>
      <c r="P156" s="270">
        <f>P155+O156</f>
        <v/>
      </c>
      <c r="Q156" s="270">
        <f>P156+(M156-1)*$B$8</f>
        <v/>
      </c>
      <c r="R156" s="249">
        <f>IF(AND(Q156&lt;=$B$9,N156="A"),1,0)</f>
        <v/>
      </c>
      <c r="S156" s="249">
        <f>IF(AND(Q156&lt;=$B$9,N156="B"),1,0)</f>
        <v/>
      </c>
      <c r="T156" s="249">
        <f>IF(Q156&lt;=$B$9,1,0)</f>
        <v/>
      </c>
    </row>
    <row r="157" ht="15" customHeight="1" s="129">
      <c r="M157" s="249" t="n">
        <v>156</v>
      </c>
      <c r="N157" s="249">
        <f>IF(MOD(M157-1,$B$4+$B$7)&lt;$B$4,"A","B")</f>
        <v/>
      </c>
      <c r="O157" s="269">
        <f>IF(N157="A",$E$3,$E$4)</f>
        <v/>
      </c>
      <c r="P157" s="270">
        <f>P156+O157</f>
        <v/>
      </c>
      <c r="Q157" s="270">
        <f>P157+(M157-1)*$B$8</f>
        <v/>
      </c>
      <c r="R157" s="249">
        <f>IF(AND(Q157&lt;=$B$9,N157="A"),1,0)</f>
        <v/>
      </c>
      <c r="S157" s="249">
        <f>IF(AND(Q157&lt;=$B$9,N157="B"),1,0)</f>
        <v/>
      </c>
      <c r="T157" s="249">
        <f>IF(Q157&lt;=$B$9,1,0)</f>
        <v/>
      </c>
    </row>
    <row r="158" ht="15" customHeight="1" s="129">
      <c r="M158" s="249" t="n">
        <v>157</v>
      </c>
      <c r="N158" s="249">
        <f>IF(MOD(M158-1,$B$4+$B$7)&lt;$B$4,"A","B")</f>
        <v/>
      </c>
      <c r="O158" s="269">
        <f>IF(N158="A",$E$3,$E$4)</f>
        <v/>
      </c>
      <c r="P158" s="270">
        <f>P157+O158</f>
        <v/>
      </c>
      <c r="Q158" s="270">
        <f>P158+(M158-1)*$B$8</f>
        <v/>
      </c>
      <c r="R158" s="249">
        <f>IF(AND(Q158&lt;=$B$9,N158="A"),1,0)</f>
        <v/>
      </c>
      <c r="S158" s="249">
        <f>IF(AND(Q158&lt;=$B$9,N158="B"),1,0)</f>
        <v/>
      </c>
      <c r="T158" s="249">
        <f>IF(Q158&lt;=$B$9,1,0)</f>
        <v/>
      </c>
    </row>
    <row r="159" ht="15" customHeight="1" s="129">
      <c r="M159" s="249" t="n">
        <v>158</v>
      </c>
      <c r="N159" s="249">
        <f>IF(MOD(M159-1,$B$4+$B$7)&lt;$B$4,"A","B")</f>
        <v/>
      </c>
      <c r="O159" s="269">
        <f>IF(N159="A",$E$3,$E$4)</f>
        <v/>
      </c>
      <c r="P159" s="270">
        <f>P158+O159</f>
        <v/>
      </c>
      <c r="Q159" s="270">
        <f>P159+(M159-1)*$B$8</f>
        <v/>
      </c>
      <c r="R159" s="249">
        <f>IF(AND(Q159&lt;=$B$9,N159="A"),1,0)</f>
        <v/>
      </c>
      <c r="S159" s="249">
        <f>IF(AND(Q159&lt;=$B$9,N159="B"),1,0)</f>
        <v/>
      </c>
      <c r="T159" s="249">
        <f>IF(Q159&lt;=$B$9,1,0)</f>
        <v/>
      </c>
    </row>
    <row r="160" ht="15" customHeight="1" s="129">
      <c r="M160" s="249" t="n">
        <v>159</v>
      </c>
      <c r="N160" s="249">
        <f>IF(MOD(M160-1,$B$4+$B$7)&lt;$B$4,"A","B")</f>
        <v/>
      </c>
      <c r="O160" s="269">
        <f>IF(N160="A",$E$3,$E$4)</f>
        <v/>
      </c>
      <c r="P160" s="270">
        <f>P159+O160</f>
        <v/>
      </c>
      <c r="Q160" s="270">
        <f>P160+(M160-1)*$B$8</f>
        <v/>
      </c>
      <c r="R160" s="249">
        <f>IF(AND(Q160&lt;=$B$9,N160="A"),1,0)</f>
        <v/>
      </c>
      <c r="S160" s="249">
        <f>IF(AND(Q160&lt;=$B$9,N160="B"),1,0)</f>
        <v/>
      </c>
      <c r="T160" s="249">
        <f>IF(Q160&lt;=$B$9,1,0)</f>
        <v/>
      </c>
    </row>
    <row r="161" ht="15" customHeight="1" s="129">
      <c r="M161" s="249" t="n">
        <v>160</v>
      </c>
      <c r="N161" s="249">
        <f>IF(MOD(M161-1,$B$4+$B$7)&lt;$B$4,"A","B")</f>
        <v/>
      </c>
      <c r="O161" s="269">
        <f>IF(N161="A",$E$3,$E$4)</f>
        <v/>
      </c>
      <c r="P161" s="270">
        <f>P160+O161</f>
        <v/>
      </c>
      <c r="Q161" s="270">
        <f>P161+(M161-1)*$B$8</f>
        <v/>
      </c>
      <c r="R161" s="249">
        <f>IF(AND(Q161&lt;=$B$9,N161="A"),1,0)</f>
        <v/>
      </c>
      <c r="S161" s="249">
        <f>IF(AND(Q161&lt;=$B$9,N161="B"),1,0)</f>
        <v/>
      </c>
      <c r="T161" s="249">
        <f>IF(Q161&lt;=$B$9,1,0)</f>
        <v/>
      </c>
    </row>
    <row r="162" ht="15" customHeight="1" s="129">
      <c r="M162" s="249" t="n">
        <v>161</v>
      </c>
      <c r="N162" s="249">
        <f>IF(MOD(M162-1,$B$4+$B$7)&lt;$B$4,"A","B")</f>
        <v/>
      </c>
      <c r="O162" s="269">
        <f>IF(N162="A",$E$3,$E$4)</f>
        <v/>
      </c>
      <c r="P162" s="270">
        <f>P161+O162</f>
        <v/>
      </c>
      <c r="Q162" s="270">
        <f>P162+(M162-1)*$B$8</f>
        <v/>
      </c>
      <c r="R162" s="249">
        <f>IF(AND(Q162&lt;=$B$9,N162="A"),1,0)</f>
        <v/>
      </c>
      <c r="S162" s="249">
        <f>IF(AND(Q162&lt;=$B$9,N162="B"),1,0)</f>
        <v/>
      </c>
      <c r="T162" s="249">
        <f>IF(Q162&lt;=$B$9,1,0)</f>
        <v/>
      </c>
    </row>
    <row r="163" ht="15" customHeight="1" s="129">
      <c r="M163" s="249" t="n">
        <v>162</v>
      </c>
      <c r="N163" s="249">
        <f>IF(MOD(M163-1,$B$4+$B$7)&lt;$B$4,"A","B")</f>
        <v/>
      </c>
      <c r="O163" s="269">
        <f>IF(N163="A",$E$3,$E$4)</f>
        <v/>
      </c>
      <c r="P163" s="270">
        <f>P162+O163</f>
        <v/>
      </c>
      <c r="Q163" s="270">
        <f>P163+(M163-1)*$B$8</f>
        <v/>
      </c>
      <c r="R163" s="249">
        <f>IF(AND(Q163&lt;=$B$9,N163="A"),1,0)</f>
        <v/>
      </c>
      <c r="S163" s="249">
        <f>IF(AND(Q163&lt;=$B$9,N163="B"),1,0)</f>
        <v/>
      </c>
      <c r="T163" s="249">
        <f>IF(Q163&lt;=$B$9,1,0)</f>
        <v/>
      </c>
    </row>
    <row r="164" ht="15" customHeight="1" s="129">
      <c r="M164" s="249" t="n">
        <v>163</v>
      </c>
      <c r="N164" s="249">
        <f>IF(MOD(M164-1,$B$4+$B$7)&lt;$B$4,"A","B")</f>
        <v/>
      </c>
      <c r="O164" s="269">
        <f>IF(N164="A",$E$3,$E$4)</f>
        <v/>
      </c>
      <c r="P164" s="270">
        <f>P163+O164</f>
        <v/>
      </c>
      <c r="Q164" s="270">
        <f>P164+(M164-1)*$B$8</f>
        <v/>
      </c>
      <c r="R164" s="249">
        <f>IF(AND(Q164&lt;=$B$9,N164="A"),1,0)</f>
        <v/>
      </c>
      <c r="S164" s="249">
        <f>IF(AND(Q164&lt;=$B$9,N164="B"),1,0)</f>
        <v/>
      </c>
      <c r="T164" s="249">
        <f>IF(Q164&lt;=$B$9,1,0)</f>
        <v/>
      </c>
    </row>
    <row r="165" ht="15" customHeight="1" s="129">
      <c r="M165" s="249" t="n">
        <v>164</v>
      </c>
      <c r="N165" s="249">
        <f>IF(MOD(M165-1,$B$4+$B$7)&lt;$B$4,"A","B")</f>
        <v/>
      </c>
      <c r="O165" s="269">
        <f>IF(N165="A",$E$3,$E$4)</f>
        <v/>
      </c>
      <c r="P165" s="270">
        <f>P164+O165</f>
        <v/>
      </c>
      <c r="Q165" s="270">
        <f>P165+(M165-1)*$B$8</f>
        <v/>
      </c>
      <c r="R165" s="249">
        <f>IF(AND(Q165&lt;=$B$9,N165="A"),1,0)</f>
        <v/>
      </c>
      <c r="S165" s="249">
        <f>IF(AND(Q165&lt;=$B$9,N165="B"),1,0)</f>
        <v/>
      </c>
      <c r="T165" s="249">
        <f>IF(Q165&lt;=$B$9,1,0)</f>
        <v/>
      </c>
    </row>
    <row r="166" ht="15" customHeight="1" s="129">
      <c r="M166" s="249" t="n">
        <v>165</v>
      </c>
      <c r="N166" s="249">
        <f>IF(MOD(M166-1,$B$4+$B$7)&lt;$B$4,"A","B")</f>
        <v/>
      </c>
      <c r="O166" s="269">
        <f>IF(N166="A",$E$3,$E$4)</f>
        <v/>
      </c>
      <c r="P166" s="270">
        <f>P165+O166</f>
        <v/>
      </c>
      <c r="Q166" s="270">
        <f>P166+(M166-1)*$B$8</f>
        <v/>
      </c>
      <c r="R166" s="249">
        <f>IF(AND(Q166&lt;=$B$9,N166="A"),1,0)</f>
        <v/>
      </c>
      <c r="S166" s="249">
        <f>IF(AND(Q166&lt;=$B$9,N166="B"),1,0)</f>
        <v/>
      </c>
      <c r="T166" s="249">
        <f>IF(Q166&lt;=$B$9,1,0)</f>
        <v/>
      </c>
    </row>
    <row r="167" ht="15" customHeight="1" s="129">
      <c r="M167" s="249" t="n">
        <v>166</v>
      </c>
      <c r="N167" s="249">
        <f>IF(MOD(M167-1,$B$4+$B$7)&lt;$B$4,"A","B")</f>
        <v/>
      </c>
      <c r="O167" s="269">
        <f>IF(N167="A",$E$3,$E$4)</f>
        <v/>
      </c>
      <c r="P167" s="270">
        <f>P166+O167</f>
        <v/>
      </c>
      <c r="Q167" s="270">
        <f>P167+(M167-1)*$B$8</f>
        <v/>
      </c>
      <c r="R167" s="249">
        <f>IF(AND(Q167&lt;=$B$9,N167="A"),1,0)</f>
        <v/>
      </c>
      <c r="S167" s="249">
        <f>IF(AND(Q167&lt;=$B$9,N167="B"),1,0)</f>
        <v/>
      </c>
      <c r="T167" s="249">
        <f>IF(Q167&lt;=$B$9,1,0)</f>
        <v/>
      </c>
    </row>
    <row r="168" ht="15" customHeight="1" s="129">
      <c r="M168" s="249" t="n">
        <v>167</v>
      </c>
      <c r="N168" s="249">
        <f>IF(MOD(M168-1,$B$4+$B$7)&lt;$B$4,"A","B")</f>
        <v/>
      </c>
      <c r="O168" s="269">
        <f>IF(N168="A",$E$3,$E$4)</f>
        <v/>
      </c>
      <c r="P168" s="270">
        <f>P167+O168</f>
        <v/>
      </c>
      <c r="Q168" s="270">
        <f>P168+(M168-1)*$B$8</f>
        <v/>
      </c>
      <c r="R168" s="249">
        <f>IF(AND(Q168&lt;=$B$9,N168="A"),1,0)</f>
        <v/>
      </c>
      <c r="S168" s="249">
        <f>IF(AND(Q168&lt;=$B$9,N168="B"),1,0)</f>
        <v/>
      </c>
      <c r="T168" s="249">
        <f>IF(Q168&lt;=$B$9,1,0)</f>
        <v/>
      </c>
    </row>
    <row r="169" ht="15" customHeight="1" s="129">
      <c r="M169" s="249" t="n">
        <v>168</v>
      </c>
      <c r="N169" s="249">
        <f>IF(MOD(M169-1,$B$4+$B$7)&lt;$B$4,"A","B")</f>
        <v/>
      </c>
      <c r="O169" s="269">
        <f>IF(N169="A",$E$3,$E$4)</f>
        <v/>
      </c>
      <c r="P169" s="270">
        <f>P168+O169</f>
        <v/>
      </c>
      <c r="Q169" s="270">
        <f>P169+(M169-1)*$B$8</f>
        <v/>
      </c>
      <c r="R169" s="249">
        <f>IF(AND(Q169&lt;=$B$9,N169="A"),1,0)</f>
        <v/>
      </c>
      <c r="S169" s="249">
        <f>IF(AND(Q169&lt;=$B$9,N169="B"),1,0)</f>
        <v/>
      </c>
      <c r="T169" s="249">
        <f>IF(Q169&lt;=$B$9,1,0)</f>
        <v/>
      </c>
    </row>
    <row r="170" ht="15" customHeight="1" s="129">
      <c r="M170" s="249" t="n">
        <v>169</v>
      </c>
      <c r="N170" s="249">
        <f>IF(MOD(M170-1,$B$4+$B$7)&lt;$B$4,"A","B")</f>
        <v/>
      </c>
      <c r="O170" s="269">
        <f>IF(N170="A",$E$3,$E$4)</f>
        <v/>
      </c>
      <c r="P170" s="270">
        <f>P169+O170</f>
        <v/>
      </c>
      <c r="Q170" s="270">
        <f>P170+(M170-1)*$B$8</f>
        <v/>
      </c>
      <c r="R170" s="249">
        <f>IF(AND(Q170&lt;=$B$9,N170="A"),1,0)</f>
        <v/>
      </c>
      <c r="S170" s="249">
        <f>IF(AND(Q170&lt;=$B$9,N170="B"),1,0)</f>
        <v/>
      </c>
      <c r="T170" s="249">
        <f>IF(Q170&lt;=$B$9,1,0)</f>
        <v/>
      </c>
    </row>
    <row r="171" ht="15" customHeight="1" s="129">
      <c r="M171" s="249" t="n">
        <v>170</v>
      </c>
      <c r="N171" s="249">
        <f>IF(MOD(M171-1,$B$4+$B$7)&lt;$B$4,"A","B")</f>
        <v/>
      </c>
      <c r="O171" s="269">
        <f>IF(N171="A",$E$3,$E$4)</f>
        <v/>
      </c>
      <c r="P171" s="270">
        <f>P170+O171</f>
        <v/>
      </c>
      <c r="Q171" s="270">
        <f>P171+(M171-1)*$B$8</f>
        <v/>
      </c>
      <c r="R171" s="249">
        <f>IF(AND(Q171&lt;=$B$9,N171="A"),1,0)</f>
        <v/>
      </c>
      <c r="S171" s="249">
        <f>IF(AND(Q171&lt;=$B$9,N171="B"),1,0)</f>
        <v/>
      </c>
      <c r="T171" s="249">
        <f>IF(Q171&lt;=$B$9,1,0)</f>
        <v/>
      </c>
    </row>
    <row r="172" ht="15" customHeight="1" s="129">
      <c r="M172" s="249" t="n">
        <v>171</v>
      </c>
      <c r="N172" s="249">
        <f>IF(MOD(M172-1,$B$4+$B$7)&lt;$B$4,"A","B")</f>
        <v/>
      </c>
      <c r="O172" s="269">
        <f>IF(N172="A",$E$3,$E$4)</f>
        <v/>
      </c>
      <c r="P172" s="270">
        <f>P171+O172</f>
        <v/>
      </c>
      <c r="Q172" s="270">
        <f>P172+(M172-1)*$B$8</f>
        <v/>
      </c>
      <c r="R172" s="249">
        <f>IF(AND(Q172&lt;=$B$9,N172="A"),1,0)</f>
        <v/>
      </c>
      <c r="S172" s="249">
        <f>IF(AND(Q172&lt;=$B$9,N172="B"),1,0)</f>
        <v/>
      </c>
      <c r="T172" s="249">
        <f>IF(Q172&lt;=$B$9,1,0)</f>
        <v/>
      </c>
    </row>
    <row r="173" ht="15" customHeight="1" s="129">
      <c r="M173" s="249" t="n">
        <v>172</v>
      </c>
      <c r="N173" s="249">
        <f>IF(MOD(M173-1,$B$4+$B$7)&lt;$B$4,"A","B")</f>
        <v/>
      </c>
      <c r="O173" s="269">
        <f>IF(N173="A",$E$3,$E$4)</f>
        <v/>
      </c>
      <c r="P173" s="270">
        <f>P172+O173</f>
        <v/>
      </c>
      <c r="Q173" s="270">
        <f>P173+(M173-1)*$B$8</f>
        <v/>
      </c>
      <c r="R173" s="249">
        <f>IF(AND(Q173&lt;=$B$9,N173="A"),1,0)</f>
        <v/>
      </c>
      <c r="S173" s="249">
        <f>IF(AND(Q173&lt;=$B$9,N173="B"),1,0)</f>
        <v/>
      </c>
      <c r="T173" s="249">
        <f>IF(Q173&lt;=$B$9,1,0)</f>
        <v/>
      </c>
    </row>
    <row r="174" ht="15" customHeight="1" s="129">
      <c r="M174" s="249" t="n">
        <v>173</v>
      </c>
      <c r="N174" s="249">
        <f>IF(MOD(M174-1,$B$4+$B$7)&lt;$B$4,"A","B")</f>
        <v/>
      </c>
      <c r="O174" s="269">
        <f>IF(N174="A",$E$3,$E$4)</f>
        <v/>
      </c>
      <c r="P174" s="270">
        <f>P173+O174</f>
        <v/>
      </c>
      <c r="Q174" s="270">
        <f>P174+(M174-1)*$B$8</f>
        <v/>
      </c>
      <c r="R174" s="249">
        <f>IF(AND(Q174&lt;=$B$9,N174="A"),1,0)</f>
        <v/>
      </c>
      <c r="S174" s="249">
        <f>IF(AND(Q174&lt;=$B$9,N174="B"),1,0)</f>
        <v/>
      </c>
      <c r="T174" s="249">
        <f>IF(Q174&lt;=$B$9,1,0)</f>
        <v/>
      </c>
    </row>
    <row r="175" ht="15" customHeight="1" s="129">
      <c r="M175" s="249" t="n">
        <v>174</v>
      </c>
      <c r="N175" s="249">
        <f>IF(MOD(M175-1,$B$4+$B$7)&lt;$B$4,"A","B")</f>
        <v/>
      </c>
      <c r="O175" s="269">
        <f>IF(N175="A",$E$3,$E$4)</f>
        <v/>
      </c>
      <c r="P175" s="270">
        <f>P174+O175</f>
        <v/>
      </c>
      <c r="Q175" s="270">
        <f>P175+(M175-1)*$B$8</f>
        <v/>
      </c>
      <c r="R175" s="249">
        <f>IF(AND(Q175&lt;=$B$9,N175="A"),1,0)</f>
        <v/>
      </c>
      <c r="S175" s="249">
        <f>IF(AND(Q175&lt;=$B$9,N175="B"),1,0)</f>
        <v/>
      </c>
      <c r="T175" s="249">
        <f>IF(Q175&lt;=$B$9,1,0)</f>
        <v/>
      </c>
    </row>
    <row r="176" ht="15" customHeight="1" s="129">
      <c r="M176" s="249" t="n">
        <v>175</v>
      </c>
      <c r="N176" s="249">
        <f>IF(MOD(M176-1,$B$4+$B$7)&lt;$B$4,"A","B")</f>
        <v/>
      </c>
      <c r="O176" s="269">
        <f>IF(N176="A",$E$3,$E$4)</f>
        <v/>
      </c>
      <c r="P176" s="270">
        <f>P175+O176</f>
        <v/>
      </c>
      <c r="Q176" s="270">
        <f>P176+(M176-1)*$B$8</f>
        <v/>
      </c>
      <c r="R176" s="249">
        <f>IF(AND(Q176&lt;=$B$9,N176="A"),1,0)</f>
        <v/>
      </c>
      <c r="S176" s="249">
        <f>IF(AND(Q176&lt;=$B$9,N176="B"),1,0)</f>
        <v/>
      </c>
      <c r="T176" s="249">
        <f>IF(Q176&lt;=$B$9,1,0)</f>
        <v/>
      </c>
    </row>
    <row r="177" ht="15" customHeight="1" s="129">
      <c r="M177" s="249" t="n">
        <v>176</v>
      </c>
      <c r="N177" s="249">
        <f>IF(MOD(M177-1,$B$4+$B$7)&lt;$B$4,"A","B")</f>
        <v/>
      </c>
      <c r="O177" s="269">
        <f>IF(N177="A",$E$3,$E$4)</f>
        <v/>
      </c>
      <c r="P177" s="270">
        <f>P176+O177</f>
        <v/>
      </c>
      <c r="Q177" s="270">
        <f>P177+(M177-1)*$B$8</f>
        <v/>
      </c>
      <c r="R177" s="249">
        <f>IF(AND(Q177&lt;=$B$9,N177="A"),1,0)</f>
        <v/>
      </c>
      <c r="S177" s="249">
        <f>IF(AND(Q177&lt;=$B$9,N177="B"),1,0)</f>
        <v/>
      </c>
      <c r="T177" s="249">
        <f>IF(Q177&lt;=$B$9,1,0)</f>
        <v/>
      </c>
    </row>
    <row r="178" ht="15" customHeight="1" s="129">
      <c r="M178" s="249" t="n">
        <v>177</v>
      </c>
      <c r="N178" s="249">
        <f>IF(MOD(M178-1,$B$4+$B$7)&lt;$B$4,"A","B")</f>
        <v/>
      </c>
      <c r="O178" s="269">
        <f>IF(N178="A",$E$3,$E$4)</f>
        <v/>
      </c>
      <c r="P178" s="270">
        <f>P177+O178</f>
        <v/>
      </c>
      <c r="Q178" s="270">
        <f>P178+(M178-1)*$B$8</f>
        <v/>
      </c>
      <c r="R178" s="249">
        <f>IF(AND(Q178&lt;=$B$9,N178="A"),1,0)</f>
        <v/>
      </c>
      <c r="S178" s="249">
        <f>IF(AND(Q178&lt;=$B$9,N178="B"),1,0)</f>
        <v/>
      </c>
      <c r="T178" s="249">
        <f>IF(Q178&lt;=$B$9,1,0)</f>
        <v/>
      </c>
    </row>
    <row r="179" ht="15" customHeight="1" s="129">
      <c r="M179" s="249" t="n">
        <v>178</v>
      </c>
      <c r="N179" s="249">
        <f>IF(MOD(M179-1,$B$4+$B$7)&lt;$B$4,"A","B")</f>
        <v/>
      </c>
      <c r="O179" s="269">
        <f>IF(N179="A",$E$3,$E$4)</f>
        <v/>
      </c>
      <c r="P179" s="270">
        <f>P178+O179</f>
        <v/>
      </c>
      <c r="Q179" s="270">
        <f>P179+(M179-1)*$B$8</f>
        <v/>
      </c>
      <c r="R179" s="249">
        <f>IF(AND(Q179&lt;=$B$9,N179="A"),1,0)</f>
        <v/>
      </c>
      <c r="S179" s="249">
        <f>IF(AND(Q179&lt;=$B$9,N179="B"),1,0)</f>
        <v/>
      </c>
      <c r="T179" s="249">
        <f>IF(Q179&lt;=$B$9,1,0)</f>
        <v/>
      </c>
    </row>
    <row r="180" ht="15" customHeight="1" s="129">
      <c r="M180" s="249" t="n">
        <v>179</v>
      </c>
      <c r="N180" s="249">
        <f>IF(MOD(M180-1,$B$4+$B$7)&lt;$B$4,"A","B")</f>
        <v/>
      </c>
      <c r="O180" s="269">
        <f>IF(N180="A",$E$3,$E$4)</f>
        <v/>
      </c>
      <c r="P180" s="270">
        <f>P179+O180</f>
        <v/>
      </c>
      <c r="Q180" s="270">
        <f>P180+(M180-1)*$B$8</f>
        <v/>
      </c>
      <c r="R180" s="249">
        <f>IF(AND(Q180&lt;=$B$9,N180="A"),1,0)</f>
        <v/>
      </c>
      <c r="S180" s="249">
        <f>IF(AND(Q180&lt;=$B$9,N180="B"),1,0)</f>
        <v/>
      </c>
      <c r="T180" s="249">
        <f>IF(Q180&lt;=$B$9,1,0)</f>
        <v/>
      </c>
    </row>
    <row r="181" ht="15" customHeight="1" s="129">
      <c r="M181" s="249" t="n">
        <v>180</v>
      </c>
      <c r="N181" s="249">
        <f>IF(MOD(M181-1,$B$4+$B$7)&lt;$B$4,"A","B")</f>
        <v/>
      </c>
      <c r="O181" s="269">
        <f>IF(N181="A",$E$3,$E$4)</f>
        <v/>
      </c>
      <c r="P181" s="270">
        <f>P180+O181</f>
        <v/>
      </c>
      <c r="Q181" s="270">
        <f>P181+(M181-1)*$B$8</f>
        <v/>
      </c>
      <c r="R181" s="249">
        <f>IF(AND(Q181&lt;=$B$9,N181="A"),1,0)</f>
        <v/>
      </c>
      <c r="S181" s="249">
        <f>IF(AND(Q181&lt;=$B$9,N181="B"),1,0)</f>
        <v/>
      </c>
      <c r="T181" s="249">
        <f>IF(Q181&lt;=$B$9,1,0)</f>
        <v/>
      </c>
    </row>
    <row r="182" ht="15" customHeight="1" s="129">
      <c r="M182" s="249" t="n">
        <v>181</v>
      </c>
      <c r="N182" s="249">
        <f>IF(MOD(M182-1,$B$4+$B$7)&lt;$B$4,"A","B")</f>
        <v/>
      </c>
      <c r="O182" s="269">
        <f>IF(N182="A",$E$3,$E$4)</f>
        <v/>
      </c>
      <c r="P182" s="270">
        <f>P181+O182</f>
        <v/>
      </c>
      <c r="Q182" s="270">
        <f>P182+(M182-1)*$B$8</f>
        <v/>
      </c>
      <c r="R182" s="249">
        <f>IF(AND(Q182&lt;=$B$9,N182="A"),1,0)</f>
        <v/>
      </c>
      <c r="S182" s="249">
        <f>IF(AND(Q182&lt;=$B$9,N182="B"),1,0)</f>
        <v/>
      </c>
      <c r="T182" s="249">
        <f>IF(Q182&lt;=$B$9,1,0)</f>
        <v/>
      </c>
    </row>
    <row r="183" ht="15" customHeight="1" s="129">
      <c r="M183" s="249" t="n">
        <v>182</v>
      </c>
      <c r="N183" s="249">
        <f>IF(MOD(M183-1,$B$4+$B$7)&lt;$B$4,"A","B")</f>
        <v/>
      </c>
      <c r="O183" s="269">
        <f>IF(N183="A",$E$3,$E$4)</f>
        <v/>
      </c>
      <c r="P183" s="270">
        <f>P182+O183</f>
        <v/>
      </c>
      <c r="Q183" s="270">
        <f>P183+(M183-1)*$B$8</f>
        <v/>
      </c>
      <c r="R183" s="249">
        <f>IF(AND(Q183&lt;=$B$9,N183="A"),1,0)</f>
        <v/>
      </c>
      <c r="S183" s="249">
        <f>IF(AND(Q183&lt;=$B$9,N183="B"),1,0)</f>
        <v/>
      </c>
      <c r="T183" s="249">
        <f>IF(Q183&lt;=$B$9,1,0)</f>
        <v/>
      </c>
    </row>
    <row r="184" ht="15" customHeight="1" s="129">
      <c r="M184" s="249" t="n">
        <v>183</v>
      </c>
      <c r="N184" s="249">
        <f>IF(MOD(M184-1,$B$4+$B$7)&lt;$B$4,"A","B")</f>
        <v/>
      </c>
      <c r="O184" s="269">
        <f>IF(N184="A",$E$3,$E$4)</f>
        <v/>
      </c>
      <c r="P184" s="270">
        <f>P183+O184</f>
        <v/>
      </c>
      <c r="Q184" s="270">
        <f>P184+(M184-1)*$B$8</f>
        <v/>
      </c>
      <c r="R184" s="249">
        <f>IF(AND(Q184&lt;=$B$9,N184="A"),1,0)</f>
        <v/>
      </c>
      <c r="S184" s="249">
        <f>IF(AND(Q184&lt;=$B$9,N184="B"),1,0)</f>
        <v/>
      </c>
      <c r="T184" s="249">
        <f>IF(Q184&lt;=$B$9,1,0)</f>
        <v/>
      </c>
    </row>
    <row r="185" ht="15" customHeight="1" s="129">
      <c r="M185" s="249" t="n">
        <v>184</v>
      </c>
      <c r="N185" s="249">
        <f>IF(MOD(M185-1,$B$4+$B$7)&lt;$B$4,"A","B")</f>
        <v/>
      </c>
      <c r="O185" s="269">
        <f>IF(N185="A",$E$3,$E$4)</f>
        <v/>
      </c>
      <c r="P185" s="270">
        <f>P184+O185</f>
        <v/>
      </c>
      <c r="Q185" s="270">
        <f>P185+(M185-1)*$B$8</f>
        <v/>
      </c>
      <c r="R185" s="249">
        <f>IF(AND(Q185&lt;=$B$9,N185="A"),1,0)</f>
        <v/>
      </c>
      <c r="S185" s="249">
        <f>IF(AND(Q185&lt;=$B$9,N185="B"),1,0)</f>
        <v/>
      </c>
      <c r="T185" s="249">
        <f>IF(Q185&lt;=$B$9,1,0)</f>
        <v/>
      </c>
    </row>
    <row r="186" ht="15" customHeight="1" s="129">
      <c r="M186" s="249" t="n">
        <v>185</v>
      </c>
      <c r="N186" s="249">
        <f>IF(MOD(M186-1,$B$4+$B$7)&lt;$B$4,"A","B")</f>
        <v/>
      </c>
      <c r="O186" s="269">
        <f>IF(N186="A",$E$3,$E$4)</f>
        <v/>
      </c>
      <c r="P186" s="270">
        <f>P185+O186</f>
        <v/>
      </c>
      <c r="Q186" s="270">
        <f>P186+(M186-1)*$B$8</f>
        <v/>
      </c>
      <c r="R186" s="249">
        <f>IF(AND(Q186&lt;=$B$9,N186="A"),1,0)</f>
        <v/>
      </c>
      <c r="S186" s="249">
        <f>IF(AND(Q186&lt;=$B$9,N186="B"),1,0)</f>
        <v/>
      </c>
      <c r="T186" s="249">
        <f>IF(Q186&lt;=$B$9,1,0)</f>
        <v/>
      </c>
    </row>
    <row r="187" ht="15" customHeight="1" s="129">
      <c r="M187" s="249" t="n">
        <v>186</v>
      </c>
      <c r="N187" s="249">
        <f>IF(MOD(M187-1,$B$4+$B$7)&lt;$B$4,"A","B")</f>
        <v/>
      </c>
      <c r="O187" s="269">
        <f>IF(N187="A",$E$3,$E$4)</f>
        <v/>
      </c>
      <c r="P187" s="270">
        <f>P186+O187</f>
        <v/>
      </c>
      <c r="Q187" s="270">
        <f>P187+(M187-1)*$B$8</f>
        <v/>
      </c>
      <c r="R187" s="249">
        <f>IF(AND(Q187&lt;=$B$9,N187="A"),1,0)</f>
        <v/>
      </c>
      <c r="S187" s="249">
        <f>IF(AND(Q187&lt;=$B$9,N187="B"),1,0)</f>
        <v/>
      </c>
      <c r="T187" s="249">
        <f>IF(Q187&lt;=$B$9,1,0)</f>
        <v/>
      </c>
    </row>
    <row r="188" ht="15" customHeight="1" s="129">
      <c r="M188" s="249" t="n">
        <v>187</v>
      </c>
      <c r="N188" s="249">
        <f>IF(MOD(M188-1,$B$4+$B$7)&lt;$B$4,"A","B")</f>
        <v/>
      </c>
      <c r="O188" s="269">
        <f>IF(N188="A",$E$3,$E$4)</f>
        <v/>
      </c>
      <c r="P188" s="270">
        <f>P187+O188</f>
        <v/>
      </c>
      <c r="Q188" s="270">
        <f>P188+(M188-1)*$B$8</f>
        <v/>
      </c>
      <c r="R188" s="249">
        <f>IF(AND(Q188&lt;=$B$9,N188="A"),1,0)</f>
        <v/>
      </c>
      <c r="S188" s="249">
        <f>IF(AND(Q188&lt;=$B$9,N188="B"),1,0)</f>
        <v/>
      </c>
      <c r="T188" s="249">
        <f>IF(Q188&lt;=$B$9,1,0)</f>
        <v/>
      </c>
    </row>
    <row r="189" ht="15" customHeight="1" s="129">
      <c r="M189" s="249" t="n">
        <v>188</v>
      </c>
      <c r="N189" s="249">
        <f>IF(MOD(M189-1,$B$4+$B$7)&lt;$B$4,"A","B")</f>
        <v/>
      </c>
      <c r="O189" s="269">
        <f>IF(N189="A",$E$3,$E$4)</f>
        <v/>
      </c>
      <c r="P189" s="270">
        <f>P188+O189</f>
        <v/>
      </c>
      <c r="Q189" s="270">
        <f>P189+(M189-1)*$B$8</f>
        <v/>
      </c>
      <c r="R189" s="249">
        <f>IF(AND(Q189&lt;=$B$9,N189="A"),1,0)</f>
        <v/>
      </c>
      <c r="S189" s="249">
        <f>IF(AND(Q189&lt;=$B$9,N189="B"),1,0)</f>
        <v/>
      </c>
      <c r="T189" s="249">
        <f>IF(Q189&lt;=$B$9,1,0)</f>
        <v/>
      </c>
    </row>
    <row r="190" ht="15" customHeight="1" s="129">
      <c r="M190" s="249" t="n">
        <v>189</v>
      </c>
      <c r="N190" s="249">
        <f>IF(MOD(M190-1,$B$4+$B$7)&lt;$B$4,"A","B")</f>
        <v/>
      </c>
      <c r="O190" s="269">
        <f>IF(N190="A",$E$3,$E$4)</f>
        <v/>
      </c>
      <c r="P190" s="270">
        <f>P189+O190</f>
        <v/>
      </c>
      <c r="Q190" s="270">
        <f>P190+(M190-1)*$B$8</f>
        <v/>
      </c>
      <c r="R190" s="249">
        <f>IF(AND(Q190&lt;=$B$9,N190="A"),1,0)</f>
        <v/>
      </c>
      <c r="S190" s="249">
        <f>IF(AND(Q190&lt;=$B$9,N190="B"),1,0)</f>
        <v/>
      </c>
      <c r="T190" s="249">
        <f>IF(Q190&lt;=$B$9,1,0)</f>
        <v/>
      </c>
    </row>
    <row r="191" ht="15" customHeight="1" s="129">
      <c r="M191" s="249" t="n">
        <v>190</v>
      </c>
      <c r="N191" s="249">
        <f>IF(MOD(M191-1,$B$4+$B$7)&lt;$B$4,"A","B")</f>
        <v/>
      </c>
      <c r="O191" s="269">
        <f>IF(N191="A",$E$3,$E$4)</f>
        <v/>
      </c>
      <c r="P191" s="270">
        <f>P190+O191</f>
        <v/>
      </c>
      <c r="Q191" s="270">
        <f>P191+(M191-1)*$B$8</f>
        <v/>
      </c>
      <c r="R191" s="249">
        <f>IF(AND(Q191&lt;=$B$9,N191="A"),1,0)</f>
        <v/>
      </c>
      <c r="S191" s="249">
        <f>IF(AND(Q191&lt;=$B$9,N191="B"),1,0)</f>
        <v/>
      </c>
      <c r="T191" s="249">
        <f>IF(Q191&lt;=$B$9,1,0)</f>
        <v/>
      </c>
    </row>
    <row r="192" ht="15" customHeight="1" s="129">
      <c r="M192" s="249" t="n">
        <v>191</v>
      </c>
      <c r="N192" s="249">
        <f>IF(MOD(M192-1,$B$4+$B$7)&lt;$B$4,"A","B")</f>
        <v/>
      </c>
      <c r="O192" s="269">
        <f>IF(N192="A",$E$3,$E$4)</f>
        <v/>
      </c>
      <c r="P192" s="270">
        <f>P191+O192</f>
        <v/>
      </c>
      <c r="Q192" s="270">
        <f>P192+(M192-1)*$B$8</f>
        <v/>
      </c>
      <c r="R192" s="249">
        <f>IF(AND(Q192&lt;=$B$9,N192="A"),1,0)</f>
        <v/>
      </c>
      <c r="S192" s="249">
        <f>IF(AND(Q192&lt;=$B$9,N192="B"),1,0)</f>
        <v/>
      </c>
      <c r="T192" s="249">
        <f>IF(Q192&lt;=$B$9,1,0)</f>
        <v/>
      </c>
    </row>
    <row r="193" ht="15" customHeight="1" s="129">
      <c r="M193" s="249" t="n">
        <v>192</v>
      </c>
      <c r="N193" s="249">
        <f>IF(MOD(M193-1,$B$4+$B$7)&lt;$B$4,"A","B")</f>
        <v/>
      </c>
      <c r="O193" s="269">
        <f>IF(N193="A",$E$3,$E$4)</f>
        <v/>
      </c>
      <c r="P193" s="270">
        <f>P192+O193</f>
        <v/>
      </c>
      <c r="Q193" s="270">
        <f>P193+(M193-1)*$B$8</f>
        <v/>
      </c>
      <c r="R193" s="249">
        <f>IF(AND(Q193&lt;=$B$9,N193="A"),1,0)</f>
        <v/>
      </c>
      <c r="S193" s="249">
        <f>IF(AND(Q193&lt;=$B$9,N193="B"),1,0)</f>
        <v/>
      </c>
      <c r="T193" s="249">
        <f>IF(Q193&lt;=$B$9,1,0)</f>
        <v/>
      </c>
    </row>
    <row r="194" ht="15" customHeight="1" s="129">
      <c r="M194" s="249" t="n">
        <v>193</v>
      </c>
      <c r="N194" s="249">
        <f>IF(MOD(M194-1,$B$4+$B$7)&lt;$B$4,"A","B")</f>
        <v/>
      </c>
      <c r="O194" s="269">
        <f>IF(N194="A",$E$3,$E$4)</f>
        <v/>
      </c>
      <c r="P194" s="270">
        <f>P193+O194</f>
        <v/>
      </c>
      <c r="Q194" s="270">
        <f>P194+(M194-1)*$B$8</f>
        <v/>
      </c>
      <c r="R194" s="249">
        <f>IF(AND(Q194&lt;=$B$9,N194="A"),1,0)</f>
        <v/>
      </c>
      <c r="S194" s="249">
        <f>IF(AND(Q194&lt;=$B$9,N194="B"),1,0)</f>
        <v/>
      </c>
      <c r="T194" s="249">
        <f>IF(Q194&lt;=$B$9,1,0)</f>
        <v/>
      </c>
    </row>
    <row r="195" ht="15" customHeight="1" s="129">
      <c r="M195" s="249" t="n">
        <v>194</v>
      </c>
      <c r="N195" s="249">
        <f>IF(MOD(M195-1,$B$4+$B$7)&lt;$B$4,"A","B")</f>
        <v/>
      </c>
      <c r="O195" s="269">
        <f>IF(N195="A",$E$3,$E$4)</f>
        <v/>
      </c>
      <c r="P195" s="270">
        <f>P194+O195</f>
        <v/>
      </c>
      <c r="Q195" s="270">
        <f>P195+(M195-1)*$B$8</f>
        <v/>
      </c>
      <c r="R195" s="249">
        <f>IF(AND(Q195&lt;=$B$9,N195="A"),1,0)</f>
        <v/>
      </c>
      <c r="S195" s="249">
        <f>IF(AND(Q195&lt;=$B$9,N195="B"),1,0)</f>
        <v/>
      </c>
      <c r="T195" s="249">
        <f>IF(Q195&lt;=$B$9,1,0)</f>
        <v/>
      </c>
    </row>
    <row r="196" ht="15" customHeight="1" s="129">
      <c r="M196" s="249" t="n">
        <v>195</v>
      </c>
      <c r="N196" s="249">
        <f>IF(MOD(M196-1,$B$4+$B$7)&lt;$B$4,"A","B")</f>
        <v/>
      </c>
      <c r="O196" s="269">
        <f>IF(N196="A",$E$3,$E$4)</f>
        <v/>
      </c>
      <c r="P196" s="270">
        <f>P195+O196</f>
        <v/>
      </c>
      <c r="Q196" s="270">
        <f>P196+(M196-1)*$B$8</f>
        <v/>
      </c>
      <c r="R196" s="249">
        <f>IF(AND(Q196&lt;=$B$9,N196="A"),1,0)</f>
        <v/>
      </c>
      <c r="S196" s="249">
        <f>IF(AND(Q196&lt;=$B$9,N196="B"),1,0)</f>
        <v/>
      </c>
      <c r="T196" s="249">
        <f>IF(Q196&lt;=$B$9,1,0)</f>
        <v/>
      </c>
    </row>
    <row r="197" ht="15" customHeight="1" s="129">
      <c r="M197" s="249" t="n">
        <v>196</v>
      </c>
      <c r="N197" s="249">
        <f>IF(MOD(M197-1,$B$4+$B$7)&lt;$B$4,"A","B")</f>
        <v/>
      </c>
      <c r="O197" s="269">
        <f>IF(N197="A",$E$3,$E$4)</f>
        <v/>
      </c>
      <c r="P197" s="270">
        <f>P196+O197</f>
        <v/>
      </c>
      <c r="Q197" s="270">
        <f>P197+(M197-1)*$B$8</f>
        <v/>
      </c>
      <c r="R197" s="249">
        <f>IF(AND(Q197&lt;=$B$9,N197="A"),1,0)</f>
        <v/>
      </c>
      <c r="S197" s="249">
        <f>IF(AND(Q197&lt;=$B$9,N197="B"),1,0)</f>
        <v/>
      </c>
      <c r="T197" s="249">
        <f>IF(Q197&lt;=$B$9,1,0)</f>
        <v/>
      </c>
    </row>
    <row r="198" ht="15" customHeight="1" s="129">
      <c r="M198" s="249" t="n">
        <v>197</v>
      </c>
      <c r="N198" s="249">
        <f>IF(MOD(M198-1,$B$4+$B$7)&lt;$B$4,"A","B")</f>
        <v/>
      </c>
      <c r="O198" s="269">
        <f>IF(N198="A",$E$3,$E$4)</f>
        <v/>
      </c>
      <c r="P198" s="270">
        <f>P197+O198</f>
        <v/>
      </c>
      <c r="Q198" s="270">
        <f>P198+(M198-1)*$B$8</f>
        <v/>
      </c>
      <c r="R198" s="249">
        <f>IF(AND(Q198&lt;=$B$9,N198="A"),1,0)</f>
        <v/>
      </c>
      <c r="S198" s="249">
        <f>IF(AND(Q198&lt;=$B$9,N198="B"),1,0)</f>
        <v/>
      </c>
      <c r="T198" s="249">
        <f>IF(Q198&lt;=$B$9,1,0)</f>
        <v/>
      </c>
    </row>
    <row r="199" ht="15" customHeight="1" s="129">
      <c r="M199" s="249" t="n">
        <v>198</v>
      </c>
      <c r="N199" s="249">
        <f>IF(MOD(M199-1,$B$4+$B$7)&lt;$B$4,"A","B")</f>
        <v/>
      </c>
      <c r="O199" s="269">
        <f>IF(N199="A",$E$3,$E$4)</f>
        <v/>
      </c>
      <c r="P199" s="270">
        <f>P198+O199</f>
        <v/>
      </c>
      <c r="Q199" s="270">
        <f>P199+(M199-1)*$B$8</f>
        <v/>
      </c>
      <c r="R199" s="249">
        <f>IF(AND(Q199&lt;=$B$9,N199="A"),1,0)</f>
        <v/>
      </c>
      <c r="S199" s="249">
        <f>IF(AND(Q199&lt;=$B$9,N199="B"),1,0)</f>
        <v/>
      </c>
      <c r="T199" s="249">
        <f>IF(Q199&lt;=$B$9,1,0)</f>
        <v/>
      </c>
    </row>
    <row r="200" ht="15" customHeight="1" s="129">
      <c r="M200" s="249" t="n">
        <v>199</v>
      </c>
      <c r="N200" s="249">
        <f>IF(MOD(M200-1,$B$4+$B$7)&lt;$B$4,"A","B")</f>
        <v/>
      </c>
      <c r="O200" s="269">
        <f>IF(N200="A",$E$3,$E$4)</f>
        <v/>
      </c>
      <c r="P200" s="270">
        <f>P199+O200</f>
        <v/>
      </c>
      <c r="Q200" s="270">
        <f>P200+(M200-1)*$B$8</f>
        <v/>
      </c>
      <c r="R200" s="249">
        <f>IF(AND(Q200&lt;=$B$9,N200="A"),1,0)</f>
        <v/>
      </c>
      <c r="S200" s="249">
        <f>IF(AND(Q200&lt;=$B$9,N200="B"),1,0)</f>
        <v/>
      </c>
      <c r="T200" s="249">
        <f>IF(Q200&lt;=$B$9,1,0)</f>
        <v/>
      </c>
    </row>
    <row r="201" ht="15" customHeight="1" s="129">
      <c r="M201" s="249" t="n">
        <v>200</v>
      </c>
      <c r="N201" s="249">
        <f>IF(MOD(M201-1,$B$4+$B$7)&lt;$B$4,"A","B")</f>
        <v/>
      </c>
      <c r="O201" s="269">
        <f>IF(N201="A",$E$3,$E$4)</f>
        <v/>
      </c>
      <c r="P201" s="270">
        <f>P200+O201</f>
        <v/>
      </c>
      <c r="Q201" s="270">
        <f>P201+(M201-1)*$B$8</f>
        <v/>
      </c>
      <c r="R201" s="249">
        <f>IF(AND(Q201&lt;=$B$9,N201="A"),1,0)</f>
        <v/>
      </c>
      <c r="S201" s="249">
        <f>IF(AND(Q201&lt;=$B$9,N201="B"),1,0)</f>
        <v/>
      </c>
      <c r="T201" s="249">
        <f>IF(Q201&lt;=$B$9,1,0)</f>
        <v/>
      </c>
    </row>
  </sheetData>
  <mergeCells count="1">
    <mergeCell ref="A1:F1"/>
  </mergeCells>
  <hyperlinks>
    <hyperlink ref="G1" location="'สารบัญ'!A1" display="🏠 สารบัญ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4.xml><?xml version="1.0" encoding="utf-8"?>
<worksheet xmlns="http://schemas.openxmlformats.org/spreadsheetml/2006/main">
  <sheetPr>
    <tabColor rgb="002E75B6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6" customWidth="1" style="129" min="1" max="1"/>
    <col width="12" customWidth="1" style="129" min="2" max="2"/>
    <col width="9" customWidth="1" style="129" min="3" max="3"/>
    <col width="12" customWidth="1" style="129" min="4" max="4"/>
    <col width="11" customWidth="1" style="129" min="5" max="5"/>
    <col width="40" customWidth="1" style="129" min="6" max="6"/>
  </cols>
  <sheetData>
    <row r="1">
      <c r="A1" s="783" t="inlineStr">
        <is>
          <t>📐 คิดทุน พื้นสมาร์ทบอร์ด 20มม. (โครงเหล็กกล่อง 2×4 · พื้นเบา 1 ชั้น)</t>
        </is>
      </c>
      <c r="B1" s="517" t="n"/>
      <c r="C1" s="517" t="n"/>
      <c r="D1" s="517" t="n"/>
      <c r="E1" s="517" t="n"/>
      <c r="F1" s="518" t="n"/>
      <c r="G1" s="873" t="inlineStr">
        <is>
          <t>🏠 สารบัญ</t>
        </is>
      </c>
    </row>
    <row r="3">
      <c r="A3" s="784" t="inlineStr">
        <is>
          <t>① กรอกขนาดพื้น</t>
        </is>
      </c>
    </row>
    <row r="4">
      <c r="A4" s="785" t="inlineStr">
        <is>
          <t>กว้างพื้น (ม.)</t>
        </is>
      </c>
      <c r="B4" s="786" t="n">
        <v>3</v>
      </c>
      <c r="C4" s="787" t="inlineStr">
        <is>
          <t>← กรอก</t>
        </is>
      </c>
    </row>
    <row r="5">
      <c r="A5" s="785" t="inlineStr">
        <is>
          <t>ยาวพื้น (ม.)</t>
        </is>
      </c>
      <c r="B5" s="786" t="n">
        <v>4</v>
      </c>
      <c r="C5" s="787" t="inlineStr">
        <is>
          <t>← กรอก</t>
        </is>
      </c>
    </row>
    <row r="6">
      <c r="A6" s="785" t="inlineStr">
        <is>
          <t>พื้นที่ (ตร.ม.)</t>
        </is>
      </c>
      <c r="B6" s="788">
        <f>ROUND(B4*B5,2)</f>
        <v/>
      </c>
      <c r="C6" s="787" t="inlineStr">
        <is>
          <t>กว้าง×ยาว</t>
        </is>
      </c>
    </row>
    <row r="7">
      <c r="A7" s="785" t="inlineStr">
        <is>
          <t>ระยะตง (ซม.)</t>
        </is>
      </c>
      <c r="B7" s="786" t="n">
        <v>30</v>
      </c>
      <c r="C7" s="787" t="inlineStr">
        <is>
          <t>มาตรฐาน SCG ≤30 (พื้น20มม.) ปรับได้</t>
        </is>
      </c>
    </row>
    <row r="9">
      <c r="A9" s="784" t="inlineStr">
        <is>
          <t>② BOM + ทุน</t>
        </is>
      </c>
    </row>
    <row r="10">
      <c r="A10" s="789" t="inlineStr">
        <is>
          <t>รายการ</t>
        </is>
      </c>
      <c r="B10" s="789" t="inlineStr">
        <is>
          <t>จำนวน</t>
        </is>
      </c>
      <c r="C10" s="789" t="inlineStr">
        <is>
          <t>หน่วย</t>
        </is>
      </c>
      <c r="D10" s="789" t="inlineStr">
        <is>
          <t>ราคา/หน่วย</t>
        </is>
      </c>
      <c r="E10" s="789" t="inlineStr">
        <is>
          <t>ทุน</t>
        </is>
      </c>
      <c r="F10" s="789" t="inlineStr">
        <is>
          <t>หมายเหตุ</t>
        </is>
      </c>
    </row>
    <row r="11">
      <c r="A11" s="790" t="inlineStr">
        <is>
          <t>แผ่นสมาร์ทบอร์ด 20มม.</t>
        </is>
      </c>
      <c r="B11" s="791">
        <f>CEILING($B$6*1.1/2.88,1)</f>
        <v/>
      </c>
      <c r="C11" s="791" t="inlineStr">
        <is>
          <t>แผ่น</t>
        </is>
      </c>
      <c r="D11" s="134" t="n">
        <v>750</v>
      </c>
      <c r="E11" s="788">
        <f>ROUND(B11*D11,0)</f>
        <v/>
      </c>
      <c r="F11" s="792" t="inlineStr">
        <is>
          <t>1 ชั้น · เผื่อเศษ10% · 2.88 ตร.ม./แผ่น (120×240) · ราคาตลาด JR ปรับ</t>
        </is>
      </c>
    </row>
    <row r="12">
      <c r="A12" s="790" t="inlineStr">
        <is>
          <t>ตง เหล็กกล่อง 2×4</t>
        </is>
      </c>
      <c r="B12" s="791">
        <f>CEILING($B$6*100/($B$7*6),1)</f>
        <v/>
      </c>
      <c r="C12" s="791" t="inlineStr">
        <is>
          <t>เส้น</t>
        </is>
      </c>
      <c r="D12" s="134">
        <f>'ราคาเหล็ก'!$D$6</f>
        <v/>
      </c>
      <c r="E12" s="788">
        <f>ROUND(B12*D12,0)</f>
        <v/>
      </c>
      <c r="F12" s="792" t="inlineStr">
        <is>
          <t>ตงซอย@ระยะตง · รวมยาว÷6ม. · ลิงก์ราคาเหล็ก</t>
        </is>
      </c>
    </row>
    <row r="13">
      <c r="A13" s="790" t="inlineStr">
        <is>
          <t>คานรอบ เหล็กกล่อง 2×4</t>
        </is>
      </c>
      <c r="B13" s="791">
        <f>CEILING(2*($B$4+$B$5)/6,1)</f>
        <v/>
      </c>
      <c r="C13" s="791" t="inlineStr">
        <is>
          <t>เส้น</t>
        </is>
      </c>
      <c r="D13" s="134">
        <f>'ราคาเหล็ก'!$D$6</f>
        <v/>
      </c>
      <c r="E13" s="788">
        <f>ROUND(B13*D13,0)</f>
        <v/>
      </c>
      <c r="F13" s="792" t="inlineStr">
        <is>
          <t>รอบพื้น 2×(ก+ย)÷6</t>
        </is>
      </c>
    </row>
    <row r="14">
      <c r="A14" s="790" t="inlineStr">
        <is>
          <t>สกรูยึดแผ่น</t>
        </is>
      </c>
      <c r="B14" s="791">
        <f>CEILING($B$6*15,1)</f>
        <v/>
      </c>
      <c r="C14" s="791" t="inlineStr">
        <is>
          <t>ตัว</t>
        </is>
      </c>
      <c r="D14" s="134" t="n">
        <v>0.5</v>
      </c>
      <c r="E14" s="788">
        <f>ROUND(B14*D14,0)</f>
        <v/>
      </c>
      <c r="F14" s="792" t="inlineStr">
        <is>
          <t>15 ตัว/ตร.ม. (1 หน้า)</t>
        </is>
      </c>
    </row>
    <row r="15">
      <c r="A15" s="790" t="inlineStr">
        <is>
          <t>ค่าแรงผลิต</t>
        </is>
      </c>
      <c r="B15" s="791">
        <f>$B$6</f>
        <v/>
      </c>
      <c r="C15" s="791" t="inlineStr">
        <is>
          <t>ตร.ม.</t>
        </is>
      </c>
      <c r="D15" s="134">
        <f>'ค่าแรง'!$B$38</f>
        <v/>
      </c>
      <c r="E15" s="788">
        <f>ROUND(B15*D15,0)</f>
        <v/>
      </c>
      <c r="F15" s="792" t="inlineStr">
        <is>
          <t>ผลิตเท่าผนัง 700/ตร.ม.</t>
        </is>
      </c>
    </row>
    <row r="16">
      <c r="A16" s="790" t="inlineStr">
        <is>
          <t>ค่าแรงติดตั้ง</t>
        </is>
      </c>
      <c r="B16" s="791">
        <f>$B$6</f>
        <v/>
      </c>
      <c r="C16" s="791" t="inlineStr">
        <is>
          <t>ตร.ม.</t>
        </is>
      </c>
      <c r="D16" s="134">
        <f>'ค่าแรง'!$C$38</f>
        <v/>
      </c>
      <c r="E16" s="788">
        <f>ROUND(B16*D16,0)</f>
        <v/>
      </c>
      <c r="F16" s="792" t="inlineStr">
        <is>
          <t>ติดตั้ง 450/ตร.ม. (JR เคาะ)</t>
        </is>
      </c>
    </row>
    <row r="17">
      <c r="A17" s="793" t="inlineStr">
        <is>
          <t>ทุนวัสดุ+ค่าแรงรวม</t>
        </is>
      </c>
      <c r="E17" s="794">
        <f>SUM(E11:E16)</f>
        <v/>
      </c>
    </row>
    <row r="19">
      <c r="A19" s="784" t="inlineStr">
        <is>
          <t>③ ราคาขาย (ทุน×2)</t>
        </is>
      </c>
    </row>
    <row r="20">
      <c r="A20" s="785" t="inlineStr">
        <is>
          <t>ทุนเฉลี่ย/ตร.ม.</t>
        </is>
      </c>
      <c r="B20" s="788">
        <f>IF($B$6=0,0,ROUND(E17/$B$6,0))</f>
        <v/>
      </c>
    </row>
    <row r="21">
      <c r="A21" s="785" t="inlineStr">
        <is>
          <t>ราคาขาย (ทุน×2)</t>
        </is>
      </c>
      <c r="B21" s="794">
        <f>E17*2</f>
        <v/>
      </c>
    </row>
    <row r="22">
      <c r="A22" s="785" t="inlineStr">
        <is>
          <t>ราคาขาย/ตร.ม.</t>
        </is>
      </c>
      <c r="B22" s="794">
        <f>IF($B$6=0,0,ROUND(E17*2/$B$6,0))</f>
        <v/>
      </c>
    </row>
    <row r="23">
      <c r="A23" s="795" t="inlineStr">
        <is>
          <t>หมายเหตุ: R3.9 ไม่มีสเปคพื้น · ราคาขาย=ทุน×2 ตามนโยบาย</t>
        </is>
      </c>
    </row>
  </sheetData>
  <mergeCells count="1">
    <mergeCell ref="A1:F1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tabColor rgb="00FFC000"/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29" min="1" max="1"/>
    <col width="16" customWidth="1" style="129" min="2" max="2"/>
    <col width="18" customWidth="1" style="129" min="3" max="3"/>
    <col width="13" customWidth="1" style="129" min="4" max="4"/>
    <col width="18" customWidth="1" style="129" min="5" max="5"/>
  </cols>
  <sheetData>
    <row r="1">
      <c r="A1" s="798" t="inlineStr">
        <is>
          <t>⚠️ ราคาอุปกรณ์ (ทุน บาท/ชิ้น) — ดึงจาก Stock.xlsx + มือจับ Cmech · แก้ที่นี่ที่เดียว</t>
        </is>
      </c>
    </row>
    <row r="2">
      <c r="A2" s="789" t="n"/>
      <c r="B2" s="789" t="n"/>
      <c r="C2" s="789" t="n"/>
      <c r="D2" s="789" t="n"/>
    </row>
    <row r="3">
      <c r="A3" s="799" t="inlineStr">
        <is>
          <t>① อุปกรณ์ทั่วไป / สแตนเลส (Stock)</t>
        </is>
      </c>
      <c r="B3" s="517" t="n"/>
      <c r="C3" s="517" t="n"/>
      <c r="D3" s="517" t="n"/>
      <c r="E3" s="518" t="n"/>
    </row>
    <row r="4">
      <c r="A4" s="800" t="inlineStr">
        <is>
          <t>รายการ</t>
        </is>
      </c>
      <c r="B4" s="800" t="inlineStr">
        <is>
          <t>สี/รูปแบบ</t>
        </is>
      </c>
      <c r="C4" s="800" t="inlineStr">
        <is>
          <t>ขนาด</t>
        </is>
      </c>
      <c r="D4" s="800" t="inlineStr">
        <is>
          <t>ราคา/ทุน (บาท)</t>
        </is>
      </c>
      <c r="E4" s="800" t="inlineStr">
        <is>
          <t>หมายเหตุ</t>
        </is>
      </c>
    </row>
    <row r="5">
      <c r="A5" s="801" t="inlineStr">
        <is>
          <t>บานพับ Shower VVP_SW303</t>
        </is>
      </c>
      <c r="B5" s="801" t="inlineStr">
        <is>
          <t>สแตนเลส</t>
        </is>
      </c>
      <c r="C5" s="801" t="n"/>
      <c r="D5" s="802" t="n">
        <v>750</v>
      </c>
      <c r="E5" s="803" t="n"/>
    </row>
    <row r="6">
      <c r="A6" s="801" t="inlineStr">
        <is>
          <t>บานพับ Shower VVP_SW3049 (90 ํ)</t>
        </is>
      </c>
      <c r="B6" s="801" t="inlineStr">
        <is>
          <t>สแตนเลส</t>
        </is>
      </c>
      <c r="C6" s="801" t="n"/>
      <c r="D6" s="802" t="n">
        <v>1450</v>
      </c>
      <c r="E6" s="803" t="n"/>
    </row>
    <row r="7">
      <c r="A7" s="801" t="inlineStr">
        <is>
          <t>บานพับ Shower VVP_SW3041 (135 ํ)</t>
        </is>
      </c>
      <c r="B7" s="801" t="inlineStr">
        <is>
          <t>สแตนเลส</t>
        </is>
      </c>
      <c r="C7" s="801" t="n"/>
      <c r="D7" s="802" t="n">
        <v>1450</v>
      </c>
      <c r="E7" s="803" t="n"/>
    </row>
    <row r="8">
      <c r="A8" s="801" t="inlineStr">
        <is>
          <t>บานพับ Shower VVP_SW304 (180 ํ)</t>
        </is>
      </c>
      <c r="B8" s="801" t="inlineStr">
        <is>
          <t>สแตนเลส</t>
        </is>
      </c>
      <c r="C8" s="801" t="n"/>
      <c r="D8" s="802" t="n">
        <v>1450</v>
      </c>
      <c r="E8" s="803" t="n"/>
    </row>
    <row r="9">
      <c r="A9" s="801" t="inlineStr">
        <is>
          <t>ตัวหนีบกระจก shower VVP_GC506</t>
        </is>
      </c>
      <c r="B9" s="801" t="inlineStr">
        <is>
          <t>สแตนเลส</t>
        </is>
      </c>
      <c r="C9" s="801" t="n"/>
      <c r="D9" s="802" t="n">
        <v>200</v>
      </c>
      <c r="E9" s="803" t="n"/>
    </row>
    <row r="10">
      <c r="A10" s="801" t="inlineStr">
        <is>
          <t>ตัวยึดร้อยผ่านแป๊ปสแตนเลสกลม VVP_SB900</t>
        </is>
      </c>
      <c r="B10" s="801" t="inlineStr">
        <is>
          <t>สแตนเลส</t>
        </is>
      </c>
      <c r="C10" s="801" t="n"/>
      <c r="D10" s="802" t="n">
        <v>288</v>
      </c>
      <c r="E10" s="803" t="n"/>
    </row>
    <row r="11">
      <c r="A11" s="801" t="inlineStr">
        <is>
          <t>ตัวยึดกระจกห้องน้ำกันแกว่งกลม VVP_SB902</t>
        </is>
      </c>
      <c r="B11" s="801" t="inlineStr">
        <is>
          <t>สแตนเลส</t>
        </is>
      </c>
      <c r="C11" s="801" t="n"/>
      <c r="D11" s="802" t="n">
        <v>288</v>
      </c>
      <c r="E11" s="803" t="n"/>
    </row>
    <row r="12">
      <c r="A12" s="801" t="inlineStr">
        <is>
          <t>ตัวยึดร้อยผ่านแป๊ปสแตนเลสกลม VVP_SBF906</t>
        </is>
      </c>
      <c r="B12" s="801" t="inlineStr">
        <is>
          <t>สแตนเลส</t>
        </is>
      </c>
      <c r="C12" s="801" t="inlineStr">
        <is>
          <t>ข้องอปรับได้</t>
        </is>
      </c>
      <c r="D12" s="802" t="n">
        <v>378</v>
      </c>
      <c r="E12" s="803" t="n"/>
    </row>
    <row r="13">
      <c r="A13" s="801" t="inlineStr">
        <is>
          <t>ตัวยึดร้อยผ่านแป๊ปสแตนเลสเหลี่ยม VVP_SBQ800</t>
        </is>
      </c>
      <c r="B13" s="801" t="inlineStr">
        <is>
          <t>สแตนเลส</t>
        </is>
      </c>
      <c r="C13" s="801" t="n"/>
      <c r="D13" s="802" t="n">
        <v>450</v>
      </c>
      <c r="E13" s="803" t="n"/>
    </row>
    <row r="14">
      <c r="A14" s="801" t="inlineStr">
        <is>
          <t>ตัวยึดกระจกห้องน้ำกันแกว่งเหลี่ยม VVP_SBQ802</t>
        </is>
      </c>
      <c r="B14" s="801" t="inlineStr">
        <is>
          <t>สแตนเลส</t>
        </is>
      </c>
      <c r="C14" s="801" t="n"/>
      <c r="D14" s="802" t="n">
        <v>468</v>
      </c>
      <c r="E14" s="803" t="n"/>
    </row>
    <row r="15">
      <c r="A15" s="801" t="inlineStr">
        <is>
          <t>ตัวยึดร้อยผ่านแป๊ปสแตนเลสเหลี่ยม VVP_SBQ806</t>
        </is>
      </c>
      <c r="B15" s="801" t="inlineStr">
        <is>
          <t>สแตนเลส</t>
        </is>
      </c>
      <c r="C15" s="801" t="inlineStr">
        <is>
          <t>ข้องอปรับได้</t>
        </is>
      </c>
      <c r="D15" s="802" t="n">
        <v>585</v>
      </c>
      <c r="E15" s="803" t="n"/>
    </row>
    <row r="16">
      <c r="A16" s="801" t="inlineStr">
        <is>
          <t>ตัวหนีบกระจกล่าง VVP_ FT10</t>
        </is>
      </c>
      <c r="B16" s="801" t="inlineStr">
        <is>
          <t>สแตนเลส</t>
        </is>
      </c>
      <c r="C16" s="801" t="inlineStr">
        <is>
          <t>5.5X17X3.5 cm.</t>
        </is>
      </c>
      <c r="D16" s="802" t="n">
        <v>505</v>
      </c>
      <c r="E16" s="803" t="n"/>
    </row>
    <row r="17">
      <c r="A17" s="801" t="inlineStr">
        <is>
          <t>ตัวหนีบกระจกบน VVP_ FT20</t>
        </is>
      </c>
      <c r="B17" s="801" t="inlineStr">
        <is>
          <t>สแตนเลส</t>
        </is>
      </c>
      <c r="C17" s="801" t="inlineStr">
        <is>
          <t>5.5X17X3.5 cm.</t>
        </is>
      </c>
      <c r="D17" s="802" t="n">
        <v>505</v>
      </c>
      <c r="E17" s="803" t="n"/>
    </row>
    <row r="18">
      <c r="A18" s="801" t="inlineStr">
        <is>
          <t>ตัวหนีบกระจกบน VVP_ FT30</t>
        </is>
      </c>
      <c r="B18" s="801" t="inlineStr">
        <is>
          <t>สแตนเลส</t>
        </is>
      </c>
      <c r="C18" s="801" t="inlineStr">
        <is>
          <t>5.5X17X3.5 cm.</t>
        </is>
      </c>
      <c r="D18" s="802" t="n">
        <v>550</v>
      </c>
      <c r="E18" s="803" t="n"/>
    </row>
    <row r="19">
      <c r="A19" s="801" t="inlineStr">
        <is>
          <t>กุญแจล็อคประตูกับพื้น VVP_ FT50</t>
        </is>
      </c>
      <c r="B19" s="801" t="inlineStr">
        <is>
          <t>สแตนเลส</t>
        </is>
      </c>
      <c r="C19" s="801" t="inlineStr">
        <is>
          <t>7.2X17.3X8.2 cm.</t>
        </is>
      </c>
      <c r="D19" s="802" t="n">
        <v>1255</v>
      </c>
      <c r="E19" s="803" t="n"/>
    </row>
    <row r="20">
      <c r="A20" s="801" t="inlineStr">
        <is>
          <t>กุญแจล็อคประตูกับพื้น VVP_ FL50</t>
        </is>
      </c>
      <c r="B20" s="801" t="inlineStr">
        <is>
          <t>สแตนเลส</t>
        </is>
      </c>
      <c r="C20" s="801" t="inlineStr">
        <is>
          <t>7.2X17.3X8.2 cm.</t>
        </is>
      </c>
      <c r="D20" s="802" t="n">
        <v>1255</v>
      </c>
      <c r="E20" s="803" t="n"/>
    </row>
    <row r="21">
      <c r="A21" s="801" t="inlineStr">
        <is>
          <t>กุญแจล็อคล็อคกลางบาน VVP_ FL52</t>
        </is>
      </c>
      <c r="B21" s="801" t="inlineStr">
        <is>
          <t>สแตนเลส</t>
        </is>
      </c>
      <c r="C21" s="801" t="inlineStr">
        <is>
          <t>7.5X17X6 cm.</t>
        </is>
      </c>
      <c r="D21" s="802" t="n">
        <v>1255</v>
      </c>
      <c r="E21" s="803" t="n"/>
    </row>
    <row r="22">
      <c r="A22" s="801" t="inlineStr">
        <is>
          <t>โช้คประตูบานสวิง Diamond</t>
        </is>
      </c>
      <c r="B22" s="801" t="n"/>
      <c r="C22" s="801" t="inlineStr">
        <is>
          <t>800mm</t>
        </is>
      </c>
      <c r="D22" s="802" t="n">
        <v>1120</v>
      </c>
      <c r="E22" s="803" t="n"/>
    </row>
    <row r="23">
      <c r="A23" s="801" t="inlineStr">
        <is>
          <t>โช้คประตูบานสวิง Diamond</t>
        </is>
      </c>
      <c r="B23" s="801" t="n"/>
      <c r="C23" s="801" t="inlineStr">
        <is>
          <t>1000mm</t>
        </is>
      </c>
      <c r="D23" s="802" t="n">
        <v>1120</v>
      </c>
      <c r="E23" s="803" t="n"/>
    </row>
    <row r="24">
      <c r="A24" s="801" t="inlineStr">
        <is>
          <t>โช้คประตูบานสวิง Diamond</t>
        </is>
      </c>
      <c r="B24" s="801" t="n"/>
      <c r="C24" s="801" t="inlineStr">
        <is>
          <t>1200mm</t>
        </is>
      </c>
      <c r="D24" s="802" t="n">
        <v>1120</v>
      </c>
      <c r="E24" s="803" t="n"/>
    </row>
    <row r="25">
      <c r="A25" s="801" t="inlineStr">
        <is>
          <t>โช้คประตูตั้งค้าง VVP_DC98</t>
        </is>
      </c>
      <c r="B25" s="801" t="inlineStr">
        <is>
          <t>สแตนเลส</t>
        </is>
      </c>
      <c r="C25" s="801" t="inlineStr">
        <is>
          <t>27X8.5X8.5 cm.</t>
        </is>
      </c>
      <c r="D25" s="802" t="n">
        <v>775</v>
      </c>
      <c r="E25" s="803" t="n"/>
    </row>
    <row r="26">
      <c r="A26" s="801" t="inlineStr">
        <is>
          <t>โช้คประตูไม่ตั้งค้าง VVP_DC98</t>
        </is>
      </c>
      <c r="B26" s="801" t="inlineStr">
        <is>
          <t>สแตนเลส</t>
        </is>
      </c>
      <c r="C26" s="801" t="inlineStr">
        <is>
          <t>27X8.5X8.5 cm.</t>
        </is>
      </c>
      <c r="D26" s="802" t="n">
        <v>645</v>
      </c>
      <c r="E26" s="803" t="n"/>
    </row>
    <row r="27">
      <c r="A27" s="801" t="inlineStr">
        <is>
          <t>โช้คประตูตั้งค้าง VVP_DC98</t>
        </is>
      </c>
      <c r="B27" s="801" t="inlineStr">
        <is>
          <t>ดำ</t>
        </is>
      </c>
      <c r="C27" s="801" t="inlineStr">
        <is>
          <t>27X8.5X8.5 cm.</t>
        </is>
      </c>
      <c r="D27" s="802" t="n">
        <v>775</v>
      </c>
      <c r="E27" s="803" t="n"/>
    </row>
    <row r="28">
      <c r="A28" s="801" t="inlineStr">
        <is>
          <t>โช้คประตูไม่ตั้งค้าง VVP_DC98</t>
        </is>
      </c>
      <c r="B28" s="801" t="inlineStr">
        <is>
          <t>ดำ</t>
        </is>
      </c>
      <c r="C28" s="801" t="inlineStr">
        <is>
          <t>27X8.5X8.5 cm.</t>
        </is>
      </c>
      <c r="D28" s="802" t="n">
        <v>645</v>
      </c>
      <c r="E28" s="803" t="n"/>
    </row>
    <row r="29">
      <c r="A29" s="801" t="inlineStr">
        <is>
          <t>โช้คประตูตั้งค้าง VVP_DC100</t>
        </is>
      </c>
      <c r="B29" s="801" t="inlineStr">
        <is>
          <t>สแตนเลส</t>
        </is>
      </c>
      <c r="C29" s="801" t="inlineStr">
        <is>
          <t>31X10X9.5 cm.</t>
        </is>
      </c>
      <c r="D29" s="802" t="n">
        <v>1115</v>
      </c>
      <c r="E29" s="803" t="n"/>
    </row>
    <row r="30">
      <c r="A30" s="801" t="inlineStr">
        <is>
          <t>โช้คประตูไม่ตั้งค้าง VVP_DC100</t>
        </is>
      </c>
      <c r="B30" s="801" t="inlineStr">
        <is>
          <t>สแตนเลส</t>
        </is>
      </c>
      <c r="C30" s="801" t="inlineStr">
        <is>
          <t>31X10X9.5 cm.</t>
        </is>
      </c>
      <c r="D30" s="802" t="n">
        <v>1030</v>
      </c>
      <c r="E30" s="803" t="n"/>
    </row>
    <row r="31">
      <c r="A31" s="801" t="inlineStr">
        <is>
          <t>โช้คประตูตั้งค้าง VVP_DC100</t>
        </is>
      </c>
      <c r="B31" s="801" t="inlineStr">
        <is>
          <t>ดำ</t>
        </is>
      </c>
      <c r="C31" s="801" t="inlineStr">
        <is>
          <t>31X10X9.5 cm.</t>
        </is>
      </c>
      <c r="D31" s="802" t="n">
        <v>1115</v>
      </c>
      <c r="E31" s="803" t="n"/>
    </row>
    <row r="32">
      <c r="A32" s="801" t="inlineStr">
        <is>
          <t>โช้คประตูไม่ตั้งค้าง VVP_DC100</t>
        </is>
      </c>
      <c r="B32" s="801" t="inlineStr">
        <is>
          <t>ดำ</t>
        </is>
      </c>
      <c r="C32" s="801" t="inlineStr">
        <is>
          <t>31X10X9.5 cm.</t>
        </is>
      </c>
      <c r="D32" s="802" t="n">
        <v>1030</v>
      </c>
      <c r="E32" s="803" t="n"/>
    </row>
    <row r="33">
      <c r="A33" s="801" t="inlineStr">
        <is>
          <t>กันชนประตูแม่เหล็กแท่ง SOLO</t>
        </is>
      </c>
      <c r="B33" s="801" t="inlineStr">
        <is>
          <t>สแตนเลส</t>
        </is>
      </c>
      <c r="C33" s="801" t="n"/>
      <c r="D33" s="802" t="n">
        <v>169</v>
      </c>
      <c r="E33" s="803" t="n"/>
    </row>
    <row r="34">
      <c r="A34" s="801" t="inlineStr">
        <is>
          <t>กันชนประตูโดมติดพื้น solex</t>
        </is>
      </c>
      <c r="B34" s="801" t="inlineStr">
        <is>
          <t>สแตนเลส</t>
        </is>
      </c>
      <c r="C34" s="801" t="n"/>
      <c r="D34" s="802" t="n">
        <v>115</v>
      </c>
      <c r="E34" s="803" t="n"/>
    </row>
    <row r="35">
      <c r="A35" s="801" t="inlineStr">
        <is>
          <t>กันชนประตูแม่เหล็กติดพื้น</t>
        </is>
      </c>
      <c r="B35" s="801" t="inlineStr">
        <is>
          <t>สแตนเลส</t>
        </is>
      </c>
      <c r="C35" s="801" t="n"/>
      <c r="D35" s="802" t="n">
        <v>90</v>
      </c>
      <c r="E35" s="803" t="n"/>
    </row>
    <row r="36">
      <c r="A36" s="801" t="inlineStr">
        <is>
          <t>กันชนประตูแม่เหล็กติดพื้น</t>
        </is>
      </c>
      <c r="B36" s="801" t="inlineStr">
        <is>
          <t>ดำ</t>
        </is>
      </c>
      <c r="C36" s="801" t="n"/>
      <c r="D36" s="802" t="n">
        <v>90</v>
      </c>
      <c r="E36" s="803" t="n"/>
    </row>
    <row r="37">
      <c r="A37" s="801" t="inlineStr">
        <is>
          <t>ยางกันชนเหลี่ยม</t>
        </is>
      </c>
      <c r="B37" s="801" t="inlineStr">
        <is>
          <t>อบขาว</t>
        </is>
      </c>
      <c r="C37" s="801" t="n"/>
      <c r="D37" s="802" t="n">
        <v>3</v>
      </c>
      <c r="E37" s="803" t="n"/>
    </row>
    <row r="38">
      <c r="A38" s="801" t="inlineStr">
        <is>
          <t>ยางกันชนเหลี่ยม</t>
        </is>
      </c>
      <c r="B38" s="801" t="inlineStr">
        <is>
          <t>ดำ</t>
        </is>
      </c>
      <c r="C38" s="801" t="n"/>
      <c r="D38" s="802" t="n">
        <v>3</v>
      </c>
      <c r="E38" s="803" t="n"/>
    </row>
    <row r="39">
      <c r="A39" s="801" t="inlineStr">
        <is>
          <t>ยางกันชนกลมเล็ก</t>
        </is>
      </c>
      <c r="B39" s="801" t="inlineStr">
        <is>
          <t>ดำ</t>
        </is>
      </c>
      <c r="C39" s="801" t="n"/>
      <c r="D39" s="802" t="n">
        <v>2</v>
      </c>
      <c r="E39" s="803" t="n"/>
    </row>
    <row r="40">
      <c r="A40" s="803" t="inlineStr">
        <is>
          <t>ล็อคกลางบานเลื่อน ( ล็อคก้นหอย )_ L</t>
        </is>
      </c>
      <c r="B40" s="803" t="inlineStr">
        <is>
          <t>อบขาว</t>
        </is>
      </c>
      <c r="C40" s="803" t="n"/>
      <c r="D40" s="802" t="n">
        <v>140</v>
      </c>
      <c r="E40" s="803" t="n"/>
    </row>
    <row r="41">
      <c r="A41" s="803" t="inlineStr">
        <is>
          <t>ล็อคกลางบานเลื่อน ( ล็อคก้นหอย )_ R</t>
        </is>
      </c>
      <c r="B41" s="803" t="inlineStr">
        <is>
          <t>อบขาว</t>
        </is>
      </c>
      <c r="C41" s="803" t="n"/>
      <c r="D41" s="802" t="n">
        <v>140</v>
      </c>
      <c r="E41" s="803" t="n"/>
    </row>
    <row r="42">
      <c r="A42" s="803" t="inlineStr">
        <is>
          <t>ล็อคกลางบานเลื่อน ( ล็อคก้นหอย )_ L</t>
        </is>
      </c>
      <c r="B42" s="803" t="inlineStr">
        <is>
          <t>ดำ</t>
        </is>
      </c>
      <c r="C42" s="803" t="n"/>
      <c r="D42" s="802" t="n">
        <v>140</v>
      </c>
      <c r="E42" s="803" t="n"/>
    </row>
    <row r="43">
      <c r="A43" s="803" t="inlineStr">
        <is>
          <t>ล็อคกลางบานเลื่อน ( ล็อคก้นหอย )_ R</t>
        </is>
      </c>
      <c r="B43" s="803" t="inlineStr">
        <is>
          <t>ดำ</t>
        </is>
      </c>
      <c r="C43" s="803" t="n"/>
      <c r="D43" s="802" t="n">
        <v>140</v>
      </c>
      <c r="E43" s="803" t="n"/>
    </row>
    <row r="44">
      <c r="A44" s="803" t="inlineStr">
        <is>
          <t>พลาสติกปิดหัวน็อต</t>
        </is>
      </c>
      <c r="B44" s="803" t="inlineStr">
        <is>
          <t>อบขาว</t>
        </is>
      </c>
      <c r="C44" s="803" t="n"/>
      <c r="D44" s="802" t="n">
        <v>0</v>
      </c>
      <c r="E44" s="803" t="n"/>
    </row>
    <row r="45">
      <c r="A45" s="803" t="inlineStr">
        <is>
          <t>พลาสติกปิดหัวน็อต</t>
        </is>
      </c>
      <c r="B45" s="803" t="inlineStr">
        <is>
          <t>ดำ</t>
        </is>
      </c>
      <c r="C45" s="803" t="n"/>
      <c r="D45" s="802" t="n">
        <v>0</v>
      </c>
      <c r="E45" s="803" t="n"/>
    </row>
    <row r="46">
      <c r="A46" s="803" t="inlineStr">
        <is>
          <t>ยางอุด 3 หุน</t>
        </is>
      </c>
      <c r="B46" s="803" t="inlineStr">
        <is>
          <t>อบขาว</t>
        </is>
      </c>
      <c r="C46" s="803" t="n"/>
      <c r="D46" s="802" t="n">
        <v>0</v>
      </c>
      <c r="E46" s="803" t="n"/>
    </row>
    <row r="47">
      <c r="A47" s="803" t="inlineStr">
        <is>
          <t>ยางอุด 3 หุน</t>
        </is>
      </c>
      <c r="B47" s="803" t="inlineStr">
        <is>
          <t>ดำ</t>
        </is>
      </c>
      <c r="C47" s="803" t="n"/>
      <c r="D47" s="802" t="n">
        <v>0</v>
      </c>
      <c r="E47" s="803" t="n"/>
    </row>
    <row r="48">
      <c r="A48" s="803" t="inlineStr">
        <is>
          <t>พลาสติกฝาครอบน็อต หกเหลี่ยม</t>
        </is>
      </c>
      <c r="B48" s="803" t="inlineStr">
        <is>
          <t>ดำ</t>
        </is>
      </c>
      <c r="C48" s="803" t="n"/>
      <c r="D48" s="802" t="n">
        <v>7</v>
      </c>
      <c r="E48" s="803" t="n"/>
    </row>
    <row r="49">
      <c r="A49" s="803" t="inlineStr">
        <is>
          <t>ตลับกุญแจ CDQ20</t>
        </is>
      </c>
      <c r="B49" s="803" t="inlineStr">
        <is>
          <t>สแตนเลส</t>
        </is>
      </c>
      <c r="C49" s="803" t="n"/>
      <c r="D49" s="802" t="n">
        <v>110</v>
      </c>
      <c r="E49" s="803" t="n"/>
    </row>
    <row r="50">
      <c r="A50" s="803" t="inlineStr">
        <is>
          <t>ตลับกุญแจ CDQ20</t>
        </is>
      </c>
      <c r="B50" s="803" t="inlineStr">
        <is>
          <t>ดำ</t>
        </is>
      </c>
      <c r="C50" s="803" t="n"/>
      <c r="D50" s="802" t="n">
        <v>110</v>
      </c>
      <c r="E50" s="803" t="n"/>
    </row>
    <row r="51">
      <c r="A51" s="803" t="inlineStr">
        <is>
          <t>ตลับกุญแจ Colt</t>
        </is>
      </c>
      <c r="B51" s="803" t="inlineStr">
        <is>
          <t>สแตนเลส</t>
        </is>
      </c>
      <c r="C51" s="803" t="inlineStr">
        <is>
          <t>35x85</t>
        </is>
      </c>
      <c r="D51" s="802" t="n">
        <v>418</v>
      </c>
      <c r="E51" s="803" t="n"/>
    </row>
    <row r="52">
      <c r="A52" s="803" t="inlineStr">
        <is>
          <t>ตลับกุญแจ Hyda HD851</t>
        </is>
      </c>
      <c r="B52" s="803" t="inlineStr">
        <is>
          <t>สแตนเลส</t>
        </is>
      </c>
      <c r="C52" s="803" t="n"/>
      <c r="D52" s="802" t="n">
        <v>285</v>
      </c>
      <c r="E52" s="803" t="n"/>
    </row>
    <row r="53">
      <c r="A53" s="803" t="inlineStr">
        <is>
          <t>ไส้กุญแจ Colt</t>
        </is>
      </c>
      <c r="B53" s="803" t="inlineStr">
        <is>
          <t>สแตนเลส</t>
        </is>
      </c>
      <c r="C53" s="803" t="inlineStr">
        <is>
          <t>35x35</t>
        </is>
      </c>
      <c r="D53" s="802" t="n">
        <v>429</v>
      </c>
      <c r="E53" s="803" t="n"/>
    </row>
    <row r="54">
      <c r="A54" s="803" t="inlineStr">
        <is>
          <t>ไส้กุญแจ Colt</t>
        </is>
      </c>
      <c r="B54" s="803" t="inlineStr">
        <is>
          <t>สแตนเลส</t>
        </is>
      </c>
      <c r="C54" s="803" t="inlineStr">
        <is>
          <t>40x40</t>
        </is>
      </c>
      <c r="D54" s="802" t="n">
        <v>480</v>
      </c>
      <c r="E54" s="803" t="n"/>
    </row>
    <row r="55">
      <c r="A55" s="803" t="inlineStr">
        <is>
          <t>บานพับบานเปิด PBM</t>
        </is>
      </c>
      <c r="B55" s="803" t="inlineStr">
        <is>
          <t>อบขาว</t>
        </is>
      </c>
      <c r="C55" s="803" t="n"/>
      <c r="D55" s="802" t="n">
        <v>65</v>
      </c>
      <c r="E55" s="803" t="n"/>
    </row>
    <row r="56">
      <c r="A56" s="803" t="inlineStr">
        <is>
          <t>บานพับบานเปิด PBM</t>
        </is>
      </c>
      <c r="B56" s="803" t="inlineStr">
        <is>
          <t>ดำ</t>
        </is>
      </c>
      <c r="C56" s="803" t="n"/>
      <c r="D56" s="802" t="n">
        <v>65</v>
      </c>
      <c r="E56" s="803" t="n"/>
    </row>
    <row r="57">
      <c r="A57" s="803" t="inlineStr">
        <is>
          <t>แป้นรับล็อคบานเลื่อน HD1104</t>
        </is>
      </c>
      <c r="B57" s="803" t="inlineStr">
        <is>
          <t>เงิน</t>
        </is>
      </c>
      <c r="C57" s="803" t="n"/>
      <c r="D57" s="802" t="n">
        <v>30</v>
      </c>
      <c r="E57" s="803" t="n"/>
    </row>
    <row r="58">
      <c r="A58" s="803" t="inlineStr">
        <is>
          <t>แป้นรับล็อคบานเลื่อน HD1105</t>
        </is>
      </c>
      <c r="B58" s="803" t="inlineStr">
        <is>
          <t>ดำ</t>
        </is>
      </c>
      <c r="C58" s="803" t="n"/>
      <c r="D58" s="802" t="n">
        <v>30</v>
      </c>
      <c r="E58" s="803" t="n"/>
    </row>
    <row r="59">
      <c r="A59" s="803" t="inlineStr">
        <is>
          <t>แป้นรับล็อคบานเลื่อน  HD1125</t>
        </is>
      </c>
      <c r="B59" s="803" t="inlineStr">
        <is>
          <t>เงิน</t>
        </is>
      </c>
      <c r="C59" s="803" t="n"/>
      <c r="D59" s="802" t="n">
        <v>9</v>
      </c>
      <c r="E59" s="803" t="n"/>
    </row>
    <row r="60">
      <c r="A60" s="803" t="inlineStr">
        <is>
          <t>ก้าน Connection Rod HD-1176A</t>
        </is>
      </c>
      <c r="B60" s="803" t="inlineStr">
        <is>
          <t>ดำ</t>
        </is>
      </c>
      <c r="C60" s="803" t="n"/>
      <c r="D60" s="802" t="n">
        <v>18</v>
      </c>
      <c r="E60" s="803" t="n"/>
    </row>
    <row r="61">
      <c r="A61" s="803" t="inlineStr">
        <is>
          <t>ก้าน Connection Rod HD-1176B</t>
        </is>
      </c>
      <c r="B61" s="803" t="inlineStr">
        <is>
          <t>ดำ</t>
        </is>
      </c>
      <c r="C61" s="803" t="n"/>
      <c r="D61" s="802" t="n">
        <v>18</v>
      </c>
      <c r="E61" s="803" t="n"/>
    </row>
    <row r="62">
      <c r="A62" s="803" t="inlineStr">
        <is>
          <t>มุมสแตนเลส</t>
        </is>
      </c>
      <c r="B62" s="803" t="n"/>
      <c r="C62" s="803" t="n"/>
      <c r="D62" s="802" t="n">
        <v>2</v>
      </c>
      <c r="E62" s="803" t="n"/>
    </row>
    <row r="63">
      <c r="A63" s="803" t="inlineStr">
        <is>
          <t>มุมอลูมิเนียมสปิก๊อต Hyda 214</t>
        </is>
      </c>
      <c r="B63" s="803" t="n"/>
      <c r="C63" s="803" t="inlineStr">
        <is>
          <t>Hyda 214</t>
        </is>
      </c>
      <c r="D63" s="802" t="n">
        <v>18</v>
      </c>
      <c r="E63" s="803" t="n"/>
    </row>
    <row r="64">
      <c r="A64" s="803" t="inlineStr">
        <is>
          <t>แป้นรับล็อค</t>
        </is>
      </c>
      <c r="B64" s="803" t="n"/>
      <c r="C64" s="803" t="n"/>
      <c r="D64" s="802" t="n">
        <v>15</v>
      </c>
      <c r="E64" s="803" t="n"/>
    </row>
    <row r="65">
      <c r="A65" s="803" t="inlineStr">
        <is>
          <t>ฝาปิดรูน้ำเข้า ฝาปิดรูน้ำออก</t>
        </is>
      </c>
      <c r="B65" s="803" t="inlineStr">
        <is>
          <t>ดำ</t>
        </is>
      </c>
      <c r="C65" s="803" t="n"/>
      <c r="D65" s="802" t="n">
        <v>8</v>
      </c>
      <c r="E65" s="803" t="n"/>
    </row>
    <row r="66">
      <c r="A66" s="803" t="inlineStr">
        <is>
          <t>ฝาปิดรูน้ำเข้า ฝาปิดรูน้ำออก</t>
        </is>
      </c>
      <c r="B66" s="803" t="inlineStr">
        <is>
          <t>ดำ</t>
        </is>
      </c>
      <c r="C66" s="803" t="n"/>
      <c r="D66" s="802" t="n">
        <v>4</v>
      </c>
      <c r="E66" s="803" t="n"/>
    </row>
    <row r="67">
      <c r="A67" s="803" t="inlineStr">
        <is>
          <t>ปุ่มเสริมก้านมิเนียมบานเปิด 6.5 มม.</t>
        </is>
      </c>
      <c r="B67" s="803" t="n"/>
      <c r="C67" s="803" t="n"/>
      <c r="D67" s="802" t="n">
        <v>17</v>
      </c>
      <c r="E67" s="803" t="n"/>
    </row>
    <row r="68">
      <c r="A68" s="803" t="inlineStr">
        <is>
          <t>ตัวรับบาน KIN LONG</t>
        </is>
      </c>
      <c r="B68" s="803" t="n"/>
      <c r="C68" s="803" t="n"/>
      <c r="D68" s="802" t="n">
        <v>23</v>
      </c>
      <c r="E68" s="803" t="n"/>
    </row>
    <row r="69">
      <c r="A69" s="803" t="inlineStr">
        <is>
          <t>บานพับบานเปิดยูโร HD-631</t>
        </is>
      </c>
      <c r="B69" s="803" t="inlineStr">
        <is>
          <t>ดำ</t>
        </is>
      </c>
      <c r="C69" s="803" t="n"/>
      <c r="D69" s="802" t="n">
        <v>85</v>
      </c>
      <c r="E69" s="803" t="n"/>
    </row>
    <row r="70">
      <c r="A70" s="803" t="inlineStr">
        <is>
          <t>บานพับบานเปิดยูโร HD-631</t>
        </is>
      </c>
      <c r="B70" s="803" t="inlineStr">
        <is>
          <t>อบขาว</t>
        </is>
      </c>
      <c r="C70" s="803" t="n"/>
      <c r="D70" s="802" t="n">
        <v>85</v>
      </c>
      <c r="E70" s="803" t="n"/>
    </row>
    <row r="71">
      <c r="A71" s="803" t="inlineStr">
        <is>
          <t>ไส้กุญแจ Colt</t>
        </is>
      </c>
      <c r="B71" s="803" t="inlineStr">
        <is>
          <t>สแตนเลส</t>
        </is>
      </c>
      <c r="C71" s="803" t="inlineStr">
        <is>
          <t>50x50</t>
        </is>
      </c>
      <c r="D71" s="802" t="n">
        <v>493</v>
      </c>
      <c r="E71" s="803" t="n"/>
    </row>
    <row r="72">
      <c r="A72" s="803" t="inlineStr">
        <is>
          <t>ล้อสปริงกันแกว่ง มีน็อต</t>
        </is>
      </c>
      <c r="B72" s="803" t="n"/>
      <c r="C72" s="803" t="n"/>
      <c r="D72" s="802" t="n">
        <v>30</v>
      </c>
      <c r="E72" s="803" t="n"/>
    </row>
    <row r="73">
      <c r="A73" s="803" t="inlineStr">
        <is>
          <t>โช้คฝังพื้น  FC34</t>
        </is>
      </c>
      <c r="B73" s="803" t="n"/>
      <c r="C73" s="803" t="inlineStr">
        <is>
          <t>20NM</t>
        </is>
      </c>
      <c r="D73" s="802" t="n">
        <v>2000</v>
      </c>
      <c r="E73" s="803" t="n"/>
    </row>
    <row r="74">
      <c r="A74" s="803" t="inlineStr">
        <is>
          <t>โช้คฝังพื้น  FC34</t>
        </is>
      </c>
      <c r="B74" s="803" t="n"/>
      <c r="C74" s="803" t="inlineStr">
        <is>
          <t>25NM</t>
        </is>
      </c>
      <c r="D74" s="802" t="n">
        <v>1500</v>
      </c>
      <c r="E74" s="803" t="n"/>
    </row>
    <row r="75">
      <c r="A75" s="803" t="inlineStr">
        <is>
          <t>กันลมสแตนเลส</t>
        </is>
      </c>
      <c r="B75" s="803" t="n"/>
      <c r="C75" s="803" t="inlineStr">
        <is>
          <t>12KC</t>
        </is>
      </c>
      <c r="D75" s="802" t="n">
        <v>125</v>
      </c>
      <c r="E75" s="803" t="n"/>
    </row>
    <row r="76">
      <c r="A76" s="803" t="inlineStr">
        <is>
          <t>ไส้กุญแจ CH</t>
        </is>
      </c>
      <c r="B76" s="803" t="inlineStr">
        <is>
          <t>ดำ</t>
        </is>
      </c>
      <c r="C76" s="803" t="inlineStr">
        <is>
          <t>35x45</t>
        </is>
      </c>
      <c r="D76" s="802" t="n">
        <v>185</v>
      </c>
      <c r="E76" s="803" t="n"/>
    </row>
    <row r="77">
      <c r="A77" s="803" t="inlineStr">
        <is>
          <t>ไส้กุญแจ CH</t>
        </is>
      </c>
      <c r="B77" s="803" t="inlineStr">
        <is>
          <t>สแตนเลส</t>
        </is>
      </c>
      <c r="C77" s="803" t="inlineStr">
        <is>
          <t>35x45</t>
        </is>
      </c>
      <c r="D77" s="802" t="n">
        <v>175</v>
      </c>
      <c r="E77" s="803" t="n"/>
    </row>
    <row r="78">
      <c r="A78" s="803" t="inlineStr">
        <is>
          <t>ไส้กุญแจ CH</t>
        </is>
      </c>
      <c r="B78" s="803" t="inlineStr">
        <is>
          <t>สแตนเลส</t>
        </is>
      </c>
      <c r="C78" s="803" t="inlineStr">
        <is>
          <t>45x35</t>
        </is>
      </c>
      <c r="D78" s="802" t="n">
        <v>175</v>
      </c>
      <c r="E78" s="803" t="n"/>
    </row>
    <row r="79">
      <c r="A79" s="803" t="inlineStr">
        <is>
          <t>ยางกันชนกลมเล็ก</t>
        </is>
      </c>
      <c r="B79" s="803" t="inlineStr">
        <is>
          <t>ใส</t>
        </is>
      </c>
      <c r="C79" s="803" t="n"/>
      <c r="D79" s="802" t="n">
        <v>2</v>
      </c>
      <c r="E79" s="803" t="n"/>
    </row>
    <row r="80">
      <c r="A80" s="803" t="inlineStr">
        <is>
          <t>HAFELE อุปกรณ์บานเลื่อน รับน้ำหนัก 100 กก.</t>
        </is>
      </c>
      <c r="B80" s="803" t="n"/>
      <c r="C80" s="803" t="n"/>
      <c r="D80" s="802" t="n">
        <v>690</v>
      </c>
      <c r="E80" s="803" t="n"/>
    </row>
    <row r="81">
      <c r="A81" s="803" t="inlineStr">
        <is>
          <t>ตลับกุญแจ HD 840 L30</t>
        </is>
      </c>
      <c r="B81" s="803" t="n"/>
      <c r="C81" s="803" t="n"/>
      <c r="D81" s="802" t="n">
        <v>180</v>
      </c>
      <c r="E81" s="803" t="n"/>
    </row>
    <row r="82">
      <c r="A82" s="803" t="inlineStr">
        <is>
          <t>ตลับกุญแจ มัลติพ้อย HD 851 L30</t>
        </is>
      </c>
      <c r="B82" s="803" t="n"/>
      <c r="C82" s="803" t="n"/>
      <c r="D82" s="802" t="n">
        <v>235</v>
      </c>
      <c r="E82" s="803" t="n"/>
    </row>
    <row r="84">
      <c r="A84" s="804" t="inlineStr">
        <is>
          <t>② มือจับ (Stock)</t>
        </is>
      </c>
    </row>
    <row r="85">
      <c r="A85" s="800" t="inlineStr">
        <is>
          <t>รายการ</t>
        </is>
      </c>
      <c r="B85" s="800" t="inlineStr">
        <is>
          <t>สี/รูปแบบ</t>
        </is>
      </c>
      <c r="C85" s="800" t="inlineStr">
        <is>
          <t>ขนาด</t>
        </is>
      </c>
      <c r="D85" s="800" t="inlineStr">
        <is>
          <t>ราคา/ทุน (บาท)</t>
        </is>
      </c>
      <c r="E85" s="800" t="inlineStr">
        <is>
          <t>หมายเหตุ</t>
        </is>
      </c>
    </row>
    <row r="86">
      <c r="A86" s="803" t="inlineStr">
        <is>
          <t>มือจับประตูบานเลื่อนแขวน ทรงโค้ง HOYA</t>
        </is>
      </c>
      <c r="B86" s="803" t="inlineStr">
        <is>
          <t>PS-102</t>
        </is>
      </c>
      <c r="C86" s="803" t="inlineStr">
        <is>
          <t>สแตนเลส</t>
        </is>
      </c>
      <c r="D86" s="802" t="n">
        <v>165</v>
      </c>
      <c r="E86" s="803" t="n"/>
    </row>
    <row r="87">
      <c r="A87" s="803" t="inlineStr">
        <is>
          <t>มือจับฝังบานเลื่อน  Hyda  416</t>
        </is>
      </c>
      <c r="B87" s="803" t="inlineStr">
        <is>
          <t>Dummy</t>
        </is>
      </c>
      <c r="C87" s="803" t="inlineStr">
        <is>
          <t>ดำ</t>
        </is>
      </c>
      <c r="D87" s="802" t="n">
        <v>52</v>
      </c>
      <c r="E87" s="803" t="n"/>
    </row>
    <row r="88">
      <c r="A88" s="803" t="inlineStr">
        <is>
          <t>มือจับฝังบานเลื่อน  Hyda  416</t>
        </is>
      </c>
      <c r="B88" s="803" t="inlineStr">
        <is>
          <t>Dummy</t>
        </is>
      </c>
      <c r="C88" s="803" t="inlineStr">
        <is>
          <t>อบขาว</t>
        </is>
      </c>
      <c r="D88" s="802" t="n">
        <v>52</v>
      </c>
      <c r="E88" s="803" t="n"/>
    </row>
    <row r="89">
      <c r="A89" s="803" t="inlineStr">
        <is>
          <t>มือจับฝังบานเลื่อน  Hyda  416</t>
        </is>
      </c>
      <c r="B89" s="803" t="inlineStr">
        <is>
          <t>Lock</t>
        </is>
      </c>
      <c r="C89" s="803" t="inlineStr">
        <is>
          <t>ดำ</t>
        </is>
      </c>
      <c r="D89" s="802" t="n">
        <v>65</v>
      </c>
      <c r="E89" s="803" t="n"/>
    </row>
    <row r="90">
      <c r="A90" s="803" t="inlineStr">
        <is>
          <t>มือจับฝังบานเลื่อน  Hyda  416</t>
        </is>
      </c>
      <c r="B90" s="803" t="inlineStr">
        <is>
          <t>Lock</t>
        </is>
      </c>
      <c r="C90" s="803" t="inlineStr">
        <is>
          <t>อบขาว</t>
        </is>
      </c>
      <c r="D90" s="802" t="n">
        <v>65</v>
      </c>
      <c r="E90" s="803" t="n"/>
    </row>
    <row r="91">
      <c r="A91" s="803" t="inlineStr">
        <is>
          <t>มือจับฝังบานเลื่อน  CMECH</t>
        </is>
      </c>
      <c r="B91" s="803" t="inlineStr">
        <is>
          <t>Fixed Recessed Handle</t>
        </is>
      </c>
      <c r="C91" s="803" t="inlineStr">
        <is>
          <t>ดำ</t>
        </is>
      </c>
      <c r="D91" s="802" t="n">
        <v>177</v>
      </c>
      <c r="E91" s="803" t="n"/>
    </row>
    <row r="92">
      <c r="A92" s="803" t="inlineStr">
        <is>
          <t>มือจับฝังบานเลื่อน  CMECH</t>
        </is>
      </c>
      <c r="B92" s="803" t="inlineStr">
        <is>
          <t>Fixed Recessed Handle</t>
        </is>
      </c>
      <c r="C92" s="803" t="inlineStr">
        <is>
          <t>อบขาว</t>
        </is>
      </c>
      <c r="D92" s="802" t="n">
        <v>177</v>
      </c>
      <c r="E92" s="803" t="n"/>
    </row>
    <row r="93">
      <c r="A93" s="803" t="inlineStr">
        <is>
          <t>มือจับฝังบานเลื่อน  CMECH</t>
        </is>
      </c>
      <c r="B93" s="803" t="inlineStr">
        <is>
          <t>Multi-Point Lock Recessed Handle</t>
        </is>
      </c>
      <c r="C93" s="803" t="inlineStr">
        <is>
          <t>ดำ</t>
        </is>
      </c>
      <c r="D93" s="802" t="n">
        <v>205</v>
      </c>
      <c r="E93" s="803" t="n"/>
    </row>
    <row r="94">
      <c r="A94" s="803" t="inlineStr">
        <is>
          <t>มือจับฝังบานเลื่อน  CMECH</t>
        </is>
      </c>
      <c r="B94" s="803" t="inlineStr">
        <is>
          <t>Multi-Point Lock Recessed Handle</t>
        </is>
      </c>
      <c r="C94" s="803" t="inlineStr">
        <is>
          <t>อบขาว</t>
        </is>
      </c>
      <c r="D94" s="802" t="n">
        <v>205</v>
      </c>
      <c r="E94" s="803" t="n"/>
    </row>
    <row r="95">
      <c r="A95" s="803" t="inlineStr">
        <is>
          <t>มือจับฝังบานเลื่อน  CMECH</t>
        </is>
      </c>
      <c r="B95" s="803" t="inlineStr">
        <is>
          <t>Multi-Point Lock Recessed  Interior with Key</t>
        </is>
      </c>
      <c r="C95" s="803" t="inlineStr">
        <is>
          <t>ดำ</t>
        </is>
      </c>
      <c r="D95" s="802" t="n">
        <v>409</v>
      </c>
      <c r="E95" s="803" t="n"/>
    </row>
    <row r="96">
      <c r="A96" s="803" t="inlineStr">
        <is>
          <t>มือจับฝังบานเลื่อน  CMECH</t>
        </is>
      </c>
      <c r="B96" s="803" t="inlineStr">
        <is>
          <t>Multi-Point Lock Recessed  Interior with Key</t>
        </is>
      </c>
      <c r="C96" s="803" t="inlineStr">
        <is>
          <t>อบขาว</t>
        </is>
      </c>
      <c r="D96" s="802" t="n">
        <v>409</v>
      </c>
      <c r="E96" s="803" t="n"/>
    </row>
    <row r="97">
      <c r="A97" s="803" t="inlineStr">
        <is>
          <t>มือจับบานเลื่อน  CMECH</t>
        </is>
      </c>
      <c r="B97" s="803" t="inlineStr">
        <is>
          <t>Metro Handle_ Dummy</t>
        </is>
      </c>
      <c r="C97" s="803" t="inlineStr">
        <is>
          <t>ดำ</t>
        </is>
      </c>
      <c r="D97" s="802" t="n">
        <v>310</v>
      </c>
      <c r="E97" s="803" t="n"/>
    </row>
    <row r="98">
      <c r="A98" s="803" t="inlineStr">
        <is>
          <t>มือจับบานเลื่อน  CMECH</t>
        </is>
      </c>
      <c r="B98" s="803" t="inlineStr">
        <is>
          <t>Metro Handle_ Dummy</t>
        </is>
      </c>
      <c r="C98" s="803" t="inlineStr">
        <is>
          <t>อบขาว</t>
        </is>
      </c>
      <c r="D98" s="802" t="n">
        <v>310</v>
      </c>
      <c r="E98" s="803" t="n"/>
    </row>
    <row r="99">
      <c r="A99" s="803" t="inlineStr">
        <is>
          <t>มือจับบานเลื่อน  CMECH</t>
        </is>
      </c>
      <c r="B99" s="803" t="inlineStr">
        <is>
          <t>Metro Handle_ Lock</t>
        </is>
      </c>
      <c r="C99" s="803" t="inlineStr">
        <is>
          <t>ดำ</t>
        </is>
      </c>
      <c r="D99" s="802" t="n">
        <v>410</v>
      </c>
      <c r="E99" s="803" t="n"/>
    </row>
    <row r="100">
      <c r="A100" s="803" t="inlineStr">
        <is>
          <t>มือจับบานเลื่อน  CMECH</t>
        </is>
      </c>
      <c r="B100" s="803" t="inlineStr">
        <is>
          <t>Metro Handle_ Lock</t>
        </is>
      </c>
      <c r="C100" s="803" t="inlineStr">
        <is>
          <t>อบขาว</t>
        </is>
      </c>
      <c r="D100" s="802" t="n">
        <v>410</v>
      </c>
      <c r="E100" s="803" t="n"/>
    </row>
    <row r="101">
      <c r="A101" s="803" t="inlineStr">
        <is>
          <t>มือจับบานเลื่อน  CMECH</t>
        </is>
      </c>
      <c r="B101" s="803" t="inlineStr">
        <is>
          <t>Metro Handle_  Key</t>
        </is>
      </c>
      <c r="C101" s="803" t="inlineStr">
        <is>
          <t>ดำ</t>
        </is>
      </c>
      <c r="D101" s="802" t="n">
        <v>745</v>
      </c>
      <c r="E101" s="803" t="n"/>
    </row>
    <row r="102">
      <c r="A102" s="803" t="inlineStr">
        <is>
          <t>มือจับบานเลื่อน  CMECH</t>
        </is>
      </c>
      <c r="B102" s="803" t="inlineStr">
        <is>
          <t>Metro Handle_  Key</t>
        </is>
      </c>
      <c r="C102" s="803" t="inlineStr">
        <is>
          <t>อบขาว</t>
        </is>
      </c>
      <c r="D102" s="802" t="n">
        <v>745</v>
      </c>
      <c r="E102" s="803" t="n"/>
    </row>
    <row r="103">
      <c r="A103" s="803" t="inlineStr">
        <is>
          <t>มือจับฝังบานเลื่อน Align</t>
        </is>
      </c>
      <c r="B103" s="803" t="inlineStr">
        <is>
          <t>Dummy</t>
        </is>
      </c>
      <c r="C103" s="803" t="inlineStr">
        <is>
          <t>ดำ</t>
        </is>
      </c>
      <c r="D103" s="802" t="n">
        <v>62</v>
      </c>
      <c r="E103" s="803" t="n"/>
    </row>
    <row r="104">
      <c r="A104" s="803" t="inlineStr">
        <is>
          <t>มือจับฝังบานเลื่อน Align</t>
        </is>
      </c>
      <c r="B104" s="803" t="inlineStr">
        <is>
          <t>Dummy</t>
        </is>
      </c>
      <c r="C104" s="803" t="inlineStr">
        <is>
          <t>อบขาว</t>
        </is>
      </c>
      <c r="D104" s="802" t="n">
        <v>62</v>
      </c>
      <c r="E104" s="803" t="n"/>
    </row>
    <row r="105">
      <c r="A105" s="803" t="inlineStr">
        <is>
          <t>มือจับฝังบานเลื่อน Align</t>
        </is>
      </c>
      <c r="B105" s="803" t="inlineStr">
        <is>
          <t>Lock</t>
        </is>
      </c>
      <c r="C105" s="803" t="inlineStr">
        <is>
          <t>ดำ</t>
        </is>
      </c>
      <c r="D105" s="802" t="n">
        <v>69</v>
      </c>
      <c r="E105" s="803" t="n"/>
    </row>
    <row r="106">
      <c r="A106" s="803" t="inlineStr">
        <is>
          <t>มือจับฝังบานเลื่อน Align</t>
        </is>
      </c>
      <c r="B106" s="803" t="inlineStr">
        <is>
          <t>Lock</t>
        </is>
      </c>
      <c r="C106" s="803" t="inlineStr">
        <is>
          <t>อบขาว</t>
        </is>
      </c>
      <c r="D106" s="802" t="n">
        <v>69</v>
      </c>
      <c r="E106" s="803" t="n"/>
    </row>
    <row r="107">
      <c r="A107" s="803" t="inlineStr">
        <is>
          <t>มือจับฝังบานเลื่อน Align</t>
        </is>
      </c>
      <c r="B107" s="803" t="inlineStr">
        <is>
          <t>Key</t>
        </is>
      </c>
      <c r="C107" s="803" t="inlineStr">
        <is>
          <t>ดำ</t>
        </is>
      </c>
      <c r="D107" s="802" t="n">
        <v>99</v>
      </c>
      <c r="E107" s="803" t="n"/>
    </row>
    <row r="108">
      <c r="A108" s="803" t="inlineStr">
        <is>
          <t>มือจับฝังบานเลื่อน Align</t>
        </is>
      </c>
      <c r="B108" s="803" t="inlineStr">
        <is>
          <t>Key</t>
        </is>
      </c>
      <c r="C108" s="803" t="inlineStr">
        <is>
          <t>อบขาว</t>
        </is>
      </c>
      <c r="D108" s="802" t="n">
        <v>99</v>
      </c>
      <c r="E108" s="803" t="n"/>
    </row>
    <row r="109">
      <c r="A109" s="803" t="inlineStr">
        <is>
          <t>มือจับเจาะกระจกประตูบานเลื่อน</t>
        </is>
      </c>
      <c r="B109" s="803" t="inlineStr">
        <is>
          <t>แบบกลม</t>
        </is>
      </c>
      <c r="C109" s="803" t="inlineStr">
        <is>
          <t>สแตนเลส</t>
        </is>
      </c>
      <c r="D109" s="802" t="n">
        <v>437</v>
      </c>
      <c r="E109" s="803" t="n"/>
    </row>
    <row r="110">
      <c r="A110" s="803" t="inlineStr">
        <is>
          <t>มือจับสแตนเลส VVP_HD110</t>
        </is>
      </c>
      <c r="B110" s="803" t="inlineStr">
        <is>
          <t>แบบกลม</t>
        </is>
      </c>
      <c r="C110" s="803" t="inlineStr">
        <is>
          <t>สแตนเลส</t>
        </is>
      </c>
      <c r="D110" s="802" t="n">
        <v>1080</v>
      </c>
      <c r="E110" s="803" t="n"/>
    </row>
    <row r="111">
      <c r="A111" s="803" t="inlineStr">
        <is>
          <t>มือจับสแตนเลส VVP_HD189</t>
        </is>
      </c>
      <c r="B111" s="803" t="inlineStr">
        <is>
          <t>แบบเหลี่ยม</t>
        </is>
      </c>
      <c r="C111" s="803" t="inlineStr">
        <is>
          <t>สแตนเลส</t>
        </is>
      </c>
      <c r="D111" s="802" t="n">
        <v>1573</v>
      </c>
      <c r="E111" s="803" t="n"/>
    </row>
    <row r="112">
      <c r="A112" s="803" t="inlineStr">
        <is>
          <t>มือจับสแตนเลส VVP_HD190</t>
        </is>
      </c>
      <c r="B112" s="803" t="inlineStr">
        <is>
          <t>แบบเหลี่ยม</t>
        </is>
      </c>
      <c r="C112" s="803" t="inlineStr">
        <is>
          <t>สแตนเลส</t>
        </is>
      </c>
      <c r="D112" s="802" t="n">
        <v>1445</v>
      </c>
      <c r="E112" s="803" t="n"/>
    </row>
    <row r="113">
      <c r="A113" s="803" t="inlineStr">
        <is>
          <t>มือจับบานกระทุ้งหลบมุ้ง</t>
        </is>
      </c>
      <c r="B113" s="803" t="inlineStr">
        <is>
          <t>CMECH_ ( L )</t>
        </is>
      </c>
      <c r="C113" s="803" t="inlineStr">
        <is>
          <t>อบขาว</t>
        </is>
      </c>
      <c r="D113" s="802" t="n">
        <v>360</v>
      </c>
      <c r="E113" s="803" t="n"/>
    </row>
    <row r="114">
      <c r="A114" s="803" t="inlineStr">
        <is>
          <t>มือจับบานกระทุ้งหลบมุ้ง</t>
        </is>
      </c>
      <c r="B114" s="803" t="inlineStr">
        <is>
          <t>CMECH_ ( R )</t>
        </is>
      </c>
      <c r="C114" s="803" t="inlineStr">
        <is>
          <t>อบขาว</t>
        </is>
      </c>
      <c r="D114" s="802" t="n">
        <v>360</v>
      </c>
      <c r="E114" s="803" t="n"/>
    </row>
    <row r="115">
      <c r="A115" s="803" t="inlineStr">
        <is>
          <t>มือจับบานกระทุ้งหลบมุ้ง</t>
        </is>
      </c>
      <c r="B115" s="803" t="inlineStr">
        <is>
          <t>CMECH_ ( L )</t>
        </is>
      </c>
      <c r="C115" s="803" t="inlineStr">
        <is>
          <t>ดำ</t>
        </is>
      </c>
      <c r="D115" s="802" t="n">
        <v>360</v>
      </c>
      <c r="E115" s="803" t="n"/>
    </row>
    <row r="116">
      <c r="A116" s="803" t="inlineStr">
        <is>
          <t>มือจับบานกระทุ้งหลบมุ้ง</t>
        </is>
      </c>
      <c r="B116" s="803" t="inlineStr">
        <is>
          <t>CMECH_ ( R )</t>
        </is>
      </c>
      <c r="C116" s="803" t="inlineStr">
        <is>
          <t>ดำ</t>
        </is>
      </c>
      <c r="D116" s="802" t="n">
        <v>360</v>
      </c>
      <c r="E116" s="803" t="n"/>
    </row>
    <row r="117">
      <c r="A117" s="803" t="inlineStr">
        <is>
          <t>มือจับบานเปิด KINGBO</t>
        </is>
      </c>
      <c r="B117" s="803" t="inlineStr">
        <is>
          <t>Dummy</t>
        </is>
      </c>
      <c r="C117" s="803" t="inlineStr">
        <is>
          <t>ดำ</t>
        </is>
      </c>
      <c r="D117" s="802" t="n">
        <v>330</v>
      </c>
      <c r="E117" s="803" t="n"/>
    </row>
    <row r="118">
      <c r="A118" s="803" t="inlineStr">
        <is>
          <t>มือจับบานเปิด KINGBO</t>
        </is>
      </c>
      <c r="B118" s="803" t="inlineStr">
        <is>
          <t>Dummy</t>
        </is>
      </c>
      <c r="C118" s="803" t="inlineStr">
        <is>
          <t>อบขาว</t>
        </is>
      </c>
      <c r="D118" s="802" t="n">
        <v>330</v>
      </c>
      <c r="E118" s="803" t="n"/>
    </row>
    <row r="119">
      <c r="A119" s="803" t="inlineStr">
        <is>
          <t>มือจับบานเปิด KINGBO</t>
        </is>
      </c>
      <c r="B119" s="803" t="inlineStr">
        <is>
          <t>Key</t>
        </is>
      </c>
      <c r="C119" s="803" t="inlineStr">
        <is>
          <t>ดำ</t>
        </is>
      </c>
      <c r="D119" s="802" t="n">
        <v>330</v>
      </c>
      <c r="E119" s="803" t="n"/>
    </row>
    <row r="120">
      <c r="A120" s="803" t="inlineStr">
        <is>
          <t>มือจับบานเปิด KINGBO</t>
        </is>
      </c>
      <c r="B120" s="803" t="inlineStr">
        <is>
          <t>Key</t>
        </is>
      </c>
      <c r="C120" s="803" t="inlineStr">
        <is>
          <t>อบขาว</t>
        </is>
      </c>
      <c r="D120" s="802" t="n">
        <v>330</v>
      </c>
      <c r="E120" s="803" t="n"/>
    </row>
    <row r="121">
      <c r="A121" s="803" t="inlineStr">
        <is>
          <t>มือจับหลบมุ้ง KINGBO</t>
        </is>
      </c>
      <c r="B121" s="803" t="inlineStr">
        <is>
          <t>FH3016 _( L )</t>
        </is>
      </c>
      <c r="C121" s="803" t="inlineStr">
        <is>
          <t>ดำ</t>
        </is>
      </c>
      <c r="D121" s="802" t="n">
        <v>111</v>
      </c>
      <c r="E121" s="803" t="n"/>
    </row>
    <row r="122">
      <c r="A122" s="803" t="inlineStr">
        <is>
          <t>มือจับหลบมุ้ง KINGBO</t>
        </is>
      </c>
      <c r="B122" s="803" t="inlineStr">
        <is>
          <t>FH3016 _ ( R )</t>
        </is>
      </c>
      <c r="C122" s="803" t="inlineStr">
        <is>
          <t>ดำ</t>
        </is>
      </c>
      <c r="D122" s="802" t="n">
        <v>111</v>
      </c>
      <c r="E122" s="803" t="n"/>
    </row>
    <row r="123">
      <c r="A123" s="803" t="inlineStr">
        <is>
          <t>มือจับหลบมุ้ง KINGBO</t>
        </is>
      </c>
      <c r="B123" s="803" t="inlineStr">
        <is>
          <t>FH3016 _( L )</t>
        </is>
      </c>
      <c r="C123" s="803" t="inlineStr">
        <is>
          <t>อบขาว</t>
        </is>
      </c>
      <c r="D123" s="802" t="n">
        <v>111</v>
      </c>
      <c r="E123" s="803" t="n"/>
    </row>
    <row r="124">
      <c r="A124" s="803" t="inlineStr">
        <is>
          <t>มือจับหลบมุ้ง KINGBO</t>
        </is>
      </c>
      <c r="B124" s="803" t="inlineStr">
        <is>
          <t>FH3016 _ ( R )</t>
        </is>
      </c>
      <c r="C124" s="803" t="inlineStr">
        <is>
          <t>อบขาว</t>
        </is>
      </c>
      <c r="D124" s="802" t="n">
        <v>111</v>
      </c>
      <c r="E124" s="803" t="n"/>
    </row>
    <row r="126">
      <c r="A126" s="804" t="inlineStr">
        <is>
          <t>③ ยาง / สักหลาด (Stock)</t>
        </is>
      </c>
    </row>
    <row r="127">
      <c r="A127" s="800" t="inlineStr">
        <is>
          <t>รายการ</t>
        </is>
      </c>
      <c r="B127" s="800" t="inlineStr">
        <is>
          <t>สี/รูปแบบ</t>
        </is>
      </c>
      <c r="C127" s="800" t="inlineStr">
        <is>
          <t>ขนาด</t>
        </is>
      </c>
      <c r="D127" s="800" t="inlineStr">
        <is>
          <t>ราคา/ทุน (บาท)</t>
        </is>
      </c>
      <c r="E127" s="800" t="inlineStr">
        <is>
          <t>หมายเหตุ</t>
        </is>
      </c>
    </row>
    <row r="128">
      <c r="A128" s="803" t="inlineStr">
        <is>
          <t>ยาง 044</t>
        </is>
      </c>
      <c r="B128" s="803" t="inlineStr">
        <is>
          <t>40.0</t>
        </is>
      </c>
      <c r="C128" s="803" t="n"/>
      <c r="D128" s="802" t="n">
        <v>8</v>
      </c>
      <c r="E128" s="803" t="n"/>
    </row>
    <row r="129">
      <c r="A129" s="803" t="inlineStr">
        <is>
          <t>ยาง 045</t>
        </is>
      </c>
      <c r="B129" s="803" t="n"/>
      <c r="C129" s="803" t="n"/>
      <c r="D129" s="802" t="n">
        <v>10</v>
      </c>
      <c r="E129" s="803" t="n"/>
    </row>
    <row r="130">
      <c r="A130" s="803" t="inlineStr">
        <is>
          <t>ยางรองกระจก  EPK-737</t>
        </is>
      </c>
      <c r="B130" s="803" t="n"/>
      <c r="C130" s="803" t="n"/>
      <c r="D130" s="802" t="n">
        <v>8</v>
      </c>
      <c r="E130" s="803" t="n"/>
    </row>
    <row r="131">
      <c r="A131" s="803" t="inlineStr">
        <is>
          <t>ยาง epdm sponge EFK77-4.7</t>
        </is>
      </c>
      <c r="B131" s="803" t="n"/>
      <c r="C131" s="803" t="n"/>
      <c r="D131" s="802" t="n">
        <v>6</v>
      </c>
      <c r="E131" s="803" t="n"/>
    </row>
    <row r="132">
      <c r="A132" s="803" t="inlineStr">
        <is>
          <t>ยาง epdm sponge แบน EFK9-4</t>
        </is>
      </c>
      <c r="B132" s="803" t="n"/>
      <c r="C132" s="803" t="n"/>
      <c r="D132" s="802" t="n">
        <v>5</v>
      </c>
      <c r="E132" s="803" t="n"/>
    </row>
    <row r="133">
      <c r="A133" s="803" t="inlineStr">
        <is>
          <t>สักหลาดจีน 5*3</t>
        </is>
      </c>
      <c r="B133" s="803" t="n"/>
      <c r="C133" s="803" t="n"/>
      <c r="D133" s="802" t="n">
        <v>2</v>
      </c>
      <c r="E133" s="803" t="n"/>
    </row>
    <row r="134">
      <c r="A134" s="803" t="inlineStr">
        <is>
          <t>สักหลาดจีน 5*4</t>
        </is>
      </c>
      <c r="B134" s="803" t="n"/>
      <c r="C134" s="803" t="n"/>
      <c r="D134" s="802" t="n">
        <v>2</v>
      </c>
      <c r="E134" s="803" t="n"/>
    </row>
    <row r="135">
      <c r="A135" s="803" t="inlineStr">
        <is>
          <t>สักหลาดจีน 3.5*4.8</t>
        </is>
      </c>
      <c r="B135" s="803" t="n"/>
      <c r="C135" s="803" t="n"/>
      <c r="D135" s="802" t="n">
        <v>2</v>
      </c>
      <c r="E135" s="803" t="n"/>
    </row>
    <row r="136">
      <c r="A136" s="803" t="inlineStr">
        <is>
          <t>สักหลาดแถบกาว Hyda</t>
        </is>
      </c>
      <c r="B136" s="803" t="n"/>
      <c r="C136" s="803" t="n"/>
      <c r="D136" s="802" t="n">
        <v>10</v>
      </c>
      <c r="E136" s="803" t="n"/>
    </row>
    <row r="137">
      <c r="A137" s="803" t="inlineStr">
        <is>
          <t>สักหลาด แถบกาว HYDA</t>
        </is>
      </c>
      <c r="B137" s="803" t="n"/>
      <c r="C137" s="803" t="n"/>
      <c r="D137" s="802" t="n">
        <v>1100</v>
      </c>
      <c r="E137" s="803" t="n"/>
    </row>
    <row r="139">
      <c r="A139" s="804" t="inlineStr">
        <is>
          <t>④ น็อต / สกรู (Stock)</t>
        </is>
      </c>
    </row>
    <row r="140">
      <c r="A140" s="800" t="inlineStr">
        <is>
          <t>รายการ</t>
        </is>
      </c>
      <c r="B140" s="800" t="inlineStr">
        <is>
          <t>สี/รูปแบบ</t>
        </is>
      </c>
      <c r="C140" s="800" t="inlineStr">
        <is>
          <t>ขนาด</t>
        </is>
      </c>
      <c r="D140" s="800" t="inlineStr">
        <is>
          <t>ราคา/ทุน (บาท)</t>
        </is>
      </c>
      <c r="E140" s="800" t="inlineStr">
        <is>
          <t>หมายเหตุ</t>
        </is>
      </c>
    </row>
    <row r="141">
      <c r="A141" s="803" t="inlineStr">
        <is>
          <t>LB หัวเอฟ สีรุ้ง ปลายสว่าน</t>
        </is>
      </c>
      <c r="B141" s="803" t="inlineStr">
        <is>
          <t>#8*3/4"(19mm)</t>
        </is>
      </c>
      <c r="C141" s="803" t="n"/>
      <c r="D141" s="802" t="n">
        <v>5</v>
      </c>
      <c r="E141" s="803" t="n"/>
    </row>
    <row r="143">
      <c r="A143" s="804" t="inlineStr">
        <is>
          <t>⑤ มือจับ Cmech (ทุน/ตัว · พิเศษ=ชุบ +40%)</t>
        </is>
      </c>
    </row>
    <row r="144">
      <c r="A144" s="800" t="inlineStr">
        <is>
          <t>รายการ</t>
        </is>
      </c>
      <c r="B144" s="800" t="inlineStr">
        <is>
          <t>สี/รูปแบบ</t>
        </is>
      </c>
      <c r="C144" s="800" t="inlineStr">
        <is>
          <t>ขนาด</t>
        </is>
      </c>
      <c r="D144" s="800" t="inlineStr">
        <is>
          <t>ราคา/ทุน (บาท)</t>
        </is>
      </c>
      <c r="E144" s="800" t="inlineStr">
        <is>
          <t>หมายเหตุ</t>
        </is>
      </c>
    </row>
    <row r="145">
      <c r="A145" s="803" t="inlineStr">
        <is>
          <t>มือจับฝัง ประตู (E010026+E010025)</t>
        </is>
      </c>
      <c r="B145" s="803" t="inlineStr">
        <is>
          <t>ธรรมดา</t>
        </is>
      </c>
      <c r="C145" s="803" t="n"/>
      <c r="D145" s="802" t="n">
        <v>523</v>
      </c>
      <c r="E145" s="803" t="inlineStr">
        <is>
          <t>ขาย/ชุด 1,050</t>
        </is>
      </c>
    </row>
    <row r="146">
      <c r="A146" s="803" t="inlineStr">
        <is>
          <t>มือจับฝัง ประตู</t>
        </is>
      </c>
      <c r="B146" s="803" t="inlineStr">
        <is>
          <t>พิเศษ (ชุบ)</t>
        </is>
      </c>
      <c r="C146" s="803" t="n"/>
      <c r="D146" s="802" t="n">
        <v>614</v>
      </c>
      <c r="E146" s="803" t="inlineStr">
        <is>
          <t>ขาย 1,470</t>
        </is>
      </c>
    </row>
    <row r="147">
      <c r="A147" s="803" t="inlineStr">
        <is>
          <t>มือจับฝัง หน้าต่าง (E010026)</t>
        </is>
      </c>
      <c r="B147" s="803" t="inlineStr">
        <is>
          <t>ธรรมดา</t>
        </is>
      </c>
      <c r="C147" s="803" t="n"/>
      <c r="D147" s="802" t="n">
        <v>176</v>
      </c>
      <c r="E147" s="803" t="inlineStr">
        <is>
          <t>ขาย 350</t>
        </is>
      </c>
    </row>
    <row r="148">
      <c r="A148" s="803" t="inlineStr">
        <is>
          <t>มือจับฝัง หน้าต่าง</t>
        </is>
      </c>
      <c r="B148" s="803" t="inlineStr">
        <is>
          <t>พิเศษ</t>
        </is>
      </c>
      <c r="C148" s="803" t="n"/>
      <c r="D148" s="802" t="n">
        <v>205</v>
      </c>
      <c r="E148" s="803" t="inlineStr">
        <is>
          <t>ขาย 490</t>
        </is>
      </c>
    </row>
    <row r="149">
      <c r="A149" s="803" t="inlineStr">
        <is>
          <t>มือจับหลบมุ้ง (กระทุ้ง) A010456/457</t>
        </is>
      </c>
      <c r="B149" s="803" t="inlineStr">
        <is>
          <t>ธรรมดา</t>
        </is>
      </c>
      <c r="C149" s="803" t="inlineStr">
        <is>
          <t>+Fork Drive แยก</t>
        </is>
      </c>
      <c r="D149" s="802" t="n">
        <v>275</v>
      </c>
      <c r="E149" s="803" t="inlineStr">
        <is>
          <t>ขาย 600</t>
        </is>
      </c>
    </row>
    <row r="150">
      <c r="A150" s="803" t="inlineStr">
        <is>
          <t>มือจับหลบมุ้ง</t>
        </is>
      </c>
      <c r="B150" s="803" t="inlineStr">
        <is>
          <t>พิเศษ</t>
        </is>
      </c>
      <c r="C150" s="803" t="inlineStr">
        <is>
          <t>+Fork Drive แยก</t>
        </is>
      </c>
      <c r="D150" s="802" t="n">
        <v>370</v>
      </c>
      <c r="E150" s="803" t="inlineStr">
        <is>
          <t>ขาย 840</t>
        </is>
      </c>
    </row>
    <row r="151">
      <c r="A151" s="803" t="inlineStr">
        <is>
          <t>มือจับเมโทร ประตู (ล็อค+กุญแจ)</t>
        </is>
      </c>
      <c r="B151" s="803" t="inlineStr">
        <is>
          <t>ธรรมดา</t>
        </is>
      </c>
      <c r="C151" s="803" t="n"/>
      <c r="D151" s="802" t="n">
        <v>745</v>
      </c>
      <c r="E151" s="803" t="inlineStr">
        <is>
          <t>ขาย 1,000</t>
        </is>
      </c>
    </row>
    <row r="152">
      <c r="A152" s="803" t="inlineStr">
        <is>
          <t>มือจับเมโทร ประตู</t>
        </is>
      </c>
      <c r="B152" s="803" t="inlineStr">
        <is>
          <t>พิเศษ</t>
        </is>
      </c>
      <c r="C152" s="803" t="n"/>
      <c r="D152" s="802" t="n">
        <v>880</v>
      </c>
      <c r="E152" s="803" t="inlineStr">
        <is>
          <t>ขาย 1,400</t>
        </is>
      </c>
    </row>
    <row r="153">
      <c r="A153" s="803" t="inlineStr">
        <is>
          <t>มือจับเมโทร หน้าต่าง (ล็อค)</t>
        </is>
      </c>
      <c r="B153" s="803" t="inlineStr">
        <is>
          <t>ธรรมดา</t>
        </is>
      </c>
      <c r="C153" s="803" t="n"/>
      <c r="D153" s="802" t="n">
        <v>410</v>
      </c>
      <c r="E153" s="803" t="inlineStr">
        <is>
          <t>ขาย 600</t>
        </is>
      </c>
    </row>
    <row r="154">
      <c r="A154" s="803" t="inlineStr">
        <is>
          <t>มือจับเมโทร หน้าต่าง</t>
        </is>
      </c>
      <c r="B154" s="803" t="inlineStr">
        <is>
          <t>พิเศษ</t>
        </is>
      </c>
      <c r="C154" s="803" t="n"/>
      <c r="D154" s="802" t="n">
        <v>490</v>
      </c>
      <c r="E154" s="803" t="inlineStr">
        <is>
          <t>ขาย 840</t>
        </is>
      </c>
    </row>
    <row r="155">
      <c r="A155" s="799" t="inlineStr">
        <is>
          <t>▶ อุปกรณ์ Shower (รวมจากชีทคิดทุน)</t>
        </is>
      </c>
    </row>
    <row r="156">
      <c r="A156" s="801" t="inlineStr">
        <is>
          <t>ราวสแตนเลสกลม Shower</t>
        </is>
      </c>
      <c r="B156" s="801" t="inlineStr">
        <is>
          <t>สแตนเลส</t>
        </is>
      </c>
      <c r="C156" s="801" t="inlineStr">
        <is>
          <t>/เส้น 6ม.</t>
        </is>
      </c>
      <c r="D156" s="802" t="n">
        <v>430</v>
      </c>
      <c r="E156" s="803" t="n"/>
    </row>
    <row r="157">
      <c r="A157" s="801" t="inlineStr">
        <is>
          <t>ตัวจับกระจกคู่ราว Shower</t>
        </is>
      </c>
      <c r="B157" s="801" t="inlineStr">
        <is>
          <t>สแตนเลส</t>
        </is>
      </c>
      <c r="C157" s="801" t="inlineStr">
        <is>
          <t>/ตัว</t>
        </is>
      </c>
      <c r="D157" s="802" t="n">
        <v>175</v>
      </c>
      <c r="E157" s="803" t="n"/>
    </row>
    <row r="158">
      <c r="A158" s="801" t="inlineStr">
        <is>
          <t>ยางปิดหน้าบาน Shower</t>
        </is>
      </c>
      <c r="B158" s="801" t="inlineStr">
        <is>
          <t>-</t>
        </is>
      </c>
      <c r="C158" s="801" t="inlineStr">
        <is>
          <t>/เส้น</t>
        </is>
      </c>
      <c r="D158" s="802" t="n">
        <v>150</v>
      </c>
      <c r="E158" s="803" t="n"/>
    </row>
    <row r="159">
      <c r="A159" s="801" t="inlineStr">
        <is>
          <t>รางสแตนเลสเลื่อน Shower</t>
        </is>
      </c>
      <c r="B159" s="801" t="inlineStr">
        <is>
          <t>สแตนเลส</t>
        </is>
      </c>
      <c r="C159" s="801" t="inlineStr">
        <is>
          <t>/เส้น 6ม.</t>
        </is>
      </c>
      <c r="D159" s="802" t="n">
        <v>3500</v>
      </c>
      <c r="E159" s="803" t="n"/>
    </row>
    <row r="160">
      <c r="A160" s="801" t="inlineStr">
        <is>
          <t>ยู5หุนอลู Shower</t>
        </is>
      </c>
      <c r="B160" s="801" t="inlineStr">
        <is>
          <t>อบขาว/ดำ</t>
        </is>
      </c>
      <c r="C160" s="801" t="inlineStr">
        <is>
          <t>/เส้น</t>
        </is>
      </c>
      <c r="D160" s="802" t="n">
        <v>200</v>
      </c>
      <c r="E160" s="803" t="n"/>
    </row>
    <row r="161">
      <c r="A161" s="801" t="inlineStr">
        <is>
          <t>ยู5หุนอลู Shower</t>
        </is>
      </c>
      <c r="B161" s="801" t="inlineStr">
        <is>
          <t>เทา</t>
        </is>
      </c>
      <c r="C161" s="801" t="inlineStr">
        <is>
          <t>/เส้น</t>
        </is>
      </c>
      <c r="D161" s="802" t="n">
        <v>230</v>
      </c>
      <c r="E161" s="803" t="n"/>
    </row>
  </sheetData>
  <mergeCells count="6">
    <mergeCell ref="A143:E143"/>
    <mergeCell ref="A139:E139"/>
    <mergeCell ref="A1:E1"/>
    <mergeCell ref="A84:E84"/>
    <mergeCell ref="A126:E126"/>
    <mergeCell ref="A3:E3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tabColor rgb="009DC3E6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11" customWidth="1" style="129" min="2" max="2"/>
    <col width="11" customWidth="1" style="129" min="3" max="3"/>
    <col width="12" customWidth="1" style="129" min="4" max="4"/>
    <col width="12" customWidth="1" style="129" min="5" max="5"/>
    <col width="2" customWidth="1" style="129" min="6" max="6"/>
    <col width="24" customWidth="1" style="129" min="7" max="7"/>
    <col width="11" customWidth="1" style="129" min="8" max="8"/>
  </cols>
  <sheetData>
    <row r="1">
      <c r="A1" s="798" t="inlineStr">
        <is>
          <t>📄 คิดทุน บานตู้ Futuretech — กรอกช่องเหลือง · ทุน/เทียบ R3.9 ออกเอง  (กระจก 5มม. เท่านั้น · บาน ≤ 2.8 ตร.ม.)</t>
        </is>
      </c>
      <c r="G1" s="873" t="inlineStr">
        <is>
          <t>🏠 สารบัญ</t>
        </is>
      </c>
    </row>
    <row r="2">
      <c r="A2" s="805" t="inlineStr">
        <is>
          <t>① กรอกข้อมูลบาน</t>
        </is>
      </c>
      <c r="B2" s="642" t="n"/>
      <c r="G2" s="805" t="inlineStr">
        <is>
          <t>② ราคาวัสดุ (แก้ตรงนี้)</t>
        </is>
      </c>
      <c r="H2" s="642" t="n"/>
    </row>
    <row r="3">
      <c r="A3" s="456" t="inlineStr">
        <is>
          <t>กว้างรวมทุกบาน (ซม.)</t>
        </is>
      </c>
      <c r="B3" s="801" t="n"/>
      <c r="G3" s="456" t="inlineStr">
        <is>
          <t>เฟรม อบขาว/ดำ /เส้น6ม</t>
        </is>
      </c>
      <c r="H3" s="801" t="n">
        <v>975</v>
      </c>
    </row>
    <row r="4">
      <c r="A4" s="456" t="inlineStr">
        <is>
          <t>สูง (ซม.)</t>
        </is>
      </c>
      <c r="B4" s="801" t="n"/>
      <c r="G4" s="456" t="inlineStr">
        <is>
          <t>เฟรม สีชุบ /เส้น</t>
        </is>
      </c>
      <c r="H4" s="801" t="n">
        <v>875</v>
      </c>
    </row>
    <row r="5">
      <c r="A5" s="456" t="inlineStr">
        <is>
          <t>จำนวนบาน</t>
        </is>
      </c>
      <c r="B5" s="801" t="n"/>
      <c r="G5" s="456" t="inlineStr">
        <is>
          <t>เสามือจับ อบขาว/ดำ /เส้น</t>
        </is>
      </c>
      <c r="H5" s="801" t="n">
        <v>1500</v>
      </c>
    </row>
    <row r="6">
      <c r="A6" s="456" t="inlineStr">
        <is>
          <t>พื้นที่/บาน (=กว้าง÷จำนวน×สูง)</t>
        </is>
      </c>
      <c r="B6" s="806">
        <f>IFERROR(ROUND((B3/B5)*B4/10000,2),"")</f>
        <v/>
      </c>
      <c r="G6" s="456" t="inlineStr">
        <is>
          <t>เสามือจับ สีชุบ /เส้น</t>
        </is>
      </c>
      <c r="H6" s="801" t="n">
        <v>1015</v>
      </c>
    </row>
    <row r="7">
      <c r="A7" s="456" t="inlineStr">
        <is>
          <t>สี</t>
        </is>
      </c>
      <c r="B7" s="801" t="n"/>
      <c r="G7" s="456" t="inlineStr">
        <is>
          <t>บานพับ /บาน (4ชิ้น)</t>
        </is>
      </c>
      <c r="H7" s="801" t="n">
        <v>80</v>
      </c>
    </row>
    <row r="8">
      <c r="A8" s="456" t="inlineStr">
        <is>
          <t>แบบ</t>
        </is>
      </c>
      <c r="B8" s="801" t="n"/>
      <c r="G8" s="456" t="inlineStr">
        <is>
          <t>ฉากประกอบมุม /ชิ้น</t>
        </is>
      </c>
      <c r="H8" s="801" t="n">
        <v>12</v>
      </c>
    </row>
    <row r="9">
      <c r="A9" s="456" t="inlineStr">
        <is>
          <t>ความยาวรางยู/บาน (=2×กว้าง, ม.)</t>
        </is>
      </c>
      <c r="B9" s="806">
        <f>IFERROR(ROUND(2*(B3/B5)/100,2),"")</f>
        <v/>
      </c>
      <c r="G9" s="456" t="inlineStr">
        <is>
          <t>ชุดล้อ (4ล้อ) /ชุด</t>
        </is>
      </c>
      <c r="H9" s="801" t="n">
        <v>100</v>
      </c>
    </row>
    <row r="10">
      <c r="A10" s="456" t="inlineStr">
        <is>
          <t>บวกกำไร %</t>
        </is>
      </c>
      <c r="B10" s="801" t="n">
        <v>100</v>
      </c>
      <c r="G10" s="456" t="inlineStr">
        <is>
          <t>รางยู /เส้น6ม</t>
        </is>
      </c>
      <c r="H10" s="801" t="n">
        <v>180</v>
      </c>
    </row>
    <row r="11">
      <c r="A11" s="456" t="inlineStr">
        <is>
          <t>เช็คขนาด</t>
        </is>
      </c>
      <c r="B11" s="806">
        <f>IF(B6&gt;2.8,"⚠ เกิน 2.8 ตร.ม.","OK ✓")</f>
        <v/>
      </c>
      <c r="G11" s="456" t="inlineStr">
        <is>
          <t>ค่ากรีดราง /ม.</t>
        </is>
      </c>
      <c r="H11" s="801" t="n">
        <v>800</v>
      </c>
    </row>
    <row r="12">
      <c r="A12" s="456" t="inlineStr">
        <is>
          <t>กระจก 5มม. (เลือกชนิด)</t>
        </is>
      </c>
      <c r="B12" s="801" t="inlineStr">
        <is>
          <t>ใส 5มม.</t>
        </is>
      </c>
      <c r="G12" s="456" t="inlineStr">
        <is>
          <t>กระจก 5มม /ตร.ม.</t>
        </is>
      </c>
      <c r="H12" s="807">
        <f>IFERROR(VLOOKUP(B12,ราคาวัสดุกลาง!$A$36:$B$46,2,0),"")</f>
        <v/>
      </c>
    </row>
    <row r="13">
      <c r="A13" s="805" t="inlineStr">
        <is>
          <t>③ BOM (รวมทุกบาน — คูณจำนวนบานแล้ว · ต้องเลือก "แบบ" ก่อน)</t>
        </is>
      </c>
      <c r="B13" s="641" t="n"/>
      <c r="C13" s="641" t="n"/>
      <c r="D13" s="641" t="n"/>
      <c r="E13" s="642" t="n"/>
      <c r="G13" s="456" t="inlineStr">
        <is>
          <t>สกรู /ตัว</t>
        </is>
      </c>
      <c r="H13" s="801" t="n">
        <v>0.5</v>
      </c>
    </row>
    <row r="14">
      <c r="A14" s="808" t="inlineStr">
        <is>
          <t>รายการ</t>
        </is>
      </c>
      <c r="B14" s="808" t="inlineStr">
        <is>
          <t>หน่วย</t>
        </is>
      </c>
      <c r="C14" s="808" t="inlineStr">
        <is>
          <t>จำนวน</t>
        </is>
      </c>
      <c r="D14" s="808" t="inlineStr">
        <is>
          <t>ราคา/หน่วย</t>
        </is>
      </c>
      <c r="E14" s="808" t="inlineStr">
        <is>
          <t>ทุน/บาน</t>
        </is>
      </c>
      <c r="G14" s="456" t="inlineStr">
        <is>
          <t>ค่าแรง/ชม.</t>
        </is>
      </c>
      <c r="H14" s="801" t="n">
        <v>87.5</v>
      </c>
    </row>
    <row r="15">
      <c r="A15" s="803" t="inlineStr">
        <is>
          <t>เฟรม (บน+ล่าง+ข้าง)</t>
        </is>
      </c>
      <c r="B15" s="809" t="inlineStr">
        <is>
          <t>เส้น6ม</t>
        </is>
      </c>
      <c r="C15" s="801">
        <f>IFERROR(ROUND((2*(B3/B5)+B4)/600*B5,3),0)</f>
        <v/>
      </c>
      <c r="D15" s="801">
        <f>IF(B7="อบขาว/ดำ",H3,H4)</f>
        <v/>
      </c>
      <c r="E15" s="807">
        <f>IF(OR(C15="",D15="",D15=0),"",ROUND(C15*D15,2))</f>
        <v/>
      </c>
      <c r="G15" s="456" t="inlineStr">
        <is>
          <t>ผลิต (ชม./บาน)</t>
        </is>
      </c>
      <c r="H15" s="801" t="n">
        <v>7</v>
      </c>
    </row>
    <row r="16">
      <c r="A16" s="803" t="inlineStr">
        <is>
          <t>เสามือจับ (ข้าง)</t>
        </is>
      </c>
      <c r="B16" s="809" t="inlineStr">
        <is>
          <t>เส้น6ม</t>
        </is>
      </c>
      <c r="C16" s="801">
        <f>ROUND(B4/600*B5,3)</f>
        <v/>
      </c>
      <c r="D16" s="801">
        <f>IF(B7="อบขาว/ดำ",H5,H6)</f>
        <v/>
      </c>
      <c r="E16" s="807">
        <f>IF(OR(C16="",D16="",D16=0),"",ROUND(C16*D16,2))</f>
        <v/>
      </c>
      <c r="G16" s="456" t="inlineStr">
        <is>
          <t>ติดตั้ง (ชม./บาน)</t>
        </is>
      </c>
      <c r="H16" s="801" t="n">
        <v>5</v>
      </c>
    </row>
    <row r="17">
      <c r="A17" s="803" t="inlineStr">
        <is>
          <t>บานพับ</t>
        </is>
      </c>
      <c r="B17" s="809" t="inlineStr">
        <is>
          <t>ถุง</t>
        </is>
      </c>
      <c r="C17" s="801">
        <f>IF(B8="บานเปิด",1,0)*B5</f>
        <v/>
      </c>
      <c r="D17" s="801">
        <f>H7</f>
        <v/>
      </c>
      <c r="E17" s="807">
        <f>IF(OR(C17="",D17="",D17=0),"",ROUND(C17*D17,2))</f>
        <v/>
      </c>
    </row>
    <row r="18">
      <c r="A18" s="803" t="inlineStr">
        <is>
          <t>ฉากประกอบมุม</t>
        </is>
      </c>
      <c r="B18" s="809" t="inlineStr">
        <is>
          <t>ชิ้น</t>
        </is>
      </c>
      <c r="C18" s="801">
        <f>4*B5</f>
        <v/>
      </c>
      <c r="D18" s="801">
        <f>H8</f>
        <v/>
      </c>
      <c r="E18" s="807">
        <f>IF(OR(C18="",D18="",D18=0),"",ROUND(C18*D18,2))</f>
        <v/>
      </c>
    </row>
    <row r="19">
      <c r="A19" s="803" t="inlineStr">
        <is>
          <t>สกรู (8/บาน)</t>
        </is>
      </c>
      <c r="B19" s="809" t="inlineStr">
        <is>
          <t>ตัว</t>
        </is>
      </c>
      <c r="C19" s="801">
        <f>8*B5</f>
        <v/>
      </c>
      <c r="D19" s="801">
        <f>H13</f>
        <v/>
      </c>
      <c r="E19" s="807">
        <f>IF(OR(C19="",D19="",D19=0),"",ROUND(C19*D19,2))</f>
        <v/>
      </c>
    </row>
    <row r="20">
      <c r="A20" s="803" t="inlineStr">
        <is>
          <t>ชุดล้อ (4ล้อ)</t>
        </is>
      </c>
      <c r="B20" s="809" t="inlineStr">
        <is>
          <t>ชุด</t>
        </is>
      </c>
      <c r="C20" s="801">
        <f>IF(B8="บานเลื่อน",1,0)*B5</f>
        <v/>
      </c>
      <c r="D20" s="801">
        <f>H9</f>
        <v/>
      </c>
      <c r="E20" s="807">
        <f>IF(OR(C20="",D20="",D20=0),"",ROUND(C20*D20,2))</f>
        <v/>
      </c>
    </row>
    <row r="21">
      <c r="A21" s="803" t="inlineStr">
        <is>
          <t>รางยู</t>
        </is>
      </c>
      <c r="B21" s="809" t="inlineStr">
        <is>
          <t>เส้น6ม</t>
        </is>
      </c>
      <c r="C21" s="801">
        <f>IF(B8="บานเลื่อน",ROUND(B9/6,3),0)*B5</f>
        <v/>
      </c>
      <c r="D21" s="801">
        <f>H10</f>
        <v/>
      </c>
      <c r="E21" s="807">
        <f>IF(OR(C21="",D21="",D21=0),"",ROUND(C21*D21,2))</f>
        <v/>
      </c>
    </row>
    <row r="22">
      <c r="A22" s="803" t="inlineStr">
        <is>
          <t>ค่ากรีดราง</t>
        </is>
      </c>
      <c r="B22" s="809" t="inlineStr">
        <is>
          <t>ม.</t>
        </is>
      </c>
      <c r="C22" s="801">
        <f>IF(B8="บานเลื่อน",B9,0)*B5</f>
        <v/>
      </c>
      <c r="D22" s="801">
        <f>H11</f>
        <v/>
      </c>
      <c r="E22" s="807">
        <f>IF(OR(C22="",D22="",D22=0),"",ROUND(C22*D22,2))</f>
        <v/>
      </c>
    </row>
    <row r="23">
      <c r="A23" s="803" t="inlineStr">
        <is>
          <t>กระจก 5มม.</t>
        </is>
      </c>
      <c r="B23" s="809" t="inlineStr">
        <is>
          <t>ตร.ม.</t>
        </is>
      </c>
      <c r="C23" s="801">
        <f>ROUND(B6*B5,3)</f>
        <v/>
      </c>
      <c r="D23" s="801">
        <f>H12</f>
        <v/>
      </c>
      <c r="E23" s="807">
        <f>IF(OR(C23="",D23="",D23=0),"",ROUND(C23*D23,2))</f>
        <v/>
      </c>
    </row>
    <row r="24">
      <c r="A24" s="810" t="inlineStr">
        <is>
          <t>ทุนวัสดุรวม (ทุกบาน)</t>
        </is>
      </c>
      <c r="B24" s="134" t="n"/>
      <c r="C24" s="528" t="n"/>
      <c r="D24" s="528" t="n"/>
      <c r="E24" s="807">
        <f>SUM(E15:E23)</f>
        <v/>
      </c>
    </row>
    <row r="25">
      <c r="A25" s="810" t="inlineStr">
        <is>
          <t>ค่าแรง (ทุกบาน) = พื้นที่รวม × เรต/ตร.ม. (จากตารางค่าแรง)</t>
        </is>
      </c>
      <c r="B25" s="134" t="n"/>
      <c r="C25" s="528" t="n"/>
      <c r="D25" s="528" t="n"/>
      <c r="E25" s="811">
        <f>ROUND(B6*B5*(VLOOKUP("บานตู้ Futuretech",ค่าแรง!$A$12:$E$43,3,0)+VLOOKUP("บานตู้ Futuretech",ค่าแรง!$A$12:$E$43,5,0)),0)</f>
        <v/>
      </c>
    </row>
    <row r="26">
      <c r="A26" s="810" t="inlineStr">
        <is>
          <t>ทุนรวม (ทุกบาน)</t>
        </is>
      </c>
      <c r="B26" s="134" t="n"/>
      <c r="C26" s="528" t="n"/>
      <c r="D26" s="528" t="n"/>
      <c r="E26" s="811">
        <f>E24+E25</f>
        <v/>
      </c>
    </row>
    <row r="27">
      <c r="A27" s="810" t="inlineStr">
        <is>
          <t>ทุน/บาน</t>
        </is>
      </c>
      <c r="B27" s="134" t="n"/>
      <c r="C27" s="528" t="n"/>
      <c r="D27" s="528" t="n"/>
      <c r="E27" s="807">
        <f>IFERROR(ROUND(E26/B5,0),"")</f>
        <v/>
      </c>
    </row>
    <row r="28">
      <c r="A28" s="456" t="inlineStr">
        <is>
          <t>ทุน/ตร.ม.</t>
        </is>
      </c>
      <c r="E28" s="807">
        <f>IFERROR(ROUND(E27/B6,0),"")</f>
        <v/>
      </c>
    </row>
    <row r="29">
      <c r="A29" s="456" t="inlineStr">
        <is>
          <t>ราคาขาย/บาน (×กำไร)</t>
        </is>
      </c>
      <c r="E29" s="811">
        <f>IFERROR(ROUND(E27*(1+B10/100),0),"")</f>
        <v/>
      </c>
    </row>
    <row r="30">
      <c r="A30" s="456" t="inlineStr">
        <is>
          <t>ราคาขาย/ตร.ม.</t>
        </is>
      </c>
      <c r="E30" s="811">
        <f>IFERROR(ROUND(E29/B6,0),"")</f>
        <v/>
      </c>
    </row>
    <row r="31">
      <c r="A31" s="456" t="inlineStr">
        <is>
          <t>R3.9 ขาย/ตร.ม. (กรอกเทียบ)</t>
        </is>
      </c>
      <c r="E31" s="812" t="n"/>
    </row>
    <row r="32">
      <c r="A32" s="456" t="inlineStr">
        <is>
          <t>% กำไร เทียบ R3.9</t>
        </is>
      </c>
      <c r="E32" s="813">
        <f>IFERROR((E31-E28)/E31,"")</f>
        <v/>
      </c>
    </row>
    <row r="33">
      <c r="A33" s="276" t="n"/>
      <c r="E33" s="794" t="n"/>
    </row>
    <row r="34">
      <c r="A34" s="276" t="n"/>
      <c r="E34" s="278" t="n"/>
    </row>
    <row r="35">
      <c r="A35" s="276" t="n"/>
      <c r="E35" s="814" t="n"/>
    </row>
  </sheetData>
  <mergeCells count="4">
    <mergeCell ref="G2:H2"/>
    <mergeCell ref="A1:E1"/>
    <mergeCell ref="A2:B2"/>
    <mergeCell ref="A13:E13"/>
  </mergeCells>
  <dataValidations count="3">
    <dataValidation sqref="B7" showDropDown="0" showInputMessage="0" showErrorMessage="0" allowBlank="1" type="list">
      <formula1>"อบขาว/ดำ,สีชุบ"</formula1>
    </dataValidation>
    <dataValidation sqref="B8" showDropDown="0" showInputMessage="0" showErrorMessage="0" allowBlank="1" type="list">
      <formula1>"บานเปิด,บานเลื่อน"</formula1>
    </dataValidation>
    <dataValidation sqref="B12" showDropDown="0" showInputMessage="0" showErrorMessage="0" allowBlank="1" type="list">
      <formula1>"ใส 5มม.,เขียว 5มม.,ชาดำ 5มม.,ชาดา 5มม.,กระจกชา/ฝ้า/ลายผ้า 5-6มม.,กระจกเงา 5มม.,ยูโรเกรย์ 5มม.,ยูโรบรอนซ์ 5มม.,กระจกลอนแก้ว 5มม.,เทมเปอร์ยูโรเกรย์ 5มม.,เทมเปอร์ยูโรบรอนซ์ 5มม."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tabColor rgb="009DC3E6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6" customWidth="1" style="129" min="1" max="1"/>
    <col width="11" customWidth="1" style="129" min="2" max="2"/>
    <col width="12" customWidth="1" style="129" min="3" max="3"/>
    <col width="12" customWidth="1" style="129" min="4" max="4"/>
    <col width="12" customWidth="1" style="129" min="5" max="5"/>
    <col width="2" customWidth="1" style="129" min="6" max="6"/>
    <col width="28" customWidth="1" style="129" min="7" max="7"/>
    <col width="11" customWidth="1" style="129" min="8" max="8"/>
  </cols>
  <sheetData>
    <row r="1">
      <c r="A1" s="798" t="inlineStr">
        <is>
          <t>📄 คิดทุน ชุด Shower — กรอกช่องเหลือง · กรอกขนาดบานตาย/บานเปิด-เลื่อน แยกได้ · คิดต่อ 1 ชุด</t>
        </is>
      </c>
      <c r="G1" s="873" t="inlineStr">
        <is>
          <t>🏠 สารบัญ</t>
        </is>
      </c>
    </row>
    <row r="2">
      <c r="A2" s="805" t="inlineStr">
        <is>
          <t>① กรอกขนาด + เลือกออปชั่น</t>
        </is>
      </c>
      <c r="B2" s="642" t="n"/>
      <c r="G2" s="805" t="inlineStr">
        <is>
          <t>② ราคาวัสดุ/อุปกรณ์ (แก้ตรงนี้)</t>
        </is>
      </c>
      <c r="H2" s="642" t="n"/>
    </row>
    <row r="3">
      <c r="A3" s="456" t="inlineStr">
        <is>
          <t>ช่องปูน กว้าง (ซม.) [ราวกลม/ราง]</t>
        </is>
      </c>
      <c r="B3" s="801" t="n"/>
      <c r="G3" s="456" t="inlineStr">
        <is>
          <t>ยูจับกระจก /ตัว</t>
        </is>
      </c>
      <c r="H3" s="815">
        <f>'ชีทอุปกรณ์'!$D$9</f>
        <v/>
      </c>
    </row>
    <row r="4">
      <c r="A4" s="456" t="inlineStr">
        <is>
          <t>บานตาย: กว้าง (ซม.)</t>
        </is>
      </c>
      <c r="B4" s="801" t="n"/>
      <c r="G4" s="456" t="inlineStr">
        <is>
          <t>ราวสแตนเลสกลม /เส้น6ม</t>
        </is>
      </c>
      <c r="H4" s="815">
        <f>'ชีทอุปกรณ์'!$D$156</f>
        <v/>
      </c>
    </row>
    <row r="5">
      <c r="A5" s="456" t="inlineStr">
        <is>
          <t>บานตาย: สูง (ซม.)</t>
        </is>
      </c>
      <c r="B5" s="801" t="n"/>
      <c r="G5" s="456" t="inlineStr">
        <is>
          <t>ตัวจับกระจกคู่ราว /ตัว</t>
        </is>
      </c>
      <c r="H5" s="815">
        <f>'ชีทอุปกรณ์'!$D$157</f>
        <v/>
      </c>
    </row>
    <row r="6">
      <c r="A6" s="456" t="inlineStr">
        <is>
          <t>บานเปิด/เลื่อน: กว้าง (ซม.)</t>
        </is>
      </c>
      <c r="B6" s="801" t="n"/>
      <c r="G6" s="456" t="inlineStr">
        <is>
          <t>บานพับสแตนเลส /ตัว</t>
        </is>
      </c>
      <c r="H6" s="815">
        <f>'ชีทอุปกรณ์'!$D$8</f>
        <v/>
      </c>
    </row>
    <row r="7">
      <c r="A7" s="456" t="inlineStr">
        <is>
          <t>บานเปิด/เลื่อน: สูง (ซม.)</t>
        </is>
      </c>
      <c r="B7" s="801" t="n"/>
      <c r="G7" s="456" t="inlineStr">
        <is>
          <t>ยางปิดหน้าบาน /เส้น</t>
        </is>
      </c>
      <c r="H7" s="815">
        <f>'ชีทอุปกรณ์'!$D$158</f>
        <v/>
      </c>
    </row>
    <row r="8">
      <c r="A8" s="456" t="inlineStr">
        <is>
          <t>พื้นที่กระจก (ตร.ม.)</t>
        </is>
      </c>
      <c r="B8" s="806">
        <f>ROUND((B4*B5+B6*B7)/10000,2)</f>
        <v/>
      </c>
      <c r="G8" s="456" t="inlineStr">
        <is>
          <t>รางสแตนเลสเลื่อน /เส้น6ม</t>
        </is>
      </c>
      <c r="H8" s="815">
        <f>'ชีทอุปกรณ์'!$D$159</f>
        <v/>
      </c>
    </row>
    <row r="9">
      <c r="A9" s="456" t="inlineStr">
        <is>
          <t>ชุด</t>
        </is>
      </c>
      <c r="B9" s="801" t="inlineStr">
        <is>
          <t>สแตนเลส</t>
        </is>
      </c>
      <c r="G9" s="456" t="inlineStr">
        <is>
          <t>มือจับสแตนเลส /ตัว</t>
        </is>
      </c>
      <c r="H9" s="815">
        <f>'ชีทอุปกรณ์'!$D$111</f>
        <v/>
      </c>
    </row>
    <row r="10">
      <c r="A10" s="456" t="inlineStr">
        <is>
          <t>แบบ</t>
        </is>
      </c>
      <c r="B10" s="801" t="inlineStr">
        <is>
          <t>บานตาย</t>
        </is>
      </c>
      <c r="G10" s="456" t="inlineStr">
        <is>
          <t>ยู5หุนอลู อบขาว/ดำ /เส้น</t>
        </is>
      </c>
      <c r="H10" s="815">
        <f>'ชีทอุปกรณ์'!$D$160</f>
        <v/>
      </c>
    </row>
    <row r="11">
      <c r="A11" s="456" t="inlineStr">
        <is>
          <t>ราวกลมด้านบน (ตาย/เปิด)</t>
        </is>
      </c>
      <c r="B11" s="801" t="inlineStr">
        <is>
          <t>มี</t>
        </is>
      </c>
      <c r="G11" s="456" t="inlineStr">
        <is>
          <t>ยู5หุนอลู เทา /เส้น</t>
        </is>
      </c>
      <c r="H11" s="815">
        <f>'ชีทอุปกรณ์'!$D$161</f>
        <v/>
      </c>
    </row>
    <row r="12">
      <c r="A12" s="456" t="inlineStr">
        <is>
          <t>กระจก</t>
        </is>
      </c>
      <c r="B12" s="801" t="inlineStr">
        <is>
          <t>เทมเปอร์ใส 10มม.</t>
        </is>
      </c>
      <c r="G12" s="456" t="inlineStr">
        <is>
          <t>กระจก /ตร.ม. (auto)</t>
        </is>
      </c>
      <c r="H12" s="807">
        <f>IFERROR(VLOOKUP(B12,ราคาวัสดุกลาง!$A$36:$B$54,2,0),"")</f>
        <v/>
      </c>
    </row>
    <row r="13">
      <c r="A13" s="816" t="inlineStr">
        <is>
          <t>สี ยู5หุน (ถ้าอลู)</t>
        </is>
      </c>
      <c r="B13" s="817" t="inlineStr">
        <is>
          <t>อบขาว/ดำ</t>
        </is>
      </c>
      <c r="C13" s="789" t="n"/>
      <c r="D13" s="789" t="n"/>
      <c r="E13" s="789" t="n"/>
      <c r="G13" s="456" t="inlineStr">
        <is>
          <t>ค่าแรง/ชม.</t>
        </is>
      </c>
      <c r="H13" s="815" t="n">
        <v>87.5</v>
      </c>
    </row>
    <row r="14">
      <c r="A14" s="805" t="inlineStr">
        <is>
          <t>บวกกำไร %</t>
        </is>
      </c>
      <c r="B14" s="801" t="n">
        <v>100</v>
      </c>
      <c r="G14" s="456" t="inlineStr">
        <is>
          <t>ผลิต ชม. (สั่งสำเร็จ=0)</t>
        </is>
      </c>
      <c r="H14" s="815" t="n">
        <v>0</v>
      </c>
    </row>
    <row r="15">
      <c r="A15" s="805" t="n"/>
      <c r="G15" s="456" t="inlineStr">
        <is>
          <t>ติดตั้ง ชม. (auto ตาย5/เปิด-เลื่อน6)</t>
        </is>
      </c>
      <c r="H15" s="807">
        <f>IF(B10="บานตาย",5,6)</f>
        <v/>
      </c>
    </row>
    <row r="16">
      <c r="A16" s="805" t="inlineStr">
        <is>
          <t>③ BOM (ต่อ 1 ชุด)</t>
        </is>
      </c>
      <c r="B16" s="641" t="n"/>
      <c r="C16" s="641" t="n"/>
      <c r="D16" s="641" t="n"/>
      <c r="E16" s="642" t="n"/>
    </row>
    <row r="17">
      <c r="A17" s="808" t="inlineStr">
        <is>
          <t>รายการ</t>
        </is>
      </c>
      <c r="B17" s="808" t="inlineStr">
        <is>
          <t>หน่วย</t>
        </is>
      </c>
      <c r="C17" s="808" t="inlineStr">
        <is>
          <t>จำนวน</t>
        </is>
      </c>
      <c r="D17" s="808" t="inlineStr">
        <is>
          <t>ราคา/หน่วย</t>
        </is>
      </c>
      <c r="E17" s="808" t="inlineStr">
        <is>
          <t>ทุน</t>
        </is>
      </c>
      <c r="G17" s="674" t="inlineStr">
        <is>
          <t>📌 ดำ/ทอง ใช้ราคาสแตนเลส (กันขาดทุน — ดำจริงถูกกว่า)</t>
        </is>
      </c>
    </row>
    <row r="18">
      <c r="A18" s="803" t="inlineStr">
        <is>
          <t>กระจกเทมเปอร์ (ตาย+เปิด)</t>
        </is>
      </c>
      <c r="B18" s="809" t="inlineStr">
        <is>
          <t>ตร.ม.</t>
        </is>
      </c>
      <c r="C18" s="801">
        <f>B8</f>
        <v/>
      </c>
      <c r="D18" s="801">
        <f>H12</f>
        <v/>
      </c>
      <c r="E18" s="807">
        <f>IF(OR(C18="",D18="",D18=0),"",ROUND(C18*D18,2))</f>
        <v/>
      </c>
    </row>
    <row r="19">
      <c r="A19" s="803" t="inlineStr">
        <is>
          <t>ยูจับกระจก</t>
        </is>
      </c>
      <c r="B19" s="809" t="inlineStr">
        <is>
          <t>ตัว</t>
        </is>
      </c>
      <c r="C19" s="801">
        <f>IF(B9="สแตนเลส",4,0)</f>
        <v/>
      </c>
      <c r="D19" s="801">
        <f>H3</f>
        <v/>
      </c>
      <c r="E19" s="807">
        <f>IF(OR(C19="",D19="",D19=0),"",ROUND(C19*D19,2))</f>
        <v/>
      </c>
    </row>
    <row r="20">
      <c r="A20" s="803" t="inlineStr">
        <is>
          <t>ราวสแตนเลสกลม</t>
        </is>
      </c>
      <c r="B20" s="809" t="inlineStr">
        <is>
          <t>เส้น6ม</t>
        </is>
      </c>
      <c r="C20" s="801">
        <f>IF(AND(B9="สแตนเลส",B11="มี",B10&lt;&gt;"บานตาย+บานเลื่อน"),ROUND(B3/600,3),0)</f>
        <v/>
      </c>
      <c r="D20" s="801">
        <f>H4</f>
        <v/>
      </c>
      <c r="E20" s="807">
        <f>IF(OR(C20="",D20="",D20=0),"",ROUND(C20*D20,2))</f>
        <v/>
      </c>
    </row>
    <row r="21">
      <c r="A21" s="803" t="inlineStr">
        <is>
          <t>ตัวจับกระจกคู่ราว</t>
        </is>
      </c>
      <c r="B21" s="809" t="inlineStr">
        <is>
          <t>ตัว</t>
        </is>
      </c>
      <c r="C21" s="801">
        <f>IF(AND(B9="สแตนเลส",B11="มี",B10&lt;&gt;"บานตาย+บานเลื่อน"),2,0)</f>
        <v/>
      </c>
      <c r="D21" s="801">
        <f>H5</f>
        <v/>
      </c>
      <c r="E21" s="807">
        <f>IF(OR(C21="",D21="",D21=0),"",ROUND(C21*D21,2))</f>
        <v/>
      </c>
    </row>
    <row r="22">
      <c r="A22" s="803" t="inlineStr">
        <is>
          <t>บานพับสแตนเลส</t>
        </is>
      </c>
      <c r="B22" s="809" t="inlineStr">
        <is>
          <t>ตัว</t>
        </is>
      </c>
      <c r="C22" s="801">
        <f>IF(AND(B9="สแตนเลส",B10="บานตาย+บานเปิด"),2,0)</f>
        <v/>
      </c>
      <c r="D22" s="801">
        <f>H6</f>
        <v/>
      </c>
      <c r="E22" s="807">
        <f>IF(OR(C22="",D22="",D22=0),"",ROUND(C22*D22,2))</f>
        <v/>
      </c>
    </row>
    <row r="23">
      <c r="A23" s="803" t="inlineStr">
        <is>
          <t>ยางปิดหน้าบาน</t>
        </is>
      </c>
      <c r="B23" s="809" t="inlineStr">
        <is>
          <t>เส้น</t>
        </is>
      </c>
      <c r="C23" s="801">
        <f>IF(AND(B9="สแตนเลส",B10="บานตาย+บานเปิด"),1,0)</f>
        <v/>
      </c>
      <c r="D23" s="801">
        <f>H7</f>
        <v/>
      </c>
      <c r="E23" s="807">
        <f>IF(OR(C23="",D23="",D23=0),"",ROUND(C23*D23,2))</f>
        <v/>
      </c>
    </row>
    <row r="24">
      <c r="A24" s="803" t="inlineStr">
        <is>
          <t>รางสแตนเลสเลื่อน</t>
        </is>
      </c>
      <c r="B24" s="809" t="inlineStr">
        <is>
          <t>เส้น6ม</t>
        </is>
      </c>
      <c r="C24" s="801">
        <f>IF(AND(B9="สแตนเลส",B10="บานตาย+บานเลื่อน"),ROUND(B3/600,3),0)</f>
        <v/>
      </c>
      <c r="D24" s="801">
        <f>H8</f>
        <v/>
      </c>
      <c r="E24" s="807">
        <f>IF(OR(C24="",D24="",D24=0),"",ROUND(C24*D24,2))</f>
        <v/>
      </c>
    </row>
    <row r="25">
      <c r="A25" s="803" t="inlineStr">
        <is>
          <t>มือจับสแตนเลส</t>
        </is>
      </c>
      <c r="B25" s="809" t="inlineStr">
        <is>
          <t>ตัว</t>
        </is>
      </c>
      <c r="C25" s="801">
        <f>IF(OR(B10="บานตาย+บานเปิด",B10="บานตาย+บานเลื่อน"),1,0)</f>
        <v/>
      </c>
      <c r="D25" s="801">
        <f>H9</f>
        <v/>
      </c>
      <c r="E25" s="807">
        <f>IF(OR(C25="",D25="",D25=0),"",ROUND(C25*D25,2))</f>
        <v/>
      </c>
    </row>
    <row r="26">
      <c r="A26" s="803" t="inlineStr">
        <is>
          <t>ยู5หุนอลู (รอบแต่ละแผ่น)</t>
        </is>
      </c>
      <c r="B26" s="809" t="inlineStr">
        <is>
          <t>เส้น6ม</t>
        </is>
      </c>
      <c r="C26" s="801">
        <f>IF(B9="อลูมิเนียม",ROUND((2*(B4+B5)+2*(B6+B7))/600,3),0)</f>
        <v/>
      </c>
      <c r="D26" s="801">
        <f>IF(B13="อบขาว/ดำ",H10,H11)</f>
        <v/>
      </c>
      <c r="E26" s="807">
        <f>IF(OR(C26="",D26="",D26=0),"",ROUND(C26*D26,2))</f>
        <v/>
      </c>
    </row>
    <row r="27">
      <c r="A27" s="810" t="inlineStr">
        <is>
          <t>ทุนวัสดุรวม</t>
        </is>
      </c>
      <c r="B27" s="134" t="n"/>
      <c r="C27" s="528" t="n"/>
      <c r="D27" s="528" t="n"/>
      <c r="E27" s="807">
        <f>SUM(E18:E26)</f>
        <v/>
      </c>
    </row>
    <row r="28">
      <c r="A28" s="456" t="inlineStr">
        <is>
          <t>ค่าแรงติดตั้ง =(ผลิต+ติดตั้ง)×เรต</t>
        </is>
      </c>
      <c r="E28" s="811">
        <f>ROUND((VLOOKUP("ชุด Shower",'ค่าแรง'!$A$12:$M$46,7,0)+VLOOKUP("ชุด Shower",'ค่าแรง'!$A$12:$M$46,8,0)+IF(B10="บานตาย",0,1))*VLOOKUP("ชุด Shower",'ค่าแรง'!$A$12:$M$46,9,0),0)</f>
        <v/>
      </c>
    </row>
    <row r="29">
      <c r="A29" s="456" t="inlineStr">
        <is>
          <t>ทุนรวม/ชุด</t>
        </is>
      </c>
      <c r="E29" s="811">
        <f>E27+E28</f>
        <v/>
      </c>
    </row>
    <row r="30">
      <c r="A30" s="456" t="inlineStr">
        <is>
          <t>ทุน/ตร.ม.</t>
        </is>
      </c>
      <c r="E30" s="807">
        <f>IFERROR(ROUND(E29/B8,0),"")</f>
        <v/>
      </c>
    </row>
    <row r="31">
      <c r="A31" s="456" t="inlineStr">
        <is>
          <t>ราคาขาย/ชุด (×กำไร)</t>
        </is>
      </c>
      <c r="E31" s="811">
        <f>IFERROR(ROUND(E29*(1+B14/100),0),"")</f>
        <v/>
      </c>
    </row>
    <row r="32">
      <c r="A32" s="456" t="inlineStr">
        <is>
          <t>ราคาขาย/ตร.ม.</t>
        </is>
      </c>
      <c r="E32" s="811">
        <f>IFERROR(ROUND(E31/B8,0),"")</f>
        <v/>
      </c>
    </row>
    <row r="33">
      <c r="A33" s="456" t="inlineStr">
        <is>
          <t>R3.9 ขาย/ตร.ม. (กรอกเทียบ)</t>
        </is>
      </c>
      <c r="E33" s="815" t="n"/>
    </row>
    <row r="34">
      <c r="A34" s="456" t="inlineStr">
        <is>
          <t>% กำไร เทียบ R3.9</t>
        </is>
      </c>
      <c r="E34" s="813">
        <f>IFERROR((E33-E30)/E33,"")</f>
        <v/>
      </c>
    </row>
    <row r="35">
      <c r="A35" s="276" t="n"/>
      <c r="E35" s="788" t="n"/>
    </row>
  </sheetData>
  <mergeCells count="4">
    <mergeCell ref="A16:E16"/>
    <mergeCell ref="G2:H2"/>
    <mergeCell ref="A1:E1"/>
    <mergeCell ref="A2:B2"/>
  </mergeCells>
  <dataValidations count="5">
    <dataValidation sqref="B9" showDropDown="0" showInputMessage="0" showErrorMessage="0" allowBlank="1" type="list">
      <formula1>"สแตนเลส,อลูมิเนียม"</formula1>
    </dataValidation>
    <dataValidation sqref="B10" showDropDown="0" showInputMessage="0" showErrorMessage="0" allowBlank="1" type="list">
      <formula1>"บานตาย,บานตาย+บานเปิด,บานตาย+บานเลื่อน"</formula1>
    </dataValidation>
    <dataValidation sqref="B11" showDropDown="0" showInputMessage="0" showErrorMessage="0" allowBlank="1" type="list">
      <formula1>"มี,ไม่มี"</formula1>
    </dataValidation>
    <dataValidation sqref="B12" showDropDown="0" showInputMessage="0" showErrorMessage="0" allowBlank="1" type="list">
      <formula1>"เทมเปอร์ใส 10มม.,เทมเปอร์ใส 12มม.,เทมเปอร์เขียว 10มม.,เทมเปอร์เขียว 12มม.,เทมเปอร์ยูโรเกรย์ 10มม.,เทมเปอร์ยูโรบรอนซ์ 10มม.,เทมเปอร์ชาดำ 10มม.,เทมเปอร์ชาทอง 10มม."</formula1>
    </dataValidation>
    <dataValidation sqref="B13" showDropDown="0" showInputMessage="0" showErrorMessage="0" allowBlank="1" type="list">
      <formula1>"อบขาว/ดำ,เทาซาฮาร่า"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tabColor rgb="009DC3E6"/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8" customWidth="1" style="129" min="1" max="1"/>
    <col width="10" customWidth="1" style="129" min="2" max="2"/>
    <col width="12" customWidth="1" style="129" min="3" max="3"/>
    <col width="12" customWidth="1" style="129" min="4" max="4"/>
    <col width="12" customWidth="1" style="129" min="5" max="5"/>
    <col width="2" customWidth="1" style="129" min="6" max="6"/>
    <col width="26" customWidth="1" style="129" min="7" max="7"/>
    <col width="11" customWidth="1" style="129" min="8" max="8"/>
  </cols>
  <sheetData>
    <row r="1">
      <c r="A1" s="798" t="inlineStr">
        <is>
          <t>📄 คิดทุน ราวกันตก (ยูเหล็กครอบอลู) — เลือกออปชั่น หมุดจับ/ตั้งเสา · กรอกช่องเหลือง</t>
        </is>
      </c>
      <c r="G1" s="873" t="inlineStr">
        <is>
          <t>🏠 สารบัญ</t>
        </is>
      </c>
    </row>
    <row r="2">
      <c r="A2" s="805" t="inlineStr">
        <is>
          <t>① กรอกขนาด + เลือกออปชั่น</t>
        </is>
      </c>
      <c r="B2" s="642" t="n"/>
      <c r="G2" s="805" t="inlineStr">
        <is>
          <t>② ราคาวัสดุ/อุปกรณ์ (แก้ตรงนี้)</t>
        </is>
      </c>
      <c r="H2" s="642" t="n"/>
    </row>
    <row r="3">
      <c r="A3" s="456" t="inlineStr">
        <is>
          <t>ยาวราว (ซม.)</t>
        </is>
      </c>
      <c r="B3" s="801" t="n"/>
      <c r="G3" s="456" t="inlineStr">
        <is>
          <t>ยูเหล็ก 6หุน×1½ /เส้น6ม</t>
        </is>
      </c>
      <c r="H3" s="815" t="n">
        <v>225</v>
      </c>
    </row>
    <row r="4">
      <c r="A4" s="456" t="inlineStr">
        <is>
          <t>สูง (ซม.)</t>
        </is>
      </c>
      <c r="B4" s="801" t="n"/>
      <c r="G4" s="456" t="inlineStr">
        <is>
          <t>เพลท /เส้น6ม</t>
        </is>
      </c>
      <c r="H4" s="815" t="n">
        <v>600</v>
      </c>
    </row>
    <row r="5">
      <c r="A5" s="456" t="inlineStr">
        <is>
          <t>จำนวนช่อง (ตั้งเสา)</t>
        </is>
      </c>
      <c r="B5" s="801" t="n"/>
      <c r="G5" s="456" t="inlineStr">
        <is>
          <t>อลูครอบ 2"×6" /เส้น6ม</t>
        </is>
      </c>
      <c r="H5" s="815" t="n">
        <v>3207</v>
      </c>
    </row>
    <row r="6">
      <c r="A6" s="456" t="inlineStr">
        <is>
          <t>ออปชั่น</t>
        </is>
      </c>
      <c r="B6" s="801" t="inlineStr">
        <is>
          <t>ยูเหล็กครอบอลู</t>
        </is>
      </c>
      <c r="G6" s="456" t="inlineStr">
        <is>
          <t>ตัวหนีบกระจกสแตนเลส /ตัว</t>
        </is>
      </c>
      <c r="H6" s="815" t="n">
        <v>175</v>
      </c>
    </row>
    <row r="7">
      <c r="A7" s="456" t="inlineStr">
        <is>
          <t>กระจก (เทมเปอร์/ลามิเนต ≥10มม)</t>
        </is>
      </c>
      <c r="B7" s="801" t="n"/>
      <c r="F7" s="140" t="inlineStr">
        <is>
          <t>เงิน/ปกติ</t>
        </is>
      </c>
      <c r="G7" s="456" t="inlineStr">
        <is>
          <t>กล่องอลู 1"×1.6" /เส้น6ม</t>
        </is>
      </c>
      <c r="H7" s="815">
        <f>IF(F7="ดำ/เทาซาฮาร่า",652,598)</f>
        <v/>
      </c>
      <c r="I7" s="140" t="inlineStr">
        <is>
          <t>เลือกสีที่ F7 · ปกติ598 / ดำ-เทาซาฮาร่า652</t>
        </is>
      </c>
    </row>
    <row r="8">
      <c r="A8" s="456" t="inlineStr">
        <is>
          <t>พื้นที่กระจก (ตร.ม.)</t>
        </is>
      </c>
      <c r="B8" s="806">
        <f>ROUND(B3*B4/10000,2)</f>
        <v/>
      </c>
      <c r="G8" s="456" t="inlineStr">
        <is>
          <t>เหล็ก 1"×1½" ยัดเสา /เส้น6ม</t>
        </is>
      </c>
      <c r="H8" s="815" t="n">
        <v>225</v>
      </c>
    </row>
    <row r="9">
      <c r="A9" s="456" t="inlineStr">
        <is>
          <t>บวกกำไร %</t>
        </is>
      </c>
      <c r="B9" s="801" t="n">
        <v>100</v>
      </c>
      <c r="G9" s="456" t="inlineStr">
        <is>
          <t>ยู5หุน /เส้น6ม</t>
        </is>
      </c>
      <c r="H9" s="815" t="n">
        <v>200</v>
      </c>
    </row>
    <row r="10">
      <c r="A10" s="789" t="n"/>
      <c r="B10" s="789" t="n"/>
      <c r="C10" s="789" t="n"/>
      <c r="D10" s="789" t="n"/>
      <c r="E10" s="789" t="n"/>
      <c r="G10" s="456" t="inlineStr">
        <is>
          <t>PU /หลอด</t>
        </is>
      </c>
      <c r="H10" s="815" t="n">
        <v>90</v>
      </c>
    </row>
    <row r="11">
      <c r="A11" s="134" t="n"/>
      <c r="B11" s="134" t="n"/>
      <c r="C11" s="528" t="n"/>
      <c r="D11" s="528" t="n"/>
      <c r="E11" s="818" t="n"/>
      <c r="G11" s="456" t="inlineStr">
        <is>
          <t>กระจก /ตร.ม. (auto)</t>
        </is>
      </c>
      <c r="H11" s="807">
        <f>IFERROR(INDEX(ราคาวัสดุกลาง!$I$2:$I$106,MATCH(B7,ราคาวัสดุกลาง!$H$2:$H$106,0)),"")</f>
        <v/>
      </c>
    </row>
    <row r="12">
      <c r="A12" s="134" t="n"/>
      <c r="B12" s="134" t="n"/>
      <c r="C12" s="528" t="n"/>
      <c r="D12" s="528" t="n"/>
      <c r="E12" s="818" t="n"/>
      <c r="G12" s="456" t="inlineStr">
        <is>
          <t>ค่าแรง/ชม.</t>
        </is>
      </c>
      <c r="H12" s="815" t="n">
        <v>87.5</v>
      </c>
    </row>
    <row r="13">
      <c r="A13" s="134" t="n"/>
      <c r="B13" s="134" t="n"/>
      <c r="C13" s="528" t="n"/>
      <c r="D13" s="528" t="n"/>
      <c r="E13" s="818" t="n"/>
      <c r="G13" s="456" t="inlineStr">
        <is>
          <t>ผลิต ชม.</t>
        </is>
      </c>
      <c r="H13" s="815" t="n">
        <v>4</v>
      </c>
    </row>
    <row r="14">
      <c r="A14" s="134" t="n"/>
      <c r="B14" s="134" t="n"/>
      <c r="C14" s="528" t="n"/>
      <c r="D14" s="528" t="n"/>
      <c r="E14" s="818" t="n"/>
      <c r="G14" s="456" t="inlineStr">
        <is>
          <t>ติดตั้ง ชม.</t>
        </is>
      </c>
      <c r="H14" s="815" t="n">
        <v>7</v>
      </c>
    </row>
    <row r="15">
      <c r="A15" s="134" t="n"/>
      <c r="B15" s="134" t="n"/>
      <c r="C15" s="528" t="n"/>
      <c r="D15" s="528" t="n"/>
      <c r="E15" s="818" t="n"/>
      <c r="G15" s="456" t="inlineStr">
        <is>
          <t>ติดตั้ง คน</t>
        </is>
      </c>
      <c r="H15" s="815" t="n">
        <v>2</v>
      </c>
    </row>
    <row r="16">
      <c r="A16" s="805" t="inlineStr">
        <is>
          <t>③ BOM</t>
        </is>
      </c>
      <c r="B16" s="641" t="n"/>
      <c r="C16" s="641" t="n"/>
      <c r="D16" s="641" t="n"/>
      <c r="E16" s="642" t="n"/>
    </row>
    <row r="17">
      <c r="A17" s="808" t="inlineStr">
        <is>
          <t>รายการ</t>
        </is>
      </c>
      <c r="B17" s="808" t="inlineStr">
        <is>
          <t>หน่วย</t>
        </is>
      </c>
      <c r="C17" s="808" t="inlineStr">
        <is>
          <t>จำนวน</t>
        </is>
      </c>
      <c r="D17" s="808" t="inlineStr">
        <is>
          <t>ราคา/หน่วย</t>
        </is>
      </c>
      <c r="E17" s="808" t="inlineStr">
        <is>
          <t>ทุน</t>
        </is>
      </c>
      <c r="F17" s="456" t="inlineStr">
        <is>
          <t>จำนวนเสา (ต้น) =</t>
        </is>
      </c>
      <c r="G17" s="807">
        <f>IF(B6="ตั้งเสารับ",B5+1,0)</f>
        <v/>
      </c>
    </row>
    <row r="18">
      <c r="A18" s="803" t="inlineStr">
        <is>
          <t>ยูเหล็กฐาน (ยาว)</t>
        </is>
      </c>
      <c r="B18" s="809" t="inlineStr">
        <is>
          <t>เส้น6ม</t>
        </is>
      </c>
      <c r="C18" s="801">
        <f>ROUND(B3/600,3)</f>
        <v/>
      </c>
      <c r="D18" s="801">
        <f>H3</f>
        <v/>
      </c>
      <c r="E18" s="807">
        <f>IF(OR(C18="",D18="",D18=0),"",ROUND(C18*D18,2))</f>
        <v/>
      </c>
      <c r="F18" s="456" t="inlineStr">
        <is>
          <t>ระยะห่างจริง/ช่อง (ซม.) =</t>
        </is>
      </c>
      <c r="G18" s="807">
        <f>IFERROR(ROUND(B3/B5,1),"")</f>
        <v/>
      </c>
    </row>
    <row r="19">
      <c r="A19" s="803" t="inlineStr">
        <is>
          <t>เพลท 2 ฝั่ง</t>
        </is>
      </c>
      <c r="B19" s="809" t="inlineStr">
        <is>
          <t>เส้น6ม</t>
        </is>
      </c>
      <c r="C19" s="801">
        <f>ROUND(2*B3/600,3)</f>
        <v/>
      </c>
      <c r="D19" s="801">
        <f>H4</f>
        <v/>
      </c>
      <c r="E19" s="807">
        <f>IF(OR(C19="",D19="",D19=0),"",ROUND(C19*D19,2))</f>
        <v/>
      </c>
      <c r="F19" s="819" t="inlineStr">
        <is>
          <t>(ระยะห่างต้องไม่เกิน 100 ซม.)</t>
        </is>
      </c>
    </row>
    <row r="20">
      <c r="A20" s="803" t="inlineStr">
        <is>
          <t>อลูครอบ 2"×6"</t>
        </is>
      </c>
      <c r="B20" s="809" t="inlineStr">
        <is>
          <t>เส้น6ม</t>
        </is>
      </c>
      <c r="C20" s="801">
        <f>ROUND(B3/600,3)</f>
        <v/>
      </c>
      <c r="D20" s="801">
        <f>H5</f>
        <v/>
      </c>
      <c r="E20" s="807">
        <f>IF(OR(C20="",D20="",D20=0),"",ROUND(C20*D20,2))</f>
        <v/>
      </c>
    </row>
    <row r="21">
      <c r="A21" s="803" t="inlineStr">
        <is>
          <t>PU ยิงร่อง (2ฝั่ง)</t>
        </is>
      </c>
      <c r="B21" s="809" t="inlineStr">
        <is>
          <t>หลอด</t>
        </is>
      </c>
      <c r="C21" s="801">
        <f>ROUNDUP(2*B3/300,0)</f>
        <v/>
      </c>
      <c r="D21" s="801">
        <f>H10</f>
        <v/>
      </c>
      <c r="E21" s="807">
        <f>IF(OR(C21="",D21="",D21=0),"",ROUND(C21*D21,2))</f>
        <v/>
      </c>
    </row>
    <row r="22">
      <c r="A22" s="803" t="inlineStr">
        <is>
          <t>ตัวหนีบกระจก (หมุดจับ)</t>
        </is>
      </c>
      <c r="B22" s="809" t="inlineStr">
        <is>
          <t>ตัว</t>
        </is>
      </c>
      <c r="C22" s="801">
        <f>IF(B6="หมุดจับสแตนเลส",ROUNDUP(2*B3/100,0),0)</f>
        <v/>
      </c>
      <c r="D22" s="801">
        <f>H6</f>
        <v/>
      </c>
      <c r="E22" s="807">
        <f>IF(OR(C22="",D22="",D22=0),"",ROUND(C22*D22,2))</f>
        <v/>
      </c>
    </row>
    <row r="23">
      <c r="A23" s="803" t="inlineStr">
        <is>
          <t>เสา กล่องอลู1×1.6 (ตั้งเสา)</t>
        </is>
      </c>
      <c r="B23" s="809" t="inlineStr">
        <is>
          <t>เส้น6ม</t>
        </is>
      </c>
      <c r="C23" s="801">
        <f>IF(B6="ตั้งเสารับ",ROUND((B5+1)*B4/600,3),0)</f>
        <v/>
      </c>
      <c r="D23" s="801">
        <f>H7</f>
        <v/>
      </c>
      <c r="E23" s="807">
        <f>IF(OR(C23="",D23="",D23=0),"",ROUND(C23*D23,2))</f>
        <v/>
      </c>
    </row>
    <row r="24">
      <c r="A24" s="803" t="inlineStr">
        <is>
          <t>เสา เหล็ก1×1½ ยัดใน (ตั้งเสา)</t>
        </is>
      </c>
      <c r="B24" s="809" t="inlineStr">
        <is>
          <t>เส้น6ม</t>
        </is>
      </c>
      <c r="C24" s="801">
        <f>IF(B6="ตั้งเสารับ",ROUND((B5+1)*B4/600,3),0)</f>
        <v/>
      </c>
      <c r="D24" s="801">
        <f>H8</f>
        <v/>
      </c>
      <c r="E24" s="807">
        <f>IF(OR(C24="",D24="",D24=0),"",ROUND(C24*D24,2))</f>
        <v/>
      </c>
    </row>
    <row r="25">
      <c r="A25" s="803" t="inlineStr">
        <is>
          <t>ยู5หุน จับกระจก (ตั้งเสา)</t>
        </is>
      </c>
      <c r="B25" s="809" t="inlineStr">
        <is>
          <t>เส้น6ม</t>
        </is>
      </c>
      <c r="C25" s="803">
        <f>IF(B6="ตั้งเสารับ",ROUND(2*B5*B4/600,3),0)</f>
        <v/>
      </c>
      <c r="D25" s="803">
        <f>H9</f>
        <v/>
      </c>
      <c r="E25" s="807">
        <f>IF(OR(C25="",D25="",D25=0),"",ROUND(C25*D25,2))</f>
        <v/>
      </c>
    </row>
    <row r="26">
      <c r="A26" s="803" t="inlineStr">
        <is>
          <t>มือจับบน กล่อง1×1.6 (ตั้งเสา)</t>
        </is>
      </c>
      <c r="B26" s="809" t="inlineStr">
        <is>
          <t>เส้น6ม</t>
        </is>
      </c>
      <c r="C26" s="803">
        <f>IF(B6="ตั้งเสารับ",ROUND(B3/600,3),0)</f>
        <v/>
      </c>
      <c r="D26" s="803">
        <f>H7</f>
        <v/>
      </c>
      <c r="E26" s="807">
        <f>IF(OR(C26="",D26="",D26=0),"",ROUND(C26*D26,2))</f>
        <v/>
      </c>
    </row>
    <row r="27">
      <c r="A27" s="803" t="inlineStr">
        <is>
          <t>กระจก</t>
        </is>
      </c>
      <c r="B27" s="809" t="inlineStr">
        <is>
          <t>ตร.ม.</t>
        </is>
      </c>
      <c r="C27" s="803">
        <f>B8</f>
        <v/>
      </c>
      <c r="D27" s="803">
        <f>H11</f>
        <v/>
      </c>
      <c r="E27" s="807">
        <f>IF(OR(C27="",D27="",D27=0),"",ROUND(C27*D27,2))</f>
        <v/>
      </c>
    </row>
    <row r="28">
      <c r="A28" s="456" t="inlineStr">
        <is>
          <t>ทุนวัสดุรวม</t>
        </is>
      </c>
      <c r="E28" s="807">
        <f>SUM(E18:E27)</f>
        <v/>
      </c>
    </row>
    <row r="29">
      <c r="A29" s="456" t="inlineStr">
        <is>
          <t>ค่าแรง =(ผลิต×1+ติดตั้ง×คน)×เรต</t>
        </is>
      </c>
      <c r="E29" s="811">
        <f>ROUND(VLOOKUP("ราวกันตก",'ค่าแรง'!$A$12:$M$46,2,0)+VLOOKUP("ราวกันตก",'ค่าแรง'!$A$12:$M$46,4,0),0)</f>
        <v/>
      </c>
    </row>
    <row r="30">
      <c r="A30" s="456" t="inlineStr">
        <is>
          <t>ทุนรวม</t>
        </is>
      </c>
      <c r="E30" s="811">
        <f>E28+E29</f>
        <v/>
      </c>
    </row>
    <row r="31">
      <c r="A31" s="456" t="inlineStr">
        <is>
          <t>ทุน/เมตร</t>
        </is>
      </c>
      <c r="E31" s="807">
        <f>IFERROR(ROUND(E30/(B3/100),0),"")</f>
        <v/>
      </c>
    </row>
    <row r="32">
      <c r="A32" s="456" t="inlineStr">
        <is>
          <t>ทุน/ตร.ม.</t>
        </is>
      </c>
      <c r="E32" s="807">
        <f>IFERROR(ROUND(E30/B8,0),"")</f>
        <v/>
      </c>
    </row>
    <row r="33">
      <c r="A33" s="456" t="inlineStr">
        <is>
          <t>ราคาขาย (×กำไร)</t>
        </is>
      </c>
      <c r="E33" s="811">
        <f>IFERROR(ROUND(E30*(1+B9/100),0),"")</f>
        <v/>
      </c>
    </row>
    <row r="34">
      <c r="A34" s="456" t="inlineStr">
        <is>
          <t>ราคาขาย/ตร.ม.</t>
        </is>
      </c>
      <c r="E34" s="811">
        <f>IFERROR(ROUND(E33/B8,0),"")</f>
        <v/>
      </c>
    </row>
    <row r="35">
      <c r="A35" s="456" t="inlineStr">
        <is>
          <t>R3.9 ขาย/ตร.ม. (กรอกเทียบ)</t>
        </is>
      </c>
      <c r="E35" s="815" t="n"/>
    </row>
    <row r="36">
      <c r="A36" s="456" t="inlineStr">
        <is>
          <t>% กำไร เทียบ R3.9</t>
        </is>
      </c>
      <c r="E36" s="813">
        <f>IFERROR((E35-E32)/E35,"")</f>
        <v/>
      </c>
    </row>
  </sheetData>
  <mergeCells count="4">
    <mergeCell ref="A16:E16"/>
    <mergeCell ref="G2:H2"/>
    <mergeCell ref="A1:E1"/>
    <mergeCell ref="A2:B2"/>
  </mergeCells>
  <dataValidations count="3">
    <dataValidation sqref="B7" showDropDown="0" showInputMessage="0" showErrorMessage="0" allowBlank="1" type="list">
      <formula1>ราคาวัสดุกลาง!$H$2:$H$106</formula1>
    </dataValidation>
    <dataValidation sqref="B6" showDropDown="0" showInputMessage="0" showErrorMessage="0" allowBlank="1" type="list">
      <formula1>"ยูเหล็กครอบอลู,หมุดจับสแตนเลส,ตั้งเสารับ"</formula1>
    </dataValidation>
    <dataValidation sqref="F7" showDropDown="0" showInputMessage="0" showErrorMessage="0" allowBlank="0" type="list">
      <formula1>"เงิน/ปกติ,ดำ/เทาซาฮาร่า"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tabColor rgb="005B9BD5"/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10.7" customWidth="1" style="129" min="2" max="2"/>
    <col width="10.7" customWidth="1" style="129" min="3" max="3"/>
    <col width="24" customWidth="1" style="129" min="4" max="4"/>
    <col width="24" customWidth="1" style="129" min="5" max="5"/>
    <col width="10.7" customWidth="1" style="129" min="6" max="6"/>
    <col width="8.6" customWidth="1" style="129" min="7" max="7"/>
    <col width="4.5" customWidth="1" style="129" min="8" max="8"/>
  </cols>
  <sheetData>
    <row r="1">
      <c r="A1" s="286" t="inlineStr">
        <is>
          <t>คิดทุนบานโซลิด (Fuji) — บานเปิด + ลูกฟูก2ทาง 2 ฝั่ง + เส้นคาดตาราง 2 ฝั่ง (ไม่มีกระจก)</t>
        </is>
      </c>
      <c r="E1" s="643" t="n"/>
      <c r="G1" s="874" t="inlineStr">
        <is>
          <t>🏠 สารบัญ</t>
        </is>
      </c>
      <c r="H1" s="754" t="n"/>
    </row>
    <row r="3">
      <c r="A3" s="288" t="inlineStr">
        <is>
          <t>กว้างรวม (ซม.) →</t>
        </is>
      </c>
      <c r="B3" s="289" t="n">
        <v>150</v>
      </c>
    </row>
    <row r="4">
      <c r="A4" s="288" t="inlineStr">
        <is>
          <t>สูง (ซม.) →</t>
        </is>
      </c>
      <c r="B4" s="289" t="n">
        <v>200</v>
      </c>
    </row>
    <row r="5">
      <c r="A5" s="288" t="inlineStr">
        <is>
          <t>จำนวนบาน →</t>
        </is>
      </c>
      <c r="B5" s="289" t="n">
        <v>1</v>
      </c>
    </row>
    <row r="6">
      <c r="A6" s="288" t="inlineStr">
        <is>
          <t>ธรณี (มี/ไม่มี) →</t>
        </is>
      </c>
      <c r="B6" s="301" t="inlineStr">
        <is>
          <t>มี</t>
        </is>
      </c>
    </row>
    <row r="7">
      <c r="A7" s="310" t="inlineStr">
        <is>
          <t>พื้นที่ (ตร.ม.) =</t>
        </is>
      </c>
      <c r="B7" s="311">
        <f>(B3/100)*(B4/100)</f>
        <v/>
      </c>
    </row>
    <row r="8">
      <c r="A8" s="288" t="inlineStr">
        <is>
          <t>บวกกำไร % →</t>
        </is>
      </c>
      <c r="B8" s="301" t="n">
        <v>100</v>
      </c>
    </row>
    <row r="9">
      <c r="A9" s="288" t="inlineStr">
        <is>
          <t>ราคาซิลิโคน/หลอด →</t>
        </is>
      </c>
      <c r="B9" s="289" t="n">
        <v>90</v>
      </c>
    </row>
    <row r="10">
      <c r="A10" s="287" t="n"/>
      <c r="B10" s="283" t="n"/>
      <c r="C10" s="312" t="n"/>
      <c r="D10" s="287" t="n"/>
      <c r="E10" s="287" t="n"/>
      <c r="F10" s="283" t="inlineStr">
        <is>
          <t>สีอบขาว/ดำ</t>
        </is>
      </c>
      <c r="G10" s="287" t="n"/>
    </row>
    <row r="11">
      <c r="A11" s="313" t="inlineStr">
        <is>
          <t>วัสดุ</t>
        </is>
      </c>
      <c r="B11" s="313" t="inlineStr">
        <is>
          <t>จำนวน</t>
        </is>
      </c>
      <c r="C11" s="313" t="inlineStr">
        <is>
          <t>ราคา/หน่วย</t>
        </is>
      </c>
      <c r="D11" s="313" t="inlineStr">
        <is>
          <t>ทุน(บาท)</t>
        </is>
      </c>
    </row>
    <row r="12">
      <c r="A12" s="290" t="inlineStr">
        <is>
          <t>วงกบ 3 ด้าน F7859</t>
        </is>
      </c>
      <c r="B12" s="314">
        <f>ROUNDUP((B3+2*B4)/640,0)</f>
        <v/>
      </c>
      <c r="C12" s="315">
        <f>IF(F10="สีอบขาว/ดำ",IFERROR(VLOOKUP("F7859",ราคาสี!$A:$D,4,0),1100),IF(OR(F10="เทาซาฮาร่า",F10="สีดำซาฮาร่า"),VLOOKUP("F7859",ราคาสี!$A:$F,5,0),IF(F10="แอทแทคเกรย์",VLOOKUP("F7859",ราคาสี!$A:$J,7,0),IF(F10="ลายไม้สักทอง",(VLOOKUP("F7859",ราคาสี!$A:$H,8,0)*mult_wood/mult_euro),IF(F10="ลายไม้มะฮอกกานี",(VLOOKUP("F7859",ราคาสี!$A:$J,9,0)*mult_wood/mult_euro),IF(F10="ลายไม้ไวท์โอ๊ค",(VLOOKUP("F7859",ราคาสี!$A:$J,10,0)*mult_wood/mult_euro),IFERROR(VLOOKUP("F7859",ราคาสี!$A:$D,4,0),1100)+IF(F10="สีอบพิเศษ",rate_special,rate_woodbake)*6.11111))))))</f>
        <v/>
      </c>
      <c r="D12" s="305">
        <f>B12*C12*mult_euro</f>
        <v/>
      </c>
    </row>
    <row r="13">
      <c r="A13" s="290" t="inlineStr">
        <is>
          <t>ธรณี F7938B</t>
        </is>
      </c>
      <c r="B13" s="314">
        <f>IF(B6="มี",ROUNDUP(B3/640,0),0)</f>
        <v/>
      </c>
      <c r="C13" s="315">
        <f>IF(F10="สีอบขาว/ดำ",IFERROR(VLOOKUP("F7938B",ราคาสี!$A:$D,4,0),1400),IF(OR(F10="เทาซาฮาร่า",F10="สีดำซาฮาร่า"),VLOOKUP("F7938B",ราคาสี!$A:$F,5,0),IF(F10="แอทแทคเกรย์",VLOOKUP("F7938B",ราคาสี!$A:$J,7,0),IF(F10="ลายไม้สักทอง",(VLOOKUP("F7938B",ราคาสี!$A:$H,8,0)*mult_wood/mult_euro),IF(F10="ลายไม้มะฮอกกานี",(VLOOKUP("F7938B",ราคาสี!$A:$J,9,0)*mult_wood/mult_euro),IF(F10="ลายไม้ไวท์โอ๊ค",(VLOOKUP("F7938B",ราคาสี!$A:$J,10,0)*mult_wood/mult_euro),IFERROR(VLOOKUP("F7938B",ราคาสี!$A:$D,4,0),1400)+IF(F10="สีอบพิเศษ",rate_special,rate_woodbake)*7.77778))))))</f>
        <v/>
      </c>
      <c r="D13" s="305">
        <f>B13*C13*mult_euro</f>
        <v/>
      </c>
    </row>
    <row r="14">
      <c r="A14" s="290" t="inlineStr">
        <is>
          <t>ตบธรณี F7960</t>
        </is>
      </c>
      <c r="B14" s="314">
        <f>IF(B6="มี",ROUNDUP(B3/640,0),0)</f>
        <v/>
      </c>
      <c r="C14" s="315">
        <f>IF(F10="สีอบขาว/ดำ",IFERROR(VLOOKUP("F7960",ราคาสี!$A:$D,4,0),575),IF(OR(F10="เทาซาฮาร่า",F10="สีดำซาฮาร่า"),VLOOKUP("F7960",ราคาสี!$A:$F,5,0),IF(F10="แอทแทคเกรย์",VLOOKUP("F7960",ราคาสี!$A:$J,7,0),IF(F10="ลายไม้สักทอง",(VLOOKUP("F7960",ราคาสี!$A:$H,8,0)*mult_wood/mult_euro),IF(F10="ลายไม้มะฮอกกานี",(VLOOKUP("F7960",ราคาสี!$A:$J,9,0)*mult_wood/mult_euro),IF(F10="ลายไม้ไวท์โอ๊ค",(VLOOKUP("F7960",ราคาสี!$A:$J,10,0)*mult_wood/mult_euro),IFERROR(VLOOKUP("F7960",ราคาสี!$A:$D,4,0),575)+IF(F10="สีอบพิเศษ",rate_special,rate_woodbake)*3.19444))))))</f>
        <v/>
      </c>
      <c r="D14" s="305">
        <f>B14*C14*mult_euro</f>
        <v/>
      </c>
    </row>
    <row r="15">
      <c r="A15" s="290" t="inlineStr">
        <is>
          <t>เสริมใต้บาน F7863</t>
        </is>
      </c>
      <c r="B15" s="314">
        <f>IF(B6="ไม่มี",ROUNDUP(B3/640,0),0)</f>
        <v/>
      </c>
      <c r="C15" s="315">
        <f>IF(F10="สีอบขาว/ดำ",435,IF(OR(F10="เทาซาฮาร่า",F10="สีดำซาฮาร่า"),435+rate_grey*2.41667,IF(F10="แอทแทคเกรย์",435+rate_grey*2.41667,IF(F10="ลายไม้สักทอง",645,IF(F10="ลายไม้มะฮอกกานี",645,IF(F10="ลายไม้ไวท์โอ๊ค",645,435+IF(F10="สีอบพิเศษ",rate_special,rate_woodbake)*2.41667))))))</f>
        <v/>
      </c>
      <c r="D15" s="305">
        <f>B15*C15*mult_euro</f>
        <v/>
      </c>
    </row>
    <row r="16">
      <c r="A16" s="290" t="inlineStr">
        <is>
          <t>กรอบประตู 7864</t>
        </is>
      </c>
      <c r="B16" s="314">
        <f>ROUNDUP((2*B5*B4+2*B3)/640,0)</f>
        <v/>
      </c>
      <c r="C16" s="315">
        <f>IF(F10="สีอบขาว/ดำ",1995,IF(OR(F10="เทาซาฮาร่า",F10="สีดำซาฮาร่า"),1995+rate_grey*11.08333,IF(F10="แอทแทคเกรย์",1995+rate_grey*11.08333,IF(F10="ลายไม้สักทอง",3170,IF(F10="ลายไม้มะฮอกกานี",3170,IF(F10="ลายไม้ไวท์โอ๊ค",3170,1995+IF(F10="สีอบพิเศษ",rate_special,rate_woodbake)*11.08333))))))</f>
        <v/>
      </c>
      <c r="D16" s="305">
        <f>B16*C16*mult_euro</f>
        <v/>
      </c>
    </row>
    <row r="17">
      <c r="A17" s="290" t="inlineStr">
        <is>
          <t>คิ้ว F7935</t>
        </is>
      </c>
      <c r="B17" s="314">
        <f>ROUNDUP((2*B5*B4+2*B3)/640,0)</f>
        <v/>
      </c>
      <c r="C17" s="315">
        <f>IF(F10="สีอบขาว/ดำ",360,IF(OR(F10="เทาซาฮาร่า",F10="สีดำซาฮาร่า"),360+rate_grey*2.0,IF(F10="แอทแทคเกรย์",360+rate_grey*2.0,IF(F10="ลายไม้สักทอง",570,IF(F10="ลายไม้มะฮอกกานี",570,IF(F10="ลายไม้ไวท์โอ๊ค",570,360+IF(F10="สีอบพิเศษ",rate_special,rate_woodbake)*2.0))))))</f>
        <v/>
      </c>
      <c r="D17" s="305">
        <f>B17*C17*mult_euro</f>
        <v/>
      </c>
    </row>
    <row r="18">
      <c r="A18" s="290" t="inlineStr">
        <is>
          <t>เปิดกลาง F7945c</t>
        </is>
      </c>
      <c r="B18" s="314">
        <f>IF(B5&gt;1,1,0)</f>
        <v/>
      </c>
      <c r="C18" s="315">
        <f>IF(F10="สีอบขาว/ดำ",775,IF(OR(F10="เทาซาฮาร่า",F10="สีดำซาฮาร่า"),775+rate_grey*4.30556,IF(F10="แอทแทคเกรย์",775+rate_grey*4.30556,IF(F10="ลายไม้สักทอง",1080,IF(F10="ลายไม้มะฮอกกานี",1080,IF(F10="ลายไม้ไวท์โอ๊ค",1080,775+IF(F10="สีอบพิเศษ",rate_special,rate_woodbake)*4.30556))))))</f>
        <v/>
      </c>
      <c r="D18" s="305">
        <f>B18*C18*mult_euro</f>
        <v/>
      </c>
    </row>
    <row r="19">
      <c r="A19" s="290" t="inlineStr">
        <is>
          <t>บานพับ hyda</t>
        </is>
      </c>
      <c r="B19" s="314">
        <f>IF(OR(B4&gt;300,B3/B5&gt;120),5,4)*B5</f>
        <v/>
      </c>
      <c r="C19" s="315" t="n">
        <v>117</v>
      </c>
      <c r="D19" s="305">
        <f>B19*C19</f>
        <v/>
      </c>
    </row>
    <row r="20">
      <c r="A20" s="290" t="inlineStr">
        <is>
          <t>มือจับ+ล็อค ใบหลัก</t>
        </is>
      </c>
      <c r="B20" s="314">
        <f>1</f>
        <v/>
      </c>
      <c r="C20" s="315" t="n">
        <v>1045</v>
      </c>
      <c r="D20" s="305">
        <f>B20*C20</f>
        <v/>
      </c>
    </row>
    <row r="21">
      <c r="A21" s="290" t="inlineStr">
        <is>
          <t>ชุดกลอน ใบลอง</t>
        </is>
      </c>
      <c r="B21" s="314">
        <f>MAX(B5-1,0)</f>
        <v/>
      </c>
      <c r="C21" s="315" t="n">
        <v>450</v>
      </c>
      <c r="D21" s="305">
        <f>B21*C21</f>
        <v/>
      </c>
    </row>
    <row r="22">
      <c r="A22" s="290" t="inlineStr">
        <is>
          <t>น็อตเฟรม</t>
        </is>
      </c>
      <c r="B22" s="314">
        <f>IF(B6="มี",8,6)</f>
        <v/>
      </c>
      <c r="C22" s="315" t="n">
        <v>1</v>
      </c>
      <c r="D22" s="305">
        <f>B22*C22</f>
        <v/>
      </c>
    </row>
    <row r="23">
      <c r="A23" s="290" t="inlineStr">
        <is>
          <t>ยาง (ม.)</t>
        </is>
      </c>
      <c r="B23" s="314">
        <f>ROUND(2*(B3+B4)/100*B5,0)</f>
        <v/>
      </c>
      <c r="C23" s="315" t="n">
        <v>11</v>
      </c>
      <c r="D23" s="305">
        <f>B23*C23</f>
        <v/>
      </c>
    </row>
    <row r="24">
      <c r="A24" s="290" t="inlineStr">
        <is>
          <t>ลูกฟูก2ทาง 2 ฝั่ง (SlimLux, ตัดไม่ต่อ)</t>
        </is>
      </c>
      <c r="B24" s="314">
        <f>ROUNDUP(ROUNDUP((B3/B5)/10,0)*B5*2/MAX(1,INT(600/MAX(1,B4))),0)</f>
        <v/>
      </c>
      <c r="C24" s="315">
        <f>IF(F10="สีอบขาว/ดำ",ราคาสี!$D$162,IF(F10="แอทแทคเกรย์",ราคาสี!$G$162,IF(F10="ลายไม้สักทอง",ราคาสี!$H$162,IF(F10="ลายไม้มะฮอกกานี",ราคาสี!$I$162,IF(F10="ลายไม้ไวท์โอ๊ค",ราคาสี!$J$162,ราคาสี!$E$162)))))</f>
        <v/>
      </c>
      <c r="D24" s="305">
        <f>B24*C24*mult_slim</f>
        <v/>
      </c>
    </row>
    <row r="25">
      <c r="A25" s="290" t="inlineStr">
        <is>
          <t>ซิลิโคน (หลอด) ใน+นอก</t>
        </is>
      </c>
      <c r="B25" s="314">
        <f>ROUNDUP(2*(B3+B4)/100*2/12.5,0)</f>
        <v/>
      </c>
      <c r="C25" s="315">
        <f>B9</f>
        <v/>
      </c>
      <c r="D25" s="305">
        <f>B25*C25</f>
        <v/>
      </c>
    </row>
    <row r="26">
      <c r="A26" s="316" t="inlineStr">
        <is>
          <t>ค่าเปิดตู้อบ</t>
        </is>
      </c>
      <c r="B26" s="316">
        <f>IF(OR(F10="สีอบพิเศษ",F10="สีลายไม้อบพิเศษ"),1,0)</f>
        <v/>
      </c>
      <c r="C26" s="312" t="n">
        <v>2000</v>
      </c>
      <c r="D26" s="312">
        <f>B26*C26</f>
        <v/>
      </c>
      <c r="E26" s="316" t="inlineStr">
        <is>
          <t>สีอบพิเศษ / ลายไม้อบพิเศษ เท่านั้น</t>
        </is>
      </c>
    </row>
    <row r="27">
      <c r="A27" s="317" t="inlineStr">
        <is>
          <t>ทุนรวม</t>
        </is>
      </c>
      <c r="D27" s="318">
        <f>SUM(D12:D26)+D33+D46+D47+D48+D49</f>
        <v/>
      </c>
    </row>
    <row r="28">
      <c r="A28" s="317" t="inlineStr">
        <is>
          <t>ทุน/ตร.ม.</t>
        </is>
      </c>
      <c r="D28" s="318">
        <f>IFERROR(D27/B7,0)</f>
        <v/>
      </c>
    </row>
    <row r="29">
      <c r="A29" s="319" t="inlineStr">
        <is>
          <t>ราคาขาย/ตร.ม. (ทุน+กำไร%)</t>
        </is>
      </c>
      <c r="D29" s="321">
        <f>ROUNDUP(D27*(1+B8/100)/100,0)*100</f>
        <v/>
      </c>
    </row>
    <row r="30">
      <c r="A30" s="319" t="inlineStr">
        <is>
          <t>ราคาขายรวม/ชุด</t>
        </is>
      </c>
      <c r="D30" s="321">
        <f>D29</f>
        <v/>
      </c>
    </row>
    <row r="31">
      <c r="A31" s="322" t="inlineStr">
        <is>
          <t>%กำไรจริง (บนทุน)</t>
        </is>
      </c>
      <c r="D31" s="323">
        <f>IFERROR((D29-D27)/D27,0)</f>
        <v/>
      </c>
    </row>
    <row r="32">
      <c r="A32" s="200" t="n"/>
    </row>
    <row r="33">
      <c r="A33" s="290" t="inlineStr">
        <is>
          <t>เส้นคาดตาราง แนวตั้ง 2 ฝั่ง (ตัดไม่ต่อ)</t>
        </is>
      </c>
      <c r="B33" s="314">
        <f>ROUNDUP(MAX(0,INT((B3/B5-20+2)/3.8))*B5*2/MAX(1,INT(600/MAX(1,B4))),0)</f>
        <v/>
      </c>
      <c r="C33" s="315">
        <f>IF(F10="สีอบขาว/ดำ",ราคาสี!$D$194,IF(F10="แอทแทคเกรย์",ราคาสี!$G$194,IF(F10="ลายไม้สักทอง",ราคาสี!$H$194,IF(F10="ลายไม้มะฮอกกานี",ราคาสี!$I$194,IF(F10="ลายไม้ไวท์โอ๊ค",ราคาสี!$J$194,ราคาสี!$E$194)))))</f>
        <v/>
      </c>
      <c r="D33" s="305">
        <f>B33*C33</f>
        <v/>
      </c>
      <c r="F33" s="456" t="inlineStr">
        <is>
          <t>เส้นตาราง/บาน (เส้นแนวตั้ง) =</t>
        </is>
      </c>
      <c r="G33" s="807">
        <f>MAX(0,INT((B3/B5-20+2)/3.8))</f>
        <v/>
      </c>
    </row>
    <row r="34">
      <c r="A34" s="201" t="n"/>
      <c r="B34" s="202" t="n"/>
      <c r="C34" s="202" t="n"/>
      <c r="D34" s="203" t="n"/>
      <c r="F34" s="456" t="inlineStr">
        <is>
          <t>ระยะห่างจริง ระหว่างเส้น (ซม.) =</t>
        </is>
      </c>
      <c r="G34" s="807">
        <f>IFERROR(ROUND((B3/B5-20-G33*1.8)/(G33-1),2),"")</f>
        <v/>
      </c>
    </row>
    <row r="35">
      <c r="A35" s="276" t="inlineStr">
        <is>
          <t>— ผูกค่าแรง (ราคาขายรวมค่าแรง) —</t>
        </is>
      </c>
      <c r="F35" s="819" t="inlineStr">
        <is>
          <t>(เส้นกว้าง 1.8 · ช่องว่าง 2 · เว้นข้าง ซ้าย-ขวา 10 · ยาวเต็มความสูง)</t>
        </is>
      </c>
    </row>
    <row r="36">
      <c r="A36" s="324" t="inlineStr">
        <is>
          <t>ค่าแรงผลิต (จากชีทค่าแรง)</t>
        </is>
      </c>
      <c r="D36" s="277">
        <f>MAX(0,VLOOKUP("บานโซลิด",'ค่าแรง'!$A$12:$E$42,2,0)+VLOOKUP("บานโซลิด",'ค่าแรง'!$A$12:$E$42,3,0)*B7)</f>
        <v/>
      </c>
      <c r="F36" s="456" t="inlineStr">
        <is>
          <t>ตาราง 1 เส้น6ม. ตัดได้ (ท่อน) =</t>
        </is>
      </c>
      <c r="G36" s="807">
        <f>MAX(1,INT(600/MAX(1,B4)))</f>
        <v/>
      </c>
    </row>
    <row r="37">
      <c r="A37" s="324" t="inlineStr">
        <is>
          <t>ค่าแรงติดตั้ง (จากชีทค่าแรง)</t>
        </is>
      </c>
      <c r="D37" s="277">
        <f>MAX(0,VLOOKUP("บานโซลิด",'ค่าแรง'!$A$12:$E$42,4,0)+VLOOKUP("บานโซลิด",'ค่าแรง'!$A$12:$E$42,5,0)*B7)</f>
        <v/>
      </c>
    </row>
    <row r="38">
      <c r="A38" s="324" t="inlineStr">
        <is>
          <t>กำไรติดตั้ง % →</t>
        </is>
      </c>
      <c r="B38" s="278" t="n">
        <v>100</v>
      </c>
    </row>
    <row r="39">
      <c r="A39" s="276" t="inlineStr">
        <is>
          <t>ราคาขาย ผลิตอย่างเดียว</t>
        </is>
      </c>
      <c r="D39" s="279">
        <f>ROUNDUP((D27+D36+D50)*(1+B8/100)/100,0)*100</f>
        <v/>
      </c>
    </row>
    <row r="40">
      <c r="A40" s="276" t="inlineStr">
        <is>
          <t>ราคาขาย ผลิต+ติดตั้ง</t>
        </is>
      </c>
      <c r="D40" s="279">
        <f>D39+ROUNDUP((D37+D51)*(1+B38/100)/100,0)*100</f>
        <v/>
      </c>
    </row>
    <row r="41">
      <c r="A41" s="276" t="inlineStr">
        <is>
          <t>%กำไรจริง (ผลิต+ติดตั้ง)</t>
        </is>
      </c>
      <c r="D41" s="280">
        <f>(D40-(D27+D36+D37+D50+D51))/(D27+D36+D37+D50+D51)</f>
        <v/>
      </c>
    </row>
    <row r="43">
      <c r="A43" s="532" t="inlineStr">
        <is>
          <t>— มุ้ง (ออปชั่น) — บวกเข้าทุน —</t>
        </is>
      </c>
    </row>
    <row r="44">
      <c r="A44" s="276" t="inlineStr">
        <is>
          <t>เลือกมุ้ง →</t>
        </is>
      </c>
      <c r="B44" s="594" t="inlineStr">
        <is>
          <t>ไม่มีมุ้ง</t>
        </is>
      </c>
      <c r="C44" s="140">
        <f>IF(B44="ไม่มีมุ้ง","—",IF(H45=1,"✓ ใช้ได้","⚠ ใช้กับบานนี้ไม่ได้(ทุน=0)"))</f>
        <v/>
      </c>
      <c r="D44" s="140">
        <f>IF(B44="ไม่มีมุ้ง","",H50&amp;" บาน")</f>
        <v/>
      </c>
      <c r="H44" s="514">
        <f>IFERROR(VLOOKUP(B44,ราคามุ้ง!$A$2:$O$15,3,0),"")</f>
        <v/>
      </c>
    </row>
    <row r="45">
      <c r="A45" s="387" t="inlineStr">
        <is>
          <t>ชนิดผ้า / สี →</t>
        </is>
      </c>
      <c r="B45" s="594" t="inlineStr">
        <is>
          <t>ไฟเบอร์</t>
        </is>
      </c>
      <c r="C45" s="594" t="inlineStr">
        <is>
          <t>เทา</t>
        </is>
      </c>
      <c r="H45" s="514">
        <f>IF(B44="ไม่มีมุ้ง",0,IF(OR(IFERROR(VLOOKUP(B44,ราคามุ้ง!$A$2:$O$15,4,0),"ALL")="ALL",ISNUMBER(SEARCH("เปิด",IFERROR(VLOOKUP(B44,ราคามุ้ง!$A$2:$O$15,4,0),"")))),1,0))</f>
        <v/>
      </c>
    </row>
    <row r="46">
      <c r="A46" s="387" t="inlineStr">
        <is>
          <t>› เสา (เส้น 6ม.)</t>
        </is>
      </c>
      <c r="B46" s="601">
        <f>IF(AND(H45=1,H46=1),ROUND(H50*2*H49/6,2),0)</f>
        <v/>
      </c>
      <c r="C46" s="598">
        <f>IF(B44="มุ้งเฟรมเล็ก",'ราคามุ้ง'!$B$19,IF(B44="มุ้งเฟรมใหญ่",ROUND(C16*mult_euro,0),IF(B44="มุ้งนิรภัย",'ราคามุ้ง'!$B$21,0)))</f>
        <v/>
      </c>
      <c r="D46" s="389">
        <f>ROUND(B46*C46,0)</f>
        <v/>
      </c>
      <c r="H46" s="514">
        <f>IF(OR(B44="มุ้งเฟรมเล็ก",B44="มุ้งเฟรมใหญ่",B44="มุ้งนิรภัย"),1,0)</f>
        <v/>
      </c>
    </row>
    <row r="47">
      <c r="A47" s="387" t="inlineStr">
        <is>
          <t>› ขวาง (เส้น 6ม.)</t>
        </is>
      </c>
      <c r="B47" s="601">
        <f>IF(AND(H45=1,H46=1),ROUND(H50*2*H48/6,2),0)</f>
        <v/>
      </c>
      <c r="C47" s="598">
        <f>IF(B44="มุ้งเฟรมเล็ก",'ราคามุ้ง'!$B$19,IF(B44="มุ้งเฟรมใหญ่",ROUND(C16*mult_euro,0),IF(B44="มุ้งนิรภัย",'ราคามุ้ง'!$B$21,0)))</f>
        <v/>
      </c>
      <c r="D47" s="389">
        <f>ROUND(B47*C47,0)</f>
        <v/>
      </c>
      <c r="H47" s="514">
        <f>IFERROR(VLOOKUP(B45,ราคามุ้ง!$I$2:$J$5,2,0),0)</f>
        <v/>
      </c>
    </row>
    <row r="48">
      <c r="A48" s="387" t="inlineStr">
        <is>
          <t>› ยางอัด (ม.)</t>
        </is>
      </c>
      <c r="B48" s="601">
        <f>IF(AND(H45=1,H46=1),ROUND(H50*2*(H48+H49),2),0)</f>
        <v/>
      </c>
      <c r="C48" s="598">
        <f>'ราคามุ้ง'!$D$19</f>
        <v/>
      </c>
      <c r="D48" s="389">
        <f>ROUND(B48*C48,0)</f>
        <v/>
      </c>
      <c r="H48" s="514">
        <f>B3/(B5*100)</f>
        <v/>
      </c>
    </row>
    <row r="49">
      <c r="A49" s="387" t="inlineStr">
        <is>
          <t>› ผ้า / มุ้งสำเร็จ</t>
        </is>
      </c>
      <c r="B49" s="601">
        <f>IF(H45=0,0,ROUND(H50*H48*H49,2))</f>
        <v/>
      </c>
      <c r="C49" s="598">
        <f>IF(B44="มุ้งนิรภัย",650,IF(OR(B44="มุ้งเฟรมเล็ก",B44="มุ้งเฟรมใหญ่"),H47,IF(H44="ซื้อสำเร็จ",IFERROR(VLOOKUP(B44,ราคามุ้ง!$A$2:$O$15,2,0),0),0)))</f>
        <v/>
      </c>
      <c r="D49" s="389">
        <f>ROUND(B49*C49,0)</f>
        <v/>
      </c>
      <c r="H49" s="514">
        <f>B4/100</f>
        <v/>
      </c>
    </row>
    <row r="50">
      <c r="A50" s="387" t="inlineStr">
        <is>
          <t>› ค่าแรงผลิตมุ้ง</t>
        </is>
      </c>
      <c r="D50" s="389">
        <f>IF(H45=0,0,ROUND(H50*(VLOOKUP(B44,ราคามุ้ง!$A$2:$O$15,12,0)+VLOOKUP(B44,ราคามุ้ง!$A$2:$O$15,13,0)*H48*H49),0))</f>
        <v/>
      </c>
      <c r="H50" s="514">
        <f>B5</f>
        <v/>
      </c>
    </row>
    <row r="51">
      <c r="A51" s="387" t="inlineStr">
        <is>
          <t>› ค่าแรงติดตั้งมุ้ง</t>
        </is>
      </c>
      <c r="D51" s="389">
        <f>IF(H45=0,0,ROUND(H50*(VLOOKUP(B44,ราคามุ้ง!$A$2:$O$15,14,0)+VLOOKUP(B44,ราคามุ้ง!$A$2:$O$15,15,0)*H48*H49),0))</f>
        <v/>
      </c>
    </row>
    <row r="52">
      <c r="A52" s="663" t="inlineStr">
        <is>
          <t>รวมราคามุ้ง (บวกเข้าทุนแล้ว)</t>
        </is>
      </c>
      <c r="D52" s="664">
        <f>SUM(D46:D51)</f>
        <v/>
      </c>
    </row>
    <row r="53">
      <c r="A53" s="745" t="n"/>
      <c r="B53" s="745" t="n"/>
      <c r="C53" s="745" t="n"/>
      <c r="D53" s="745" t="n"/>
      <c r="E53" s="745" t="n"/>
      <c r="F53" s="745" t="n"/>
      <c r="G53" s="745" t="n"/>
      <c r="H53" s="745" t="n"/>
      <c r="I53" s="745" t="n"/>
      <c r="J53" s="745" t="n"/>
      <c r="K53" s="745" t="n"/>
    </row>
    <row r="54">
      <c r="A54" s="746" t="n"/>
      <c r="B54" s="745" t="n"/>
      <c r="C54" s="745" t="n"/>
      <c r="D54" s="745" t="n"/>
      <c r="E54" s="745" t="n"/>
      <c r="F54" s="745" t="n"/>
      <c r="G54" s="745" t="n"/>
      <c r="H54" s="745" t="n"/>
      <c r="I54" s="745" t="n"/>
      <c r="J54" s="745" t="n"/>
      <c r="K54" s="745" t="n"/>
    </row>
    <row r="55">
      <c r="A55" s="747" t="n"/>
      <c r="B55" s="748" t="n"/>
      <c r="C55" s="745" t="n"/>
      <c r="D55" s="745" t="n"/>
      <c r="E55" s="745" t="n"/>
      <c r="F55" s="745" t="n"/>
      <c r="G55" s="745" t="n"/>
      <c r="H55" s="745" t="n"/>
      <c r="I55" s="745" t="n"/>
      <c r="J55" s="745" t="n"/>
      <c r="K55" s="745" t="n"/>
    </row>
    <row r="56">
      <c r="A56" s="747" t="n"/>
      <c r="B56" s="748" t="n"/>
      <c r="C56" s="745" t="n"/>
      <c r="D56" s="745" t="n"/>
      <c r="E56" s="745" t="n"/>
      <c r="F56" s="745" t="n"/>
      <c r="G56" s="745" t="n"/>
      <c r="H56" s="745" t="n"/>
      <c r="I56" s="745" t="n"/>
      <c r="J56" s="745" t="n"/>
      <c r="K56" s="745" t="n"/>
    </row>
    <row r="57">
      <c r="A57" s="747" t="n"/>
      <c r="B57" s="748" t="n"/>
      <c r="C57" s="745" t="n"/>
      <c r="D57" s="745" t="n"/>
      <c r="E57" s="745" t="n"/>
      <c r="F57" s="745" t="n"/>
      <c r="G57" s="745" t="n"/>
      <c r="H57" s="745" t="n"/>
      <c r="I57" s="745" t="n"/>
      <c r="J57" s="745" t="n"/>
      <c r="K57" s="745" t="n"/>
    </row>
    <row r="58">
      <c r="A58" s="747" t="n"/>
      <c r="B58" s="749" t="n"/>
      <c r="C58" s="745" t="n"/>
      <c r="D58" s="745" t="n"/>
      <c r="E58" s="745" t="n"/>
      <c r="F58" s="745" t="n"/>
      <c r="G58" s="745" t="n"/>
      <c r="H58" s="745" t="n"/>
      <c r="I58" s="745" t="n"/>
      <c r="J58" s="745" t="n"/>
      <c r="K58" s="745" t="n"/>
    </row>
    <row r="59">
      <c r="A59" s="745" t="n"/>
      <c r="B59" s="745" t="n"/>
      <c r="C59" s="745" t="n"/>
      <c r="D59" s="745" t="n"/>
      <c r="E59" s="745" t="n"/>
      <c r="F59" s="745" t="n"/>
      <c r="G59" s="745" t="n"/>
      <c r="H59" s="745" t="n"/>
      <c r="I59" s="745" t="n"/>
      <c r="J59" s="745" t="n"/>
      <c r="K59" s="745" t="n"/>
    </row>
    <row r="60">
      <c r="A60" s="738" t="inlineStr">
        <is>
          <t>🔍 แยกก้อนต้นทุน</t>
        </is>
      </c>
    </row>
    <row r="61">
      <c r="A61" s="739" t="inlineStr">
        <is>
          <t>ทุนอลู (×ราคา/กก.)</t>
        </is>
      </c>
      <c r="B61" s="740">
        <f>D12+D13+D14+D15+D16+D17+D18+D20+D21+D22+D25</f>
        <v/>
      </c>
    </row>
    <row r="62">
      <c r="A62" s="741" t="inlineStr">
        <is>
          <t>ทุนกระจก</t>
        </is>
      </c>
      <c r="B62" s="742">
        <f>D24</f>
        <v/>
      </c>
    </row>
    <row r="63">
      <c r="A63" s="741" t="inlineStr">
        <is>
          <t>ทุนอุปกรณ์+ซิลิโคน</t>
        </is>
      </c>
      <c r="B63" s="742">
        <f>D19+D23+D26</f>
        <v/>
      </c>
    </row>
    <row r="64">
      <c r="A64" s="741" t="inlineStr">
        <is>
          <t>รวมวัสดุ</t>
        </is>
      </c>
      <c r="B64" s="743">
        <f>B61+B62+B63</f>
        <v/>
      </c>
    </row>
  </sheetData>
  <mergeCells count="1">
    <mergeCell ref="A1:D1"/>
  </mergeCells>
  <dataValidations count="5">
    <dataValidation sqref="B6" showDropDown="0" showInputMessage="0" showErrorMessage="0" allowBlank="0" type="list" operator="between">
      <formula1>"มี,ไม่มี"</formula1>
      <formula2>0</formula2>
    </dataValidation>
    <dataValidation sqref="F10" showDropDown="0" showInputMessage="0" showErrorMessage="0" allowBlank="0" type="list" operator="between">
      <formula1>"สีอบขาว/ดำ,เทาซาฮาร่า,สีดำซาฮาร่า,แอทแทคเกรย์,ลายไม้สักทอง,ลายไม้มะฮอกกานี,ลายไม้ไวท์โอ๊ค,สีอบพิเศษ,สีลายไม้อบพิเศษ"</formula1>
      <formula2>0</formula2>
    </dataValidation>
    <dataValidation sqref="B44" showDropDown="0" showInputMessage="0" showErrorMessage="0" allowBlank="1" type="list">
      <formula1>MungList</formula1>
    </dataValidation>
    <dataValidation sqref="B45" showDropDown="0" showInputMessage="0" showErrorMessage="0" allowBlank="1" type="list">
      <formula1>ClothList</formula1>
    </dataValidation>
    <dataValidation sqref="C45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tabColor rgb="005B9BD5"/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4" customWidth="1" style="129" min="1" max="1"/>
    <col width="12.8" customWidth="1" style="129" min="2" max="2"/>
    <col width="10.7" customWidth="1" style="129" min="3" max="3"/>
    <col width="24" customWidth="1" style="129" min="4" max="4"/>
    <col width="24" customWidth="1" style="129" min="5" max="5"/>
    <col width="24" customWidth="1" style="129" min="6" max="6"/>
    <col width="8.6" customWidth="1" style="129" min="7" max="7"/>
    <col width="4.5" customWidth="1" style="129" min="8" max="8"/>
  </cols>
  <sheetData>
    <row r="1">
      <c r="A1" s="286" t="inlineStr">
        <is>
          <t>คิดทุนบานระแนงเลื่อน (SMS + ลูกฟูก2ทางแทนกระจก + ล้อ + ดามกล่อง1×1)</t>
        </is>
      </c>
      <c r="E1" s="643" t="n"/>
      <c r="G1" s="874" t="inlineStr">
        <is>
          <t>🏠 สารบัญ</t>
        </is>
      </c>
      <c r="H1" s="754" t="n"/>
    </row>
    <row r="2">
      <c r="A2" s="288" t="inlineStr">
        <is>
          <t>กว้างรวม (ซม.) →</t>
        </is>
      </c>
      <c r="B2" s="289" t="n">
        <v>600</v>
      </c>
      <c r="E2" s="310" t="inlineStr">
        <is>
          <t>เลื่อน(ล้อ)=</t>
        </is>
      </c>
      <c r="F2" s="336">
        <f>IF(B5="อิสระ",B4,IF(B5="ลากจูง",B4-1,B4-2))</f>
        <v/>
      </c>
    </row>
    <row r="3">
      <c r="A3" s="288" t="inlineStr">
        <is>
          <t>สูง (ซม.) →</t>
        </is>
      </c>
      <c r="B3" s="289" t="n">
        <v>300</v>
      </c>
      <c r="E3" s="310" t="inlineStr">
        <is>
          <t>มือจับบาน=</t>
        </is>
      </c>
      <c r="F3" s="336">
        <f>IF(B5="ลากจูง",1,2)</f>
        <v/>
      </c>
    </row>
    <row r="4">
      <c r="A4" s="288" t="inlineStr">
        <is>
          <t>จำนวนบาน →</t>
        </is>
      </c>
      <c r="B4" s="289" t="n">
        <v>3</v>
      </c>
      <c r="E4" s="310" t="inlineStr">
        <is>
          <t>ล็อคบาน=</t>
        </is>
      </c>
      <c r="F4" s="336">
        <f>IF(B5="อิสระ",2,1)</f>
        <v/>
      </c>
    </row>
    <row r="5">
      <c r="A5" s="288" t="inlineStr">
        <is>
          <t>รูปแบบ → (อิสระ/ลากจูง/เปิดคู่กลาง)</t>
        </is>
      </c>
      <c r="B5" s="301" t="inlineStr">
        <is>
          <t>อิสระ</t>
        </is>
      </c>
      <c r="E5" s="310" t="inlineStr">
        <is>
          <t>เสากุญแจ=</t>
        </is>
      </c>
      <c r="F5" s="336">
        <f>IF(B5="เปิดคู่กลาง",4,2)</f>
        <v/>
      </c>
    </row>
    <row r="6">
      <c r="A6" s="310" t="inlineStr">
        <is>
          <t>พื้นที่ (ตร.ม.) =</t>
        </is>
      </c>
      <c r="B6" s="311">
        <f>(B2/100)*(B3/100)</f>
        <v/>
      </c>
      <c r="E6" s="310" t="inlineStr">
        <is>
          <t>รอยต่อ=</t>
        </is>
      </c>
      <c r="F6" s="336">
        <f>IF(B5="เปิดคู่กลาง",B4-2,B4-1)</f>
        <v/>
      </c>
    </row>
    <row r="7">
      <c r="A7" s="288" t="inlineStr">
        <is>
          <t>บวกกำไร % →</t>
        </is>
      </c>
      <c r="B7" s="301" t="n">
        <v>100</v>
      </c>
      <c r="E7" s="287" t="inlineStr">
        <is>
          <t>รางล่าง →</t>
        </is>
      </c>
      <c r="F7" s="283" t="inlineStr">
        <is>
          <t>ภายนอก</t>
        </is>
      </c>
    </row>
    <row r="8">
      <c r="A8" s="288" t="inlineStr">
        <is>
          <t>ราคาซิลิโคน/หลอด →</t>
        </is>
      </c>
      <c r="B8" s="289" t="n">
        <v>90</v>
      </c>
    </row>
    <row r="9">
      <c r="A9" s="287" t="n"/>
      <c r="B9" s="283" t="n"/>
      <c r="C9" s="312" t="n"/>
      <c r="D9" s="287" t="n"/>
      <c r="E9" s="287" t="n"/>
      <c r="F9" s="283" t="inlineStr">
        <is>
          <t>สีอบขาว/ดำ</t>
        </is>
      </c>
      <c r="G9" s="287" t="n"/>
    </row>
    <row r="10">
      <c r="A10" s="313" t="inlineStr">
        <is>
          <t>วัสดุ</t>
        </is>
      </c>
      <c r="B10" s="313" t="inlineStr">
        <is>
          <t>จำนวน</t>
        </is>
      </c>
      <c r="C10" s="313" t="inlineStr">
        <is>
          <t>ราคา/หน่วย</t>
        </is>
      </c>
      <c r="D10" s="313" t="inlineStr">
        <is>
          <t>ทุน(บาท)</t>
        </is>
      </c>
    </row>
    <row r="11">
      <c r="A11" s="290" t="inlineStr">
        <is>
          <t>เฟรมบน</t>
        </is>
      </c>
      <c r="B11" s="314">
        <f>((1)*(((B2/100)))/6.4)*buf_scrap</f>
        <v/>
      </c>
      <c r="C11" s="315">
        <f>IF(F9="สีอบขาว/ดำ",IFERROR(VLOOKUP("B22001",ราคาสี!$A:$D,4,0),1235),IF(OR(F9="เทาซาฮาร่า",F9="สีดำซาฮาร่า"),VLOOKUP("B22001",ราคาสี!$A:$F,5,0),IF(F9="ลายไม้ stock",(VLOOKUP("B22001",ราคาสี!$A:$H,8,0)*mult_wood/mult_sms),IFERROR(VLOOKUP("B22001",ราคาสี!$A:$D,4,0),1235)+IF(F9="สีอบพิเศษ",rate_special,rate_woodbake)*6.86111)))</f>
        <v/>
      </c>
      <c r="D11" s="305">
        <f>B11*C11*mult_sms</f>
        <v/>
      </c>
    </row>
    <row r="12">
      <c r="A12" s="290" t="inlineStr">
        <is>
          <t>เฟรมข้าง</t>
        </is>
      </c>
      <c r="B12" s="314">
        <f>((2)*(((B3/100)))/6.4)*buf_scrap</f>
        <v/>
      </c>
      <c r="C12" s="315">
        <f>IF(F9="สีอบขาว/ดำ",IFERROR(VLOOKUP("B22002",ราคาสี!$A:$D,4,0),1045),IF(OR(F9="เทาซาฮาร่า",F9="สีดำซาฮาร่า"),VLOOKUP("B22002",ราคาสี!$A:$F,5,0),IF(F9="ลายไม้ stock",(VLOOKUP("B22002",ราคาสี!$A:$H,8,0)*mult_wood/mult_sms),IFERROR(VLOOKUP("B22002",ราคาสี!$A:$D,4,0),1045)+IF(F9="สีอบพิเศษ",rate_special,rate_woodbake)*5.80556)))</f>
        <v/>
      </c>
      <c r="D12" s="305">
        <f>B12*C12*mult_sms</f>
        <v/>
      </c>
    </row>
    <row r="13">
      <c r="A13" s="290" t="inlineStr">
        <is>
          <t>เฟรมล่างกันน้ำ</t>
        </is>
      </c>
      <c r="B13" s="314">
        <f>((1)*(((B2/100)))/6.4)*buf_scrap</f>
        <v/>
      </c>
      <c r="C13" s="315">
        <f>IF(F9="สีอบขาว/ดำ",IF($F$7="ภายใน",825,2070),IF(OR(F9="เทาซาฮาร่า",F9="สีดำซาฮาร่า"),IF($F$7="ภายใน",VLOOKUP("B20047",ราคาสี!$A:$F,5,0),VLOOKUP("B20041",ราคาสี!$A:$F,5,0)),IF(F9="ลายไม้ stock",IF($F$7="ภายใน",(VLOOKUP("B20047",ราคาสี!$A:$H,8,0)*mult_wood/mult_sms),(VLOOKUP("B20041",ราคาสี!$A:$H,8,0)*mult_wood/mult_sms)),IF($F$7="ภายใน",825,2070)+IF(F9="สีอบพิเศษ",rate_special,rate_woodbake)*IF($F$7="ภายใน",4.58333,11.5))))</f>
        <v/>
      </c>
      <c r="D13" s="305">
        <f>B13*C13*mult_sms</f>
        <v/>
      </c>
    </row>
    <row r="14">
      <c r="A14" s="290" t="inlineStr">
        <is>
          <t>เสากุญแจ ML</t>
        </is>
      </c>
      <c r="B14" s="314">
        <f>(($F$5)*(((B3/100)))/6.4)*buf_scrap</f>
        <v/>
      </c>
      <c r="C14" s="315">
        <f>IF(F9="สีอบขาว/ดำ",IFERROR(VLOOKUP("B20051",ราคาสี!$A:$D,4,0),885),IF(OR(F9="เทาซาฮาร่า",F9="สีดำซาฮาร่า"),VLOOKUP("B20051",ราคาสี!$A:$F,5,0),IF(F9="ลายไม้ stock",(VLOOKUP("B20051",ราคาสี!$A:$H,8,0)*mult_wood/mult_sms),IFERROR(VLOOKUP("B20051",ราคาสี!$A:$D,4,0),885)+IF(F9="สีอบพิเศษ",rate_special,rate_woodbake)*4.91667)))</f>
        <v/>
      </c>
      <c r="D14" s="305">
        <f>B14*C14*mult_sms</f>
        <v/>
      </c>
    </row>
    <row r="15">
      <c r="A15" s="290" t="inlineStr">
        <is>
          <t>เสาเกี่ยวธรรมดา</t>
        </is>
      </c>
      <c r="B15" s="314">
        <f>((IF((B3/100)&gt;2.4,$F$6,2*$F$6))*(((B3/100)))/6.4)*buf_scrap</f>
        <v/>
      </c>
      <c r="C15" s="315">
        <f>IF(F9="สีอบขาว/ดำ",IFERROR(VLOOKUP("B20009",ราคาสี!$A:$D,4,0),745),IF(OR(F9="เทาซาฮาร่า",F9="สีดำซาฮาร่า"),VLOOKUP("B20009",ราคาสี!$A:$F,5,0),IF(F9="ลายไม้ stock",(VLOOKUP("B20009",ราคาสี!$A:$H,8,0)*mult_wood/mult_sms),IFERROR(VLOOKUP("B20009",ราคาสี!$A:$D,4,0),745)+IF(F9="สีอบพิเศษ",rate_special,rate_woodbake)*4.13889)))</f>
        <v/>
      </c>
      <c r="D15" s="305">
        <f>B15*C15*mult_sms</f>
        <v/>
      </c>
    </row>
    <row r="16">
      <c r="A16" s="290" t="inlineStr">
        <is>
          <t>เสาเกี่ยวรับแรง</t>
        </is>
      </c>
      <c r="B16" s="314">
        <f>((IF((B3/100)&gt;2.4,$F$6,0))*(((B3/100)))/6.4)*buf_scrap</f>
        <v/>
      </c>
      <c r="C16" s="315">
        <f>IF(F9="สีอบขาว/ดำ",IFERROR(VLOOKUP("B20010",ราคาสี!$A:$D,4,0),1235),IF(OR(F9="เทาซาฮาร่า",F9="สีดำซาฮาร่า"),VLOOKUP("B20010",ราคาสี!$A:$F,5,0),IF(F9="ลายไม้ stock",(VLOOKUP("B20010",ราคาสี!$A:$H,8,0)*mult_wood/mult_sms),IFERROR(VLOOKUP("B20010",ราคาสี!$A:$D,4,0),1235)+IF(F9="สีอบพิเศษ",rate_special,rate_woodbake)*6.86111)))</f>
        <v/>
      </c>
      <c r="D16" s="305">
        <f>B16*C16*mult_sms</f>
        <v/>
      </c>
    </row>
    <row r="17">
      <c r="A17" s="290" t="inlineStr">
        <is>
          <t>ขวางบน/ล่าง</t>
        </is>
      </c>
      <c r="B17" s="314">
        <f>((2*B4)*(((B2/100)/B4))/6.4)*buf_scrap</f>
        <v/>
      </c>
      <c r="C17" s="315">
        <f>IF(F9="สีอบขาว/ดำ",IFERROR(VLOOKUP("B20054",ราคาสี!$A:$D,4,0),1060),IF(OR(F9="เทาซาฮาร่า",F9="สีดำซาฮาร่า"),VLOOKUP("B20054",ราคาสี!$A:$F,5,0),IF(F9="ลายไม้ stock",(VLOOKUP("B20054",ราคาสี!$A:$H,8,0)*mult_wood/mult_sms),IFERROR(VLOOKUP("B20054",ราคาสี!$A:$D,4,0),1060)+IF(F9="สีอบพิเศษ",rate_special,rate_woodbake)*5.88889)))</f>
        <v/>
      </c>
      <c r="D17" s="305">
        <f>B17*C17*mult_sms</f>
        <v/>
      </c>
    </row>
    <row r="18">
      <c r="A18" s="290" t="inlineStr">
        <is>
          <t>ตบปิดเฟรม</t>
        </is>
      </c>
      <c r="B18" s="314">
        <f>((4)*(((B3/100)))/6.4)*buf_scrap</f>
        <v/>
      </c>
      <c r="C18" s="315">
        <f>IF(F9="สีอบขาว/ดำ",IFERROR(VLOOKUP("B20019",ราคาสี!$A:$D,4,0),175),IF(OR(F9="เทาซาฮาร่า",F9="สีดำซาฮาร่า"),VLOOKUP("B20019",ราคาสี!$A:$F,5,0),IF(F9="ลายไม้ stock",(VLOOKUP("B20019",ราคาสี!$A:$H,8,0)*mult_wood/mult_sms),IFERROR(VLOOKUP("B20019",ราคาสี!$A:$D,4,0),175)+IF(F9="สีอบพิเศษ",rate_special,rate_woodbake)*0.97222)))</f>
        <v/>
      </c>
      <c r="D18" s="305">
        <f>B18*C18*mult_sms</f>
        <v/>
      </c>
    </row>
    <row r="19">
      <c r="A19" s="290" t="inlineStr">
        <is>
          <t>ตบราง(นอก)/ตบปิดรางเตี้ย20050(ใน)</t>
        </is>
      </c>
      <c r="B19" s="314">
        <f>IF(F7="ภายใน",2*(B2/600)*buf_scrap,IF(FLOOR(6.4/((B2/100)),1)&gt;=1,ROUNDUP(($F$2)/FLOOR(6.4/((B2/100)),1),0),(((B2/100))/6.4)*buf_scrap*($F$2)))</f>
        <v/>
      </c>
      <c r="C19" s="315">
        <f>IF(F7="ภายใน",IF(F9="สีอบขาว/ดำ",IFERROR(VLOOKUP("B20050",ราคาสี!$A:$D,4,0),145),IF(OR(F9="เทาซาฮาร่า",F9="สีดำซาฮาร่า"),VLOOKUP("B20050",ราคาสี!$A:$F,5,0),IF(F9="ลายไม้ stock",(VLOOKUP("B20050",ราคาสี!$A:$H,8,0)*mult_wood/mult_sms),IFERROR(VLOOKUP("B20050",ราคาสี!$A:$D,4,0),145)+IF(F9="สีอบพิเศษ",rate_special,rate_woodbake)*0.81))),150)</f>
        <v/>
      </c>
      <c r="D19" s="305">
        <f>B19*C19*mult_sms</f>
        <v/>
      </c>
    </row>
    <row r="20">
      <c r="A20" s="290" t="inlineStr">
        <is>
          <t>ลูกฟูก2ทาง (แทนกระจก, 1ชั้น)</t>
        </is>
      </c>
      <c r="B20" s="314">
        <f>ROUNDUP(ROUNDUP(B2/10,0)/MAX(1,INT(600/B3)),0)</f>
        <v/>
      </c>
      <c r="C20" s="315">
        <f>IF(F9="สีอบขาว/ดำ",ราคาสี!$D$162,IF(F9="ลายไม้ stock",ราคาสี!$H$162,ราคาสี!$E$162))</f>
        <v/>
      </c>
      <c r="D20" s="305">
        <f>B20*C20*mult_slim</f>
        <v/>
      </c>
    </row>
    <row r="21">
      <c r="A21" s="290" t="inlineStr">
        <is>
          <t>ล้อ 27 (2/บาน)</t>
        </is>
      </c>
      <c r="B21" s="314">
        <f>2*$F$2</f>
        <v/>
      </c>
      <c r="C21" s="315" t="n">
        <v>80</v>
      </c>
      <c r="D21" s="305">
        <f>B21*C21</f>
        <v/>
      </c>
    </row>
    <row r="22">
      <c r="A22" s="290" t="inlineStr">
        <is>
          <t>มือจับ Align (2/บาน)</t>
        </is>
      </c>
      <c r="B22" s="314">
        <f>2*$F$3</f>
        <v/>
      </c>
      <c r="C22" s="315" t="n">
        <v>99</v>
      </c>
      <c r="D22" s="305">
        <f>B22*C22</f>
        <v/>
      </c>
    </row>
    <row r="23">
      <c r="A23" s="290" t="inlineStr">
        <is>
          <t>ชุดล็อค</t>
        </is>
      </c>
      <c r="B23" s="314">
        <f>$F$4</f>
        <v/>
      </c>
      <c r="C23" s="315" t="n">
        <v>189</v>
      </c>
      <c r="D23" s="305">
        <f>B23*C23</f>
        <v/>
      </c>
    </row>
    <row r="24">
      <c r="A24" s="290" t="inlineStr">
        <is>
          <t>สักหลาด (ม.)</t>
        </is>
      </c>
      <c r="B24" s="314">
        <f>6*(B3/100)+9*(B2/100)+2*($F$5+$F$6)*(B3/100)</f>
        <v/>
      </c>
      <c r="C24" s="315" t="n">
        <v>1.5</v>
      </c>
      <c r="D24" s="305">
        <f>B24*C24</f>
        <v/>
      </c>
    </row>
    <row r="25">
      <c r="A25" s="290" t="inlineStr">
        <is>
          <t>น็อต</t>
        </is>
      </c>
      <c r="B25" s="314">
        <f>8+4*B4</f>
        <v/>
      </c>
      <c r="C25" s="315" t="n">
        <v>1</v>
      </c>
      <c r="D25" s="305">
        <f>B25*C25</f>
        <v/>
      </c>
    </row>
    <row r="26">
      <c r="A26" s="290" t="inlineStr">
        <is>
          <t>ซิลิโคน (หลอด) ใน+นอก</t>
        </is>
      </c>
      <c r="B26" s="314">
        <f>ROUNDUP(2*((B2/100)+(B3/100))*2/12.5,0)</f>
        <v/>
      </c>
      <c r="C26" s="315">
        <f>B8</f>
        <v/>
      </c>
      <c r="D26" s="305">
        <f>B26*C26</f>
        <v/>
      </c>
    </row>
    <row r="27">
      <c r="A27" s="316" t="inlineStr">
        <is>
          <t>ค่าเปิดตู้อบ</t>
        </is>
      </c>
      <c r="B27" s="316">
        <f>IF(OR(F9="สีอบพิเศษ",F9="สีลายไม้อบพิเศษ"),1,0)</f>
        <v/>
      </c>
      <c r="C27" s="312" t="n">
        <v>2000</v>
      </c>
      <c r="D27" s="312">
        <f>B27*C27</f>
        <v/>
      </c>
      <c r="E27" s="316" t="inlineStr">
        <is>
          <t>สีอบพิเศษ / ลายไม้อบพิเศษ เท่านั้น</t>
        </is>
      </c>
    </row>
    <row r="28">
      <c r="A28" s="317" t="inlineStr">
        <is>
          <t>ทุนรวม</t>
        </is>
      </c>
      <c r="D28" s="318">
        <f>SUM(D11:D27)+D57+D36+D37+D38+D39+D58+D59</f>
        <v/>
      </c>
      <c r="F28" s="677" t="inlineStr">
        <is>
          <t>🔍 แยกก้อนต้นทุน</t>
        </is>
      </c>
    </row>
    <row r="29">
      <c r="A29" s="317" t="inlineStr">
        <is>
          <t>ทุน/ตร.ม.</t>
        </is>
      </c>
      <c r="D29" s="318">
        <f>IFERROR(D28/B6,0)</f>
        <v/>
      </c>
      <c r="F29" s="658" t="inlineStr">
        <is>
          <t>ทุนอลู (×ราคา/กก.)</t>
        </is>
      </c>
      <c r="G29" s="678">
        <f>SUM(D11:D19)</f>
        <v/>
      </c>
    </row>
    <row r="30">
      <c r="A30" s="319" t="inlineStr">
        <is>
          <t>ราคาขาย/ตร.ม. (ทุน+กำไร%)</t>
        </is>
      </c>
      <c r="D30" s="321">
        <f>ROUNDUP(D28*(1+B7/100)/100,0)*100</f>
        <v/>
      </c>
      <c r="F30" s="434" t="inlineStr">
        <is>
          <t>ทุนกระจก</t>
        </is>
      </c>
      <c r="G30" s="679">
        <f>D20</f>
        <v/>
      </c>
    </row>
    <row r="31">
      <c r="A31" s="322" t="inlineStr">
        <is>
          <t>%กำไรจริง</t>
        </is>
      </c>
      <c r="D31" s="323">
        <f>IFERROR((D30-D28)/D28,0)</f>
        <v/>
      </c>
      <c r="F31" s="434" t="inlineStr">
        <is>
          <t>ทุนอุปกรณ์+ซิลิโคน</t>
        </is>
      </c>
      <c r="G31" s="679">
        <f>SUM(D21:D27)</f>
        <v/>
      </c>
    </row>
    <row r="32">
      <c r="A32" s="331" t="inlineStr">
        <is>
          <t>ราคาขายรวม/ชุด</t>
        </is>
      </c>
      <c r="D32" s="284">
        <f>D30</f>
        <v/>
      </c>
      <c r="F32" s="434" t="inlineStr">
        <is>
          <t>รวมวัสดุ</t>
        </is>
      </c>
      <c r="G32" s="679">
        <f>SUM(G29:G31)</f>
        <v/>
      </c>
    </row>
    <row r="33">
      <c r="A33" s="532" t="inlineStr">
        <is>
          <t>— มุ้ง (ออปชั่น) — บวกเข้าทุน —</t>
        </is>
      </c>
      <c r="F33" s="680" t="inlineStr">
        <is>
          <t>อลูเท่านั้นที่ ×ราคา/กก. · กระจก/อุปกรณ์คงที่</t>
        </is>
      </c>
    </row>
    <row r="34">
      <c r="A34" s="219" t="inlineStr">
        <is>
          <t>เลือกมุ้ง →</t>
        </is>
      </c>
      <c r="B34" s="483" t="inlineStr">
        <is>
          <t>ไม่มีมุ้ง</t>
        </is>
      </c>
      <c r="C34" s="140">
        <f>IF(B34="ไม่มีมุ้ง","—",IF(H35=1,"✓ ใช้ได้","⚠ ใช้กับบานนี้ไม่ได้(ทุน=0)"))</f>
        <v/>
      </c>
      <c r="D34" s="140">
        <f>IF(B34="ไม่มีมุ้ง","",H40&amp;" บาน")</f>
        <v/>
      </c>
      <c r="H34" s="586">
        <f>IFERROR(VLOOKUP(B34,ราคามุ้ง!$A$2:$O$15,3,0),"")</f>
        <v/>
      </c>
    </row>
    <row r="35">
      <c r="A35" s="150" t="inlineStr">
        <is>
          <t>ชนิดผ้า / สี →</t>
        </is>
      </c>
      <c r="B35" s="483" t="inlineStr">
        <is>
          <t>ไฟเบอร์</t>
        </is>
      </c>
      <c r="C35" s="483" t="inlineStr">
        <is>
          <t>เทา</t>
        </is>
      </c>
      <c r="D35" s="424" t="n"/>
      <c r="H35" s="586">
        <f>IF(B34="ไม่มีมุ้ง",0,IF(OR(IFERROR(VLOOKUP(B34,ราคามุ้ง!$A$2:$O$15,4,0),"ALL")="ALL",ISNUMBER(SEARCH("SMS",IFERROR(VLOOKUP(B34,ราคามุ้ง!$A$2:$O$15,4,0),"")))),1,0))</f>
        <v/>
      </c>
    </row>
    <row r="36">
      <c r="A36" s="150" t="inlineStr">
        <is>
          <t>› เสา (เส้น 6ม.)</t>
        </is>
      </c>
      <c r="B36" s="590">
        <f>IF(AND(H35=1,H36=1),ROUND(H40*2*H39/6,2),0)</f>
        <v/>
      </c>
      <c r="C36" s="587">
        <f>IF(B34="มุ้งเฟรมเล็ก",'ราคามุ้ง'!$B$19,IF(B34="มุ้งเฟรมใหญ่",ROUND(C14*mult_sms,0),IF(B34="มุ้งนิรภัย",'ราคามุ้ง'!$B$21,0)))</f>
        <v/>
      </c>
      <c r="D36" s="424">
        <f>ROUND(B36*C36,0)</f>
        <v/>
      </c>
      <c r="H36" s="586">
        <f>IF(OR(B34="มุ้งเฟรมเล็ก",B34="มุ้งเฟรมใหญ่",B34="มุ้งนิรภัย"),1,0)</f>
        <v/>
      </c>
    </row>
    <row r="37">
      <c r="A37" s="150" t="inlineStr">
        <is>
          <t>› ขวาง (เส้น 6ม.)</t>
        </is>
      </c>
      <c r="B37" s="591">
        <f>IF(AND(H35=1,H36=1),ROUND(H40*2*H38/6,2),0)</f>
        <v/>
      </c>
      <c r="C37" s="587">
        <f>IF(B34="มุ้งเฟรมเล็ก",'ราคามุ้ง'!$B$19,IF(B34="มุ้งเฟรมใหญ่",ROUND(C14*mult_sms,0),IF(B34="มุ้งนิรภัย",'ราคามุ้ง'!$B$21,0)))</f>
        <v/>
      </c>
      <c r="D37" s="587">
        <f>ROUND(B37*C37,0)</f>
        <v/>
      </c>
      <c r="H37" s="586">
        <f>IFERROR(VLOOKUP(B35,ราคามุ้ง!$I$2:$J$5,2,0),0)</f>
        <v/>
      </c>
    </row>
    <row r="38">
      <c r="A38" s="219" t="inlineStr">
        <is>
          <t>› ยางอัด (ม.)</t>
        </is>
      </c>
      <c r="B38" s="592">
        <f>IF(AND(H35=1,H36=1),ROUND(H40*2*(H38+H39),2),0)</f>
        <v/>
      </c>
      <c r="C38" s="587">
        <f>'ราคามุ้ง'!$D$19</f>
        <v/>
      </c>
      <c r="D38" s="426">
        <f>ROUND(B38*C38,0)</f>
        <v/>
      </c>
      <c r="H38" s="593">
        <f>B2/(B4*100)</f>
        <v/>
      </c>
    </row>
    <row r="39">
      <c r="A39" s="219" t="inlineStr">
        <is>
          <t>› ผ้า / มุ้งสำเร็จ</t>
        </is>
      </c>
      <c r="B39" s="592">
        <f>IF(H35=0,0,ROUND(H40*H38*H39,2))</f>
        <v/>
      </c>
      <c r="C39" s="587">
        <f>IF(B34="มุ้งนิรภัย",650,IF(OR(B34="มุ้งเฟรมเล็ก",B34="มุ้งเฟรมใหญ่"),H37,IF(H34="ซื้อสำเร็จ",IFERROR(VLOOKUP(B34,ราคามุ้ง!$A$2:$O$15,2,0),0),0)))</f>
        <v/>
      </c>
      <c r="D39" s="426">
        <f>ROUND(B39*C39,0)</f>
        <v/>
      </c>
      <c r="H39" s="592">
        <f>B3/100</f>
        <v/>
      </c>
    </row>
    <row r="40">
      <c r="A40" s="219" t="inlineStr">
        <is>
          <t>› ค่าแรงผลิตมุ้ง</t>
        </is>
      </c>
      <c r="D40" s="426">
        <f>IF(H35=0,0,ROUND(H40*(VLOOKUP(B34,ราคามุ้ง!$A$2:$O$15,12,0)+VLOOKUP(B34,ราคามุ้ง!$A$2:$O$15,13,0)*H38*H39),0))</f>
        <v/>
      </c>
      <c r="H40" s="140">
        <f>IF(AND(B5="อิสระ",B4=2),1,F2)</f>
        <v/>
      </c>
    </row>
    <row r="41">
      <c r="A41" s="140" t="inlineStr">
        <is>
          <t>› ค่าแรงติดตั้งมุ้ง</t>
        </is>
      </c>
      <c r="C41" s="587" t="n"/>
      <c r="D41" s="587">
        <f>IF(H35=0,0,ROUND(H40*(VLOOKUP(B34,ราคามุ้ง!$A$2:$O$15,14,0)+VLOOKUP(B34,ราคามุ้ง!$A$2:$O$15,15,0)*H38*H39),0))</f>
        <v/>
      </c>
      <c r="E41" s="663" t="inlineStr">
        <is>
          <t>รวมมุ้ง →</t>
        </is>
      </c>
      <c r="F41" s="664">
        <f>SUM(D36:D41)</f>
        <v/>
      </c>
    </row>
    <row r="42">
      <c r="A42" s="276" t="inlineStr">
        <is>
          <t>— ผูกค่าแรง (ราคาขายรวมค่าแรง) —</t>
        </is>
      </c>
    </row>
    <row r="43">
      <c r="A43" s="324" t="inlineStr">
        <is>
          <t>ค่าแรงผลิต (จากชีทค่าแรง)</t>
        </is>
      </c>
      <c r="D43" s="277">
        <f>MAX(0,VLOOKUP("บานระแนงเลื่อน",'ค่าแรง'!$A$12:$E$42,2,0)+VLOOKUP("บานระแนงเลื่อน",'ค่าแรง'!$A$12:$E$42,3,0)*B6)</f>
        <v/>
      </c>
    </row>
    <row r="44">
      <c r="A44" s="324" t="inlineStr">
        <is>
          <t>ค่าแรงติดตั้ง (จากชีทค่าแรง)</t>
        </is>
      </c>
      <c r="D44" s="277">
        <f>MAX(0,VLOOKUP("บานระแนงเลื่อน",'ค่าแรง'!$A$12:$E$42,4,0)+VLOOKUP("บานระแนงเลื่อน",'ค่าแรง'!$A$12:$E$42,5,0)*B6)</f>
        <v/>
      </c>
    </row>
    <row r="45">
      <c r="A45" s="324" t="inlineStr">
        <is>
          <t>กำไรติดตั้ง % →</t>
        </is>
      </c>
      <c r="B45" s="278" t="n">
        <v>100</v>
      </c>
    </row>
    <row r="46">
      <c r="A46" s="276" t="inlineStr">
        <is>
          <t>ราคาขาย ผลิตอย่างเดียว</t>
        </is>
      </c>
      <c r="D46" s="279">
        <f>ROUNDUP((D28+D43+D40)*(1+B7/100)/100,0)*100</f>
        <v/>
      </c>
    </row>
    <row r="47">
      <c r="A47" s="276" t="inlineStr">
        <is>
          <t>ราคาขาย ผลิต+ติดตั้ง</t>
        </is>
      </c>
      <c r="D47" s="279">
        <f>D46+ROUNDUP((D44+D41)*(1+B45/100)/100,0)*100</f>
        <v/>
      </c>
    </row>
    <row r="48">
      <c r="A48" s="276" t="inlineStr">
        <is>
          <t>%กำไรจริง (ผลิต+ติดตั้ง)</t>
        </is>
      </c>
      <c r="D48" s="280">
        <f>(D47-(D28+D43+D44+D40+D41))/(D28+D43+D44+D40+D41)</f>
        <v/>
      </c>
    </row>
    <row r="50">
      <c r="A50" s="433" t="inlineStr">
        <is>
          <t>— ชุด auto (ออปชั่น) — บวกเข้าทุน × กำไ%</t>
        </is>
      </c>
      <c r="B50" s="434" t="n"/>
      <c r="C50" s="434" t="n"/>
      <c r="D50" s="434" t="n"/>
    </row>
    <row r="51">
      <c r="A51" s="134" t="inlineStr">
        <is>
          <t>ใส่ auto? →</t>
        </is>
      </c>
      <c r="B51" s="435" t="inlineStr">
        <is>
          <t>ไม่มี</t>
        </is>
      </c>
      <c r="C51" s="434" t="n"/>
      <c r="D51" s="434" t="n"/>
      <c r="F51" s="134" t="inlineStr">
        <is>
          <t>Evecca base</t>
        </is>
      </c>
      <c r="G51" s="134">
        <f>INDEX(ราคาออโต้!$C:$C,MATCH("Evecca (จีน)",ราคาออโต้!$B:$B,0))</f>
        <v/>
      </c>
    </row>
    <row r="52">
      <c r="A52" s="134" t="inlineStr">
        <is>
          <t>ชุด auto →</t>
        </is>
      </c>
      <c r="B52" s="435" t="inlineStr">
        <is>
          <t>Evecca (จีน)</t>
        </is>
      </c>
      <c r="C52" s="434" t="n"/>
      <c r="D52" s="434" t="n"/>
      <c r="F52" s="134" t="inlineStr">
        <is>
          <t>สายพาน/ม</t>
        </is>
      </c>
      <c r="G52" s="134">
        <f>INDEX(ราคาออโต้!$C:$C,MATCH("สายพาน Evecca",ราคาออโต้!$B:$B,0))</f>
        <v/>
      </c>
    </row>
    <row r="53">
      <c r="A53" s="134" t="inlineStr">
        <is>
          <t>ออป Smart lock (Evecca) →</t>
        </is>
      </c>
      <c r="B53" s="435" t="inlineStr">
        <is>
          <t>ไม่มี</t>
        </is>
      </c>
      <c r="C53" s="434" t="n"/>
      <c r="D53" s="434" t="n"/>
      <c r="F53" s="134" t="inlineStr">
        <is>
          <t>ส่ง Evecca</t>
        </is>
      </c>
      <c r="G53" s="134">
        <f>INDEX(ราคาออโต้!$D:$D,MATCH("Evecca (จีน)",ราคาออโต้!$B:$B,0))</f>
        <v/>
      </c>
    </row>
    <row r="54">
      <c r="A54" s="134" t="inlineStr">
        <is>
          <t>ออป Touch (ช่างแซก) →</t>
        </is>
      </c>
      <c r="B54" s="435" t="inlineStr">
        <is>
          <t>ไม่มี</t>
        </is>
      </c>
      <c r="C54" s="434" t="n"/>
      <c r="D54" s="434" t="n"/>
      <c r="F54" s="134" t="inlineStr">
        <is>
          <t>Smart lock</t>
        </is>
      </c>
      <c r="G54" s="134">
        <f>INDEX(ราคาออโต้!$C:$C,MATCH("ออป Smart lock",ราคาออโต้!$B:$B,0))</f>
        <v/>
      </c>
    </row>
    <row r="55">
      <c r="A55" s="134" t="inlineStr">
        <is>
          <t>ออป Infrared (ช่างแซก) →</t>
        </is>
      </c>
      <c r="B55" s="435" t="inlineStr">
        <is>
          <t>ไม่มี</t>
        </is>
      </c>
      <c r="C55" s="434" t="n"/>
      <c r="D55" s="434" t="n"/>
      <c r="F55" s="134" t="inlineStr">
        <is>
          <t>ช่างแซก base</t>
        </is>
      </c>
      <c r="G55" s="134">
        <f>INDEX(ราคาออโต้!$C:$C,MATCH("ช่างแซก",ราคาออโต้!$B:$B,0))</f>
        <v/>
      </c>
    </row>
    <row r="56">
      <c r="A56" s="434" t="n"/>
      <c r="B56" s="434" t="n"/>
      <c r="C56" s="434" t="n"/>
      <c r="D56" s="434" t="n"/>
      <c r="F56" s="134" t="inlineStr">
        <is>
          <t>เซฟตี้ตาแมว</t>
        </is>
      </c>
      <c r="G56" s="134">
        <f>INDEX(ราคาออโต้!$C:$C,MATCH("เซฟตี้ตาแมว (บังคับช่างแซก)",ราคาออโต้!$B:$B,0))</f>
        <v/>
      </c>
    </row>
    <row r="57">
      <c r="A57" s="436" t="inlineStr">
        <is>
          <t>ทุนชุด auto</t>
        </is>
      </c>
      <c r="B57" s="434" t="n"/>
      <c r="C57" s="434" t="n"/>
      <c r="D57" s="437">
        <f>IF(B51="ไม่มี",0,IF(B52="Evecca (จีน)",G51+ROUND(G52*B2*2/100,0)+G53+IF(B53="มี",G54,0),(G55+G56+ROUND(G57*B2/100,0)+IF(B54="มี",G58,0)+IF(B55="มี",G59,0))*IF(B5="เปิดคู่กลาง",1,MIN(B4,3))))</f>
        <v/>
      </c>
      <c r="F57" s="134" t="inlineStr">
        <is>
          <t>ราง/ม</t>
        </is>
      </c>
      <c r="G57" s="134">
        <f>INDEX(ราคาออโต้!$C:$C,MATCH("ราง ช่างแซก",ราคาออโต้!$B:$B,0))</f>
        <v/>
      </c>
    </row>
    <row r="58">
      <c r="A58" s="290" t="inlineStr">
        <is>
          <t>ล้อลูกฟูก (=จำนวนลูกฟูก)</t>
        </is>
      </c>
      <c r="B58" s="314">
        <f>ROUNDUP(B2/10,0)</f>
        <v/>
      </c>
      <c r="C58" s="315" t="n">
        <v>7</v>
      </c>
      <c r="D58" s="305">
        <f>B58*C58</f>
        <v/>
      </c>
      <c r="F58" s="134" t="inlineStr">
        <is>
          <t>Touch</t>
        </is>
      </c>
      <c r="G58" s="134">
        <f>INDEX(ราคาออโต้!$C:$C,MATCH("ออป Touch Switch (ช่างแซก)",ราคาออโต้!$B:$B,0))</f>
        <v/>
      </c>
    </row>
    <row r="59">
      <c r="A59" s="290" t="inlineStr">
        <is>
          <t>ดาม กล่อง1×1 (นอก+ใน กลาง)</t>
        </is>
      </c>
      <c r="B59" s="314">
        <f>ROUND(2*B2/600,3)</f>
        <v/>
      </c>
      <c r="C59" s="315" t="n">
        <v>310</v>
      </c>
      <c r="D59" s="305">
        <f>B59*C59</f>
        <v/>
      </c>
      <c r="F59" s="134" t="inlineStr">
        <is>
          <t>Infrared</t>
        </is>
      </c>
      <c r="G59" s="134">
        <f>INDEX(ราคาออโต้!$C:$C,MATCH("ออป Infrared (ช่างแซก)",ราคาออโต้!$B:$B,0))</f>
        <v/>
      </c>
    </row>
  </sheetData>
  <mergeCells count="1">
    <mergeCell ref="A1:D1"/>
  </mergeCells>
  <dataValidations count="11">
    <dataValidation sqref="B5" showDropDown="0" showInputMessage="0" showErrorMessage="0" allowBlank="0" type="list" operator="between">
      <formula1>"อิสระ,ลากจูง,เปิดคู่กลาง"</formula1>
      <formula2>0</formula2>
    </dataValidation>
    <dataValidation sqref="F9" showDropDown="0" showInputMessage="0" showErrorMessage="0" allowBlank="0" type="list" operator="between">
      <formula1>"สีอบขาว/ดำ,เทาซาฮาร่า,สีดำซาฮาร่า,ลายไม้ stock,สีอบพิเศษ,สีลายไม้อบพิเศษ"</formula1>
      <formula2>0</formula2>
    </dataValidation>
    <dataValidation sqref="F7" showDropDown="0" showInputMessage="0" showErrorMessage="0" allowBlank="0" type="list" operator="between">
      <formula1>"ภายนอก,ภายใน"</formula1>
      <formula2>0</formula2>
    </dataValidation>
    <dataValidation sqref="B51" showDropDown="0" showInputMessage="0" showErrorMessage="0" allowBlank="1" type="list">
      <formula1>"มี,ไม่มี"</formula1>
    </dataValidation>
    <dataValidation sqref="B52" showDropDown="0" showInputMessage="0" showErrorMessage="0" allowBlank="1" type="list">
      <formula1>"Evecca (จีน),ช่างแซก"</formula1>
    </dataValidation>
    <dataValidation sqref="B53" showDropDown="0" showInputMessage="0" showErrorMessage="0" allowBlank="1" type="list">
      <formula1>"มี,ไม่มี"</formula1>
    </dataValidation>
    <dataValidation sqref="B54" showDropDown="0" showInputMessage="0" showErrorMessage="0" allowBlank="1" type="list">
      <formula1>"มี,ไม่มี"</formula1>
    </dataValidation>
    <dataValidation sqref="B55" showDropDown="0" showInputMessage="0" showErrorMessage="0" allowBlank="1" type="list">
      <formula1>"มี,ไม่มี"</formula1>
    </dataValidation>
    <dataValidation sqref="B34" showDropDown="0" showInputMessage="0" showErrorMessage="0" allowBlank="1" type="list">
      <formula1>MungList</formula1>
    </dataValidation>
    <dataValidation sqref="B35" showDropDown="0" showInputMessage="0" showErrorMessage="0" allowBlank="1" type="list">
      <formula1>ClothList</formula1>
    </dataValidation>
    <dataValidation sqref="C35" showDropDown="0" showInputMessage="0" showErrorMessage="0" allowBlank="1" type="list">
      <formula1>"เทา,ดำ"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tabColor rgb="001F4E78"/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6" customWidth="1" style="129" min="1" max="1"/>
    <col width="11" customWidth="1" style="129" min="2" max="2"/>
    <col width="11" customWidth="1" style="129" min="3" max="3"/>
    <col width="11" customWidth="1" style="129" min="4" max="4"/>
    <col width="12" customWidth="1" style="129" min="5" max="5"/>
    <col width="9" customWidth="1" style="129" min="6" max="6"/>
    <col width="12" customWidth="1" style="129" min="7" max="7"/>
    <col width="11" customWidth="1" style="129" min="8" max="8"/>
    <col width="15" customWidth="1" style="129" min="9" max="9"/>
  </cols>
  <sheetData>
    <row r="1">
      <c r="A1" s="820" t="inlineStr">
        <is>
          <t>📄 ราคาอ้างอิงบานสำเร็จ YKK / Tostem — ทุนจากใบราคา Fabricator · ค่าส่งแก้ที่ B3 ที่เดียว</t>
        </is>
      </c>
    </row>
    <row r="3">
      <c r="A3" s="821" t="inlineStr">
        <is>
          <t>ค่าส่งเหมา/ชุด (แก้ตรงนี้) →</t>
        </is>
      </c>
      <c r="B3" s="822" t="n">
        <v>2000</v>
      </c>
    </row>
    <row r="5">
      <c r="A5" s="823" t="inlineStr">
        <is>
          <t>① YKK Exhido (ประตูทางเข้าบ้าน) — ราคา มิ.ย.69 · Estimate · รวม door closer · รับที่โกดัง · lead 60 วัน · สีมาตรฐาน</t>
        </is>
      </c>
    </row>
    <row r="6">
      <c r="A6" s="824" t="inlineStr">
        <is>
          <t>รุ่น</t>
        </is>
      </c>
      <c r="B6" s="824" t="inlineStr">
        <is>
          <t>กว้าง (มม.)</t>
        </is>
      </c>
      <c r="C6" s="824" t="inlineStr">
        <is>
          <t>สูง (มม.)</t>
        </is>
      </c>
      <c r="D6" s="824" t="inlineStr">
        <is>
          <t>พื้นที่ (ตร.ม.)</t>
        </is>
      </c>
      <c r="E6" s="824" t="inlineStr">
        <is>
          <t>ราคาใบราคา</t>
        </is>
      </c>
      <c r="F6" s="824" t="inlineStr">
        <is>
          <t>+ค่าส่ง</t>
        </is>
      </c>
      <c r="G6" s="824" t="inlineStr">
        <is>
          <t>ทุนรวม/ชุด</t>
        </is>
      </c>
      <c r="H6" s="824" t="inlineStr">
        <is>
          <t>ทุน/ตร.ม.</t>
        </is>
      </c>
      <c r="I6" s="824" t="inlineStr">
        <is>
          <t>ขายแนะนำ (ทุน×2)</t>
        </is>
      </c>
    </row>
    <row r="7">
      <c r="A7" s="825" t="inlineStr">
        <is>
          <t>Single เล็ก</t>
        </is>
      </c>
      <c r="B7" s="826" t="n">
        <v>800</v>
      </c>
      <c r="C7" s="826" t="n">
        <v>2200</v>
      </c>
      <c r="D7" s="827">
        <f>ROUND(B7*C7/1000000,2)</f>
        <v/>
      </c>
      <c r="E7" s="828" t="n">
        <v>25000</v>
      </c>
      <c r="F7" s="829">
        <f>$B$3</f>
        <v/>
      </c>
      <c r="G7" s="830">
        <f>E7+F7</f>
        <v/>
      </c>
      <c r="H7" s="829">
        <f>ROUND(G7/D7,0)</f>
        <v/>
      </c>
      <c r="I7" s="831">
        <f>ROUNDUP(G7*2/100,0)*100</f>
        <v/>
      </c>
    </row>
    <row r="8">
      <c r="A8" s="825" t="inlineStr">
        <is>
          <t>Single ใหญ่</t>
        </is>
      </c>
      <c r="B8" s="826" t="n">
        <v>1100</v>
      </c>
      <c r="C8" s="826" t="n">
        <v>3000</v>
      </c>
      <c r="D8" s="827">
        <f>ROUND(B8*C8/1000000,2)</f>
        <v/>
      </c>
      <c r="E8" s="828" t="n">
        <v>47000</v>
      </c>
      <c r="F8" s="829">
        <f>$B$3</f>
        <v/>
      </c>
      <c r="G8" s="830">
        <f>E8+F8</f>
        <v/>
      </c>
      <c r="H8" s="829">
        <f>ROUND(G8/D8,0)</f>
        <v/>
      </c>
      <c r="I8" s="831">
        <f>ROUNDUP(G8*2/100,0)*100</f>
        <v/>
      </c>
    </row>
    <row r="9">
      <c r="A9" s="825" t="inlineStr">
        <is>
          <t>Master &amp; Slave</t>
        </is>
      </c>
      <c r="B9" s="826" t="n">
        <v>1550</v>
      </c>
      <c r="C9" s="826" t="n">
        <v>2000</v>
      </c>
      <c r="D9" s="827">
        <f>ROUND(B9*C9/1000000,2)</f>
        <v/>
      </c>
      <c r="E9" s="828" t="n">
        <v>48000</v>
      </c>
      <c r="F9" s="829">
        <f>$B$3</f>
        <v/>
      </c>
      <c r="G9" s="830">
        <f>E9+F9</f>
        <v/>
      </c>
      <c r="H9" s="829">
        <f>ROUND(G9/D9,0)</f>
        <v/>
      </c>
      <c r="I9" s="831">
        <f>ROUNDUP(G9*2/100,0)*100</f>
        <v/>
      </c>
    </row>
    <row r="10">
      <c r="A10" s="825" t="inlineStr">
        <is>
          <t>Double</t>
        </is>
      </c>
      <c r="B10" s="826" t="n">
        <v>2150</v>
      </c>
      <c r="C10" s="826" t="n">
        <v>3000</v>
      </c>
      <c r="D10" s="827">
        <f>ROUND(B10*C10/1000000,2)</f>
        <v/>
      </c>
      <c r="E10" s="828" t="n">
        <v>65000</v>
      </c>
      <c r="F10" s="829">
        <f>$B$3</f>
        <v/>
      </c>
      <c r="G10" s="830">
        <f>E10+F10</f>
        <v/>
      </c>
      <c r="H10" s="829">
        <f>ROUND(G10/D10,0)</f>
        <v/>
      </c>
      <c r="I10" s="831">
        <f>ROUNDUP(G10*2/100,0)*100</f>
        <v/>
      </c>
    </row>
    <row r="13">
      <c r="A13" s="823" t="inlineStr">
        <is>
          <t>② เรตอ้างอิงต่อ ตร.ม. (จากโน้ตหัวหน้า R4.0 — ทุนยังไม่รวมขนส่ง)</t>
        </is>
      </c>
    </row>
    <row r="14">
      <c r="A14" s="832" t="inlineStr">
        <is>
          <t>รุ่น</t>
        </is>
      </c>
      <c r="B14" s="832" t="inlineStr">
        <is>
          <t>ทุน/ตร.ม.</t>
        </is>
      </c>
      <c r="C14" s="832" t="inlineStr">
        <is>
          <t>ขนาดต่ำสุด (ม.)</t>
        </is>
      </c>
      <c r="D14" s="832" t="inlineStr">
        <is>
          <t>ขนาดสูงสุด (ม.)</t>
        </is>
      </c>
      <c r="E14" s="832" t="inlineStr">
        <is>
          <t>หมายเหตุ</t>
        </is>
      </c>
    </row>
    <row r="15">
      <c r="A15" s="825" t="inlineStr">
        <is>
          <t>YKK Ventilation</t>
        </is>
      </c>
      <c r="B15" s="830" t="n">
        <v>11390</v>
      </c>
      <c r="C15" s="825" t="inlineStr">
        <is>
          <t>0.70 × 1.90</t>
        </is>
      </c>
      <c r="D15" s="825" t="inlineStr">
        <is>
          <t>0.90 × 2.20</t>
        </is>
      </c>
      <c r="E15" s="825" t="inlineStr">
        <is>
          <t>บานสำเร็จ ระบายอากาศ</t>
        </is>
      </c>
    </row>
    <row r="16">
      <c r="A16" s="825" t="inlineStr">
        <is>
          <t>Tostem Airflow A01</t>
        </is>
      </c>
      <c r="B16" s="830" t="n">
        <v>9860</v>
      </c>
      <c r="C16" s="825" t="inlineStr">
        <is>
          <t>0.70 × 1.90</t>
        </is>
      </c>
      <c r="D16" s="825" t="inlineStr">
        <is>
          <t>0.90 × 2.22</t>
        </is>
      </c>
      <c r="E16" s="825" t="inlineStr">
        <is>
          <t>บานสำเร็จ ระบายอากาศ</t>
        </is>
      </c>
    </row>
    <row r="18">
      <c r="A18" s="489" t="inlineStr">
        <is>
          <t>นโยบาย: ราคาขาย = ทุน×2 · Exhido ราคา estimate — ยืนยันกับ YKK ก่อนปิดงานจริง</t>
        </is>
      </c>
    </row>
  </sheetData>
  <mergeCells count="4">
    <mergeCell ref="A1:I1"/>
    <mergeCell ref="A5:I5"/>
    <mergeCell ref="A18:I18"/>
    <mergeCell ref="A13:I13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32" customWidth="1" style="129" min="1" max="1"/>
    <col width="14" customWidth="1" style="129" min="2" max="2"/>
    <col width="14" customWidth="1" style="129" min="3" max="3"/>
    <col width="14" customWidth="1" style="129" min="4" max="4"/>
    <col width="14" customWidth="1" style="129" min="5" max="5"/>
  </cols>
  <sheetData>
    <row r="1">
      <c r="A1" s="833" t="inlineStr">
        <is>
          <t>ถอดทุน บานเฟี้ยมยก (เฟี้ยมยูโรหมุน 90°) — หน่วย ซม. · นับเส้นเต็ม Σ÷640 · N คงที่ 2 บาน</t>
        </is>
      </c>
      <c r="B1" s="517" t="n"/>
      <c r="C1" s="517" t="n"/>
      <c r="D1" s="517" t="n"/>
      <c r="E1" s="518" t="n"/>
      <c r="G1" s="873" t="inlineStr">
        <is>
          <t>🏠 สารบัญ</t>
        </is>
      </c>
    </row>
    <row r="2">
      <c r="A2" s="834" t="inlineStr">
        <is>
          <t>กว้างช่อง W (ซม.) →</t>
        </is>
      </c>
      <c r="B2" s="835" t="n">
        <v>200</v>
      </c>
    </row>
    <row r="3">
      <c r="A3" s="834" t="inlineStr">
        <is>
          <t>สูงช่อง H (ซม.) →</t>
        </is>
      </c>
      <c r="B3" s="835" t="n">
        <v>120</v>
      </c>
    </row>
    <row r="4">
      <c r="A4" s="834" t="inlineStr">
        <is>
          <t>จำนวนบาน N →</t>
        </is>
      </c>
      <c r="B4" s="836" t="n">
        <v>2</v>
      </c>
    </row>
    <row r="5">
      <c r="A5" s="834" t="inlineStr">
        <is>
          <t>พื้นที่ (ตร.ม.) =</t>
        </is>
      </c>
      <c r="B5" s="837">
        <f>(B2/100)*(B3/100)</f>
        <v/>
      </c>
    </row>
    <row r="6">
      <c r="A6" s="834" t="inlineStr">
        <is>
          <t>บวกกำไร % →</t>
        </is>
      </c>
      <c r="B6" s="835" t="n">
        <v>100</v>
      </c>
    </row>
    <row r="8">
      <c r="A8" s="834" t="inlineStr">
        <is>
          <t>กระจก →</t>
        </is>
      </c>
      <c r="B8" s="835" t="inlineStr">
        <is>
          <t>เขียว 6มม.</t>
        </is>
      </c>
      <c r="C8" s="838">
        <f>INDEX(ราคาวัสดุกลาง!$I$2:$I$106,MATCH(B8,ราคาวัสดุกลาง!$H$2:$H$106,0))</f>
        <v/>
      </c>
      <c r="D8" s="839" t="inlineStr">
        <is>
          <t>← ราคากระจก/ตร.ม.</t>
        </is>
      </c>
      <c r="E8" s="834" t="inlineStr">
        <is>
          <t>สี →</t>
        </is>
      </c>
      <c r="F8" s="835" t="inlineStr">
        <is>
          <t>สีอบขาว/ดำ</t>
        </is>
      </c>
    </row>
    <row r="10">
      <c r="A10" s="833" t="inlineStr">
        <is>
          <t>วัสดุอลู (F79xx)</t>
        </is>
      </c>
      <c r="B10" s="833" t="inlineStr">
        <is>
          <t>Σยาว(ซม)</t>
        </is>
      </c>
      <c r="C10" s="833" t="inlineStr">
        <is>
          <t>เส้น</t>
        </is>
      </c>
      <c r="D10" s="833" t="inlineStr">
        <is>
          <t>ราคา/เส้น</t>
        </is>
      </c>
      <c r="E10" s="833" t="inlineStr">
        <is>
          <t>ทุน(บาท)</t>
        </is>
      </c>
    </row>
    <row r="11">
      <c r="A11" s="840" t="inlineStr">
        <is>
          <t>F7968 เฟรมข้าง (เดิมเฟรมบน)</t>
        </is>
      </c>
      <c r="B11" s="841">
        <f>(B3-2)*2</f>
        <v/>
      </c>
      <c r="C11" s="838">
        <f>ROUNDUP(B11/640,0)</f>
        <v/>
      </c>
      <c r="D11" s="842">
        <f>IF(F8="สีอบขาว/ดำ",VLOOKUP("F7968",ราคาสี!$A:$F,4,0),IF(OR(F8="เทาซาฮาร่า",F8="สีดำซาฮาร่า"),VLOOKUP("F7968",ราคาสี!$A:$F,5,0),IF(F8="แอทแทคเกรย์",VLOOKUP("F7968",ราคาสี!$A:$J,7,0),IF(F8="ลายไม้สักทอง",(VLOOKUP("F7968",ราคาสี!$A:$H,8,0)*mult_wood/mult_euro),IF(F8="ลายไม้มะฮอกกานี",(VLOOKUP("F7968",ราคาสี!$A:$J,9,0)*mult_wood/mult_euro),IF(F8="ลายไม้ไวท์โอ๊ค",(VLOOKUP("F7968",ราคาสี!$A:$J,10,0)*mult_wood/mult_euro),IF(F8="สีอบพิเศษ",6076,6365)))))))</f>
        <v/>
      </c>
      <c r="E11" s="843">
        <f>C11*D11*mult_euro</f>
        <v/>
      </c>
    </row>
    <row r="12">
      <c r="A12" s="840" t="inlineStr">
        <is>
          <t>F7969 เฟรมล่าง</t>
        </is>
      </c>
      <c r="B12" s="841">
        <f>(B2-11)</f>
        <v/>
      </c>
      <c r="C12" s="838">
        <f>ROUNDUP(B12/640,0)</f>
        <v/>
      </c>
      <c r="D12" s="842">
        <f>IF(F8="สีอบขาว/ดำ",VLOOKUP("F7969",ราคาสี!$A:$F,4,0),IF(OR(F8="เทาซาฮาร่า",F8="สีดำซาฮาร่า"),VLOOKUP("F7969",ราคาสี!$A:$F,5,0),IF(F8="แอทแทคเกรย์",VLOOKUP("F7969",ราคาสี!$A:$J,7,0),IF(F8="ลายไม้สักทอง",(VLOOKUP("F7969",ราคาสี!$A:$H,8,0)*mult_wood/mult_euro),IF(F8="ลายไม้มะฮอกกานี",(VLOOKUP("F7969",ราคาสี!$A:$J,9,0)*mult_wood/mult_euro),IF(F8="ลายไม้ไวท์โอ๊ค",(VLOOKUP("F7969",ราคาสี!$A:$J,10,0)*mult_wood/mult_euro),IF(F8="สีอบพิเศษ",3348,3507)))))))</f>
        <v/>
      </c>
      <c r="E12" s="843">
        <f>C12*D12*mult_euro</f>
        <v/>
      </c>
    </row>
    <row r="13">
      <c r="A13" s="840" t="inlineStr">
        <is>
          <t>F7970 เฟรมบน (เดิมเฟรมข้าง)</t>
        </is>
      </c>
      <c r="B13" s="841">
        <f>B2</f>
        <v/>
      </c>
      <c r="C13" s="838">
        <f>ROUNDUP(B13/640,0)</f>
        <v/>
      </c>
      <c r="D13" s="842">
        <f>IF(F8="สีอบขาว/ดำ",VLOOKUP("F7970",ราคาสี!$A:$F,4,0),IF(OR(F8="เทาซาฮาร่า",F8="สีดำซาฮาร่า"),VLOOKUP("F7970",ราคาสี!$A:$F,5,0),IF(F8="แอทแทคเกรย์",VLOOKUP("F7970",ราคาสี!$A:$J,7,0),IF(F8="ลายไม้สักทอง",(VLOOKUP("F7970",ราคาสี!$A:$H,8,0)*mult_wood/mult_euro),IF(F8="ลายไม้มะฮอกกานี",(VLOOKUP("F7970",ราคาสี!$A:$J,9,0)*mult_wood/mult_euro),IF(F8="ลายไม้ไวท์โอ๊ค",(VLOOKUP("F7970",ราคาสี!$A:$J,10,0)*mult_wood/mult_euro),IF(F8="สีอบพิเศษ",2061,2159)))))))</f>
        <v/>
      </c>
      <c r="E13" s="843">
        <f>C13*D13*mult_euro</f>
        <v/>
      </c>
    </row>
    <row r="14">
      <c r="A14" s="840" t="inlineStr">
        <is>
          <t>F7971 คิ้วเฟรมบน</t>
        </is>
      </c>
      <c r="B14" s="841">
        <f>(B2-15)</f>
        <v/>
      </c>
      <c r="C14" s="838">
        <f>ROUNDUP(B14/640,0)</f>
        <v/>
      </c>
      <c r="D14" s="842">
        <f>IF(F8="สีอบขาว/ดำ",VLOOKUP("F7971",ราคาสี!$A:$F,4,0),IF(OR(F8="เทาซาฮาร่า",F8="สีดำซาฮาร่า"),VLOOKUP("F7971",ราคาสี!$A:$F,5,0),IF(F8="แอทแทคเกรย์",VLOOKUP("F7971",ราคาสี!$A:$J,7,0),IF(F8="ลายไม้สักทอง",(VLOOKUP("F7971",ราคาสี!$A:$H,8,0)*mult_wood/mult_euro),IF(F8="ลายไม้มะฮอกกานี",(VLOOKUP("F7971",ราคาสี!$A:$J,9,0)*mult_wood/mult_euro),IF(F8="ลายไม้ไวท์โอ๊ค",(VLOOKUP("F7971",ราคาสี!$A:$J,10,0)*mult_wood/mult_euro),IF(F8="สีอบพิเศษ",919,963)))))))</f>
        <v/>
      </c>
      <c r="E14" s="843">
        <f>C14*D14*mult_euro</f>
        <v/>
      </c>
    </row>
    <row r="15">
      <c r="A15" s="840" t="inlineStr">
        <is>
          <t>F7973 ตบปิดเฟรม (ตั้ง2+นอน1)</t>
        </is>
      </c>
      <c r="B15" s="841">
        <f>(B3-6.5)*2+(B2-11)</f>
        <v/>
      </c>
      <c r="C15" s="838">
        <f>ROUNDUP(B15/640,0)</f>
        <v/>
      </c>
      <c r="D15" s="842">
        <f>IF(F8="สีอบขาว/ดำ",VLOOKUP("F7973",ราคาสี!$A:$F,4,0),IF(OR(F8="เทาซาฮาร่า",F8="สีดำซาฮาร่า"),VLOOKUP("F7973",ราคาสี!$A:$F,5,0),IF(F8="แอทแทคเกรย์",VLOOKUP("F7973",ราคาสี!$A:$J,7,0),IF(F8="ลายไม้สักทอง",(VLOOKUP("F7973",ราคาสี!$A:$H,8,0)*mult_wood/mult_euro),IF(F8="ลายไม้มะฮอกกานี",(VLOOKUP("F7973",ราคาสี!$A:$J,9,0)*mult_wood/mult_euro),IF(F8="ลายไม้ไวท์โอ๊ค",(VLOOKUP("F7973",ราคาสี!$A:$J,10,0)*mult_wood/mult_euro),IF(F8="สีอบพิเศษ",445,466)))))))</f>
        <v/>
      </c>
      <c r="E15" s="843">
        <f>C15*D15*mult_euro</f>
        <v/>
      </c>
    </row>
    <row r="16">
      <c r="A16" s="840" t="inlineStr">
        <is>
          <t>F7972 กรอบบาน (ตั้ง4+นอน4)</t>
        </is>
      </c>
      <c r="B16" s="841">
        <f>((B3-8.2)/2)*4+(B2-12.4)*4</f>
        <v/>
      </c>
      <c r="C16" s="838">
        <f>ROUNDUP(B16/640,0)</f>
        <v/>
      </c>
      <c r="D16" s="842">
        <f>IF(F8="สีอบขาว/ดำ",VLOOKUP("F7972",ราคาสี!$A:$F,4,0),IF(OR(F8="เทาซาฮาร่า",F8="สีดำซาฮาร่า"),VLOOKUP("F7972",ราคาสี!$A:$F,5,0),IF(F8="แอทแทคเกรย์",VLOOKUP("F7972",ราคาสี!$A:$J,7,0),IF(F8="ลายไม้สักทอง",(VLOOKUP("F7972",ราคาสี!$A:$H,8,0)*mult_wood/mult_euro),IF(F8="ลายไม้มะฮอกกานี",(VLOOKUP("F7972",ราคาสี!$A:$J,9,0)*mult_wood/mult_euro),IF(F8="ลายไม้ไวท์โอ๊ค",(VLOOKUP("F7972",ราคาสี!$A:$J,10,0)*mult_wood/mult_euro),IF(F8="สีอบพิเศษ",3232,3385)))))))</f>
        <v/>
      </c>
      <c r="E16" s="843">
        <f>C16*D16*mult_euro</f>
        <v/>
      </c>
    </row>
    <row r="17">
      <c r="A17" s="840" t="inlineStr">
        <is>
          <t>F7935 คิ้วกระจก (ตั้ง4+นอน4)</t>
        </is>
      </c>
      <c r="B17" s="841">
        <f>((B3-39.5)/2)*4+(B2-24)*4</f>
        <v/>
      </c>
      <c r="C17" s="838">
        <f>ROUNDUP(B17/640,0)</f>
        <v/>
      </c>
      <c r="D17" s="842">
        <f>IF(F8="สีอบขาว/ดำ",VLOOKUP("F7935",ราคาสี!$A:$F,4,0),IF(OR(F8="เทาซาฮาร่า",F8="สีดำซาฮาร่า"),VLOOKUP("F7935",ราคาสี!$A:$F,5,0),IF(F8="แอทแทคเกรย์",VLOOKUP("F7935",ราคาสี!$A:$J,7,0),IF(F8="ลายไม้สักทอง",(VLOOKUP("F7935",ราคาสี!$A:$H,8,0)*mult_wood/mult_euro),IF(F8="ลายไม้มะฮอกกานี",(VLOOKUP("F7935",ราคาสี!$A:$J,9,0)*mult_wood/mult_euro),IF(F8="ลายไม้ไวท์โอ๊ค",(VLOOKUP("F7935",ราคาสี!$A:$J,10,0)*mult_wood/mult_euro),IF(F8="สีอบพิเศษ",658,689)))))))</f>
        <v/>
      </c>
      <c r="E17" s="843">
        <f>C17*D17*mult_euro</f>
        <v/>
      </c>
    </row>
    <row r="18">
      <c r="A18" s="844" t="inlineStr">
        <is>
          <t>— ฮาร์ดแวร์ (HD · euro 2 บาน) —</t>
        </is>
      </c>
      <c r="B18" s="517" t="n"/>
      <c r="C18" s="517" t="n"/>
      <c r="D18" s="517" t="n"/>
      <c r="E18" s="518" t="n"/>
    </row>
    <row r="19">
      <c r="A19" s="840" t="inlineStr">
        <is>
          <t>HD-640 บานพับล้อบน</t>
        </is>
      </c>
      <c r="C19" s="838" t="inlineStr">
        <is>
          <t>1</t>
        </is>
      </c>
      <c r="D19" s="838" t="n">
        <v>299</v>
      </c>
      <c r="E19" s="843">
        <f>C19*D19</f>
        <v/>
      </c>
    </row>
    <row r="20">
      <c r="A20" s="840" t="inlineStr">
        <is>
          <t>HD-641 บานพับเฟี้ยม (≤270ซม.→7)</t>
        </is>
      </c>
      <c r="C20" s="838">
        <f>IF(B2&lt;=270,7,10)</f>
        <v/>
      </c>
      <c r="D20" s="838" t="n">
        <v>72</v>
      </c>
      <c r="E20" s="843">
        <f>C20*D20</f>
        <v/>
      </c>
    </row>
    <row r="21">
      <c r="A21" s="840" t="inlineStr">
        <is>
          <t>HD-642 บานพับมือจับ</t>
        </is>
      </c>
      <c r="C21" s="838" t="inlineStr">
        <is>
          <t>1</t>
        </is>
      </c>
      <c r="D21" s="838" t="n">
        <v>109</v>
      </c>
      <c r="E21" s="843">
        <f>C21*D21</f>
        <v/>
      </c>
    </row>
    <row r="22">
      <c r="A22" s="840" t="inlineStr">
        <is>
          <t>HD-643 บานพับไกด์ล่าง</t>
        </is>
      </c>
      <c r="C22" s="838" t="inlineStr">
        <is>
          <t>1</t>
        </is>
      </c>
      <c r="D22" s="838" t="n">
        <v>199</v>
      </c>
      <c r="E22" s="843">
        <f>C22*D22</f>
        <v/>
      </c>
    </row>
    <row r="23">
      <c r="A23" s="840" t="inlineStr">
        <is>
          <t>HD-474 มือจับกลอน</t>
        </is>
      </c>
      <c r="C23" s="838" t="inlineStr">
        <is>
          <t>1</t>
        </is>
      </c>
      <c r="D23" s="838" t="n">
        <v>85</v>
      </c>
      <c r="E23" s="843">
        <f>C23*D23</f>
        <v/>
      </c>
    </row>
    <row r="24">
      <c r="A24" s="840" t="inlineStr">
        <is>
          <t>HD-312 ตลับกลอนล็อค</t>
        </is>
      </c>
      <c r="C24" s="838" t="inlineStr">
        <is>
          <t>1</t>
        </is>
      </c>
      <c r="D24" s="838" t="n">
        <v>88</v>
      </c>
      <c r="E24" s="843">
        <f>C24*D24</f>
        <v/>
      </c>
    </row>
    <row r="25">
      <c r="A25" s="840" t="inlineStr">
        <is>
          <t>HD-1180 ก้านสไลด์</t>
        </is>
      </c>
      <c r="C25" s="838" t="inlineStr">
        <is>
          <t>2</t>
        </is>
      </c>
      <c r="D25" s="838" t="n">
        <v>73</v>
      </c>
      <c r="E25" s="843">
        <f>C25*D25</f>
        <v/>
      </c>
    </row>
    <row r="26">
      <c r="A26" s="840" t="inlineStr">
        <is>
          <t>HD-213 ฉากเข้ามุม</t>
        </is>
      </c>
      <c r="C26" s="838">
        <f>4*B4</f>
        <v/>
      </c>
      <c r="D26" s="838" t="n">
        <v>15</v>
      </c>
      <c r="E26" s="843">
        <f>C26*D26</f>
        <v/>
      </c>
    </row>
    <row r="27">
      <c r="A27" s="840" t="inlineStr">
        <is>
          <t>HD-200 ฉากประคองมุม</t>
        </is>
      </c>
      <c r="C27" s="838">
        <f>12*B4</f>
        <v/>
      </c>
      <c r="D27" s="838" t="n">
        <v>1.5</v>
      </c>
      <c r="E27" s="843">
        <f>C27*D27</f>
        <v/>
      </c>
    </row>
    <row r="28">
      <c r="A28" s="844" t="inlineStr">
        <is>
          <t>— ยาง (สูตร guide × ราคาต้นทุน, ม.) —</t>
        </is>
      </c>
      <c r="B28" s="517" t="n"/>
      <c r="C28" s="517" t="n"/>
      <c r="D28" s="517" t="n"/>
      <c r="E28" s="518" t="n"/>
    </row>
    <row r="29">
      <c r="A29" s="840" t="inlineStr">
        <is>
          <t>ยางอัด (ม.)</t>
        </is>
      </c>
      <c r="B29" s="841">
        <f>2*((B2-25.4)+((B3-8.2)/2-13))*B4/100</f>
        <v/>
      </c>
      <c r="C29" s="841">
        <f>ROUND(B29,1)</f>
        <v/>
      </c>
      <c r="D29" s="838" t="n">
        <v>8</v>
      </c>
      <c r="E29" s="843">
        <f>C29*D29</f>
        <v/>
      </c>
    </row>
    <row r="30">
      <c r="A30" s="840" t="inlineStr">
        <is>
          <t>ยางรอง (ม.)</t>
        </is>
      </c>
      <c r="B30" s="841">
        <f>2*((B2-25.4)+((B3-8.2)/2-13))*B4/100</f>
        <v/>
      </c>
      <c r="C30" s="841">
        <f>ROUND(B30,1)</f>
        <v/>
      </c>
      <c r="D30" s="838" t="n">
        <v>8</v>
      </c>
      <c r="E30" s="843">
        <f>C30*D30</f>
        <v/>
      </c>
    </row>
    <row r="31">
      <c r="A31" s="840" t="inlineStr">
        <is>
          <t>ยางลูกโป่ง 6mm (ม.)</t>
        </is>
      </c>
      <c r="B31" s="841">
        <f>2*((B2-12.4)+((B3-8.2)/2))*B4/100</f>
        <v/>
      </c>
      <c r="C31" s="841">
        <f>ROUND(B31,1)</f>
        <v/>
      </c>
      <c r="D31" s="838" t="n">
        <v>7</v>
      </c>
      <c r="E31" s="843">
        <f>C31*D31</f>
        <v/>
      </c>
    </row>
    <row r="32">
      <c r="A32" s="844" t="inlineStr">
        <is>
          <t>— กระจก (พื้นจริง 2 แผ่น) —</t>
        </is>
      </c>
      <c r="B32" s="517" t="n"/>
      <c r="C32" s="517" t="n"/>
      <c r="D32" s="517" t="n"/>
      <c r="E32" s="518" t="n"/>
    </row>
    <row r="33">
      <c r="A33" s="834" t="inlineStr">
        <is>
          <t>กระจก (ตร.ม.)</t>
        </is>
      </c>
      <c r="B33" s="845">
        <f>ROUND((B2-25.4)/100*((B3-8.2)/2-13)/100*B4,3)</f>
        <v/>
      </c>
      <c r="D33" s="838">
        <f>C8</f>
        <v/>
      </c>
      <c r="E33" s="846">
        <f>B33*C8</f>
        <v/>
      </c>
    </row>
    <row r="34">
      <c r="A34" s="840" t="inlineStr">
        <is>
          <t>ค่าเปิดตู้อบ (สีพิเศษ)</t>
        </is>
      </c>
      <c r="E34" s="843">
        <f>IF(OR(F8="สีอบพิเศษ",F8="สีลายไม้อบพิเศษ"),2000,0)</f>
        <v/>
      </c>
    </row>
    <row r="36">
      <c r="A36" s="847" t="inlineStr">
        <is>
          <t>ทุนรวม</t>
        </is>
      </c>
      <c r="E36" s="848">
        <f>SUM(E11:E34)</f>
        <v/>
      </c>
    </row>
    <row r="37">
      <c r="A37" s="849" t="inlineStr">
        <is>
          <t>ทุน/ตร.ม.</t>
        </is>
      </c>
      <c r="E37" s="850">
        <f>E36/B5</f>
        <v/>
      </c>
    </row>
    <row r="38">
      <c r="A38" s="849" t="inlineStr">
        <is>
          <t>ราคาขาย/ตร.ม. (ทุน×2)</t>
        </is>
      </c>
      <c r="E38" s="850">
        <f>ROUNDUP(E37*(1+B6/100)/100,0)*100</f>
        <v/>
      </c>
    </row>
    <row r="39">
      <c r="A39" s="847" t="inlineStr">
        <is>
          <t>ราคาขายรวม/ชุด</t>
        </is>
      </c>
      <c r="E39" s="848">
        <f>B5*E38</f>
        <v/>
      </c>
    </row>
    <row r="40">
      <c r="A40" s="834" t="inlineStr">
        <is>
          <t>%กำไรจริง (วัสดุ)</t>
        </is>
      </c>
      <c r="E40" s="851">
        <f>(E39-E36)/E36</f>
        <v/>
      </c>
    </row>
    <row r="42">
      <c r="A42" s="840" t="inlineStr">
        <is>
          <t>ค่าแรงผลิต (บานเฟี้ยมยก 7ชม.)</t>
        </is>
      </c>
      <c r="E42" s="842">
        <f>MAX(0,VLOOKUP("บานเฟี้ยมยก",'ค่าแรง'!$A$12:$E$42,2,0)+VLOOKUP("บานเฟี้ยมยก",'ค่าแรง'!$A$12:$E$42,3,0)*B5)</f>
        <v/>
      </c>
    </row>
    <row r="43">
      <c r="A43" s="840" t="inlineStr">
        <is>
          <t>ค่าแรงติดตั้ง (บานเฟี้ยมยก 6ชม.)</t>
        </is>
      </c>
      <c r="E43" s="842">
        <f>MAX(0,VLOOKUP("บานเฟี้ยมยก",'ค่าแรง'!$A$12:$E$42,4,0)+VLOOKUP("บานเฟี้ยมยก",'ค่าแรง'!$A$12:$E$42,5,0)*B5)</f>
        <v/>
      </c>
    </row>
    <row r="44">
      <c r="A44" s="140" t="inlineStr">
        <is>
          <t>ราคาขาย ผลิต+ติดตั้ง (กำไร 100%)</t>
        </is>
      </c>
      <c r="E44" s="852">
        <f>ROUNDUP((E36+E42)*(1+B6/100)/100,0)*100+ROUNDUP(E43*(1+B6/100)/100,0)*100</f>
        <v/>
      </c>
    </row>
    <row r="45">
      <c r="A45" s="844" t="inlineStr">
        <is>
          <t>🔍 แยกก้อนต้นทุน</t>
        </is>
      </c>
      <c r="B45" s="517" t="n"/>
      <c r="C45" s="517" t="n"/>
      <c r="D45" s="517" t="n"/>
      <c r="E45" s="518" t="n"/>
    </row>
    <row r="46">
      <c r="A46" s="834" t="inlineStr">
        <is>
          <t>ทุนอลู</t>
        </is>
      </c>
      <c r="B46" s="853">
        <f>SUM(E11:E17)</f>
        <v/>
      </c>
    </row>
    <row r="47">
      <c r="A47" s="834" t="inlineStr">
        <is>
          <t>ทุนกระจก</t>
        </is>
      </c>
      <c r="B47" s="853">
        <f>E33</f>
        <v/>
      </c>
    </row>
    <row r="48">
      <c r="A48" s="834" t="inlineStr">
        <is>
          <t>ทุนอุปกรณ์+ยาง</t>
        </is>
      </c>
      <c r="B48" s="853">
        <f>SUM(E19:E31)+E34</f>
        <v/>
      </c>
    </row>
    <row r="49">
      <c r="A49" s="849" t="inlineStr">
        <is>
          <t>รวมวัสดุ</t>
        </is>
      </c>
      <c r="B49" s="850">
        <f>B46+B47+B48</f>
        <v/>
      </c>
    </row>
  </sheetData>
  <mergeCells count="5">
    <mergeCell ref="A28:E28"/>
    <mergeCell ref="A1:E1"/>
    <mergeCell ref="A45:E45"/>
    <mergeCell ref="A32:E32"/>
    <mergeCell ref="A18:E18"/>
  </mergeCells>
  <hyperlinks>
    <hyperlink ref="G1" location="'สารบัญ'!A1" display="🏠 สารบัญ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tabColor rgb="002E75B6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style="129" min="1" max="1"/>
    <col width="10" customWidth="1" style="129" min="2" max="2"/>
    <col width="9" customWidth="1" style="129" min="3" max="3"/>
    <col width="12" customWidth="1" style="129" min="4" max="4"/>
    <col width="11" customWidth="1" style="129" min="5" max="5"/>
    <col width="28" customWidth="1" style="129" min="7" max="7"/>
    <col width="10" customWidth="1" style="129" min="8" max="8"/>
  </cols>
  <sheetData>
    <row r="1">
      <c r="A1" s="783" t="inlineStr">
        <is>
          <t>🚪 คิดทุน บานเปลือย (frameless) — เลื่อน / สวิง · กระจกเทมเปอร์ 10มม.</t>
        </is>
      </c>
      <c r="B1" s="517" t="n"/>
      <c r="C1" s="517" t="n"/>
      <c r="D1" s="517" t="n"/>
      <c r="E1" s="518" t="n"/>
      <c r="G1" s="873" t="inlineStr">
        <is>
          <t>🏠 สารบัญ</t>
        </is>
      </c>
    </row>
    <row r="3">
      <c r="A3" s="544" t="inlineStr">
        <is>
          <t>① กรอกขนาด</t>
        </is>
      </c>
      <c r="G3" s="544" t="inlineStr">
        <is>
          <t>② ราคา (แก้ตรง)</t>
        </is>
      </c>
    </row>
    <row r="4">
      <c r="A4" s="854" t="inlineStr">
        <is>
          <t>กว้าง/บาน (ซม.)</t>
        </is>
      </c>
      <c r="B4" s="301" t="n">
        <v>100</v>
      </c>
      <c r="G4" s="792" t="inlineStr">
        <is>
          <t>กระจกเทมเปอร์ 10มม. /ตร.ม.</t>
        </is>
      </c>
      <c r="H4" s="855">
        <f>'ราคาวัสดุกลาง'!$B$29</f>
        <v/>
      </c>
    </row>
    <row r="5">
      <c r="A5" s="854" t="inlineStr">
        <is>
          <t>สูง/บาน (ซม.)</t>
        </is>
      </c>
      <c r="B5" s="301" t="n">
        <v>220</v>
      </c>
      <c r="G5" s="792" t="inlineStr">
        <is>
          <t>ชุดล้อ+ราง /ชุด (เลื่อน)</t>
        </is>
      </c>
      <c r="H5" s="855" t="n">
        <v>3600</v>
      </c>
    </row>
    <row r="6">
      <c r="A6" s="854" t="inlineStr">
        <is>
          <t>จำนวนบาน</t>
        </is>
      </c>
      <c r="B6" s="301" t="n">
        <v>1</v>
      </c>
      <c r="G6" s="792" t="inlineStr">
        <is>
          <t>โช้ค+จุดหมุน /ชุด (สวิง)</t>
        </is>
      </c>
      <c r="H6" s="855" t="n">
        <v>2330</v>
      </c>
    </row>
    <row r="7">
      <c r="A7" s="854" t="inlineStr">
        <is>
          <t>พื้นที่รวม (ตร.ม.)</t>
        </is>
      </c>
      <c r="B7" s="856">
        <f>ROUND(B4*B5*B6/10000,2)</f>
        <v/>
      </c>
      <c r="G7" s="792" t="n"/>
      <c r="H7" s="855" t="n"/>
    </row>
    <row r="8">
      <c r="A8" s="854" t="inlineStr">
        <is>
          <t>แบบ</t>
        </is>
      </c>
      <c r="B8" s="301" t="inlineStr">
        <is>
          <t>บานเลื่อน</t>
        </is>
      </c>
      <c r="G8" s="792" t="inlineStr">
        <is>
          <t>มือจับ /ตัว</t>
        </is>
      </c>
      <c r="H8" s="855" t="n">
        <v>1500</v>
      </c>
    </row>
    <row r="9">
      <c r="A9" s="854" t="n"/>
      <c r="B9" s="301" t="n"/>
      <c r="G9" s="792" t="inlineStr">
        <is>
          <t>ล็อค /ชุด</t>
        </is>
      </c>
      <c r="H9" s="855" t="n">
        <v>1200</v>
      </c>
    </row>
    <row r="10">
      <c r="A10" s="854" t="inlineStr">
        <is>
          <t>บวกกำไร %</t>
        </is>
      </c>
      <c r="B10" s="301" t="n">
        <v>100</v>
      </c>
      <c r="G10" s="792" t="inlineStr">
        <is>
          <t>ค่าแรงติดตั้ง/บาน (=บานเปิด auto)</t>
        </is>
      </c>
      <c r="H10" s="856">
        <f>'ค่าแรง'!$D$46+'ค่าแรง'!$E$46*(B4*B5/10000)</f>
        <v/>
      </c>
    </row>
    <row r="12">
      <c r="A12" s="544" t="inlineStr">
        <is>
          <t>③ BOM + ทุน (×จำนวนบาน)</t>
        </is>
      </c>
    </row>
    <row r="13">
      <c r="A13" s="789" t="inlineStr">
        <is>
          <t>รายการ</t>
        </is>
      </c>
      <c r="B13" s="789" t="inlineStr">
        <is>
          <t>หน่วย</t>
        </is>
      </c>
      <c r="C13" s="789" t="inlineStr">
        <is>
          <t>จำนวน</t>
        </is>
      </c>
      <c r="D13" s="789" t="inlineStr">
        <is>
          <t>ราคา/หน่วย</t>
        </is>
      </c>
      <c r="E13" s="789" t="inlineStr">
        <is>
          <t>ทุน</t>
        </is>
      </c>
    </row>
    <row r="14">
      <c r="A14" s="792" t="inlineStr">
        <is>
          <t>กระจกเทมเปอร์ 10มม.</t>
        </is>
      </c>
      <c r="B14" s="791" t="inlineStr">
        <is>
          <t>ตร.ม.</t>
        </is>
      </c>
      <c r="C14" s="857">
        <f>B7</f>
        <v/>
      </c>
      <c r="D14" s="857">
        <f>H4</f>
        <v/>
      </c>
      <c r="E14" s="856">
        <f>ROUND(C14*D14,0)</f>
        <v/>
      </c>
    </row>
    <row r="15">
      <c r="A15" s="792" t="inlineStr">
        <is>
          <t>ชุดล้อ+ราง (เลื่อน)</t>
        </is>
      </c>
      <c r="B15" s="791" t="inlineStr">
        <is>
          <t>ชุด</t>
        </is>
      </c>
      <c r="C15" s="857">
        <f>IF(B8="บานเลื่อน",B6,0)</f>
        <v/>
      </c>
      <c r="D15" s="857">
        <f>H5</f>
        <v/>
      </c>
      <c r="E15" s="856">
        <f>ROUND(C15*D15,0)</f>
        <v/>
      </c>
    </row>
    <row r="16">
      <c r="A16" s="792" t="inlineStr">
        <is>
          <t>โช้ค+จุดหมุน (สวิง)</t>
        </is>
      </c>
      <c r="B16" s="791" t="inlineStr">
        <is>
          <t>ตัว</t>
        </is>
      </c>
      <c r="C16" s="857">
        <f>IF(B8="บานสวิง",B6,0)</f>
        <v/>
      </c>
      <c r="D16" s="857">
        <f>H6</f>
        <v/>
      </c>
      <c r="E16" s="856">
        <f>ROUND(C16*D16,0)</f>
        <v/>
      </c>
    </row>
    <row r="17">
      <c r="A17" s="792" t="inlineStr">
        <is>
          <t>มือจับ</t>
        </is>
      </c>
      <c r="B17" s="791" t="inlineStr">
        <is>
          <t>ตัว</t>
        </is>
      </c>
      <c r="C17" s="857">
        <f>B6</f>
        <v/>
      </c>
      <c r="D17" s="857">
        <f>H8</f>
        <v/>
      </c>
      <c r="E17" s="856">
        <f>ROUND(C17*D17,0)</f>
        <v/>
      </c>
    </row>
    <row r="18">
      <c r="A18" s="792" t="inlineStr">
        <is>
          <t>ล็อค</t>
        </is>
      </c>
      <c r="B18" s="791" t="inlineStr">
        <is>
          <t>ชุด</t>
        </is>
      </c>
      <c r="C18" s="857">
        <f>B6</f>
        <v/>
      </c>
      <c r="D18" s="857">
        <f>H9</f>
        <v/>
      </c>
      <c r="E18" s="856">
        <f>ROUND(C18*D18,0)</f>
        <v/>
      </c>
    </row>
    <row r="19">
      <c r="A19" s="792" t="inlineStr">
        <is>
          <t>ค่าแรงติดตั้ง</t>
        </is>
      </c>
      <c r="B19" s="791" t="inlineStr">
        <is>
          <t>บาน</t>
        </is>
      </c>
      <c r="C19" s="857">
        <f>B6</f>
        <v/>
      </c>
      <c r="D19" s="857">
        <f>H10</f>
        <v/>
      </c>
      <c r="E19" s="856">
        <f>ROUND(C19*D19,0)</f>
        <v/>
      </c>
    </row>
    <row r="20">
      <c r="A20" s="858" t="inlineStr">
        <is>
          <t>ทุนรวม</t>
        </is>
      </c>
      <c r="E20" s="859">
        <f>SUM(E14:E19)</f>
        <v/>
      </c>
    </row>
    <row r="21">
      <c r="A21" s="854" t="inlineStr">
        <is>
          <t>ทุน/ตร.ม.</t>
        </is>
      </c>
      <c r="B21" s="856">
        <f>IF(B7=0,0,ROUND(E20/B7,0))</f>
        <v/>
      </c>
    </row>
    <row r="22">
      <c r="A22" s="854" t="inlineStr">
        <is>
          <t>ราคาขาย (×กำไร)</t>
        </is>
      </c>
      <c r="B22" s="859">
        <f>ROUND(E20*(1+B10/100),0)</f>
        <v/>
      </c>
    </row>
    <row r="23">
      <c r="A23" s="854" t="inlineStr">
        <is>
          <t>ราคาขาย/ตร.ม.</t>
        </is>
      </c>
      <c r="B23" s="859">
        <f>IF(B7=0,0,ROUND(E20*(1+B10/100)/B7,0))</f>
        <v/>
      </c>
    </row>
    <row r="24">
      <c r="A24" s="860" t="inlineStr">
        <is>
          <t>R3.9 เทียบ: สวิง/เลื่อน = ติดตาย(min7,000)+8,000/บาน · บังคับเทมเปอร์10มม.</t>
        </is>
      </c>
    </row>
  </sheetData>
  <mergeCells count="1">
    <mergeCell ref="A1:E1"/>
  </mergeCells>
  <dataValidations count="1">
    <dataValidation sqref="B8" showDropDown="0" showInputMessage="0" showErrorMessage="0" allowBlank="0" type="list">
      <formula1>"บานเลื่อน,บานสวิง"</formula1>
    </dataValidation>
  </dataValidations>
  <hyperlinks>
    <hyperlink ref="G1" location="'สารบัญ'!A1" display="🏠 สารบัญ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cols>
    <col width="4" customWidth="1" style="129" min="1" max="1"/>
    <col width="30" customWidth="1" style="129" min="2" max="2"/>
    <col width="18" customWidth="1" style="129" min="3" max="3"/>
    <col width="15" customWidth="1" style="129" min="4" max="4"/>
    <col width="11" customWidth="1" style="129" min="5" max="5"/>
    <col width="9" customWidth="1" style="129" min="6" max="6"/>
    <col width="8" customWidth="1" style="129" min="7" max="7"/>
    <col width="11" customWidth="1" style="129" min="8" max="8"/>
    <col width="9" customWidth="1" style="129" min="9" max="9"/>
    <col width="11" customWidth="1" style="129" min="10" max="10"/>
    <col width="30" customWidth="1" style="129" min="11" max="11"/>
  </cols>
  <sheetData>
    <row r="1">
      <c r="A1" s="140" t="inlineStr">
        <is>
          <t>JR ALUMINIUM &amp; GLASS   —   ใบตัดบาน SlimLux (บานเลื่อนรางบน)   ·   หน่วย: ซม.</t>
        </is>
      </c>
    </row>
    <row r="2"/>
    <row r="3">
      <c r="B3" s="140" t="inlineStr">
        <is>
          <t>① กรอกข้อมูลช่อง (ช่องเหลือง)</t>
        </is>
      </c>
    </row>
    <row r="4">
      <c r="B4" s="140" t="inlineStr">
        <is>
          <t>กว้างช่องปูน (ช่อง)</t>
        </is>
      </c>
      <c r="C4" s="140">
        <f>'คิดทุน SlimLux'!B4</f>
        <v/>
      </c>
    </row>
    <row r="5">
      <c r="B5" s="140" t="inlineStr">
        <is>
          <t>สูงช่องปูน</t>
        </is>
      </c>
      <c r="C5" s="140">
        <f>'คิดทุน SlimLux'!B5</f>
        <v/>
      </c>
    </row>
    <row r="6">
      <c r="B6" s="140" t="inlineStr">
        <is>
          <t>จำนวนบาน</t>
        </is>
      </c>
      <c r="C6" s="140">
        <f>'คิดทุน SlimLux'!B3</f>
        <v/>
      </c>
    </row>
    <row r="7">
      <c r="B7" s="140" t="inlineStr">
        <is>
          <t>คาน (เลือกกล่อง)</t>
        </is>
      </c>
      <c r="C7" s="140" t="inlineStr">
        <is>
          <t>1×4</t>
        </is>
      </c>
    </row>
    <row r="8">
      <c r="B8" s="140" t="inlineStr">
        <is>
          <t>รูปแบบช่องปูน</t>
        </is>
      </c>
      <c r="C8" s="140" t="inlineStr">
        <is>
          <t>ยัดในช่อง</t>
        </is>
      </c>
    </row>
    <row r="9">
      <c r="B9" s="140" t="inlineStr">
        <is>
          <t>รูปแบบบาน</t>
        </is>
      </c>
      <c r="C9" s="140">
        <f>'คิดทุน SlimLux'!B2</f>
        <v/>
      </c>
    </row>
    <row r="10">
      <c r="B10" s="140" t="inlineStr">
        <is>
          <t>มือจับ</t>
        </is>
      </c>
      <c r="C10" s="140">
        <f>'คิดทุน SlimLux'!B7</f>
        <v/>
      </c>
    </row>
    <row r="11">
      <c r="B11" s="140" t="inlineStr">
        <is>
          <t>② ค่าที่คำนวณอัตโนมัติ (ห้ามแก้)</t>
        </is>
      </c>
    </row>
    <row r="12">
      <c r="B12" s="140" t="inlineStr">
        <is>
          <t>ขนาดคานที่หัก (ซม.)</t>
        </is>
      </c>
      <c r="C12" s="592">
        <f>VLOOKUP($C$7,$B$77:$C$83,2,FALSE())</f>
        <v/>
      </c>
    </row>
    <row r="13">
      <c r="B13" s="140" t="inlineStr">
        <is>
          <t>บานตาย</t>
        </is>
      </c>
      <c r="C13" s="140">
        <f>IF($C$9="อิสระ",0,IF($C$9="ลากจูง",1,2))</f>
        <v/>
      </c>
    </row>
    <row r="14">
      <c r="B14" s="140" t="inlineStr">
        <is>
          <t>บานเลื่อน</t>
        </is>
      </c>
      <c r="C14" s="140">
        <f>$C$6-$C$13</f>
        <v/>
      </c>
    </row>
    <row r="15">
      <c r="B15" s="140" t="inlineStr">
        <is>
          <t>จำนวนเสารับ (ฝั่ง)</t>
        </is>
      </c>
      <c r="C15" s="140">
        <f>IF($C$8="แปะนอก",1,2)</f>
        <v/>
      </c>
    </row>
    <row r="16">
      <c r="B16" s="140" t="inlineStr">
        <is>
          <t>เสารับบาน (เลือกกล่อง)</t>
        </is>
      </c>
      <c r="C16" s="140" t="inlineStr">
        <is>
          <t>1×4+1×4</t>
        </is>
      </c>
      <c r="D16" s="140" t="inlineStr">
        <is>
          <t>← เลือกเอง (แทนออโต้เดิม)</t>
        </is>
      </c>
    </row>
    <row r="17">
      <c r="A17" s="140" t="inlineStr">
        <is>
          <t>#</t>
        </is>
      </c>
      <c r="B17" s="140" t="inlineStr">
        <is>
          <t>โปรไฟล์</t>
        </is>
      </c>
      <c r="C17" s="140" t="inlineStr">
        <is>
          <t>รหัส</t>
        </is>
      </c>
      <c r="D17" s="140" t="inlineStr">
        <is>
          <t>รูป</t>
        </is>
      </c>
      <c r="E17" s="140" t="inlineStr">
        <is>
          <t>ยาวตัด (ซม.)</t>
        </is>
      </c>
      <c r="F17" s="140" t="inlineStr">
        <is>
          <t>จำนวน</t>
        </is>
      </c>
      <c r="G17" s="140" t="inlineStr">
        <is>
          <t>หมายเหตุ</t>
        </is>
      </c>
    </row>
    <row r="18">
      <c r="A18" s="140" t="n">
        <v>1</v>
      </c>
      <c r="B18" s="140" t="inlineStr">
        <is>
          <t>คาน</t>
        </is>
      </c>
      <c r="C18" s="140" t="inlineStr">
        <is>
          <t>กล่องคาน</t>
        </is>
      </c>
      <c r="E18" s="592">
        <f>IF($C$8="ยัดในช่อง",$C$4,$C$4*$I$43)</f>
        <v/>
      </c>
      <c r="F18" s="140">
        <f>$F$60</f>
        <v/>
      </c>
      <c r="G18" s="140" t="inlineStr">
        <is>
          <t>ยัด=ช่อง / แปะนอก=ช่อง×2</t>
        </is>
      </c>
    </row>
    <row r="19">
      <c r="A19" s="140" t="n">
        <v>2</v>
      </c>
      <c r="B19" s="140" t="inlineStr">
        <is>
          <t>รางบน (รางแขวน)</t>
        </is>
      </c>
      <c r="C19" s="140" t="inlineStr">
        <is>
          <t>XSW40008</t>
        </is>
      </c>
      <c r="E19" s="592">
        <f>IF($C$8="ยัดในช่อง",$C$4-$F$44,$C$4*$I$44)</f>
        <v/>
      </c>
      <c r="F19" s="140">
        <f>$C$14</f>
        <v/>
      </c>
      <c r="G19" s="140" t="inlineStr">
        <is>
          <t>จำนวน=บานเลื่อน</t>
        </is>
      </c>
    </row>
    <row r="20">
      <c r="A20" s="140" t="n">
        <v>3</v>
      </c>
      <c r="B20" s="140" t="inlineStr">
        <is>
          <t>เสารับบาน</t>
        </is>
      </c>
      <c r="C20" s="140">
        <f>$C$16</f>
        <v/>
      </c>
      <c r="E20" s="592">
        <f>$C$5-$C$12</f>
        <v/>
      </c>
      <c r="F20" s="140">
        <f>((LEN($C$16)-LEN(SUBSTITUTE($C$16,"+","")))+1)*$C$15</f>
        <v/>
      </c>
      <c r="G20" s="140" t="inlineStr">
        <is>
          <t>จำนวน=กล่อง×ฝั่ง · แยกขนาด ดู ⑦</t>
        </is>
      </c>
    </row>
    <row r="21">
      <c r="A21" s="140" t="n">
        <v>4</v>
      </c>
      <c r="B21" s="140" t="inlineStr">
        <is>
          <t>บังใบ 4 หุน</t>
        </is>
      </c>
      <c r="C21" s="140" t="inlineStr">
        <is>
          <t>—</t>
        </is>
      </c>
      <c r="E21" s="592">
        <f>($C$5-$C$12)-$F$46</f>
        <v/>
      </c>
      <c r="F21" s="140">
        <f>$F$61</f>
        <v/>
      </c>
      <c r="G21" s="140" t="inlineStr">
        <is>
          <t>เสารับ−3.6</t>
        </is>
      </c>
    </row>
    <row r="22">
      <c r="A22" s="140" t="n">
        <v>5</v>
      </c>
      <c r="B22" s="140" t="inlineStr">
        <is>
          <t>ขวางบน-ล่าง</t>
        </is>
      </c>
      <c r="C22" s="140" t="inlineStr">
        <is>
          <t>OPK-A201</t>
        </is>
      </c>
      <c r="E22" s="592">
        <f>IF($C$8="ยัดในช่อง",($C$4-$F$47)/$C$6+$C$6*$I$47,(($C$4+$G$48-$F$48)/$C$6)+$C$6*$I$48)</f>
        <v/>
      </c>
      <c r="F22" s="140">
        <f>$F$62*$C$6</f>
        <v/>
      </c>
      <c r="G22" s="140" t="inlineStr">
        <is>
          <t>บานละ 2</t>
        </is>
      </c>
    </row>
    <row r="23">
      <c r="A23" s="140" t="n">
        <v>6</v>
      </c>
      <c r="B23" s="140" t="inlineStr">
        <is>
          <t>เสากุญแจ</t>
        </is>
      </c>
      <c r="C23" s="140" t="inlineStr">
        <is>
          <t>OPK-A202</t>
        </is>
      </c>
      <c r="E23" s="592">
        <f>($C$5-$C$12)-$F$49</f>
        <v/>
      </c>
      <c r="F23" s="140">
        <f>$F$63*$C$6</f>
        <v/>
      </c>
      <c r="G23" s="140" t="inlineStr">
        <is>
          <t>บานละ 2 ท่อน</t>
        </is>
      </c>
    </row>
    <row r="24">
      <c r="A24" s="140" t="n">
        <v>7</v>
      </c>
      <c r="B24" s="140" t="inlineStr">
        <is>
          <t>ตบเรียบหน้าเสากุญแจ (บานเลื่อน)</t>
        </is>
      </c>
      <c r="C24" s="140" t="inlineStr">
        <is>
          <t>OPK-A203</t>
        </is>
      </c>
      <c r="E24" s="592">
        <f>($C$5-$C$12)-$F$50</f>
        <v/>
      </c>
      <c r="F24" s="140">
        <f>IF($C$8="แปะนอก",$F$65,$F$64)</f>
        <v/>
      </c>
      <c r="G24" s="140" t="inlineStr">
        <is>
          <t>แปะนอก−1</t>
        </is>
      </c>
    </row>
    <row r="25">
      <c r="A25" s="140" t="n">
        <v>8</v>
      </c>
      <c r="B25" s="140" t="inlineStr">
        <is>
          <t>ตบเรียบหน้าเสากุญแจ (บานตาย)</t>
        </is>
      </c>
      <c r="C25" s="140" t="inlineStr">
        <is>
          <t>OPK-A203</t>
        </is>
      </c>
      <c r="E25" s="592">
        <f>($C$5-$C$12)</f>
        <v/>
      </c>
      <c r="F25" s="140">
        <f>$F$66</f>
        <v/>
      </c>
      <c r="G25" s="140" t="inlineStr">
        <is>
          <t>ถ้ามีบานตาย</t>
        </is>
      </c>
    </row>
    <row r="26">
      <c r="A26" s="140" t="n">
        <v>9</v>
      </c>
      <c r="B26" s="140" t="inlineStr">
        <is>
          <t>ตบเกี่ยวใส่สักหลาด</t>
        </is>
      </c>
      <c r="C26" s="140" t="inlineStr">
        <is>
          <t>OPK-A204</t>
        </is>
      </c>
      <c r="E26" s="592">
        <f>($C$5-$C$12)-$F$52</f>
        <v/>
      </c>
      <c r="F26" s="140">
        <f>$C$14+$F$67+IF($C$8="แปะนอก",$F$68,0)</f>
        <v/>
      </c>
      <c r="G26" s="140" t="inlineStr">
        <is>
          <t>บานเลื่อน+1</t>
        </is>
      </c>
    </row>
    <row r="27">
      <c r="A27" s="140" t="n">
        <v>10</v>
      </c>
      <c r="B27" s="140" t="inlineStr">
        <is>
          <t>มือจับ X-J</t>
        </is>
      </c>
      <c r="C27" s="140">
        <f>IF($C$10="X-J","เสามือจับ","")</f>
        <v/>
      </c>
      <c r="E27" s="592">
        <f>IF($C$10="X-J",$E$23,"")</f>
        <v/>
      </c>
      <c r="F27" s="140">
        <f>IF($C$10="X-J",IF($C$9="เปิดคู่กลาง",$F$70,$F$69),"")</f>
        <v/>
      </c>
      <c r="G27" s="140" t="inlineStr">
        <is>
          <t>เท่าเสากุญแจ</t>
        </is>
      </c>
    </row>
    <row r="28">
      <c r="A28" s="140" t="n">
        <v>11</v>
      </c>
      <c r="B28" s="140" t="inlineStr">
        <is>
          <t>ฉากปิดราง 2"</t>
        </is>
      </c>
      <c r="C28" s="140" t="inlineStr">
        <is>
          <t>ฉากปิดราง</t>
        </is>
      </c>
      <c r="E28" s="592">
        <f>$C$4</f>
        <v/>
      </c>
      <c r="F28" s="140">
        <f>$F$71</f>
        <v/>
      </c>
      <c r="G28" s="140" t="inlineStr">
        <is>
          <t>เท่าช่องปูน</t>
        </is>
      </c>
    </row>
    <row r="29">
      <c r="A29" s="140" t="n">
        <v>12</v>
      </c>
      <c r="B29" s="140" t="inlineStr">
        <is>
          <t>ตบปิดใต้รางริม</t>
        </is>
      </c>
      <c r="C29" s="140" t="inlineStr">
        <is>
          <t>WM-K20</t>
        </is>
      </c>
      <c r="E29" s="592">
        <f>$E$19</f>
        <v/>
      </c>
      <c r="F29" s="140">
        <f>$F$72</f>
        <v/>
      </c>
      <c r="G29" s="140" t="inlineStr">
        <is>
          <t>เท่ารางบน</t>
        </is>
      </c>
    </row>
    <row r="30">
      <c r="A30" s="140" t="n">
        <v>13</v>
      </c>
      <c r="B30" s="140" t="inlineStr">
        <is>
          <t>ตบปิดใต้รางกลาง</t>
        </is>
      </c>
      <c r="C30" s="140" t="inlineStr">
        <is>
          <t>WM-K20</t>
        </is>
      </c>
      <c r="E30" s="592">
        <f>$E$19</f>
        <v/>
      </c>
      <c r="F30" s="140">
        <f>$C$14-$F$73</f>
        <v/>
      </c>
      <c r="G30" s="140" t="inlineStr">
        <is>
          <t>ราง−1</t>
        </is>
      </c>
    </row>
    <row r="32">
      <c r="B32" s="140" t="inlineStr">
        <is>
          <t>⑥ อุปกรณ์ (กล่อง+ล้อ ต่อบาน · จำนวนลิงก์อัตโนมัติ)</t>
        </is>
      </c>
    </row>
    <row r="33">
      <c r="B33" s="140" t="inlineStr">
        <is>
          <t>กล่องสั้น (บานกลาง) ด้าน →</t>
        </is>
      </c>
      <c r="C33" s="140" t="inlineStr">
        <is>
          <t>ซ้าย</t>
        </is>
      </c>
      <c r="D33" s="140" t="inlineStr">
        <is>
          <t>เลือกทั้งชุด ซ้ายหมด/ขวาหมด</t>
        </is>
      </c>
    </row>
    <row r="34">
      <c r="A34" s="140" t="inlineStr">
        <is>
          <t>#</t>
        </is>
      </c>
      <c r="B34" s="140" t="inlineStr">
        <is>
          <t>อุปกรณ์</t>
        </is>
      </c>
      <c r="C34" s="140" t="inlineStr">
        <is>
          <t>รหัส SKU</t>
        </is>
      </c>
      <c r="D34" s="140" t="inlineStr">
        <is>
          <t>จำนวน</t>
        </is>
      </c>
      <c r="E34" s="592" t="inlineStr">
        <is>
          <t>หน่วย</t>
        </is>
      </c>
      <c r="F34" s="140" t="inlineStr">
        <is>
          <t>หมายเหตุ</t>
        </is>
      </c>
    </row>
    <row r="35">
      <c r="A35" s="140" t="n">
        <v>1</v>
      </c>
      <c r="B35" s="140" t="inlineStr">
        <is>
          <t>กล่องยาว (หัว+ท้ายบาน)</t>
        </is>
      </c>
      <c r="C35" s="140" t="inlineStr">
        <is>
          <t>JR00573</t>
        </is>
      </c>
      <c r="D35" s="140">
        <f>IF($C$6&lt;=1,1,2)</f>
        <v/>
      </c>
      <c r="E35" s="592" t="inlineStr">
        <is>
          <t>กล่อง</t>
        </is>
      </c>
      <c r="F35" s="140" t="inlineStr">
        <is>
          <t>บานแรก + บานสุดท้าย</t>
        </is>
      </c>
    </row>
    <row r="36">
      <c r="A36" s="140" t="n">
        <v>2</v>
      </c>
      <c r="B36" s="140" t="inlineStr">
        <is>
          <t>กล่องสั้น ซ้าย (บานกลาง)</t>
        </is>
      </c>
      <c r="C36" s="140" t="inlineStr">
        <is>
          <t>JR00575</t>
        </is>
      </c>
      <c r="D36" s="140">
        <f>IF($C$33="ซ้าย",MAX($C$6-2,0),0)</f>
        <v/>
      </c>
      <c r="E36" s="592" t="inlineStr">
        <is>
          <t>กล่อง</t>
        </is>
      </c>
      <c r="F36" s="140" t="inlineStr">
        <is>
          <t>ใช้เมื่อเลือกด้าน=ซ้าย</t>
        </is>
      </c>
    </row>
    <row r="37">
      <c r="A37" s="140" t="n">
        <v>3</v>
      </c>
      <c r="B37" s="140" t="inlineStr">
        <is>
          <t>กล่องสั้น ขวา (บานกลาง)</t>
        </is>
      </c>
      <c r="C37" s="140" t="inlineStr">
        <is>
          <t>JR00574</t>
        </is>
      </c>
      <c r="D37" s="140">
        <f>IF($C$33="ขวา",MAX($C$6-2,0),0)</f>
        <v/>
      </c>
      <c r="E37" s="592" t="inlineStr">
        <is>
          <t>กล่อง</t>
        </is>
      </c>
      <c r="F37" s="140" t="inlineStr">
        <is>
          <t>ใช้เมื่อเลือกด้าน=ขวา</t>
        </is>
      </c>
    </row>
    <row r="38">
      <c r="A38" s="140" t="n">
        <v>4</v>
      </c>
      <c r="B38" s="140" t="inlineStr">
        <is>
          <t>ล้อล่าง</t>
        </is>
      </c>
      <c r="C38" s="140" t="inlineStr">
        <is>
          <t>JR00572</t>
        </is>
      </c>
      <c r="D38" s="140">
        <f>2*$C$14</f>
        <v/>
      </c>
      <c r="E38" s="592" t="inlineStr">
        <is>
          <t>ตัว</t>
        </is>
      </c>
      <c r="F38" s="140" t="inlineStr">
        <is>
          <t>บานเลื่อนละ 2 ตัวเสมอ</t>
        </is>
      </c>
    </row>
    <row r="41">
      <c r="B41" s="140" t="inlineStr">
        <is>
          <t>③ กระดานคำนวณความยาว (แตกทีละขั้น) — อ่านซ้าย→ขวา · ช่องเหลือง=แก้ได้ · ช่องฟ้า=ค่าคำนวณสด</t>
        </is>
      </c>
    </row>
    <row r="42">
      <c r="B42" s="140" t="inlineStr">
        <is>
          <t>โปรไฟล์</t>
        </is>
      </c>
      <c r="C42" s="140" t="inlineStr">
        <is>
          <t>ฐาน (จาก)</t>
        </is>
      </c>
      <c r="D42" s="140" t="inlineStr">
        <is>
          <t>ค่า</t>
        </is>
      </c>
      <c r="E42" s="140" t="inlineStr">
        <is>
          <t>− ขนาดคาน</t>
        </is>
      </c>
      <c r="F42" s="140" t="inlineStr">
        <is>
          <t>− ตัวลบ</t>
        </is>
      </c>
      <c r="G42" s="140" t="inlineStr">
        <is>
          <t>+ ปรับ</t>
        </is>
      </c>
      <c r="H42" s="140" t="inlineStr">
        <is>
          <t>÷ จำนวนบาน</t>
        </is>
      </c>
      <c r="I42" s="140" t="inlineStr">
        <is>
          <t>× ตัวคูณ</t>
        </is>
      </c>
      <c r="J42" s="140" t="inlineStr">
        <is>
          <t>ยาวตัด (ซม.)</t>
        </is>
      </c>
      <c r="K42" s="140" t="inlineStr">
        <is>
          <t>หมายเหตุ / เงื่อนไข</t>
        </is>
      </c>
    </row>
    <row r="43">
      <c r="B43" s="140" t="inlineStr">
        <is>
          <t>คาน</t>
        </is>
      </c>
      <c r="C43" s="140" t="inlineStr">
        <is>
          <t>ความกว้างช่อง</t>
        </is>
      </c>
      <c r="D43" s="592">
        <f>$C$4</f>
        <v/>
      </c>
      <c r="I43" s="592" t="n">
        <v>2</v>
      </c>
      <c r="J43" s="592">
        <f>$E$18</f>
        <v/>
      </c>
      <c r="K43" s="140" t="inlineStr">
        <is>
          <t>ยัด=ฐาน / แปะนอก=ฐาน×ตัวคูณ · 1 เส้น</t>
        </is>
      </c>
    </row>
    <row r="44">
      <c r="B44" s="140" t="inlineStr">
        <is>
          <t>รางบน (รางแขวน)</t>
        </is>
      </c>
      <c r="C44" s="140" t="inlineStr">
        <is>
          <t>ความกว้างช่อง</t>
        </is>
      </c>
      <c r="D44" s="592">
        <f>$C$4</f>
        <v/>
      </c>
      <c r="F44" s="592" t="n">
        <v>5</v>
      </c>
      <c r="I44" s="592" t="n">
        <v>2</v>
      </c>
      <c r="J44" s="592">
        <f>$E$19</f>
        <v/>
      </c>
      <c r="K44" s="140" t="inlineStr">
        <is>
          <t>ยัด=ฐาน−ตัวลบ / แปะนอก=ฐาน×ตัวคูณ · จำนวน=บานเลื่อน</t>
        </is>
      </c>
    </row>
    <row r="45">
      <c r="B45" s="140" t="inlineStr">
        <is>
          <t>เสารับบาน</t>
        </is>
      </c>
      <c r="C45" s="140" t="inlineStr">
        <is>
          <t>ความสูงช่อง</t>
        </is>
      </c>
      <c r="D45" s="592">
        <f>$C$5</f>
        <v/>
      </c>
      <c r="E45" s="592">
        <f>$C$12</f>
        <v/>
      </c>
      <c r="J45" s="592">
        <f>$E$20</f>
        <v/>
      </c>
      <c r="K45" s="140" t="inlineStr">
        <is>
          <t>จำนวน=ฝั่ง(แปะนอก1/ยัด2) · กล่องเลือกที่ C16</t>
        </is>
      </c>
    </row>
    <row r="46">
      <c r="B46" s="140" t="inlineStr">
        <is>
          <t>บังใบ 4 หุน</t>
        </is>
      </c>
      <c r="C46" s="140" t="inlineStr">
        <is>
          <t>ความยาวเสารับ</t>
        </is>
      </c>
      <c r="D46" s="592">
        <f>$E$20</f>
        <v/>
      </c>
      <c r="F46" s="592" t="n">
        <v>3.6</v>
      </c>
      <c r="J46" s="592">
        <f>$E$21</f>
        <v/>
      </c>
      <c r="K46" s="140" t="inlineStr">
        <is>
          <t>ใช้ 2 อัน</t>
        </is>
      </c>
    </row>
    <row r="47">
      <c r="B47" s="140" t="inlineStr">
        <is>
          <t>ขวางบน-ล่าง (ยัดในช่อง)</t>
        </is>
      </c>
      <c r="C47" s="140" t="inlineStr">
        <is>
          <t>ความกว้างช่อง</t>
        </is>
      </c>
      <c r="D47" s="592">
        <f>$C$4</f>
        <v/>
      </c>
      <c r="F47" s="592" t="n">
        <v>5</v>
      </c>
      <c r="H47" s="895">
        <f>$C$6</f>
        <v/>
      </c>
      <c r="I47" s="592" t="n">
        <v>0.2</v>
      </c>
      <c r="J47" s="592">
        <f>$E$22</f>
        <v/>
      </c>
      <c r="K47" s="140" t="inlineStr">
        <is>
          <t>แบบยัดในช่อง: (ฐาน−ตัวลบ)÷บาน + บาน×ตัวคูณ</t>
        </is>
      </c>
    </row>
    <row r="48">
      <c r="B48" s="140" t="inlineStr">
        <is>
          <t>ขวางบน-ล่าง (แปะนอก)</t>
        </is>
      </c>
      <c r="C48" s="140" t="inlineStr">
        <is>
          <t>ความกว้างช่อง</t>
        </is>
      </c>
      <c r="D48" s="592">
        <f>$C$4</f>
        <v/>
      </c>
      <c r="F48" s="592" t="n">
        <v>2.5</v>
      </c>
      <c r="G48" s="592" t="n">
        <v>1.7</v>
      </c>
      <c r="H48" s="895">
        <f>$C$6</f>
        <v/>
      </c>
      <c r="I48" s="592" t="n">
        <v>0.2</v>
      </c>
      <c r="J48" s="592">
        <f>$E$22</f>
        <v/>
      </c>
      <c r="K48" s="140" t="inlineStr">
        <is>
          <t>แบบแปะนอก: (ฐาน+ปรับ−ตัวลบ)÷บาน + บาน×ตัวคูณ</t>
        </is>
      </c>
    </row>
    <row r="49">
      <c r="B49" s="140" t="inlineStr">
        <is>
          <t>เสากุญแจ</t>
        </is>
      </c>
      <c r="C49" s="140" t="inlineStr">
        <is>
          <t>ความสูงช่อง</t>
        </is>
      </c>
      <c r="D49" s="592">
        <f>$C$5</f>
        <v/>
      </c>
      <c r="E49" s="592">
        <f>$C$12</f>
        <v/>
      </c>
      <c r="F49" s="592" t="n">
        <v>12.1</v>
      </c>
      <c r="J49" s="592">
        <f>$E$23</f>
        <v/>
      </c>
      <c r="K49" s="140" t="inlineStr">
        <is>
          <t>บานละ 2 ท่อน</t>
        </is>
      </c>
    </row>
    <row r="50">
      <c r="B50" s="140" t="inlineStr">
        <is>
          <t>ตบเรียบ (บานเลื่อน)</t>
        </is>
      </c>
      <c r="C50" s="140" t="inlineStr">
        <is>
          <t>ความสูงช่อง</t>
        </is>
      </c>
      <c r="D50" s="592">
        <f>$C$5</f>
        <v/>
      </c>
      <c r="E50" s="592">
        <f>$C$12</f>
        <v/>
      </c>
      <c r="F50" s="592" t="n">
        <v>5.1</v>
      </c>
      <c r="J50" s="592">
        <f>$E$24</f>
        <v/>
      </c>
    </row>
    <row r="51">
      <c r="B51" s="140" t="inlineStr">
        <is>
          <t>ตบเรียบ (บานตาย)</t>
        </is>
      </c>
      <c r="C51" s="140" t="inlineStr">
        <is>
          <t>ความสูงช่อง</t>
        </is>
      </c>
      <c r="D51" s="592">
        <f>$C$5</f>
        <v/>
      </c>
      <c r="E51" s="592">
        <f>$C$12</f>
        <v/>
      </c>
      <c r="J51" s="592">
        <f>$E$25</f>
        <v/>
      </c>
      <c r="K51" s="140" t="inlineStr">
        <is>
          <t>ไม่ลบตัวลบ</t>
        </is>
      </c>
    </row>
    <row r="52">
      <c r="B52" s="140" t="inlineStr">
        <is>
          <t>ตบเกี่ยวสักหลาด</t>
        </is>
      </c>
      <c r="C52" s="140" t="inlineStr">
        <is>
          <t>ความสูงช่อง</t>
        </is>
      </c>
      <c r="D52" s="592">
        <f>$C$5</f>
        <v/>
      </c>
      <c r="E52" s="592">
        <f>$C$12</f>
        <v/>
      </c>
      <c r="F52" s="592" t="n">
        <v>5.1</v>
      </c>
      <c r="J52" s="592">
        <f>$E$26</f>
        <v/>
      </c>
      <c r="K52" s="140" t="inlineStr">
        <is>
          <t>จำนวน=บานเลื่อน+1</t>
        </is>
      </c>
    </row>
    <row r="53">
      <c r="B53" s="140" t="inlineStr">
        <is>
          <t>มือจับ X-J</t>
        </is>
      </c>
      <c r="C53" s="140" t="inlineStr">
        <is>
          <t>เท่าเสากุญแจ</t>
        </is>
      </c>
      <c r="D53" s="592">
        <f>$E$23</f>
        <v/>
      </c>
      <c r="J53" s="592">
        <f>$E$27</f>
        <v/>
      </c>
      <c r="K53" s="140" t="inlineStr">
        <is>
          <t>1 ชุด 2 อัน (คู่กลาง 4)</t>
        </is>
      </c>
    </row>
    <row r="54">
      <c r="B54" s="140" t="inlineStr">
        <is>
          <t>ฉากปิดราง 2"</t>
        </is>
      </c>
      <c r="C54" s="140" t="inlineStr">
        <is>
          <t>เท่าความกว้างช่องปูน</t>
        </is>
      </c>
      <c r="D54" s="592">
        <f>$C$4</f>
        <v/>
      </c>
      <c r="J54" s="592">
        <f>$E$28</f>
        <v/>
      </c>
      <c r="K54" s="140" t="inlineStr">
        <is>
          <t>1 ชุด 2 อัน</t>
        </is>
      </c>
    </row>
    <row r="55">
      <c r="B55" s="140" t="inlineStr">
        <is>
          <t>ตบปิดใต้รางริม</t>
        </is>
      </c>
      <c r="C55" s="140" t="inlineStr">
        <is>
          <t>เท่ารางบน</t>
        </is>
      </c>
      <c r="D55" s="592">
        <f>$E$19</f>
        <v/>
      </c>
      <c r="J55" s="592">
        <f>$E$29</f>
        <v/>
      </c>
      <c r="K55" s="140" t="inlineStr">
        <is>
          <t>1 ชุด 2 อัน</t>
        </is>
      </c>
    </row>
    <row r="56">
      <c r="B56" s="140" t="inlineStr">
        <is>
          <t>ตบปิดใต้รางกลาง</t>
        </is>
      </c>
      <c r="C56" s="140" t="inlineStr">
        <is>
          <t>เท่ารางบน</t>
        </is>
      </c>
      <c r="D56" s="592">
        <f>$E$19</f>
        <v/>
      </c>
      <c r="J56" s="592">
        <f>$E$30</f>
        <v/>
      </c>
      <c r="K56" s="140" t="inlineStr">
        <is>
          <t>จำนวน = ราง − 1</t>
        </is>
      </c>
    </row>
    <row r="58">
      <c r="B58" s="140" t="inlineStr">
        <is>
          <t>④ ตัวเลข 'จำนวน' ที่แก้ได้ — จำนวนชิ้นต่อบาน/ต่องาน</t>
        </is>
      </c>
    </row>
    <row r="59">
      <c r="B59" s="140" t="inlineStr">
        <is>
          <t>ความหมาย (จำนวนของโปรไฟล์อะไร)</t>
        </is>
      </c>
      <c r="F59" s="140" t="inlineStr">
        <is>
          <t>ค่า</t>
        </is>
      </c>
    </row>
    <row r="60">
      <c r="B60" s="140" t="inlineStr">
        <is>
          <t>คาน — จำนวนเส้น</t>
        </is>
      </c>
      <c r="F60" s="140" t="n">
        <v>1</v>
      </c>
    </row>
    <row r="61">
      <c r="B61" s="140" t="inlineStr">
        <is>
          <t>บังใบ 4 หุน — จำนวนอัน</t>
        </is>
      </c>
      <c r="F61" s="140" t="n">
        <v>2</v>
      </c>
    </row>
    <row r="62">
      <c r="B62" s="140" t="inlineStr">
        <is>
          <t>ขวางบน-ล่าง — จำนวนต่อบาน (บน+ล่าง)</t>
        </is>
      </c>
      <c r="F62" s="140" t="n">
        <v>2</v>
      </c>
    </row>
    <row r="63">
      <c r="B63" s="140" t="inlineStr">
        <is>
          <t>เสากุญแจ — จำนวนท่อนต่อบาน</t>
        </is>
      </c>
      <c r="F63" s="140" t="n">
        <v>2</v>
      </c>
    </row>
    <row r="64">
      <c r="B64" s="140" t="inlineStr">
        <is>
          <t>ตบเรียบหน้าเสากุญแจ — จำนวน (แบบ 'ยัดในช่อง')</t>
        </is>
      </c>
      <c r="F64" s="140" t="n">
        <v>2</v>
      </c>
    </row>
    <row r="65">
      <c r="B65" s="140" t="inlineStr">
        <is>
          <t>ตบเรียบหน้าเสากุญแจ — จำนวน (แบบ 'แปะนอก')</t>
        </is>
      </c>
      <c r="F65" s="140" t="n">
        <v>1</v>
      </c>
    </row>
    <row r="66">
      <c r="B66" s="140" t="inlineStr">
        <is>
          <t>ตบเรียบ (บานตาย) — จำนวน</t>
        </is>
      </c>
      <c r="F66" s="140" t="n">
        <v>0</v>
      </c>
    </row>
    <row r="67">
      <c r="B67" s="140" t="inlineStr">
        <is>
          <t>ตบเกี่ยวสักหลาด — บวกเพิ่มเสมอ</t>
        </is>
      </c>
      <c r="F67" s="140" t="n">
        <v>1</v>
      </c>
    </row>
    <row r="68">
      <c r="B68" s="140" t="inlineStr">
        <is>
          <t>ตบเกี่ยวสักหลาด — บวกเพิ่มถ้า 'แปะนอก'</t>
        </is>
      </c>
      <c r="F68" s="140" t="n">
        <v>1</v>
      </c>
    </row>
    <row r="69">
      <c r="B69" s="140" t="inlineStr">
        <is>
          <t>มือจับ X-J — จำนวนปกติ (1 ชุด)</t>
        </is>
      </c>
      <c r="F69" s="140" t="n">
        <v>2</v>
      </c>
    </row>
    <row r="70">
      <c r="B70" s="140" t="inlineStr">
        <is>
          <t>มือจับ X-J — จำนวนเมื่อ 'เปิดคู่กลาง'</t>
        </is>
      </c>
      <c r="F70" s="140" t="n">
        <v>4</v>
      </c>
    </row>
    <row r="71">
      <c r="B71" s="140" t="inlineStr">
        <is>
          <t>ฉากปิดราง 2" — จำนวนอัน</t>
        </is>
      </c>
      <c r="F71" s="140" t="n">
        <v>2</v>
      </c>
    </row>
    <row r="72">
      <c r="B72" s="140" t="inlineStr">
        <is>
          <t>ตบปิดใต้รางริม — จำนวนอัน</t>
        </is>
      </c>
      <c r="F72" s="140" t="n">
        <v>2</v>
      </c>
    </row>
    <row r="73">
      <c r="B73" s="140" t="inlineStr">
        <is>
          <t>ตบปิดใต้รางกลาง — เอา 'ราง' ลบด้วย</t>
        </is>
      </c>
      <c r="F73" s="140" t="n">
        <v>1</v>
      </c>
    </row>
    <row r="75">
      <c r="B75" s="140" t="inlineStr">
        <is>
          <t>⑤ ตารางคาน (ดรอปดาว) — แก้ขนาดที่หักของแต่ละกล่อง</t>
        </is>
      </c>
    </row>
    <row r="76">
      <c r="B76" s="140" t="inlineStr">
        <is>
          <t>คาน</t>
        </is>
      </c>
      <c r="C76" s="140" t="inlineStr">
        <is>
          <t>ลบความสูง (ซม.)</t>
        </is>
      </c>
    </row>
    <row r="77">
      <c r="B77" s="140" t="inlineStr">
        <is>
          <t>1×2</t>
        </is>
      </c>
      <c r="C77" s="592" t="n">
        <v>2.5</v>
      </c>
    </row>
    <row r="78">
      <c r="B78" s="140" t="inlineStr">
        <is>
          <t>2×2</t>
        </is>
      </c>
      <c r="C78" s="592" t="n">
        <v>5</v>
      </c>
    </row>
    <row r="79">
      <c r="B79" s="140" t="inlineStr">
        <is>
          <t>1×4</t>
        </is>
      </c>
      <c r="C79" s="592" t="n">
        <v>2.5</v>
      </c>
    </row>
    <row r="80">
      <c r="B80" s="140" t="inlineStr">
        <is>
          <t>2×4</t>
        </is>
      </c>
      <c r="C80" s="592" t="n">
        <v>5</v>
      </c>
    </row>
    <row r="81">
      <c r="B81" s="140" t="inlineStr">
        <is>
          <t>1×4+1×1.6</t>
        </is>
      </c>
      <c r="C81" s="592" t="n">
        <v>2.5</v>
      </c>
    </row>
    <row r="82">
      <c r="B82" s="140" t="inlineStr">
        <is>
          <t>2×4+4×4</t>
        </is>
      </c>
      <c r="C82" s="592" t="n">
        <v>10.2</v>
      </c>
    </row>
    <row r="83">
      <c r="B83" s="140" t="inlineStr">
        <is>
          <t>4×4</t>
        </is>
      </c>
      <c r="C83" s="592" t="n">
        <v>10.2</v>
      </c>
    </row>
    <row r="85">
      <c r="B85" s="140" t="inlineStr">
        <is>
          <t>⑦ เสารับบาน — แตกกล่องหักสต็อค (เว้นรหัส · กรอกตอนเข้าเว็บ)</t>
        </is>
      </c>
    </row>
    <row r="86">
      <c r="A86" s="140" t="inlineStr">
        <is>
          <t>#</t>
        </is>
      </c>
      <c r="B86" s="140" t="inlineStr">
        <is>
          <t>กล่อง</t>
        </is>
      </c>
      <c r="C86" s="140" t="inlineStr">
        <is>
          <t>รหัส SKU</t>
        </is>
      </c>
      <c r="D86" s="140" t="inlineStr">
        <is>
          <t>ยาวตัด (ซม.)</t>
        </is>
      </c>
      <c r="E86" s="592" t="inlineStr">
        <is>
          <t>จำนวนท่อน</t>
        </is>
      </c>
      <c r="F86" s="140" t="inlineStr">
        <is>
          <t>หน่วย</t>
        </is>
      </c>
      <c r="G86" s="140" t="inlineStr">
        <is>
          <t>หมายเหตุ</t>
        </is>
      </c>
    </row>
    <row r="87">
      <c r="A87" s="140" t="n">
        <v>1</v>
      </c>
      <c r="B87" s="140" t="inlineStr">
        <is>
          <t>กล่อง 1×1.6</t>
        </is>
      </c>
      <c r="D87" s="140">
        <f>$E$20</f>
        <v/>
      </c>
      <c r="E87" s="140">
        <f>((LEN($C$16)-LEN(SUBSTITUTE($C$16,"1×1.6","")))/5)*$C$15</f>
        <v/>
      </c>
      <c r="F87" s="140" t="inlineStr">
        <is>
          <t>ท่อน</t>
        </is>
      </c>
      <c r="G87" s="140" t="inlineStr">
        <is>
          <t>ยาวเท่ากันทุกท่อน</t>
        </is>
      </c>
    </row>
    <row r="88">
      <c r="A88" s="140" t="n">
        <v>2</v>
      </c>
      <c r="B88" s="140" t="inlineStr">
        <is>
          <t>กล่อง 1×4</t>
        </is>
      </c>
      <c r="D88" s="140">
        <f>$E$20</f>
        <v/>
      </c>
      <c r="E88" s="140">
        <f>((LEN($C$16)-LEN(SUBSTITUTE($C$16,"1×4","")))/3)*$C$15</f>
        <v/>
      </c>
      <c r="F88" s="140" t="inlineStr">
        <is>
          <t>ท่อน</t>
        </is>
      </c>
      <c r="G88" s="140" t="inlineStr">
        <is>
          <t>ยาวเท่ากันทุกท่อน</t>
        </is>
      </c>
    </row>
    <row r="89">
      <c r="A89" s="140" t="n">
        <v>3</v>
      </c>
      <c r="B89" s="140" t="inlineStr">
        <is>
          <t>กล่อง 1×3</t>
        </is>
      </c>
      <c r="D89" s="140">
        <f>$E$20</f>
        <v/>
      </c>
      <c r="E89" s="140">
        <f>((LEN($C$16)-LEN(SUBSTITUTE($C$16,"1×3","")))/3)*$C$15</f>
        <v/>
      </c>
      <c r="F89" s="140" t="inlineStr">
        <is>
          <t>ท่อน</t>
        </is>
      </c>
      <c r="G89" s="140" t="inlineStr">
        <is>
          <t>ยาวเท่ากันทุกท่อน</t>
        </is>
      </c>
    </row>
  </sheetData>
  <mergeCells count="37">
    <mergeCell ref="B65:E65"/>
    <mergeCell ref="B3:C3"/>
    <mergeCell ref="B68:E68"/>
    <mergeCell ref="B64:E64"/>
    <mergeCell ref="F70:K70"/>
    <mergeCell ref="F66:K66"/>
    <mergeCell ref="F62:K62"/>
    <mergeCell ref="F72:K72"/>
    <mergeCell ref="B63:E63"/>
    <mergeCell ref="B41:K41"/>
    <mergeCell ref="B11:C11"/>
    <mergeCell ref="B62:E62"/>
    <mergeCell ref="F71:K71"/>
    <mergeCell ref="B75:C75"/>
    <mergeCell ref="B72:E72"/>
    <mergeCell ref="F67:K67"/>
    <mergeCell ref="B59:E59"/>
    <mergeCell ref="F61:K61"/>
    <mergeCell ref="B66:E66"/>
    <mergeCell ref="B71:E71"/>
    <mergeCell ref="B85:G85"/>
    <mergeCell ref="B58:K58"/>
    <mergeCell ref="F60:K60"/>
    <mergeCell ref="B70:E70"/>
    <mergeCell ref="F73:K73"/>
    <mergeCell ref="F69:K69"/>
    <mergeCell ref="F64:K64"/>
    <mergeCell ref="A1:K2"/>
    <mergeCell ref="B60:E60"/>
    <mergeCell ref="B67:E67"/>
    <mergeCell ref="B61:E61"/>
    <mergeCell ref="F63:K63"/>
    <mergeCell ref="F65:K65"/>
    <mergeCell ref="F68:K68"/>
    <mergeCell ref="B73:E73"/>
    <mergeCell ref="B69:E69"/>
    <mergeCell ref="F59:K59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" customWidth="1" style="129" min="1" max="1"/>
    <col width="30" customWidth="1" style="129" min="2" max="2"/>
    <col width="18" customWidth="1" style="129" min="3" max="3"/>
    <col width="12" customWidth="1" style="129" min="4" max="4"/>
    <col width="20" customWidth="1" style="129" min="5" max="5"/>
    <col width="20" customWidth="1" style="129" min="6" max="6"/>
    <col width="12" customWidth="1" style="129" min="7" max="7"/>
    <col width="34" customWidth="1" style="129" min="8" max="8"/>
  </cols>
  <sheetData>
    <row r="1">
      <c r="A1" t="inlineStr">
        <is>
          <t>JR ALUMINIUM &amp; GLASS   —   ใบตัดบาน บานเปิด Velora   ·   หน่วย: ซม.</t>
        </is>
      </c>
    </row>
    <row r="2"/>
    <row r="3">
      <c r="B3" t="inlineStr">
        <is>
          <t>① กรอกข้อมูลช่อง (ช่องเหลือง)</t>
        </is>
      </c>
    </row>
    <row r="4">
      <c r="B4" t="inlineStr">
        <is>
          <t>กว้างช่องปูน (ช่อง)</t>
        </is>
      </c>
      <c r="C4">
        <f>'คิดทุน Velora'!B2</f>
        <v/>
      </c>
    </row>
    <row r="5">
      <c r="B5" t="inlineStr">
        <is>
          <t>สูงช่องปูน</t>
        </is>
      </c>
      <c r="C5">
        <f>'คิดทุน Velora'!B3</f>
        <v/>
      </c>
    </row>
    <row r="6">
      <c r="B6" t="inlineStr">
        <is>
          <t>รูปแบบ</t>
        </is>
      </c>
      <c r="C6" t="inlineStr">
        <is>
          <t>ยัดในช่อง</t>
        </is>
      </c>
    </row>
    <row r="8">
      <c r="A8" t="inlineStr">
        <is>
          <t>#</t>
        </is>
      </c>
      <c r="B8" t="inlineStr">
        <is>
          <t>โปรไฟล์</t>
        </is>
      </c>
      <c r="C8" t="inlineStr">
        <is>
          <t>รหัส</t>
        </is>
      </c>
      <c r="D8" t="inlineStr">
        <is>
          <t>รูป</t>
        </is>
      </c>
      <c r="E8" t="inlineStr">
        <is>
          <t>ยาวตัด (ซม.)</t>
        </is>
      </c>
      <c r="F8" t="inlineStr">
        <is>
          <t>จำนวน</t>
        </is>
      </c>
      <c r="G8" t="inlineStr">
        <is>
          <t>หมายเหตุ</t>
        </is>
      </c>
    </row>
    <row r="9">
      <c r="A9" t="n">
        <v>1</v>
      </c>
      <c r="B9" t="inlineStr">
        <is>
          <t>วงกบบน</t>
        </is>
      </c>
      <c r="C9" t="inlineStr">
        <is>
          <t>—</t>
        </is>
      </c>
      <c r="E9" s="592">
        <f>$C$4+IF($C$6="ยัดในช่อง",$E$18,$F$18)</f>
        <v/>
      </c>
      <c r="F9" s="895">
        <f>$F$27</f>
        <v/>
      </c>
      <c r="G9" t="inlineStr">
        <is>
          <t>ตัด 45° 2 ฝั่ง</t>
        </is>
      </c>
    </row>
    <row r="10">
      <c r="A10" t="n">
        <v>2</v>
      </c>
      <c r="B10" t="inlineStr">
        <is>
          <t>วงกบข้าง</t>
        </is>
      </c>
      <c r="C10" t="inlineStr">
        <is>
          <t>—</t>
        </is>
      </c>
      <c r="E10" s="592">
        <f>$C$5+IF($C$6="ยัดในช่อง",$E$19,$F$19)</f>
        <v/>
      </c>
      <c r="F10" s="895">
        <f>$F$28</f>
        <v/>
      </c>
      <c r="G10" t="inlineStr">
        <is>
          <t>ตัด 45° 1 ฝั่ง · 2 ข้าง</t>
        </is>
      </c>
    </row>
    <row r="11">
      <c r="A11" t="n">
        <v>3</v>
      </c>
      <c r="B11" t="inlineStr">
        <is>
          <t>กรอบบาน แนวนอน</t>
        </is>
      </c>
      <c r="C11" t="inlineStr">
        <is>
          <t>—</t>
        </is>
      </c>
      <c r="E11" s="592">
        <f>$C$4-IF($C$6="ยัดในช่อง",$E$20,$F$20)</f>
        <v/>
      </c>
      <c r="F11" s="895">
        <f>$F$29</f>
        <v/>
      </c>
      <c r="G11" t="inlineStr">
        <is>
          <t>เข้ามุม 45° · บน+ล่าง</t>
        </is>
      </c>
    </row>
    <row r="12">
      <c r="A12" t="n">
        <v>4</v>
      </c>
      <c r="B12" t="inlineStr">
        <is>
          <t>กรอบบาน แนวตั้ง</t>
        </is>
      </c>
      <c r="C12" t="inlineStr">
        <is>
          <t>—</t>
        </is>
      </c>
      <c r="E12" s="592">
        <f>$C$5-IF($C$6="ยัดในช่อง",$E$21,$F$21)</f>
        <v/>
      </c>
      <c r="F12" s="895">
        <f>$F$30</f>
        <v/>
      </c>
      <c r="G12" t="inlineStr">
        <is>
          <t>เข้ามุม 45° · 2 ข้าง</t>
        </is>
      </c>
    </row>
    <row r="13">
      <c r="A13" t="n">
        <v>5</v>
      </c>
      <c r="B13" t="inlineStr">
        <is>
          <t>ลูกฟูก 2 ทาง แนวตั้ง</t>
        </is>
      </c>
      <c r="C13" t="inlineStr">
        <is>
          <t>—</t>
        </is>
      </c>
      <c r="E13" s="592">
        <f>$E$10</f>
        <v/>
      </c>
      <c r="F13" s="895">
        <f>IF($C$6="ยัดในช่อง",$F$31,0)</f>
        <v/>
      </c>
      <c r="G13" t="inlineStr">
        <is>
          <t>เท่าวงกบข้าง · เฉพาะยัดในช่อง</t>
        </is>
      </c>
    </row>
    <row r="14">
      <c r="A14" t="n">
        <v>6</v>
      </c>
      <c r="B14" t="inlineStr">
        <is>
          <t>ลูกฟูก 2 ทาง แนวนอน</t>
        </is>
      </c>
      <c r="C14" t="inlineStr">
        <is>
          <t>—</t>
        </is>
      </c>
      <c r="E14" s="592">
        <f>$E$9</f>
        <v/>
      </c>
      <c r="F14" s="895">
        <f>IF($C$6="ยัดในช่อง",$F$32,0)</f>
        <v/>
      </c>
      <c r="G14" t="inlineStr">
        <is>
          <t>เท่าวงกบบน · เฉพาะยัดในช่อง</t>
        </is>
      </c>
    </row>
    <row r="16">
      <c r="B16" t="inlineStr">
        <is>
          <t>③ กระดานคำนวณความยาว — แก้ 'ช่องเหลือง' ①② ในกระดานได้เลย · ฟ้า=ค่าสด · เขียว=ผล   (① = แบบยัดในช่อง · ② = แบบครอบวงกบ)</t>
        </is>
      </c>
    </row>
    <row r="17">
      <c r="B17" t="inlineStr">
        <is>
          <t>โปรไฟล์</t>
        </is>
      </c>
      <c r="C17" t="inlineStr">
        <is>
          <t>ฐาน (จาก)</t>
        </is>
      </c>
      <c r="D17" t="inlineStr">
        <is>
          <t>ค่า</t>
        </is>
      </c>
      <c r="E17" t="inlineStr">
        <is>
          <t>① ยัดในช่อง (แก้ได้)</t>
        </is>
      </c>
      <c r="F17" t="inlineStr">
        <is>
          <t>② ครอบวงกบ (แก้ได้)</t>
        </is>
      </c>
      <c r="G17" t="inlineStr">
        <is>
          <t>ยาวตัด</t>
        </is>
      </c>
      <c r="H17" t="inlineStr">
        <is>
          <t>สูตร (ที่มา)</t>
        </is>
      </c>
    </row>
    <row r="18">
      <c r="B18" t="inlineStr">
        <is>
          <t>วงกบบน</t>
        </is>
      </c>
      <c r="C18" t="inlineStr">
        <is>
          <t>ความกว้างช่อง</t>
        </is>
      </c>
      <c r="D18" s="592">
        <f>$C$4</f>
        <v/>
      </c>
      <c r="E18" s="592" t="n">
        <v>0</v>
      </c>
      <c r="F18" s="592" t="n">
        <v>2</v>
      </c>
      <c r="G18" s="592">
        <f>$E$9</f>
        <v/>
      </c>
      <c r="H18" t="inlineStr">
        <is>
          <t>กว้าง + ① (ยัด) / + ② (ครอบ)</t>
        </is>
      </c>
    </row>
    <row r="19">
      <c r="B19" t="inlineStr">
        <is>
          <t>วงกบข้าง</t>
        </is>
      </c>
      <c r="C19" t="inlineStr">
        <is>
          <t>ความสูงช่อง</t>
        </is>
      </c>
      <c r="D19" s="592">
        <f>$C$5</f>
        <v/>
      </c>
      <c r="E19" s="592" t="n">
        <v>0</v>
      </c>
      <c r="F19" s="592" t="n">
        <v>1</v>
      </c>
      <c r="G19" s="592">
        <f>$E$10</f>
        <v/>
      </c>
      <c r="H19" t="inlineStr">
        <is>
          <t>สูง + ① (ยัด) / + ② (ครอบ)</t>
        </is>
      </c>
    </row>
    <row r="20">
      <c r="B20" t="inlineStr">
        <is>
          <t>กรอบบาน แนวนอน</t>
        </is>
      </c>
      <c r="C20" t="inlineStr">
        <is>
          <t>ความกว้างช่อง</t>
        </is>
      </c>
      <c r="D20" s="592">
        <f>$C$4</f>
        <v/>
      </c>
      <c r="E20" s="592" t="n">
        <v>5.7</v>
      </c>
      <c r="F20" s="592" t="n">
        <v>3.5</v>
      </c>
      <c r="G20" s="592">
        <f>$E$11</f>
        <v/>
      </c>
      <c r="H20" t="inlineStr">
        <is>
          <t>กว้าง − ① (ยัด) / − ② (ครอบ)</t>
        </is>
      </c>
    </row>
    <row r="21">
      <c r="B21" t="inlineStr">
        <is>
          <t>กรอบบาน แนวตั้ง</t>
        </is>
      </c>
      <c r="C21" t="inlineStr">
        <is>
          <t>ความสูงช่อง</t>
        </is>
      </c>
      <c r="D21" s="592">
        <f>$C$5</f>
        <v/>
      </c>
      <c r="E21" s="592" t="n">
        <v>3.3</v>
      </c>
      <c r="F21" s="592" t="n">
        <v>2.2</v>
      </c>
      <c r="G21" s="592">
        <f>$E$12</f>
        <v/>
      </c>
      <c r="H21" t="inlineStr">
        <is>
          <t>สูง − ① (ยัด) / − ② (ครอบ)</t>
        </is>
      </c>
    </row>
    <row r="22">
      <c r="B22" t="inlineStr">
        <is>
          <t>ลูกฟูก 2 ทาง แนวตั้ง</t>
        </is>
      </c>
      <c r="C22" t="inlineStr">
        <is>
          <t>เท่าวงกบข้าง</t>
        </is>
      </c>
      <c r="D22" s="592">
        <f>$E$10</f>
        <v/>
      </c>
      <c r="G22" s="592">
        <f>$E$13</f>
        <v/>
      </c>
      <c r="H22" t="inlineStr">
        <is>
          <t>เท่าวงกบข้าง (เฉพาะยัดในช่อง)</t>
        </is>
      </c>
    </row>
    <row r="23">
      <c r="B23" t="inlineStr">
        <is>
          <t>ลูกฟูก 2 ทาง แนวนอน</t>
        </is>
      </c>
      <c r="C23" t="inlineStr">
        <is>
          <t>เท่าวงกบบน</t>
        </is>
      </c>
      <c r="D23" s="592">
        <f>$E$9</f>
        <v/>
      </c>
      <c r="G23" s="592">
        <f>$E$14</f>
        <v/>
      </c>
      <c r="H23" t="inlineStr">
        <is>
          <t>เท่าวงกบบน (เฉพาะยัดในช่อง)</t>
        </is>
      </c>
    </row>
    <row r="25">
      <c r="B25" t="inlineStr">
        <is>
          <t>④ ตัวเลข 'จำนวน' ที่แก้ได้ (ลูกฟูก = เฉพาะยัดในช่อง)</t>
        </is>
      </c>
    </row>
    <row r="27">
      <c r="B27" t="inlineStr">
        <is>
          <t>วงกบบน — จำนวน</t>
        </is>
      </c>
      <c r="F27" t="n">
        <v>1</v>
      </c>
    </row>
    <row r="28">
      <c r="B28" t="inlineStr">
        <is>
          <t>วงกบข้าง — จำนวน</t>
        </is>
      </c>
      <c r="F28" t="n">
        <v>2</v>
      </c>
    </row>
    <row r="29">
      <c r="B29" t="inlineStr">
        <is>
          <t>กรอบบาน แนวนอน — จำนวน</t>
        </is>
      </c>
      <c r="F29" t="n">
        <v>2</v>
      </c>
    </row>
    <row r="30">
      <c r="B30" t="inlineStr">
        <is>
          <t>กรอบบาน แนวตั้ง — จำนวน</t>
        </is>
      </c>
      <c r="F30" t="n">
        <v>2</v>
      </c>
    </row>
    <row r="31">
      <c r="B31" t="inlineStr">
        <is>
          <t>ลูกฟูก แนวตั้ง — จำนวน (เมื่อยัดในช่อง)</t>
        </is>
      </c>
      <c r="F31" t="n">
        <v>2</v>
      </c>
    </row>
    <row r="32">
      <c r="B32" t="inlineStr">
        <is>
          <t>ลูกฟูก แนวนอน — จำนวน (เมื่อยัดในช่อง)</t>
        </is>
      </c>
      <c r="F32" t="n">
        <v>1</v>
      </c>
    </row>
    <row r="34">
      <c r="B34" t="inlineStr">
        <is>
          <t>⑥ อุปกรณ์ (จำนวน/ชุด) — บานเปิด Velora 1 บาน</t>
        </is>
      </c>
      <c r="F34" t="inlineStr">
        <is>
          <t>จำนวน</t>
        </is>
      </c>
    </row>
    <row r="35">
      <c r="A35" t="n">
        <v>1</v>
      </c>
      <c r="B35" t="inlineStr">
        <is>
          <t>บานพับ (4 ตัว/บาน)</t>
        </is>
      </c>
      <c r="F35" s="592">
        <f>4</f>
        <v/>
      </c>
    </row>
    <row r="36">
      <c r="A36" t="n">
        <v>2</v>
      </c>
      <c r="B36" t="inlineStr">
        <is>
          <t>มือจับ (ล็อค)</t>
        </is>
      </c>
      <c r="F36" s="592" t="n">
        <v>1</v>
      </c>
    </row>
    <row r="37">
      <c r="A37" t="n">
        <v>3</v>
      </c>
      <c r="B37" t="inlineStr">
        <is>
          <t>ซิลิโคน ใน+นอก (หลอด)</t>
        </is>
      </c>
      <c r="F37" s="592">
        <f>ROUNDUP(2*(C4+C5)/100*2/12.5,0)</f>
        <v/>
      </c>
    </row>
  </sheetData>
  <mergeCells count="20">
    <mergeCell ref="B3:C3"/>
    <mergeCell ref="B37:E37"/>
    <mergeCell ref="B30:E30"/>
    <mergeCell ref="F32:H32"/>
    <mergeCell ref="B36:E36"/>
    <mergeCell ref="B32:E32"/>
    <mergeCell ref="F28:H28"/>
    <mergeCell ref="B35:E35"/>
    <mergeCell ref="F31:H31"/>
    <mergeCell ref="F27:H27"/>
    <mergeCell ref="F30:H30"/>
    <mergeCell ref="B16:H16"/>
    <mergeCell ref="B25:H25"/>
    <mergeCell ref="B31:E31"/>
    <mergeCell ref="B27:E27"/>
    <mergeCell ref="A1:H2"/>
    <mergeCell ref="F29:H29"/>
    <mergeCell ref="B29:E29"/>
    <mergeCell ref="B34:E34"/>
    <mergeCell ref="B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2026-06-09T08:50:21Z</dcterms:created>
  <dcterms:modified xmlns:dcterms="http://purl.org/dc/terms/" xmlns:xsi="http://www.w3.org/2001/XMLSchema-instance" xsi:type="dcterms:W3CDTF">2026-08-07T03:40:54Z</dcterms:modified>
  <cp:revision>0</cp:revision>
</cp:coreProperties>
</file>