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C Do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<sst xmlns="http://schemas.openxmlformats.org/spreadsheetml/2006/main" count="211" uniqueCount="165">
  <si>
    <t xml:space="preserve">JR ALUMINIUM &amp; GLASS   —   ใบตัดบาน PC Door (บานเปิดเมืองทอง + บานเลื่อน sms)   ·   หน่วย: ซม.</t>
  </si>
  <si>
    <t xml:space="preserve">เมโทรกุญแจอบขาว</t>
  </si>
  <si>
    <t xml:space="preserve">JR00368</t>
  </si>
  <si>
    <t xml:space="preserve">เมโทรกุญแจดำ</t>
  </si>
  <si>
    <t xml:space="preserve">JR00371</t>
  </si>
  <si>
    <t xml:space="preserve">① กรอกข้อมูลช่อง (ช่องเหลือง)</t>
  </si>
  <si>
    <t xml:space="preserve">เมโทรล็อคอบขาว</t>
  </si>
  <si>
    <t xml:space="preserve">JR00369</t>
  </si>
  <si>
    <t xml:space="preserve">กว้างช่องปูน (ช่อง)</t>
  </si>
  <si>
    <t xml:space="preserve">เมโทรล็อคดำ</t>
  </si>
  <si>
    <t xml:space="preserve">JR00372</t>
  </si>
  <si>
    <t xml:space="preserve">สูงช่องปูน</t>
  </si>
  <si>
    <t xml:space="preserve">เมโทรดัมมี่อบขาว</t>
  </si>
  <si>
    <t xml:space="preserve">JR00370</t>
  </si>
  <si>
    <t xml:space="preserve">คาน (เลือกกล่อง)</t>
  </si>
  <si>
    <t xml:space="preserve">1×4</t>
  </si>
  <si>
    <t xml:space="preserve">เมโทรดัมมี่ดำ</t>
  </si>
  <si>
    <t xml:space="preserve">JR00373</t>
  </si>
  <si>
    <t xml:space="preserve">รูปแบบบาน</t>
  </si>
  <si>
    <t xml:space="preserve">แบ่ง 2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</si>
  <si>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กุญแจอบขาว</t>
    </r>
  </si>
  <si>
    <t xml:space="preserve">JR00377</t>
  </si>
  <si>
    <t xml:space="preserve">ธรณี</t>
  </si>
  <si>
    <t xml:space="preserve">มีธรณี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</si>
  <si>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ล็อคอบขาว</t>
    </r>
  </si>
  <si>
    <t xml:space="preserve">JR00378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</si>
  <si>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ดัมมี่อบขาว</t>
    </r>
  </si>
  <si>
    <t xml:space="preserve">JR00379</t>
  </si>
  <si>
    <t xml:space="preserve">② ค่าที่คำนวณอัตโนมัติ (ห้ามแก้)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</si>
  <si>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กุญแจดำ</t>
    </r>
  </si>
  <si>
    <t xml:space="preserve">JR00374</t>
  </si>
  <si>
    <t xml:space="preserve">ขนาดคานที่หัก (ซม.)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</si>
  <si>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ล็อคดำ</t>
    </r>
  </si>
  <si>
    <t xml:space="preserve">JR00375</t>
  </si>
  <si>
    <t xml:space="preserve">จำนวนบาน (ตัวหาร/จำนวนกรอบ)</t>
  </si>
  <si>
    <r>
      <rPr>
        <sz val="11"/>
        <color theme="1"/>
        <rFont val="Calibri"/>
        <family val="2"/>
        <charset val="1"/>
      </rPr>
      <t xml:space="preserve">Align</t>
    </r>
    <r>
      <rPr>
        <sz val="11"/>
        <color theme="1"/>
        <rFont val="FreeSans"/>
        <family val="2"/>
      </rPr>
      <t xml:space="preserve">ดัมมี่ดำ</t>
    </r>
  </si>
  <si>
    <t xml:space="preserve">JR00376</t>
  </si>
  <si>
    <t xml:space="preserve">#</t>
  </si>
  <si>
    <t xml:space="preserve">โปรไฟล์</t>
  </si>
  <si>
    <t xml:space="preserve">รหัส</t>
  </si>
  <si>
    <t xml:space="preserve">รูป</t>
  </si>
  <si>
    <t xml:space="preserve">ยาวตัด (ซม.)</t>
  </si>
  <si>
    <t xml:space="preserve">จำนวน</t>
  </si>
  <si>
    <t xml:space="preserve">หมายเหตุ</t>
  </si>
  <si>
    <t xml:space="preserve">คาน</t>
  </si>
  <si>
    <t xml:space="preserve">กล่องคาน</t>
  </si>
  <si>
    <t xml:space="preserve">ตัดเท่าช่อง · 1×4/2×4</t>
  </si>
  <si>
    <t xml:space="preserve">ฝาครอบรางบน</t>
  </si>
  <si>
    <t xml:space="preserve">—</t>
  </si>
  <si>
    <t xml:space="preserve">ช่อง−3.3−2.5</t>
  </si>
  <si>
    <t xml:space="preserve">รางบนบานเลื่อน</t>
  </si>
  <si>
    <t xml:space="preserve">ช่อง−4.5−2.5</t>
  </si>
  <si>
    <t xml:space="preserve">วงกบบานเปิด</t>
  </si>
  <si>
    <t xml:space="preserve">สูง−คาน</t>
  </si>
  <si>
    <t xml:space="preserve">เสารับบานเลื่อน</t>
  </si>
  <si>
    <t xml:space="preserve">ชนกลางรับบานเลื่อน</t>
  </si>
  <si>
    <t xml:space="preserve">สูง−คาน−4</t>
  </si>
  <si>
    <t xml:space="preserve">ชนกลางบานเลื่อน</t>
  </si>
  <si>
    <t xml:space="preserve">20046</t>
  </si>
  <si>
    <t xml:space="preserve">เท่าชนกลางรับ</t>
  </si>
  <si>
    <t xml:space="preserve">กรอบบานเปิด เมืองทอง (ความสูง)</t>
  </si>
  <si>
    <t xml:space="preserve">จำนวน=แบ่ง</t>
  </si>
  <si>
    <t xml:space="preserve">กรอบบานเปิด เมืองทอง (ความกว้าง)</t>
  </si>
  <si>
    <t xml:space="preserve">กว้าง÷แบ่ง +ปรับ</t>
  </si>
  <si>
    <t xml:space="preserve">กรอบบานเลื่อน sms (ความสูง)</t>
  </si>
  <si>
    <t xml:space="preserve">กรอบบานเลื่อน sms (ความกว้าง)</t>
  </si>
  <si>
    <t xml:space="preserve">กว้าง÷แบ่ง −ตัวลบ</t>
  </si>
  <si>
    <t xml:space="preserve">③ กระดานคำนวณความยาว — แก้ 'ช่องเหลือง' ①② ในกระดานได้เลย · ฟ้า=ค่าสด · เขียว=ผล   (① ค่าหลัก · ② ค่าเมื่อสลับ มีธรณี↔ไม่มี / แบ่ง2↔แบ่ง4)</t>
  </si>
  <si>
    <t xml:space="preserve">ฐาน (จาก)</t>
  </si>
  <si>
    <t xml:space="preserve">ค่า</t>
  </si>
  <si>
    <t xml:space="preserve">− ขนาดคาน</t>
  </si>
  <si>
    <t xml:space="preserve">÷ แบ่ง</t>
  </si>
  <si>
    <t xml:space="preserve">ตัวเลข ① (แก้ได้)</t>
  </si>
  <si>
    <t xml:space="preserve">ตัวเลข ② (สลับ)</t>
  </si>
  <si>
    <t xml:space="preserve">ยาวตัด</t>
  </si>
  <si>
    <t xml:space="preserve">สูตร (ที่มา)</t>
  </si>
  <si>
    <t xml:space="preserve">ความกว้างช่อง</t>
  </si>
  <si>
    <t xml:space="preserve">ตัดเท่าช่อง · 1 เส้น</t>
  </si>
  <si>
    <t xml:space="preserve">ช่อง − ① − ②</t>
  </si>
  <si>
    <t xml:space="preserve">ความสูงช่อง</t>
  </si>
  <si>
    <t xml:space="preserve">สูง − ขนาดคาน</t>
  </si>
  <si>
    <t xml:space="preserve">สูง − ขนาดคาน − ①</t>
  </si>
  <si>
    <t xml:space="preserve">ชนกลางบานเลื่อน (20046)</t>
  </si>
  <si>
    <t xml:space="preserve">เท่าชนกลางรับ · 1 เส้น</t>
  </si>
  <si>
    <t xml:space="preserve">กรอบบานเปิด (สูง)</t>
  </si>
  <si>
    <t xml:space="preserve">สูง − ขนาดคาน − ① (มีธรณี) / − ② (ไม่มีธรณี)</t>
  </si>
  <si>
    <t xml:space="preserve">กรอบบานเปิด (กว้าง)</t>
  </si>
  <si>
    <t xml:space="preserve">ช่อง ÷ แบ่ง + ① (แบ่ง2) / + ② (แบ่ง4)</t>
  </si>
  <si>
    <t xml:space="preserve">กรอบบานเลื่อน (สูง)</t>
  </si>
  <si>
    <t xml:space="preserve">กรอบบานเลื่อน (กว้าง)</t>
  </si>
  <si>
    <t xml:space="preserve">ช่อง ÷ แบ่ง − ① (แบ่ง2) / − ② (แบ่ง4)</t>
  </si>
  <si>
    <t xml:space="preserve">④ ตัวเลข 'จำนวน' ที่แก้ได้ (กรอบ = ตามแบ่ง 2/4 อัตโนมัติ)</t>
  </si>
  <si>
    <t xml:space="preserve">คาน — จำนวนเส้น</t>
  </si>
  <si>
    <t xml:space="preserve">ฝาครอบรางบน — จำนวน</t>
  </si>
  <si>
    <t xml:space="preserve">รางบนบานเลื่อน — จำนวน</t>
  </si>
  <si>
    <t xml:space="preserve">วงกบบานเปิด — จำนวน</t>
  </si>
  <si>
    <t xml:space="preserve">เสารับบานเลื่อน — จำนวน</t>
  </si>
  <si>
    <t xml:space="preserve">ชนกลางรับบานเลื่อน — จำนวน</t>
  </si>
  <si>
    <t xml:space="preserve">ชนกลางบานเลื่อน — จำนวน</t>
  </si>
  <si>
    <t xml:space="preserve">⑤ ตารางคาน (ดรอปดาว) — แก้ขนาดที่หัก</t>
  </si>
  <si>
    <t xml:space="preserve">ลบความสูง (ซม.)</t>
  </si>
  <si>
    <t xml:space="preserve">2×4</t>
  </si>
  <si>
    <t xml:space="preserve">⑤ ตั้งค่า (บานเลื่อน=SMS · บานเปิด · ราง)</t>
  </si>
  <si>
    <t xml:space="preserve">ประเภทบาน(เลื่อน) →</t>
  </si>
  <si>
    <t xml:space="preserve">ประตู</t>
  </si>
  <si>
    <t xml:space="preserve">ยี่ห้อมือจับ →</t>
  </si>
  <si>
    <t xml:space="preserve">เมโทร</t>
  </si>
  <si>
    <t xml:space="preserve">สีมือจับ →</t>
  </si>
  <si>
    <t xml:space="preserve">อบขาว</t>
  </si>
  <si>
    <t xml:space="preserve">มือจับเลื่อน ซ้าย →</t>
  </si>
  <si>
    <t xml:space="preserve">กุญแจ+ล็อค</t>
  </si>
  <si>
    <t xml:space="preserve">มือจับเลื่อน ขวา →</t>
  </si>
  <si>
    <t xml:space="preserve">ล็อค+ดัมมี่</t>
  </si>
  <si>
    <t xml:space="preserve">สีบานเปิด(บานพับ/กลอน) →</t>
  </si>
  <si>
    <t xml:space="preserve">ขาว</t>
  </si>
  <si>
    <t xml:space="preserve">หัวต่อราง ด้าน →</t>
  </si>
  <si>
    <t xml:space="preserve">ซ้าย</t>
  </si>
  <si>
    <t xml:space="preserve">ฝาครอบราง สี →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</si>
  <si>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</si>
  <si>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</si>
  <si>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</si>
  <si>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</si>
  <si>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— บานเลื่อน (เหมือนรางบน) —</t>
  </si>
  <si>
    <t xml:space="preserve">ล้อรางบน Hafele 100kg</t>
  </si>
  <si>
    <t xml:space="preserve">JR00544</t>
  </si>
  <si>
    <t xml:space="preserve">กล่อง</t>
  </si>
  <si>
    <t xml:space="preserve">1/บานเลื่อน</t>
  </si>
  <si>
    <t xml:space="preserve">มือจับ กุญแจ</t>
  </si>
  <si>
    <t xml:space="preserve">ชุด</t>
  </si>
  <si>
    <t xml:space="preserve">มือจับ ล็อค</t>
  </si>
  <si>
    <t xml:space="preserve">มือจับ ดัมมี่</t>
  </si>
  <si>
    <t xml:space="preserve">Digital lock</t>
  </si>
  <si>
    <t xml:space="preserve">-</t>
  </si>
  <si>
    <t xml:space="preserve">ไม่ตัดสต็อก</t>
  </si>
  <si>
    <t xml:space="preserve">แกน A</t>
  </si>
  <si>
    <t xml:space="preserve">JR00478</t>
  </si>
  <si>
    <t xml:space="preserve">เส้น</t>
  </si>
  <si>
    <t xml:space="preserve">แกน B</t>
  </si>
  <si>
    <t xml:space="preserve">JR00479</t>
  </si>
  <si>
    <t xml:space="preserve">ปลายดำ</t>
  </si>
  <si>
    <t xml:space="preserve">JR00476</t>
  </si>
  <si>
    <t xml:space="preserve">ตัว</t>
  </si>
  <si>
    <t xml:space="preserve">ตัวที เงิน</t>
  </si>
  <si>
    <t xml:space="preserve">JR00475</t>
  </si>
  <si>
    <t xml:space="preserve">ก้ามปู</t>
  </si>
  <si>
    <t xml:space="preserve">JR00477</t>
  </si>
  <si>
    <t xml:space="preserve">น็อตประกอบบาน 1"</t>
  </si>
  <si>
    <t xml:space="preserve">JR00864</t>
  </si>
  <si>
    <t xml:space="preserve">สักหลาด 5×3</t>
  </si>
  <si>
    <t xml:space="preserve">JR00794</t>
  </si>
  <si>
    <t xml:space="preserve">เมตร</t>
  </si>
  <si>
    <t xml:space="preserve">กรอบบาน+เฟรมข้าง</t>
  </si>
  <si>
    <t xml:space="preserve">หัวต่อราง</t>
  </si>
  <si>
    <t xml:space="preserve">อัน</t>
  </si>
  <si>
    <t xml:space="preserve">ซ้าย/ขวา · แบ่ง4=2</t>
  </si>
  <si>
    <t xml:space="preserve">ฝาครอบราง</t>
  </si>
  <si>
    <t xml:space="preserve">แบ่ง4=4</t>
  </si>
  <si>
    <t xml:space="preserve">— บานเปิด —</t>
  </si>
  <si>
    <t xml:space="preserve">บานพับไม่บาก</t>
  </si>
  <si>
    <t xml:space="preserve">4/บานเปิด</t>
  </si>
  <si>
    <t xml:space="preserve">กลอน</t>
  </si>
  <si>
    <t xml:space="preserve">1/บานเปิด</t>
  </si>
  <si>
    <t xml:space="preserve">ปลายกลอน</t>
  </si>
  <si>
    <t xml:space="preserve">JR00598</t>
  </si>
  <si>
    <t xml:space="preserve">1/บานเปิด · เดียวกับประตู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</si>
</sst>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ahoma"/>
      <family val="0"/>
      <charset val="1"/>
    </font>
    <font>
      <sz val="11"/>
      <color theme="1"/>
      <name val="FreeSans"/>
      <family val="2"/>
    </font>
    <font>
      <b val="true"/>
      <sz val="10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sz val="8"/>
      <color rgb="FF808080"/>
      <name val="Tahoma"/>
      <family val="0"/>
      <charset val="1"/>
    </font>
    <font>
      <sz val="9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1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0"/>
      <color rgb="FF000000"/>
      <name val="Tahom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D9E1F2"/>
      </patternFill>
    </fill>
    <fill>
      <patternFill patternType="solid">
        <fgColor rgb="FF7F77DD"/>
        <bgColor rgb="FF808080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E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EDEDED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B0B0B0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0</xdr:rowOff>
    </xdr:from>
    <xdr:to>
      <xdr:col>3</xdr:col>
      <xdr:colOff>818640</xdr:colOff>
      <xdr:row>20</xdr:row>
      <xdr:rowOff>418680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665160" y="5981760"/>
          <a:ext cx="81864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true" outlineLevel="0" max="56" min="53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BA1" s="2" t="s">
        <v>1</v>
      </c>
      <c r="BB1" s="3" t="s">
        <v>2</v>
      </c>
      <c r="BD1" s="0" t="str">
        <f aca="false">IF($C$57="ประตู","กุญแจ+ล็อค","ล็อค")</f>
        <v>กุญแจ+ล็อค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BA2" s="2" t="s">
        <v>3</v>
      </c>
      <c r="BB2" s="3" t="s">
        <v>4</v>
      </c>
      <c r="BD2" s="0" t="str">
        <f aca="false">IF($C$57="ประตู","ล็อค+ดัมมี่","ดัมมี่")</f>
        <v>ล็อค+ดัมมี่</v>
      </c>
    </row>
    <row r="3" customFormat="false" ht="15" hidden="false" customHeight="true" outlineLevel="0" collapsed="false">
      <c r="B3" s="4" t="s">
        <v>5</v>
      </c>
      <c r="C3" s="4"/>
      <c r="BA3" s="2" t="s">
        <v>6</v>
      </c>
      <c r="BB3" s="3" t="s">
        <v>7</v>
      </c>
      <c r="BD3" s="0" t="str">
        <f aca="false">IF($C$57="ประตู","ดัมมี่+ดัมมี่","")</f>
        <v>ดัมมี่+ดัมมี่</v>
      </c>
    </row>
    <row r="4" customFormat="false" ht="15" hidden="false" customHeight="false" outlineLevel="0" collapsed="false">
      <c r="B4" s="5" t="s">
        <v>8</v>
      </c>
      <c r="C4" s="6" t="n">
        <v>300</v>
      </c>
      <c r="BA4" s="2" t="s">
        <v>9</v>
      </c>
      <c r="BB4" s="3" t="s">
        <v>10</v>
      </c>
      <c r="BD4" s="0" t="str">
        <f aca="false">IF($C$57="ประตู","Digital lock","")</f>
        <v>Digital lock</v>
      </c>
    </row>
    <row r="5" customFormat="false" ht="15" hidden="false" customHeight="false" outlineLevel="0" collapsed="false">
      <c r="B5" s="5" t="s">
        <v>11</v>
      </c>
      <c r="C5" s="6" t="n">
        <v>240</v>
      </c>
      <c r="BA5" s="2" t="s">
        <v>12</v>
      </c>
      <c r="BB5" s="3" t="s">
        <v>13</v>
      </c>
    </row>
    <row r="6" customFormat="false" ht="15" hidden="false" customHeight="false" outlineLevel="0" collapsed="false">
      <c r="B6" s="5" t="s">
        <v>14</v>
      </c>
      <c r="C6" s="6" t="s">
        <v>15</v>
      </c>
      <c r="BA6" s="2" t="s">
        <v>16</v>
      </c>
      <c r="BB6" s="3" t="s">
        <v>17</v>
      </c>
      <c r="BC6" s="3" t="n">
        <f aca="false">(COUNTIF($C$60:$C$61,"กุญแจ+ล็อค")+COUNTIF($C$60:$C$61,"ล็อค+ดัมมี่")+COUNTIF($C$60:$C$61,"ล็อค"))</f>
        <v>2</v>
      </c>
    </row>
    <row r="7" customFormat="false" ht="15" hidden="false" customHeight="false" outlineLevel="0" collapsed="false">
      <c r="B7" s="5" t="s">
        <v>18</v>
      </c>
      <c r="C7" s="6" t="s">
        <v>19</v>
      </c>
      <c r="BA7" s="3" t="s">
        <v>20</v>
      </c>
      <c r="BB7" s="3" t="s">
        <v>21</v>
      </c>
      <c r="BC7" s="3" t="n">
        <f aca="false">COUNTIF($C$60:$C$61,"กุญแจ+ล็อค")</f>
        <v>1</v>
      </c>
    </row>
    <row r="8" customFormat="false" ht="15" hidden="false" customHeight="false" outlineLevel="0" collapsed="false">
      <c r="B8" s="5" t="s">
        <v>22</v>
      </c>
      <c r="C8" s="6" t="s">
        <v>23</v>
      </c>
      <c r="BA8" s="3" t="s">
        <v>24</v>
      </c>
      <c r="BB8" s="3" t="s">
        <v>25</v>
      </c>
    </row>
    <row r="9" customFormat="false" ht="15" hidden="false" customHeight="false" outlineLevel="0" collapsed="false">
      <c r="BA9" s="0" t="s">
        <v>26</v>
      </c>
      <c r="BB9" s="0" t="s">
        <v>27</v>
      </c>
      <c r="BC9" s="0" t="n">
        <f aca="false">(COUNTIF($C$60:$C$61,"ล็อค+ดัมมี่")+2*COUNTIF($C$60:$C$61,"ดัมมี่+ดัมมี่")+COUNTIF($C$60:$C$61,"ดัมมี่"))</f>
        <v>1</v>
      </c>
    </row>
    <row r="10" customFormat="false" ht="15" hidden="false" customHeight="true" outlineLevel="0" collapsed="false">
      <c r="B10" s="4" t="s">
        <v>28</v>
      </c>
      <c r="C10" s="4"/>
      <c r="BA10" s="3" t="s">
        <v>29</v>
      </c>
      <c r="BB10" s="3" t="s">
        <v>30</v>
      </c>
      <c r="BC10" s="3" t="n">
        <f aca="false">COUNTIF($C$60:$C$61,"Digital lock")</f>
        <v>0</v>
      </c>
    </row>
    <row r="11" customFormat="false" ht="15" hidden="false" customHeight="false" outlineLevel="0" collapsed="false">
      <c r="B11" s="7" t="s">
        <v>31</v>
      </c>
      <c r="C11" s="8" t="n">
        <f aca="false">VLOOKUP($C$6,$B$53:$C$54,2,FALSE())</f>
        <v>2.5</v>
      </c>
      <c r="BA11" s="3" t="s">
        <v>32</v>
      </c>
      <c r="BB11" s="3" t="s">
        <v>33</v>
      </c>
    </row>
    <row r="12" customFormat="false" ht="15" hidden="false" customHeight="false" outlineLevel="0" collapsed="false">
      <c r="B12" s="7" t="s">
        <v>34</v>
      </c>
      <c r="C12" s="9" t="n">
        <f aca="false">IF($C$7="แบ่ง 2",2,4)</f>
        <v>2</v>
      </c>
      <c r="BA12" s="3" t="s">
        <v>35</v>
      </c>
      <c r="BB12" s="3" t="s">
        <v>36</v>
      </c>
    </row>
    <row r="14" customFormat="false" ht="15" hidden="false" customHeight="false" outlineLevel="0" collapsed="false">
      <c r="A14" s="10" t="s">
        <v>37</v>
      </c>
      <c r="B14" s="10" t="s">
        <v>38</v>
      </c>
      <c r="C14" s="10" t="s">
        <v>39</v>
      </c>
      <c r="D14" s="10" t="s">
        <v>40</v>
      </c>
      <c r="E14" s="10" t="s">
        <v>41</v>
      </c>
      <c r="F14" s="10" t="s">
        <v>42</v>
      </c>
      <c r="G14" s="10" t="s">
        <v>43</v>
      </c>
    </row>
    <row r="15" customFormat="false" ht="43.5" hidden="false" customHeight="true" outlineLevel="0" collapsed="false">
      <c r="A15" s="11" t="n">
        <v>1</v>
      </c>
      <c r="B15" s="12" t="s">
        <v>44</v>
      </c>
      <c r="C15" s="13" t="s">
        <v>45</v>
      </c>
      <c r="D15" s="13"/>
      <c r="E15" s="14" t="n">
        <f aca="false">$C$4</f>
        <v>300</v>
      </c>
      <c r="F15" s="15" t="n">
        <f aca="false">$F$43</f>
        <v>1</v>
      </c>
      <c r="G15" s="16" t="s">
        <v>46</v>
      </c>
    </row>
    <row r="16" customFormat="false" ht="43.5" hidden="false" customHeight="true" outlineLevel="0" collapsed="false">
      <c r="A16" s="11" t="n">
        <v>2</v>
      </c>
      <c r="B16" s="12" t="s">
        <v>47</v>
      </c>
      <c r="C16" s="13" t="s">
        <v>48</v>
      </c>
      <c r="D16" s="13"/>
      <c r="E16" s="14" t="n">
        <f aca="false">$C$4-$G$30-$H$30</f>
        <v>294.2</v>
      </c>
      <c r="F16" s="15" t="n">
        <f aca="false">$F$44</f>
        <v>1</v>
      </c>
      <c r="G16" s="16" t="s">
        <v>49</v>
      </c>
    </row>
    <row r="17" customFormat="false" ht="43.5" hidden="false" customHeight="true" outlineLevel="0" collapsed="false">
      <c r="A17" s="11" t="n">
        <v>3</v>
      </c>
      <c r="B17" s="12" t="s">
        <v>50</v>
      </c>
      <c r="C17" s="13" t="s">
        <v>48</v>
      </c>
      <c r="D17" s="13"/>
      <c r="E17" s="14" t="n">
        <f aca="false">$C$4-$G$31-$H$31</f>
        <v>293</v>
      </c>
      <c r="F17" s="15" t="n">
        <f aca="false">$F$45</f>
        <v>1</v>
      </c>
      <c r="G17" s="16" t="s">
        <v>51</v>
      </c>
    </row>
    <row r="18" customFormat="false" ht="43.5" hidden="false" customHeight="true" outlineLevel="0" collapsed="false">
      <c r="A18" s="11" t="n">
        <v>4</v>
      </c>
      <c r="B18" s="12" t="s">
        <v>52</v>
      </c>
      <c r="C18" s="13" t="s">
        <v>48</v>
      </c>
      <c r="D18" s="13"/>
      <c r="E18" s="14" t="n">
        <f aca="false">$C$5-$C$11</f>
        <v>237.5</v>
      </c>
      <c r="F18" s="15" t="n">
        <f aca="false">$F$46</f>
        <v>1</v>
      </c>
      <c r="G18" s="16" t="s">
        <v>53</v>
      </c>
    </row>
    <row r="19" customFormat="false" ht="43.5" hidden="false" customHeight="true" outlineLevel="0" collapsed="false">
      <c r="A19" s="11" t="n">
        <v>5</v>
      </c>
      <c r="B19" s="12" t="s">
        <v>54</v>
      </c>
      <c r="C19" s="13" t="s">
        <v>48</v>
      </c>
      <c r="D19" s="13"/>
      <c r="E19" s="14" t="n">
        <f aca="false">$C$5-$C$11</f>
        <v>237.5</v>
      </c>
      <c r="F19" s="15" t="n">
        <f aca="false">$F$47</f>
        <v>1</v>
      </c>
      <c r="G19" s="16" t="s">
        <v>53</v>
      </c>
    </row>
    <row r="20" customFormat="false" ht="43.5" hidden="false" customHeight="true" outlineLevel="0" collapsed="false">
      <c r="A20" s="11" t="n">
        <v>6</v>
      </c>
      <c r="B20" s="12" t="s">
        <v>55</v>
      </c>
      <c r="C20" s="13" t="s">
        <v>48</v>
      </c>
      <c r="D20" s="13"/>
      <c r="E20" s="14" t="n">
        <f aca="false">$C$5-$C$11-$G$34</f>
        <v>233.5</v>
      </c>
      <c r="F20" s="15" t="n">
        <f aca="false">$F$48</f>
        <v>1</v>
      </c>
      <c r="G20" s="16" t="s">
        <v>56</v>
      </c>
    </row>
    <row r="21" customFormat="false" ht="43.5" hidden="false" customHeight="true" outlineLevel="0" collapsed="false">
      <c r="A21" s="11" t="n">
        <v>7</v>
      </c>
      <c r="B21" s="12" t="s">
        <v>57</v>
      </c>
      <c r="C21" s="13" t="s">
        <v>58</v>
      </c>
      <c r="D21" s="13"/>
      <c r="E21" s="14" t="n">
        <f aca="false">$E$20</f>
        <v>233.5</v>
      </c>
      <c r="F21" s="15" t="n">
        <f aca="false">$F$49</f>
        <v>1</v>
      </c>
      <c r="G21" s="16" t="s">
        <v>59</v>
      </c>
    </row>
    <row r="22" customFormat="false" ht="43.5" hidden="false" customHeight="true" outlineLevel="0" collapsed="false">
      <c r="A22" s="11" t="n">
        <v>8</v>
      </c>
      <c r="B22" s="12" t="s">
        <v>60</v>
      </c>
      <c r="C22" s="13" t="s">
        <v>48</v>
      </c>
      <c r="D22" s="13"/>
      <c r="E22" s="14" t="n">
        <f aca="false">$C$5-$C$11-IF($C$8="มีธรณี",$G$36,$H$36)</f>
        <v>231.2</v>
      </c>
      <c r="F22" s="15" t="n">
        <f aca="false">$C$12</f>
        <v>2</v>
      </c>
      <c r="G22" s="16" t="s">
        <v>61</v>
      </c>
    </row>
    <row r="23" customFormat="false" ht="43.5" hidden="false" customHeight="true" outlineLevel="0" collapsed="false">
      <c r="A23" s="11" t="n">
        <v>9</v>
      </c>
      <c r="B23" s="12" t="s">
        <v>62</v>
      </c>
      <c r="C23" s="13" t="s">
        <v>48</v>
      </c>
      <c r="D23" s="13"/>
      <c r="E23" s="14" t="n">
        <f aca="false">$C$4/$C$12+IF($C$7="แบ่ง 2",$G$37,$H$37)</f>
        <v>149.3</v>
      </c>
      <c r="F23" s="15" t="n">
        <f aca="false">$C$12</f>
        <v>2</v>
      </c>
      <c r="G23" s="16" t="s">
        <v>63</v>
      </c>
    </row>
    <row r="24" customFormat="false" ht="43.5" hidden="false" customHeight="true" outlineLevel="0" collapsed="false">
      <c r="A24" s="11" t="n">
        <v>10</v>
      </c>
      <c r="B24" s="12" t="s">
        <v>64</v>
      </c>
      <c r="C24" s="13" t="s">
        <v>48</v>
      </c>
      <c r="D24" s="13"/>
      <c r="E24" s="14" t="n">
        <f aca="false">$C$5-$C$11-IF($C$8="มีธรณี",$G$38,$H$38)</f>
        <v>227.2</v>
      </c>
      <c r="F24" s="15" t="n">
        <f aca="false">$C$12</f>
        <v>2</v>
      </c>
      <c r="G24" s="16" t="s">
        <v>61</v>
      </c>
    </row>
    <row r="25" customFormat="false" ht="43.5" hidden="false" customHeight="true" outlineLevel="0" collapsed="false">
      <c r="A25" s="11" t="n">
        <v>11</v>
      </c>
      <c r="B25" s="12" t="s">
        <v>65</v>
      </c>
      <c r="C25" s="13" t="s">
        <v>48</v>
      </c>
      <c r="D25" s="13"/>
      <c r="E25" s="14" t="n">
        <f aca="false">$C$4/$C$12-IF($C$7="แบ่ง 2",$G$39,$H$39)</f>
        <v>138.6</v>
      </c>
      <c r="F25" s="15" t="n">
        <f aca="false">$C$12</f>
        <v>2</v>
      </c>
      <c r="G25" s="16" t="s">
        <v>66</v>
      </c>
    </row>
    <row r="27" customFormat="false" ht="15" hidden="false" customHeight="true" outlineLevel="0" collapsed="false">
      <c r="B27" s="17" t="s">
        <v>67</v>
      </c>
      <c r="C27" s="17"/>
      <c r="D27" s="17"/>
      <c r="E27" s="17"/>
      <c r="F27" s="17"/>
      <c r="G27" s="17"/>
      <c r="H27" s="17"/>
      <c r="I27" s="17"/>
      <c r="J27" s="17"/>
    </row>
    <row r="28" customFormat="false" ht="28.35" hidden="false" customHeight="false" outlineLevel="0" collapsed="false">
      <c r="B28" s="10" t="s">
        <v>38</v>
      </c>
      <c r="C28" s="10" t="s">
        <v>68</v>
      </c>
      <c r="D28" s="10" t="s">
        <v>69</v>
      </c>
      <c r="E28" s="10" t="s">
        <v>70</v>
      </c>
      <c r="F28" s="10" t="s">
        <v>71</v>
      </c>
      <c r="G28" s="10" t="s">
        <v>72</v>
      </c>
      <c r="H28" s="10" t="s">
        <v>73</v>
      </c>
      <c r="I28" s="10" t="s">
        <v>74</v>
      </c>
      <c r="J28" s="10" t="s">
        <v>75</v>
      </c>
    </row>
    <row r="29" customFormat="false" ht="24" hidden="false" customHeight="true" outlineLevel="0" collapsed="false">
      <c r="B29" s="18" t="s">
        <v>44</v>
      </c>
      <c r="C29" s="19" t="s">
        <v>76</v>
      </c>
      <c r="D29" s="20" t="n">
        <f aca="false">$C$4</f>
        <v>300</v>
      </c>
      <c r="E29" s="21"/>
      <c r="F29" s="22"/>
      <c r="G29" s="21"/>
      <c r="H29" s="21"/>
      <c r="I29" s="8" t="n">
        <f aca="false">$E$15</f>
        <v>300</v>
      </c>
      <c r="J29" s="19" t="s">
        <v>77</v>
      </c>
    </row>
    <row r="30" customFormat="false" ht="24" hidden="false" customHeight="true" outlineLevel="0" collapsed="false">
      <c r="B30" s="18" t="s">
        <v>47</v>
      </c>
      <c r="C30" s="19" t="s">
        <v>76</v>
      </c>
      <c r="D30" s="20" t="n">
        <f aca="false">$C$4</f>
        <v>300</v>
      </c>
      <c r="E30" s="21"/>
      <c r="F30" s="22"/>
      <c r="G30" s="23" t="n">
        <v>3.3</v>
      </c>
      <c r="H30" s="23" t="n">
        <v>2.5</v>
      </c>
      <c r="I30" s="8" t="n">
        <f aca="false">$E$16</f>
        <v>294.2</v>
      </c>
      <c r="J30" s="19" t="s">
        <v>78</v>
      </c>
    </row>
    <row r="31" customFormat="false" ht="24" hidden="false" customHeight="true" outlineLevel="0" collapsed="false">
      <c r="B31" s="18" t="s">
        <v>50</v>
      </c>
      <c r="C31" s="19" t="s">
        <v>76</v>
      </c>
      <c r="D31" s="20" t="n">
        <f aca="false">$C$4</f>
        <v>300</v>
      </c>
      <c r="E31" s="21"/>
      <c r="F31" s="22"/>
      <c r="G31" s="23" t="n">
        <v>4.5</v>
      </c>
      <c r="H31" s="23" t="n">
        <v>2.5</v>
      </c>
      <c r="I31" s="8" t="n">
        <f aca="false">$E$17</f>
        <v>293</v>
      </c>
      <c r="J31" s="19" t="s">
        <v>78</v>
      </c>
    </row>
    <row r="32" customFormat="false" ht="24" hidden="false" customHeight="true" outlineLevel="0" collapsed="false">
      <c r="B32" s="18" t="s">
        <v>52</v>
      </c>
      <c r="C32" s="19" t="s">
        <v>79</v>
      </c>
      <c r="D32" s="20" t="n">
        <f aca="false">$C$5</f>
        <v>240</v>
      </c>
      <c r="E32" s="20" t="n">
        <f aca="false">$C$11</f>
        <v>2.5</v>
      </c>
      <c r="F32" s="22"/>
      <c r="G32" s="21"/>
      <c r="H32" s="21"/>
      <c r="I32" s="8" t="n">
        <f aca="false">$E$18</f>
        <v>237.5</v>
      </c>
      <c r="J32" s="19" t="s">
        <v>80</v>
      </c>
    </row>
    <row r="33" customFormat="false" ht="24" hidden="false" customHeight="true" outlineLevel="0" collapsed="false">
      <c r="B33" s="18" t="s">
        <v>54</v>
      </c>
      <c r="C33" s="19" t="s">
        <v>79</v>
      </c>
      <c r="D33" s="20" t="n">
        <f aca="false">$C$5</f>
        <v>240</v>
      </c>
      <c r="E33" s="20" t="n">
        <f aca="false">$C$11</f>
        <v>2.5</v>
      </c>
      <c r="F33" s="22"/>
      <c r="G33" s="21"/>
      <c r="H33" s="21"/>
      <c r="I33" s="8" t="n">
        <f aca="false">$E$19</f>
        <v>237.5</v>
      </c>
      <c r="J33" s="19" t="s">
        <v>80</v>
      </c>
    </row>
    <row r="34" customFormat="false" ht="24" hidden="false" customHeight="true" outlineLevel="0" collapsed="false">
      <c r="B34" s="18" t="s">
        <v>55</v>
      </c>
      <c r="C34" s="19" t="s">
        <v>79</v>
      </c>
      <c r="D34" s="20" t="n">
        <f aca="false">$C$5</f>
        <v>240</v>
      </c>
      <c r="E34" s="20" t="n">
        <f aca="false">$C$11</f>
        <v>2.5</v>
      </c>
      <c r="F34" s="22"/>
      <c r="G34" s="23" t="n">
        <v>4</v>
      </c>
      <c r="H34" s="21"/>
      <c r="I34" s="8" t="n">
        <f aca="false">$E$20</f>
        <v>233.5</v>
      </c>
      <c r="J34" s="19" t="s">
        <v>81</v>
      </c>
    </row>
    <row r="35" customFormat="false" ht="24" hidden="false" customHeight="true" outlineLevel="0" collapsed="false">
      <c r="B35" s="18" t="s">
        <v>82</v>
      </c>
      <c r="C35" s="19" t="s">
        <v>59</v>
      </c>
      <c r="D35" s="20" t="n">
        <f aca="false">$E$20</f>
        <v>233.5</v>
      </c>
      <c r="E35" s="21"/>
      <c r="F35" s="22"/>
      <c r="G35" s="21"/>
      <c r="H35" s="21"/>
      <c r="I35" s="8" t="n">
        <f aca="false">$E$21</f>
        <v>233.5</v>
      </c>
      <c r="J35" s="19" t="s">
        <v>83</v>
      </c>
    </row>
    <row r="36" customFormat="false" ht="24" hidden="false" customHeight="true" outlineLevel="0" collapsed="false">
      <c r="B36" s="18" t="s">
        <v>84</v>
      </c>
      <c r="C36" s="19" t="s">
        <v>79</v>
      </c>
      <c r="D36" s="20" t="n">
        <f aca="false">$C$5</f>
        <v>240</v>
      </c>
      <c r="E36" s="20" t="n">
        <f aca="false">$C$11</f>
        <v>2.5</v>
      </c>
      <c r="F36" s="22"/>
      <c r="G36" s="23" t="n">
        <v>6.3</v>
      </c>
      <c r="H36" s="23" t="n">
        <v>3</v>
      </c>
      <c r="I36" s="8" t="n">
        <f aca="false">$E$22</f>
        <v>231.2</v>
      </c>
      <c r="J36" s="19" t="s">
        <v>85</v>
      </c>
    </row>
    <row r="37" customFormat="false" ht="24" hidden="false" customHeight="true" outlineLevel="0" collapsed="false">
      <c r="B37" s="18" t="s">
        <v>86</v>
      </c>
      <c r="C37" s="19" t="s">
        <v>76</v>
      </c>
      <c r="D37" s="20" t="n">
        <f aca="false">$C$4</f>
        <v>300</v>
      </c>
      <c r="E37" s="21"/>
      <c r="F37" s="24" t="n">
        <f aca="false">$C$12</f>
        <v>2</v>
      </c>
      <c r="G37" s="23" t="n">
        <v>-0.7</v>
      </c>
      <c r="H37" s="23" t="n">
        <v>0.5</v>
      </c>
      <c r="I37" s="8" t="n">
        <f aca="false">$E$23</f>
        <v>149.3</v>
      </c>
      <c r="J37" s="19" t="s">
        <v>87</v>
      </c>
    </row>
    <row r="38" customFormat="false" ht="24" hidden="false" customHeight="true" outlineLevel="0" collapsed="false">
      <c r="B38" s="18" t="s">
        <v>88</v>
      </c>
      <c r="C38" s="19" t="s">
        <v>79</v>
      </c>
      <c r="D38" s="20" t="n">
        <f aca="false">$C$5</f>
        <v>240</v>
      </c>
      <c r="E38" s="20" t="n">
        <f aca="false">$C$11</f>
        <v>2.5</v>
      </c>
      <c r="F38" s="22"/>
      <c r="G38" s="23" t="n">
        <v>10.3</v>
      </c>
      <c r="H38" s="23" t="n">
        <v>5.8</v>
      </c>
      <c r="I38" s="8" t="n">
        <f aca="false">$E$24</f>
        <v>227.2</v>
      </c>
      <c r="J38" s="19" t="s">
        <v>85</v>
      </c>
    </row>
    <row r="39" customFormat="false" ht="24" hidden="false" customHeight="true" outlineLevel="0" collapsed="false">
      <c r="B39" s="18" t="s">
        <v>89</v>
      </c>
      <c r="C39" s="19" t="s">
        <v>76</v>
      </c>
      <c r="D39" s="20" t="n">
        <f aca="false">$C$4</f>
        <v>300</v>
      </c>
      <c r="E39" s="21"/>
      <c r="F39" s="24" t="n">
        <f aca="false">$C$12</f>
        <v>2</v>
      </c>
      <c r="G39" s="23" t="n">
        <v>11.4</v>
      </c>
      <c r="H39" s="23" t="n">
        <v>10</v>
      </c>
      <c r="I39" s="8" t="n">
        <f aca="false">$E$25</f>
        <v>138.6</v>
      </c>
      <c r="J39" s="19" t="s">
        <v>90</v>
      </c>
    </row>
    <row r="41" customFormat="false" ht="15" hidden="false" customHeight="true" outlineLevel="0" collapsed="false">
      <c r="B41" s="25" t="s">
        <v>91</v>
      </c>
      <c r="C41" s="25"/>
      <c r="D41" s="25"/>
      <c r="E41" s="25"/>
      <c r="F41" s="25"/>
      <c r="G41" s="25"/>
      <c r="H41" s="25"/>
      <c r="I41" s="25"/>
      <c r="J41" s="25"/>
    </row>
    <row r="43" customFormat="false" ht="18.75" hidden="false" customHeight="true" outlineLevel="0" collapsed="false">
      <c r="B43" s="12" t="s">
        <v>92</v>
      </c>
      <c r="C43" s="12"/>
      <c r="D43" s="12"/>
      <c r="E43" s="12"/>
      <c r="F43" s="6" t="n">
        <v>1</v>
      </c>
      <c r="G43" s="6"/>
      <c r="H43" s="6"/>
      <c r="I43" s="6"/>
      <c r="J43" s="6"/>
    </row>
    <row r="44" customFormat="false" ht="18.75" hidden="false" customHeight="true" outlineLevel="0" collapsed="false">
      <c r="B44" s="12" t="s">
        <v>93</v>
      </c>
      <c r="C44" s="12"/>
      <c r="D44" s="12"/>
      <c r="E44" s="12"/>
      <c r="F44" s="6" t="n">
        <v>1</v>
      </c>
      <c r="G44" s="6"/>
      <c r="H44" s="6"/>
      <c r="I44" s="6"/>
      <c r="J44" s="6"/>
    </row>
    <row r="45" customFormat="false" ht="18.75" hidden="false" customHeight="true" outlineLevel="0" collapsed="false">
      <c r="B45" s="12" t="s">
        <v>94</v>
      </c>
      <c r="C45" s="12"/>
      <c r="D45" s="12"/>
      <c r="E45" s="12"/>
      <c r="F45" s="6" t="n">
        <v>1</v>
      </c>
      <c r="G45" s="6"/>
      <c r="H45" s="6"/>
      <c r="I45" s="6"/>
      <c r="J45" s="6"/>
    </row>
    <row r="46" customFormat="false" ht="18.75" hidden="false" customHeight="true" outlineLevel="0" collapsed="false">
      <c r="B46" s="12" t="s">
        <v>95</v>
      </c>
      <c r="C46" s="12"/>
      <c r="D46" s="12"/>
      <c r="E46" s="12"/>
      <c r="F46" s="6" t="n">
        <v>1</v>
      </c>
      <c r="G46" s="6"/>
      <c r="H46" s="6"/>
      <c r="I46" s="6"/>
      <c r="J46" s="6"/>
    </row>
    <row r="47" customFormat="false" ht="18.75" hidden="false" customHeight="true" outlineLevel="0" collapsed="false">
      <c r="B47" s="12" t="s">
        <v>96</v>
      </c>
      <c r="C47" s="12"/>
      <c r="D47" s="12"/>
      <c r="E47" s="12"/>
      <c r="F47" s="6" t="n">
        <v>1</v>
      </c>
      <c r="G47" s="6"/>
      <c r="H47" s="6"/>
      <c r="I47" s="6"/>
      <c r="J47" s="6"/>
    </row>
    <row r="48" customFormat="false" ht="18.75" hidden="false" customHeight="true" outlineLevel="0" collapsed="false">
      <c r="B48" s="12" t="s">
        <v>97</v>
      </c>
      <c r="C48" s="12"/>
      <c r="D48" s="12"/>
      <c r="E48" s="12"/>
      <c r="F48" s="6" t="n">
        <v>1</v>
      </c>
      <c r="G48" s="6"/>
      <c r="H48" s="6"/>
      <c r="I48" s="6"/>
      <c r="J48" s="6"/>
    </row>
    <row r="49" customFormat="false" ht="18.75" hidden="false" customHeight="true" outlineLevel="0" collapsed="false">
      <c r="B49" s="12" t="s">
        <v>98</v>
      </c>
      <c r="C49" s="12"/>
      <c r="D49" s="12"/>
      <c r="E49" s="12"/>
      <c r="F49" s="6" t="n">
        <v>1</v>
      </c>
      <c r="G49" s="6"/>
      <c r="H49" s="6"/>
      <c r="I49" s="6"/>
      <c r="J49" s="6"/>
    </row>
    <row r="51" customFormat="false" ht="15" hidden="false" customHeight="true" outlineLevel="0" collapsed="false">
      <c r="B51" s="25" t="s">
        <v>99</v>
      </c>
      <c r="C51" s="25"/>
    </row>
    <row r="52" customFormat="false" ht="15" hidden="false" customHeight="false" outlineLevel="0" collapsed="false">
      <c r="B52" s="10" t="s">
        <v>44</v>
      </c>
      <c r="C52" s="10" t="s">
        <v>100</v>
      </c>
    </row>
    <row r="53" customFormat="false" ht="15" hidden="false" customHeight="false" outlineLevel="0" collapsed="false">
      <c r="B53" s="11" t="s">
        <v>15</v>
      </c>
      <c r="C53" s="23" t="n">
        <v>2.5</v>
      </c>
    </row>
    <row r="54" customFormat="false" ht="15" hidden="false" customHeight="false" outlineLevel="0" collapsed="false">
      <c r="B54" s="11" t="s">
        <v>101</v>
      </c>
      <c r="C54" s="23" t="n">
        <v>5</v>
      </c>
    </row>
    <row r="56" customFormat="false" ht="15" hidden="false" customHeight="false" outlineLevel="0" collapsed="false">
      <c r="A56" s="26"/>
      <c r="B56" s="27" t="s">
        <v>102</v>
      </c>
      <c r="C56" s="27"/>
      <c r="D56" s="27"/>
      <c r="E56" s="27"/>
      <c r="F56" s="27"/>
      <c r="G56" s="27"/>
    </row>
    <row r="57" customFormat="false" ht="15" hidden="false" customHeight="false" outlineLevel="0" collapsed="false">
      <c r="A57" s="28"/>
      <c r="B57" s="29" t="s">
        <v>103</v>
      </c>
      <c r="C57" s="30" t="s">
        <v>104</v>
      </c>
      <c r="F57" s="31"/>
    </row>
    <row r="58" customFormat="false" ht="15" hidden="false" customHeight="false" outlineLevel="0" collapsed="false">
      <c r="A58" s="28"/>
      <c r="B58" s="29" t="s">
        <v>105</v>
      </c>
      <c r="C58" s="30" t="s">
        <v>106</v>
      </c>
      <c r="F58" s="31"/>
    </row>
    <row r="59" customFormat="false" ht="15" hidden="false" customHeight="false" outlineLevel="0" collapsed="false">
      <c r="A59" s="28"/>
      <c r="B59" s="29" t="s">
        <v>107</v>
      </c>
      <c r="C59" s="30" t="s">
        <v>108</v>
      </c>
      <c r="F59" s="31"/>
    </row>
    <row r="60" customFormat="false" ht="15" hidden="false" customHeight="false" outlineLevel="0" collapsed="false">
      <c r="A60" s="28"/>
      <c r="B60" s="29" t="s">
        <v>109</v>
      </c>
      <c r="C60" s="30" t="s">
        <v>110</v>
      </c>
      <c r="F60" s="32"/>
    </row>
    <row r="61" customFormat="false" ht="15" hidden="false" customHeight="false" outlineLevel="0" collapsed="false">
      <c r="A61" s="28"/>
      <c r="B61" s="29" t="s">
        <v>111</v>
      </c>
      <c r="C61" s="30" t="s">
        <v>112</v>
      </c>
      <c r="F61" s="31"/>
    </row>
    <row r="62" customFormat="false" ht="15" hidden="false" customHeight="false" outlineLevel="0" collapsed="false">
      <c r="A62" s="28"/>
      <c r="B62" s="29" t="s">
        <v>113</v>
      </c>
      <c r="C62" s="30" t="s">
        <v>114</v>
      </c>
      <c r="F62" s="31"/>
    </row>
    <row r="63" customFormat="false" ht="15" hidden="false" customHeight="false" outlineLevel="0" collapsed="false">
      <c r="A63" s="28"/>
      <c r="B63" s="29" t="s">
        <v>115</v>
      </c>
      <c r="C63" s="30" t="s">
        <v>116</v>
      </c>
      <c r="F63" s="31"/>
    </row>
    <row r="64" customFormat="false" ht="15" hidden="false" customHeight="false" outlineLevel="0" collapsed="false">
      <c r="B64" s="33" t="s">
        <v>117</v>
      </c>
      <c r="C64" s="30" t="s">
        <v>114</v>
      </c>
    </row>
    <row r="66" customFormat="false" ht="15" hidden="false" customHeight="false" outlineLevel="0" collapsed="false">
      <c r="B66" s="34" t="s">
        <v>118</v>
      </c>
      <c r="C66" s="34"/>
      <c r="D66" s="34"/>
      <c r="E66" s="34"/>
      <c r="F66" s="34"/>
      <c r="G66" s="34"/>
    </row>
    <row r="67" customFormat="false" ht="15" hidden="false" customHeight="false" outlineLevel="0" collapsed="false">
      <c r="A67" s="34" t="s">
        <v>37</v>
      </c>
      <c r="B67" s="34" t="s">
        <v>119</v>
      </c>
      <c r="C67" s="34" t="s">
        <v>120</v>
      </c>
      <c r="D67" s="34" t="s">
        <v>42</v>
      </c>
      <c r="E67" s="34" t="s">
        <v>121</v>
      </c>
      <c r="F67" s="34" t="s">
        <v>43</v>
      </c>
    </row>
    <row r="68" customFormat="false" ht="15" hidden="false" customHeight="false" outlineLevel="0" collapsed="false">
      <c r="A68" s="35"/>
      <c r="B68" s="36" t="s">
        <v>122</v>
      </c>
      <c r="C68" s="35"/>
      <c r="D68" s="35"/>
      <c r="E68" s="35"/>
      <c r="F68" s="35"/>
    </row>
    <row r="69" customFormat="false" ht="15" hidden="false" customHeight="false" outlineLevel="0" collapsed="false">
      <c r="A69" s="33" t="n">
        <v>1</v>
      </c>
      <c r="B69" s="33" t="s">
        <v>123</v>
      </c>
      <c r="C69" s="30" t="s">
        <v>124</v>
      </c>
      <c r="D69" s="37" t="n">
        <f aca="false">($C$12/2)</f>
        <v>1</v>
      </c>
      <c r="E69" s="33" t="s">
        <v>125</v>
      </c>
      <c r="F69" s="33" t="s">
        <v>126</v>
      </c>
    </row>
    <row r="70" customFormat="false" ht="15" hidden="false" customHeight="false" outlineLevel="0" collapsed="false">
      <c r="A70" s="33" t="n">
        <v>2</v>
      </c>
      <c r="B70" s="33" t="s">
        <v>127</v>
      </c>
      <c r="C70" s="30" t="str">
        <f aca="false">VLOOKUP($C$58&amp;"กุญแจ"&amp;$C$59,$BA$1:$BB$12,2,0)</f>
        <v>JR00368</v>
      </c>
      <c r="D70" s="37" t="n">
        <f aca="false">$BC$7</f>
        <v>1</v>
      </c>
      <c r="E70" s="33" t="s">
        <v>128</v>
      </c>
      <c r="F70" s="33"/>
    </row>
    <row r="71" customFormat="false" ht="15" hidden="false" customHeight="false" outlineLevel="0" collapsed="false">
      <c r="A71" s="33" t="n">
        <v>3</v>
      </c>
      <c r="B71" s="33" t="s">
        <v>129</v>
      </c>
      <c r="C71" s="30" t="str">
        <f aca="false">VLOOKUP($C$58&amp;"ล็อค"&amp;$C$59,$BA$1:$BB$12,2,0)</f>
        <v>JR00369</v>
      </c>
      <c r="D71" s="37" t="n">
        <f aca="false">$BC$6</f>
        <v>2</v>
      </c>
      <c r="E71" s="33" t="s">
        <v>128</v>
      </c>
      <c r="F71" s="33"/>
    </row>
    <row r="72" customFormat="false" ht="15" hidden="false" customHeight="false" outlineLevel="0" collapsed="false">
      <c r="A72" s="33" t="n">
        <v>4</v>
      </c>
      <c r="B72" s="33" t="s">
        <v>130</v>
      </c>
      <c r="C72" s="30" t="str">
        <f aca="false">VLOOKUP($C$58&amp;"ดัมมี่"&amp;$C$59,$BA$1:$BB$12,2,0)</f>
        <v>JR00370</v>
      </c>
      <c r="D72" s="37" t="n">
        <f aca="false">$BC$9</f>
        <v>1</v>
      </c>
      <c r="E72" s="33" t="s">
        <v>128</v>
      </c>
      <c r="F72" s="33"/>
    </row>
    <row r="73" customFormat="false" ht="15" hidden="false" customHeight="false" outlineLevel="0" collapsed="false">
      <c r="A73" s="33" t="n">
        <v>5</v>
      </c>
      <c r="B73" s="33" t="s">
        <v>131</v>
      </c>
      <c r="C73" s="30" t="s">
        <v>132</v>
      </c>
      <c r="D73" s="37" t="n">
        <f aca="false">$BC$10</f>
        <v>0</v>
      </c>
      <c r="E73" s="33" t="s">
        <v>128</v>
      </c>
      <c r="F73" s="33" t="s">
        <v>133</v>
      </c>
    </row>
    <row r="74" customFormat="false" ht="15" hidden="false" customHeight="false" outlineLevel="0" collapsed="false">
      <c r="A74" s="33" t="n">
        <v>6</v>
      </c>
      <c r="B74" s="33" t="s">
        <v>134</v>
      </c>
      <c r="C74" s="30" t="s">
        <v>135</v>
      </c>
      <c r="D74" s="37" t="n">
        <f aca="false">2*$BC$6</f>
        <v>4</v>
      </c>
      <c r="E74" s="33" t="s">
        <v>136</v>
      </c>
      <c r="F74" s="33"/>
    </row>
    <row r="75" customFormat="false" ht="15" hidden="false" customHeight="false" outlineLevel="0" collapsed="false">
      <c r="A75" s="33" t="n">
        <v>7</v>
      </c>
      <c r="B75" s="33" t="s">
        <v>137</v>
      </c>
      <c r="C75" s="30" t="s">
        <v>138</v>
      </c>
      <c r="D75" s="37" t="n">
        <f aca="false">IF($C$5&gt;280,2,IF($C$5&gt;140,1,0))*$BC$6</f>
        <v>2</v>
      </c>
      <c r="E75" s="33" t="s">
        <v>136</v>
      </c>
      <c r="F75" s="33"/>
    </row>
    <row r="76" customFormat="false" ht="15" hidden="false" customHeight="false" outlineLevel="0" collapsed="false">
      <c r="A76" s="33" t="n">
        <v>8</v>
      </c>
      <c r="B76" s="33" t="s">
        <v>139</v>
      </c>
      <c r="C76" s="30" t="s">
        <v>140</v>
      </c>
      <c r="D76" s="37" t="n">
        <f aca="false">2*$BC$6</f>
        <v>4</v>
      </c>
      <c r="E76" s="33" t="s">
        <v>141</v>
      </c>
      <c r="F76" s="33"/>
    </row>
    <row r="77" customFormat="false" ht="15" hidden="false" customHeight="false" outlineLevel="0" collapsed="false">
      <c r="A77" s="33" t="n">
        <v>9</v>
      </c>
      <c r="B77" s="33" t="s">
        <v>142</v>
      </c>
      <c r="C77" s="30" t="s">
        <v>143</v>
      </c>
      <c r="D77" s="37" t="n">
        <f aca="false">$BC$6</f>
        <v>2</v>
      </c>
      <c r="E77" s="33" t="s">
        <v>141</v>
      </c>
      <c r="F77" s="33"/>
    </row>
    <row r="78" customFormat="false" ht="15" hidden="false" customHeight="false" outlineLevel="0" collapsed="false">
      <c r="A78" s="33" t="n">
        <v>10</v>
      </c>
      <c r="B78" s="33" t="s">
        <v>144</v>
      </c>
      <c r="C78" s="30" t="s">
        <v>145</v>
      </c>
      <c r="D78" s="37" t="n">
        <f aca="false">2*$BC$6</f>
        <v>4</v>
      </c>
      <c r="E78" s="33" t="s">
        <v>141</v>
      </c>
      <c r="F78" s="33"/>
    </row>
    <row r="79" customFormat="false" ht="15" hidden="false" customHeight="false" outlineLevel="0" collapsed="false">
      <c r="A79" s="33" t="n">
        <v>11</v>
      </c>
      <c r="B79" s="33" t="s">
        <v>146</v>
      </c>
      <c r="C79" s="30" t="s">
        <v>147</v>
      </c>
      <c r="D79" s="37" t="n">
        <f aca="false">4*($C$12/2)</f>
        <v>4</v>
      </c>
      <c r="E79" s="33" t="s">
        <v>141</v>
      </c>
      <c r="F79" s="33"/>
    </row>
    <row r="80" customFormat="false" ht="15" hidden="false" customHeight="false" outlineLevel="0" collapsed="false">
      <c r="A80" s="33" t="n">
        <v>12</v>
      </c>
      <c r="B80" s="33" t="s">
        <v>148</v>
      </c>
      <c r="C80" s="30" t="s">
        <v>149</v>
      </c>
      <c r="D80" s="37" t="n">
        <f aca="false">ROUND((4*($E$25+$E$24)*($C$12/2) + 2*$C$5)/100,1)</f>
        <v>19.4</v>
      </c>
      <c r="E80" s="33" t="s">
        <v>150</v>
      </c>
      <c r="F80" s="33" t="s">
        <v>151</v>
      </c>
    </row>
    <row r="81" customFormat="false" ht="15" hidden="false" customHeight="false" outlineLevel="0" collapsed="false">
      <c r="A81" s="33" t="n">
        <v>13</v>
      </c>
      <c r="B81" s="33" t="s">
        <v>152</v>
      </c>
      <c r="C81" s="30"/>
      <c r="D81" s="37" t="n">
        <f aca="false">($C$12/2)</f>
        <v>1</v>
      </c>
      <c r="E81" s="33" t="s">
        <v>153</v>
      </c>
      <c r="F81" s="33" t="s">
        <v>154</v>
      </c>
    </row>
    <row r="82" customFormat="false" ht="15" hidden="false" customHeight="false" outlineLevel="0" collapsed="false">
      <c r="A82" s="33" t="n">
        <v>14</v>
      </c>
      <c r="B82" s="33" t="s">
        <v>155</v>
      </c>
      <c r="C82" s="30"/>
      <c r="D82" s="37" t="n">
        <f aca="false">$C$12</f>
        <v>2</v>
      </c>
      <c r="E82" s="33" t="s">
        <v>136</v>
      </c>
      <c r="F82" s="33" t="s">
        <v>156</v>
      </c>
    </row>
    <row r="83" customFormat="false" ht="15" hidden="false" customHeight="false" outlineLevel="0" collapsed="false">
      <c r="A83" s="35"/>
      <c r="B83" s="36" t="s">
        <v>157</v>
      </c>
      <c r="C83" s="35"/>
      <c r="D83" s="35"/>
      <c r="E83" s="35"/>
      <c r="F83" s="35"/>
    </row>
    <row r="84" customFormat="false" ht="15" hidden="false" customHeight="false" outlineLevel="0" collapsed="false">
      <c r="A84" s="33" t="n">
        <v>15</v>
      </c>
      <c r="B84" s="33" t="s">
        <v>158</v>
      </c>
      <c r="C84" s="30" t="str">
        <f aca="false">IF($C$62="ดำ","JR00474","JR00473")</f>
        <v>JR00473</v>
      </c>
      <c r="D84" s="37" t="n">
        <f aca="false">4*($C$12/2)</f>
        <v>4</v>
      </c>
      <c r="E84" s="33" t="s">
        <v>141</v>
      </c>
      <c r="F84" s="33" t="s">
        <v>159</v>
      </c>
    </row>
    <row r="85" customFormat="false" ht="15" hidden="false" customHeight="false" outlineLevel="0" collapsed="false">
      <c r="A85" s="33" t="n">
        <v>16</v>
      </c>
      <c r="B85" s="33" t="s">
        <v>160</v>
      </c>
      <c r="C85" s="30" t="str">
        <f aca="false">IF($C$62="ดำ","JR00627","JR00630")</f>
        <v>JR00630</v>
      </c>
      <c r="D85" s="37" t="n">
        <f aca="false">($C$12/2)</f>
        <v>1</v>
      </c>
      <c r="E85" s="33" t="s">
        <v>153</v>
      </c>
      <c r="F85" s="33" t="s">
        <v>161</v>
      </c>
    </row>
    <row r="86" customFormat="false" ht="15" hidden="false" customHeight="false" outlineLevel="0" collapsed="false">
      <c r="A86" s="33" t="n">
        <v>17</v>
      </c>
      <c r="B86" s="33" t="s">
        <v>162</v>
      </c>
      <c r="C86" s="30" t="s">
        <v>163</v>
      </c>
      <c r="D86" s="37" t="n">
        <f aca="false">($C$12/2)</f>
        <v>1</v>
      </c>
      <c r="E86" s="33" t="s">
        <v>153</v>
      </c>
      <c r="F86" s="33" t="s">
        <v>164</v>
      </c>
    </row>
  </sheetData>
  <mergeCells count="22">
    <mergeCell ref="A1:J2"/>
    <mergeCell ref="B3:C3"/>
    <mergeCell ref="B10:C10"/>
    <mergeCell ref="B27:J27"/>
    <mergeCell ref="B41:J41"/>
    <mergeCell ref="B43:E43"/>
    <mergeCell ref="F43:J43"/>
    <mergeCell ref="B44:E44"/>
    <mergeCell ref="F44:J44"/>
    <mergeCell ref="B45:E45"/>
    <mergeCell ref="F45:J45"/>
    <mergeCell ref="B46:E46"/>
    <mergeCell ref="F46:J46"/>
    <mergeCell ref="B47:E47"/>
    <mergeCell ref="F47:J47"/>
    <mergeCell ref="B48:E48"/>
    <mergeCell ref="F48:J48"/>
    <mergeCell ref="B49:E49"/>
    <mergeCell ref="F49:J49"/>
    <mergeCell ref="B51:C51"/>
    <mergeCell ref="B56:G56"/>
    <mergeCell ref="B66:G66"/>
  </mergeCells>
  <dataValidations count="11">
    <dataValidation allowBlank="false" errorStyle="stop" operator="between" showDropDown="false" showErrorMessage="false" showInputMessage="false" sqref="C6" type="list">
      <formula1>$B$53:$B$54</formula1>
      <formula2>0</formula2>
    </dataValidation>
    <dataValidation allowBlank="false" errorStyle="stop" operator="between" showDropDown="false" showErrorMessage="false" showInputMessage="false" sqref="C7" type="list">
      <formula1>"แบ่ง 2,แบ่ง 4"</formula1>
      <formula2>0</formula2>
    </dataValidation>
    <dataValidation allowBlank="false" errorStyle="stop" operator="between" showDropDown="false" showErrorMessage="false" showInputMessage="false" sqref="C8" type="list">
      <formula1>"มีธรณี,ไม่มีธรณี"</formula1>
      <formula2>0</formula2>
    </dataValidation>
    <dataValidation allowBlank="true" errorStyle="stop" operator="between" showDropDown="false" showErrorMessage="false" showInputMessage="false" sqref="C57" type="list">
      <formula1>"ประตู,หน้าต่าง"</formula1>
      <formula2>0</formula2>
    </dataValidation>
    <dataValidation allowBlank="true" errorStyle="stop" operator="between" showDropDown="false" showErrorMessage="false" showInputMessage="false" sqref="C58" type="list">
      <formula1>"เมโทร,Align"</formula1>
      <formula2>0</formula2>
    </dataValidation>
    <dataValidation allowBlank="true" errorStyle="stop" operator="between" showDropDown="false" showErrorMessage="false" showInputMessage="false" sqref="C59" type="list">
      <formula1>"อบขาว,ดำ"</formula1>
      <formula2>0</formula2>
    </dataValidation>
    <dataValidation allowBlank="true" errorStyle="stop" operator="between" showDropDown="false" showErrorMessage="false" showInputMessage="false" sqref="C62" type="list">
      <formula1>"ขาว,ดำ"</formula1>
      <formula2>0</formula2>
    </dataValidation>
    <dataValidation allowBlank="true" errorStyle="stop" operator="between" showDropDown="false" showErrorMessage="false" showInputMessage="false" sqref="C63" type="list">
      <formula1>"ซ้าย,ขวา"</formula1>
      <formula2>0</formula2>
    </dataValidation>
    <dataValidation allowBlank="true" errorStyle="stop" operator="between" showDropDown="false" showErrorMessage="false" showInputMessage="false" sqref="C64" type="list">
      <formula1>"ขาว,ดำ"</formula1>
      <formula2>0</formula2>
    </dataValidation>
    <dataValidation allowBlank="true" errorStyle="stop" operator="between" showDropDown="false" showErrorMessage="false" showInputMessage="false" sqref="C60" type="list">
      <formula1>$BD$1:$BD$4</formula1>
      <formula2>0</formula2>
    </dataValidation>
    <dataValidation allowBlank="true" errorStyle="stop" operator="between" showDropDown="false" showErrorMessage="false" showInputMessage="false" sqref="C61" type="list">
      <formula1>$BD$1:$BD$4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2026-07-01T08:34:16Z</dcterms:created>
  <dc:creator>openpyxl</dc:creator>
  <dc:description/>
  <dc:language>en-US</dc:language>
  <cp:lastModifiedBy/>
  <dcterms:modified xsi:type="dcterms:W3CDTF">2026-07-22T06:43:30Z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