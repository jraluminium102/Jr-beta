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กลาสเฮ้าส์หลายด้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2"/>
    </font>
    <font>
      <name val="Tahoma"/>
      <b val="1"/>
      <sz val="11"/>
    </font>
    <font>
      <name val="Tahoma"/>
      <sz val="10"/>
    </font>
    <font>
      <name val="Tahoma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8" customWidth="1" min="5" max="5"/>
    <col width="11" customWidth="1" min="6" max="6"/>
    <col width="11" customWidth="1" min="7" max="7"/>
    <col width="8" customWidth="1" min="8" max="8"/>
    <col width="9" customWidth="1" min="9" max="9"/>
    <col width="7" customWidth="1" min="10" max="10"/>
    <col width="10" customWidth="1" min="11" max="11"/>
  </cols>
  <sheetData>
    <row r="1">
      <c r="A1" s="1" t="inlineStr">
        <is>
          <t>JR — กลาสเฮ้าส์หลายด้าน (เต็ม) · สูงเท่ากัน · ยื่น/กว้างต่อด้าน · ซม.</t>
        </is>
      </c>
    </row>
    <row r="2">
      <c r="A2" s="2" t="inlineStr">
        <is>
          <t>① ค่ารวม (เหลือง)</t>
        </is>
      </c>
    </row>
    <row r="3">
      <c r="A3" s="3" t="inlineStr">
        <is>
          <t>ชนิดแผ่น</t>
        </is>
      </c>
      <c r="B3" s="4" t="inlineStr">
        <is>
          <t>ไวนิล</t>
        </is>
      </c>
      <c r="D3" s="5" t="inlineStr">
        <is>
          <t>ตก (สโลป)</t>
        </is>
      </c>
      <c r="E3" s="6">
        <f>B4-B5</f>
        <v/>
      </c>
    </row>
    <row r="4">
      <c r="A4" s="3" t="inlineStr">
        <is>
          <t>สูงฝั่งสูง</t>
        </is>
      </c>
      <c r="B4" s="4" t="n">
        <v>270</v>
      </c>
    </row>
    <row r="5">
      <c r="A5" s="3" t="inlineStr">
        <is>
          <t>สูงฝั่งต่ำ</t>
        </is>
      </c>
      <c r="B5" s="4" t="n">
        <v>240</v>
      </c>
    </row>
    <row r="6">
      <c r="A6" s="3" t="inlineStr">
        <is>
          <t>ปลายหลังคา</t>
        </is>
      </c>
      <c r="B6" s="4" t="inlineStr">
        <is>
          <t>รางน้ำ</t>
        </is>
      </c>
    </row>
    <row r="8">
      <c r="A8" s="2" t="inlineStr">
        <is>
          <t>② แต่ละด้าน — กรอก กว้าง+ยื่น · ที่เหลือคิดเอง (ต่อ 1 ด้าน)</t>
        </is>
      </c>
    </row>
    <row r="9">
      <c r="A9" s="7" t="inlineStr">
        <is>
          <t>ด้าน</t>
        </is>
      </c>
      <c r="B9" s="7" t="inlineStr">
        <is>
          <t>กว้าง</t>
        </is>
      </c>
      <c r="C9" s="7" t="inlineStr">
        <is>
          <t>ยื่น</t>
        </is>
      </c>
      <c r="D9" s="7" t="inlineStr">
        <is>
          <t>องศา</t>
        </is>
      </c>
      <c r="E9" s="7" t="inlineStr">
        <is>
          <t>จันทัน</t>
        </is>
      </c>
      <c r="F9" s="7" t="inlineStr">
        <is>
          <t>จำนวนจันทัน</t>
        </is>
      </c>
      <c r="G9" s="7" t="inlineStr">
        <is>
          <t>จันทันซอย(ใน)</t>
        </is>
      </c>
      <c r="H9" s="7" t="inlineStr">
        <is>
          <t>แป ยาว</t>
        </is>
      </c>
      <c r="I9" s="7" t="inlineStr">
        <is>
          <t>แป จำนวน</t>
        </is>
      </c>
      <c r="J9" s="7" t="inlineStr">
        <is>
          <t>ปลาย (ราง)</t>
        </is>
      </c>
      <c r="K9" s="7" t="inlineStr">
        <is>
          <t>แผ่น จำนวน</t>
        </is>
      </c>
    </row>
    <row r="10">
      <c r="A10" s="8" t="n">
        <v>1</v>
      </c>
      <c r="B10" s="9" t="n">
        <v>400</v>
      </c>
      <c r="C10" s="9" t="n">
        <v>150</v>
      </c>
      <c r="D10" s="8">
        <f>IF(C10="","",ROUND(DEGREES(ATAN($E$3/C10)),1))</f>
        <v/>
      </c>
      <c r="E10" s="8">
        <f>IF(C10="","",ROUND(SQRT(C10^2+$E$3^2),1))</f>
        <v/>
      </c>
      <c r="F10" s="8">
        <f>IF(B10="","",CEILING(B10/VLOOKUP($B$3,$A$39:$C$44,2,0),1)+1)</f>
        <v/>
      </c>
      <c r="G10" s="8">
        <f>IF(F10="","",MAX(F10-2,0))</f>
        <v/>
      </c>
      <c r="H10" s="8">
        <f>IF(B10="","",ROUND((B10-F10*$B$47)/(F10-1),1))</f>
        <v/>
      </c>
      <c r="I10" s="8">
        <f>IF(B10="","",(F10-1)*(CEILING(C10/$B$46,1)+1)*2)</f>
        <v/>
      </c>
      <c r="J10" s="8">
        <f>IF(B10="","",B10+IF(B19="นูน",IF(C11="",0,C11),IF(B19="เว้า",-IF(C11="",0,C11),0)))</f>
        <v/>
      </c>
      <c r="K10" s="8">
        <f>IF(B10="","",CEILING(B10/VLOOKUP($B$3,$A$39:$C$44,3,0),1))</f>
        <v/>
      </c>
    </row>
    <row r="11">
      <c r="A11" s="8" t="n">
        <v>2</v>
      </c>
      <c r="B11" s="9" t="n">
        <v>300</v>
      </c>
      <c r="C11" s="9" t="n">
        <v>100</v>
      </c>
      <c r="D11" s="8">
        <f>IF(C11="","",ROUND(DEGREES(ATAN($E$3/C11)),1))</f>
        <v/>
      </c>
      <c r="E11" s="8">
        <f>IF(C11="","",ROUND(SQRT(C11^2+$E$3^2),1))</f>
        <v/>
      </c>
      <c r="F11" s="8">
        <f>IF(B11="","",CEILING(B11/VLOOKUP($B$3,$A$39:$C$44,2,0),1)+1)</f>
        <v/>
      </c>
      <c r="G11" s="8">
        <f>IF(F11="","",MAX(F11-2,0))</f>
        <v/>
      </c>
      <c r="H11" s="8">
        <f>IF(B11="","",ROUND((B11-F11*$B$47)/(F11-1),1))</f>
        <v/>
      </c>
      <c r="I11" s="8">
        <f>IF(B11="","",(F11-1)*(CEILING(C11/$B$46,1)+1)*2)</f>
        <v/>
      </c>
      <c r="J11" s="8">
        <f>IF(B11="","",B11+IF(B19="นูน",IF(C10="",0,C10),IF(B19="เว้า",-IF(C10="",0,C10),0))+IF(B20="นูน",IF(C12="",0,C12),IF(B20="เว้า",-IF(C12="",0,C12),0)))</f>
        <v/>
      </c>
      <c r="K11" s="8">
        <f>IF(B11="","",CEILING(B11/VLOOKUP($B$3,$A$39:$C$44,3,0),1))</f>
        <v/>
      </c>
    </row>
    <row r="12">
      <c r="A12" s="8" t="n">
        <v>3</v>
      </c>
      <c r="B12" s="9" t="n">
        <v>350</v>
      </c>
      <c r="C12" s="9" t="n">
        <v>200</v>
      </c>
      <c r="D12" s="8">
        <f>IF(C12="","",ROUND(DEGREES(ATAN($E$3/C12)),1))</f>
        <v/>
      </c>
      <c r="E12" s="8">
        <f>IF(C12="","",ROUND(SQRT(C12^2+$E$3^2),1))</f>
        <v/>
      </c>
      <c r="F12" s="8">
        <f>IF(B12="","",CEILING(B12/VLOOKUP($B$3,$A$39:$C$44,2,0),1)+1)</f>
        <v/>
      </c>
      <c r="G12" s="8">
        <f>IF(F12="","",MAX(F12-2,0))</f>
        <v/>
      </c>
      <c r="H12" s="8">
        <f>IF(B12="","",ROUND((B12-F12*$B$47)/(F12-1),1))</f>
        <v/>
      </c>
      <c r="I12" s="8">
        <f>IF(B12="","",(F12-1)*(CEILING(C12/$B$46,1)+1)*2)</f>
        <v/>
      </c>
      <c r="J12" s="8">
        <f>IF(B12="","",B12+IF(B20="นูน",IF(C11="",0,C11),IF(B20="เว้า",-IF(C11="",0,C11),0))+IF(B21="นูน",IF(C13="",0,C13),IF(B21="เว้า",-IF(C13="",0,C13),0)))</f>
        <v/>
      </c>
      <c r="K12" s="8">
        <f>IF(B12="","",CEILING(B12/VLOOKUP($B$3,$A$39:$C$44,3,0),1))</f>
        <v/>
      </c>
    </row>
    <row r="13">
      <c r="A13" s="8" t="n">
        <v>4</v>
      </c>
      <c r="B13" s="9" t="n">
        <v>200</v>
      </c>
      <c r="C13" s="9" t="n">
        <v>150</v>
      </c>
      <c r="D13" s="8">
        <f>IF(C13="","",ROUND(DEGREES(ATAN($E$3/C13)),1))</f>
        <v/>
      </c>
      <c r="E13" s="8">
        <f>IF(C13="","",ROUND(SQRT(C13^2+$E$3^2),1))</f>
        <v/>
      </c>
      <c r="F13" s="8">
        <f>IF(B13="","",CEILING(B13/VLOOKUP($B$3,$A$39:$C$44,2,0),1)+1)</f>
        <v/>
      </c>
      <c r="G13" s="8">
        <f>IF(F13="","",MAX(F13-2,0))</f>
        <v/>
      </c>
      <c r="H13" s="8">
        <f>IF(B13="","",ROUND((B13-F13*$B$47)/(F13-1),1))</f>
        <v/>
      </c>
      <c r="I13" s="8">
        <f>IF(B13="","",(F13-1)*(CEILING(C13/$B$46,1)+1)*2)</f>
        <v/>
      </c>
      <c r="J13" s="8">
        <f>IF(B13="","",B13+IF(B21="นูน",IF(C12="",0,C12),IF(B21="เว้า",-IF(C12="",0,C12),0))+IF(B22="นูน",IF(C14="",0,C14),IF(B22="เว้า",-IF(C14="",0,C14),0)))</f>
        <v/>
      </c>
      <c r="K13" s="8">
        <f>IF(B13="","",CEILING(B13/VLOOKUP($B$3,$A$39:$C$44,3,0),1))</f>
        <v/>
      </c>
    </row>
    <row r="14">
      <c r="A14" s="8" t="n">
        <v>5</v>
      </c>
      <c r="B14" s="9" t="n"/>
      <c r="C14" s="9" t="n"/>
      <c r="D14" s="8">
        <f>IF(C14="","",ROUND(DEGREES(ATAN($E$3/C14)),1))</f>
        <v/>
      </c>
      <c r="E14" s="8">
        <f>IF(C14="","",ROUND(SQRT(C14^2+$E$3^2),1))</f>
        <v/>
      </c>
      <c r="F14" s="8">
        <f>IF(B14="","",CEILING(B14/VLOOKUP($B$3,$A$39:$C$44,2,0),1)+1)</f>
        <v/>
      </c>
      <c r="G14" s="8">
        <f>IF(F14="","",MAX(F14-2,0))</f>
        <v/>
      </c>
      <c r="H14" s="8">
        <f>IF(B14="","",ROUND((B14-F14*$B$47)/(F14-1),1))</f>
        <v/>
      </c>
      <c r="I14" s="8">
        <f>IF(B14="","",(F14-1)*(CEILING(C14/$B$46,1)+1)*2)</f>
        <v/>
      </c>
      <c r="J14" s="8">
        <f>IF(B14="","",B14+IF(B22="นูน",IF(C13="",0,C13),IF(B22="เว้า",-IF(C13="",0,C13),0))+IF(B23="นูน",IF(C15="",0,C15),IF(B23="เว้า",-IF(C15="",0,C15),0)))</f>
        <v/>
      </c>
      <c r="K14" s="8">
        <f>IF(B14="","",CEILING(B14/VLOOKUP($B$3,$A$39:$C$44,3,0),1))</f>
        <v/>
      </c>
    </row>
    <row r="15">
      <c r="A15" s="8" t="n">
        <v>6</v>
      </c>
      <c r="B15" s="9" t="n"/>
      <c r="C15" s="9" t="n"/>
      <c r="D15" s="8">
        <f>IF(C15="","",ROUND(DEGREES(ATAN($E$3/C15)),1))</f>
        <v/>
      </c>
      <c r="E15" s="8">
        <f>IF(C15="","",ROUND(SQRT(C15^2+$E$3^2),1))</f>
        <v/>
      </c>
      <c r="F15" s="8">
        <f>IF(B15="","",CEILING(B15/VLOOKUP($B$3,$A$39:$C$44,2,0),1)+1)</f>
        <v/>
      </c>
      <c r="G15" s="8">
        <f>IF(F15="","",MAX(F15-2,0))</f>
        <v/>
      </c>
      <c r="H15" s="8">
        <f>IF(B15="","",ROUND((B15-F15*$B$47)/(F15-1),1))</f>
        <v/>
      </c>
      <c r="I15" s="8">
        <f>IF(B15="","",(F15-1)*(CEILING(C15/$B$46,1)+1)*2)</f>
        <v/>
      </c>
      <c r="J15" s="8">
        <f>IF(B15="","",B15+IF(B23="นูน",IF(C14="",0,C14),IF(B23="เว้า",-IF(C14="",0,C14),0)))</f>
        <v/>
      </c>
      <c r="K15" s="8">
        <f>IF(B15="","",CEILING(B15/VLOOKUP($B$3,$A$39:$C$44,3,0),1))</f>
        <v/>
      </c>
    </row>
    <row r="17">
      <c r="A17" s="2" t="inlineStr">
        <is>
          <t>③ รอยต่อ (ตะเข้ = √(ยื่นซ้าย²+ยื่นขวา²+สูง²))</t>
        </is>
      </c>
    </row>
    <row r="18">
      <c r="A18" s="7" t="inlineStr">
        <is>
          <t>รอยต่อ</t>
        </is>
      </c>
      <c r="B18" s="7" t="inlineStr">
        <is>
          <t>แบบ</t>
        </is>
      </c>
      <c r="C18" s="7" t="inlineStr">
        <is>
          <t>ตะเข้</t>
        </is>
      </c>
    </row>
    <row r="19">
      <c r="A19" s="8" t="inlineStr">
        <is>
          <t>ด้าน 1-2</t>
        </is>
      </c>
      <c r="B19" s="9" t="inlineStr">
        <is>
          <t>นูน</t>
        </is>
      </c>
      <c r="C19" s="8">
        <f>IF(OR(C10="",C11="",B19=""),"-",IF(OR(B19="นูน",B19="เว้า"),ROUND(SQRT(C10^2+C11^2+$E$3^2),1),"ชนผนัง"))</f>
        <v/>
      </c>
    </row>
    <row r="20">
      <c r="A20" s="8" t="inlineStr">
        <is>
          <t>ด้าน 2-3</t>
        </is>
      </c>
      <c r="B20" s="9" t="inlineStr">
        <is>
          <t>เว้า</t>
        </is>
      </c>
      <c r="C20" s="8">
        <f>IF(OR(C11="",C12="",B20=""),"-",IF(OR(B20="นูน",B20="เว้า"),ROUND(SQRT(C11^2+C12^2+$E$3^2),1),"ชนผนัง"))</f>
        <v/>
      </c>
    </row>
    <row r="21">
      <c r="A21" s="8" t="inlineStr">
        <is>
          <t>ด้าน 3-4</t>
        </is>
      </c>
      <c r="B21" s="9" t="inlineStr">
        <is>
          <t>นูน</t>
        </is>
      </c>
      <c r="C21" s="8">
        <f>IF(OR(C12="",C13="",B21=""),"-",IF(OR(B21="นูน",B21="เว้า"),ROUND(SQRT(C12^2+C13^2+$E$3^2),1),"ชนผนัง"))</f>
        <v/>
      </c>
    </row>
    <row r="22">
      <c r="A22" s="8" t="inlineStr">
        <is>
          <t>ด้าน 4-5</t>
        </is>
      </c>
      <c r="B22" s="9" t="n"/>
      <c r="C22" s="8">
        <f>IF(OR(C13="",C14="",B22=""),"-",IF(OR(B22="นูน",B22="เว้า"),ROUND(SQRT(C13^2+C14^2+$E$3^2),1),"ชนผนัง"))</f>
        <v/>
      </c>
    </row>
    <row r="23">
      <c r="A23" s="8" t="inlineStr">
        <is>
          <t>ด้าน 5-6</t>
        </is>
      </c>
      <c r="B23" s="9" t="n"/>
      <c r="C23" s="8">
        <f>IF(OR(C14="",C15="",B23=""),"-",IF(OR(B23="นูน",B23="เว้า"),ROUND(SQRT(C14^2+C15^2+$E$3^2),1),"ชนผนัง"))</f>
        <v/>
      </c>
    </row>
    <row r="25">
      <c r="A25" s="2" t="inlineStr">
        <is>
          <t>④ สรุปรวมทั้งหลัง</t>
        </is>
      </c>
    </row>
    <row r="26">
      <c r="A26" s="7" t="inlineStr">
        <is>
          <t>รายการ</t>
        </is>
      </c>
      <c r="B26" s="7" t="inlineStr">
        <is>
          <t>รวม</t>
        </is>
      </c>
    </row>
    <row r="27">
      <c r="A27" s="5" t="inlineStr">
        <is>
          <t>จันทันรัดรอบ 4×4 (=คาน · ต่อด้าน ×4)</t>
        </is>
      </c>
      <c r="B27" s="6">
        <f>SUMPRODUCT((B10:B15&lt;&gt;"")*1)*4</f>
        <v/>
      </c>
    </row>
    <row r="28">
      <c r="A28" s="5" t="inlineStr">
        <is>
          <t>จันทันซอย 1.6×4 (รวมตัวใน)</t>
        </is>
      </c>
      <c r="B28" s="6">
        <f>SUM(G10:G15)</f>
        <v/>
      </c>
    </row>
    <row r="29">
      <c r="A29" s="5" t="inlineStr">
        <is>
          <t>แป 1×1½ (รวม)</t>
        </is>
      </c>
      <c r="B29" s="6">
        <f>SUM(I10:I15)</f>
        <v/>
      </c>
    </row>
    <row r="30">
      <c r="A30" s="5" t="inlineStr">
        <is>
          <t>แผ่นหลังคา (รวม)</t>
        </is>
      </c>
      <c r="B30" s="6">
        <f>SUM(K10:K15)</f>
        <v/>
      </c>
    </row>
    <row r="31">
      <c r="A31" s="5">
        <f>"ปลายหลังคา: "&amp;IF(B6="รางน้ำ","รางน้ำอลู",IF(B6="ปิดปลาย","กล่อง 1×4","ยื่น=ไม่มี"))&amp;" (ยาว=ปลายราง J แต่ละด้าน)"</f>
        <v/>
      </c>
      <c r="B31" s="6">
        <f>IF(B6="ยื่นปลาย",0,SUMPRODUCT((B10:B15&lt;&gt;"")*1))</f>
        <v/>
      </c>
    </row>
    <row r="32">
      <c r="A32" s="5" t="inlineStr">
        <is>
          <t>ตะเข้ (มุมลอย)</t>
        </is>
      </c>
      <c r="B32" s="6">
        <f>SUMPRODUCT((C19:C23&lt;&gt;"-")*(C19:C23&lt;&gt;"ชนผนัง"))</f>
        <v/>
      </c>
    </row>
    <row r="33">
      <c r="A33" s="5" t="inlineStr">
        <is>
          <t>เสา 4×4 (ฝั่งต่ำ ~2/ด้าน)</t>
        </is>
      </c>
      <c r="B33" s="6">
        <f>SUMPRODUCT((B10:B15&lt;&gt;"")*1)*2</f>
        <v/>
      </c>
    </row>
    <row r="34">
      <c r="A34" s="5" t="inlineStr">
        <is>
          <t>กล่อง 1.6×4 ตั้ง (ฝั่งสูง ~2/ด้าน)</t>
        </is>
      </c>
      <c r="B34" s="6">
        <f>SUMPRODUCT((B10:B15&lt;&gt;"")*1)*2</f>
        <v/>
      </c>
    </row>
    <row r="36">
      <c r="A36" s="5" t="inlineStr">
        <is>
          <t>หมายเหตุ: N=จำนวนจันทัน · จันทันซอย=N−2 (ตัวใน · ขอบ2ตัว=จันทันรัดรอบ4×4) · รัดรอบ/เสา ที่รอยต่อลอยใช้ร่วม(ตัวเลขรวมเผื่อ) ปรับได้</t>
        </is>
      </c>
    </row>
    <row r="37">
      <c r="A37" s="2" t="inlineStr">
        <is>
          <t>⑤ แผงแก้ค่า (เหลือง = แก้ที่เดียว)</t>
        </is>
      </c>
    </row>
    <row r="38">
      <c r="A38" s="2" t="inlineStr">
        <is>
          <t>ชนิดแผ่น</t>
        </is>
      </c>
      <c r="B38" s="2" t="inlineStr">
        <is>
          <t>จันทัน max</t>
        </is>
      </c>
      <c r="C38" s="2" t="inlineStr">
        <is>
          <t>กว้าง/แผ่น</t>
        </is>
      </c>
    </row>
    <row r="39">
      <c r="A39" s="5" t="inlineStr">
        <is>
          <t>ไวนิล</t>
        </is>
      </c>
      <c r="B39" s="4" t="n">
        <v>100</v>
      </c>
      <c r="C39" s="4" t="n">
        <v>25</v>
      </c>
    </row>
    <row r="40">
      <c r="A40" s="5" t="inlineStr">
        <is>
          <t>ดีไลท์</t>
        </is>
      </c>
      <c r="B40" s="4" t="n">
        <v>100</v>
      </c>
      <c r="C40" s="4" t="n">
        <v>100</v>
      </c>
    </row>
    <row r="41">
      <c r="A41" s="5" t="inlineStr">
        <is>
          <t>เมทัลชีท</t>
        </is>
      </c>
      <c r="B41" s="4" t="n">
        <v>100</v>
      </c>
      <c r="C41" s="4" t="n">
        <v>34</v>
      </c>
    </row>
    <row r="42">
      <c r="A42" s="5" t="inlineStr">
        <is>
          <t>โพลีตัน</t>
        </is>
      </c>
      <c r="B42" s="4" t="n">
        <v>122</v>
      </c>
      <c r="C42" s="4" t="n">
        <v>122</v>
      </c>
    </row>
    <row r="43">
      <c r="A43" s="5" t="inlineStr">
        <is>
          <t>ชินโคร์ HC</t>
        </is>
      </c>
      <c r="B43" s="4" t="n">
        <v>138</v>
      </c>
      <c r="C43" s="4" t="n">
        <v>138</v>
      </c>
    </row>
    <row r="44">
      <c r="A44" s="5" t="inlineStr">
        <is>
          <t>ชินโคร์ Sup</t>
        </is>
      </c>
      <c r="B44" s="4" t="n">
        <v>138</v>
      </c>
      <c r="C44" s="4" t="n">
        <v>138</v>
      </c>
    </row>
    <row r="46">
      <c r="A46" s="5" t="inlineStr">
        <is>
          <t>แป max (ซม.)</t>
        </is>
      </c>
      <c r="B46" s="4" t="n">
        <v>50</v>
      </c>
    </row>
    <row r="47">
      <c r="A47" s="5" t="inlineStr">
        <is>
          <t>แป ความหนาจันทัน</t>
        </is>
      </c>
      <c r="B47" s="4" t="n">
        <v>4.5</v>
      </c>
    </row>
  </sheetData>
  <mergeCells count="1">
    <mergeCell ref="A1:H1"/>
  </mergeCells>
  <dataValidations count="8">
    <dataValidation sqref="B19" showDropDown="0" showInputMessage="0" showErrorMessage="0" allowBlank="0" type="list">
      <formula1>"ลอย,ติดบ้าน"</formula1>
    </dataValidation>
    <dataValidation sqref="B20" showDropDown="0" showInputMessage="0" showErrorMessage="0" allowBlank="0" type="list">
      <formula1>"ลอย,ติดบ้าน"</formula1>
    </dataValidation>
    <dataValidation sqref="B21" showDropDown="0" showInputMessage="0" showErrorMessage="0" allowBlank="0" type="list">
      <formula1>"ลอย,ติดบ้าน"</formula1>
    </dataValidation>
    <dataValidation sqref="B22" showDropDown="0" showInputMessage="0" showErrorMessage="0" allowBlank="0" type="list">
      <formula1>"ลอย,ติดบ้าน"</formula1>
    </dataValidation>
    <dataValidation sqref="B23" showDropDown="0" showInputMessage="0" showErrorMessage="0" allowBlank="0" type="list">
      <formula1>"ลอย,ติดบ้าน"</formula1>
    </dataValidation>
    <dataValidation sqref="B3" showDropDown="0" showInputMessage="0" showErrorMessage="0" allowBlank="0" type="list">
      <formula1>"ไวนิล,ดีไลท์,เมทัลชีท,โพลีตัน,ชินโคร์ HC,ชินโคร์ Sup"</formula1>
    </dataValidation>
    <dataValidation sqref="B6" showDropDown="0" showInputMessage="0" showErrorMessage="0" allowBlank="0" type="list">
      <formula1>"ปิดปลาย,ยื่นปลาย,รางน้ำ"</formula1>
    </dataValidation>
    <dataValidation sqref="B19 B20 B21 B22 B23" showDropDown="0" showInputMessage="0" showErrorMessage="0" allowBlank="1" type="list">
      <formula1>"นูน,เว้า,ติดบ้าน"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2026-07-10T01:23:25Z</dcterms:created>
  <dcterms:modified xmlns:dcterms="http://purl.org/dc/terms/" xmlns:xsi="http://www.w3.org/2001/XMLSchema-instance" xsi:type="dcterms:W3CDTF">2026-07-10T07:54:26Z</dcterms:modified>
</cp:coreProperties>
</file>