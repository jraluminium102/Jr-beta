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2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16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29.png" ContentType="image/png"/>
  <Override PartName="/xl/media/image28.png" ContentType="image/png"/>
  <Override PartName="/xl/media/image27.png" ContentType="image/png"/>
  <Override PartName="/xl/media/image26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15.png" ContentType="image/png"/>
  <Override PartName="/xl/media/image6.png" ContentType="image/png"/>
  <Override PartName="/xl/media/image38.png" ContentType="image/png"/>
  <Override PartName="/xl/media/image13.png" ContentType="image/png"/>
  <Override PartName="/xl/media/image36.png" ContentType="image/png"/>
  <Override PartName="/xl/media/image4.png" ContentType="image/png"/>
  <Override PartName="/xl/media/image40.png" ContentType="image/png"/>
  <Override PartName="/xl/media/image41.png" ContentType="image/png"/>
  <Override PartName="/xl/media/image30.png" ContentType="image/png"/>
  <Override PartName="/xl/media/image42.png" ContentType="image/png"/>
  <Override PartName="/xl/media/image31.png" ContentType="image/png"/>
  <Override PartName="/xl/media/image43.png" ContentType="image/png"/>
  <Override PartName="/xl/media/image32.png" ContentType="image/png"/>
  <Override PartName="/xl/media/image44.png" ContentType="image/png"/>
  <Override PartName="/xl/media/image45.png" ContentType="image/png"/>
  <Override PartName="/xl/media/image10.png" ContentType="image/png"/>
  <Override PartName="/xl/media/image46.png" ContentType="image/png"/>
  <Override PartName="/xl/media/image11.png" ContentType="image/png"/>
  <Override PartName="/xl/media/image9.png" ContentType="image/png"/>
  <Override PartName="/xl/media/image18.png" ContentType="image/png"/>
  <Override PartName="/xl/media/image20.png" ContentType="image/png"/>
  <Override PartName="/xl/media/image12.png" ContentType="image/png"/>
  <Override PartName="/xl/media/image3.png" ContentType="image/png"/>
  <Override PartName="/xl/media/image35.png" ContentType="image/png"/>
  <Override PartName="/xl/media/image8.png" ContentType="image/png"/>
  <Override PartName="/xl/media/image17.png" ContentType="image/png"/>
  <Override PartName="/xl/media/image2.png" ContentType="image/png"/>
  <Override PartName="/xl/media/image34.png" ContentType="image/png"/>
  <Override PartName="/xl/media/image39.png" ContentType="image/png"/>
  <Override PartName="/xl/media/image7.png" ContentType="image/png"/>
  <Override PartName="/xl/media/image16.png" ContentType="image/png"/>
  <Override PartName="/xl/media/image1.png" ContentType="image/png"/>
  <Override PartName="/xl/media/image3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dex" sheetId="1" state="visible" r:id="rId3"/>
    <sheet name="ประตูเดี่ยว มีธรณี" sheetId="2" state="visible" r:id="rId4"/>
    <sheet name="ประตูเดี่ยว ไม่มีธรณี" sheetId="3" state="visible" r:id="rId5"/>
    <sheet name="ประตูคู่ มีธรณี" sheetId="4" state="visible" r:id="rId6"/>
    <sheet name="ประตูคู่ ไม่มีธรณี" sheetId="5" state="visible" r:id="rId7"/>
    <sheet name="ประตูคู่+ช่องแสงข้าง มีธรณี" sheetId="6" state="visible" r:id="rId8"/>
    <sheet name="ประตูคู่+ช่องแสงข้าง ไม่มีธรณี" sheetId="7" state="visible" r:id="rId9"/>
    <sheet name="บานเปิด" sheetId="8" state="visible" r:id="rId10"/>
    <sheet name="บานเปิดคู่" sheetId="9" state="visible" r:id="rId11"/>
    <sheet name="บานเปิด+มุ้ง" sheetId="10" state="visible" r:id="rId12"/>
    <sheet name="บานเปิด+ช่องแสงล่าง" sheetId="11" state="visible" r:id="rId13"/>
    <sheet name="บานเปิดคู่+ช่องแสงล่าง" sheetId="12" state="visible" r:id="rId14"/>
    <sheet name="Fix1" sheetId="13" state="visible" r:id="rId15"/>
    <sheet name="Fix2" sheetId="14" state="visible" r:id="rId16"/>
    <sheet name="Fix3" sheetId="15" state="visible" r:id="rId17"/>
    <sheet name="Fix4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<sst xmlns="http://schemas.openxmlformats.org/spreadsheetml/2006/main" count="2696" uniqueCount="271">
  <si>
    <t xml:space="preserve">JR ALUMINIUM &amp; GLASS  —  ใบรายการตัด · FUJI Index   (หน่วย: มม.)</t>
  </si>
  <si>
    <t xml:space="preserve">JR ALUMINIUM &amp; GLASS  —  ใบรายการตัด · FUJI ประตูเดี่ยว มีธรณี   (หน่วย: มม.)</t>
  </si>
  <si>
    <t xml:space="preserve">เลือกกรอบบาน →</t>
  </si>
  <si>
    <t xml:space="preserve">10 cm · 7864</t>
  </si>
  <si>
    <t xml:space="preserve">(8cm→ลดคิ้วตั้ง80/ขวาง60 · 10cm→100/80)</t>
  </si>
  <si>
    <t xml:space="preserve">สูตรตัด</t>
  </si>
  <si>
    <t xml:space="preserve">สูง</t>
  </si>
  <si>
    <t xml:space="preserve">กว้าง-25-25</t>
  </si>
  <si>
    <t xml:space="preserve">สูง-18.5-18.5</t>
  </si>
  <si>
    <t xml:space="preserve">กว้าง-18.5-18.5</t>
  </si>
  <si>
    <t xml:space="preserve">เสา-100-100</t>
  </si>
  <si>
    <t xml:space="preserve">ขวาง-80-80</t>
  </si>
  <si>
    <t xml:space="preserve">เท่าเฟรมล่าง</t>
  </si>
  <si>
    <t xml:space="preserve">ใส่ข้อมูล</t>
  </si>
  <si>
    <t xml:space="preserve">F7859</t>
  </si>
  <si>
    <t xml:space="preserve">F7938</t>
  </si>
  <si>
    <t xml:space="preserve">F7864</t>
  </si>
  <si>
    <t xml:space="preserve">F7935</t>
  </si>
  <si>
    <t xml:space="preserve">F7960</t>
  </si>
  <si>
    <t xml:space="preserve">ขนาดกระจก</t>
  </si>
  <si>
    <t xml:space="preserve">แผน</t>
  </si>
  <si>
    <t xml:space="preserve">ขนาดชิ้นงาน
(mm)</t>
  </si>
  <si>
    <t xml:space="preserve">ชุด</t>
  </si>
  <si>
    <t xml:space="preserve">กรอบบาน</t>
  </si>
  <si>
    <t xml:space="preserve">JR00482</t>
  </si>
  <si>
    <t xml:space="preserve">JR00557</t>
  </si>
  <si>
    <t xml:space="preserve">JR00596</t>
  </si>
  <si>
    <t xml:space="preserve">JR00598</t>
  </si>
  <si>
    <t xml:space="preserve">JR00864</t>
  </si>
  <si>
    <t xml:space="preserve">JR00771</t>
  </si>
  <si>
    <t xml:space="preserve">JR00562</t>
  </si>
  <si>
    <t xml:space="preserve">เฟรมข้าง</t>
  </si>
  <si>
    <t xml:space="preserve">เฟรม บน</t>
  </si>
  <si>
    <t xml:space="preserve">เฟรม ล่าง</t>
  </si>
  <si>
    <t xml:space="preserve">เสา</t>
  </si>
  <si>
    <t xml:space="preserve">ขวาง</t>
  </si>
  <si>
    <t xml:space="preserve">คิ้ว ตั้ง</t>
  </si>
  <si>
    <t xml:space="preserve">คิ้ว ขวาง</t>
  </si>
  <si>
    <t xml:space="preserve">ตบธรณี</t>
  </si>
  <si>
    <t xml:space="preserve">SH-87-87</t>
  </si>
  <si>
    <t xml:space="preserve">SW-87-87</t>
  </si>
  <si>
    <t xml:space="preserve">บานพับ hyda</t>
  </si>
  <si>
    <t xml:space="preserve">สปิงก็อท</t>
  </si>
  <si>
    <t xml:space="preserve">ฉากประคองมุม</t>
  </si>
  <si>
    <t xml:space="preserve">มือจับ ล็อค+กุญแจ</t>
  </si>
  <si>
    <t xml:space="preserve">มือจับ ดัมมี่+ดัมมี่</t>
  </si>
  <si>
    <t xml:space="preserve">มือจับ Cmech</t>
  </si>
  <si>
    <t xml:space="preserve">ตลับกุญแจไฮด้า</t>
  </si>
  <si>
    <t xml:space="preserve">ไส้กุญแจ</t>
  </si>
  <si>
    <r>
      <rPr>
        <sz val="11"/>
        <color theme="1"/>
        <rFont val="Calibri"/>
        <family val="2"/>
        <charset val="1"/>
      </rPr>
      <t xml:space="preserve">CDQ </t>
    </r>
    <r>
      <rPr>
        <sz val="11"/>
        <color theme="1"/>
        <rFont val="FreeSans"/>
        <family val="2"/>
      </rPr>
      <t xml:space="preserve">บานเปิด</t>
    </r>
  </si>
  <si>
    <t xml:space="preserve">ปลายกลอน (บานลอง)</t>
  </si>
  <si>
    <t xml:space="preserve">น็อตเฟรม</t>
  </si>
  <si>
    <t xml:space="preserve">ยางกรอบบาน</t>
  </si>
  <si>
    <t xml:space="preserve">ยางวงกบ</t>
  </si>
  <si>
    <t xml:space="preserve">แผ่นรับล็อค</t>
  </si>
  <si>
    <r>
      <rPr>
        <sz val="11"/>
        <color theme="1"/>
        <rFont val="FreeSans"/>
        <family val="2"/>
      </rPr>
      <t xml:space="preserve">มือจับ </t>
    </r>
    <r>
      <rPr>
        <sz val="11"/>
        <color theme="1"/>
        <rFont val="Calibri"/>
        <family val="2"/>
        <charset val="1"/>
      </rPr>
      <t xml:space="preserve">Cmech </t>
    </r>
    <r>
      <rPr>
        <sz val="11"/>
        <color theme="1"/>
        <rFont val="FreeSans"/>
        <family val="2"/>
      </rPr>
      <t xml:space="preserve">ดัมมี่</t>
    </r>
  </si>
  <si>
    <t xml:space="preserve">ใบงาน</t>
  </si>
  <si>
    <t xml:space="preserve">กว้าง</t>
  </si>
  <si>
    <t xml:space="preserve">จำนวนชุด</t>
  </si>
  <si>
    <t xml:space="preserve">ยาว</t>
  </si>
  <si>
    <t xml:space="preserve">จำนวน</t>
  </si>
  <si>
    <t xml:space="preserve">H</t>
  </si>
  <si>
    <t xml:space="preserve">W</t>
  </si>
  <si>
    <t xml:space="preserve">D1</t>
  </si>
  <si>
    <t xml:space="preserve">จำนวนเส้น 6.4 ม. ที่ต้องสั่ง →</t>
  </si>
  <si>
    <t xml:space="preserve">รวม</t>
  </si>
  <si>
    <t xml:space="preserve">แผงแก้สูตร — แก้ตัวหักลบ/จำนวน ที่นี่ที่เดียว แล้วทั้งชีทเปลี่ยนตาม</t>
  </si>
  <si>
    <t xml:space="preserve">#</t>
  </si>
  <si>
    <t xml:space="preserve">โปรไฟล์</t>
  </si>
  <si>
    <t xml:space="preserve">รหัส</t>
  </si>
  <si>
    <t xml:space="preserve">สูตรตัด (เดิม)</t>
  </si>
  <si>
    <t xml:space="preserve">หัก1</t>
  </si>
  <si>
    <t xml:space="preserve">หัก2</t>
  </si>
  <si>
    <t xml:space="preserve">หัก3</t>
  </si>
  <si>
    <t xml:space="preserve">หัก4</t>
  </si>
  <si>
    <t xml:space="preserve">หัก5</t>
  </si>
  <si>
    <t xml:space="preserve">หัก6</t>
  </si>
  <si>
    <t xml:space="preserve">หัก7</t>
  </si>
  <si>
    <t xml:space="preserve">จำนวน/ชุด</t>
  </si>
  <si>
    <t xml:space="preserve">-</t>
  </si>
  <si>
    <t xml:space="preserve">⑤ อุปกรณ์ + ตั้งค่า (ประตูบานเปิด · 1 ใบ)</t>
  </si>
  <si>
    <t xml:space="preserve">สี (บานพับ+มือจับ) →</t>
  </si>
  <si>
    <t xml:space="preserve">ขาว</t>
  </si>
  <si>
    <t xml:space="preserve">ตลับกุญแจ →</t>
  </si>
  <si>
    <t xml:space="preserve">ล็อคปกติ</t>
  </si>
  <si>
    <t xml:space="preserve">ทิศเปิด →</t>
  </si>
  <si>
    <t xml:space="preserve">เปิดออก</t>
  </si>
  <si>
    <t xml:space="preserve">มือจับ ใบ1 →</t>
  </si>
  <si>
    <t xml:space="preserve">คิงโบ ล็อค+กุญแจ</t>
  </si>
  <si>
    <t xml:space="preserve">⑤.1 สรุปอุปกรณ์ (จำนวนลิงก์อัตโนมัติ)</t>
  </si>
  <si>
    <t xml:space="preserve">อุปกรณ์</t>
  </si>
  <si>
    <t xml:space="preserve">รหัส SKU</t>
  </si>
  <si>
    <t xml:space="preserve">หน่วย</t>
  </si>
  <si>
    <t xml:space="preserve">หมายเหตุ</t>
  </si>
  <si>
    <t xml:space="preserve">ตัว</t>
  </si>
  <si>
    <t xml:space="preserve">มือจับ Cmech ล็อค+กุญแจ</t>
  </si>
  <si>
    <t xml:space="preserve">เว้นรหัส รอพี่เติม</t>
  </si>
  <si>
    <t xml:space="preserve">มือจับ Cmech ดัมมี่+ดัมมี่</t>
  </si>
  <si>
    <t xml:space="preserve">auto เข้า/ออก</t>
  </si>
  <si>
    <t xml:space="preserve">CDQ (บานลอง)</t>
  </si>
  <si>
    <t xml:space="preserve">น็อตเฟรม 1"</t>
  </si>
  <si>
    <t xml:space="preserve">เมตร</t>
  </si>
  <si>
    <t xml:space="preserve">Digital lock (ซื้อแยก)</t>
  </si>
  <si>
    <t xml:space="preserve">ไม่ตัดสต็อก · เว้นรหัส · ซื้อแยก</t>
  </si>
  <si>
    <t xml:space="preserve">JR ALUMINIUM &amp; GLASS  —  ใบรายการตัด · FUJI ประตูเดี่ยว ไม่มีธรณี   (หน่วย: มม.)</t>
  </si>
  <si>
    <t xml:space="preserve">สูง-18.5-7</t>
  </si>
  <si>
    <t xml:space="preserve">เท่าขวาง</t>
  </si>
  <si>
    <t xml:space="preserve">F7863</t>
  </si>
  <si>
    <t xml:space="preserve">ชายล่าง</t>
  </si>
  <si>
    <t xml:space="preserve">SW-67-67</t>
  </si>
  <si>
    <t xml:space="preserve">JR ALUMINIUM &amp; GLASS  —  ใบรายการตัด · FUJI ประตูคู่ มีธรณี   (หน่วย: มม.)</t>
  </si>
  <si>
    <t xml:space="preserve">บูทขอนแก่น</t>
  </si>
  <si>
    <t xml:space="preserve">(กว้าง1-18.5-1)</t>
  </si>
  <si>
    <t xml:space="preserve">(กว้าง2-18.5-1)</t>
  </si>
  <si>
    <t xml:space="preserve">กว้าง1
ขวาง-80-80</t>
  </si>
  <si>
    <t xml:space="preserve">กว้าง2
ขวาง-80-80</t>
  </si>
  <si>
    <t xml:space="preserve">สูง-27-27</t>
  </si>
  <si>
    <t xml:space="preserve">F7945</t>
  </si>
  <si>
    <t xml:space="preserve">Set</t>
  </si>
  <si>
    <t xml:space="preserve">W1</t>
  </si>
  <si>
    <t xml:space="preserve">W2</t>
  </si>
  <si>
    <t xml:space="preserve">ขวาง W1</t>
  </si>
  <si>
    <t xml:space="preserve">ขวาง W2</t>
  </si>
  <si>
    <t xml:space="preserve">คิ้ว ขวางW1</t>
  </si>
  <si>
    <t xml:space="preserve">คิ้ว ขวางW2</t>
  </si>
  <si>
    <t xml:space="preserve">ชนกลาง</t>
  </si>
  <si>
    <t xml:space="preserve">SW1-87-87</t>
  </si>
  <si>
    <t xml:space="preserve">SW2-87-87</t>
  </si>
  <si>
    <t xml:space="preserve">⑤ อุปกรณ์ + ตั้งค่า (ประตูบานเปิด · 2 ใบ)</t>
  </si>
  <si>
    <t xml:space="preserve">มือจับ ใบ2 →</t>
  </si>
  <si>
    <t xml:space="preserve">JR ALUMINIUM &amp; GLASS  —  ใบรายการตัด · FUJI ประตูคู่ ไม่มีธรณี   (หน่วย: มม.)</t>
  </si>
  <si>
    <t xml:space="preserve">เสา-8.5</t>
  </si>
  <si>
    <t xml:space="preserve">SW1-67-67</t>
  </si>
  <si>
    <t xml:space="preserve">SW2-67-67</t>
  </si>
  <si>
    <t xml:space="preserve">JR ALUMINIUM &amp; GLASS  —  ใบรายการตัด · FUJI ประตูคู่+ช่องแสงข้าง มีธรณี   (หน่วย: มม.)</t>
  </si>
  <si>
    <t xml:space="preserve">กว้าง-กว้าง3-กว้าง3
-35-35</t>
  </si>
  <si>
    <t xml:space="preserve">กว้าง3-25</t>
  </si>
  <si>
    <t xml:space="preserve">กว้าง1-28.5-1</t>
  </si>
  <si>
    <t xml:space="preserve">กว้าง2-28.5-1</t>
  </si>
  <si>
    <t xml:space="preserve">สูง-45-45</t>
  </si>
  <si>
    <t xml:space="preserve">F7854</t>
  </si>
  <si>
    <t xml:space="preserve">F7852</t>
  </si>
  <si>
    <t xml:space="preserve">F7937</t>
  </si>
  <si>
    <t xml:space="preserve">F7860</t>
  </si>
  <si>
    <t xml:space="preserve">ช่องแสง</t>
  </si>
  <si>
    <t xml:space="preserve">W3</t>
  </si>
  <si>
    <t xml:space="preserve">เฟรมแบ่งบาน</t>
  </si>
  <si>
    <t xml:space="preserve">ตบเฟรมแบ่งบาน</t>
  </si>
  <si>
    <t xml:space="preserve">เฟรม บน W1-2</t>
  </si>
  <si>
    <t xml:space="preserve">เฟรม ล่าง W1-2</t>
  </si>
  <si>
    <t xml:space="preserve">เฟรม ล่าง W3</t>
  </si>
  <si>
    <t xml:space="preserve">เฟรมข้าง W3</t>
  </si>
  <si>
    <t xml:space="preserve">เฟรมบน W3</t>
  </si>
  <si>
    <t xml:space="preserve">คิ้ว ขวาง W3</t>
  </si>
  <si>
    <t xml:space="preserve">คิ้ว ตั้ง W3</t>
  </si>
  <si>
    <t xml:space="preserve">H-35-35</t>
  </si>
  <si>
    <t xml:space="preserve">W3-35-10</t>
  </si>
  <si>
    <t xml:space="preserve">ตบนอกในบานตาย</t>
  </si>
  <si>
    <t xml:space="preserve">JR ALUMINIUM &amp; GLASS  —  ใบรายการตัด · FUJI ประตูคู่+ช่องแสงข้าง ไม่มีธรณี   (หน่วย: มม.)</t>
  </si>
  <si>
    <t xml:space="preserve">สูง-27-7</t>
  </si>
  <si>
    <t xml:space="preserve">เท่าขวาง กว้าง1</t>
  </si>
  <si>
    <t xml:space="preserve">เท่าขวาง กว้าง2</t>
  </si>
  <si>
    <t xml:space="preserve">ชายล่าง W1</t>
  </si>
  <si>
    <t xml:space="preserve">CDQ บานเปิด</t>
  </si>
  <si>
    <t xml:space="preserve">ชายล่าง W2</t>
  </si>
  <si>
    <t xml:space="preserve">JR ALUMINIUM &amp; GLASS  —  ใบรายการตัด · FUJI บานเปิด   (หน่วย: มม.)</t>
  </si>
  <si>
    <t xml:space="preserve">เซนซ่าซ้ายขาว</t>
  </si>
  <si>
    <t xml:space="preserve">JR00304</t>
  </si>
  <si>
    <t xml:space="preserve">เซนซ่าขวาขาว</t>
  </si>
  <si>
    <t xml:space="preserve">JR00305</t>
  </si>
  <si>
    <t xml:space="preserve">เซนซ่าซ้ายดำ</t>
  </si>
  <si>
    <t xml:space="preserve">JR00306</t>
  </si>
  <si>
    <t xml:space="preserve">เซนซ่าขวาดำ</t>
  </si>
  <si>
    <t xml:space="preserve">JR00307</t>
  </si>
  <si>
    <t xml:space="preserve">คิงโบซ้ายขาว</t>
  </si>
  <si>
    <t xml:space="preserve">JR00318</t>
  </si>
  <si>
    <t xml:space="preserve">เสา-80-80</t>
  </si>
  <si>
    <t xml:space="preserve">ขวาง-60-60</t>
  </si>
  <si>
    <t xml:space="preserve">คิงโบขวาขาว</t>
  </si>
  <si>
    <t xml:space="preserve">JR00319</t>
  </si>
  <si>
    <t xml:space="preserve">F7939</t>
  </si>
  <si>
    <t xml:space="preserve">F7943</t>
  </si>
  <si>
    <t xml:space="preserve">คิงโบซ้ายดำ</t>
  </si>
  <si>
    <t xml:space="preserve">JR00316</t>
  </si>
  <si>
    <t xml:space="preserve">JR00566</t>
  </si>
  <si>
    <t xml:space="preserve">JR00559</t>
  </si>
  <si>
    <t xml:space="preserve">JR00486</t>
  </si>
  <si>
    <t xml:space="preserve">JR00483</t>
  </si>
  <si>
    <t xml:space="preserve">JR00770</t>
  </si>
  <si>
    <t xml:space="preserve">คิงโบขวาดำ</t>
  </si>
  <si>
    <t xml:space="preserve">JR00317</t>
  </si>
  <si>
    <t xml:space="preserve">SH-67-67</t>
  </si>
  <si>
    <t xml:space="preserve">มือจับ ใบ1</t>
  </si>
  <si>
    <r>
      <rPr>
        <sz val="11"/>
        <color theme="1"/>
        <rFont val="Calibri"/>
        <family val="2"/>
        <charset val="1"/>
      </rPr>
      <t xml:space="preserve">CDQ </t>
    </r>
    <r>
      <rPr>
        <sz val="11"/>
        <color theme="1"/>
        <rFont val="FreeSans"/>
        <family val="2"/>
      </rPr>
      <t xml:space="preserve">กระทุ้ง</t>
    </r>
  </si>
  <si>
    <t xml:space="preserve">วิทโก้</t>
  </si>
  <si>
    <t xml:space="preserve">ลูกเบี้ยวล็อค</t>
  </si>
  <si>
    <t xml:space="preserve">รับล็อคลูกเบี้ยว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</si>
  <si>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</rPr>
      <t xml:space="preserve">ซ้ายขาว</t>
    </r>
  </si>
  <si>
    <t xml:space="preserve">JR00308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</si>
  <si>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</rPr>
      <t xml:space="preserve">ขวาขาว</t>
    </r>
  </si>
  <si>
    <t xml:space="preserve">JR00309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</si>
  <si>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</rPr>
      <t xml:space="preserve">ซ้ายดำ</t>
    </r>
  </si>
  <si>
    <t xml:space="preserve">JR00310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</si>
  <si>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</rPr>
      <t xml:space="preserve">ขวาดำ</t>
    </r>
  </si>
  <si>
    <t xml:space="preserve">JR00311</t>
  </si>
  <si>
    <t xml:space="preserve">W4</t>
  </si>
  <si>
    <t xml:space="preserve">W5</t>
  </si>
  <si>
    <t xml:space="preserve">W6</t>
  </si>
  <si>
    <t xml:space="preserve">W7</t>
  </si>
  <si>
    <t xml:space="preserve">⑤ อุปกรณ์ + ตั้งค่า (หน้าต่างบานเปิด (เปิดข้าง/กระทุ้ง) · 1 ใบ)</t>
  </si>
  <si>
    <t xml:space="preserve">ยี่ห้อมือจับ →</t>
  </si>
  <si>
    <t xml:space="preserve">เซนซ่า</t>
  </si>
  <si>
    <t xml:space="preserve">สีมือจับ →</t>
  </si>
  <si>
    <t xml:space="preserve">มือจับ ใบ1 ด้าน →</t>
  </si>
  <si>
    <t xml:space="preserve">ซ้าย</t>
  </si>
  <si>
    <t xml:space="preserve">CDQ กระทุ้ง</t>
  </si>
  <si>
    <t xml:space="preserve">JR ALUMINIUM &amp; GLASS  —  ใบรายการตัด · FUJI บานเปิดคู่   (หน่วย: มม.)</t>
  </si>
  <si>
    <t xml:space="preserve">(กว้าง-18.5-2-18.5)/2</t>
  </si>
  <si>
    <t xml:space="preserve">มือจับ ใบ2</t>
  </si>
  <si>
    <t xml:space="preserve">⑤ อุปกรณ์ + ตั้งค่า (หน้าต่างบานเปิด (เปิดข้าง/กระทุ้ง) · 2 ใบ)</t>
  </si>
  <si>
    <t xml:space="preserve">มือจับ ใบ2 ด้าน →</t>
  </si>
  <si>
    <t xml:space="preserve">ขวา</t>
  </si>
  <si>
    <t xml:space="preserve">JR ALUMINIUM &amp; GLASS  —  ใบรายการตัด · FUJI บานเปิด+มุ้ง   (หน่วย: มม.)</t>
  </si>
  <si>
    <t xml:space="preserve">F7944</t>
  </si>
  <si>
    <t xml:space="preserve">F7949</t>
  </si>
  <si>
    <t xml:space="preserve">F7948</t>
  </si>
  <si>
    <t xml:space="preserve">เฟรม บน-ล่าง</t>
  </si>
  <si>
    <t xml:space="preserve">เสามุ้ง</t>
  </si>
  <si>
    <t xml:space="preserve">ขวางมุ้ง</t>
  </si>
  <si>
    <t xml:space="preserve">คิ้วมุ้ง ตั้ง</t>
  </si>
  <si>
    <t xml:space="preserve">คิ้วมุ้ง ขวาง</t>
  </si>
  <si>
    <t xml:space="preserve">กันสาด</t>
  </si>
  <si>
    <t xml:space="preserve">JR ALUMINIUM &amp; GLASS  —  ใบรายการตัด · FUJI บานเปิด+ช่องแสงล่าง   (หน่วย: มม.)</t>
  </si>
  <si>
    <t xml:space="preserve">มองในบ้าน</t>
  </si>
  <si>
    <t xml:space="preserve">สูง2-6-18.5</t>
  </si>
  <si>
    <t xml:space="preserve">กว้าง-45-45</t>
  </si>
  <si>
    <t xml:space="preserve">สูง1-12.5-25</t>
  </si>
  <si>
    <t xml:space="preserve">   F7997</t>
  </si>
  <si>
    <t xml:space="preserve">กล่องก้านสลับ</t>
  </si>
  <si>
    <t xml:space="preserve">คิ้ว ช่องแสง H1</t>
  </si>
  <si>
    <t xml:space="preserve">H1-24.5-37</t>
  </si>
  <si>
    <t xml:space="preserve">H1</t>
  </si>
  <si>
    <t xml:space="preserve">H2</t>
  </si>
  <si>
    <t xml:space="preserve">A 2.6</t>
  </si>
  <si>
    <t xml:space="preserve">JR ALUMINIUM &amp; GLASS  —  ใบรายการตัด · FUJI บานเปิดคู่+ช่องแสงล่าง   (หน่วย: มม.)</t>
  </si>
  <si>
    <t xml:space="preserve">(กว้าง-18.5-4.5-18.5)/2</t>
  </si>
  <si>
    <t xml:space="preserve">สูง2-14.5-27</t>
  </si>
  <si>
    <t xml:space="preserve">F7858</t>
  </si>
  <si>
    <t xml:space="preserve">JR ALUMINIUM &amp; GLASS  —  ใบรายการตัด · FUJI Fix1   (หน่วย: มม.)</t>
  </si>
  <si>
    <t xml:space="preserve">ชั้น1</t>
  </si>
  <si>
    <t xml:space="preserve">ชั้น2</t>
  </si>
  <si>
    <t xml:space="preserve">เฟรม-ล่าง</t>
  </si>
  <si>
    <t xml:space="preserve">W-35-35</t>
  </si>
  <si>
    <t xml:space="preserve">W4-1</t>
  </si>
  <si>
    <t xml:space="preserve">W9</t>
  </si>
  <si>
    <t xml:space="preserve">W8</t>
  </si>
  <si>
    <t xml:space="preserve">W4-2</t>
  </si>
  <si>
    <t xml:space="preserve">D3-1</t>
  </si>
  <si>
    <t xml:space="preserve">D3-2</t>
  </si>
  <si>
    <t xml:space="preserve">W1-1</t>
  </si>
  <si>
    <t xml:space="preserve">W1-2</t>
  </si>
  <si>
    <t xml:space="preserve">JR ALUMINIUM &amp; GLASS  —  ใบรายการตัด · FUJI Fix2   (หน่วย: มม.)</t>
  </si>
  <si>
    <t xml:space="preserve">(กว้าง-25-25-25)/2</t>
  </si>
  <si>
    <t xml:space="preserve">สูง-25-25</t>
  </si>
  <si>
    <t xml:space="preserve">F7998</t>
  </si>
  <si>
    <t xml:space="preserve">กล่องก้านสองทาง</t>
  </si>
  <si>
    <t xml:space="preserve">คิ้ว-10-10</t>
  </si>
  <si>
    <t xml:space="preserve">JR ALUMINIUM &amp; GLASS  —  ใบรายการตัด · FUJI Fix3   (หน่วย: มม.)</t>
  </si>
  <si>
    <t xml:space="preserve">(กว้าง-25-25-25-25)/3</t>
  </si>
  <si>
    <t xml:space="preserve">JR ALUMINIUM &amp; GLASS  —  ใบรายการตัด · FUJI Fix4   (หน่วย: มม.)</t>
  </si>
  <si>
    <t xml:space="preserve">D2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</si>
</sst>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&quot; mm&quot;"/>
    <numFmt numFmtId="166" formatCode="#,##0&quot; mm&quot;"/>
    <numFmt numFmtId="167" formatCode="0"/>
    <numFmt numFmtId="168" formatCode="0.0"/>
    <numFmt numFmtId="169" formatCode="General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Tahoma"/>
      <family val="0"/>
      <charset val="1"/>
    </font>
    <font>
      <sz val="11"/>
      <color theme="1"/>
      <name val="Microsoft Sans Serif"/>
      <family val="2"/>
      <charset val="1"/>
    </font>
    <font>
      <b val="true"/>
      <sz val="16"/>
      <color theme="1"/>
      <name val="Microsoft Sans Serif"/>
      <family val="2"/>
      <charset val="1"/>
    </font>
    <font>
      <sz val="12"/>
      <color theme="1"/>
      <name val="Microsoft Sans Serif"/>
      <family val="2"/>
      <charset val="1"/>
    </font>
    <font>
      <b val="true"/>
      <sz val="11"/>
      <color rgb="FFC00000"/>
      <name val="Tahoma"/>
      <family val="0"/>
      <charset val="1"/>
    </font>
    <font>
      <b val="true"/>
      <sz val="11"/>
      <name val="Tahoma"/>
      <family val="0"/>
      <charset val="1"/>
    </font>
    <font>
      <i val="true"/>
      <sz val="8"/>
      <color rgb="FF808080"/>
      <name val="Tahoma"/>
      <family val="0"/>
      <charset val="1"/>
    </font>
    <font>
      <sz val="16"/>
      <color theme="1"/>
      <name val="Microsoft Sans Serif"/>
      <family val="2"/>
      <charset val="1"/>
    </font>
    <font>
      <sz val="18"/>
      <color theme="1"/>
      <name val="Microsoft Sans Serif"/>
      <family val="2"/>
      <charset val="1"/>
    </font>
    <font>
      <sz val="14"/>
      <color theme="1"/>
      <name val="Microsoft Sans Serif"/>
      <family val="2"/>
      <charset val="1"/>
    </font>
    <font>
      <sz val="11"/>
      <color theme="1"/>
      <name val="FreeSans"/>
      <family val="2"/>
      <charset val="1"/>
    </font>
    <font>
      <sz val="11"/>
      <color theme="1"/>
      <name val="FreeSans"/>
      <family val="2"/>
    </font>
    <font>
      <sz val="16"/>
      <name val="Microsoft Sans Serif"/>
      <family val="2"/>
      <charset val="1"/>
    </font>
    <font>
      <sz val="11"/>
      <name val="Tahoma"/>
      <family val="2"/>
      <charset val="222"/>
    </font>
    <font>
      <b val="true"/>
      <sz val="9"/>
      <color rgb="FFC00000"/>
      <name val="Tahoma"/>
      <family val="0"/>
      <charset val="1"/>
    </font>
    <font>
      <sz val="18"/>
      <color theme="1"/>
      <name val="Tahoma"/>
      <family val="2"/>
      <charset val="222"/>
    </font>
    <font>
      <sz val="11"/>
      <color theme="1"/>
      <name val="Tahoma"/>
      <family val="2"/>
      <charset val="222"/>
    </font>
    <font>
      <b val="true"/>
      <sz val="11"/>
      <color rgb="FFFFFFFF"/>
      <name val="Tahoma"/>
      <family val="0"/>
      <charset val="1"/>
    </font>
    <font>
      <sz val="10"/>
      <name val="Tahoma"/>
      <family val="0"/>
      <charset val="1"/>
    </font>
    <font>
      <b val="true"/>
      <sz val="1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i val="true"/>
      <sz val="9"/>
      <name val="Tahoma"/>
      <family val="0"/>
      <charset val="1"/>
    </font>
    <font>
      <sz val="36"/>
      <color theme="1"/>
      <name val="Microsoft Sans Serif"/>
      <family val="2"/>
      <charset val="1"/>
    </font>
    <font>
      <sz val="20"/>
      <color theme="1"/>
      <name val="Microsoft Sans Serif"/>
      <family val="2"/>
      <charset val="1"/>
    </font>
    <font>
      <sz val="20"/>
      <name val="Tahoma"/>
      <family val="2"/>
      <charset val="222"/>
    </font>
    <font>
      <sz val="20"/>
      <color theme="1"/>
      <name val="Tahoma"/>
      <family val="2"/>
      <charset val="222"/>
    </font>
    <font>
      <sz val="11"/>
      <name val="Tahoma"/>
      <family val="0"/>
      <charset val="1"/>
    </font>
    <font>
      <sz val="16"/>
      <color theme="1"/>
      <name val="Tahoma"/>
      <family val="2"/>
      <charset val="222"/>
    </font>
    <font>
      <sz val="24"/>
      <color theme="1"/>
      <name val="Microsoft Sans Serif"/>
      <family val="2"/>
      <charset val="1"/>
    </font>
    <font>
      <sz val="24"/>
      <color theme="1"/>
      <name val="Tahoma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E699"/>
        <bgColor rgb="FFFCD5B5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A6A6A6"/>
      </patternFill>
    </fill>
    <fill>
      <patternFill patternType="solid">
        <fgColor theme="9" tint="0.5999"/>
        <bgColor rgb="FFFFE699"/>
      </patternFill>
    </fill>
    <fill>
      <patternFill patternType="solid">
        <fgColor theme="4" tint="0.3999"/>
        <bgColor rgb="FFA6A6A6"/>
      </patternFill>
    </fill>
    <fill>
      <patternFill patternType="solid">
        <fgColor theme="4" tint="0.7999"/>
        <bgColor rgb="FFE2EFDA"/>
      </patternFill>
    </fill>
    <fill>
      <patternFill patternType="solid">
        <fgColor theme="9" tint="0.7999"/>
        <bgColor rgb="FFFFF2CC"/>
      </patternFill>
    </fill>
    <fill>
      <patternFill patternType="solid">
        <fgColor rgb="FF7F77DD"/>
        <bgColor rgb="FF808080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1F4E78"/>
      </patternFill>
    </fill>
    <fill>
      <patternFill patternType="solid">
        <fgColor rgb="FFFFF2CC"/>
        <bgColor rgb="FFFDEADA"/>
      </patternFill>
    </fill>
    <fill>
      <patternFill patternType="solid">
        <fgColor rgb="FFE2EFDA"/>
        <bgColor rgb="FFDCE6F2"/>
      </patternFill>
    </fill>
    <fill>
      <patternFill patternType="solid">
        <fgColor rgb="FFF2F2F2"/>
        <bgColor rgb="FFFDEADA"/>
      </patternFill>
    </fill>
    <fill>
      <patternFill patternType="solid">
        <fgColor theme="0" tint="-0.35"/>
        <bgColor rgb="FF95B3D7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theme="0" tint="-0.5"/>
        <bgColor rgb="FF7F77DD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/>
      <right style="medium"/>
      <top style="thin"/>
      <bottom style="hair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2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3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2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2" fillId="14" borderId="2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16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5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1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7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1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9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3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9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19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1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2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2"/>
      <rgbColor rgb="FF660066"/>
      <rgbColor rgb="FFFF8080"/>
      <rgbColor rgb="FF0066CC"/>
      <rgbColor rgb="FFFDE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EFDA"/>
      <rgbColor rgb="FFFFE699"/>
      <rgbColor rgb="FF95B3D7"/>
      <rgbColor rgb="FFFF99CC"/>
      <rgbColor rgb="FFCC99FF"/>
      <rgbColor rgb="FFFCD5B5"/>
      <rgbColor rgb="FF2E75B6"/>
      <rgbColor rgb="FF33CCCC"/>
      <rgbColor rgb="FF92D050"/>
      <rgbColor rgb="FFFFCC00"/>
      <rgbColor rgb="FFFF9900"/>
      <rgbColor rgb="FFFF6600"/>
      <rgbColor rgb="FF7F77DD"/>
      <rgbColor rgb="FFA6A6A6"/>
      <rgbColor rgb="FF1F4E78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4.png"/><Relationship Id="rId7" Type="http://schemas.openxmlformats.org/officeDocument/2006/relationships/image" Target="../media/image5.png"/><Relationship Id="rId8" Type="http://schemas.openxmlformats.org/officeDocument/2006/relationships/image" Target="../media/image6.png"/><Relationship Id="rId9" Type="http://schemas.openxmlformats.org/officeDocument/2006/relationships/image" Target="../media/image7.png"/><Relationship Id="rId10" Type="http://schemas.openxmlformats.org/officeDocument/2006/relationships/image" Target="../media/image8.png"/><Relationship Id="rId11" Type="http://schemas.openxmlformats.org/officeDocument/2006/relationships/image" Target="../media/image9.png"/><Relationship Id="rId12" Type="http://schemas.openxmlformats.org/officeDocument/2006/relationships/image" Target="../media/image10.png"/><Relationship Id="rId13" Type="http://schemas.openxmlformats.org/officeDocument/2006/relationships/image" Target="../media/image11.png"/><Relationship Id="rId14" Type="http://schemas.openxmlformats.org/officeDocument/2006/relationships/image" Target="../media/image3.png"/><Relationship Id="rId15" Type="http://schemas.openxmlformats.org/officeDocument/2006/relationships/image" Target="../media/image1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9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20.png"/><Relationship Id="rId5" Type="http://schemas.openxmlformats.org/officeDocument/2006/relationships/image" Target="../media/image18.png"/><Relationship Id="rId6" Type="http://schemas.openxmlformats.org/officeDocument/2006/relationships/image" Target="../media/image17.png"/><Relationship Id="rId7" Type="http://schemas.openxmlformats.org/officeDocument/2006/relationships/image" Target="../media/image2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9.png"/><Relationship Id="rId5" Type="http://schemas.openxmlformats.org/officeDocument/2006/relationships/image" Target="../media/image22.png"/><Relationship Id="rId6" Type="http://schemas.openxmlformats.org/officeDocument/2006/relationships/image" Target="../media/image20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Relationship Id="rId3" Type="http://schemas.openxmlformats.org/officeDocument/2006/relationships/image" Target="../media/image20.png"/><Relationship Id="rId4" Type="http://schemas.openxmlformats.org/officeDocument/2006/relationships/image" Target="../media/image18.png"/><Relationship Id="rId5" Type="http://schemas.openxmlformats.org/officeDocument/2006/relationships/image" Target="../media/image17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15.png"/><Relationship Id="rId9" Type="http://schemas.openxmlformats.org/officeDocument/2006/relationships/image" Target="../media/image25.png"/><Relationship Id="rId10" Type="http://schemas.openxmlformats.org/officeDocument/2006/relationships/image" Target="../media/image26.png"/><Relationship Id="rId11" Type="http://schemas.openxmlformats.org/officeDocument/2006/relationships/image" Target="../media/image2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Relationship Id="rId3" Type="http://schemas.openxmlformats.org/officeDocument/2006/relationships/image" Target="../media/image20.png"/><Relationship Id="rId4" Type="http://schemas.openxmlformats.org/officeDocument/2006/relationships/image" Target="../media/image24.png"/><Relationship Id="rId5" Type="http://schemas.openxmlformats.org/officeDocument/2006/relationships/image" Target="../media/image15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8.png"/><Relationship Id="rId9" Type="http://schemas.openxmlformats.org/officeDocument/2006/relationships/image" Target="../media/image19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9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4.png"/><Relationship Id="rId6" Type="http://schemas.openxmlformats.org/officeDocument/2006/relationships/image" Target="../media/image30.png"/><Relationship Id="rId7" Type="http://schemas.openxmlformats.org/officeDocument/2006/relationships/image" Target="../media/image3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9.png"/><Relationship Id="rId3" Type="http://schemas.openxmlformats.org/officeDocument/2006/relationships/image" Target="../media/image15.png"/><Relationship Id="rId4" Type="http://schemas.openxmlformats.org/officeDocument/2006/relationships/image" Target="../media/image32.png"/><Relationship Id="rId5" Type="http://schemas.openxmlformats.org/officeDocument/2006/relationships/image" Target="../media/image31.png"/><Relationship Id="rId6" Type="http://schemas.openxmlformats.org/officeDocument/2006/relationships/image" Target="../media/image20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3.png"/><Relationship Id="rId3" Type="http://schemas.openxmlformats.org/officeDocument/2006/relationships/image" Target="../media/image34.png"/><Relationship Id="rId4" Type="http://schemas.openxmlformats.org/officeDocument/2006/relationships/image" Target="../media/image35.png"/><Relationship Id="rId5" Type="http://schemas.openxmlformats.org/officeDocument/2006/relationships/image" Target="../media/image14.png"/><Relationship Id="rId6" Type="http://schemas.openxmlformats.org/officeDocument/2006/relationships/image" Target="../media/image14.png"/><Relationship Id="rId7" Type="http://schemas.openxmlformats.org/officeDocument/2006/relationships/image" Target="../media/image31.png"/><Relationship Id="rId8" Type="http://schemas.openxmlformats.org/officeDocument/2006/relationships/image" Target="../media/image17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1.png"/><Relationship Id="rId6" Type="http://schemas.openxmlformats.org/officeDocument/2006/relationships/image" Target="../media/image27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7.png"/><Relationship Id="rId3" Type="http://schemas.openxmlformats.org/officeDocument/2006/relationships/image" Target="../media/image15.png"/><Relationship Id="rId4" Type="http://schemas.openxmlformats.org/officeDocument/2006/relationships/image" Target="../media/image31.png"/><Relationship Id="rId5" Type="http://schemas.openxmlformats.org/officeDocument/2006/relationships/image" Target="../media/image39.png"/><Relationship Id="rId6" Type="http://schemas.openxmlformats.org/officeDocument/2006/relationships/image" Target="../media/image27.png"/><Relationship Id="rId7" Type="http://schemas.openxmlformats.org/officeDocument/2006/relationships/image" Target="../media/image40.png"/><Relationship Id="rId8" Type="http://schemas.openxmlformats.org/officeDocument/2006/relationships/image" Target="../media/image20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2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3.png"/><Relationship Id="rId5" Type="http://schemas.openxmlformats.org/officeDocument/2006/relationships/image" Target="../media/image44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4.png"/><Relationship Id="rId5" Type="http://schemas.openxmlformats.org/officeDocument/2006/relationships/image" Target="../media/image45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4.png"/><Relationship Id="rId5" Type="http://schemas.openxmlformats.org/officeDocument/2006/relationships/image" Target="../media/image4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415800</xdr:colOff>
      <xdr:row>6</xdr:row>
      <xdr:rowOff>55440</xdr:rowOff>
    </xdr:from>
    <xdr:to>
      <xdr:col>3</xdr:col>
      <xdr:colOff>539280</xdr:colOff>
      <xdr:row>24</xdr:row>
      <xdr:rowOff>40680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15800" y="1198440"/>
          <a:ext cx="1973880" cy="341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55440</xdr:colOff>
      <xdr:row>6</xdr:row>
      <xdr:rowOff>55440</xdr:rowOff>
    </xdr:from>
    <xdr:to>
      <xdr:col>8</xdr:col>
      <xdr:colOff>317520</xdr:colOff>
      <xdr:row>24</xdr:row>
      <xdr:rowOff>58320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128760" y="1198440"/>
          <a:ext cx="2096640" cy="3431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484920</xdr:colOff>
      <xdr:row>54</xdr:row>
      <xdr:rowOff>152280</xdr:rowOff>
    </xdr:from>
    <xdr:to>
      <xdr:col>4</xdr:col>
      <xdr:colOff>137520</xdr:colOff>
      <xdr:row>72</xdr:row>
      <xdr:rowOff>129600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484920" y="6819840"/>
          <a:ext cx="2114640" cy="340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554040</xdr:colOff>
      <xdr:row>6</xdr:row>
      <xdr:rowOff>69120</xdr:rowOff>
    </xdr:from>
    <xdr:to>
      <xdr:col>22</xdr:col>
      <xdr:colOff>164520</xdr:colOff>
      <xdr:row>24</xdr:row>
      <xdr:rowOff>26640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0965600" y="1212120"/>
          <a:ext cx="2667960" cy="3386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498600</xdr:colOff>
      <xdr:row>6</xdr:row>
      <xdr:rowOff>69120</xdr:rowOff>
    </xdr:from>
    <xdr:to>
      <xdr:col>15</xdr:col>
      <xdr:colOff>65880</xdr:colOff>
      <xdr:row>24</xdr:row>
      <xdr:rowOff>12600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6629400" y="1212120"/>
          <a:ext cx="2624760" cy="337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28</xdr:row>
      <xdr:rowOff>152280</xdr:rowOff>
    </xdr:from>
    <xdr:to>
      <xdr:col>7</xdr:col>
      <xdr:colOff>46800</xdr:colOff>
      <xdr:row>49</xdr:row>
      <xdr:rowOff>151200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457200" y="5486400"/>
          <a:ext cx="3885840" cy="379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526320</xdr:colOff>
      <xdr:row>28</xdr:row>
      <xdr:rowOff>152280</xdr:rowOff>
    </xdr:from>
    <xdr:to>
      <xdr:col>16</xdr:col>
      <xdr:colOff>95760</xdr:colOff>
      <xdr:row>49</xdr:row>
      <xdr:rowOff>124920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6045840" y="5486400"/>
          <a:ext cx="3849840" cy="35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84</xdr:row>
      <xdr:rowOff>55440</xdr:rowOff>
    </xdr:from>
    <xdr:to>
      <xdr:col>3</xdr:col>
      <xdr:colOff>54360</xdr:colOff>
      <xdr:row>101</xdr:row>
      <xdr:rowOff>151200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457200" y="12438000"/>
          <a:ext cx="1447560" cy="333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526320</xdr:colOff>
      <xdr:row>84</xdr:row>
      <xdr:rowOff>55440</xdr:rowOff>
    </xdr:from>
    <xdr:to>
      <xdr:col>9</xdr:col>
      <xdr:colOff>157320</xdr:colOff>
      <xdr:row>101</xdr:row>
      <xdr:rowOff>123480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2988360" y="12438000"/>
          <a:ext cx="2688480" cy="3306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554040</xdr:colOff>
      <xdr:row>84</xdr:row>
      <xdr:rowOff>55440</xdr:rowOff>
    </xdr:from>
    <xdr:to>
      <xdr:col>17</xdr:col>
      <xdr:colOff>220320</xdr:colOff>
      <xdr:row>101</xdr:row>
      <xdr:rowOff>151200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6684840" y="12438000"/>
          <a:ext cx="3947040" cy="333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138600</xdr:colOff>
      <xdr:row>84</xdr:row>
      <xdr:rowOff>55440</xdr:rowOff>
    </xdr:from>
    <xdr:to>
      <xdr:col>28</xdr:col>
      <xdr:colOff>75960</xdr:colOff>
      <xdr:row>101</xdr:row>
      <xdr:rowOff>189360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1773080" y="12438000"/>
          <a:ext cx="5441040" cy="337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194040</xdr:colOff>
      <xdr:row>54</xdr:row>
      <xdr:rowOff>152280</xdr:rowOff>
    </xdr:from>
    <xdr:to>
      <xdr:col>9</xdr:col>
      <xdr:colOff>137520</xdr:colOff>
      <xdr:row>72</xdr:row>
      <xdr:rowOff>123480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3267360" y="6819840"/>
          <a:ext cx="2389680" cy="3400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470880</xdr:colOff>
      <xdr:row>53</xdr:row>
      <xdr:rowOff>166320</xdr:rowOff>
    </xdr:from>
    <xdr:to>
      <xdr:col>12</xdr:col>
      <xdr:colOff>608400</xdr:colOff>
      <xdr:row>72</xdr:row>
      <xdr:rowOff>137520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5990400" y="6643440"/>
          <a:ext cx="1972080" cy="359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194040</xdr:colOff>
      <xdr:row>54</xdr:row>
      <xdr:rowOff>96840</xdr:rowOff>
    </xdr:from>
    <xdr:to>
      <xdr:col>18</xdr:col>
      <xdr:colOff>457200</xdr:colOff>
      <xdr:row>72</xdr:row>
      <xdr:rowOff>109440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8771040" y="6764400"/>
          <a:ext cx="2709000" cy="344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277200</xdr:colOff>
      <xdr:row>55</xdr:row>
      <xdr:rowOff>0</xdr:rowOff>
    </xdr:from>
    <xdr:to>
      <xdr:col>24</xdr:col>
      <xdr:colOff>220680</xdr:colOff>
      <xdr:row>72</xdr:row>
      <xdr:rowOff>110160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2523320" y="6858000"/>
          <a:ext cx="2389320" cy="334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117720</xdr:colOff>
      <xdr:row>6</xdr:row>
      <xdr:rowOff>422640</xdr:rowOff>
    </xdr:from>
    <xdr:to>
      <xdr:col>16</xdr:col>
      <xdr:colOff>262080</xdr:colOff>
      <xdr:row>7</xdr:row>
      <xdr:rowOff>442800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11994840" y="3708720"/>
          <a:ext cx="6166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498600</xdr:colOff>
      <xdr:row>0</xdr:row>
      <xdr:rowOff>0</xdr:rowOff>
    </xdr:from>
    <xdr:to>
      <xdr:col>12</xdr:col>
      <xdr:colOff>595080</xdr:colOff>
      <xdr:row>4</xdr:row>
      <xdr:rowOff>400680</xdr:rowOff>
    </xdr:to>
    <xdr:pic>
      <xdr:nvPicPr>
        <xdr:cNvPr id="16" name="Image 2" descr="Picture"/>
        <xdr:cNvPicPr/>
      </xdr:nvPicPr>
      <xdr:blipFill>
        <a:blip r:embed="rId2"/>
        <a:stretch/>
      </xdr:blipFill>
      <xdr:spPr>
        <a:xfrm>
          <a:off x="8744760" y="0"/>
          <a:ext cx="1464120" cy="241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558000</xdr:colOff>
      <xdr:row>7</xdr:row>
      <xdr:rowOff>400680</xdr:rowOff>
    </xdr:to>
    <xdr:pic>
      <xdr:nvPicPr>
        <xdr:cNvPr id="17" name="Image 3" descr="Picture"/>
        <xdr:cNvPicPr/>
      </xdr:nvPicPr>
      <xdr:blipFill>
        <a:blip r:embed="rId3"/>
        <a:stretch/>
      </xdr:blipFill>
      <xdr:spPr>
        <a:xfrm>
          <a:off x="5057280" y="3687840"/>
          <a:ext cx="101124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799560</xdr:colOff>
      <xdr:row>6</xdr:row>
      <xdr:rowOff>350280</xdr:rowOff>
    </xdr:from>
    <xdr:to>
      <xdr:col>12</xdr:col>
      <xdr:colOff>548640</xdr:colOff>
      <xdr:row>7</xdr:row>
      <xdr:rowOff>469800</xdr:rowOff>
    </xdr:to>
    <xdr:pic>
      <xdr:nvPicPr>
        <xdr:cNvPr id="18" name="Image 4" descr="Picture"/>
        <xdr:cNvPicPr/>
      </xdr:nvPicPr>
      <xdr:blipFill>
        <a:blip r:embed="rId4"/>
        <a:stretch/>
      </xdr:blipFill>
      <xdr:spPr>
        <a:xfrm>
          <a:off x="9045720" y="3636360"/>
          <a:ext cx="1116720" cy="62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96840</xdr:colOff>
      <xdr:row>6</xdr:row>
      <xdr:rowOff>360360</xdr:rowOff>
    </xdr:from>
    <xdr:to>
      <xdr:col>9</xdr:col>
      <xdr:colOff>322560</xdr:colOff>
      <xdr:row>7</xdr:row>
      <xdr:rowOff>387000</xdr:rowOff>
    </xdr:to>
    <xdr:pic>
      <xdr:nvPicPr>
        <xdr:cNvPr id="19" name="Image 5" descr="Picture"/>
        <xdr:cNvPicPr/>
      </xdr:nvPicPr>
      <xdr:blipFill>
        <a:blip r:embed="rId5"/>
        <a:stretch/>
      </xdr:blipFill>
      <xdr:spPr>
        <a:xfrm>
          <a:off x="6975000" y="3646440"/>
          <a:ext cx="1121400" cy="53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221760</xdr:colOff>
      <xdr:row>6</xdr:row>
      <xdr:rowOff>443520</xdr:rowOff>
    </xdr:from>
    <xdr:to>
      <xdr:col>19</xdr:col>
      <xdr:colOff>276120</xdr:colOff>
      <xdr:row>7</xdr:row>
      <xdr:rowOff>417240</xdr:rowOff>
    </xdr:to>
    <xdr:pic>
      <xdr:nvPicPr>
        <xdr:cNvPr id="20" name="Image 6" descr="Picture"/>
        <xdr:cNvPicPr/>
      </xdr:nvPicPr>
      <xdr:blipFill>
        <a:blip r:embed="rId6"/>
        <a:stretch/>
      </xdr:blipFill>
      <xdr:spPr>
        <a:xfrm>
          <a:off x="13939200" y="3729600"/>
          <a:ext cx="949680" cy="478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117720</xdr:colOff>
      <xdr:row>6</xdr:row>
      <xdr:rowOff>422640</xdr:rowOff>
    </xdr:from>
    <xdr:to>
      <xdr:col>14</xdr:col>
      <xdr:colOff>262080</xdr:colOff>
      <xdr:row>7</xdr:row>
      <xdr:rowOff>442800</xdr:rowOff>
    </xdr:to>
    <xdr:pic>
      <xdr:nvPicPr>
        <xdr:cNvPr id="21" name="Image 1" descr="Picture"/>
        <xdr:cNvPicPr/>
      </xdr:nvPicPr>
      <xdr:blipFill>
        <a:blip r:embed="rId1"/>
        <a:stretch/>
      </xdr:blipFill>
      <xdr:spPr>
        <a:xfrm>
          <a:off x="10626840" y="3708720"/>
          <a:ext cx="61704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83160</xdr:colOff>
      <xdr:row>0</xdr:row>
      <xdr:rowOff>0</xdr:rowOff>
    </xdr:from>
    <xdr:to>
      <xdr:col>10</xdr:col>
      <xdr:colOff>179640</xdr:colOff>
      <xdr:row>4</xdr:row>
      <xdr:rowOff>400680</xdr:rowOff>
    </xdr:to>
    <xdr:pic>
      <xdr:nvPicPr>
        <xdr:cNvPr id="22" name="Image 2" descr="Picture"/>
        <xdr:cNvPicPr/>
      </xdr:nvPicPr>
      <xdr:blipFill>
        <a:blip r:embed="rId2"/>
        <a:stretch/>
      </xdr:blipFill>
      <xdr:spPr>
        <a:xfrm>
          <a:off x="6961320" y="0"/>
          <a:ext cx="1464480" cy="241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558000</xdr:colOff>
      <xdr:row>7</xdr:row>
      <xdr:rowOff>400680</xdr:rowOff>
    </xdr:to>
    <xdr:pic>
      <xdr:nvPicPr>
        <xdr:cNvPr id="23" name="Image 3" descr="Picture"/>
        <xdr:cNvPicPr/>
      </xdr:nvPicPr>
      <xdr:blipFill>
        <a:blip r:embed="rId3"/>
        <a:stretch/>
      </xdr:blipFill>
      <xdr:spPr>
        <a:xfrm>
          <a:off x="5057280" y="3687840"/>
          <a:ext cx="101124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799560</xdr:colOff>
      <xdr:row>6</xdr:row>
      <xdr:rowOff>350280</xdr:rowOff>
    </xdr:from>
    <xdr:to>
      <xdr:col>10</xdr:col>
      <xdr:colOff>548640</xdr:colOff>
      <xdr:row>7</xdr:row>
      <xdr:rowOff>469800</xdr:rowOff>
    </xdr:to>
    <xdr:pic>
      <xdr:nvPicPr>
        <xdr:cNvPr id="24" name="Image 4" descr="Picture"/>
        <xdr:cNvPicPr/>
      </xdr:nvPicPr>
      <xdr:blipFill>
        <a:blip r:embed="rId4"/>
        <a:stretch/>
      </xdr:blipFill>
      <xdr:spPr>
        <a:xfrm>
          <a:off x="7677720" y="3636360"/>
          <a:ext cx="1117080" cy="62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277200</xdr:colOff>
      <xdr:row>6</xdr:row>
      <xdr:rowOff>470880</xdr:rowOff>
    </xdr:from>
    <xdr:to>
      <xdr:col>17</xdr:col>
      <xdr:colOff>262440</xdr:colOff>
      <xdr:row>7</xdr:row>
      <xdr:rowOff>437760</xdr:rowOff>
    </xdr:to>
    <xdr:pic>
      <xdr:nvPicPr>
        <xdr:cNvPr id="25" name="Image 5" descr="Picture"/>
        <xdr:cNvPicPr/>
      </xdr:nvPicPr>
      <xdr:blipFill>
        <a:blip r:embed="rId5"/>
        <a:stretch/>
      </xdr:blipFill>
      <xdr:spPr>
        <a:xfrm>
          <a:off x="12626640" y="3756960"/>
          <a:ext cx="880560" cy="47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408600</xdr:colOff>
      <xdr:row>6</xdr:row>
      <xdr:rowOff>422640</xdr:rowOff>
    </xdr:from>
    <xdr:to>
      <xdr:col>21</xdr:col>
      <xdr:colOff>95760</xdr:colOff>
      <xdr:row>7</xdr:row>
      <xdr:rowOff>442800</xdr:rowOff>
    </xdr:to>
    <xdr:pic>
      <xdr:nvPicPr>
        <xdr:cNvPr id="26" name="Image 1" descr="Picture"/>
        <xdr:cNvPicPr/>
      </xdr:nvPicPr>
      <xdr:blipFill>
        <a:blip r:embed="rId1"/>
        <a:stretch/>
      </xdr:blipFill>
      <xdr:spPr>
        <a:xfrm>
          <a:off x="15632640" y="3708720"/>
          <a:ext cx="5824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</xdr:row>
      <xdr:rowOff>401760</xdr:rowOff>
    </xdr:from>
    <xdr:to>
      <xdr:col>8</xdr:col>
      <xdr:colOff>558000</xdr:colOff>
      <xdr:row>7</xdr:row>
      <xdr:rowOff>400680</xdr:rowOff>
    </xdr:to>
    <xdr:pic>
      <xdr:nvPicPr>
        <xdr:cNvPr id="27" name="Image 2" descr="Picture"/>
        <xdr:cNvPicPr/>
      </xdr:nvPicPr>
      <xdr:blipFill>
        <a:blip r:embed="rId2"/>
        <a:stretch/>
      </xdr:blipFill>
      <xdr:spPr>
        <a:xfrm>
          <a:off x="6563880" y="3687840"/>
          <a:ext cx="101160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134640</xdr:colOff>
      <xdr:row>6</xdr:row>
      <xdr:rowOff>350280</xdr:rowOff>
    </xdr:from>
    <xdr:to>
      <xdr:col>15</xdr:col>
      <xdr:colOff>396360</xdr:colOff>
      <xdr:row>7</xdr:row>
      <xdr:rowOff>469800</xdr:rowOff>
    </xdr:to>
    <xdr:pic>
      <xdr:nvPicPr>
        <xdr:cNvPr id="28" name="Image 3" descr="Picture"/>
        <xdr:cNvPicPr/>
      </xdr:nvPicPr>
      <xdr:blipFill>
        <a:blip r:embed="rId3"/>
        <a:stretch/>
      </xdr:blipFill>
      <xdr:spPr>
        <a:xfrm>
          <a:off x="11255400" y="3636360"/>
          <a:ext cx="1157040" cy="62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401760</xdr:colOff>
      <xdr:row>6</xdr:row>
      <xdr:rowOff>304920</xdr:rowOff>
    </xdr:from>
    <xdr:to>
      <xdr:col>27</xdr:col>
      <xdr:colOff>68040</xdr:colOff>
      <xdr:row>7</xdr:row>
      <xdr:rowOff>475560</xdr:rowOff>
    </xdr:to>
    <xdr:pic>
      <xdr:nvPicPr>
        <xdr:cNvPr id="29" name="Image 4" descr="Picture"/>
        <xdr:cNvPicPr/>
      </xdr:nvPicPr>
      <xdr:blipFill>
        <a:blip r:embed="rId4"/>
        <a:stretch/>
      </xdr:blipFill>
      <xdr:spPr>
        <a:xfrm>
          <a:off x="19729080" y="3591000"/>
          <a:ext cx="561960" cy="67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221760</xdr:colOff>
      <xdr:row>6</xdr:row>
      <xdr:rowOff>443520</xdr:rowOff>
    </xdr:from>
    <xdr:to>
      <xdr:col>25</xdr:col>
      <xdr:colOff>276120</xdr:colOff>
      <xdr:row>7</xdr:row>
      <xdr:rowOff>417240</xdr:rowOff>
    </xdr:to>
    <xdr:pic>
      <xdr:nvPicPr>
        <xdr:cNvPr id="30" name="Image 5" descr="Picture"/>
        <xdr:cNvPicPr/>
      </xdr:nvPicPr>
      <xdr:blipFill>
        <a:blip r:embed="rId5"/>
        <a:stretch/>
      </xdr:blipFill>
      <xdr:spPr>
        <a:xfrm>
          <a:off x="18181440" y="3729600"/>
          <a:ext cx="949680" cy="47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96840</xdr:colOff>
      <xdr:row>6</xdr:row>
      <xdr:rowOff>360360</xdr:rowOff>
    </xdr:from>
    <xdr:to>
      <xdr:col>11</xdr:col>
      <xdr:colOff>322560</xdr:colOff>
      <xdr:row>7</xdr:row>
      <xdr:rowOff>387000</xdr:rowOff>
    </xdr:to>
    <xdr:pic>
      <xdr:nvPicPr>
        <xdr:cNvPr id="31" name="Image 6" descr="Picture"/>
        <xdr:cNvPicPr/>
      </xdr:nvPicPr>
      <xdr:blipFill>
        <a:blip r:embed="rId6"/>
        <a:stretch/>
      </xdr:blipFill>
      <xdr:spPr>
        <a:xfrm>
          <a:off x="8481960" y="3646440"/>
          <a:ext cx="1121040" cy="53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429480</xdr:colOff>
      <xdr:row>0</xdr:row>
      <xdr:rowOff>0</xdr:rowOff>
    </xdr:from>
    <xdr:to>
      <xdr:col>12</xdr:col>
      <xdr:colOff>802440</xdr:colOff>
      <xdr:row>4</xdr:row>
      <xdr:rowOff>396360</xdr:rowOff>
    </xdr:to>
    <xdr:pic>
      <xdr:nvPicPr>
        <xdr:cNvPr id="32" name="Image 7" descr="Picture"/>
        <xdr:cNvPicPr/>
      </xdr:nvPicPr>
      <xdr:blipFill>
        <a:blip r:embed="rId7"/>
        <a:stretch/>
      </xdr:blipFill>
      <xdr:spPr>
        <a:xfrm>
          <a:off x="8342280" y="0"/>
          <a:ext cx="2213280" cy="2415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408600</xdr:colOff>
      <xdr:row>6</xdr:row>
      <xdr:rowOff>422640</xdr:rowOff>
    </xdr:from>
    <xdr:to>
      <xdr:col>19</xdr:col>
      <xdr:colOff>95760</xdr:colOff>
      <xdr:row>7</xdr:row>
      <xdr:rowOff>442800</xdr:rowOff>
    </xdr:to>
    <xdr:pic>
      <xdr:nvPicPr>
        <xdr:cNvPr id="33" name="Image 1" descr="Picture"/>
        <xdr:cNvPicPr/>
      </xdr:nvPicPr>
      <xdr:blipFill>
        <a:blip r:embed="rId1"/>
        <a:stretch/>
      </xdr:blipFill>
      <xdr:spPr>
        <a:xfrm>
          <a:off x="14265000" y="3708720"/>
          <a:ext cx="5824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</xdr:row>
      <xdr:rowOff>401760</xdr:rowOff>
    </xdr:from>
    <xdr:to>
      <xdr:col>8</xdr:col>
      <xdr:colOff>558000</xdr:colOff>
      <xdr:row>7</xdr:row>
      <xdr:rowOff>400680</xdr:rowOff>
    </xdr:to>
    <xdr:pic>
      <xdr:nvPicPr>
        <xdr:cNvPr id="34" name="Image 2" descr="Picture"/>
        <xdr:cNvPicPr/>
      </xdr:nvPicPr>
      <xdr:blipFill>
        <a:blip r:embed="rId2"/>
        <a:stretch/>
      </xdr:blipFill>
      <xdr:spPr>
        <a:xfrm>
          <a:off x="6563880" y="3687840"/>
          <a:ext cx="101160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134640</xdr:colOff>
      <xdr:row>6</xdr:row>
      <xdr:rowOff>350280</xdr:rowOff>
    </xdr:from>
    <xdr:to>
      <xdr:col>13</xdr:col>
      <xdr:colOff>396360</xdr:colOff>
      <xdr:row>7</xdr:row>
      <xdr:rowOff>469800</xdr:rowOff>
    </xdr:to>
    <xdr:pic>
      <xdr:nvPicPr>
        <xdr:cNvPr id="35" name="Image 3" descr="Picture"/>
        <xdr:cNvPicPr/>
      </xdr:nvPicPr>
      <xdr:blipFill>
        <a:blip r:embed="rId3"/>
        <a:stretch/>
      </xdr:blipFill>
      <xdr:spPr>
        <a:xfrm>
          <a:off x="9887760" y="3636360"/>
          <a:ext cx="1157040" cy="62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277200</xdr:colOff>
      <xdr:row>6</xdr:row>
      <xdr:rowOff>470880</xdr:rowOff>
    </xdr:from>
    <xdr:to>
      <xdr:col>23</xdr:col>
      <xdr:colOff>262440</xdr:colOff>
      <xdr:row>7</xdr:row>
      <xdr:rowOff>437760</xdr:rowOff>
    </xdr:to>
    <xdr:pic>
      <xdr:nvPicPr>
        <xdr:cNvPr id="36" name="Image 4" descr="Picture"/>
        <xdr:cNvPicPr/>
      </xdr:nvPicPr>
      <xdr:blipFill>
        <a:blip r:embed="rId4"/>
        <a:stretch/>
      </xdr:blipFill>
      <xdr:spPr>
        <a:xfrm>
          <a:off x="16869240" y="3756960"/>
          <a:ext cx="880560" cy="47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26280</xdr:colOff>
      <xdr:row>0</xdr:row>
      <xdr:rowOff>0</xdr:rowOff>
    </xdr:from>
    <xdr:to>
      <xdr:col>13</xdr:col>
      <xdr:colOff>11160</xdr:colOff>
      <xdr:row>4</xdr:row>
      <xdr:rowOff>372960</xdr:rowOff>
    </xdr:to>
    <xdr:pic>
      <xdr:nvPicPr>
        <xdr:cNvPr id="37" name="Image 5" descr="Picture"/>
        <xdr:cNvPicPr/>
      </xdr:nvPicPr>
      <xdr:blipFill>
        <a:blip r:embed="rId5"/>
        <a:stretch/>
      </xdr:blipFill>
      <xdr:spPr>
        <a:xfrm>
          <a:off x="8411400" y="0"/>
          <a:ext cx="2248200" cy="239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401760</xdr:colOff>
      <xdr:row>6</xdr:row>
      <xdr:rowOff>304920</xdr:rowOff>
    </xdr:from>
    <xdr:to>
      <xdr:col>25</xdr:col>
      <xdr:colOff>68040</xdr:colOff>
      <xdr:row>7</xdr:row>
      <xdr:rowOff>475560</xdr:rowOff>
    </xdr:to>
    <xdr:pic>
      <xdr:nvPicPr>
        <xdr:cNvPr id="38" name="Image 6" descr="Picture"/>
        <xdr:cNvPicPr/>
      </xdr:nvPicPr>
      <xdr:blipFill>
        <a:blip r:embed="rId6"/>
        <a:stretch/>
      </xdr:blipFill>
      <xdr:spPr>
        <a:xfrm>
          <a:off x="18361440" y="3591000"/>
          <a:ext cx="561600" cy="67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367200</xdr:colOff>
      <xdr:row>6</xdr:row>
      <xdr:rowOff>422640</xdr:rowOff>
    </xdr:from>
    <xdr:to>
      <xdr:col>32</xdr:col>
      <xdr:colOff>54360</xdr:colOff>
      <xdr:row>7</xdr:row>
      <xdr:rowOff>442800</xdr:rowOff>
    </xdr:to>
    <xdr:pic>
      <xdr:nvPicPr>
        <xdr:cNvPr id="39" name="Image 1" descr="Picture"/>
        <xdr:cNvPicPr/>
      </xdr:nvPicPr>
      <xdr:blipFill>
        <a:blip r:embed="rId1"/>
        <a:stretch/>
      </xdr:blipFill>
      <xdr:spPr>
        <a:xfrm>
          <a:off x="23041800" y="3708720"/>
          <a:ext cx="5824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134640</xdr:colOff>
      <xdr:row>6</xdr:row>
      <xdr:rowOff>350280</xdr:rowOff>
    </xdr:from>
    <xdr:to>
      <xdr:col>24</xdr:col>
      <xdr:colOff>396360</xdr:colOff>
      <xdr:row>7</xdr:row>
      <xdr:rowOff>469800</xdr:rowOff>
    </xdr:to>
    <xdr:pic>
      <xdr:nvPicPr>
        <xdr:cNvPr id="40" name="Image 2" descr="Picture"/>
        <xdr:cNvPicPr/>
      </xdr:nvPicPr>
      <xdr:blipFill>
        <a:blip r:embed="rId2"/>
        <a:stretch/>
      </xdr:blipFill>
      <xdr:spPr>
        <a:xfrm>
          <a:off x="17337960" y="3636360"/>
          <a:ext cx="1157040" cy="62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401760</xdr:colOff>
      <xdr:row>6</xdr:row>
      <xdr:rowOff>304920</xdr:rowOff>
    </xdr:from>
    <xdr:to>
      <xdr:col>42</xdr:col>
      <xdr:colOff>68040</xdr:colOff>
      <xdr:row>7</xdr:row>
      <xdr:rowOff>475560</xdr:rowOff>
    </xdr:to>
    <xdr:pic>
      <xdr:nvPicPr>
        <xdr:cNvPr id="41" name="Image 3" descr="Picture"/>
        <xdr:cNvPicPr/>
      </xdr:nvPicPr>
      <xdr:blipFill>
        <a:blip r:embed="rId3"/>
        <a:stretch/>
      </xdr:blipFill>
      <xdr:spPr>
        <a:xfrm>
          <a:off x="29915280" y="3591000"/>
          <a:ext cx="561600" cy="67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60480</xdr:colOff>
      <xdr:row>6</xdr:row>
      <xdr:rowOff>443520</xdr:rowOff>
    </xdr:from>
    <xdr:to>
      <xdr:col>39</xdr:col>
      <xdr:colOff>497520</xdr:colOff>
      <xdr:row>7</xdr:row>
      <xdr:rowOff>417240</xdr:rowOff>
    </xdr:to>
    <xdr:pic>
      <xdr:nvPicPr>
        <xdr:cNvPr id="42" name="Image 4" descr="Picture"/>
        <xdr:cNvPicPr/>
      </xdr:nvPicPr>
      <xdr:blipFill>
        <a:blip r:embed="rId4"/>
        <a:stretch/>
      </xdr:blipFill>
      <xdr:spPr>
        <a:xfrm>
          <a:off x="27733680" y="3729600"/>
          <a:ext cx="909720" cy="47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845280</xdr:colOff>
      <xdr:row>6</xdr:row>
      <xdr:rowOff>360360</xdr:rowOff>
    </xdr:from>
    <xdr:to>
      <xdr:col>15</xdr:col>
      <xdr:colOff>558360</xdr:colOff>
      <xdr:row>7</xdr:row>
      <xdr:rowOff>387000</xdr:rowOff>
    </xdr:to>
    <xdr:pic>
      <xdr:nvPicPr>
        <xdr:cNvPr id="43" name="Image 5" descr="Picture"/>
        <xdr:cNvPicPr/>
      </xdr:nvPicPr>
      <xdr:blipFill>
        <a:blip r:embed="rId5"/>
        <a:stretch/>
      </xdr:blipFill>
      <xdr:spPr>
        <a:xfrm>
          <a:off x="11209680" y="3646440"/>
          <a:ext cx="1081080" cy="53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374040</xdr:colOff>
      <xdr:row>0</xdr:row>
      <xdr:rowOff>0</xdr:rowOff>
    </xdr:from>
    <xdr:to>
      <xdr:col>15</xdr:col>
      <xdr:colOff>410400</xdr:colOff>
      <xdr:row>4</xdr:row>
      <xdr:rowOff>428400</xdr:rowOff>
    </xdr:to>
    <xdr:pic>
      <xdr:nvPicPr>
        <xdr:cNvPr id="44" name="Image 6" descr="Picture"/>
        <xdr:cNvPicPr/>
      </xdr:nvPicPr>
      <xdr:blipFill>
        <a:blip r:embed="rId6"/>
        <a:stretch/>
      </xdr:blipFill>
      <xdr:spPr>
        <a:xfrm>
          <a:off x="8898120" y="0"/>
          <a:ext cx="3244680" cy="244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248760</xdr:colOff>
      <xdr:row>6</xdr:row>
      <xdr:rowOff>361080</xdr:rowOff>
    </xdr:from>
    <xdr:to>
      <xdr:col>8</xdr:col>
      <xdr:colOff>302400</xdr:colOff>
      <xdr:row>7</xdr:row>
      <xdr:rowOff>428400</xdr:rowOff>
    </xdr:to>
    <xdr:pic>
      <xdr:nvPicPr>
        <xdr:cNvPr id="45" name="Image 7" descr="Picture"/>
        <xdr:cNvPicPr/>
      </xdr:nvPicPr>
      <xdr:blipFill>
        <a:blip r:embed="rId7"/>
        <a:stretch/>
      </xdr:blipFill>
      <xdr:spPr>
        <a:xfrm>
          <a:off x="6509880" y="3647160"/>
          <a:ext cx="948960" cy="57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194040</xdr:colOff>
      <xdr:row>6</xdr:row>
      <xdr:rowOff>388080</xdr:rowOff>
    </xdr:from>
    <xdr:to>
      <xdr:col>12</xdr:col>
      <xdr:colOff>350280</xdr:colOff>
      <xdr:row>7</xdr:row>
      <xdr:rowOff>387000</xdr:rowOff>
    </xdr:to>
    <xdr:pic>
      <xdr:nvPicPr>
        <xdr:cNvPr id="46" name="Image 8" descr="Picture"/>
        <xdr:cNvPicPr/>
      </xdr:nvPicPr>
      <xdr:blipFill>
        <a:blip r:embed="rId8"/>
        <a:stretch/>
      </xdr:blipFill>
      <xdr:spPr>
        <a:xfrm>
          <a:off x="9190800" y="3674160"/>
          <a:ext cx="105156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228600</xdr:colOff>
      <xdr:row>7</xdr:row>
      <xdr:rowOff>62280</xdr:rowOff>
    </xdr:from>
    <xdr:to>
      <xdr:col>10</xdr:col>
      <xdr:colOff>234360</xdr:colOff>
      <xdr:row>7</xdr:row>
      <xdr:rowOff>396000</xdr:rowOff>
    </xdr:to>
    <xdr:pic>
      <xdr:nvPicPr>
        <xdr:cNvPr id="47" name="Image 9" descr="Picture"/>
        <xdr:cNvPicPr/>
      </xdr:nvPicPr>
      <xdr:blipFill>
        <a:blip r:embed="rId9"/>
        <a:stretch/>
      </xdr:blipFill>
      <xdr:spPr>
        <a:xfrm>
          <a:off x="7857360" y="3853080"/>
          <a:ext cx="901080" cy="33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706680</xdr:colOff>
      <xdr:row>6</xdr:row>
      <xdr:rowOff>332640</xdr:rowOff>
    </xdr:from>
    <xdr:to>
      <xdr:col>19</xdr:col>
      <xdr:colOff>462960</xdr:colOff>
      <xdr:row>7</xdr:row>
      <xdr:rowOff>387000</xdr:rowOff>
    </xdr:to>
    <xdr:pic>
      <xdr:nvPicPr>
        <xdr:cNvPr id="48" name="Image 10" descr="Picture"/>
        <xdr:cNvPicPr/>
      </xdr:nvPicPr>
      <xdr:blipFill>
        <a:blip r:embed="rId10"/>
        <a:stretch/>
      </xdr:blipFill>
      <xdr:spPr>
        <a:xfrm>
          <a:off x="13806720" y="3618720"/>
          <a:ext cx="1123920" cy="55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304920</xdr:colOff>
      <xdr:row>6</xdr:row>
      <xdr:rowOff>443520</xdr:rowOff>
    </xdr:from>
    <xdr:to>
      <xdr:col>44</xdr:col>
      <xdr:colOff>179280</xdr:colOff>
      <xdr:row>7</xdr:row>
      <xdr:rowOff>438120</xdr:rowOff>
    </xdr:to>
    <xdr:pic>
      <xdr:nvPicPr>
        <xdr:cNvPr id="49" name="Image 11" descr="Picture"/>
        <xdr:cNvPicPr/>
      </xdr:nvPicPr>
      <xdr:blipFill>
        <a:blip r:embed="rId11"/>
        <a:stretch/>
      </xdr:blipFill>
      <xdr:spPr>
        <a:xfrm>
          <a:off x="31186080" y="3729600"/>
          <a:ext cx="770040" cy="499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367200</xdr:colOff>
      <xdr:row>6</xdr:row>
      <xdr:rowOff>422640</xdr:rowOff>
    </xdr:from>
    <xdr:to>
      <xdr:col>28</xdr:col>
      <xdr:colOff>54360</xdr:colOff>
      <xdr:row>7</xdr:row>
      <xdr:rowOff>442800</xdr:rowOff>
    </xdr:to>
    <xdr:pic>
      <xdr:nvPicPr>
        <xdr:cNvPr id="50" name="Image 1" descr="Picture"/>
        <xdr:cNvPicPr/>
      </xdr:nvPicPr>
      <xdr:blipFill>
        <a:blip r:embed="rId1"/>
        <a:stretch/>
      </xdr:blipFill>
      <xdr:spPr>
        <a:xfrm>
          <a:off x="20306160" y="3708720"/>
          <a:ext cx="5824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134640</xdr:colOff>
      <xdr:row>6</xdr:row>
      <xdr:rowOff>350280</xdr:rowOff>
    </xdr:from>
    <xdr:to>
      <xdr:col>20</xdr:col>
      <xdr:colOff>396360</xdr:colOff>
      <xdr:row>7</xdr:row>
      <xdr:rowOff>469800</xdr:rowOff>
    </xdr:to>
    <xdr:pic>
      <xdr:nvPicPr>
        <xdr:cNvPr id="51" name="Image 2" descr="Picture"/>
        <xdr:cNvPicPr/>
      </xdr:nvPicPr>
      <xdr:blipFill>
        <a:blip r:embed="rId2"/>
        <a:stretch/>
      </xdr:blipFill>
      <xdr:spPr>
        <a:xfrm>
          <a:off x="14602320" y="3636360"/>
          <a:ext cx="1157400" cy="624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401760</xdr:colOff>
      <xdr:row>6</xdr:row>
      <xdr:rowOff>304920</xdr:rowOff>
    </xdr:from>
    <xdr:to>
      <xdr:col>34</xdr:col>
      <xdr:colOff>68040</xdr:colOff>
      <xdr:row>7</xdr:row>
      <xdr:rowOff>475560</xdr:rowOff>
    </xdr:to>
    <xdr:pic>
      <xdr:nvPicPr>
        <xdr:cNvPr id="52" name="Image 3" descr="Picture"/>
        <xdr:cNvPicPr/>
      </xdr:nvPicPr>
      <xdr:blipFill>
        <a:blip r:embed="rId3"/>
        <a:stretch/>
      </xdr:blipFill>
      <xdr:spPr>
        <a:xfrm>
          <a:off x="24444000" y="3591000"/>
          <a:ext cx="561600" cy="675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248760</xdr:colOff>
      <xdr:row>6</xdr:row>
      <xdr:rowOff>361080</xdr:rowOff>
    </xdr:from>
    <xdr:to>
      <xdr:col>8</xdr:col>
      <xdr:colOff>302400</xdr:colOff>
      <xdr:row>7</xdr:row>
      <xdr:rowOff>428400</xdr:rowOff>
    </xdr:to>
    <xdr:pic>
      <xdr:nvPicPr>
        <xdr:cNvPr id="53" name="Image 4" descr="Picture"/>
        <xdr:cNvPicPr/>
      </xdr:nvPicPr>
      <xdr:blipFill>
        <a:blip r:embed="rId4"/>
        <a:stretch/>
      </xdr:blipFill>
      <xdr:spPr>
        <a:xfrm>
          <a:off x="6509880" y="3647160"/>
          <a:ext cx="948960" cy="572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194040</xdr:colOff>
      <xdr:row>6</xdr:row>
      <xdr:rowOff>388080</xdr:rowOff>
    </xdr:from>
    <xdr:to>
      <xdr:col>12</xdr:col>
      <xdr:colOff>350280</xdr:colOff>
      <xdr:row>7</xdr:row>
      <xdr:rowOff>387000</xdr:rowOff>
    </xdr:to>
    <xdr:pic>
      <xdr:nvPicPr>
        <xdr:cNvPr id="54" name="Image 5" descr="Picture"/>
        <xdr:cNvPicPr/>
      </xdr:nvPicPr>
      <xdr:blipFill>
        <a:blip r:embed="rId5"/>
        <a:stretch/>
      </xdr:blipFill>
      <xdr:spPr>
        <a:xfrm>
          <a:off x="9190800" y="3674160"/>
          <a:ext cx="105156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228600</xdr:colOff>
      <xdr:row>7</xdr:row>
      <xdr:rowOff>62280</xdr:rowOff>
    </xdr:from>
    <xdr:to>
      <xdr:col>10</xdr:col>
      <xdr:colOff>234360</xdr:colOff>
      <xdr:row>7</xdr:row>
      <xdr:rowOff>396000</xdr:rowOff>
    </xdr:to>
    <xdr:pic>
      <xdr:nvPicPr>
        <xdr:cNvPr id="55" name="Image 6" descr="Picture"/>
        <xdr:cNvPicPr/>
      </xdr:nvPicPr>
      <xdr:blipFill>
        <a:blip r:embed="rId6"/>
        <a:stretch/>
      </xdr:blipFill>
      <xdr:spPr>
        <a:xfrm>
          <a:off x="7857360" y="3853080"/>
          <a:ext cx="901080" cy="333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706680</xdr:colOff>
      <xdr:row>6</xdr:row>
      <xdr:rowOff>332640</xdr:rowOff>
    </xdr:from>
    <xdr:to>
      <xdr:col>15</xdr:col>
      <xdr:colOff>462960</xdr:colOff>
      <xdr:row>7</xdr:row>
      <xdr:rowOff>387000</xdr:rowOff>
    </xdr:to>
    <xdr:pic>
      <xdr:nvPicPr>
        <xdr:cNvPr id="56" name="Image 7" descr="Picture"/>
        <xdr:cNvPicPr/>
      </xdr:nvPicPr>
      <xdr:blipFill>
        <a:blip r:embed="rId7"/>
        <a:stretch/>
      </xdr:blipFill>
      <xdr:spPr>
        <a:xfrm>
          <a:off x="11071080" y="3618720"/>
          <a:ext cx="1124280" cy="559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817560</xdr:colOff>
      <xdr:row>0</xdr:row>
      <xdr:rowOff>0</xdr:rowOff>
    </xdr:from>
    <xdr:to>
      <xdr:col>19</xdr:col>
      <xdr:colOff>137520</xdr:colOff>
      <xdr:row>4</xdr:row>
      <xdr:rowOff>414720</xdr:rowOff>
    </xdr:to>
    <xdr:pic>
      <xdr:nvPicPr>
        <xdr:cNvPr id="57" name="Image 8" descr="Picture"/>
        <xdr:cNvPicPr/>
      </xdr:nvPicPr>
      <xdr:blipFill>
        <a:blip r:embed="rId8"/>
        <a:stretch/>
      </xdr:blipFill>
      <xdr:spPr>
        <a:xfrm>
          <a:off x="11181960" y="0"/>
          <a:ext cx="3423240" cy="2433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96840</xdr:colOff>
      <xdr:row>6</xdr:row>
      <xdr:rowOff>470880</xdr:rowOff>
    </xdr:from>
    <xdr:to>
      <xdr:col>37</xdr:col>
      <xdr:colOff>539280</xdr:colOff>
      <xdr:row>7</xdr:row>
      <xdr:rowOff>437760</xdr:rowOff>
    </xdr:to>
    <xdr:pic>
      <xdr:nvPicPr>
        <xdr:cNvPr id="58" name="Image 9" descr="Picture"/>
        <xdr:cNvPicPr/>
      </xdr:nvPicPr>
      <xdr:blipFill>
        <a:blip r:embed="rId9"/>
        <a:stretch/>
      </xdr:blipFill>
      <xdr:spPr>
        <a:xfrm>
          <a:off x="26402400" y="3756960"/>
          <a:ext cx="914760" cy="47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117720</xdr:colOff>
      <xdr:row>6</xdr:row>
      <xdr:rowOff>422640</xdr:rowOff>
    </xdr:from>
    <xdr:to>
      <xdr:col>16</xdr:col>
      <xdr:colOff>262080</xdr:colOff>
      <xdr:row>7</xdr:row>
      <xdr:rowOff>442800</xdr:rowOff>
    </xdr:to>
    <xdr:pic>
      <xdr:nvPicPr>
        <xdr:cNvPr id="59" name="Image 1" descr="Picture"/>
        <xdr:cNvPicPr/>
      </xdr:nvPicPr>
      <xdr:blipFill>
        <a:blip r:embed="rId1"/>
        <a:stretch/>
      </xdr:blipFill>
      <xdr:spPr>
        <a:xfrm>
          <a:off x="11994840" y="3708720"/>
          <a:ext cx="6166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148680</xdr:colOff>
      <xdr:row>6</xdr:row>
      <xdr:rowOff>370080</xdr:rowOff>
    </xdr:from>
    <xdr:to>
      <xdr:col>9</xdr:col>
      <xdr:colOff>372960</xdr:colOff>
      <xdr:row>7</xdr:row>
      <xdr:rowOff>400680</xdr:rowOff>
    </xdr:to>
    <xdr:pic>
      <xdr:nvPicPr>
        <xdr:cNvPr id="60" name="Image 2" descr="Picture"/>
        <xdr:cNvPicPr/>
      </xdr:nvPicPr>
      <xdr:blipFill>
        <a:blip r:embed="rId2"/>
        <a:stretch/>
      </xdr:blipFill>
      <xdr:spPr>
        <a:xfrm>
          <a:off x="7026840" y="3656160"/>
          <a:ext cx="1119960" cy="53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873000</xdr:colOff>
      <xdr:row>0</xdr:row>
      <xdr:rowOff>0</xdr:rowOff>
    </xdr:from>
    <xdr:to>
      <xdr:col>10</xdr:col>
      <xdr:colOff>894960</xdr:colOff>
      <xdr:row>4</xdr:row>
      <xdr:rowOff>400680</xdr:rowOff>
    </xdr:to>
    <xdr:pic>
      <xdr:nvPicPr>
        <xdr:cNvPr id="61" name="Image 3" descr="Picture"/>
        <xdr:cNvPicPr/>
      </xdr:nvPicPr>
      <xdr:blipFill>
        <a:blip r:embed="rId3"/>
        <a:stretch/>
      </xdr:blipFill>
      <xdr:spPr>
        <a:xfrm>
          <a:off x="7751160" y="0"/>
          <a:ext cx="1389960" cy="241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558000</xdr:colOff>
      <xdr:row>7</xdr:row>
      <xdr:rowOff>400680</xdr:rowOff>
    </xdr:to>
    <xdr:pic>
      <xdr:nvPicPr>
        <xdr:cNvPr id="62" name="Image 4" descr="Picture"/>
        <xdr:cNvPicPr/>
      </xdr:nvPicPr>
      <xdr:blipFill>
        <a:blip r:embed="rId4"/>
        <a:stretch/>
      </xdr:blipFill>
      <xdr:spPr>
        <a:xfrm>
          <a:off x="5057280" y="3687840"/>
          <a:ext cx="101124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221760</xdr:colOff>
      <xdr:row>0</xdr:row>
      <xdr:rowOff>0</xdr:rowOff>
    </xdr:from>
    <xdr:to>
      <xdr:col>15</xdr:col>
      <xdr:colOff>318240</xdr:colOff>
      <xdr:row>4</xdr:row>
      <xdr:rowOff>400680</xdr:rowOff>
    </xdr:to>
    <xdr:pic>
      <xdr:nvPicPr>
        <xdr:cNvPr id="63" name="Image 5" descr="Picture"/>
        <xdr:cNvPicPr/>
      </xdr:nvPicPr>
      <xdr:blipFill>
        <a:blip r:embed="rId5"/>
        <a:stretch/>
      </xdr:blipFill>
      <xdr:spPr>
        <a:xfrm>
          <a:off x="10730880" y="0"/>
          <a:ext cx="1464480" cy="241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290880</xdr:colOff>
      <xdr:row>0</xdr:row>
      <xdr:rowOff>0</xdr:rowOff>
    </xdr:from>
    <xdr:to>
      <xdr:col>21</xdr:col>
      <xdr:colOff>358920</xdr:colOff>
      <xdr:row>4</xdr:row>
      <xdr:rowOff>378360</xdr:rowOff>
    </xdr:to>
    <xdr:pic>
      <xdr:nvPicPr>
        <xdr:cNvPr id="64" name="Image 6" descr="Picture"/>
        <xdr:cNvPicPr/>
      </xdr:nvPicPr>
      <xdr:blipFill>
        <a:blip r:embed="rId6"/>
        <a:stretch/>
      </xdr:blipFill>
      <xdr:spPr>
        <a:xfrm>
          <a:off x="14903640" y="0"/>
          <a:ext cx="1435680" cy="239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512640</xdr:colOff>
      <xdr:row>6</xdr:row>
      <xdr:rowOff>96840</xdr:rowOff>
    </xdr:from>
    <xdr:to>
      <xdr:col>11</xdr:col>
      <xdr:colOff>70560</xdr:colOff>
      <xdr:row>7</xdr:row>
      <xdr:rowOff>428400</xdr:rowOff>
    </xdr:to>
    <xdr:pic>
      <xdr:nvPicPr>
        <xdr:cNvPr id="65" name="Image 7" descr="Picture"/>
        <xdr:cNvPicPr/>
      </xdr:nvPicPr>
      <xdr:blipFill>
        <a:blip r:embed="rId7"/>
        <a:stretch/>
      </xdr:blipFill>
      <xdr:spPr>
        <a:xfrm>
          <a:off x="8758800" y="3382920"/>
          <a:ext cx="453240" cy="836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117720</xdr:colOff>
      <xdr:row>6</xdr:row>
      <xdr:rowOff>422640</xdr:rowOff>
    </xdr:from>
    <xdr:to>
      <xdr:col>16</xdr:col>
      <xdr:colOff>262080</xdr:colOff>
      <xdr:row>7</xdr:row>
      <xdr:rowOff>442800</xdr:rowOff>
    </xdr:to>
    <xdr:pic>
      <xdr:nvPicPr>
        <xdr:cNvPr id="66" name="Image 1" descr="Picture"/>
        <xdr:cNvPicPr/>
      </xdr:nvPicPr>
      <xdr:blipFill>
        <a:blip r:embed="rId1"/>
        <a:stretch/>
      </xdr:blipFill>
      <xdr:spPr>
        <a:xfrm>
          <a:off x="11994840" y="3708720"/>
          <a:ext cx="6166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148680</xdr:colOff>
      <xdr:row>6</xdr:row>
      <xdr:rowOff>370080</xdr:rowOff>
    </xdr:from>
    <xdr:to>
      <xdr:col>9</xdr:col>
      <xdr:colOff>372960</xdr:colOff>
      <xdr:row>7</xdr:row>
      <xdr:rowOff>400680</xdr:rowOff>
    </xdr:to>
    <xdr:pic>
      <xdr:nvPicPr>
        <xdr:cNvPr id="67" name="Image 2" descr="Picture"/>
        <xdr:cNvPicPr/>
      </xdr:nvPicPr>
      <xdr:blipFill>
        <a:blip r:embed="rId2"/>
        <a:stretch/>
      </xdr:blipFill>
      <xdr:spPr>
        <a:xfrm>
          <a:off x="7026840" y="3656160"/>
          <a:ext cx="1119960" cy="535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558000</xdr:colOff>
      <xdr:row>7</xdr:row>
      <xdr:rowOff>400680</xdr:rowOff>
    </xdr:to>
    <xdr:pic>
      <xdr:nvPicPr>
        <xdr:cNvPr id="68" name="Image 3" descr="Picture"/>
        <xdr:cNvPicPr/>
      </xdr:nvPicPr>
      <xdr:blipFill>
        <a:blip r:embed="rId3"/>
        <a:stretch/>
      </xdr:blipFill>
      <xdr:spPr>
        <a:xfrm>
          <a:off x="5057280" y="3687840"/>
          <a:ext cx="101124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27720</xdr:colOff>
      <xdr:row>0</xdr:row>
      <xdr:rowOff>0</xdr:rowOff>
    </xdr:from>
    <xdr:to>
      <xdr:col>13</xdr:col>
      <xdr:colOff>95760</xdr:colOff>
      <xdr:row>4</xdr:row>
      <xdr:rowOff>342000</xdr:rowOff>
    </xdr:to>
    <xdr:pic>
      <xdr:nvPicPr>
        <xdr:cNvPr id="69" name="Image 4" descr="Picture"/>
        <xdr:cNvPicPr/>
      </xdr:nvPicPr>
      <xdr:blipFill>
        <a:blip r:embed="rId4"/>
        <a:stretch/>
      </xdr:blipFill>
      <xdr:spPr>
        <a:xfrm>
          <a:off x="8273880" y="0"/>
          <a:ext cx="2331000" cy="236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415800</xdr:colOff>
      <xdr:row>6</xdr:row>
      <xdr:rowOff>124560</xdr:rowOff>
    </xdr:from>
    <xdr:to>
      <xdr:col>11</xdr:col>
      <xdr:colOff>48240</xdr:colOff>
      <xdr:row>7</xdr:row>
      <xdr:rowOff>456120</xdr:rowOff>
    </xdr:to>
    <xdr:pic>
      <xdr:nvPicPr>
        <xdr:cNvPr id="70" name="Image 5" descr="Picture"/>
        <xdr:cNvPicPr/>
      </xdr:nvPicPr>
      <xdr:blipFill>
        <a:blip r:embed="rId5"/>
        <a:stretch/>
      </xdr:blipFill>
      <xdr:spPr>
        <a:xfrm>
          <a:off x="8661960" y="3410640"/>
          <a:ext cx="527760" cy="83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346320</xdr:colOff>
      <xdr:row>6</xdr:row>
      <xdr:rowOff>290880</xdr:rowOff>
    </xdr:from>
    <xdr:to>
      <xdr:col>19</xdr:col>
      <xdr:colOff>12600</xdr:colOff>
      <xdr:row>7</xdr:row>
      <xdr:rowOff>461520</xdr:rowOff>
    </xdr:to>
    <xdr:pic>
      <xdr:nvPicPr>
        <xdr:cNvPr id="71" name="Image 6" descr="Picture"/>
        <xdr:cNvPicPr/>
      </xdr:nvPicPr>
      <xdr:blipFill>
        <a:blip r:embed="rId6"/>
        <a:stretch/>
      </xdr:blipFill>
      <xdr:spPr>
        <a:xfrm>
          <a:off x="14063760" y="3576960"/>
          <a:ext cx="561600" cy="67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117720</xdr:colOff>
      <xdr:row>6</xdr:row>
      <xdr:rowOff>422640</xdr:rowOff>
    </xdr:from>
    <xdr:to>
      <xdr:col>14</xdr:col>
      <xdr:colOff>262080</xdr:colOff>
      <xdr:row>7</xdr:row>
      <xdr:rowOff>442800</xdr:rowOff>
    </xdr:to>
    <xdr:pic>
      <xdr:nvPicPr>
        <xdr:cNvPr id="72" name="Image 1" descr="Picture"/>
        <xdr:cNvPicPr/>
      </xdr:nvPicPr>
      <xdr:blipFill>
        <a:blip r:embed="rId1"/>
        <a:stretch/>
      </xdr:blipFill>
      <xdr:spPr>
        <a:xfrm>
          <a:off x="10626840" y="3708720"/>
          <a:ext cx="61704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249480</xdr:colOff>
      <xdr:row>6</xdr:row>
      <xdr:rowOff>332640</xdr:rowOff>
    </xdr:from>
    <xdr:to>
      <xdr:col>25</xdr:col>
      <xdr:colOff>109800</xdr:colOff>
      <xdr:row>8</xdr:row>
      <xdr:rowOff>11880</xdr:rowOff>
    </xdr:to>
    <xdr:pic>
      <xdr:nvPicPr>
        <xdr:cNvPr id="73" name="Image 2" descr="Picture"/>
        <xdr:cNvPicPr/>
      </xdr:nvPicPr>
      <xdr:blipFill>
        <a:blip r:embed="rId2"/>
        <a:stretch/>
      </xdr:blipFill>
      <xdr:spPr>
        <a:xfrm>
          <a:off x="18070200" y="3618720"/>
          <a:ext cx="755640" cy="689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890280</xdr:colOff>
      <xdr:row>6</xdr:row>
      <xdr:rowOff>411840</xdr:rowOff>
    </xdr:from>
    <xdr:to>
      <xdr:col>18</xdr:col>
      <xdr:colOff>639720</xdr:colOff>
      <xdr:row>7</xdr:row>
      <xdr:rowOff>432000</xdr:rowOff>
    </xdr:to>
    <xdr:pic>
      <xdr:nvPicPr>
        <xdr:cNvPr id="74" name="Image 3" descr="Picture"/>
        <xdr:cNvPicPr/>
      </xdr:nvPicPr>
      <xdr:blipFill>
        <a:blip r:embed="rId3"/>
        <a:stretch/>
      </xdr:blipFill>
      <xdr:spPr>
        <a:xfrm>
          <a:off x="13239720" y="3697920"/>
          <a:ext cx="111744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194040</xdr:colOff>
      <xdr:row>6</xdr:row>
      <xdr:rowOff>374040</xdr:rowOff>
    </xdr:from>
    <xdr:to>
      <xdr:col>22</xdr:col>
      <xdr:colOff>194040</xdr:colOff>
      <xdr:row>7</xdr:row>
      <xdr:rowOff>414360</xdr:rowOff>
    </xdr:to>
    <xdr:pic>
      <xdr:nvPicPr>
        <xdr:cNvPr id="75" name="Image 4" descr="Picture"/>
        <xdr:cNvPicPr/>
      </xdr:nvPicPr>
      <xdr:blipFill>
        <a:blip r:embed="rId4"/>
        <a:stretch/>
      </xdr:blipFill>
      <xdr:spPr>
        <a:xfrm>
          <a:off x="16174440" y="3660120"/>
          <a:ext cx="472320" cy="545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26280</xdr:colOff>
      <xdr:row>0</xdr:row>
      <xdr:rowOff>0</xdr:rowOff>
    </xdr:from>
    <xdr:to>
      <xdr:col>12</xdr:col>
      <xdr:colOff>82440</xdr:colOff>
      <xdr:row>4</xdr:row>
      <xdr:rowOff>400680</xdr:rowOff>
    </xdr:to>
    <xdr:pic>
      <xdr:nvPicPr>
        <xdr:cNvPr id="76" name="Image 5" descr="Picture"/>
        <xdr:cNvPicPr/>
      </xdr:nvPicPr>
      <xdr:blipFill>
        <a:blip r:embed="rId5"/>
        <a:stretch/>
      </xdr:blipFill>
      <xdr:spPr>
        <a:xfrm>
          <a:off x="8272440" y="0"/>
          <a:ext cx="1423800" cy="241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180000</xdr:colOff>
      <xdr:row>0</xdr:row>
      <xdr:rowOff>0</xdr:rowOff>
    </xdr:from>
    <xdr:to>
      <xdr:col>17</xdr:col>
      <xdr:colOff>276480</xdr:colOff>
      <xdr:row>4</xdr:row>
      <xdr:rowOff>400680</xdr:rowOff>
    </xdr:to>
    <xdr:pic>
      <xdr:nvPicPr>
        <xdr:cNvPr id="77" name="Image 6" descr="Picture"/>
        <xdr:cNvPicPr/>
      </xdr:nvPicPr>
      <xdr:blipFill>
        <a:blip r:embed="rId6"/>
        <a:stretch/>
      </xdr:blipFill>
      <xdr:spPr>
        <a:xfrm>
          <a:off x="12057120" y="0"/>
          <a:ext cx="1464120" cy="2419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374040</xdr:colOff>
      <xdr:row>6</xdr:row>
      <xdr:rowOff>96840</xdr:rowOff>
    </xdr:from>
    <xdr:to>
      <xdr:col>9</xdr:col>
      <xdr:colOff>6120</xdr:colOff>
      <xdr:row>7</xdr:row>
      <xdr:rowOff>428400</xdr:rowOff>
    </xdr:to>
    <xdr:pic>
      <xdr:nvPicPr>
        <xdr:cNvPr id="78" name="Image 7" descr="Picture"/>
        <xdr:cNvPicPr/>
      </xdr:nvPicPr>
      <xdr:blipFill>
        <a:blip r:embed="rId7"/>
        <a:stretch/>
      </xdr:blipFill>
      <xdr:spPr>
        <a:xfrm>
          <a:off x="7252200" y="3382920"/>
          <a:ext cx="527760" cy="83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762120</xdr:colOff>
      <xdr:row>6</xdr:row>
      <xdr:rowOff>318600</xdr:rowOff>
    </xdr:from>
    <xdr:to>
      <xdr:col>6</xdr:col>
      <xdr:colOff>677880</xdr:colOff>
      <xdr:row>7</xdr:row>
      <xdr:rowOff>434520</xdr:rowOff>
    </xdr:to>
    <xdr:pic>
      <xdr:nvPicPr>
        <xdr:cNvPr id="79" name="Image 8" descr="Picture"/>
        <xdr:cNvPicPr/>
      </xdr:nvPicPr>
      <xdr:blipFill>
        <a:blip r:embed="rId8"/>
        <a:stretch/>
      </xdr:blipFill>
      <xdr:spPr>
        <a:xfrm>
          <a:off x="4905000" y="3604680"/>
          <a:ext cx="1283400" cy="620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353160</xdr:colOff>
      <xdr:row>6</xdr:row>
      <xdr:rowOff>422640</xdr:rowOff>
    </xdr:from>
    <xdr:to>
      <xdr:col>19</xdr:col>
      <xdr:colOff>40320</xdr:colOff>
      <xdr:row>7</xdr:row>
      <xdr:rowOff>442800</xdr:rowOff>
    </xdr:to>
    <xdr:pic>
      <xdr:nvPicPr>
        <xdr:cNvPr id="80" name="Image 1" descr="Picture"/>
        <xdr:cNvPicPr/>
      </xdr:nvPicPr>
      <xdr:blipFill>
        <a:blip r:embed="rId1"/>
        <a:stretch/>
      </xdr:blipFill>
      <xdr:spPr>
        <a:xfrm>
          <a:off x="14209560" y="3708720"/>
          <a:ext cx="5824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789840</xdr:colOff>
      <xdr:row>0</xdr:row>
      <xdr:rowOff>0</xdr:rowOff>
    </xdr:from>
    <xdr:to>
      <xdr:col>13</xdr:col>
      <xdr:colOff>415800</xdr:colOff>
      <xdr:row>4</xdr:row>
      <xdr:rowOff>442440</xdr:rowOff>
    </xdr:to>
    <xdr:pic>
      <xdr:nvPicPr>
        <xdr:cNvPr id="81" name="Image 2" descr="Picture"/>
        <xdr:cNvPicPr/>
      </xdr:nvPicPr>
      <xdr:blipFill>
        <a:blip r:embed="rId2"/>
        <a:stretch/>
      </xdr:blipFill>
      <xdr:spPr>
        <a:xfrm>
          <a:off x="9174960" y="0"/>
          <a:ext cx="1889280" cy="246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110880</xdr:colOff>
      <xdr:row>6</xdr:row>
      <xdr:rowOff>235440</xdr:rowOff>
    </xdr:from>
    <xdr:to>
      <xdr:col>11</xdr:col>
      <xdr:colOff>308160</xdr:colOff>
      <xdr:row>7</xdr:row>
      <xdr:rowOff>483840</xdr:rowOff>
    </xdr:to>
    <xdr:pic>
      <xdr:nvPicPr>
        <xdr:cNvPr id="82" name="Image 3" descr="Picture"/>
        <xdr:cNvPicPr/>
      </xdr:nvPicPr>
      <xdr:blipFill>
        <a:blip r:embed="rId3"/>
        <a:stretch/>
      </xdr:blipFill>
      <xdr:spPr>
        <a:xfrm>
          <a:off x="8496000" y="3521520"/>
          <a:ext cx="1092600" cy="75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234000</xdr:colOff>
      <xdr:row>0</xdr:row>
      <xdr:rowOff>0</xdr:rowOff>
    </xdr:from>
    <xdr:to>
      <xdr:col>19</xdr:col>
      <xdr:colOff>100800</xdr:colOff>
      <xdr:row>4</xdr:row>
      <xdr:rowOff>414720</xdr:rowOff>
    </xdr:to>
    <xdr:pic>
      <xdr:nvPicPr>
        <xdr:cNvPr id="83" name="Image 4" descr="Picture"/>
        <xdr:cNvPicPr/>
      </xdr:nvPicPr>
      <xdr:blipFill>
        <a:blip r:embed="rId4"/>
        <a:stretch/>
      </xdr:blipFill>
      <xdr:spPr>
        <a:xfrm>
          <a:off x="12722400" y="0"/>
          <a:ext cx="2130120" cy="2433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470880</xdr:colOff>
      <xdr:row>6</xdr:row>
      <xdr:rowOff>55440</xdr:rowOff>
    </xdr:from>
    <xdr:to>
      <xdr:col>13</xdr:col>
      <xdr:colOff>28800</xdr:colOff>
      <xdr:row>7</xdr:row>
      <xdr:rowOff>387000</xdr:rowOff>
    </xdr:to>
    <xdr:pic>
      <xdr:nvPicPr>
        <xdr:cNvPr id="84" name="Image 5" descr="Picture"/>
        <xdr:cNvPicPr/>
      </xdr:nvPicPr>
      <xdr:blipFill>
        <a:blip r:embed="rId5"/>
        <a:stretch/>
      </xdr:blipFill>
      <xdr:spPr>
        <a:xfrm>
          <a:off x="10224000" y="3341520"/>
          <a:ext cx="453240" cy="83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304920</xdr:colOff>
      <xdr:row>6</xdr:row>
      <xdr:rowOff>443520</xdr:rowOff>
    </xdr:from>
    <xdr:to>
      <xdr:col>23</xdr:col>
      <xdr:colOff>179280</xdr:colOff>
      <xdr:row>7</xdr:row>
      <xdr:rowOff>438120</xdr:rowOff>
    </xdr:to>
    <xdr:pic>
      <xdr:nvPicPr>
        <xdr:cNvPr id="85" name="Image 6" descr="Picture"/>
        <xdr:cNvPicPr/>
      </xdr:nvPicPr>
      <xdr:blipFill>
        <a:blip r:embed="rId6"/>
        <a:stretch/>
      </xdr:blipFill>
      <xdr:spPr>
        <a:xfrm>
          <a:off x="16896960" y="3729600"/>
          <a:ext cx="769680" cy="499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353160</xdr:colOff>
      <xdr:row>6</xdr:row>
      <xdr:rowOff>422640</xdr:rowOff>
    </xdr:from>
    <xdr:to>
      <xdr:col>21</xdr:col>
      <xdr:colOff>40320</xdr:colOff>
      <xdr:row>7</xdr:row>
      <xdr:rowOff>442800</xdr:rowOff>
    </xdr:to>
    <xdr:pic>
      <xdr:nvPicPr>
        <xdr:cNvPr id="86" name="Image 1" descr="Picture"/>
        <xdr:cNvPicPr/>
      </xdr:nvPicPr>
      <xdr:blipFill>
        <a:blip r:embed="rId1"/>
        <a:stretch/>
      </xdr:blipFill>
      <xdr:spPr>
        <a:xfrm>
          <a:off x="15577200" y="3708720"/>
          <a:ext cx="5824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152280</xdr:colOff>
      <xdr:row>6</xdr:row>
      <xdr:rowOff>235440</xdr:rowOff>
    </xdr:from>
    <xdr:to>
      <xdr:col>13</xdr:col>
      <xdr:colOff>349560</xdr:colOff>
      <xdr:row>7</xdr:row>
      <xdr:rowOff>483840</xdr:rowOff>
    </xdr:to>
    <xdr:pic>
      <xdr:nvPicPr>
        <xdr:cNvPr id="87" name="Image 2" descr="Picture"/>
        <xdr:cNvPicPr/>
      </xdr:nvPicPr>
      <xdr:blipFill>
        <a:blip r:embed="rId2"/>
        <a:stretch/>
      </xdr:blipFill>
      <xdr:spPr>
        <a:xfrm>
          <a:off x="9905400" y="3521520"/>
          <a:ext cx="1092600" cy="75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</xdr:row>
      <xdr:rowOff>401760</xdr:rowOff>
    </xdr:from>
    <xdr:to>
      <xdr:col>8</xdr:col>
      <xdr:colOff>558000</xdr:colOff>
      <xdr:row>7</xdr:row>
      <xdr:rowOff>400680</xdr:rowOff>
    </xdr:to>
    <xdr:pic>
      <xdr:nvPicPr>
        <xdr:cNvPr id="88" name="Image 3" descr="Picture"/>
        <xdr:cNvPicPr/>
      </xdr:nvPicPr>
      <xdr:blipFill>
        <a:blip r:embed="rId3"/>
        <a:stretch/>
      </xdr:blipFill>
      <xdr:spPr>
        <a:xfrm>
          <a:off x="6563880" y="3687840"/>
          <a:ext cx="1011600" cy="50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512640</xdr:colOff>
      <xdr:row>6</xdr:row>
      <xdr:rowOff>124560</xdr:rowOff>
    </xdr:from>
    <xdr:to>
      <xdr:col>15</xdr:col>
      <xdr:colOff>70560</xdr:colOff>
      <xdr:row>7</xdr:row>
      <xdr:rowOff>456120</xdr:rowOff>
    </xdr:to>
    <xdr:pic>
      <xdr:nvPicPr>
        <xdr:cNvPr id="89" name="Image 4" descr="Picture"/>
        <xdr:cNvPicPr/>
      </xdr:nvPicPr>
      <xdr:blipFill>
        <a:blip r:embed="rId4"/>
        <a:stretch/>
      </xdr:blipFill>
      <xdr:spPr>
        <a:xfrm>
          <a:off x="11633400" y="3410640"/>
          <a:ext cx="453240" cy="836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207720</xdr:colOff>
      <xdr:row>6</xdr:row>
      <xdr:rowOff>374040</xdr:rowOff>
    </xdr:from>
    <xdr:to>
      <xdr:col>11</xdr:col>
      <xdr:colOff>393840</xdr:colOff>
      <xdr:row>7</xdr:row>
      <xdr:rowOff>386640</xdr:rowOff>
    </xdr:to>
    <xdr:pic>
      <xdr:nvPicPr>
        <xdr:cNvPr id="90" name="Image 5" descr="Picture"/>
        <xdr:cNvPicPr/>
      </xdr:nvPicPr>
      <xdr:blipFill>
        <a:blip r:embed="rId5"/>
        <a:stretch/>
      </xdr:blipFill>
      <xdr:spPr>
        <a:xfrm>
          <a:off x="8592840" y="3660120"/>
          <a:ext cx="1081440" cy="51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304920</xdr:colOff>
      <xdr:row>6</xdr:row>
      <xdr:rowOff>443520</xdr:rowOff>
    </xdr:from>
    <xdr:to>
      <xdr:col>25</xdr:col>
      <xdr:colOff>179280</xdr:colOff>
      <xdr:row>7</xdr:row>
      <xdr:rowOff>438120</xdr:rowOff>
    </xdr:to>
    <xdr:pic>
      <xdr:nvPicPr>
        <xdr:cNvPr id="91" name="Image 6" descr="Picture"/>
        <xdr:cNvPicPr/>
      </xdr:nvPicPr>
      <xdr:blipFill>
        <a:blip r:embed="rId6"/>
        <a:stretch/>
      </xdr:blipFill>
      <xdr:spPr>
        <a:xfrm>
          <a:off x="18264600" y="3729600"/>
          <a:ext cx="769680" cy="499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277200</xdr:colOff>
      <xdr:row>0</xdr:row>
      <xdr:rowOff>0</xdr:rowOff>
    </xdr:from>
    <xdr:to>
      <xdr:col>12</xdr:col>
      <xdr:colOff>894240</xdr:colOff>
      <xdr:row>4</xdr:row>
      <xdr:rowOff>431640</xdr:rowOff>
    </xdr:to>
    <xdr:pic>
      <xdr:nvPicPr>
        <xdr:cNvPr id="92" name="Image 7" descr="Picture"/>
        <xdr:cNvPicPr/>
      </xdr:nvPicPr>
      <xdr:blipFill>
        <a:blip r:embed="rId7"/>
        <a:stretch/>
      </xdr:blipFill>
      <xdr:spPr>
        <a:xfrm>
          <a:off x="8662320" y="0"/>
          <a:ext cx="1985040" cy="245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401760</xdr:colOff>
      <xdr:row>6</xdr:row>
      <xdr:rowOff>304920</xdr:rowOff>
    </xdr:from>
    <xdr:to>
      <xdr:col>27</xdr:col>
      <xdr:colOff>68040</xdr:colOff>
      <xdr:row>7</xdr:row>
      <xdr:rowOff>475560</xdr:rowOff>
    </xdr:to>
    <xdr:pic>
      <xdr:nvPicPr>
        <xdr:cNvPr id="93" name="Image 8" descr="Picture"/>
        <xdr:cNvPicPr/>
      </xdr:nvPicPr>
      <xdr:blipFill>
        <a:blip r:embed="rId8"/>
        <a:stretch/>
      </xdr:blipFill>
      <xdr:spPr>
        <a:xfrm>
          <a:off x="19729080" y="3591000"/>
          <a:ext cx="561960" cy="675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262080</xdr:colOff>
      <xdr:row>7</xdr:row>
      <xdr:rowOff>442800</xdr:rowOff>
    </xdr:to>
    <xdr:pic>
      <xdr:nvPicPr>
        <xdr:cNvPr id="94" name="Image 1" descr="Picture"/>
        <xdr:cNvPicPr/>
      </xdr:nvPicPr>
      <xdr:blipFill>
        <a:blip r:embed="rId1"/>
        <a:stretch/>
      </xdr:blipFill>
      <xdr:spPr>
        <a:xfrm>
          <a:off x="9259200" y="3708720"/>
          <a:ext cx="6166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636120</xdr:colOff>
      <xdr:row>7</xdr:row>
      <xdr:rowOff>441360</xdr:rowOff>
    </xdr:to>
    <xdr:pic>
      <xdr:nvPicPr>
        <xdr:cNvPr id="95" name="Image 2" descr="Picture"/>
        <xdr:cNvPicPr/>
      </xdr:nvPicPr>
      <xdr:blipFill>
        <a:blip r:embed="rId2"/>
        <a:stretch/>
      </xdr:blipFill>
      <xdr:spPr>
        <a:xfrm>
          <a:off x="4807800" y="3576960"/>
          <a:ext cx="1338840" cy="65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456120</xdr:colOff>
      <xdr:row>7</xdr:row>
      <xdr:rowOff>461880</xdr:rowOff>
    </xdr:to>
    <xdr:pic>
      <xdr:nvPicPr>
        <xdr:cNvPr id="96" name="Image 3" descr="Picture"/>
        <xdr:cNvPicPr/>
      </xdr:nvPicPr>
      <xdr:blipFill>
        <a:blip r:embed="rId3"/>
        <a:stretch/>
      </xdr:blipFill>
      <xdr:spPr>
        <a:xfrm>
          <a:off x="6919560" y="3604680"/>
          <a:ext cx="1310400" cy="648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55440</xdr:colOff>
      <xdr:row>0</xdr:row>
      <xdr:rowOff>0</xdr:rowOff>
    </xdr:from>
    <xdr:to>
      <xdr:col>13</xdr:col>
      <xdr:colOff>234360</xdr:colOff>
      <xdr:row>4</xdr:row>
      <xdr:rowOff>401040</xdr:rowOff>
    </xdr:to>
    <xdr:pic>
      <xdr:nvPicPr>
        <xdr:cNvPr id="97" name="Image 4" descr="Picture"/>
        <xdr:cNvPicPr/>
      </xdr:nvPicPr>
      <xdr:blipFill>
        <a:blip r:embed="rId4"/>
        <a:stretch/>
      </xdr:blipFill>
      <xdr:spPr>
        <a:xfrm>
          <a:off x="9196920" y="0"/>
          <a:ext cx="1546560" cy="2420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262080</xdr:colOff>
      <xdr:row>7</xdr:row>
      <xdr:rowOff>442800</xdr:rowOff>
    </xdr:to>
    <xdr:pic>
      <xdr:nvPicPr>
        <xdr:cNvPr id="98" name="Image 1" descr="Picture"/>
        <xdr:cNvPicPr/>
      </xdr:nvPicPr>
      <xdr:blipFill>
        <a:blip r:embed="rId1"/>
        <a:stretch/>
      </xdr:blipFill>
      <xdr:spPr>
        <a:xfrm>
          <a:off x="9259200" y="3708720"/>
          <a:ext cx="6166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636120</xdr:colOff>
      <xdr:row>7</xdr:row>
      <xdr:rowOff>441360</xdr:rowOff>
    </xdr:to>
    <xdr:pic>
      <xdr:nvPicPr>
        <xdr:cNvPr id="99" name="Image 2" descr="Picture"/>
        <xdr:cNvPicPr/>
      </xdr:nvPicPr>
      <xdr:blipFill>
        <a:blip r:embed="rId2"/>
        <a:stretch/>
      </xdr:blipFill>
      <xdr:spPr>
        <a:xfrm>
          <a:off x="4807800" y="3576960"/>
          <a:ext cx="1338840" cy="65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456120</xdr:colOff>
      <xdr:row>7</xdr:row>
      <xdr:rowOff>461880</xdr:rowOff>
    </xdr:to>
    <xdr:pic>
      <xdr:nvPicPr>
        <xdr:cNvPr id="100" name="Image 3" descr="Picture"/>
        <xdr:cNvPicPr/>
      </xdr:nvPicPr>
      <xdr:blipFill>
        <a:blip r:embed="rId3"/>
        <a:stretch/>
      </xdr:blipFill>
      <xdr:spPr>
        <a:xfrm>
          <a:off x="6919560" y="3604680"/>
          <a:ext cx="1310400" cy="648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803520</xdr:colOff>
      <xdr:row>0</xdr:row>
      <xdr:rowOff>0</xdr:rowOff>
    </xdr:from>
    <xdr:to>
      <xdr:col>12</xdr:col>
      <xdr:colOff>525240</xdr:colOff>
      <xdr:row>4</xdr:row>
      <xdr:rowOff>365760</xdr:rowOff>
    </xdr:to>
    <xdr:pic>
      <xdr:nvPicPr>
        <xdr:cNvPr id="101" name="Image 4" descr="Picture"/>
        <xdr:cNvPicPr/>
      </xdr:nvPicPr>
      <xdr:blipFill>
        <a:blip r:embed="rId4"/>
        <a:stretch/>
      </xdr:blipFill>
      <xdr:spPr>
        <a:xfrm>
          <a:off x="7681680" y="0"/>
          <a:ext cx="2457360" cy="238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167400</xdr:colOff>
      <xdr:row>6</xdr:row>
      <xdr:rowOff>137160</xdr:rowOff>
    </xdr:from>
    <xdr:to>
      <xdr:col>15</xdr:col>
      <xdr:colOff>456120</xdr:colOff>
      <xdr:row>7</xdr:row>
      <xdr:rowOff>447120</xdr:rowOff>
    </xdr:to>
    <xdr:pic>
      <xdr:nvPicPr>
        <xdr:cNvPr id="102" name="Image 5" descr="Picture"/>
        <xdr:cNvPicPr/>
      </xdr:nvPicPr>
      <xdr:blipFill>
        <a:blip r:embed="rId5"/>
        <a:stretch/>
      </xdr:blipFill>
      <xdr:spPr>
        <a:xfrm>
          <a:off x="11149200" y="3423240"/>
          <a:ext cx="1184040" cy="814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262080</xdr:colOff>
      <xdr:row>7</xdr:row>
      <xdr:rowOff>442800</xdr:rowOff>
    </xdr:to>
    <xdr:pic>
      <xdr:nvPicPr>
        <xdr:cNvPr id="103" name="Image 1" descr="Picture"/>
        <xdr:cNvPicPr/>
      </xdr:nvPicPr>
      <xdr:blipFill>
        <a:blip r:embed="rId1"/>
        <a:stretch/>
      </xdr:blipFill>
      <xdr:spPr>
        <a:xfrm>
          <a:off x="9259200" y="3708720"/>
          <a:ext cx="6166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636120</xdr:colOff>
      <xdr:row>7</xdr:row>
      <xdr:rowOff>441360</xdr:rowOff>
    </xdr:to>
    <xdr:pic>
      <xdr:nvPicPr>
        <xdr:cNvPr id="104" name="Image 2" descr="Picture"/>
        <xdr:cNvPicPr/>
      </xdr:nvPicPr>
      <xdr:blipFill>
        <a:blip r:embed="rId2"/>
        <a:stretch/>
      </xdr:blipFill>
      <xdr:spPr>
        <a:xfrm>
          <a:off x="4807800" y="3576960"/>
          <a:ext cx="1338840" cy="65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456120</xdr:colOff>
      <xdr:row>7</xdr:row>
      <xdr:rowOff>461880</xdr:rowOff>
    </xdr:to>
    <xdr:pic>
      <xdr:nvPicPr>
        <xdr:cNvPr id="105" name="Image 3" descr="Picture"/>
        <xdr:cNvPicPr/>
      </xdr:nvPicPr>
      <xdr:blipFill>
        <a:blip r:embed="rId3"/>
        <a:stretch/>
      </xdr:blipFill>
      <xdr:spPr>
        <a:xfrm>
          <a:off x="6919560" y="3604680"/>
          <a:ext cx="1310400" cy="648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167400</xdr:colOff>
      <xdr:row>6</xdr:row>
      <xdr:rowOff>137160</xdr:rowOff>
    </xdr:from>
    <xdr:to>
      <xdr:col>15</xdr:col>
      <xdr:colOff>456120</xdr:colOff>
      <xdr:row>7</xdr:row>
      <xdr:rowOff>447120</xdr:rowOff>
    </xdr:to>
    <xdr:pic>
      <xdr:nvPicPr>
        <xdr:cNvPr id="106" name="Image 4" descr="Picture"/>
        <xdr:cNvPicPr/>
      </xdr:nvPicPr>
      <xdr:blipFill>
        <a:blip r:embed="rId4"/>
        <a:stretch/>
      </xdr:blipFill>
      <xdr:spPr>
        <a:xfrm>
          <a:off x="11149200" y="3423240"/>
          <a:ext cx="1184040" cy="81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12600</xdr:colOff>
      <xdr:row>0</xdr:row>
      <xdr:rowOff>0</xdr:rowOff>
    </xdr:from>
    <xdr:to>
      <xdr:col>12</xdr:col>
      <xdr:colOff>788760</xdr:colOff>
      <xdr:row>4</xdr:row>
      <xdr:rowOff>424800</xdr:rowOff>
    </xdr:to>
    <xdr:pic>
      <xdr:nvPicPr>
        <xdr:cNvPr id="107" name="Image 5" descr="Picture"/>
        <xdr:cNvPicPr/>
      </xdr:nvPicPr>
      <xdr:blipFill>
        <a:blip r:embed="rId5"/>
        <a:stretch/>
      </xdr:blipFill>
      <xdr:spPr>
        <a:xfrm>
          <a:off x="6890760" y="0"/>
          <a:ext cx="3511800" cy="2444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262080</xdr:colOff>
      <xdr:row>7</xdr:row>
      <xdr:rowOff>442800</xdr:rowOff>
    </xdr:to>
    <xdr:pic>
      <xdr:nvPicPr>
        <xdr:cNvPr id="108" name="Image 1" descr="Picture"/>
        <xdr:cNvPicPr/>
      </xdr:nvPicPr>
      <xdr:blipFill>
        <a:blip r:embed="rId1"/>
        <a:stretch/>
      </xdr:blipFill>
      <xdr:spPr>
        <a:xfrm>
          <a:off x="9259200" y="3708720"/>
          <a:ext cx="616680" cy="524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636120</xdr:colOff>
      <xdr:row>7</xdr:row>
      <xdr:rowOff>441360</xdr:rowOff>
    </xdr:to>
    <xdr:pic>
      <xdr:nvPicPr>
        <xdr:cNvPr id="109" name="Image 2" descr="Picture"/>
        <xdr:cNvPicPr/>
      </xdr:nvPicPr>
      <xdr:blipFill>
        <a:blip r:embed="rId2"/>
        <a:stretch/>
      </xdr:blipFill>
      <xdr:spPr>
        <a:xfrm>
          <a:off x="4807800" y="3576960"/>
          <a:ext cx="1338840" cy="655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456120</xdr:colOff>
      <xdr:row>7</xdr:row>
      <xdr:rowOff>461880</xdr:rowOff>
    </xdr:to>
    <xdr:pic>
      <xdr:nvPicPr>
        <xdr:cNvPr id="110" name="Image 3" descr="Picture"/>
        <xdr:cNvPicPr/>
      </xdr:nvPicPr>
      <xdr:blipFill>
        <a:blip r:embed="rId3"/>
        <a:stretch/>
      </xdr:blipFill>
      <xdr:spPr>
        <a:xfrm>
          <a:off x="6919560" y="3604680"/>
          <a:ext cx="1310400" cy="648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167400</xdr:colOff>
      <xdr:row>6</xdr:row>
      <xdr:rowOff>137160</xdr:rowOff>
    </xdr:from>
    <xdr:to>
      <xdr:col>15</xdr:col>
      <xdr:colOff>456120</xdr:colOff>
      <xdr:row>7</xdr:row>
      <xdr:rowOff>447120</xdr:rowOff>
    </xdr:to>
    <xdr:pic>
      <xdr:nvPicPr>
        <xdr:cNvPr id="111" name="Image 4" descr="Picture"/>
        <xdr:cNvPicPr/>
      </xdr:nvPicPr>
      <xdr:blipFill>
        <a:blip r:embed="rId4"/>
        <a:stretch/>
      </xdr:blipFill>
      <xdr:spPr>
        <a:xfrm>
          <a:off x="11149200" y="3423240"/>
          <a:ext cx="1184040" cy="81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568080</xdr:colOff>
      <xdr:row>0</xdr:row>
      <xdr:rowOff>0</xdr:rowOff>
    </xdr:from>
    <xdr:to>
      <xdr:col>12</xdr:col>
      <xdr:colOff>787680</xdr:colOff>
      <xdr:row>4</xdr:row>
      <xdr:rowOff>387000</xdr:rowOff>
    </xdr:to>
    <xdr:pic>
      <xdr:nvPicPr>
        <xdr:cNvPr id="112" name="Image 5" descr="Picture"/>
        <xdr:cNvPicPr/>
      </xdr:nvPicPr>
      <xdr:blipFill>
        <a:blip r:embed="rId5"/>
        <a:stretch/>
      </xdr:blipFill>
      <xdr:spPr>
        <a:xfrm>
          <a:off x="6078600" y="0"/>
          <a:ext cx="4322880" cy="2406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9"/>
  </cols>
  <sheetData>
    <row r="1" customFormat="false" ht="15" hidden="false" customHeight="true" outlineLevel="0" collapsed="false">
      <c r="A1" s="2" t="s">
        <v>0</v>
      </c>
    </row>
    <row r="31" customFormat="false" ht="15" hidden="true" customHeight="true" outlineLevel="0" collapsed="false"/>
    <row r="32" customFormat="false" ht="15" hidden="true" customHeight="true" outlineLevel="0" collapsed="false"/>
    <row r="33" customFormat="false" ht="15" hidden="true" customHeight="true" outlineLevel="0" collapsed="false"/>
    <row r="34" customFormat="false" ht="15" hidden="true" customHeight="true" outlineLevel="0" collapsed="false"/>
    <row r="35" customFormat="false" ht="15" hidden="true" customHeight="true" outlineLevel="0" collapsed="false"/>
    <row r="36" customFormat="false" ht="15" hidden="true" customHeight="true" outlineLevel="0" collapsed="false"/>
    <row r="37" customFormat="false" ht="15" hidden="true" customHeight="true" outlineLevel="0" collapsed="false"/>
    <row r="38" customFormat="false" ht="15" hidden="true" customHeight="true" outlineLevel="0" collapsed="false"/>
    <row r="39" customFormat="false" ht="15" hidden="true" customHeight="true" outlineLevel="0" collapsed="false"/>
    <row r="40" customFormat="false" ht="15" hidden="true" customHeight="true" outlineLevel="0" collapsed="false"/>
    <row r="41" customFormat="false" ht="15" hidden="true" customHeight="true" outlineLevel="0" collapsed="false"/>
    <row r="42" customFormat="false" ht="15" hidden="true" customHeight="true" outlineLevel="0" collapsed="false"/>
    <row r="43" customFormat="false" ht="15" hidden="true" customHeight="true" outlineLevel="0" collapsed="false"/>
    <row r="44" customFormat="false" ht="15" hidden="true" customHeight="true" outlineLevel="0" collapsed="false"/>
    <row r="45" customFormat="false" ht="15" hidden="true" customHeight="true" outlineLevel="0" collapsed="false"/>
    <row r="46" customFormat="false" ht="15" hidden="true" customHeight="true" outlineLevel="0" collapsed="false"/>
    <row r="47" customFormat="false" ht="15" hidden="true" customHeight="true" outlineLevel="0" collapsed="false"/>
    <row r="48" customFormat="false" ht="15" hidden="true" customHeight="true" outlineLevel="0" collapsed="false"/>
    <row r="49" customFormat="false" ht="15" hidden="tru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30" min="29" style="1" width="12.7"/>
    <col collapsed="false" customWidth="true" hidden="false" outlineLevel="0" max="32" min="32" style="1" width="8.9"/>
    <col collapsed="false" customWidth="true" hidden="true" outlineLevel="0" max="56" min="53" style="1" width="13"/>
  </cols>
  <sheetData>
    <row r="1" customFormat="false" ht="39.75" hidden="false" customHeight="true" outlineLevel="0" collapsed="false">
      <c r="A1" s="3" t="s">
        <v>1</v>
      </c>
      <c r="B1" s="4"/>
      <c r="D1" s="5"/>
      <c r="E1" s="6"/>
      <c r="F1" s="5"/>
      <c r="G1" s="7"/>
      <c r="H1" s="7"/>
      <c r="I1" s="8"/>
      <c r="J1" s="8"/>
      <c r="K1" s="5"/>
      <c r="L1" s="5"/>
      <c r="M1" s="7"/>
      <c r="N1" s="7"/>
      <c r="O1" s="8"/>
      <c r="P1" s="8"/>
      <c r="Q1" s="5"/>
      <c r="R1" s="9"/>
      <c r="S1" s="5"/>
      <c r="T1" s="5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BC1" s="1" t="n">
        <f aca="false">COUNTIF($B$67:$B$67,"คิงโบ ล็อค+กุญแจ")</f>
        <v>1</v>
      </c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11"/>
      <c r="H2" s="11"/>
      <c r="I2" s="11"/>
      <c r="J2" s="11"/>
      <c r="K2" s="7"/>
      <c r="L2" s="7"/>
      <c r="M2" s="7"/>
      <c r="N2" s="7"/>
      <c r="O2" s="11"/>
      <c r="P2" s="11"/>
      <c r="Q2" s="7"/>
      <c r="R2" s="7"/>
      <c r="S2" s="7"/>
      <c r="T2" s="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C2" s="1" t="n">
        <f aca="false">COUNTIF($B$67:$B$67,"คิงโบ ดัมมี่+ดัมมี่")</f>
        <v>0</v>
      </c>
    </row>
    <row r="3" customFormat="false" ht="39.75" hidden="false" customHeight="true" outlineLevel="0" collapsed="false">
      <c r="A3" s="7"/>
      <c r="B3" s="7"/>
      <c r="C3" s="7"/>
      <c r="D3" s="7"/>
      <c r="E3" s="10"/>
      <c r="F3" s="7"/>
      <c r="I3" s="12"/>
      <c r="J3" s="12"/>
      <c r="K3" s="7"/>
      <c r="L3" s="7"/>
      <c r="M3" s="7"/>
      <c r="N3" s="7"/>
      <c r="O3" s="12"/>
      <c r="P3" s="12"/>
      <c r="Q3" s="7"/>
      <c r="R3" s="7"/>
      <c r="S3" s="7"/>
      <c r="T3" s="7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C3" s="1" t="n">
        <f aca="false">COUNTIF($B$67:$B$67,"Cmech ล็อค+กุญแจ")</f>
        <v>0</v>
      </c>
    </row>
    <row r="4" customFormat="false" ht="39.75" hidden="false" customHeight="true" outlineLevel="0" collapsed="false">
      <c r="A4" s="13" t="s">
        <v>2</v>
      </c>
      <c r="B4" s="7"/>
      <c r="C4" s="7"/>
      <c r="D4" s="14" t="s">
        <v>3</v>
      </c>
      <c r="F4" s="7"/>
      <c r="K4" s="7"/>
      <c r="L4" s="7"/>
      <c r="M4" s="7"/>
      <c r="N4" s="7"/>
      <c r="Q4" s="7"/>
      <c r="R4" s="7"/>
      <c r="S4" s="7"/>
      <c r="T4" s="7"/>
      <c r="BC4" s="1" t="n">
        <f aca="false">COUNTIF($B$67:$B$67,"Cmech ดัมมี่+ดัมมี่")</f>
        <v>0</v>
      </c>
    </row>
    <row r="5" customFormat="false" ht="39.75" hidden="false" customHeight="true" outlineLevel="0" collapsed="false">
      <c r="A5" s="15" t="s">
        <v>4</v>
      </c>
      <c r="B5" s="7"/>
      <c r="C5" s="7"/>
      <c r="D5" s="7"/>
      <c r="E5" s="10"/>
      <c r="F5" s="7"/>
      <c r="K5" s="7"/>
      <c r="L5" s="7"/>
      <c r="N5" s="7"/>
      <c r="Q5" s="7"/>
      <c r="R5" s="7"/>
      <c r="S5" s="7"/>
      <c r="T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8</v>
      </c>
      <c r="L6" s="17"/>
      <c r="M6" s="17" t="s">
        <v>9</v>
      </c>
      <c r="N6" s="17"/>
      <c r="O6" s="17" t="s">
        <v>10</v>
      </c>
      <c r="P6" s="17"/>
      <c r="Q6" s="17" t="s">
        <v>11</v>
      </c>
      <c r="R6" s="17"/>
      <c r="S6" s="17" t="s">
        <v>12</v>
      </c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0" t="s">
        <v>15</v>
      </c>
      <c r="J7" s="20"/>
      <c r="K7" s="20" t="s">
        <v>16</v>
      </c>
      <c r="L7" s="20"/>
      <c r="M7" s="20"/>
      <c r="N7" s="20"/>
      <c r="O7" s="20" t="s">
        <v>17</v>
      </c>
      <c r="P7" s="20"/>
      <c r="Q7" s="20"/>
      <c r="R7" s="20"/>
      <c r="S7" s="21" t="s">
        <v>18</v>
      </c>
      <c r="T7" s="21"/>
      <c r="U7" s="22"/>
      <c r="V7" s="22"/>
      <c r="W7" s="22"/>
      <c r="X7" s="22"/>
      <c r="Y7" s="22"/>
      <c r="Z7" s="22"/>
      <c r="AA7" s="23"/>
      <c r="AB7" s="23"/>
      <c r="AC7" s="24"/>
      <c r="AD7" s="25" t="s">
        <v>19</v>
      </c>
      <c r="AE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30"/>
      <c r="R8" s="30"/>
      <c r="S8" s="30"/>
      <c r="T8" s="30"/>
      <c r="U8" s="29"/>
      <c r="V8" s="29"/>
      <c r="W8" s="30"/>
      <c r="X8" s="30"/>
      <c r="Y8" s="31"/>
      <c r="Z8" s="31"/>
      <c r="AA8" s="30"/>
      <c r="AB8" s="30"/>
      <c r="AC8" s="32"/>
      <c r="AD8" s="33" t="s">
        <v>23</v>
      </c>
      <c r="AE8" s="34"/>
      <c r="AK8" s="1" t="str">
        <f aca="false">IF($B$64="ดำ","JR00488","JR00489")</f>
        <v>JR00489</v>
      </c>
      <c r="AL8" s="1" t="s">
        <v>24</v>
      </c>
      <c r="AM8" s="1" t="s">
        <v>25</v>
      </c>
      <c r="AN8" s="1" t="str">
        <f aca="false">IF($B$64="ดำ","JR00314","JR00315")</f>
        <v>JR00315</v>
      </c>
      <c r="AO8" s="1" t="str">
        <f aca="false">IF($B$64="ดำ","JR00312","JR00313")</f>
        <v>JR00313</v>
      </c>
      <c r="AQ8" s="1" t="str">
        <f aca="false">IF($B$65="มัลติพ้อยล็อค","JR00553","JR00551")</f>
        <v>JR00551</v>
      </c>
      <c r="AR8" s="1" t="str">
        <f aca="false">IF($B$66="เปิดเข้า","JR00498","JR00499")</f>
        <v>JR00499</v>
      </c>
      <c r="AS8" s="1" t="s">
        <v>26</v>
      </c>
      <c r="AT8" s="1" t="s">
        <v>27</v>
      </c>
      <c r="AU8" s="1" t="s">
        <v>28</v>
      </c>
      <c r="AV8" s="1" t="s">
        <v>29</v>
      </c>
      <c r="AW8" s="1" t="s">
        <v>29</v>
      </c>
      <c r="AX8" s="1" t="s">
        <v>30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33</v>
      </c>
      <c r="J9" s="35"/>
      <c r="K9" s="35" t="s">
        <v>34</v>
      </c>
      <c r="L9" s="35"/>
      <c r="M9" s="35" t="s">
        <v>35</v>
      </c>
      <c r="N9" s="35"/>
      <c r="O9" s="35" t="s">
        <v>36</v>
      </c>
      <c r="P9" s="35"/>
      <c r="Q9" s="35" t="s">
        <v>37</v>
      </c>
      <c r="R9" s="35"/>
      <c r="S9" s="35" t="s">
        <v>38</v>
      </c>
      <c r="T9" s="35"/>
      <c r="U9" s="35"/>
      <c r="V9" s="35"/>
      <c r="W9" s="35"/>
      <c r="X9" s="35"/>
      <c r="Y9" s="36"/>
      <c r="Z9" s="36"/>
      <c r="AA9" s="35"/>
      <c r="AB9" s="35"/>
      <c r="AC9" s="37" t="s">
        <v>39</v>
      </c>
      <c r="AD9" s="38" t="s">
        <v>40</v>
      </c>
      <c r="AE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1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  <c r="AY9" s="41" t="s">
        <v>55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44" t="s">
        <v>57</v>
      </c>
      <c r="D10" s="45" t="s">
        <v>58</v>
      </c>
      <c r="E10" s="46" t="s">
        <v>59</v>
      </c>
      <c r="F10" s="47" t="s">
        <v>60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7" t="s">
        <v>60</v>
      </c>
      <c r="U10" s="46" t="s">
        <v>59</v>
      </c>
      <c r="V10" s="48" t="s">
        <v>60</v>
      </c>
      <c r="W10" s="46" t="s">
        <v>59</v>
      </c>
      <c r="X10" s="48" t="s">
        <v>60</v>
      </c>
      <c r="Y10" s="46" t="s">
        <v>59</v>
      </c>
      <c r="Z10" s="48" t="s">
        <v>60</v>
      </c>
      <c r="AA10" s="46" t="s">
        <v>59</v>
      </c>
      <c r="AB10" s="48" t="s">
        <v>60</v>
      </c>
      <c r="AC10" s="49" t="s">
        <v>61</v>
      </c>
      <c r="AD10" s="50" t="s">
        <v>62</v>
      </c>
      <c r="AE10" s="51" t="s">
        <v>60</v>
      </c>
      <c r="AK10" s="40" t="s">
        <v>60</v>
      </c>
      <c r="AL10" s="40" t="s">
        <v>60</v>
      </c>
      <c r="AM10" s="40" t="s">
        <v>60</v>
      </c>
      <c r="AN10" s="40" t="s">
        <v>60</v>
      </c>
      <c r="AO10" s="40" t="s">
        <v>60</v>
      </c>
      <c r="AP10" s="40" t="s">
        <v>60</v>
      </c>
      <c r="AQ10" s="40" t="s">
        <v>60</v>
      </c>
      <c r="AR10" s="40" t="s">
        <v>60</v>
      </c>
      <c r="AS10" s="40" t="s">
        <v>60</v>
      </c>
      <c r="AT10" s="40" t="s">
        <v>60</v>
      </c>
      <c r="AU10" s="40" t="s">
        <v>60</v>
      </c>
      <c r="AV10" s="40" t="s">
        <v>60</v>
      </c>
      <c r="AW10" s="40" t="s">
        <v>60</v>
      </c>
      <c r="AX10" s="40" t="s">
        <v>60</v>
      </c>
    </row>
    <row r="11" customFormat="false" ht="39.75" hidden="false" customHeight="true" outlineLevel="0" collapsed="false">
      <c r="A11" s="52" t="s">
        <v>63</v>
      </c>
      <c r="B11" s="53" t="n">
        <v>2700</v>
      </c>
      <c r="C11" s="54" t="n">
        <v>600</v>
      </c>
      <c r="D11" s="55" t="n">
        <v>15</v>
      </c>
      <c r="E11" s="56" t="n">
        <f aca="false">IF($A11="","",$B11)</f>
        <v>2700</v>
      </c>
      <c r="F11" s="54" t="n">
        <f aca="false">IF($A11="","",$L$54*$D11)</f>
        <v>30</v>
      </c>
      <c r="G11" s="56" t="n">
        <f aca="false">IF($A11="","",$C11-$E$55-$F$55)</f>
        <v>550</v>
      </c>
      <c r="H11" s="54" t="n">
        <f aca="false">IF($A11="","",$L$55*$D11)</f>
        <v>15</v>
      </c>
      <c r="I11" s="56" t="n">
        <f aca="false">IF($A11="","",$G11)</f>
        <v>550</v>
      </c>
      <c r="J11" s="54" t="n">
        <f aca="false">IF($A11="","",$L$56*$D11)</f>
        <v>15</v>
      </c>
      <c r="K11" s="56" t="n">
        <f aca="false">IF($A11="","",$B11-$E$57-$F$57)</f>
        <v>2663</v>
      </c>
      <c r="L11" s="54" t="n">
        <f aca="false">IF($A11="","",$L$57*$D11)</f>
        <v>30</v>
      </c>
      <c r="M11" s="56" t="n">
        <f aca="false">IF($A11="","",(($C11-$E$58-$F$58)))</f>
        <v>563</v>
      </c>
      <c r="N11" s="54" t="n">
        <f aca="false">IF($A11="","",$L$58*$D11)</f>
        <v>30</v>
      </c>
      <c r="O11" s="56" t="n">
        <f aca="false">IF($A11="","",$K11-$E$59-$F$59)</f>
        <v>2463</v>
      </c>
      <c r="P11" s="54" t="n">
        <f aca="false">IF($A11="","",$L$59*$D11)</f>
        <v>30</v>
      </c>
      <c r="Q11" s="56" t="n">
        <f aca="false">IF($A11="","",$M11-$E$60-$F$60)</f>
        <v>403</v>
      </c>
      <c r="R11" s="54" t="n">
        <f aca="false">IF($A11="","",$L$60*$D11)</f>
        <v>30</v>
      </c>
      <c r="S11" s="56" t="n">
        <f aca="false">IF($A11="","",$G11)</f>
        <v>550</v>
      </c>
      <c r="T11" s="54" t="n">
        <f aca="false">IF($A11="","",$L$61*$D11)</f>
        <v>15</v>
      </c>
      <c r="U11" s="56"/>
      <c r="V11" s="54"/>
      <c r="W11" s="56"/>
      <c r="X11" s="54"/>
      <c r="Y11" s="56"/>
      <c r="Z11" s="54"/>
      <c r="AA11" s="56"/>
      <c r="AB11" s="54"/>
      <c r="AC11" s="57" t="n">
        <f aca="false">IF($A11="","",$K11-87-87)</f>
        <v>2489</v>
      </c>
      <c r="AD11" s="58" t="n">
        <f aca="false">IF($A11="","",$M11-87-87)</f>
        <v>389</v>
      </c>
      <c r="AE11" s="59" t="n">
        <f aca="false">IF($A11="","",1*$D11)</f>
        <v>15</v>
      </c>
      <c r="AK11" s="40" t="n">
        <f aca="false">IF($A11="","",(IF(OR($B11&gt;3000,$C11&gt;1200),5,4))*$D11)</f>
        <v>60</v>
      </c>
      <c r="AL11" s="40" t="n">
        <f aca="false">IF($A11="","",4*1*$D11)</f>
        <v>60</v>
      </c>
      <c r="AM11" s="40" t="n">
        <f aca="false">IF($A11="","",8*1*$D11)</f>
        <v>120</v>
      </c>
      <c r="AN11" s="40" t="n">
        <f aca="false">IF($A11="","",$BC$1*$D11)</f>
        <v>15</v>
      </c>
      <c r="AO11" s="40" t="n">
        <f aca="false">IF($A11="","",$BC$2*$D11)</f>
        <v>0</v>
      </c>
      <c r="AP11" s="40" t="n">
        <f aca="false">IF($A11="","",$BC$3*$D11)</f>
        <v>0</v>
      </c>
      <c r="AQ11" s="40" t="n">
        <f aca="false">IF($A11="","",1*$D11)</f>
        <v>15</v>
      </c>
      <c r="AR11" s="40" t="n">
        <f aca="false">IF($A11="","",1*$D11)</f>
        <v>15</v>
      </c>
      <c r="AS11" s="40" t="n">
        <f aca="false">IF($A11="","",0*$D11)</f>
        <v>0</v>
      </c>
      <c r="AT11" s="40" t="n">
        <f aca="false">IF($A11="","",0*$D11)</f>
        <v>0</v>
      </c>
      <c r="AU11" s="40" t="n">
        <f aca="false">IF($A11="","",8*$D11)</f>
        <v>120</v>
      </c>
      <c r="AV11" s="40" t="n">
        <f aca="false">IF($A11="","",ROUND((2*($C11+$B11))*$D11/1000,1))</f>
        <v>99</v>
      </c>
      <c r="AW11" s="40" t="n">
        <f aca="false">IF($A11="","",ROUND((2*($C11+$B11))*$D11/1000,1))</f>
        <v>99</v>
      </c>
      <c r="AX11" s="40" t="n">
        <f aca="false">IF($A11="","",1*$D11)</f>
        <v>15</v>
      </c>
      <c r="AY11" s="41" t="n">
        <f aca="false">IF($A11="","",$BC$4*$D11)</f>
        <v>0</v>
      </c>
    </row>
    <row r="12" customFormat="false" ht="39.75" hidden="false" customHeight="true" outlineLevel="0" collapsed="false">
      <c r="A12" s="52"/>
      <c r="B12" s="53"/>
      <c r="C12" s="54"/>
      <c r="D12" s="55"/>
      <c r="E12" s="60" t="str">
        <f aca="false">IF($A12="","",$B12)</f>
        <v/>
      </c>
      <c r="F12" s="61" t="str">
        <f aca="false">IF($A12="","",$L$54*$D12)</f>
        <v/>
      </c>
      <c r="G12" s="60" t="str">
        <f aca="false">IF($A12="","",$C12-$E$55-$F$55)</f>
        <v/>
      </c>
      <c r="H12" s="61" t="str">
        <f aca="false">IF($A12="","",$L$55*$D12)</f>
        <v/>
      </c>
      <c r="I12" s="60" t="str">
        <f aca="false">IF($A12="","",$G12)</f>
        <v/>
      </c>
      <c r="J12" s="61" t="str">
        <f aca="false">IF($A12="","",$L$56*$D12)</f>
        <v/>
      </c>
      <c r="K12" s="60" t="str">
        <f aca="false">IF($A12="","",$B12-$E$57-$F$57)</f>
        <v/>
      </c>
      <c r="L12" s="61" t="str">
        <f aca="false">IF($A12="","",$L$57*$D12)</f>
        <v/>
      </c>
      <c r="M12" s="60" t="str">
        <f aca="false">IF($A12="","",(($C12-$E$58-$F$58)))</f>
        <v/>
      </c>
      <c r="N12" s="61" t="str">
        <f aca="false">IF($A12="","",$L$58*$D12)</f>
        <v/>
      </c>
      <c r="O12" s="60" t="str">
        <f aca="false">IF($A12="","",$K12-$E$59-$F$59)</f>
        <v/>
      </c>
      <c r="P12" s="61" t="str">
        <f aca="false">IF($A12="","",$L$59*$D12)</f>
        <v/>
      </c>
      <c r="Q12" s="60" t="str">
        <f aca="false">IF($A12="","",$M12-$E$60-$F$60)</f>
        <v/>
      </c>
      <c r="R12" s="61" t="str">
        <f aca="false">IF($A12="","",$L$60*$D12)</f>
        <v/>
      </c>
      <c r="S12" s="60" t="str">
        <f aca="false">IF($A12="","",$G12)</f>
        <v/>
      </c>
      <c r="T12" s="61" t="str">
        <f aca="false">IF($A12="","",$L$61*$D12)</f>
        <v/>
      </c>
      <c r="U12" s="60"/>
      <c r="V12" s="61"/>
      <c r="W12" s="60"/>
      <c r="X12" s="61"/>
      <c r="Y12" s="60"/>
      <c r="Z12" s="61"/>
      <c r="AA12" s="60"/>
      <c r="AB12" s="61"/>
      <c r="AC12" s="57" t="str">
        <f aca="false">IF($A12="","",$K12-87-87)</f>
        <v/>
      </c>
      <c r="AD12" s="58" t="str">
        <f aca="false">IF($A12="","",$M12-87-87)</f>
        <v/>
      </c>
      <c r="AE12" s="59" t="str">
        <f aca="false">IF($A12="","",1*$D12)</f>
        <v/>
      </c>
      <c r="AK12" s="1" t="str">
        <f aca="false">IF($A12="","",(IF(OR($B12&gt;3000,$C12&gt;1200),5,4))*$D12)</f>
        <v/>
      </c>
      <c r="AL12" s="1" t="str">
        <f aca="false">IF($A12="","",4*1*$D12)</f>
        <v/>
      </c>
      <c r="AM12" s="1" t="str">
        <f aca="false">IF($A12="","",8*1*$D12)</f>
        <v/>
      </c>
      <c r="AN12" s="1" t="str">
        <f aca="false">IF($A12="","",$BC$1*$D12)</f>
        <v/>
      </c>
      <c r="AO12" s="1" t="str">
        <f aca="false">IF($A12="","",$BC$2*$D12)</f>
        <v/>
      </c>
      <c r="AP12" s="1" t="str">
        <f aca="false">IF($A12="","",$BC$3*$D12)</f>
        <v/>
      </c>
      <c r="AQ12" s="1" t="str">
        <f aca="false">IF($A12="","",1*$D12)</f>
        <v/>
      </c>
      <c r="AR12" s="1" t="str">
        <f aca="false">IF($A12="","",1*$D12)</f>
        <v/>
      </c>
      <c r="AS12" s="1" t="str">
        <f aca="false">IF($A12="","",0*$D12)</f>
        <v/>
      </c>
      <c r="AT12" s="1" t="str">
        <f aca="false">IF($A12="","",0*$D12)</f>
        <v/>
      </c>
      <c r="AU12" s="1" t="str">
        <f aca="false">IF($A12="","",8*$D12)</f>
        <v/>
      </c>
      <c r="AV12" s="1" t="str">
        <f aca="false">IF($A12="","",ROUND((2*($C12+$B12))*$D12/1000,1))</f>
        <v/>
      </c>
      <c r="AW12" s="1" t="str">
        <f aca="false">IF($A12="","",ROUND((2*($C12+$B12))*$D12/1000,1))</f>
        <v/>
      </c>
      <c r="AX12" s="1" t="str">
        <f aca="false">IF($A12="","",1*$D12)</f>
        <v/>
      </c>
      <c r="AY12" s="0" t="str">
        <f aca="false">IF($A12="","",$BC$4*$D12)</f>
        <v/>
      </c>
    </row>
    <row r="13" customFormat="false" ht="39.75" hidden="false" customHeight="true" outlineLevel="0" collapsed="false">
      <c r="A13" s="52"/>
      <c r="B13" s="53"/>
      <c r="C13" s="54"/>
      <c r="D13" s="55"/>
      <c r="E13" s="56" t="str">
        <f aca="false">IF($A13="","",$B13)</f>
        <v/>
      </c>
      <c r="F13" s="54" t="str">
        <f aca="false">IF($A13="","",$L$54*$D13)</f>
        <v/>
      </c>
      <c r="G13" s="56" t="str">
        <f aca="false">IF($A13="","",$C13-$E$55-$F$55)</f>
        <v/>
      </c>
      <c r="H13" s="54" t="str">
        <f aca="false">IF($A13="","",$L$55*$D13)</f>
        <v/>
      </c>
      <c r="I13" s="56" t="str">
        <f aca="false">IF($A13="","",$G13)</f>
        <v/>
      </c>
      <c r="J13" s="54" t="str">
        <f aca="false">IF($A13="","",$L$56*$D13)</f>
        <v/>
      </c>
      <c r="K13" s="56" t="str">
        <f aca="false">IF($A13="","",$B13-$E$57-$F$57)</f>
        <v/>
      </c>
      <c r="L13" s="54" t="str">
        <f aca="false">IF($A13="","",$L$57*$D13)</f>
        <v/>
      </c>
      <c r="M13" s="56" t="str">
        <f aca="false">IF($A13="","",(($C13-$E$58-$F$58)))</f>
        <v/>
      </c>
      <c r="N13" s="54" t="str">
        <f aca="false">IF($A13="","",$L$58*$D13)</f>
        <v/>
      </c>
      <c r="O13" s="56" t="str">
        <f aca="false">IF($A13="","",$K13-$E$59-$F$59)</f>
        <v/>
      </c>
      <c r="P13" s="54" t="str">
        <f aca="false">IF($A13="","",$L$59*$D13)</f>
        <v/>
      </c>
      <c r="Q13" s="56" t="str">
        <f aca="false">IF($A13="","",$M13-$E$60-$F$60)</f>
        <v/>
      </c>
      <c r="R13" s="54" t="str">
        <f aca="false">IF($A13="","",$L$60*$D13)</f>
        <v/>
      </c>
      <c r="S13" s="56" t="str">
        <f aca="false">IF($A13="","",$G13)</f>
        <v/>
      </c>
      <c r="T13" s="54" t="str">
        <f aca="false">IF($A13="","",$L$61*$D13)</f>
        <v/>
      </c>
      <c r="U13" s="56"/>
      <c r="V13" s="54"/>
      <c r="W13" s="56"/>
      <c r="X13" s="54"/>
      <c r="Y13" s="56"/>
      <c r="Z13" s="54"/>
      <c r="AA13" s="56"/>
      <c r="AB13" s="54"/>
      <c r="AC13" s="57" t="str">
        <f aca="false">IF($A13="","",$K13-87-87)</f>
        <v/>
      </c>
      <c r="AD13" s="58" t="str">
        <f aca="false">IF($A13="","",$M13-87-87)</f>
        <v/>
      </c>
      <c r="AE13" s="59" t="str">
        <f aca="false">IF($A13="","",1*$D13)</f>
        <v/>
      </c>
      <c r="AK13" s="1" t="str">
        <f aca="false">IF($A13="","",(IF(OR($B13&gt;3000,$C13&gt;1200),5,4))*$D13)</f>
        <v/>
      </c>
      <c r="AL13" s="1" t="str">
        <f aca="false">IF($A13="","",4*1*$D13)</f>
        <v/>
      </c>
      <c r="AM13" s="1" t="str">
        <f aca="false">IF($A13="","",8*1*$D13)</f>
        <v/>
      </c>
      <c r="AN13" s="1" t="str">
        <f aca="false">IF($A13="","",$BC$1*$D13)</f>
        <v/>
      </c>
      <c r="AO13" s="1" t="str">
        <f aca="false">IF($A13="","",$BC$2*$D13)</f>
        <v/>
      </c>
      <c r="AP13" s="1" t="str">
        <f aca="false">IF($A13="","",$BC$3*$D13)</f>
        <v/>
      </c>
      <c r="AQ13" s="1" t="str">
        <f aca="false">IF($A13="","",1*$D13)</f>
        <v/>
      </c>
      <c r="AR13" s="1" t="str">
        <f aca="false">IF($A13="","",1*$D13)</f>
        <v/>
      </c>
      <c r="AS13" s="1" t="str">
        <f aca="false">IF($A13="","",0*$D13)</f>
        <v/>
      </c>
      <c r="AT13" s="1" t="str">
        <f aca="false">IF($A13="","",0*$D13)</f>
        <v/>
      </c>
      <c r="AU13" s="1" t="str">
        <f aca="false">IF($A13="","",8*$D13)</f>
        <v/>
      </c>
      <c r="AV13" s="1" t="str">
        <f aca="false">IF($A13="","",ROUND((2*($C13+$B13))*$D13/1000,1))</f>
        <v/>
      </c>
      <c r="AW13" s="1" t="str">
        <f aca="false">IF($A13="","",ROUND((2*($C13+$B13))*$D13/1000,1))</f>
        <v/>
      </c>
      <c r="AX13" s="1" t="str">
        <f aca="false">IF($A13="","",1*$D13)</f>
        <v/>
      </c>
      <c r="AY13" s="0" t="str">
        <f aca="false">IF($A13="","",$BC$4*$D13)</f>
        <v/>
      </c>
    </row>
    <row r="14" customFormat="false" ht="39.75" hidden="false" customHeight="true" outlineLevel="0" collapsed="false">
      <c r="A14" s="52"/>
      <c r="B14" s="53"/>
      <c r="C14" s="54"/>
      <c r="D14" s="55"/>
      <c r="E14" s="60" t="str">
        <f aca="false">IF($A14="","",$B14)</f>
        <v/>
      </c>
      <c r="F14" s="61" t="str">
        <f aca="false">IF($A14="","",$L$54*$D14)</f>
        <v/>
      </c>
      <c r="G14" s="60" t="str">
        <f aca="false">IF($A14="","",$C14-$E$55-$F$55)</f>
        <v/>
      </c>
      <c r="H14" s="61" t="str">
        <f aca="false">IF($A14="","",$L$55*$D14)</f>
        <v/>
      </c>
      <c r="I14" s="60" t="str">
        <f aca="false">IF($A14="","",$G14)</f>
        <v/>
      </c>
      <c r="J14" s="61" t="str">
        <f aca="false">IF($A14="","",$L$56*$D14)</f>
        <v/>
      </c>
      <c r="K14" s="60" t="str">
        <f aca="false">IF($A14="","",$B14-$E$57-$F$57)</f>
        <v/>
      </c>
      <c r="L14" s="61" t="str">
        <f aca="false">IF($A14="","",$L$57*$D14)</f>
        <v/>
      </c>
      <c r="M14" s="60" t="str">
        <f aca="false">IF($A14="","",(($C14-$E$58-$F$58)))</f>
        <v/>
      </c>
      <c r="N14" s="61" t="str">
        <f aca="false">IF($A14="","",$L$58*$D14)</f>
        <v/>
      </c>
      <c r="O14" s="60" t="str">
        <f aca="false">IF($A14="","",$K14-$E$59-$F$59)</f>
        <v/>
      </c>
      <c r="P14" s="61" t="str">
        <f aca="false">IF($A14="","",$L$59*$D14)</f>
        <v/>
      </c>
      <c r="Q14" s="60" t="str">
        <f aca="false">IF($A14="","",$M14-$E$60-$F$60)</f>
        <v/>
      </c>
      <c r="R14" s="61" t="str">
        <f aca="false">IF($A14="","",$L$60*$D14)</f>
        <v/>
      </c>
      <c r="S14" s="60" t="str">
        <f aca="false">IF($A14="","",$G14)</f>
        <v/>
      </c>
      <c r="T14" s="61" t="str">
        <f aca="false">IF($A14="","",$L$61*$D14)</f>
        <v/>
      </c>
      <c r="U14" s="60"/>
      <c r="V14" s="61"/>
      <c r="W14" s="60"/>
      <c r="X14" s="61"/>
      <c r="Y14" s="60"/>
      <c r="Z14" s="61"/>
      <c r="AA14" s="60"/>
      <c r="AB14" s="61"/>
      <c r="AC14" s="57" t="str">
        <f aca="false">IF($A14="","",$K14-87-87)</f>
        <v/>
      </c>
      <c r="AD14" s="58" t="str">
        <f aca="false">IF($A14="","",$M14-87-87)</f>
        <v/>
      </c>
      <c r="AE14" s="59" t="str">
        <f aca="false">IF($A14="","",1*$D14)</f>
        <v/>
      </c>
      <c r="AK14" s="1" t="str">
        <f aca="false">IF($A14="","",(IF(OR($B14&gt;3000,$C14&gt;1200),5,4))*$D14)</f>
        <v/>
      </c>
      <c r="AL14" s="1" t="str">
        <f aca="false">IF($A14="","",4*1*$D14)</f>
        <v/>
      </c>
      <c r="AM14" s="1" t="str">
        <f aca="false">IF($A14="","",8*1*$D14)</f>
        <v/>
      </c>
      <c r="AN14" s="1" t="str">
        <f aca="false">IF($A14="","",$BC$1*$D14)</f>
        <v/>
      </c>
      <c r="AO14" s="1" t="str">
        <f aca="false">IF($A14="","",$BC$2*$D14)</f>
        <v/>
      </c>
      <c r="AP14" s="1" t="str">
        <f aca="false">IF($A14="","",$BC$3*$D14)</f>
        <v/>
      </c>
      <c r="AQ14" s="1" t="str">
        <f aca="false">IF($A14="","",1*$D14)</f>
        <v/>
      </c>
      <c r="AR14" s="1" t="str">
        <f aca="false">IF($A14="","",1*$D14)</f>
        <v/>
      </c>
      <c r="AS14" s="1" t="str">
        <f aca="false">IF($A14="","",0*$D14)</f>
        <v/>
      </c>
      <c r="AT14" s="1" t="str">
        <f aca="false">IF($A14="","",0*$D14)</f>
        <v/>
      </c>
      <c r="AU14" s="1" t="str">
        <f aca="false">IF($A14="","",8*$D14)</f>
        <v/>
      </c>
      <c r="AV14" s="1" t="str">
        <f aca="false">IF($A14="","",ROUND((2*($C14+$B14))*$D14/1000,1))</f>
        <v/>
      </c>
      <c r="AW14" s="1" t="str">
        <f aca="false">IF($A14="","",ROUND((2*($C14+$B14))*$D14/1000,1))</f>
        <v/>
      </c>
      <c r="AX14" s="1" t="str">
        <f aca="false">IF($A14="","",1*$D14)</f>
        <v/>
      </c>
      <c r="AY14" s="0" t="str">
        <f aca="false">IF($A14="","",$BC$4*$D14)</f>
        <v/>
      </c>
    </row>
    <row r="15" customFormat="false" ht="39.75" hidden="false" customHeight="true" outlineLevel="0" collapsed="false">
      <c r="A15" s="52"/>
      <c r="B15" s="53"/>
      <c r="C15" s="54"/>
      <c r="D15" s="55"/>
      <c r="E15" s="56" t="str">
        <f aca="false">IF($A15="","",$B15)</f>
        <v/>
      </c>
      <c r="F15" s="54" t="str">
        <f aca="false">IF($A15="","",$L$54*$D15)</f>
        <v/>
      </c>
      <c r="G15" s="56" t="str">
        <f aca="false">IF($A15="","",$C15-$E$55-$F$55)</f>
        <v/>
      </c>
      <c r="H15" s="54" t="str">
        <f aca="false">IF($A15="","",$L$55*$D15)</f>
        <v/>
      </c>
      <c r="I15" s="56" t="str">
        <f aca="false">IF($A15="","",$G15)</f>
        <v/>
      </c>
      <c r="J15" s="54" t="str">
        <f aca="false">IF($A15="","",$L$56*$D15)</f>
        <v/>
      </c>
      <c r="K15" s="56" t="str">
        <f aca="false">IF($A15="","",$B15-$E$57-$F$57)</f>
        <v/>
      </c>
      <c r="L15" s="54" t="str">
        <f aca="false">IF($A15="","",$L$57*$D15)</f>
        <v/>
      </c>
      <c r="M15" s="56" t="str">
        <f aca="false">IF($A15="","",(($C15-$E$58-$F$58)))</f>
        <v/>
      </c>
      <c r="N15" s="54" t="str">
        <f aca="false">IF($A15="","",$L$58*$D15)</f>
        <v/>
      </c>
      <c r="O15" s="56" t="str">
        <f aca="false">IF($A15="","",$K15-$E$59-$F$59)</f>
        <v/>
      </c>
      <c r="P15" s="54" t="str">
        <f aca="false">IF($A15="","",$L$59*$D15)</f>
        <v/>
      </c>
      <c r="Q15" s="56" t="str">
        <f aca="false">IF($A15="","",$M15-$E$60-$F$60)</f>
        <v/>
      </c>
      <c r="R15" s="54" t="str">
        <f aca="false">IF($A15="","",$L$60*$D15)</f>
        <v/>
      </c>
      <c r="S15" s="56" t="str">
        <f aca="false">IF($A15="","",$G15)</f>
        <v/>
      </c>
      <c r="T15" s="54" t="str">
        <f aca="false">IF($A15="","",$L$61*$D15)</f>
        <v/>
      </c>
      <c r="U15" s="56"/>
      <c r="V15" s="54"/>
      <c r="W15" s="56"/>
      <c r="X15" s="54"/>
      <c r="Y15" s="56"/>
      <c r="Z15" s="54"/>
      <c r="AA15" s="56"/>
      <c r="AB15" s="54"/>
      <c r="AC15" s="57" t="str">
        <f aca="false">IF($A15="","",$K15-87-87)</f>
        <v/>
      </c>
      <c r="AD15" s="58" t="str">
        <f aca="false">IF($A15="","",$M15-87-87)</f>
        <v/>
      </c>
      <c r="AE15" s="59" t="str">
        <f aca="false">IF($A15="","",1*$D15)</f>
        <v/>
      </c>
      <c r="AK15" s="1" t="str">
        <f aca="false">IF($A15="","",(IF(OR($B15&gt;3000,$C15&gt;1200),5,4))*$D15)</f>
        <v/>
      </c>
      <c r="AL15" s="1" t="str">
        <f aca="false">IF($A15="","",4*1*$D15)</f>
        <v/>
      </c>
      <c r="AM15" s="1" t="str">
        <f aca="false">IF($A15="","",8*1*$D15)</f>
        <v/>
      </c>
      <c r="AN15" s="1" t="str">
        <f aca="false">IF($A15="","",$BC$1*$D15)</f>
        <v/>
      </c>
      <c r="AO15" s="1" t="str">
        <f aca="false">IF($A15="","",$BC$2*$D15)</f>
        <v/>
      </c>
      <c r="AP15" s="1" t="str">
        <f aca="false">IF($A15="","",$BC$3*$D15)</f>
        <v/>
      </c>
      <c r="AQ15" s="1" t="str">
        <f aca="false">IF($A15="","",1*$D15)</f>
        <v/>
      </c>
      <c r="AR15" s="1" t="str">
        <f aca="false">IF($A15="","",1*$D15)</f>
        <v/>
      </c>
      <c r="AS15" s="1" t="str">
        <f aca="false">IF($A15="","",0*$D15)</f>
        <v/>
      </c>
      <c r="AT15" s="1" t="str">
        <f aca="false">IF($A15="","",0*$D15)</f>
        <v/>
      </c>
      <c r="AU15" s="1" t="str">
        <f aca="false">IF($A15="","",8*$D15)</f>
        <v/>
      </c>
      <c r="AV15" s="1" t="str">
        <f aca="false">IF($A15="","",ROUND((2*($C15+$B15))*$D15/1000,1))</f>
        <v/>
      </c>
      <c r="AW15" s="1" t="str">
        <f aca="false">IF($A15="","",ROUND((2*($C15+$B15))*$D15/1000,1))</f>
        <v/>
      </c>
      <c r="AX15" s="1" t="str">
        <f aca="false">IF($A15="","",1*$D15)</f>
        <v/>
      </c>
      <c r="AY15" s="0" t="str">
        <f aca="false">IF($A15="","",$BC$4*$D15)</f>
        <v/>
      </c>
    </row>
    <row r="16" customFormat="false" ht="39.75" hidden="false" customHeight="true" outlineLevel="0" collapsed="false">
      <c r="A16" s="52"/>
      <c r="B16" s="53"/>
      <c r="C16" s="54"/>
      <c r="D16" s="55"/>
      <c r="E16" s="60" t="str">
        <f aca="false">IF($A16="","",$B16)</f>
        <v/>
      </c>
      <c r="F16" s="61" t="str">
        <f aca="false">IF($A16="","",$L$54*$D16)</f>
        <v/>
      </c>
      <c r="G16" s="60" t="str">
        <f aca="false">IF($A16="","",$C16-$E$55-$F$55)</f>
        <v/>
      </c>
      <c r="H16" s="61" t="str">
        <f aca="false">IF($A16="","",$L$55*$D16)</f>
        <v/>
      </c>
      <c r="I16" s="60" t="str">
        <f aca="false">IF($A16="","",$G16)</f>
        <v/>
      </c>
      <c r="J16" s="61" t="str">
        <f aca="false">IF($A16="","",$L$56*$D16)</f>
        <v/>
      </c>
      <c r="K16" s="60" t="str">
        <f aca="false">IF($A16="","",$B16-$E$57-$F$57)</f>
        <v/>
      </c>
      <c r="L16" s="61" t="str">
        <f aca="false">IF($A16="","",$L$57*$D16)</f>
        <v/>
      </c>
      <c r="M16" s="60" t="str">
        <f aca="false">IF($A16="","",(($C16-$E$58-$F$58)))</f>
        <v/>
      </c>
      <c r="N16" s="61" t="str">
        <f aca="false">IF($A16="","",$L$58*$D16)</f>
        <v/>
      </c>
      <c r="O16" s="60" t="str">
        <f aca="false">IF($A16="","",$K16-$E$59-$F$59)</f>
        <v/>
      </c>
      <c r="P16" s="61" t="str">
        <f aca="false">IF($A16="","",$L$59*$D16)</f>
        <v/>
      </c>
      <c r="Q16" s="60" t="str">
        <f aca="false">IF($A16="","",$M16-$E$60-$F$60)</f>
        <v/>
      </c>
      <c r="R16" s="61" t="str">
        <f aca="false">IF($A16="","",$L$60*$D16)</f>
        <v/>
      </c>
      <c r="S16" s="60" t="str">
        <f aca="false">IF($A16="","",$G16)</f>
        <v/>
      </c>
      <c r="T16" s="61" t="str">
        <f aca="false">IF($A16="","",$L$61*$D16)</f>
        <v/>
      </c>
      <c r="U16" s="60"/>
      <c r="V16" s="61"/>
      <c r="W16" s="60"/>
      <c r="X16" s="61"/>
      <c r="Y16" s="60"/>
      <c r="Z16" s="61"/>
      <c r="AA16" s="60"/>
      <c r="AB16" s="61"/>
      <c r="AC16" s="57" t="str">
        <f aca="false">IF($A16="","",$K16-87-87)</f>
        <v/>
      </c>
      <c r="AD16" s="58" t="str">
        <f aca="false">IF($A16="","",$M16-87-87)</f>
        <v/>
      </c>
      <c r="AE16" s="59" t="str">
        <f aca="false">IF($A16="","",1*$D16)</f>
        <v/>
      </c>
      <c r="AK16" s="1" t="str">
        <f aca="false">IF($A16="","",(IF(OR($B16&gt;3000,$C16&gt;1200),5,4))*$D16)</f>
        <v/>
      </c>
      <c r="AL16" s="1" t="str">
        <f aca="false">IF($A16="","",4*1*$D16)</f>
        <v/>
      </c>
      <c r="AM16" s="1" t="str">
        <f aca="false">IF($A16="","",8*1*$D16)</f>
        <v/>
      </c>
      <c r="AN16" s="1" t="str">
        <f aca="false">IF($A16="","",$BC$1*$D16)</f>
        <v/>
      </c>
      <c r="AO16" s="1" t="str">
        <f aca="false">IF($A16="","",$BC$2*$D16)</f>
        <v/>
      </c>
      <c r="AP16" s="1" t="str">
        <f aca="false">IF($A16="","",$BC$3*$D16)</f>
        <v/>
      </c>
      <c r="AQ16" s="1" t="str">
        <f aca="false">IF($A16="","",1*$D16)</f>
        <v/>
      </c>
      <c r="AR16" s="1" t="str">
        <f aca="false">IF($A16="","",1*$D16)</f>
        <v/>
      </c>
      <c r="AS16" s="1" t="str">
        <f aca="false">IF($A16="","",0*$D16)</f>
        <v/>
      </c>
      <c r="AT16" s="1" t="str">
        <f aca="false">IF($A16="","",0*$D16)</f>
        <v/>
      </c>
      <c r="AU16" s="1" t="str">
        <f aca="false">IF($A16="","",8*$D16)</f>
        <v/>
      </c>
      <c r="AV16" s="1" t="str">
        <f aca="false">IF($A16="","",ROUND((2*($C16+$B16))*$D16/1000,1))</f>
        <v/>
      </c>
      <c r="AW16" s="1" t="str">
        <f aca="false">IF($A16="","",ROUND((2*($C16+$B16))*$D16/1000,1))</f>
        <v/>
      </c>
      <c r="AX16" s="1" t="str">
        <f aca="false">IF($A16="","",1*$D16)</f>
        <v/>
      </c>
      <c r="AY16" s="0" t="str">
        <f aca="false">IF($A16="","",$BC$4*$D16)</f>
        <v/>
      </c>
    </row>
    <row r="17" customFormat="false" ht="39.75" hidden="false" customHeight="true" outlineLevel="0" collapsed="false">
      <c r="A17" s="52"/>
      <c r="B17" s="53"/>
      <c r="C17" s="54"/>
      <c r="D17" s="55"/>
      <c r="E17" s="56" t="str">
        <f aca="false">IF($A17="","",$B17)</f>
        <v/>
      </c>
      <c r="F17" s="54" t="str">
        <f aca="false">IF($A17="","",$L$54*$D17)</f>
        <v/>
      </c>
      <c r="G17" s="56" t="str">
        <f aca="false">IF($A17="","",$C17-$E$55-$F$55)</f>
        <v/>
      </c>
      <c r="H17" s="54" t="str">
        <f aca="false">IF($A17="","",$L$55*$D17)</f>
        <v/>
      </c>
      <c r="I17" s="56" t="str">
        <f aca="false">IF($A17="","",$G17)</f>
        <v/>
      </c>
      <c r="J17" s="54" t="str">
        <f aca="false">IF($A17="","",$L$56*$D17)</f>
        <v/>
      </c>
      <c r="K17" s="56" t="str">
        <f aca="false">IF($A17="","",$B17-$E$57-$F$57)</f>
        <v/>
      </c>
      <c r="L17" s="54" t="str">
        <f aca="false">IF($A17="","",$L$57*$D17)</f>
        <v/>
      </c>
      <c r="M17" s="56" t="str">
        <f aca="false">IF($A17="","",(($C17-$E$58-$F$58)))</f>
        <v/>
      </c>
      <c r="N17" s="54" t="str">
        <f aca="false">IF($A17="","",$L$58*$D17)</f>
        <v/>
      </c>
      <c r="O17" s="56" t="str">
        <f aca="false">IF($A17="","",$K17-$E$59-$F$59)</f>
        <v/>
      </c>
      <c r="P17" s="54" t="str">
        <f aca="false">IF($A17="","",$L$59*$D17)</f>
        <v/>
      </c>
      <c r="Q17" s="56" t="str">
        <f aca="false">IF($A17="","",$M17-$E$60-$F$60)</f>
        <v/>
      </c>
      <c r="R17" s="54" t="str">
        <f aca="false">IF($A17="","",$L$60*$D17)</f>
        <v/>
      </c>
      <c r="S17" s="56" t="str">
        <f aca="false">IF($A17="","",$G17)</f>
        <v/>
      </c>
      <c r="T17" s="54" t="str">
        <f aca="false">IF($A17="","",$L$61*$D17)</f>
        <v/>
      </c>
      <c r="U17" s="56"/>
      <c r="V17" s="54"/>
      <c r="W17" s="56"/>
      <c r="X17" s="54"/>
      <c r="Y17" s="56"/>
      <c r="Z17" s="54"/>
      <c r="AA17" s="56"/>
      <c r="AB17" s="54"/>
      <c r="AC17" s="57" t="str">
        <f aca="false">IF($A17="","",$K17-87-87)</f>
        <v/>
      </c>
      <c r="AD17" s="58" t="str">
        <f aca="false">IF($A17="","",$M17-87-87)</f>
        <v/>
      </c>
      <c r="AE17" s="59" t="str">
        <f aca="false">IF($A17="","",1*$D17)</f>
        <v/>
      </c>
      <c r="AK17" s="1" t="str">
        <f aca="false">IF($A17="","",(IF(OR($B17&gt;3000,$C17&gt;1200),5,4))*$D17)</f>
        <v/>
      </c>
      <c r="AL17" s="1" t="str">
        <f aca="false">IF($A17="","",4*1*$D17)</f>
        <v/>
      </c>
      <c r="AM17" s="1" t="str">
        <f aca="false">IF($A17="","",8*1*$D17)</f>
        <v/>
      </c>
      <c r="AN17" s="1" t="str">
        <f aca="false">IF($A17="","",$BC$1*$D17)</f>
        <v/>
      </c>
      <c r="AO17" s="1" t="str">
        <f aca="false">IF($A17="","",$BC$2*$D17)</f>
        <v/>
      </c>
      <c r="AP17" s="1" t="str">
        <f aca="false">IF($A17="","",$BC$3*$D17)</f>
        <v/>
      </c>
      <c r="AQ17" s="1" t="str">
        <f aca="false">IF($A17="","",1*$D17)</f>
        <v/>
      </c>
      <c r="AR17" s="1" t="str">
        <f aca="false">IF($A17="","",1*$D17)</f>
        <v/>
      </c>
      <c r="AS17" s="1" t="str">
        <f aca="false">IF($A17="","",0*$D17)</f>
        <v/>
      </c>
      <c r="AT17" s="1" t="str">
        <f aca="false">IF($A17="","",0*$D17)</f>
        <v/>
      </c>
      <c r="AU17" s="1" t="str">
        <f aca="false">IF($A17="","",8*$D17)</f>
        <v/>
      </c>
      <c r="AV17" s="1" t="str">
        <f aca="false">IF($A17="","",ROUND((2*($C17+$B17))*$D17/1000,1))</f>
        <v/>
      </c>
      <c r="AW17" s="1" t="str">
        <f aca="false">IF($A17="","",ROUND((2*($C17+$B17))*$D17/1000,1))</f>
        <v/>
      </c>
      <c r="AX17" s="1" t="str">
        <f aca="false">IF($A17="","",1*$D17)</f>
        <v/>
      </c>
      <c r="AY17" s="0" t="str">
        <f aca="false">IF($A17="","",$BC$4*$D17)</f>
        <v/>
      </c>
    </row>
    <row r="18" customFormat="false" ht="39.75" hidden="false" customHeight="true" outlineLevel="0" collapsed="false">
      <c r="A18" s="52"/>
      <c r="B18" s="53"/>
      <c r="C18" s="54"/>
      <c r="D18" s="55"/>
      <c r="E18" s="60" t="str">
        <f aca="false">IF($A18="","",$B18)</f>
        <v/>
      </c>
      <c r="F18" s="61" t="str">
        <f aca="false">IF($A18="","",$L$54*$D18)</f>
        <v/>
      </c>
      <c r="G18" s="60" t="str">
        <f aca="false">IF($A18="","",$C18-$E$55-$F$55)</f>
        <v/>
      </c>
      <c r="H18" s="61" t="str">
        <f aca="false">IF($A18="","",$L$55*$D18)</f>
        <v/>
      </c>
      <c r="I18" s="60" t="str">
        <f aca="false">IF($A18="","",$G18)</f>
        <v/>
      </c>
      <c r="J18" s="61" t="str">
        <f aca="false">IF($A18="","",$L$56*$D18)</f>
        <v/>
      </c>
      <c r="K18" s="60" t="str">
        <f aca="false">IF($A18="","",$B18-$E$57-$F$57)</f>
        <v/>
      </c>
      <c r="L18" s="61" t="str">
        <f aca="false">IF($A18="","",$L$57*$D18)</f>
        <v/>
      </c>
      <c r="M18" s="60" t="str">
        <f aca="false">IF($A18="","",(($C18-$E$58-$F$58)))</f>
        <v/>
      </c>
      <c r="N18" s="61" t="str">
        <f aca="false">IF($A18="","",$L$58*$D18)</f>
        <v/>
      </c>
      <c r="O18" s="60" t="str">
        <f aca="false">IF($A18="","",$K18-$E$59-$F$59)</f>
        <v/>
      </c>
      <c r="P18" s="61" t="str">
        <f aca="false">IF($A18="","",$L$59*$D18)</f>
        <v/>
      </c>
      <c r="Q18" s="60" t="str">
        <f aca="false">IF($A18="","",$M18-$E$60-$F$60)</f>
        <v/>
      </c>
      <c r="R18" s="61" t="str">
        <f aca="false">IF($A18="","",$L$60*$D18)</f>
        <v/>
      </c>
      <c r="S18" s="60" t="str">
        <f aca="false">IF($A18="","",$G18)</f>
        <v/>
      </c>
      <c r="T18" s="61" t="str">
        <f aca="false">IF($A18="","",$L$61*$D18)</f>
        <v/>
      </c>
      <c r="U18" s="60"/>
      <c r="V18" s="61"/>
      <c r="W18" s="60"/>
      <c r="X18" s="61"/>
      <c r="Y18" s="60"/>
      <c r="Z18" s="61"/>
      <c r="AA18" s="60"/>
      <c r="AB18" s="61"/>
      <c r="AC18" s="57" t="str">
        <f aca="false">IF($A18="","",$K18-87-87)</f>
        <v/>
      </c>
      <c r="AD18" s="58" t="str">
        <f aca="false">IF($A18="","",$M18-87-87)</f>
        <v/>
      </c>
      <c r="AE18" s="59" t="str">
        <f aca="false">IF($A18="","",1*$D18)</f>
        <v/>
      </c>
      <c r="AK18" s="1" t="str">
        <f aca="false">IF($A18="","",(IF(OR($B18&gt;3000,$C18&gt;1200),5,4))*$D18)</f>
        <v/>
      </c>
      <c r="AL18" s="1" t="str">
        <f aca="false">IF($A18="","",4*1*$D18)</f>
        <v/>
      </c>
      <c r="AM18" s="1" t="str">
        <f aca="false">IF($A18="","",8*1*$D18)</f>
        <v/>
      </c>
      <c r="AN18" s="1" t="str">
        <f aca="false">IF($A18="","",$BC$1*$D18)</f>
        <v/>
      </c>
      <c r="AO18" s="1" t="str">
        <f aca="false">IF($A18="","",$BC$2*$D18)</f>
        <v/>
      </c>
      <c r="AP18" s="1" t="str">
        <f aca="false">IF($A18="","",$BC$3*$D18)</f>
        <v/>
      </c>
      <c r="AQ18" s="1" t="str">
        <f aca="false">IF($A18="","",1*$D18)</f>
        <v/>
      </c>
      <c r="AR18" s="1" t="str">
        <f aca="false">IF($A18="","",1*$D18)</f>
        <v/>
      </c>
      <c r="AS18" s="1" t="str">
        <f aca="false">IF($A18="","",0*$D18)</f>
        <v/>
      </c>
      <c r="AT18" s="1" t="str">
        <f aca="false">IF($A18="","",0*$D18)</f>
        <v/>
      </c>
      <c r="AU18" s="1" t="str">
        <f aca="false">IF($A18="","",8*$D18)</f>
        <v/>
      </c>
      <c r="AV18" s="1" t="str">
        <f aca="false">IF($A18="","",ROUND((2*($C18+$B18))*$D18/1000,1))</f>
        <v/>
      </c>
      <c r="AW18" s="1" t="str">
        <f aca="false">IF($A18="","",ROUND((2*($C18+$B18))*$D18/1000,1))</f>
        <v/>
      </c>
      <c r="AX18" s="1" t="str">
        <f aca="false">IF($A18="","",1*$D18)</f>
        <v/>
      </c>
      <c r="AY18" s="0" t="str">
        <f aca="false">IF($A18="","",$BC$4*$D18)</f>
        <v/>
      </c>
    </row>
    <row r="19" customFormat="false" ht="39.75" hidden="false" customHeight="true" outlineLevel="0" collapsed="false">
      <c r="A19" s="52"/>
      <c r="B19" s="53"/>
      <c r="C19" s="54"/>
      <c r="D19" s="55"/>
      <c r="E19" s="56" t="str">
        <f aca="false">IF($A19="","",$B19)</f>
        <v/>
      </c>
      <c r="F19" s="54" t="str">
        <f aca="false">IF($A19="","",$L$54*$D19)</f>
        <v/>
      </c>
      <c r="G19" s="56" t="str">
        <f aca="false">IF($A19="","",$C19-$E$55-$F$55)</f>
        <v/>
      </c>
      <c r="H19" s="54" t="str">
        <f aca="false">IF($A19="","",$L$55*$D19)</f>
        <v/>
      </c>
      <c r="I19" s="56" t="str">
        <f aca="false">IF($A19="","",$G19)</f>
        <v/>
      </c>
      <c r="J19" s="54" t="str">
        <f aca="false">IF($A19="","",$L$56*$D19)</f>
        <v/>
      </c>
      <c r="K19" s="56" t="str">
        <f aca="false">IF($A19="","",$B19-$E$57-$F$57)</f>
        <v/>
      </c>
      <c r="L19" s="54" t="str">
        <f aca="false">IF($A19="","",$L$57*$D19)</f>
        <v/>
      </c>
      <c r="M19" s="56" t="str">
        <f aca="false">IF($A19="","",(($C19-$E$58-$F$58)))</f>
        <v/>
      </c>
      <c r="N19" s="54" t="str">
        <f aca="false">IF($A19="","",$L$58*$D19)</f>
        <v/>
      </c>
      <c r="O19" s="56" t="str">
        <f aca="false">IF($A19="","",$K19-$E$59-$F$59)</f>
        <v/>
      </c>
      <c r="P19" s="54" t="str">
        <f aca="false">IF($A19="","",$L$59*$D19)</f>
        <v/>
      </c>
      <c r="Q19" s="56" t="str">
        <f aca="false">IF($A19="","",$M19-$E$60-$F$60)</f>
        <v/>
      </c>
      <c r="R19" s="54" t="str">
        <f aca="false">IF($A19="","",$L$60*$D19)</f>
        <v/>
      </c>
      <c r="S19" s="56" t="str">
        <f aca="false">IF($A19="","",$G19)</f>
        <v/>
      </c>
      <c r="T19" s="54" t="str">
        <f aca="false">IF($A19="","",$L$61*$D19)</f>
        <v/>
      </c>
      <c r="U19" s="56"/>
      <c r="V19" s="54"/>
      <c r="W19" s="56"/>
      <c r="X19" s="54"/>
      <c r="Y19" s="56"/>
      <c r="Z19" s="54"/>
      <c r="AA19" s="56"/>
      <c r="AB19" s="54"/>
      <c r="AC19" s="57" t="str">
        <f aca="false">IF($A19="","",$K19-87-87)</f>
        <v/>
      </c>
      <c r="AD19" s="58" t="str">
        <f aca="false">IF($A19="","",$M19-87-87)</f>
        <v/>
      </c>
      <c r="AE19" s="59" t="str">
        <f aca="false">IF($A19="","",1*$D19)</f>
        <v/>
      </c>
      <c r="AK19" s="1" t="str">
        <f aca="false">IF($A19="","",(IF(OR($B19&gt;3000,$C19&gt;1200),5,4))*$D19)</f>
        <v/>
      </c>
      <c r="AL19" s="1" t="str">
        <f aca="false">IF($A19="","",4*1*$D19)</f>
        <v/>
      </c>
      <c r="AM19" s="1" t="str">
        <f aca="false">IF($A19="","",8*1*$D19)</f>
        <v/>
      </c>
      <c r="AN19" s="1" t="str">
        <f aca="false">IF($A19="","",$BC$1*$D19)</f>
        <v/>
      </c>
      <c r="AO19" s="1" t="str">
        <f aca="false">IF($A19="","",$BC$2*$D19)</f>
        <v/>
      </c>
      <c r="AP19" s="1" t="str">
        <f aca="false">IF($A19="","",$BC$3*$D19)</f>
        <v/>
      </c>
      <c r="AQ19" s="1" t="str">
        <f aca="false">IF($A19="","",1*$D19)</f>
        <v/>
      </c>
      <c r="AR19" s="1" t="str">
        <f aca="false">IF($A19="","",1*$D19)</f>
        <v/>
      </c>
      <c r="AS19" s="1" t="str">
        <f aca="false">IF($A19="","",0*$D19)</f>
        <v/>
      </c>
      <c r="AT19" s="1" t="str">
        <f aca="false">IF($A19="","",0*$D19)</f>
        <v/>
      </c>
      <c r="AU19" s="1" t="str">
        <f aca="false">IF($A19="","",8*$D19)</f>
        <v/>
      </c>
      <c r="AV19" s="1" t="str">
        <f aca="false">IF($A19="","",ROUND((2*($C19+$B19))*$D19/1000,1))</f>
        <v/>
      </c>
      <c r="AW19" s="1" t="str">
        <f aca="false">IF($A19="","",ROUND((2*($C19+$B19))*$D19/1000,1))</f>
        <v/>
      </c>
      <c r="AX19" s="1" t="str">
        <f aca="false">IF($A19="","",1*$D19)</f>
        <v/>
      </c>
      <c r="AY19" s="0" t="str">
        <f aca="false">IF($A19="","",$BC$4*$D19)</f>
        <v/>
      </c>
    </row>
    <row r="20" customFormat="false" ht="39.75" hidden="false" customHeight="true" outlineLevel="0" collapsed="false">
      <c r="A20" s="52"/>
      <c r="B20" s="53"/>
      <c r="C20" s="54"/>
      <c r="D20" s="55"/>
      <c r="E20" s="60" t="str">
        <f aca="false">IF($A20="","",$B20)</f>
        <v/>
      </c>
      <c r="F20" s="61" t="str">
        <f aca="false">IF($A20="","",$L$54*$D20)</f>
        <v/>
      </c>
      <c r="G20" s="60" t="str">
        <f aca="false">IF($A20="","",$C20-$E$55-$F$55)</f>
        <v/>
      </c>
      <c r="H20" s="61" t="str">
        <f aca="false">IF($A20="","",$L$55*$D20)</f>
        <v/>
      </c>
      <c r="I20" s="60" t="str">
        <f aca="false">IF($A20="","",$G20)</f>
        <v/>
      </c>
      <c r="J20" s="61" t="str">
        <f aca="false">IF($A20="","",$L$56*$D20)</f>
        <v/>
      </c>
      <c r="K20" s="60" t="str">
        <f aca="false">IF($A20="","",$B20-$E$57-$F$57)</f>
        <v/>
      </c>
      <c r="L20" s="61" t="str">
        <f aca="false">IF($A20="","",$L$57*$D20)</f>
        <v/>
      </c>
      <c r="M20" s="60" t="str">
        <f aca="false">IF($A20="","",(($C20-$E$58-$F$58)))</f>
        <v/>
      </c>
      <c r="N20" s="61" t="str">
        <f aca="false">IF($A20="","",$L$58*$D20)</f>
        <v/>
      </c>
      <c r="O20" s="60" t="str">
        <f aca="false">IF($A20="","",$K20-$E$59-$F$59)</f>
        <v/>
      </c>
      <c r="P20" s="61" t="str">
        <f aca="false">IF($A20="","",$L$59*$D20)</f>
        <v/>
      </c>
      <c r="Q20" s="60" t="str">
        <f aca="false">IF($A20="","",$M20-$E$60-$F$60)</f>
        <v/>
      </c>
      <c r="R20" s="61" t="str">
        <f aca="false">IF($A20="","",$L$60*$D20)</f>
        <v/>
      </c>
      <c r="S20" s="60" t="str">
        <f aca="false">IF($A20="","",$G20)</f>
        <v/>
      </c>
      <c r="T20" s="61" t="str">
        <f aca="false">IF($A20="","",$L$61*$D20)</f>
        <v/>
      </c>
      <c r="U20" s="60"/>
      <c r="V20" s="61"/>
      <c r="W20" s="60"/>
      <c r="X20" s="61"/>
      <c r="Y20" s="60"/>
      <c r="Z20" s="61"/>
      <c r="AA20" s="60"/>
      <c r="AB20" s="61"/>
      <c r="AC20" s="57" t="str">
        <f aca="false">IF($A20="","",$K20-87-87)</f>
        <v/>
      </c>
      <c r="AD20" s="58" t="str">
        <f aca="false">IF($A20="","",$M20-87-87)</f>
        <v/>
      </c>
      <c r="AE20" s="59" t="str">
        <f aca="false">IF($A20="","",1*$D20)</f>
        <v/>
      </c>
      <c r="AK20" s="1" t="str">
        <f aca="false">IF($A20="","",(IF(OR($B20&gt;3000,$C20&gt;1200),5,4))*$D20)</f>
        <v/>
      </c>
      <c r="AL20" s="1" t="str">
        <f aca="false">IF($A20="","",4*1*$D20)</f>
        <v/>
      </c>
      <c r="AM20" s="1" t="str">
        <f aca="false">IF($A20="","",8*1*$D20)</f>
        <v/>
      </c>
      <c r="AN20" s="1" t="str">
        <f aca="false">IF($A20="","",$BC$1*$D20)</f>
        <v/>
      </c>
      <c r="AO20" s="1" t="str">
        <f aca="false">IF($A20="","",$BC$2*$D20)</f>
        <v/>
      </c>
      <c r="AP20" s="1" t="str">
        <f aca="false">IF($A20="","",$BC$3*$D20)</f>
        <v/>
      </c>
      <c r="AQ20" s="1" t="str">
        <f aca="false">IF($A20="","",1*$D20)</f>
        <v/>
      </c>
      <c r="AR20" s="1" t="str">
        <f aca="false">IF($A20="","",1*$D20)</f>
        <v/>
      </c>
      <c r="AS20" s="1" t="str">
        <f aca="false">IF($A20="","",0*$D20)</f>
        <v/>
      </c>
      <c r="AT20" s="1" t="str">
        <f aca="false">IF($A20="","",0*$D20)</f>
        <v/>
      </c>
      <c r="AU20" s="1" t="str">
        <f aca="false">IF($A20="","",8*$D20)</f>
        <v/>
      </c>
      <c r="AV20" s="1" t="str">
        <f aca="false">IF($A20="","",ROUND((2*($C20+$B20))*$D20/1000,1))</f>
        <v/>
      </c>
      <c r="AW20" s="1" t="str">
        <f aca="false">IF($A20="","",ROUND((2*($C20+$B20))*$D20/1000,1))</f>
        <v/>
      </c>
      <c r="AX20" s="1" t="str">
        <f aca="false">IF($A20="","",1*$D20)</f>
        <v/>
      </c>
      <c r="AY20" s="0" t="str">
        <f aca="false">IF($A20="","",$BC$4*$D20)</f>
        <v/>
      </c>
    </row>
    <row r="21" customFormat="false" ht="39.75" hidden="false" customHeight="true" outlineLevel="0" collapsed="false">
      <c r="A21" s="52"/>
      <c r="B21" s="53"/>
      <c r="C21" s="54"/>
      <c r="D21" s="55"/>
      <c r="E21" s="56" t="str">
        <f aca="false">IF($A21="","",$B21)</f>
        <v/>
      </c>
      <c r="F21" s="54" t="str">
        <f aca="false">IF($A21="","",$L$54*$D21)</f>
        <v/>
      </c>
      <c r="G21" s="56" t="str">
        <f aca="false">IF($A21="","",$C21-$E$55-$F$55)</f>
        <v/>
      </c>
      <c r="H21" s="54" t="str">
        <f aca="false">IF($A21="","",$L$55*$D21)</f>
        <v/>
      </c>
      <c r="I21" s="56" t="str">
        <f aca="false">IF($A21="","",$G21)</f>
        <v/>
      </c>
      <c r="J21" s="54" t="str">
        <f aca="false">IF($A21="","",$L$56*$D21)</f>
        <v/>
      </c>
      <c r="K21" s="56" t="str">
        <f aca="false">IF($A21="","",$B21-$E$57-$F$57)</f>
        <v/>
      </c>
      <c r="L21" s="54" t="str">
        <f aca="false">IF($A21="","",$L$57*$D21)</f>
        <v/>
      </c>
      <c r="M21" s="56" t="str">
        <f aca="false">IF($A21="","",(($C21-$E$58-$F$58)))</f>
        <v/>
      </c>
      <c r="N21" s="54" t="str">
        <f aca="false">IF($A21="","",$L$58*$D21)</f>
        <v/>
      </c>
      <c r="O21" s="56" t="str">
        <f aca="false">IF($A21="","",$K21-$E$59-$F$59)</f>
        <v/>
      </c>
      <c r="P21" s="54" t="str">
        <f aca="false">IF($A21="","",$L$59*$D21)</f>
        <v/>
      </c>
      <c r="Q21" s="56" t="str">
        <f aca="false">IF($A21="","",$M21-$E$60-$F$60)</f>
        <v/>
      </c>
      <c r="R21" s="54" t="str">
        <f aca="false">IF($A21="","",$L$60*$D21)</f>
        <v/>
      </c>
      <c r="S21" s="56" t="str">
        <f aca="false">IF($A21="","",$G21)</f>
        <v/>
      </c>
      <c r="T21" s="54" t="str">
        <f aca="false">IF($A21="","",$L$61*$D21)</f>
        <v/>
      </c>
      <c r="U21" s="56"/>
      <c r="V21" s="54"/>
      <c r="W21" s="56"/>
      <c r="X21" s="54"/>
      <c r="Y21" s="56"/>
      <c r="Z21" s="54"/>
      <c r="AA21" s="56"/>
      <c r="AB21" s="54"/>
      <c r="AC21" s="57" t="str">
        <f aca="false">IF($A21="","",$K21-87-87)</f>
        <v/>
      </c>
      <c r="AD21" s="58" t="str">
        <f aca="false">IF($A21="","",$M21-87-87)</f>
        <v/>
      </c>
      <c r="AE21" s="59" t="str">
        <f aca="false">IF($A21="","",1*$D21)</f>
        <v/>
      </c>
      <c r="AK21" s="1" t="str">
        <f aca="false">IF($A21="","",(IF(OR($B21&gt;3000,$C21&gt;1200),5,4))*$D21)</f>
        <v/>
      </c>
      <c r="AL21" s="1" t="str">
        <f aca="false">IF($A21="","",4*1*$D21)</f>
        <v/>
      </c>
      <c r="AM21" s="1" t="str">
        <f aca="false">IF($A21="","",8*1*$D21)</f>
        <v/>
      </c>
      <c r="AN21" s="1" t="str">
        <f aca="false">IF($A21="","",$BC$1*$D21)</f>
        <v/>
      </c>
      <c r="AO21" s="1" t="str">
        <f aca="false">IF($A21="","",$BC$2*$D21)</f>
        <v/>
      </c>
      <c r="AP21" s="1" t="str">
        <f aca="false">IF($A21="","",$BC$3*$D21)</f>
        <v/>
      </c>
      <c r="AQ21" s="1" t="str">
        <f aca="false">IF($A21="","",1*$D21)</f>
        <v/>
      </c>
      <c r="AR21" s="1" t="str">
        <f aca="false">IF($A21="","",1*$D21)</f>
        <v/>
      </c>
      <c r="AS21" s="1" t="str">
        <f aca="false">IF($A21="","",0*$D21)</f>
        <v/>
      </c>
      <c r="AT21" s="1" t="str">
        <f aca="false">IF($A21="","",0*$D21)</f>
        <v/>
      </c>
      <c r="AU21" s="1" t="str">
        <f aca="false">IF($A21="","",8*$D21)</f>
        <v/>
      </c>
      <c r="AV21" s="1" t="str">
        <f aca="false">IF($A21="","",ROUND((2*($C21+$B21))*$D21/1000,1))</f>
        <v/>
      </c>
      <c r="AW21" s="1" t="str">
        <f aca="false">IF($A21="","",ROUND((2*($C21+$B21))*$D21/1000,1))</f>
        <v/>
      </c>
      <c r="AX21" s="1" t="str">
        <f aca="false">IF($A21="","",1*$D21)</f>
        <v/>
      </c>
      <c r="AY21" s="0" t="str">
        <f aca="false">IF($A21="","",$BC$4*$D21)</f>
        <v/>
      </c>
    </row>
    <row r="22" customFormat="false" ht="39.75" hidden="false" customHeight="true" outlineLevel="0" collapsed="false">
      <c r="A22" s="52"/>
      <c r="B22" s="53"/>
      <c r="C22" s="54"/>
      <c r="D22" s="55"/>
      <c r="E22" s="60" t="str">
        <f aca="false">IF($A22="","",$B22)</f>
        <v/>
      </c>
      <c r="F22" s="61" t="str">
        <f aca="false">IF($A22="","",$L$54*$D22)</f>
        <v/>
      </c>
      <c r="G22" s="60" t="str">
        <f aca="false">IF($A22="","",$C22-$E$55-$F$55)</f>
        <v/>
      </c>
      <c r="H22" s="61" t="str">
        <f aca="false">IF($A22="","",$L$55*$D22)</f>
        <v/>
      </c>
      <c r="I22" s="60" t="str">
        <f aca="false">IF($A22="","",$G22)</f>
        <v/>
      </c>
      <c r="J22" s="61" t="str">
        <f aca="false">IF($A22="","",$L$56*$D22)</f>
        <v/>
      </c>
      <c r="K22" s="60" t="str">
        <f aca="false">IF($A22="","",$B22-$E$57-$F$57)</f>
        <v/>
      </c>
      <c r="L22" s="61" t="str">
        <f aca="false">IF($A22="","",$L$57*$D22)</f>
        <v/>
      </c>
      <c r="M22" s="60" t="str">
        <f aca="false">IF($A22="","",(($C22-$E$58-$F$58)))</f>
        <v/>
      </c>
      <c r="N22" s="61" t="str">
        <f aca="false">IF($A22="","",$L$58*$D22)</f>
        <v/>
      </c>
      <c r="O22" s="60" t="str">
        <f aca="false">IF($A22="","",$K22-$E$59-$F$59)</f>
        <v/>
      </c>
      <c r="P22" s="61" t="str">
        <f aca="false">IF($A22="","",$L$59*$D22)</f>
        <v/>
      </c>
      <c r="Q22" s="60" t="str">
        <f aca="false">IF($A22="","",$M22-$E$60-$F$60)</f>
        <v/>
      </c>
      <c r="R22" s="61" t="str">
        <f aca="false">IF($A22="","",$L$60*$D22)</f>
        <v/>
      </c>
      <c r="S22" s="60" t="str">
        <f aca="false">IF($A22="","",$G22)</f>
        <v/>
      </c>
      <c r="T22" s="61" t="str">
        <f aca="false">IF($A22="","",$L$61*$D22)</f>
        <v/>
      </c>
      <c r="U22" s="60"/>
      <c r="V22" s="61"/>
      <c r="W22" s="60"/>
      <c r="X22" s="61"/>
      <c r="Y22" s="60"/>
      <c r="Z22" s="61"/>
      <c r="AA22" s="60"/>
      <c r="AB22" s="61"/>
      <c r="AC22" s="57" t="str">
        <f aca="false">IF($A22="","",$K22-87-87)</f>
        <v/>
      </c>
      <c r="AD22" s="58" t="str">
        <f aca="false">IF($A22="","",$M22-87-87)</f>
        <v/>
      </c>
      <c r="AE22" s="59" t="str">
        <f aca="false">IF($A22="","",1*$D22)</f>
        <v/>
      </c>
      <c r="AK22" s="1" t="str">
        <f aca="false">IF($A22="","",(IF(OR($B22&gt;3000,$C22&gt;1200),5,4))*$D22)</f>
        <v/>
      </c>
      <c r="AL22" s="1" t="str">
        <f aca="false">IF($A22="","",4*1*$D22)</f>
        <v/>
      </c>
      <c r="AM22" s="1" t="str">
        <f aca="false">IF($A22="","",8*1*$D22)</f>
        <v/>
      </c>
      <c r="AN22" s="1" t="str">
        <f aca="false">IF($A22="","",$BC$1*$D22)</f>
        <v/>
      </c>
      <c r="AO22" s="1" t="str">
        <f aca="false">IF($A22="","",$BC$2*$D22)</f>
        <v/>
      </c>
      <c r="AP22" s="1" t="str">
        <f aca="false">IF($A22="","",$BC$3*$D22)</f>
        <v/>
      </c>
      <c r="AQ22" s="1" t="str">
        <f aca="false">IF($A22="","",1*$D22)</f>
        <v/>
      </c>
      <c r="AR22" s="1" t="str">
        <f aca="false">IF($A22="","",1*$D22)</f>
        <v/>
      </c>
      <c r="AS22" s="1" t="str">
        <f aca="false">IF($A22="","",0*$D22)</f>
        <v/>
      </c>
      <c r="AT22" s="1" t="str">
        <f aca="false">IF($A22="","",0*$D22)</f>
        <v/>
      </c>
      <c r="AU22" s="1" t="str">
        <f aca="false">IF($A22="","",8*$D22)</f>
        <v/>
      </c>
      <c r="AV22" s="1" t="str">
        <f aca="false">IF($A22="","",ROUND((2*($C22+$B22))*$D22/1000,1))</f>
        <v/>
      </c>
      <c r="AW22" s="1" t="str">
        <f aca="false">IF($A22="","",ROUND((2*($C22+$B22))*$D22/1000,1))</f>
        <v/>
      </c>
      <c r="AX22" s="1" t="str">
        <f aca="false">IF($A22="","",1*$D22)</f>
        <v/>
      </c>
      <c r="AY22" s="0" t="str">
        <f aca="false">IF($A22="","",$BC$4*$D22)</f>
        <v/>
      </c>
    </row>
    <row r="23" customFormat="false" ht="39.75" hidden="false" customHeight="true" outlineLevel="0" collapsed="false">
      <c r="A23" s="52"/>
      <c r="B23" s="53"/>
      <c r="C23" s="54"/>
      <c r="D23" s="55"/>
      <c r="E23" s="56" t="str">
        <f aca="false">IF($A23="","",$B23)</f>
        <v/>
      </c>
      <c r="F23" s="54" t="str">
        <f aca="false">IF($A23="","",$L$54*$D23)</f>
        <v/>
      </c>
      <c r="G23" s="56" t="str">
        <f aca="false">IF($A23="","",$C23-$E$55-$F$55)</f>
        <v/>
      </c>
      <c r="H23" s="54" t="str">
        <f aca="false">IF($A23="","",$L$55*$D23)</f>
        <v/>
      </c>
      <c r="I23" s="56" t="str">
        <f aca="false">IF($A23="","",$G23)</f>
        <v/>
      </c>
      <c r="J23" s="54" t="str">
        <f aca="false">IF($A23="","",$L$56*$D23)</f>
        <v/>
      </c>
      <c r="K23" s="56" t="str">
        <f aca="false">IF($A23="","",$B23-$E$57-$F$57)</f>
        <v/>
      </c>
      <c r="L23" s="54" t="str">
        <f aca="false">IF($A23="","",$L$57*$D23)</f>
        <v/>
      </c>
      <c r="M23" s="56" t="str">
        <f aca="false">IF($A23="","",(($C23-$E$58-$F$58)))</f>
        <v/>
      </c>
      <c r="N23" s="54" t="str">
        <f aca="false">IF($A23="","",$L$58*$D23)</f>
        <v/>
      </c>
      <c r="O23" s="56" t="str">
        <f aca="false">IF($A23="","",$K23-$E$59-$F$59)</f>
        <v/>
      </c>
      <c r="P23" s="54" t="str">
        <f aca="false">IF($A23="","",$L$59*$D23)</f>
        <v/>
      </c>
      <c r="Q23" s="56" t="str">
        <f aca="false">IF($A23="","",$M23-$E$60-$F$60)</f>
        <v/>
      </c>
      <c r="R23" s="54" t="str">
        <f aca="false">IF($A23="","",$L$60*$D23)</f>
        <v/>
      </c>
      <c r="S23" s="56" t="str">
        <f aca="false">IF($A23="","",$G23)</f>
        <v/>
      </c>
      <c r="T23" s="54" t="str">
        <f aca="false">IF($A23="","",$L$61*$D23)</f>
        <v/>
      </c>
      <c r="U23" s="56"/>
      <c r="V23" s="54"/>
      <c r="W23" s="56"/>
      <c r="X23" s="54"/>
      <c r="Y23" s="56"/>
      <c r="Z23" s="54"/>
      <c r="AA23" s="56"/>
      <c r="AB23" s="54"/>
      <c r="AC23" s="57" t="str">
        <f aca="false">IF($A23="","",$K23-87-87)</f>
        <v/>
      </c>
      <c r="AD23" s="58" t="str">
        <f aca="false">IF($A23="","",$M23-87-87)</f>
        <v/>
      </c>
      <c r="AE23" s="59" t="str">
        <f aca="false">IF($A23="","",1*$D23)</f>
        <v/>
      </c>
      <c r="AK23" s="1" t="str">
        <f aca="false">IF($A23="","",(IF(OR($B23&gt;3000,$C23&gt;1200),5,4))*$D23)</f>
        <v/>
      </c>
      <c r="AL23" s="1" t="str">
        <f aca="false">IF($A23="","",4*1*$D23)</f>
        <v/>
      </c>
      <c r="AM23" s="1" t="str">
        <f aca="false">IF($A23="","",8*1*$D23)</f>
        <v/>
      </c>
      <c r="AN23" s="1" t="str">
        <f aca="false">IF($A23="","",$BC$1*$D23)</f>
        <v/>
      </c>
      <c r="AO23" s="1" t="str">
        <f aca="false">IF($A23="","",$BC$2*$D23)</f>
        <v/>
      </c>
      <c r="AP23" s="1" t="str">
        <f aca="false">IF($A23="","",$BC$3*$D23)</f>
        <v/>
      </c>
      <c r="AQ23" s="1" t="str">
        <f aca="false">IF($A23="","",1*$D23)</f>
        <v/>
      </c>
      <c r="AR23" s="1" t="str">
        <f aca="false">IF($A23="","",1*$D23)</f>
        <v/>
      </c>
      <c r="AS23" s="1" t="str">
        <f aca="false">IF($A23="","",0*$D23)</f>
        <v/>
      </c>
      <c r="AT23" s="1" t="str">
        <f aca="false">IF($A23="","",0*$D23)</f>
        <v/>
      </c>
      <c r="AU23" s="1" t="str">
        <f aca="false">IF($A23="","",8*$D23)</f>
        <v/>
      </c>
      <c r="AV23" s="1" t="str">
        <f aca="false">IF($A23="","",ROUND((2*($C23+$B23))*$D23/1000,1))</f>
        <v/>
      </c>
      <c r="AW23" s="1" t="str">
        <f aca="false">IF($A23="","",ROUND((2*($C23+$B23))*$D23/1000,1))</f>
        <v/>
      </c>
      <c r="AX23" s="1" t="str">
        <f aca="false">IF($A23="","",1*$D23)</f>
        <v/>
      </c>
      <c r="AY23" s="0" t="str">
        <f aca="false">IF($A23="","",$BC$4*$D23)</f>
        <v/>
      </c>
    </row>
    <row r="24" customFormat="false" ht="39.75" hidden="false" customHeight="true" outlineLevel="0" collapsed="false">
      <c r="A24" s="52"/>
      <c r="B24" s="53"/>
      <c r="C24" s="54"/>
      <c r="D24" s="55"/>
      <c r="E24" s="60" t="str">
        <f aca="false">IF($A24="","",$B24)</f>
        <v/>
      </c>
      <c r="F24" s="61" t="str">
        <f aca="false">IF($A24="","",$L$54*$D24)</f>
        <v/>
      </c>
      <c r="G24" s="60" t="str">
        <f aca="false">IF($A24="","",$C24-$E$55-$F$55)</f>
        <v/>
      </c>
      <c r="H24" s="61" t="str">
        <f aca="false">IF($A24="","",$L$55*$D24)</f>
        <v/>
      </c>
      <c r="I24" s="60" t="str">
        <f aca="false">IF($A24="","",$G24)</f>
        <v/>
      </c>
      <c r="J24" s="61" t="str">
        <f aca="false">IF($A24="","",$L$56*$D24)</f>
        <v/>
      </c>
      <c r="K24" s="60" t="str">
        <f aca="false">IF($A24="","",$B24-$E$57-$F$57)</f>
        <v/>
      </c>
      <c r="L24" s="61" t="str">
        <f aca="false">IF($A24="","",$L$57*$D24)</f>
        <v/>
      </c>
      <c r="M24" s="60" t="str">
        <f aca="false">IF($A24="","",(($C24-$E$58-$F$58)))</f>
        <v/>
      </c>
      <c r="N24" s="61" t="str">
        <f aca="false">IF($A24="","",$L$58*$D24)</f>
        <v/>
      </c>
      <c r="O24" s="60" t="str">
        <f aca="false">IF($A24="","",$K24-$E$59-$F$59)</f>
        <v/>
      </c>
      <c r="P24" s="61" t="str">
        <f aca="false">IF($A24="","",$L$59*$D24)</f>
        <v/>
      </c>
      <c r="Q24" s="60" t="str">
        <f aca="false">IF($A24="","",$M24-$E$60-$F$60)</f>
        <v/>
      </c>
      <c r="R24" s="61" t="str">
        <f aca="false">IF($A24="","",$L$60*$D24)</f>
        <v/>
      </c>
      <c r="S24" s="60" t="str">
        <f aca="false">IF($A24="","",$G24)</f>
        <v/>
      </c>
      <c r="T24" s="61" t="str">
        <f aca="false">IF($A24="","",$L$61*$D24)</f>
        <v/>
      </c>
      <c r="U24" s="60"/>
      <c r="V24" s="61"/>
      <c r="W24" s="60"/>
      <c r="X24" s="61"/>
      <c r="Y24" s="60"/>
      <c r="Z24" s="61"/>
      <c r="AA24" s="60"/>
      <c r="AB24" s="61"/>
      <c r="AC24" s="57" t="str">
        <f aca="false">IF($A24="","",$K24-87-87)</f>
        <v/>
      </c>
      <c r="AD24" s="58" t="str">
        <f aca="false">IF($A24="","",$M24-87-87)</f>
        <v/>
      </c>
      <c r="AE24" s="59" t="str">
        <f aca="false">IF($A24="","",1*$D24)</f>
        <v/>
      </c>
      <c r="AK24" s="1" t="str">
        <f aca="false">IF($A24="","",(IF(OR($B24&gt;3000,$C24&gt;1200),5,4))*$D24)</f>
        <v/>
      </c>
      <c r="AL24" s="1" t="str">
        <f aca="false">IF($A24="","",4*1*$D24)</f>
        <v/>
      </c>
      <c r="AM24" s="1" t="str">
        <f aca="false">IF($A24="","",8*1*$D24)</f>
        <v/>
      </c>
      <c r="AN24" s="1" t="str">
        <f aca="false">IF($A24="","",$BC$1*$D24)</f>
        <v/>
      </c>
      <c r="AO24" s="1" t="str">
        <f aca="false">IF($A24="","",$BC$2*$D24)</f>
        <v/>
      </c>
      <c r="AP24" s="1" t="str">
        <f aca="false">IF($A24="","",$BC$3*$D24)</f>
        <v/>
      </c>
      <c r="AQ24" s="1" t="str">
        <f aca="false">IF($A24="","",1*$D24)</f>
        <v/>
      </c>
      <c r="AR24" s="1" t="str">
        <f aca="false">IF($A24="","",1*$D24)</f>
        <v/>
      </c>
      <c r="AS24" s="1" t="str">
        <f aca="false">IF($A24="","",0*$D24)</f>
        <v/>
      </c>
      <c r="AT24" s="1" t="str">
        <f aca="false">IF($A24="","",0*$D24)</f>
        <v/>
      </c>
      <c r="AU24" s="1" t="str">
        <f aca="false">IF($A24="","",8*$D24)</f>
        <v/>
      </c>
      <c r="AV24" s="1" t="str">
        <f aca="false">IF($A24="","",ROUND((2*($C24+$B24))*$D24/1000,1))</f>
        <v/>
      </c>
      <c r="AW24" s="1" t="str">
        <f aca="false">IF($A24="","",ROUND((2*($C24+$B24))*$D24/1000,1))</f>
        <v/>
      </c>
      <c r="AX24" s="1" t="str">
        <f aca="false">IF($A24="","",1*$D24)</f>
        <v/>
      </c>
      <c r="AY24" s="0" t="str">
        <f aca="false">IF($A24="","",$BC$4*$D24)</f>
        <v/>
      </c>
    </row>
    <row r="25" customFormat="false" ht="39.75" hidden="false" customHeight="true" outlineLevel="0" collapsed="false">
      <c r="A25" s="52"/>
      <c r="B25" s="53"/>
      <c r="C25" s="54"/>
      <c r="D25" s="55"/>
      <c r="E25" s="56" t="str">
        <f aca="false">IF($A25="","",$B25)</f>
        <v/>
      </c>
      <c r="F25" s="54" t="str">
        <f aca="false">IF($A25="","",$L$54*$D25)</f>
        <v/>
      </c>
      <c r="G25" s="56" t="str">
        <f aca="false">IF($A25="","",$C25-$E$55-$F$55)</f>
        <v/>
      </c>
      <c r="H25" s="54" t="str">
        <f aca="false">IF($A25="","",$L$55*$D25)</f>
        <v/>
      </c>
      <c r="I25" s="56" t="str">
        <f aca="false">IF($A25="","",$G25)</f>
        <v/>
      </c>
      <c r="J25" s="54" t="str">
        <f aca="false">IF($A25="","",$L$56*$D25)</f>
        <v/>
      </c>
      <c r="K25" s="56" t="str">
        <f aca="false">IF($A25="","",$B25-$E$57-$F$57)</f>
        <v/>
      </c>
      <c r="L25" s="54" t="str">
        <f aca="false">IF($A25="","",$L$57*$D25)</f>
        <v/>
      </c>
      <c r="M25" s="56" t="str">
        <f aca="false">IF($A25="","",(($C25-$E$58-$F$58)))</f>
        <v/>
      </c>
      <c r="N25" s="54" t="str">
        <f aca="false">IF($A25="","",$L$58*$D25)</f>
        <v/>
      </c>
      <c r="O25" s="56" t="str">
        <f aca="false">IF($A25="","",$K25-$E$59-$F$59)</f>
        <v/>
      </c>
      <c r="P25" s="54" t="str">
        <f aca="false">IF($A25="","",$L$59*$D25)</f>
        <v/>
      </c>
      <c r="Q25" s="56" t="str">
        <f aca="false">IF($A25="","",$M25-$E$60-$F$60)</f>
        <v/>
      </c>
      <c r="R25" s="54" t="str">
        <f aca="false">IF($A25="","",$L$60*$D25)</f>
        <v/>
      </c>
      <c r="S25" s="56" t="str">
        <f aca="false">IF($A25="","",$G25)</f>
        <v/>
      </c>
      <c r="T25" s="54" t="str">
        <f aca="false">IF($A25="","",$L$61*$D25)</f>
        <v/>
      </c>
      <c r="U25" s="56"/>
      <c r="V25" s="54"/>
      <c r="W25" s="56"/>
      <c r="X25" s="54"/>
      <c r="Y25" s="56"/>
      <c r="Z25" s="54"/>
      <c r="AA25" s="56"/>
      <c r="AB25" s="54"/>
      <c r="AC25" s="57" t="str">
        <f aca="false">IF($A25="","",$K25-87-87)</f>
        <v/>
      </c>
      <c r="AD25" s="58" t="str">
        <f aca="false">IF($A25="","",$M25-87-87)</f>
        <v/>
      </c>
      <c r="AE25" s="59" t="str">
        <f aca="false">IF($A25="","",1*$D25)</f>
        <v/>
      </c>
      <c r="AK25" s="1" t="str">
        <f aca="false">IF($A25="","",(IF(OR($B25&gt;3000,$C25&gt;1200),5,4))*$D25)</f>
        <v/>
      </c>
      <c r="AL25" s="1" t="str">
        <f aca="false">IF($A25="","",4*1*$D25)</f>
        <v/>
      </c>
      <c r="AM25" s="1" t="str">
        <f aca="false">IF($A25="","",8*1*$D25)</f>
        <v/>
      </c>
      <c r="AN25" s="1" t="str">
        <f aca="false">IF($A25="","",$BC$1*$D25)</f>
        <v/>
      </c>
      <c r="AO25" s="1" t="str">
        <f aca="false">IF($A25="","",$BC$2*$D25)</f>
        <v/>
      </c>
      <c r="AP25" s="1" t="str">
        <f aca="false">IF($A25="","",$BC$3*$D25)</f>
        <v/>
      </c>
      <c r="AQ25" s="1" t="str">
        <f aca="false">IF($A25="","",1*$D25)</f>
        <v/>
      </c>
      <c r="AR25" s="1" t="str">
        <f aca="false">IF($A25="","",1*$D25)</f>
        <v/>
      </c>
      <c r="AS25" s="1" t="str">
        <f aca="false">IF($A25="","",0*$D25)</f>
        <v/>
      </c>
      <c r="AT25" s="1" t="str">
        <f aca="false">IF($A25="","",0*$D25)</f>
        <v/>
      </c>
      <c r="AU25" s="1" t="str">
        <f aca="false">IF($A25="","",8*$D25)</f>
        <v/>
      </c>
      <c r="AV25" s="1" t="str">
        <f aca="false">IF($A25="","",ROUND((2*($C25+$B25))*$D25/1000,1))</f>
        <v/>
      </c>
      <c r="AW25" s="1" t="str">
        <f aca="false">IF($A25="","",ROUND((2*($C25+$B25))*$D25/1000,1))</f>
        <v/>
      </c>
      <c r="AX25" s="1" t="str">
        <f aca="false">IF($A25="","",1*$D25)</f>
        <v/>
      </c>
      <c r="AY25" s="0" t="str">
        <f aca="false">IF($A25="","",$BC$4*$D25)</f>
        <v/>
      </c>
    </row>
    <row r="26" customFormat="false" ht="39.75" hidden="false" customHeight="true" outlineLevel="0" collapsed="false">
      <c r="A26" s="52"/>
      <c r="B26" s="53"/>
      <c r="C26" s="54"/>
      <c r="D26" s="55"/>
      <c r="E26" s="60" t="str">
        <f aca="false">IF($A26="","",$B26)</f>
        <v/>
      </c>
      <c r="F26" s="61" t="str">
        <f aca="false">IF($A26="","",$L$54*$D26)</f>
        <v/>
      </c>
      <c r="G26" s="60" t="str">
        <f aca="false">IF($A26="","",$C26-$E$55-$F$55)</f>
        <v/>
      </c>
      <c r="H26" s="61" t="str">
        <f aca="false">IF($A26="","",$L$55*$D26)</f>
        <v/>
      </c>
      <c r="I26" s="60" t="str">
        <f aca="false">IF($A26="","",$G26)</f>
        <v/>
      </c>
      <c r="J26" s="61" t="str">
        <f aca="false">IF($A26="","",$L$56*$D26)</f>
        <v/>
      </c>
      <c r="K26" s="60" t="str">
        <f aca="false">IF($A26="","",$B26-$E$57-$F$57)</f>
        <v/>
      </c>
      <c r="L26" s="61" t="str">
        <f aca="false">IF($A26="","",$L$57*$D26)</f>
        <v/>
      </c>
      <c r="M26" s="60" t="str">
        <f aca="false">IF($A26="","",(($C26-$E$58-$F$58)))</f>
        <v/>
      </c>
      <c r="N26" s="61" t="str">
        <f aca="false">IF($A26="","",$L$58*$D26)</f>
        <v/>
      </c>
      <c r="O26" s="60" t="str">
        <f aca="false">IF($A26="","",$K26-$E$59-$F$59)</f>
        <v/>
      </c>
      <c r="P26" s="61" t="str">
        <f aca="false">IF($A26="","",$L$59*$D26)</f>
        <v/>
      </c>
      <c r="Q26" s="60" t="str">
        <f aca="false">IF($A26="","",$M26-$E$60-$F$60)</f>
        <v/>
      </c>
      <c r="R26" s="61" t="str">
        <f aca="false">IF($A26="","",$L$60*$D26)</f>
        <v/>
      </c>
      <c r="S26" s="60" t="str">
        <f aca="false">IF($A26="","",$G26)</f>
        <v/>
      </c>
      <c r="T26" s="61" t="str">
        <f aca="false">IF($A26="","",$L$61*$D26)</f>
        <v/>
      </c>
      <c r="U26" s="60"/>
      <c r="V26" s="61"/>
      <c r="W26" s="60"/>
      <c r="X26" s="61"/>
      <c r="Y26" s="60"/>
      <c r="Z26" s="61"/>
      <c r="AA26" s="60"/>
      <c r="AB26" s="61"/>
      <c r="AC26" s="57" t="str">
        <f aca="false">IF($A26="","",$K26-87-87)</f>
        <v/>
      </c>
      <c r="AD26" s="58" t="str">
        <f aca="false">IF($A26="","",$M26-87-87)</f>
        <v/>
      </c>
      <c r="AE26" s="59" t="str">
        <f aca="false">IF($A26="","",1*$D26)</f>
        <v/>
      </c>
      <c r="AK26" s="1" t="str">
        <f aca="false">IF($A26="","",(IF(OR($B26&gt;3000,$C26&gt;1200),5,4))*$D26)</f>
        <v/>
      </c>
      <c r="AL26" s="1" t="str">
        <f aca="false">IF($A26="","",4*1*$D26)</f>
        <v/>
      </c>
      <c r="AM26" s="1" t="str">
        <f aca="false">IF($A26="","",8*1*$D26)</f>
        <v/>
      </c>
      <c r="AN26" s="1" t="str">
        <f aca="false">IF($A26="","",$BC$1*$D26)</f>
        <v/>
      </c>
      <c r="AO26" s="1" t="str">
        <f aca="false">IF($A26="","",$BC$2*$D26)</f>
        <v/>
      </c>
      <c r="AP26" s="1" t="str">
        <f aca="false">IF($A26="","",$BC$3*$D26)</f>
        <v/>
      </c>
      <c r="AQ26" s="1" t="str">
        <f aca="false">IF($A26="","",1*$D26)</f>
        <v/>
      </c>
      <c r="AR26" s="1" t="str">
        <f aca="false">IF($A26="","",1*$D26)</f>
        <v/>
      </c>
      <c r="AS26" s="1" t="str">
        <f aca="false">IF($A26="","",0*$D26)</f>
        <v/>
      </c>
      <c r="AT26" s="1" t="str">
        <f aca="false">IF($A26="","",0*$D26)</f>
        <v/>
      </c>
      <c r="AU26" s="1" t="str">
        <f aca="false">IF($A26="","",8*$D26)</f>
        <v/>
      </c>
      <c r="AV26" s="1" t="str">
        <f aca="false">IF($A26="","",ROUND((2*($C26+$B26))*$D26/1000,1))</f>
        <v/>
      </c>
      <c r="AW26" s="1" t="str">
        <f aca="false">IF($A26="","",ROUND((2*($C26+$B26))*$D26/1000,1))</f>
        <v/>
      </c>
      <c r="AX26" s="1" t="str">
        <f aca="false">IF($A26="","",1*$D26)</f>
        <v/>
      </c>
      <c r="AY26" s="0" t="str">
        <f aca="false">IF($A26="","",$BC$4*$D26)</f>
        <v/>
      </c>
    </row>
    <row r="27" customFormat="false" ht="39.75" hidden="false" customHeight="true" outlineLevel="0" collapsed="false">
      <c r="A27" s="52"/>
      <c r="B27" s="53"/>
      <c r="C27" s="54"/>
      <c r="D27" s="55"/>
      <c r="E27" s="56" t="str">
        <f aca="false">IF($A27="","",$B27)</f>
        <v/>
      </c>
      <c r="F27" s="54" t="str">
        <f aca="false">IF($A27="","",$L$54*$D27)</f>
        <v/>
      </c>
      <c r="G27" s="56" t="str">
        <f aca="false">IF($A27="","",$C27-$E$55-$F$55)</f>
        <v/>
      </c>
      <c r="H27" s="54" t="str">
        <f aca="false">IF($A27="","",$L$55*$D27)</f>
        <v/>
      </c>
      <c r="I27" s="56" t="str">
        <f aca="false">IF($A27="","",$G27)</f>
        <v/>
      </c>
      <c r="J27" s="54" t="str">
        <f aca="false">IF($A27="","",$L$56*$D27)</f>
        <v/>
      </c>
      <c r="K27" s="56" t="str">
        <f aca="false">IF($A27="","",$B27-$E$57-$F$57)</f>
        <v/>
      </c>
      <c r="L27" s="54" t="str">
        <f aca="false">IF($A27="","",$L$57*$D27)</f>
        <v/>
      </c>
      <c r="M27" s="56" t="str">
        <f aca="false">IF($A27="","",(($C27-$E$58-$F$58)))</f>
        <v/>
      </c>
      <c r="N27" s="54" t="str">
        <f aca="false">IF($A27="","",$L$58*$D27)</f>
        <v/>
      </c>
      <c r="O27" s="56" t="str">
        <f aca="false">IF($A27="","",$K27-$E$59-$F$59)</f>
        <v/>
      </c>
      <c r="P27" s="54" t="str">
        <f aca="false">IF($A27="","",$L$59*$D27)</f>
        <v/>
      </c>
      <c r="Q27" s="56" t="str">
        <f aca="false">IF($A27="","",$M27-$E$60-$F$60)</f>
        <v/>
      </c>
      <c r="R27" s="54" t="str">
        <f aca="false">IF($A27="","",$L$60*$D27)</f>
        <v/>
      </c>
      <c r="S27" s="56" t="str">
        <f aca="false">IF($A27="","",$G27)</f>
        <v/>
      </c>
      <c r="T27" s="54" t="str">
        <f aca="false">IF($A27="","",$L$61*$D27)</f>
        <v/>
      </c>
      <c r="U27" s="56"/>
      <c r="V27" s="54"/>
      <c r="W27" s="56"/>
      <c r="X27" s="54"/>
      <c r="Y27" s="56"/>
      <c r="Z27" s="54"/>
      <c r="AA27" s="56"/>
      <c r="AB27" s="54"/>
      <c r="AC27" s="57" t="str">
        <f aca="false">IF($A27="","",$K27-87-87)</f>
        <v/>
      </c>
      <c r="AD27" s="58" t="str">
        <f aca="false">IF($A27="","",$M27-87-87)</f>
        <v/>
      </c>
      <c r="AE27" s="59" t="str">
        <f aca="false">IF($A27="","",1*$D27)</f>
        <v/>
      </c>
      <c r="AK27" s="1" t="str">
        <f aca="false">IF($A27="","",(IF(OR($B27&gt;3000,$C27&gt;1200),5,4))*$D27)</f>
        <v/>
      </c>
      <c r="AL27" s="1" t="str">
        <f aca="false">IF($A27="","",4*1*$D27)</f>
        <v/>
      </c>
      <c r="AM27" s="1" t="str">
        <f aca="false">IF($A27="","",8*1*$D27)</f>
        <v/>
      </c>
      <c r="AN27" s="1" t="str">
        <f aca="false">IF($A27="","",$BC$1*$D27)</f>
        <v/>
      </c>
      <c r="AO27" s="1" t="str">
        <f aca="false">IF($A27="","",$BC$2*$D27)</f>
        <v/>
      </c>
      <c r="AP27" s="1" t="str">
        <f aca="false">IF($A27="","",$BC$3*$D27)</f>
        <v/>
      </c>
      <c r="AQ27" s="1" t="str">
        <f aca="false">IF($A27="","",1*$D27)</f>
        <v/>
      </c>
      <c r="AR27" s="1" t="str">
        <f aca="false">IF($A27="","",1*$D27)</f>
        <v/>
      </c>
      <c r="AS27" s="1" t="str">
        <f aca="false">IF($A27="","",0*$D27)</f>
        <v/>
      </c>
      <c r="AT27" s="1" t="str">
        <f aca="false">IF($A27="","",0*$D27)</f>
        <v/>
      </c>
      <c r="AU27" s="1" t="str">
        <f aca="false">IF($A27="","",8*$D27)</f>
        <v/>
      </c>
      <c r="AV27" s="1" t="str">
        <f aca="false">IF($A27="","",ROUND((2*($C27+$B27))*$D27/1000,1))</f>
        <v/>
      </c>
      <c r="AW27" s="1" t="str">
        <f aca="false">IF($A27="","",ROUND((2*($C27+$B27))*$D27/1000,1))</f>
        <v/>
      </c>
      <c r="AX27" s="1" t="str">
        <f aca="false">IF($A27="","",1*$D27)</f>
        <v/>
      </c>
      <c r="AY27" s="0" t="str">
        <f aca="false">IF($A27="","",$BC$4*$D27)</f>
        <v/>
      </c>
    </row>
    <row r="28" customFormat="false" ht="39.75" hidden="false" customHeight="true" outlineLevel="0" collapsed="false">
      <c r="A28" s="52"/>
      <c r="B28" s="53"/>
      <c r="C28" s="54"/>
      <c r="D28" s="55"/>
      <c r="E28" s="60" t="str">
        <f aca="false">IF($A28="","",$B28)</f>
        <v/>
      </c>
      <c r="F28" s="61" t="str">
        <f aca="false">IF($A28="","",$L$54*$D28)</f>
        <v/>
      </c>
      <c r="G28" s="60" t="str">
        <f aca="false">IF($A28="","",$C28-$E$55-$F$55)</f>
        <v/>
      </c>
      <c r="H28" s="61" t="str">
        <f aca="false">IF($A28="","",$L$55*$D28)</f>
        <v/>
      </c>
      <c r="I28" s="60" t="str">
        <f aca="false">IF($A28="","",$G28)</f>
        <v/>
      </c>
      <c r="J28" s="61" t="str">
        <f aca="false">IF($A28="","",$L$56*$D28)</f>
        <v/>
      </c>
      <c r="K28" s="60" t="str">
        <f aca="false">IF($A28="","",$B28-$E$57-$F$57)</f>
        <v/>
      </c>
      <c r="L28" s="61" t="str">
        <f aca="false">IF($A28="","",$L$57*$D28)</f>
        <v/>
      </c>
      <c r="M28" s="60" t="str">
        <f aca="false">IF($A28="","",(($C28-$E$58-$F$58)))</f>
        <v/>
      </c>
      <c r="N28" s="61" t="str">
        <f aca="false">IF($A28="","",$L$58*$D28)</f>
        <v/>
      </c>
      <c r="O28" s="60" t="str">
        <f aca="false">IF($A28="","",$K28-$E$59-$F$59)</f>
        <v/>
      </c>
      <c r="P28" s="61" t="str">
        <f aca="false">IF($A28="","",$L$59*$D28)</f>
        <v/>
      </c>
      <c r="Q28" s="60" t="str">
        <f aca="false">IF($A28="","",$M28-$E$60-$F$60)</f>
        <v/>
      </c>
      <c r="R28" s="61" t="str">
        <f aca="false">IF($A28="","",$L$60*$D28)</f>
        <v/>
      </c>
      <c r="S28" s="60" t="str">
        <f aca="false">IF($A28="","",$G28)</f>
        <v/>
      </c>
      <c r="T28" s="61" t="str">
        <f aca="false">IF($A28="","",$L$61*$D28)</f>
        <v/>
      </c>
      <c r="U28" s="60"/>
      <c r="V28" s="61"/>
      <c r="W28" s="60"/>
      <c r="X28" s="61"/>
      <c r="Y28" s="60"/>
      <c r="Z28" s="61"/>
      <c r="AA28" s="60"/>
      <c r="AB28" s="61"/>
      <c r="AC28" s="57" t="str">
        <f aca="false">IF($A28="","",$K28-87-87)</f>
        <v/>
      </c>
      <c r="AD28" s="58" t="str">
        <f aca="false">IF($A28="","",$M28-87-87)</f>
        <v/>
      </c>
      <c r="AE28" s="59" t="str">
        <f aca="false">IF($A28="","",1*$D28)</f>
        <v/>
      </c>
      <c r="AK28" s="1" t="str">
        <f aca="false">IF($A28="","",(IF(OR($B28&gt;3000,$C28&gt;1200),5,4))*$D28)</f>
        <v/>
      </c>
      <c r="AL28" s="1" t="str">
        <f aca="false">IF($A28="","",4*1*$D28)</f>
        <v/>
      </c>
      <c r="AM28" s="1" t="str">
        <f aca="false">IF($A28="","",8*1*$D28)</f>
        <v/>
      </c>
      <c r="AN28" s="1" t="str">
        <f aca="false">IF($A28="","",$BC$1*$D28)</f>
        <v/>
      </c>
      <c r="AO28" s="1" t="str">
        <f aca="false">IF($A28="","",$BC$2*$D28)</f>
        <v/>
      </c>
      <c r="AP28" s="1" t="str">
        <f aca="false">IF($A28="","",$BC$3*$D28)</f>
        <v/>
      </c>
      <c r="AQ28" s="1" t="str">
        <f aca="false">IF($A28="","",1*$D28)</f>
        <v/>
      </c>
      <c r="AR28" s="1" t="str">
        <f aca="false">IF($A28="","",1*$D28)</f>
        <v/>
      </c>
      <c r="AS28" s="1" t="str">
        <f aca="false">IF($A28="","",0*$D28)</f>
        <v/>
      </c>
      <c r="AT28" s="1" t="str">
        <f aca="false">IF($A28="","",0*$D28)</f>
        <v/>
      </c>
      <c r="AU28" s="1" t="str">
        <f aca="false">IF($A28="","",8*$D28)</f>
        <v/>
      </c>
      <c r="AV28" s="1" t="str">
        <f aca="false">IF($A28="","",ROUND((2*($C28+$B28))*$D28/1000,1))</f>
        <v/>
      </c>
      <c r="AW28" s="1" t="str">
        <f aca="false">IF($A28="","",ROUND((2*($C28+$B28))*$D28/1000,1))</f>
        <v/>
      </c>
      <c r="AX28" s="1" t="str">
        <f aca="false">IF($A28="","",1*$D28)</f>
        <v/>
      </c>
      <c r="AY28" s="0" t="str">
        <f aca="false">IF($A28="","",$BC$4*$D28)</f>
        <v/>
      </c>
    </row>
    <row r="29" customFormat="false" ht="39.75" hidden="false" customHeight="true" outlineLevel="0" collapsed="false"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65" t="str">
        <f aca="false">E$7</f>
        <v>F7859</v>
      </c>
      <c r="F30" s="65"/>
      <c r="G30" s="65"/>
      <c r="H30" s="66" t="n">
        <f aca="false">(ROUNDUP(SUM(F49:H49)/6400,0))</f>
        <v>14</v>
      </c>
      <c r="I30" s="66" t="str">
        <f aca="false">I$7</f>
        <v>F7938</v>
      </c>
      <c r="J30" s="66" t="n">
        <f aca="false">(ROUNDUP(J49/6400,0))</f>
        <v>2</v>
      </c>
      <c r="K30" s="65" t="str">
        <f aca="false">K$7</f>
        <v>F7864</v>
      </c>
      <c r="L30" s="65"/>
      <c r="M30" s="65"/>
      <c r="N30" s="66" t="n">
        <f aca="false">(ROUNDUP(SUM(L49:N49)/6400,0))</f>
        <v>16</v>
      </c>
      <c r="O30" s="65" t="str">
        <f aca="false">O$7</f>
        <v>F7935</v>
      </c>
      <c r="P30" s="65"/>
      <c r="Q30" s="65"/>
      <c r="R30" s="66" t="n">
        <f aca="false">(ROUNDUP(SUM(P49:R49)/6400,0))</f>
        <v>14</v>
      </c>
      <c r="S30" s="66" t="str">
        <f aca="false">S$7</f>
        <v>F7960</v>
      </c>
      <c r="T30" s="66" t="n">
        <f aca="false">(ROUNDUP(T49/6400,0))</f>
        <v>2</v>
      </c>
      <c r="U30" s="65" t="n">
        <f aca="false">U$7</f>
        <v>0</v>
      </c>
      <c r="V30" s="65"/>
      <c r="W30" s="65"/>
      <c r="X30" s="66" t="n">
        <f aca="false">(ROUNDUP(SUM(V49:X49)/6400,0))</f>
        <v>0</v>
      </c>
      <c r="Y30" s="66" t="n">
        <f aca="false">Y$7</f>
        <v>0</v>
      </c>
      <c r="Z30" s="66" t="n">
        <f aca="false">(ROUNDUP(Z49/6400,0))</f>
        <v>0</v>
      </c>
      <c r="AA30" s="66" t="n">
        <f aca="false">AA$7</f>
        <v>0</v>
      </c>
      <c r="AB30" s="66" t="n">
        <f aca="false">(ROUNDUP(AB49/6400,0))</f>
        <v>0</v>
      </c>
      <c r="AJ30" s="40" t="s">
        <v>65</v>
      </c>
      <c r="AK30" s="40" t="n">
        <f aca="false">SUM(AK11:AK28)</f>
        <v>60</v>
      </c>
      <c r="AL30" s="40" t="n">
        <f aca="false">SUM(AL11:AL28)</f>
        <v>60</v>
      </c>
      <c r="AM30" s="40" t="n">
        <f aca="false">SUM(AM11:AM28)</f>
        <v>120</v>
      </c>
      <c r="AN30" s="40" t="n">
        <f aca="false">SUM(AN11:AN28)</f>
        <v>15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15</v>
      </c>
      <c r="AR30" s="40" t="n">
        <f aca="false">SUM(AR11:AR28)</f>
        <v>15</v>
      </c>
      <c r="AS30" s="40" t="n">
        <f aca="false">SUM(AS11:AS28)</f>
        <v>0</v>
      </c>
      <c r="AT30" s="40" t="n">
        <f aca="false">SUM(AT11:AT28)</f>
        <v>0</v>
      </c>
      <c r="AU30" s="40" t="n">
        <f aca="false">SUM(AU11:AU28)</f>
        <v>120</v>
      </c>
      <c r="AV30" s="40" t="n">
        <f aca="false">SUM(AV11:AV28)</f>
        <v>99</v>
      </c>
      <c r="AW30" s="40" t="n">
        <f aca="false">SUM(AW11:AW28)</f>
        <v>99</v>
      </c>
      <c r="AX30" s="40" t="n">
        <f aca="false">SUM(AX11:AX28)</f>
        <v>15</v>
      </c>
      <c r="AY30" s="41" t="n">
        <f aca="false">SUM(AY11:AY28)</f>
        <v>0</v>
      </c>
    </row>
    <row r="31" customFormat="false" ht="39.75" hidden="true" customHeight="true" outlineLevel="0" collapsed="false">
      <c r="F31" s="67" t="n">
        <f aca="false">IF($A11="","",F11*E11)</f>
        <v>81000</v>
      </c>
      <c r="G31" s="67"/>
      <c r="H31" s="67" t="n">
        <f aca="false">IF($A11="","",H11*G11)</f>
        <v>8250</v>
      </c>
      <c r="I31" s="67"/>
      <c r="J31" s="67" t="n">
        <f aca="false">IF($A11="","",J11*I11)</f>
        <v>8250</v>
      </c>
      <c r="K31" s="67"/>
      <c r="L31" s="67" t="n">
        <f aca="false">IF($A11="","",L11*K11)</f>
        <v>79890</v>
      </c>
      <c r="M31" s="67"/>
      <c r="N31" s="67" t="n">
        <f aca="false">IF($A11="","",N11*M11)</f>
        <v>16890</v>
      </c>
      <c r="O31" s="67"/>
      <c r="P31" s="67" t="n">
        <f aca="false">IF($A11="","",P11*O11)</f>
        <v>73890</v>
      </c>
      <c r="Q31" s="67"/>
      <c r="R31" s="67" t="n">
        <f aca="false">IF($A11="","",R11*Q11)</f>
        <v>12090</v>
      </c>
      <c r="S31" s="67"/>
      <c r="T31" s="67" t="n">
        <f aca="false">IF($A11="","",T11*S11)</f>
        <v>8250</v>
      </c>
      <c r="U31" s="67"/>
      <c r="V31" s="67" t="n">
        <f aca="false">IF($A11="","",V11*U11)</f>
        <v>0</v>
      </c>
      <c r="W31" s="67"/>
      <c r="X31" s="67" t="n">
        <f aca="false">IF($A11="","",X11*W11)</f>
        <v>0</v>
      </c>
      <c r="Y31" s="67"/>
      <c r="Z31" s="67" t="n">
        <f aca="false">IF($A11="","",Z11*Y11)</f>
        <v>0</v>
      </c>
      <c r="AA31" s="67"/>
      <c r="AB31" s="67" t="n">
        <f aca="false">IF($A11="","",AB11*AA11)</f>
        <v>0</v>
      </c>
    </row>
    <row r="32" customFormat="false" ht="39.75" hidden="true" customHeight="true" outlineLevel="0" collapsed="false">
      <c r="F32" s="67" t="str">
        <f aca="false">IF($A12="","",F12*E12)</f>
        <v/>
      </c>
      <c r="G32" s="67"/>
      <c r="H32" s="67" t="str">
        <f aca="false">IF($A12="","",H12*G12)</f>
        <v/>
      </c>
      <c r="I32" s="67"/>
      <c r="J32" s="67" t="str">
        <f aca="false">IF($A12="","",J12*I12)</f>
        <v/>
      </c>
      <c r="K32" s="67"/>
      <c r="L32" s="67" t="str">
        <f aca="false">IF($A12="","",L12*K12)</f>
        <v/>
      </c>
      <c r="M32" s="67"/>
      <c r="N32" s="67" t="str">
        <f aca="false">IF($A12="","",N12*M12)</f>
        <v/>
      </c>
      <c r="O32" s="67"/>
      <c r="P32" s="67" t="str">
        <f aca="false">IF($A12="","",P12*O12)</f>
        <v/>
      </c>
      <c r="Q32" s="67"/>
      <c r="R32" s="67" t="str">
        <f aca="false">IF($A12="","",R12*Q12)</f>
        <v/>
      </c>
      <c r="S32" s="67"/>
      <c r="T32" s="67" t="str">
        <f aca="false">IF($A12="","",T12*S12)</f>
        <v/>
      </c>
      <c r="U32" s="67"/>
      <c r="V32" s="67" t="str">
        <f aca="false">IF($A12="","",V12*U12)</f>
        <v/>
      </c>
      <c r="W32" s="67"/>
      <c r="X32" s="67" t="str">
        <f aca="false">IF($A12="","",X12*W12)</f>
        <v/>
      </c>
      <c r="Y32" s="67"/>
      <c r="Z32" s="67" t="str">
        <f aca="false">IF($A12="","",Z12*Y12)</f>
        <v/>
      </c>
      <c r="AA32" s="67"/>
      <c r="AB32" s="67" t="str">
        <f aca="false">IF($A12="","",AB12*AA12)</f>
        <v/>
      </c>
    </row>
    <row r="33" customFormat="false" ht="39.75" hidden="true" customHeight="true" outlineLevel="0" collapsed="false">
      <c r="F33" s="67" t="str">
        <f aca="false">IF($A13="","",F13*E13)</f>
        <v/>
      </c>
      <c r="G33" s="67"/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</row>
    <row r="34" customFormat="false" ht="39.75" hidden="true" customHeight="true" outlineLevel="0" collapsed="false">
      <c r="F34" s="67" t="str">
        <f aca="false">IF($A14="","",F14*E14)</f>
        <v/>
      </c>
      <c r="G34" s="67"/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</row>
    <row r="35" customFormat="false" ht="39.75" hidden="true" customHeight="true" outlineLevel="0" collapsed="false">
      <c r="F35" s="67" t="str">
        <f aca="false">IF($A15="","",F15*E15)</f>
        <v/>
      </c>
      <c r="G35" s="67"/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</row>
    <row r="36" customFormat="false" ht="15" hidden="true" customHeight="true" outlineLevel="0" collapsed="false">
      <c r="F36" s="67" t="str">
        <f aca="false">IF($A16="","",F16*E16)</f>
        <v/>
      </c>
      <c r="G36" s="67"/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</row>
    <row r="37" customFormat="false" ht="15" hidden="true" customHeight="true" outlineLevel="0" collapsed="false">
      <c r="F37" s="67" t="str">
        <f aca="false">IF($A17="","",F17*E17)</f>
        <v/>
      </c>
      <c r="G37" s="67"/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</row>
    <row r="38" customFormat="false" ht="15" hidden="true" customHeight="true" outlineLevel="0" collapsed="false">
      <c r="F38" s="67" t="str">
        <f aca="false">IF($A18="","",F18*E18)</f>
        <v/>
      </c>
      <c r="G38" s="67"/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</row>
    <row r="39" customFormat="false" ht="15" hidden="true" customHeight="true" outlineLevel="0" collapsed="false">
      <c r="F39" s="67" t="str">
        <f aca="false">IF($A19="","",F19*E19)</f>
        <v/>
      </c>
      <c r="G39" s="67"/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</row>
    <row r="40" customFormat="false" ht="15" hidden="true" customHeight="true" outlineLevel="0" collapsed="false">
      <c r="F40" s="67" t="str">
        <f aca="false">IF($A20="","",F20*E20)</f>
        <v/>
      </c>
      <c r="G40" s="67"/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</row>
    <row r="41" customFormat="false" ht="15" hidden="true" customHeight="true" outlineLevel="0" collapsed="false">
      <c r="F41" s="67" t="str">
        <f aca="false">IF($A21="","",F21*E21)</f>
        <v/>
      </c>
      <c r="G41" s="67"/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</row>
    <row r="42" customFormat="false" ht="15" hidden="true" customHeight="true" outlineLevel="0" collapsed="false">
      <c r="F42" s="67" t="str">
        <f aca="false">IF($A22="","",F22*E22)</f>
        <v/>
      </c>
      <c r="G42" s="67"/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</row>
    <row r="43" customFormat="false" ht="15" hidden="true" customHeight="true" outlineLevel="0" collapsed="false">
      <c r="F43" s="67" t="str">
        <f aca="false">IF($A23="","",F23*E23)</f>
        <v/>
      </c>
      <c r="G43" s="67"/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</row>
    <row r="44" customFormat="false" ht="15" hidden="true" customHeight="true" outlineLevel="0" collapsed="false">
      <c r="F44" s="67" t="str">
        <f aca="false">IF($A24="","",F24*E24)</f>
        <v/>
      </c>
      <c r="G44" s="67"/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</row>
    <row r="45" customFormat="false" ht="15" hidden="true" customHeight="true" outlineLevel="0" collapsed="false">
      <c r="F45" s="67" t="str">
        <f aca="false">IF($A25="","",F25*E25)</f>
        <v/>
      </c>
      <c r="G45" s="67"/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</row>
    <row r="46" customFormat="false" ht="15" hidden="true" customHeight="true" outlineLevel="0" collapsed="false">
      <c r="F46" s="67" t="str">
        <f aca="false">IF($A26="","",F26*E26)</f>
        <v/>
      </c>
      <c r="G46" s="67"/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</row>
    <row r="47" customFormat="false" ht="15" hidden="true" customHeight="true" outlineLevel="0" collapsed="false">
      <c r="F47" s="67" t="str">
        <f aca="false">IF($A27="","",F27*E27)</f>
        <v/>
      </c>
      <c r="G47" s="67"/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</row>
    <row r="48" customFormat="false" ht="15" hidden="true" customHeight="true" outlineLevel="0" collapsed="false">
      <c r="F48" s="67" t="str">
        <f aca="false">IF($A28="","",F28*E28)</f>
        <v/>
      </c>
      <c r="G48" s="67"/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</row>
    <row r="49" customFormat="false" ht="15" hidden="true" customHeight="true" outlineLevel="0" collapsed="false">
      <c r="F49" s="68" t="n">
        <f aca="false">SUMIF(F31:F48,"&gt;0")</f>
        <v>81000</v>
      </c>
      <c r="G49" s="68"/>
      <c r="H49" s="68" t="n">
        <f aca="false">SUMIF(H31:H48,"&gt;0")</f>
        <v>8250</v>
      </c>
      <c r="J49" s="68" t="n">
        <f aca="false">SUMIF(J31:J48,"&gt;0")</f>
        <v>8250</v>
      </c>
      <c r="K49" s="68"/>
      <c r="L49" s="68" t="n">
        <f aca="false">SUMIF(L31:L48,"&gt;0")</f>
        <v>79890</v>
      </c>
      <c r="M49" s="68"/>
      <c r="N49" s="68" t="n">
        <f aca="false">SUMIF(N31:N48,"&gt;0")</f>
        <v>16890</v>
      </c>
      <c r="P49" s="68" t="n">
        <f aca="false">SUMIF(P31:P48,"&gt;0")</f>
        <v>73890</v>
      </c>
      <c r="Q49" s="68"/>
      <c r="R49" s="68" t="n">
        <f aca="false">SUMIF(R31:R48,"&gt;0")</f>
        <v>12090</v>
      </c>
      <c r="S49" s="68"/>
      <c r="T49" s="68" t="n">
        <f aca="false">SUMIF(T31:T48,"&gt;0")</f>
        <v>8250</v>
      </c>
      <c r="U49" s="68"/>
      <c r="V49" s="68" t="n">
        <f aca="false">SUMIF(V31:V48,"&gt;0")</f>
        <v>0</v>
      </c>
      <c r="X49" s="68" t="n">
        <f aca="false">SUMIF(X31:X48,"&gt;0")</f>
        <v>0</v>
      </c>
      <c r="Y49" s="68"/>
      <c r="Z49" s="68" t="n">
        <f aca="false">SUMIF(Z31:Z48,"&gt;0")</f>
        <v>0</v>
      </c>
      <c r="AB49" s="68" t="n">
        <f aca="false">SUMIF(AB31:AB48,"&gt;0")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 t="n">
        <v>2</v>
      </c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 t="n">
        <v>1</v>
      </c>
    </row>
    <row r="56" customFormat="false" ht="15" hidden="false" customHeight="true" outlineLevel="0" collapsed="false">
      <c r="A56" s="72" t="n">
        <v>3</v>
      </c>
      <c r="B56" s="73" t="s">
        <v>33</v>
      </c>
      <c r="C56" s="74" t="s">
        <v>15</v>
      </c>
      <c r="D56" s="75" t="s">
        <v>7</v>
      </c>
      <c r="E56" s="76"/>
      <c r="F56" s="76"/>
      <c r="G56" s="76"/>
      <c r="H56" s="76"/>
      <c r="I56" s="76"/>
      <c r="J56" s="76"/>
      <c r="K56" s="76"/>
      <c r="L56" s="77" t="n">
        <v>1</v>
      </c>
    </row>
    <row r="57" customFormat="false" ht="15" hidden="false" customHeight="true" outlineLevel="0" collapsed="false">
      <c r="A57" s="72" t="n">
        <v>4</v>
      </c>
      <c r="B57" s="73" t="s">
        <v>34</v>
      </c>
      <c r="C57" s="74" t="str">
        <f aca="false">IF($D$4="8 cm · 7943B","7943B","7864")</f>
        <v>7864</v>
      </c>
      <c r="D57" s="75" t="s">
        <v>8</v>
      </c>
      <c r="E57" s="77" t="n">
        <v>18.5</v>
      </c>
      <c r="F57" s="77" t="n">
        <v>18.5</v>
      </c>
      <c r="G57" s="76"/>
      <c r="H57" s="76"/>
      <c r="I57" s="76"/>
      <c r="J57" s="76"/>
      <c r="K57" s="76"/>
      <c r="L57" s="77" t="n">
        <v>2</v>
      </c>
    </row>
    <row r="58" customFormat="false" ht="15" hidden="false" customHeight="true" outlineLevel="0" collapsed="false">
      <c r="A58" s="72" t="n">
        <v>5</v>
      </c>
      <c r="B58" s="73" t="s">
        <v>35</v>
      </c>
      <c r="C58" s="74" t="s">
        <v>79</v>
      </c>
      <c r="D58" s="75" t="s">
        <v>9</v>
      </c>
      <c r="E58" s="77" t="n">
        <v>18.5</v>
      </c>
      <c r="F58" s="77" t="n">
        <v>18.5</v>
      </c>
      <c r="G58" s="76"/>
      <c r="H58" s="76"/>
      <c r="I58" s="76"/>
      <c r="J58" s="76"/>
      <c r="K58" s="76"/>
      <c r="L58" s="77" t="n">
        <v>2</v>
      </c>
    </row>
    <row r="59" customFormat="false" ht="15" hidden="false" customHeight="true" outlineLevel="0" collapsed="false">
      <c r="A59" s="72" t="n">
        <v>6</v>
      </c>
      <c r="B59" s="73" t="s">
        <v>36</v>
      </c>
      <c r="C59" s="74" t="s">
        <v>17</v>
      </c>
      <c r="D59" s="75" t="s">
        <v>10</v>
      </c>
      <c r="E59" s="77" t="n">
        <f aca="false">IF($D$4="8 cm · 7943B",80,100)</f>
        <v>100</v>
      </c>
      <c r="F59" s="77" t="n">
        <f aca="false">IF($D$4="8 cm · 7943B",80,100)</f>
        <v>100</v>
      </c>
      <c r="G59" s="76"/>
      <c r="H59" s="76"/>
      <c r="I59" s="76"/>
      <c r="J59" s="76"/>
      <c r="K59" s="76"/>
      <c r="L59" s="77" t="n">
        <v>2</v>
      </c>
    </row>
    <row r="60" customFormat="false" ht="15" hidden="false" customHeight="true" outlineLevel="0" collapsed="false">
      <c r="A60" s="72" t="n">
        <v>7</v>
      </c>
      <c r="B60" s="73" t="s">
        <v>37</v>
      </c>
      <c r="C60" s="74" t="s">
        <v>79</v>
      </c>
      <c r="D60" s="75" t="s">
        <v>11</v>
      </c>
      <c r="E60" s="77" t="n">
        <f aca="false">IF($D$4="8 cm · 7943B",60,80)</f>
        <v>80</v>
      </c>
      <c r="F60" s="77" t="n">
        <f aca="false">IF($D$4="8 cm · 7943B",60,80)</f>
        <v>80</v>
      </c>
      <c r="G60" s="76"/>
      <c r="H60" s="76"/>
      <c r="I60" s="76"/>
      <c r="J60" s="76"/>
      <c r="K60" s="76"/>
      <c r="L60" s="77" t="n">
        <v>2</v>
      </c>
    </row>
    <row r="61" customFormat="false" ht="15" hidden="false" customHeight="true" outlineLevel="0" collapsed="false">
      <c r="A61" s="72" t="n">
        <v>8</v>
      </c>
      <c r="B61" s="73" t="s">
        <v>38</v>
      </c>
      <c r="C61" s="74" t="s">
        <v>18</v>
      </c>
      <c r="D61" s="75" t="s">
        <v>12</v>
      </c>
      <c r="E61" s="76"/>
      <c r="F61" s="76"/>
      <c r="G61" s="76"/>
      <c r="H61" s="76"/>
      <c r="I61" s="76"/>
      <c r="J61" s="76"/>
      <c r="K61" s="76"/>
      <c r="L61" s="77" t="n">
        <v>1</v>
      </c>
    </row>
    <row r="63" customFormat="false" ht="15" hidden="false" customHeight="true" outlineLevel="0" collapsed="false">
      <c r="A63" s="78" t="s">
        <v>80</v>
      </c>
      <c r="F63" s="79"/>
    </row>
    <row r="64" customFormat="false" ht="15" hidden="false" customHeight="true" outlineLevel="0" collapsed="false">
      <c r="A64" s="80" t="s">
        <v>81</v>
      </c>
      <c r="B64" s="81" t="s">
        <v>82</v>
      </c>
      <c r="F64" s="82"/>
    </row>
    <row r="65" customFormat="false" ht="15" hidden="false" customHeight="true" outlineLevel="0" collapsed="false">
      <c r="A65" s="80" t="s">
        <v>83</v>
      </c>
      <c r="B65" s="81" t="s">
        <v>84</v>
      </c>
      <c r="F65" s="82"/>
    </row>
    <row r="66" customFormat="false" ht="15" hidden="false" customHeight="true" outlineLevel="0" collapsed="false">
      <c r="A66" s="80" t="s">
        <v>85</v>
      </c>
      <c r="B66" s="81" t="s">
        <v>86</v>
      </c>
      <c r="F66" s="82"/>
    </row>
    <row r="67" customFormat="false" ht="15" hidden="false" customHeight="true" outlineLevel="0" collapsed="false">
      <c r="A67" s="80" t="s">
        <v>87</v>
      </c>
      <c r="B67" s="81" t="s">
        <v>88</v>
      </c>
      <c r="F67" s="82"/>
    </row>
    <row r="68" customFormat="false" ht="15" hidden="false" customHeight="true" outlineLevel="0" collapsed="false">
      <c r="A68" s="83"/>
    </row>
    <row r="69" customFormat="false" ht="15" hidden="false" customHeight="true" outlineLevel="0" collapsed="false">
      <c r="A69" s="84" t="s">
        <v>89</v>
      </c>
    </row>
    <row r="70" customFormat="false" ht="15" hidden="false" customHeight="true" outlineLevel="0" collapsed="false">
      <c r="A70" s="84" t="s">
        <v>67</v>
      </c>
      <c r="B70" s="84" t="s">
        <v>90</v>
      </c>
      <c r="C70" s="84" t="s">
        <v>91</v>
      </c>
      <c r="D70" s="84" t="s">
        <v>60</v>
      </c>
      <c r="E70" s="84" t="s">
        <v>92</v>
      </c>
      <c r="F70" s="84" t="s">
        <v>93</v>
      </c>
    </row>
    <row r="71" customFormat="false" ht="15" hidden="false" customHeight="true" outlineLevel="0" collapsed="false">
      <c r="A71" s="85" t="n">
        <v>1</v>
      </c>
      <c r="B71" s="85" t="s">
        <v>41</v>
      </c>
      <c r="C71" s="81" t="str">
        <f aca="false">AK8</f>
        <v>JR00489</v>
      </c>
      <c r="D71" s="86" t="n">
        <f aca="false">AK30</f>
        <v>60</v>
      </c>
      <c r="E71" s="85" t="s">
        <v>94</v>
      </c>
      <c r="F71" s="85"/>
    </row>
    <row r="72" customFormat="false" ht="15" hidden="false" customHeight="true" outlineLevel="0" collapsed="false">
      <c r="A72" s="85" t="n">
        <v>2</v>
      </c>
      <c r="B72" s="85" t="s">
        <v>42</v>
      </c>
      <c r="C72" s="81" t="str">
        <f aca="false">AL8</f>
        <v>JR00482</v>
      </c>
      <c r="D72" s="86" t="n">
        <f aca="false">AL30</f>
        <v>60</v>
      </c>
      <c r="E72" s="85" t="s">
        <v>94</v>
      </c>
      <c r="F72" s="85"/>
    </row>
    <row r="73" customFormat="false" ht="15" hidden="false" customHeight="true" outlineLevel="0" collapsed="false">
      <c r="A73" s="85" t="n">
        <v>3</v>
      </c>
      <c r="B73" s="85" t="s">
        <v>43</v>
      </c>
      <c r="C73" s="81" t="str">
        <f aca="false">AM8</f>
        <v>JR00557</v>
      </c>
      <c r="D73" s="86" t="n">
        <f aca="false">AM30</f>
        <v>120</v>
      </c>
      <c r="E73" s="85" t="s">
        <v>94</v>
      </c>
      <c r="F73" s="85"/>
    </row>
    <row r="74" customFormat="false" ht="15" hidden="false" customHeight="true" outlineLevel="0" collapsed="false">
      <c r="A74" s="85" t="n">
        <v>4</v>
      </c>
      <c r="B74" s="85" t="s">
        <v>44</v>
      </c>
      <c r="C74" s="81" t="str">
        <f aca="false">AN8</f>
        <v>JR00315</v>
      </c>
      <c r="D74" s="86" t="n">
        <f aca="false">AN30</f>
        <v>15</v>
      </c>
      <c r="E74" s="85" t="s">
        <v>22</v>
      </c>
      <c r="F74" s="85"/>
    </row>
    <row r="75" customFormat="false" ht="15" hidden="false" customHeight="true" outlineLevel="0" collapsed="false">
      <c r="A75" s="85" t="n">
        <v>5</v>
      </c>
      <c r="B75" s="85" t="s">
        <v>45</v>
      </c>
      <c r="C75" s="81" t="str">
        <f aca="false">AO8</f>
        <v>JR00313</v>
      </c>
      <c r="D75" s="86" t="n">
        <f aca="false">AO30</f>
        <v>0</v>
      </c>
      <c r="E75" s="85" t="s">
        <v>22</v>
      </c>
      <c r="F75" s="85"/>
    </row>
    <row r="76" customFormat="false" ht="15" hidden="false" customHeight="true" outlineLevel="0" collapsed="false">
      <c r="A76" s="85" t="n">
        <v>6</v>
      </c>
      <c r="B76" s="85" t="s">
        <v>95</v>
      </c>
      <c r="C76" s="81"/>
      <c r="D76" s="86" t="n">
        <f aca="false">AP30</f>
        <v>0</v>
      </c>
      <c r="E76" s="85" t="s">
        <v>22</v>
      </c>
      <c r="F76" s="85" t="s">
        <v>96</v>
      </c>
    </row>
    <row r="77" customFormat="false" ht="15" hidden="false" customHeight="true" outlineLevel="0" collapsed="false">
      <c r="A77" s="85" t="n">
        <v>7</v>
      </c>
      <c r="B77" s="85" t="s">
        <v>97</v>
      </c>
      <c r="C77" s="81"/>
      <c r="D77" s="86" t="n">
        <f aca="false">AY30</f>
        <v>0</v>
      </c>
      <c r="E77" s="85" t="s">
        <v>22</v>
      </c>
      <c r="F77" s="85" t="s">
        <v>96</v>
      </c>
    </row>
    <row r="78" customFormat="false" ht="15" hidden="false" customHeight="true" outlineLevel="0" collapsed="false">
      <c r="A78" s="85" t="n">
        <v>8</v>
      </c>
      <c r="B78" s="85" t="s">
        <v>47</v>
      </c>
      <c r="C78" s="81" t="str">
        <f aca="false">AQ8</f>
        <v>JR00551</v>
      </c>
      <c r="D78" s="86" t="n">
        <f aca="false">IF(OR($B$67="Digital lock",$B$67="ไม่ใส่"),0,AQ30)</f>
        <v>15</v>
      </c>
      <c r="E78" s="85" t="s">
        <v>94</v>
      </c>
      <c r="F78" s="85"/>
    </row>
    <row r="79" customFormat="false" ht="15" hidden="false" customHeight="true" outlineLevel="0" collapsed="false">
      <c r="A79" s="85" t="n">
        <v>9</v>
      </c>
      <c r="B79" s="85" t="s">
        <v>48</v>
      </c>
      <c r="C79" s="81" t="str">
        <f aca="false">AR8</f>
        <v>JR00499</v>
      </c>
      <c r="D79" s="86" t="n">
        <f aca="false">IF(OR($B$67="Digital lock",$B$67="ไม่ใส่"),0,AR30)</f>
        <v>15</v>
      </c>
      <c r="E79" s="85" t="s">
        <v>94</v>
      </c>
      <c r="F79" s="85" t="s">
        <v>98</v>
      </c>
    </row>
    <row r="80" customFormat="false" ht="15" hidden="false" customHeight="true" outlineLevel="0" collapsed="false">
      <c r="A80" s="85" t="n">
        <v>10</v>
      </c>
      <c r="B80" s="85" t="s">
        <v>54</v>
      </c>
      <c r="C80" s="81" t="str">
        <f aca="false">AX8</f>
        <v>JR00562</v>
      </c>
      <c r="D80" s="86" t="n">
        <f aca="false">IF(OR($B$67="Digital lock",$B$67="ไม่ใส่"),0,AX30)</f>
        <v>15</v>
      </c>
      <c r="E80" s="85" t="s">
        <v>22</v>
      </c>
      <c r="F80" s="85"/>
    </row>
    <row r="81" customFormat="false" ht="15" hidden="false" customHeight="true" outlineLevel="0" collapsed="false">
      <c r="A81" s="85" t="n">
        <v>11</v>
      </c>
      <c r="B81" s="85" t="s">
        <v>99</v>
      </c>
      <c r="C81" s="81" t="str">
        <f aca="false">AS8</f>
        <v>JR00596</v>
      </c>
      <c r="D81" s="86" t="n">
        <f aca="false">AS30</f>
        <v>0</v>
      </c>
      <c r="E81" s="85" t="s">
        <v>94</v>
      </c>
      <c r="F81" s="85"/>
    </row>
    <row r="82" customFormat="false" ht="15" hidden="false" customHeight="true" outlineLevel="0" collapsed="false">
      <c r="A82" s="85" t="n">
        <v>12</v>
      </c>
      <c r="B82" s="85" t="s">
        <v>50</v>
      </c>
      <c r="C82" s="81" t="str">
        <f aca="false">AT8</f>
        <v>JR00598</v>
      </c>
      <c r="D82" s="86" t="n">
        <f aca="false">AT30</f>
        <v>0</v>
      </c>
      <c r="E82" s="85" t="s">
        <v>94</v>
      </c>
      <c r="F82" s="85"/>
    </row>
    <row r="83" customFormat="false" ht="15" hidden="false" customHeight="true" outlineLevel="0" collapsed="false">
      <c r="A83" s="85" t="n">
        <v>13</v>
      </c>
      <c r="B83" s="85" t="s">
        <v>100</v>
      </c>
      <c r="C83" s="81" t="str">
        <f aca="false">AU8</f>
        <v>JR00864</v>
      </c>
      <c r="D83" s="86" t="n">
        <f aca="false">AU30</f>
        <v>120</v>
      </c>
      <c r="E83" s="85" t="s">
        <v>94</v>
      </c>
      <c r="F83" s="85"/>
    </row>
    <row r="84" customFormat="false" ht="15" hidden="false" customHeight="true" outlineLevel="0" collapsed="false">
      <c r="A84" s="85" t="n">
        <v>14</v>
      </c>
      <c r="B84" s="85" t="s">
        <v>52</v>
      </c>
      <c r="C84" s="81" t="str">
        <f aca="false">AV8</f>
        <v>JR00771</v>
      </c>
      <c r="D84" s="86" t="n">
        <f aca="false">AV30</f>
        <v>99</v>
      </c>
      <c r="E84" s="85" t="s">
        <v>101</v>
      </c>
      <c r="F84" s="85"/>
    </row>
    <row r="85" customFormat="false" ht="15" hidden="false" customHeight="true" outlineLevel="0" collapsed="false">
      <c r="A85" s="85" t="n">
        <v>15</v>
      </c>
      <c r="B85" s="85" t="s">
        <v>53</v>
      </c>
      <c r="C85" s="81" t="str">
        <f aca="false">AW8</f>
        <v>JR00771</v>
      </c>
      <c r="D85" s="86" t="n">
        <f aca="false">AW30</f>
        <v>99</v>
      </c>
      <c r="E85" s="85" t="s">
        <v>101</v>
      </c>
      <c r="F85" s="85"/>
    </row>
    <row r="86" customFormat="false" ht="15" hidden="false" customHeight="false" outlineLevel="0" collapsed="false">
      <c r="A86" s="85" t="n">
        <v>16</v>
      </c>
      <c r="B86" s="85" t="s">
        <v>102</v>
      </c>
      <c r="C86" s="81"/>
      <c r="D86" s="86" t="n">
        <f aca="false">IF($B$67="Digital lock",1,0)</f>
        <v>0</v>
      </c>
      <c r="E86" s="85" t="s">
        <v>22</v>
      </c>
      <c r="F86" s="85" t="s">
        <v>103</v>
      </c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J7"/>
    <mergeCell ref="K7:N7"/>
    <mergeCell ref="O7:R7"/>
    <mergeCell ref="S7:T7"/>
    <mergeCell ref="U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K30:M30"/>
    <mergeCell ref="O30:Q30"/>
    <mergeCell ref="U30:W30"/>
  </mergeCells>
  <dataValidations count="5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4" type="list">
      <formula1>"ขาว,ดำ"</formula1>
      <formula2>0</formula2>
    </dataValidation>
    <dataValidation allowBlank="true" errorStyle="stop" operator="between" showDropDown="false" showErrorMessage="false" showInputMessage="false" sqref="B65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6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67" type="list">
      <formula1>"คิงโบ ล็อค+กุญแจ,คิงโบ ดัมมี่+ดัมมี่,Cmech ล็อค+กุญแจ,Cmech ดัมมี่+ดัมมี่,ไม่ใส่,Digital lock"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30" min="29" style="1" width="12.7"/>
    <col collapsed="false" customWidth="true" hidden="false" outlineLevel="0" max="32" min="32" style="1" width="8.9"/>
    <col collapsed="false" customWidth="true" hidden="true" outlineLevel="0" max="56" min="53" style="1" width="13"/>
  </cols>
  <sheetData>
    <row r="1" customFormat="false" ht="39.75" hidden="false" customHeight="true" outlineLevel="0" collapsed="false">
      <c r="A1" s="3" t="s">
        <v>104</v>
      </c>
      <c r="B1" s="4"/>
      <c r="D1" s="5"/>
      <c r="E1" s="6"/>
      <c r="F1" s="5"/>
      <c r="G1" s="7"/>
      <c r="H1" s="7"/>
      <c r="I1" s="5"/>
      <c r="J1" s="5"/>
      <c r="K1" s="7"/>
      <c r="L1" s="7"/>
      <c r="M1" s="8"/>
      <c r="N1" s="8"/>
      <c r="O1" s="5"/>
      <c r="P1" s="9"/>
      <c r="Q1" s="5"/>
      <c r="R1" s="5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BC1" s="40" t="n">
        <f aca="false">COUNTIF($B$66:$B$66,"คิงโบ ล็อค+กุญแจ")</f>
        <v>1</v>
      </c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11"/>
      <c r="H2" s="11"/>
      <c r="I2" s="7"/>
      <c r="J2" s="7"/>
      <c r="K2" s="7"/>
      <c r="L2" s="7"/>
      <c r="M2" s="11"/>
      <c r="N2" s="11"/>
      <c r="O2" s="7"/>
      <c r="P2" s="7"/>
      <c r="Q2" s="7"/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C2" s="40" t="n">
        <f aca="false">COUNTIF($B$66:$B$66,"คิงโบ ดัมมี่+ดัมมี่")</f>
        <v>0</v>
      </c>
    </row>
    <row r="3" customFormat="false" ht="39.75" hidden="false" customHeight="true" outlineLevel="0" collapsed="false">
      <c r="A3" s="7"/>
      <c r="B3" s="7"/>
      <c r="C3" s="7"/>
      <c r="D3" s="7"/>
      <c r="E3" s="10"/>
      <c r="F3" s="7"/>
      <c r="I3" s="7"/>
      <c r="J3" s="7"/>
      <c r="K3" s="7"/>
      <c r="L3" s="7"/>
      <c r="M3" s="12"/>
      <c r="N3" s="12"/>
      <c r="O3" s="7"/>
      <c r="P3" s="7"/>
      <c r="Q3" s="7"/>
      <c r="R3" s="7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C3" s="40" t="n">
        <f aca="false">COUNTIF($B$66:$B$66,"Cmech ล็อค+กุญแจ")</f>
        <v>0</v>
      </c>
    </row>
    <row r="4" customFormat="false" ht="39.75" hidden="false" customHeight="true" outlineLevel="0" collapsed="false">
      <c r="A4" s="13" t="s">
        <v>2</v>
      </c>
      <c r="B4" s="7"/>
      <c r="C4" s="7"/>
      <c r="D4" s="14" t="s">
        <v>3</v>
      </c>
      <c r="F4" s="7"/>
      <c r="I4" s="7"/>
      <c r="J4" s="7"/>
      <c r="K4" s="7"/>
      <c r="L4" s="7"/>
      <c r="O4" s="7"/>
      <c r="P4" s="7"/>
      <c r="Q4" s="7"/>
      <c r="R4" s="7"/>
      <c r="BC4" s="1" t="n">
        <f aca="false">COUNTIF($B$66:$B$66,"Cmech ดัมมี่+ดัมมี่")</f>
        <v>0</v>
      </c>
    </row>
    <row r="5" customFormat="false" ht="39.75" hidden="false" customHeight="true" outlineLevel="0" collapsed="false">
      <c r="A5" s="15" t="s">
        <v>4</v>
      </c>
      <c r="B5" s="7"/>
      <c r="C5" s="7"/>
      <c r="D5" s="7"/>
      <c r="E5" s="10"/>
      <c r="F5" s="7"/>
      <c r="I5" s="7"/>
      <c r="J5" s="7"/>
      <c r="L5" s="7"/>
      <c r="O5" s="7"/>
      <c r="P5" s="7"/>
      <c r="Q5" s="7"/>
      <c r="R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105</v>
      </c>
      <c r="J6" s="17"/>
      <c r="K6" s="17" t="s">
        <v>9</v>
      </c>
      <c r="L6" s="17"/>
      <c r="M6" s="17" t="s">
        <v>10</v>
      </c>
      <c r="N6" s="17"/>
      <c r="O6" s="17" t="s">
        <v>11</v>
      </c>
      <c r="P6" s="17"/>
      <c r="Q6" s="17" t="s">
        <v>106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0" t="s">
        <v>16</v>
      </c>
      <c r="J7" s="20"/>
      <c r="K7" s="20"/>
      <c r="L7" s="20"/>
      <c r="M7" s="20" t="s">
        <v>17</v>
      </c>
      <c r="N7" s="20"/>
      <c r="O7" s="20"/>
      <c r="P7" s="20"/>
      <c r="Q7" s="21" t="s">
        <v>107</v>
      </c>
      <c r="R7" s="21"/>
      <c r="S7" s="22"/>
      <c r="T7" s="22"/>
      <c r="U7" s="22"/>
      <c r="V7" s="22"/>
      <c r="W7" s="20"/>
      <c r="X7" s="20"/>
      <c r="Y7" s="22"/>
      <c r="Z7" s="22"/>
      <c r="AA7" s="23"/>
      <c r="AB7" s="23"/>
      <c r="AC7" s="24"/>
      <c r="AD7" s="25" t="s">
        <v>19</v>
      </c>
      <c r="AE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29"/>
      <c r="J8" s="29"/>
      <c r="K8" s="30"/>
      <c r="L8" s="30"/>
      <c r="M8" s="29"/>
      <c r="N8" s="29"/>
      <c r="O8" s="30"/>
      <c r="P8" s="30"/>
      <c r="Q8" s="30"/>
      <c r="R8" s="30"/>
      <c r="S8" s="29"/>
      <c r="T8" s="29"/>
      <c r="U8" s="30"/>
      <c r="V8" s="30"/>
      <c r="W8" s="31"/>
      <c r="X8" s="31"/>
      <c r="Y8" s="31"/>
      <c r="Z8" s="31"/>
      <c r="AA8" s="30"/>
      <c r="AB8" s="30"/>
      <c r="AC8" s="32"/>
      <c r="AD8" s="33" t="s">
        <v>23</v>
      </c>
      <c r="AE8" s="34"/>
      <c r="AK8" s="1" t="str">
        <f aca="false">IF($B$63="ดำ","JR00488","JR00489")</f>
        <v>JR00489</v>
      </c>
      <c r="AL8" s="1" t="s">
        <v>24</v>
      </c>
      <c r="AM8" s="1" t="s">
        <v>25</v>
      </c>
      <c r="AN8" s="1" t="str">
        <f aca="false">IF($B$63="ดำ","JR00314","JR00315")</f>
        <v>JR00315</v>
      </c>
      <c r="AO8" s="1" t="str">
        <f aca="false">IF($B$63="ดำ","JR00312","JR00313")</f>
        <v>JR00313</v>
      </c>
      <c r="AQ8" s="1" t="str">
        <f aca="false">IF($B$64="มัลติพ้อยล็อค","JR00553","JR00551")</f>
        <v>JR00551</v>
      </c>
      <c r="AR8" s="1" t="str">
        <f aca="false">IF($B$65="เปิดเข้า","JR00498","JR00499")</f>
        <v>JR00499</v>
      </c>
      <c r="AS8" s="1" t="s">
        <v>26</v>
      </c>
      <c r="AT8" s="1" t="s">
        <v>27</v>
      </c>
      <c r="AU8" s="1" t="s">
        <v>28</v>
      </c>
      <c r="AV8" s="1" t="s">
        <v>29</v>
      </c>
      <c r="AW8" s="1" t="s">
        <v>29</v>
      </c>
      <c r="AX8" s="1" t="s">
        <v>30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34</v>
      </c>
      <c r="J9" s="35"/>
      <c r="K9" s="35" t="s">
        <v>35</v>
      </c>
      <c r="L9" s="35"/>
      <c r="M9" s="35" t="s">
        <v>36</v>
      </c>
      <c r="N9" s="35"/>
      <c r="O9" s="35" t="s">
        <v>37</v>
      </c>
      <c r="P9" s="35"/>
      <c r="Q9" s="35" t="s">
        <v>108</v>
      </c>
      <c r="R9" s="35"/>
      <c r="S9" s="35"/>
      <c r="T9" s="35"/>
      <c r="U9" s="35"/>
      <c r="V9" s="35"/>
      <c r="W9" s="35"/>
      <c r="X9" s="35"/>
      <c r="Y9" s="36"/>
      <c r="Z9" s="36"/>
      <c r="AA9" s="35"/>
      <c r="AB9" s="35"/>
      <c r="AC9" s="37" t="s">
        <v>39</v>
      </c>
      <c r="AD9" s="38" t="s">
        <v>109</v>
      </c>
      <c r="AE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1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  <c r="AY9" s="41" t="s">
        <v>55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44" t="s">
        <v>57</v>
      </c>
      <c r="D10" s="45" t="s">
        <v>58</v>
      </c>
      <c r="E10" s="46" t="s">
        <v>59</v>
      </c>
      <c r="F10" s="47" t="s">
        <v>60</v>
      </c>
      <c r="G10" s="46" t="s">
        <v>59</v>
      </c>
      <c r="H10" s="47" t="s">
        <v>60</v>
      </c>
      <c r="I10" s="46" t="s">
        <v>59</v>
      </c>
      <c r="J10" s="48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7" t="s">
        <v>60</v>
      </c>
      <c r="S10" s="46" t="s">
        <v>59</v>
      </c>
      <c r="T10" s="48" t="s">
        <v>60</v>
      </c>
      <c r="U10" s="46" t="s">
        <v>59</v>
      </c>
      <c r="V10" s="48" t="s">
        <v>60</v>
      </c>
      <c r="W10" s="46" t="s">
        <v>59</v>
      </c>
      <c r="X10" s="47" t="s">
        <v>60</v>
      </c>
      <c r="Y10" s="46" t="s">
        <v>59</v>
      </c>
      <c r="Z10" s="48" t="s">
        <v>60</v>
      </c>
      <c r="AA10" s="46" t="s">
        <v>59</v>
      </c>
      <c r="AB10" s="48" t="s">
        <v>60</v>
      </c>
      <c r="AC10" s="49" t="s">
        <v>61</v>
      </c>
      <c r="AD10" s="50" t="s">
        <v>62</v>
      </c>
      <c r="AE10" s="51" t="s">
        <v>60</v>
      </c>
      <c r="AK10" s="40" t="s">
        <v>60</v>
      </c>
      <c r="AL10" s="40" t="s">
        <v>60</v>
      </c>
      <c r="AM10" s="40" t="s">
        <v>60</v>
      </c>
      <c r="AN10" s="40" t="s">
        <v>60</v>
      </c>
      <c r="AO10" s="40" t="s">
        <v>60</v>
      </c>
      <c r="AP10" s="40" t="s">
        <v>60</v>
      </c>
      <c r="AQ10" s="40" t="s">
        <v>60</v>
      </c>
      <c r="AR10" s="40" t="s">
        <v>60</v>
      </c>
      <c r="AS10" s="40" t="s">
        <v>60</v>
      </c>
      <c r="AT10" s="40" t="s">
        <v>60</v>
      </c>
      <c r="AU10" s="40" t="s">
        <v>60</v>
      </c>
      <c r="AV10" s="40" t="s">
        <v>60</v>
      </c>
      <c r="AW10" s="40" t="s">
        <v>60</v>
      </c>
      <c r="AX10" s="40" t="s">
        <v>60</v>
      </c>
    </row>
    <row r="11" customFormat="false" ht="39.75" hidden="false" customHeight="true" outlineLevel="0" collapsed="false">
      <c r="A11" s="52" t="s">
        <v>63</v>
      </c>
      <c r="B11" s="53" t="n">
        <v>400</v>
      </c>
      <c r="C11" s="54" t="n">
        <v>600</v>
      </c>
      <c r="D11" s="55" t="n">
        <v>1</v>
      </c>
      <c r="E11" s="56" t="n">
        <f aca="false">IF($A11="","",$B11)</f>
        <v>400</v>
      </c>
      <c r="F11" s="54" t="n">
        <f aca="false">IF($A11="","",$L$54*$D11)</f>
        <v>2</v>
      </c>
      <c r="G11" s="56" t="n">
        <f aca="false">IF($A11="","",$C11-$E$55-$F$55)</f>
        <v>550</v>
      </c>
      <c r="H11" s="54" t="n">
        <f aca="false">IF($A11="","",$L$55*$D11)</f>
        <v>1</v>
      </c>
      <c r="I11" s="56" t="n">
        <f aca="false">IF($A11="","",$B11-$E$56-$F$56)</f>
        <v>374.5</v>
      </c>
      <c r="J11" s="54" t="n">
        <f aca="false">IF($A11="","",$L$56*$D11)</f>
        <v>2</v>
      </c>
      <c r="K11" s="56" t="n">
        <f aca="false">IF($A11="","",(($C11-$E$57-$F$57)))</f>
        <v>563</v>
      </c>
      <c r="L11" s="54" t="n">
        <f aca="false">IF($A11="","",$L$57*$D11)</f>
        <v>2</v>
      </c>
      <c r="M11" s="56" t="n">
        <f aca="false">IF($A11="","",$I11-$E$58-$F$58)</f>
        <v>174.5</v>
      </c>
      <c r="N11" s="54" t="n">
        <f aca="false">IF($A11="","",$L$58*$D11)</f>
        <v>2</v>
      </c>
      <c r="O11" s="56" t="n">
        <f aca="false">IF($A11="","",$K11-$E$59-$F$59)</f>
        <v>403</v>
      </c>
      <c r="P11" s="54" t="n">
        <f aca="false">IF($A11="","",$L$59*$D11)</f>
        <v>2</v>
      </c>
      <c r="Q11" s="56" t="n">
        <f aca="false">IF($A11="","",$K11)</f>
        <v>563</v>
      </c>
      <c r="R11" s="54" t="n">
        <f aca="false">IF($A11="","",$L$60*$D11)</f>
        <v>1</v>
      </c>
      <c r="S11" s="56"/>
      <c r="T11" s="54"/>
      <c r="U11" s="56"/>
      <c r="V11" s="54"/>
      <c r="W11" s="56"/>
      <c r="X11" s="54"/>
      <c r="Y11" s="56"/>
      <c r="Z11" s="54"/>
      <c r="AA11" s="56"/>
      <c r="AB11" s="54"/>
      <c r="AC11" s="87" t="n">
        <f aca="false">IF($A11="","",$I11-87-87)</f>
        <v>200.5</v>
      </c>
      <c r="AD11" s="58" t="n">
        <f aca="false">IF($A11="","",$K11-87-87)</f>
        <v>389</v>
      </c>
      <c r="AE11" s="59" t="n">
        <f aca="false">IF($A11="","",1*$D11)</f>
        <v>1</v>
      </c>
      <c r="AK11" s="40" t="n">
        <f aca="false">IF($A11="","",(IF(OR($B11&gt;3000,$C11&gt;1200),5,4))*$D11)</f>
        <v>4</v>
      </c>
      <c r="AL11" s="40" t="n">
        <f aca="false">IF($A11="","",4*1*$D11)</f>
        <v>4</v>
      </c>
      <c r="AM11" s="40" t="n">
        <f aca="false">IF($A11="","",8*1*$D11)</f>
        <v>8</v>
      </c>
      <c r="AN11" s="40" t="n">
        <f aca="false">IF($A11="","",$BC$1*$D11)</f>
        <v>1</v>
      </c>
      <c r="AO11" s="40" t="n">
        <f aca="false">IF($A11="","",$BC$2*$D11)</f>
        <v>0</v>
      </c>
      <c r="AP11" s="40" t="n">
        <f aca="false">IF($A11="","",$BC$3*$D11)</f>
        <v>0</v>
      </c>
      <c r="AQ11" s="40" t="n">
        <f aca="false">IF($A11="","",1*$D11)</f>
        <v>1</v>
      </c>
      <c r="AR11" s="40" t="n">
        <f aca="false">IF($A11="","",1*$D11)</f>
        <v>1</v>
      </c>
      <c r="AS11" s="40" t="n">
        <f aca="false">IF($A11="","",0*$D11)</f>
        <v>0</v>
      </c>
      <c r="AT11" s="40" t="n">
        <f aca="false">IF($A11="","",0*$D11)</f>
        <v>0</v>
      </c>
      <c r="AU11" s="40" t="n">
        <f aca="false">IF($A11="","",6*$D11)</f>
        <v>6</v>
      </c>
      <c r="AV11" s="40" t="n">
        <f aca="false">IF($A11="","",ROUND((2*($C11+$B11))*$D11/1000,1))</f>
        <v>2</v>
      </c>
      <c r="AW11" s="40" t="n">
        <f aca="false">IF($A11="","",ROUND(($C11+2*$B11)*$D11/1000,1))</f>
        <v>1.4</v>
      </c>
      <c r="AX11" s="40" t="n">
        <f aca="false">IF($A11="","",1*$D11)</f>
        <v>1</v>
      </c>
      <c r="AY11" s="41" t="n">
        <f aca="false">IF($A11="","",$BC$4*$D11)</f>
        <v>0</v>
      </c>
    </row>
    <row r="12" customFormat="false" ht="39.75" hidden="false" customHeight="true" outlineLevel="0" collapsed="false">
      <c r="A12" s="52"/>
      <c r="B12" s="53"/>
      <c r="C12" s="54"/>
      <c r="D12" s="55"/>
      <c r="E12" s="60" t="str">
        <f aca="false">IF($A12="","",$B12)</f>
        <v/>
      </c>
      <c r="F12" s="61" t="str">
        <f aca="false">IF($A12="","",$L$54*$D12)</f>
        <v/>
      </c>
      <c r="G12" s="60" t="str">
        <f aca="false">IF($A12="","",$C12-$E$55-$F$55)</f>
        <v/>
      </c>
      <c r="H12" s="61" t="str">
        <f aca="false">IF($A12="","",$L$55*$D12)</f>
        <v/>
      </c>
      <c r="I12" s="60" t="str">
        <f aca="false">IF($A12="","",$B12-$E$56-$F$56)</f>
        <v/>
      </c>
      <c r="J12" s="61" t="str">
        <f aca="false">IF($A12="","",$L$56*$D12)</f>
        <v/>
      </c>
      <c r="K12" s="60" t="str">
        <f aca="false">IF($A12="","",(($C12-$E$57-$F$57)))</f>
        <v/>
      </c>
      <c r="L12" s="61" t="str">
        <f aca="false">IF($A12="","",$L$57*$D12)</f>
        <v/>
      </c>
      <c r="M12" s="60" t="str">
        <f aca="false">IF($A12="","",$I12-$E$58-$F$58)</f>
        <v/>
      </c>
      <c r="N12" s="61" t="str">
        <f aca="false">IF($A12="","",$L$58*$D12)</f>
        <v/>
      </c>
      <c r="O12" s="60" t="str">
        <f aca="false">IF($A12="","",$K12-$E$59-$F$59)</f>
        <v/>
      </c>
      <c r="P12" s="61" t="str">
        <f aca="false">IF($A12="","",$L$59*$D12)</f>
        <v/>
      </c>
      <c r="Q12" s="60" t="str">
        <f aca="false">IF($A12="","",$K12)</f>
        <v/>
      </c>
      <c r="R12" s="61" t="str">
        <f aca="false">IF($A12="","",$L$60*$D12)</f>
        <v/>
      </c>
      <c r="S12" s="60"/>
      <c r="T12" s="61"/>
      <c r="U12" s="60"/>
      <c r="V12" s="61"/>
      <c r="W12" s="60"/>
      <c r="X12" s="61"/>
      <c r="Y12" s="60"/>
      <c r="Z12" s="61"/>
      <c r="AA12" s="60"/>
      <c r="AB12" s="61"/>
      <c r="AC12" s="57" t="str">
        <f aca="false">IF($A12="","",$I12-87-87)</f>
        <v/>
      </c>
      <c r="AD12" s="58" t="str">
        <f aca="false">IF($A12="","",$K12-87-87)</f>
        <v/>
      </c>
      <c r="AE12" s="59" t="str">
        <f aca="false">IF($A12="","",1*$D12)</f>
        <v/>
      </c>
      <c r="AK12" s="1" t="str">
        <f aca="false">IF($A12="","",(IF(OR($B12&gt;3000,$C12&gt;1200),5,4))*$D12)</f>
        <v/>
      </c>
      <c r="AL12" s="1" t="str">
        <f aca="false">IF($A12="","",4*1*$D12)</f>
        <v/>
      </c>
      <c r="AM12" s="1" t="str">
        <f aca="false">IF($A12="","",8*1*$D12)</f>
        <v/>
      </c>
      <c r="AN12" s="1" t="str">
        <f aca="false">IF($A12="","",$BC$1*$D12)</f>
        <v/>
      </c>
      <c r="AO12" s="1" t="str">
        <f aca="false">IF($A12="","",$BC$2*$D12)</f>
        <v/>
      </c>
      <c r="AP12" s="1" t="str">
        <f aca="false">IF($A12="","",$BC$3*$D12)</f>
        <v/>
      </c>
      <c r="AQ12" s="1" t="str">
        <f aca="false">IF($A12="","",1*$D12)</f>
        <v/>
      </c>
      <c r="AR12" s="1" t="str">
        <f aca="false">IF($A12="","",1*$D12)</f>
        <v/>
      </c>
      <c r="AS12" s="1" t="str">
        <f aca="false">IF($A12="","",0*$D12)</f>
        <v/>
      </c>
      <c r="AT12" s="1" t="str">
        <f aca="false">IF($A12="","",0*$D12)</f>
        <v/>
      </c>
      <c r="AU12" s="1" t="str">
        <f aca="false">IF($A12="","",6*$D12)</f>
        <v/>
      </c>
      <c r="AV12" s="1" t="str">
        <f aca="false">IF($A12="","",ROUND((2*($C12+$B12))*$D12/1000,1))</f>
        <v/>
      </c>
      <c r="AW12" s="1" t="str">
        <f aca="false">IF($A12="","",ROUND(($C12+2*$B12)*$D12/1000,1))</f>
        <v/>
      </c>
      <c r="AX12" s="1" t="str">
        <f aca="false">IF($A12="","",1*$D12)</f>
        <v/>
      </c>
      <c r="AY12" s="0" t="str">
        <f aca="false">IF($A12="","",$BC$4*$D12)</f>
        <v/>
      </c>
    </row>
    <row r="13" customFormat="false" ht="39.75" hidden="false" customHeight="true" outlineLevel="0" collapsed="false">
      <c r="A13" s="52"/>
      <c r="B13" s="53"/>
      <c r="C13" s="54"/>
      <c r="D13" s="55"/>
      <c r="E13" s="56" t="str">
        <f aca="false">IF($A13="","",$B13)</f>
        <v/>
      </c>
      <c r="F13" s="54" t="str">
        <f aca="false">IF($A13="","",$L$54*$D13)</f>
        <v/>
      </c>
      <c r="G13" s="56" t="str">
        <f aca="false">IF($A13="","",$C13-$E$55-$F$55)</f>
        <v/>
      </c>
      <c r="H13" s="54" t="str">
        <f aca="false">IF($A13="","",$L$55*$D13)</f>
        <v/>
      </c>
      <c r="I13" s="56" t="str">
        <f aca="false">IF($A13="","",$B13-$E$56-$F$56)</f>
        <v/>
      </c>
      <c r="J13" s="54" t="str">
        <f aca="false">IF($A13="","",$L$56*$D13)</f>
        <v/>
      </c>
      <c r="K13" s="56" t="str">
        <f aca="false">IF($A13="","",(($C13-$E$57-$F$57)))</f>
        <v/>
      </c>
      <c r="L13" s="54" t="str">
        <f aca="false">IF($A13="","",$L$57*$D13)</f>
        <v/>
      </c>
      <c r="M13" s="56" t="str">
        <f aca="false">IF($A13="","",$I13-$E$58-$F$58)</f>
        <v/>
      </c>
      <c r="N13" s="54" t="str">
        <f aca="false">IF($A13="","",$L$58*$D13)</f>
        <v/>
      </c>
      <c r="O13" s="56" t="str">
        <f aca="false">IF($A13="","",$K13-$E$59-$F$59)</f>
        <v/>
      </c>
      <c r="P13" s="54" t="str">
        <f aca="false">IF($A13="","",$L$59*$D13)</f>
        <v/>
      </c>
      <c r="Q13" s="56" t="str">
        <f aca="false">IF($A13="","",$K13)</f>
        <v/>
      </c>
      <c r="R13" s="54" t="str">
        <f aca="false">IF($A13="","",$L$60*$D13)</f>
        <v/>
      </c>
      <c r="S13" s="56"/>
      <c r="T13" s="54"/>
      <c r="U13" s="56"/>
      <c r="V13" s="54"/>
      <c r="W13" s="56"/>
      <c r="X13" s="54"/>
      <c r="Y13" s="56"/>
      <c r="Z13" s="54"/>
      <c r="AA13" s="56"/>
      <c r="AB13" s="54"/>
      <c r="AC13" s="57" t="str">
        <f aca="false">IF($A13="","",$I13-87-87)</f>
        <v/>
      </c>
      <c r="AD13" s="58" t="str">
        <f aca="false">IF($A13="","",$K13-87-87)</f>
        <v/>
      </c>
      <c r="AE13" s="59" t="str">
        <f aca="false">IF($A13="","",1*$D13)</f>
        <v/>
      </c>
      <c r="AK13" s="1" t="str">
        <f aca="false">IF($A13="","",(IF(OR($B13&gt;3000,$C13&gt;1200),5,4))*$D13)</f>
        <v/>
      </c>
      <c r="AL13" s="1" t="str">
        <f aca="false">IF($A13="","",4*1*$D13)</f>
        <v/>
      </c>
      <c r="AM13" s="1" t="str">
        <f aca="false">IF($A13="","",8*1*$D13)</f>
        <v/>
      </c>
      <c r="AN13" s="1" t="str">
        <f aca="false">IF($A13="","",$BC$1*$D13)</f>
        <v/>
      </c>
      <c r="AO13" s="1" t="str">
        <f aca="false">IF($A13="","",$BC$2*$D13)</f>
        <v/>
      </c>
      <c r="AP13" s="1" t="str">
        <f aca="false">IF($A13="","",$BC$3*$D13)</f>
        <v/>
      </c>
      <c r="AQ13" s="1" t="str">
        <f aca="false">IF($A13="","",1*$D13)</f>
        <v/>
      </c>
      <c r="AR13" s="1" t="str">
        <f aca="false">IF($A13="","",1*$D13)</f>
        <v/>
      </c>
      <c r="AS13" s="1" t="str">
        <f aca="false">IF($A13="","",0*$D13)</f>
        <v/>
      </c>
      <c r="AT13" s="1" t="str">
        <f aca="false">IF($A13="","",0*$D13)</f>
        <v/>
      </c>
      <c r="AU13" s="1" t="str">
        <f aca="false">IF($A13="","",6*$D13)</f>
        <v/>
      </c>
      <c r="AV13" s="1" t="str">
        <f aca="false">IF($A13="","",ROUND((2*($C13+$B13))*$D13/1000,1))</f>
        <v/>
      </c>
      <c r="AW13" s="1" t="str">
        <f aca="false">IF($A13="","",ROUND(($C13+2*$B13)*$D13/1000,1))</f>
        <v/>
      </c>
      <c r="AX13" s="1" t="str">
        <f aca="false">IF($A13="","",1*$D13)</f>
        <v/>
      </c>
      <c r="AY13" s="0" t="str">
        <f aca="false">IF($A13="","",$BC$4*$D13)</f>
        <v/>
      </c>
    </row>
    <row r="14" customFormat="false" ht="39.75" hidden="false" customHeight="true" outlineLevel="0" collapsed="false">
      <c r="A14" s="52"/>
      <c r="B14" s="53"/>
      <c r="C14" s="54"/>
      <c r="D14" s="55"/>
      <c r="E14" s="60" t="str">
        <f aca="false">IF($A14="","",$B14)</f>
        <v/>
      </c>
      <c r="F14" s="61" t="str">
        <f aca="false">IF($A14="","",$L$54*$D14)</f>
        <v/>
      </c>
      <c r="G14" s="60" t="str">
        <f aca="false">IF($A14="","",$C14-$E$55-$F$55)</f>
        <v/>
      </c>
      <c r="H14" s="61" t="str">
        <f aca="false">IF($A14="","",$L$55*$D14)</f>
        <v/>
      </c>
      <c r="I14" s="60" t="str">
        <f aca="false">IF($A14="","",$B14-$E$56-$F$56)</f>
        <v/>
      </c>
      <c r="J14" s="61" t="str">
        <f aca="false">IF($A14="","",$L$56*$D14)</f>
        <v/>
      </c>
      <c r="K14" s="60" t="str">
        <f aca="false">IF($A14="","",(($C14-$E$57-$F$57)))</f>
        <v/>
      </c>
      <c r="L14" s="61" t="str">
        <f aca="false">IF($A14="","",$L$57*$D14)</f>
        <v/>
      </c>
      <c r="M14" s="60" t="str">
        <f aca="false">IF($A14="","",$I14-$E$58-$F$58)</f>
        <v/>
      </c>
      <c r="N14" s="61" t="str">
        <f aca="false">IF($A14="","",$L$58*$D14)</f>
        <v/>
      </c>
      <c r="O14" s="60" t="str">
        <f aca="false">IF($A14="","",$K14-$E$59-$F$59)</f>
        <v/>
      </c>
      <c r="P14" s="61" t="str">
        <f aca="false">IF($A14="","",$L$59*$D14)</f>
        <v/>
      </c>
      <c r="Q14" s="60" t="str">
        <f aca="false">IF($A14="","",$K14)</f>
        <v/>
      </c>
      <c r="R14" s="61" t="str">
        <f aca="false">IF($A14="","",$L$60*$D14)</f>
        <v/>
      </c>
      <c r="S14" s="60"/>
      <c r="T14" s="61"/>
      <c r="U14" s="60"/>
      <c r="V14" s="61"/>
      <c r="W14" s="60"/>
      <c r="X14" s="61"/>
      <c r="Y14" s="60"/>
      <c r="Z14" s="61"/>
      <c r="AA14" s="60"/>
      <c r="AB14" s="61"/>
      <c r="AC14" s="57" t="str">
        <f aca="false">IF($A14="","",$I14-87-87)</f>
        <v/>
      </c>
      <c r="AD14" s="58" t="str">
        <f aca="false">IF($A14="","",$K14-87-87)</f>
        <v/>
      </c>
      <c r="AE14" s="59" t="str">
        <f aca="false">IF($A14="","",1*$D14)</f>
        <v/>
      </c>
      <c r="AK14" s="1" t="str">
        <f aca="false">IF($A14="","",(IF(OR($B14&gt;3000,$C14&gt;1200),5,4))*$D14)</f>
        <v/>
      </c>
      <c r="AL14" s="1" t="str">
        <f aca="false">IF($A14="","",4*1*$D14)</f>
        <v/>
      </c>
      <c r="AM14" s="1" t="str">
        <f aca="false">IF($A14="","",8*1*$D14)</f>
        <v/>
      </c>
      <c r="AN14" s="1" t="str">
        <f aca="false">IF($A14="","",$BC$1*$D14)</f>
        <v/>
      </c>
      <c r="AO14" s="1" t="str">
        <f aca="false">IF($A14="","",$BC$2*$D14)</f>
        <v/>
      </c>
      <c r="AP14" s="1" t="str">
        <f aca="false">IF($A14="","",$BC$3*$D14)</f>
        <v/>
      </c>
      <c r="AQ14" s="1" t="str">
        <f aca="false">IF($A14="","",1*$D14)</f>
        <v/>
      </c>
      <c r="AR14" s="1" t="str">
        <f aca="false">IF($A14="","",1*$D14)</f>
        <v/>
      </c>
      <c r="AS14" s="1" t="str">
        <f aca="false">IF($A14="","",0*$D14)</f>
        <v/>
      </c>
      <c r="AT14" s="1" t="str">
        <f aca="false">IF($A14="","",0*$D14)</f>
        <v/>
      </c>
      <c r="AU14" s="1" t="str">
        <f aca="false">IF($A14="","",6*$D14)</f>
        <v/>
      </c>
      <c r="AV14" s="1" t="str">
        <f aca="false">IF($A14="","",ROUND((2*($C14+$B14))*$D14/1000,1))</f>
        <v/>
      </c>
      <c r="AW14" s="1" t="str">
        <f aca="false">IF($A14="","",ROUND(($C14+2*$B14)*$D14/1000,1))</f>
        <v/>
      </c>
      <c r="AX14" s="1" t="str">
        <f aca="false">IF($A14="","",1*$D14)</f>
        <v/>
      </c>
      <c r="AY14" s="0" t="str">
        <f aca="false">IF($A14="","",$BC$4*$D14)</f>
        <v/>
      </c>
    </row>
    <row r="15" customFormat="false" ht="39.75" hidden="false" customHeight="true" outlineLevel="0" collapsed="false">
      <c r="A15" s="52"/>
      <c r="B15" s="53"/>
      <c r="C15" s="54"/>
      <c r="D15" s="55"/>
      <c r="E15" s="56" t="str">
        <f aca="false">IF($A15="","",$B15)</f>
        <v/>
      </c>
      <c r="F15" s="54" t="str">
        <f aca="false">IF($A15="","",$L$54*$D15)</f>
        <v/>
      </c>
      <c r="G15" s="56" t="str">
        <f aca="false">IF($A15="","",$C15-$E$55-$F$55)</f>
        <v/>
      </c>
      <c r="H15" s="54" t="str">
        <f aca="false">IF($A15="","",$L$55*$D15)</f>
        <v/>
      </c>
      <c r="I15" s="56" t="str">
        <f aca="false">IF($A15="","",$B15-$E$56-$F$56)</f>
        <v/>
      </c>
      <c r="J15" s="54" t="str">
        <f aca="false">IF($A15="","",$L$56*$D15)</f>
        <v/>
      </c>
      <c r="K15" s="56" t="str">
        <f aca="false">IF($A15="","",(($C15-$E$57-$F$57)))</f>
        <v/>
      </c>
      <c r="L15" s="54" t="str">
        <f aca="false">IF($A15="","",$L$57*$D15)</f>
        <v/>
      </c>
      <c r="M15" s="56" t="str">
        <f aca="false">IF($A15="","",$I15-$E$58-$F$58)</f>
        <v/>
      </c>
      <c r="N15" s="54" t="str">
        <f aca="false">IF($A15="","",$L$58*$D15)</f>
        <v/>
      </c>
      <c r="O15" s="56" t="str">
        <f aca="false">IF($A15="","",$K15-$E$59-$F$59)</f>
        <v/>
      </c>
      <c r="P15" s="54" t="str">
        <f aca="false">IF($A15="","",$L$59*$D15)</f>
        <v/>
      </c>
      <c r="Q15" s="56" t="str">
        <f aca="false">IF($A15="","",$K15)</f>
        <v/>
      </c>
      <c r="R15" s="54" t="str">
        <f aca="false">IF($A15="","",$L$60*$D15)</f>
        <v/>
      </c>
      <c r="S15" s="56"/>
      <c r="T15" s="54"/>
      <c r="U15" s="56"/>
      <c r="V15" s="54"/>
      <c r="W15" s="56"/>
      <c r="X15" s="54"/>
      <c r="Y15" s="56"/>
      <c r="Z15" s="54"/>
      <c r="AA15" s="56"/>
      <c r="AB15" s="54"/>
      <c r="AC15" s="57" t="str">
        <f aca="false">IF($A15="","",$I15-87-87)</f>
        <v/>
      </c>
      <c r="AD15" s="58" t="str">
        <f aca="false">IF($A15="","",$K15-87-87)</f>
        <v/>
      </c>
      <c r="AE15" s="59" t="str">
        <f aca="false">IF($A15="","",1*$D15)</f>
        <v/>
      </c>
      <c r="AK15" s="1" t="str">
        <f aca="false">IF($A15="","",(IF(OR($B15&gt;3000,$C15&gt;1200),5,4))*$D15)</f>
        <v/>
      </c>
      <c r="AL15" s="1" t="str">
        <f aca="false">IF($A15="","",4*1*$D15)</f>
        <v/>
      </c>
      <c r="AM15" s="1" t="str">
        <f aca="false">IF($A15="","",8*1*$D15)</f>
        <v/>
      </c>
      <c r="AN15" s="1" t="str">
        <f aca="false">IF($A15="","",$BC$1*$D15)</f>
        <v/>
      </c>
      <c r="AO15" s="1" t="str">
        <f aca="false">IF($A15="","",$BC$2*$D15)</f>
        <v/>
      </c>
      <c r="AP15" s="1" t="str">
        <f aca="false">IF($A15="","",$BC$3*$D15)</f>
        <v/>
      </c>
      <c r="AQ15" s="1" t="str">
        <f aca="false">IF($A15="","",1*$D15)</f>
        <v/>
      </c>
      <c r="AR15" s="1" t="str">
        <f aca="false">IF($A15="","",1*$D15)</f>
        <v/>
      </c>
      <c r="AS15" s="1" t="str">
        <f aca="false">IF($A15="","",0*$D15)</f>
        <v/>
      </c>
      <c r="AT15" s="1" t="str">
        <f aca="false">IF($A15="","",0*$D15)</f>
        <v/>
      </c>
      <c r="AU15" s="1" t="str">
        <f aca="false">IF($A15="","",6*$D15)</f>
        <v/>
      </c>
      <c r="AV15" s="1" t="str">
        <f aca="false">IF($A15="","",ROUND((2*($C15+$B15))*$D15/1000,1))</f>
        <v/>
      </c>
      <c r="AW15" s="1" t="str">
        <f aca="false">IF($A15="","",ROUND(($C15+2*$B15)*$D15/1000,1))</f>
        <v/>
      </c>
      <c r="AX15" s="1" t="str">
        <f aca="false">IF($A15="","",1*$D15)</f>
        <v/>
      </c>
      <c r="AY15" s="0" t="str">
        <f aca="false">IF($A15="","",$BC$4*$D15)</f>
        <v/>
      </c>
    </row>
    <row r="16" customFormat="false" ht="39.75" hidden="false" customHeight="true" outlineLevel="0" collapsed="false">
      <c r="A16" s="52"/>
      <c r="B16" s="53"/>
      <c r="C16" s="54"/>
      <c r="D16" s="55"/>
      <c r="E16" s="60" t="str">
        <f aca="false">IF($A16="","",$B16)</f>
        <v/>
      </c>
      <c r="F16" s="61" t="str">
        <f aca="false">IF($A16="","",$L$54*$D16)</f>
        <v/>
      </c>
      <c r="G16" s="60" t="str">
        <f aca="false">IF($A16="","",$C16-$E$55-$F$55)</f>
        <v/>
      </c>
      <c r="H16" s="61" t="str">
        <f aca="false">IF($A16="","",$L$55*$D16)</f>
        <v/>
      </c>
      <c r="I16" s="60" t="str">
        <f aca="false">IF($A16="","",$B16-$E$56-$F$56)</f>
        <v/>
      </c>
      <c r="J16" s="61" t="str">
        <f aca="false">IF($A16="","",$L$56*$D16)</f>
        <v/>
      </c>
      <c r="K16" s="60" t="str">
        <f aca="false">IF($A16="","",(($C16-$E$57-$F$57)))</f>
        <v/>
      </c>
      <c r="L16" s="61" t="str">
        <f aca="false">IF($A16="","",$L$57*$D16)</f>
        <v/>
      </c>
      <c r="M16" s="60" t="str">
        <f aca="false">IF($A16="","",$I16-$E$58-$F$58)</f>
        <v/>
      </c>
      <c r="N16" s="61" t="str">
        <f aca="false">IF($A16="","",$L$58*$D16)</f>
        <v/>
      </c>
      <c r="O16" s="60" t="str">
        <f aca="false">IF($A16="","",$K16-$E$59-$F$59)</f>
        <v/>
      </c>
      <c r="P16" s="61" t="str">
        <f aca="false">IF($A16="","",$L$59*$D16)</f>
        <v/>
      </c>
      <c r="Q16" s="60" t="str">
        <f aca="false">IF($A16="","",$K16)</f>
        <v/>
      </c>
      <c r="R16" s="61" t="str">
        <f aca="false">IF($A16="","",$L$60*$D16)</f>
        <v/>
      </c>
      <c r="S16" s="60"/>
      <c r="T16" s="61"/>
      <c r="U16" s="60"/>
      <c r="V16" s="61"/>
      <c r="W16" s="60"/>
      <c r="X16" s="61"/>
      <c r="Y16" s="60"/>
      <c r="Z16" s="61"/>
      <c r="AA16" s="60"/>
      <c r="AB16" s="61"/>
      <c r="AC16" s="57" t="str">
        <f aca="false">IF($A16="","",$I16-87-87)</f>
        <v/>
      </c>
      <c r="AD16" s="58" t="str">
        <f aca="false">IF($A16="","",$K16-87-87)</f>
        <v/>
      </c>
      <c r="AE16" s="59" t="str">
        <f aca="false">IF($A16="","",1*$D16)</f>
        <v/>
      </c>
      <c r="AK16" s="1" t="str">
        <f aca="false">IF($A16="","",(IF(OR($B16&gt;3000,$C16&gt;1200),5,4))*$D16)</f>
        <v/>
      </c>
      <c r="AL16" s="1" t="str">
        <f aca="false">IF($A16="","",4*1*$D16)</f>
        <v/>
      </c>
      <c r="AM16" s="1" t="str">
        <f aca="false">IF($A16="","",8*1*$D16)</f>
        <v/>
      </c>
      <c r="AN16" s="1" t="str">
        <f aca="false">IF($A16="","",$BC$1*$D16)</f>
        <v/>
      </c>
      <c r="AO16" s="1" t="str">
        <f aca="false">IF($A16="","",$BC$2*$D16)</f>
        <v/>
      </c>
      <c r="AP16" s="1" t="str">
        <f aca="false">IF($A16="","",$BC$3*$D16)</f>
        <v/>
      </c>
      <c r="AQ16" s="1" t="str">
        <f aca="false">IF($A16="","",1*$D16)</f>
        <v/>
      </c>
      <c r="AR16" s="1" t="str">
        <f aca="false">IF($A16="","",1*$D16)</f>
        <v/>
      </c>
      <c r="AS16" s="1" t="str">
        <f aca="false">IF($A16="","",0*$D16)</f>
        <v/>
      </c>
      <c r="AT16" s="1" t="str">
        <f aca="false">IF($A16="","",0*$D16)</f>
        <v/>
      </c>
      <c r="AU16" s="1" t="str">
        <f aca="false">IF($A16="","",6*$D16)</f>
        <v/>
      </c>
      <c r="AV16" s="1" t="str">
        <f aca="false">IF($A16="","",ROUND((2*($C16+$B16))*$D16/1000,1))</f>
        <v/>
      </c>
      <c r="AW16" s="1" t="str">
        <f aca="false">IF($A16="","",ROUND(($C16+2*$B16)*$D16/1000,1))</f>
        <v/>
      </c>
      <c r="AX16" s="1" t="str">
        <f aca="false">IF($A16="","",1*$D16)</f>
        <v/>
      </c>
      <c r="AY16" s="0" t="str">
        <f aca="false">IF($A16="","",$BC$4*$D16)</f>
        <v/>
      </c>
    </row>
    <row r="17" customFormat="false" ht="39.75" hidden="false" customHeight="true" outlineLevel="0" collapsed="false">
      <c r="A17" s="52"/>
      <c r="B17" s="53"/>
      <c r="C17" s="54"/>
      <c r="D17" s="55"/>
      <c r="E17" s="56" t="str">
        <f aca="false">IF($A17="","",$B17)</f>
        <v/>
      </c>
      <c r="F17" s="54" t="str">
        <f aca="false">IF($A17="","",$L$54*$D17)</f>
        <v/>
      </c>
      <c r="G17" s="56" t="str">
        <f aca="false">IF($A17="","",$C17-$E$55-$F$55)</f>
        <v/>
      </c>
      <c r="H17" s="54" t="str">
        <f aca="false">IF($A17="","",$L$55*$D17)</f>
        <v/>
      </c>
      <c r="I17" s="56" t="str">
        <f aca="false">IF($A17="","",$B17-$E$56-$F$56)</f>
        <v/>
      </c>
      <c r="J17" s="54" t="str">
        <f aca="false">IF($A17="","",$L$56*$D17)</f>
        <v/>
      </c>
      <c r="K17" s="56" t="str">
        <f aca="false">IF($A17="","",(($C17-$E$57-$F$57)))</f>
        <v/>
      </c>
      <c r="L17" s="54" t="str">
        <f aca="false">IF($A17="","",$L$57*$D17)</f>
        <v/>
      </c>
      <c r="M17" s="56" t="str">
        <f aca="false">IF($A17="","",$I17-$E$58-$F$58)</f>
        <v/>
      </c>
      <c r="N17" s="54" t="str">
        <f aca="false">IF($A17="","",$L$58*$D17)</f>
        <v/>
      </c>
      <c r="O17" s="56" t="str">
        <f aca="false">IF($A17="","",$K17-$E$59-$F$59)</f>
        <v/>
      </c>
      <c r="P17" s="54" t="str">
        <f aca="false">IF($A17="","",$L$59*$D17)</f>
        <v/>
      </c>
      <c r="Q17" s="56" t="str">
        <f aca="false">IF($A17="","",$K17)</f>
        <v/>
      </c>
      <c r="R17" s="54" t="str">
        <f aca="false">IF($A17="","",$L$60*$D17)</f>
        <v/>
      </c>
      <c r="S17" s="56"/>
      <c r="T17" s="54"/>
      <c r="U17" s="56"/>
      <c r="V17" s="54"/>
      <c r="W17" s="56"/>
      <c r="X17" s="54"/>
      <c r="Y17" s="56"/>
      <c r="Z17" s="54"/>
      <c r="AA17" s="56"/>
      <c r="AB17" s="54"/>
      <c r="AC17" s="57" t="str">
        <f aca="false">IF($A17="","",$I17-87-87)</f>
        <v/>
      </c>
      <c r="AD17" s="58" t="str">
        <f aca="false">IF($A17="","",$K17-87-87)</f>
        <v/>
      </c>
      <c r="AE17" s="59" t="str">
        <f aca="false">IF($A17="","",1*$D17)</f>
        <v/>
      </c>
      <c r="AK17" s="1" t="str">
        <f aca="false">IF($A17="","",(IF(OR($B17&gt;3000,$C17&gt;1200),5,4))*$D17)</f>
        <v/>
      </c>
      <c r="AL17" s="1" t="str">
        <f aca="false">IF($A17="","",4*1*$D17)</f>
        <v/>
      </c>
      <c r="AM17" s="1" t="str">
        <f aca="false">IF($A17="","",8*1*$D17)</f>
        <v/>
      </c>
      <c r="AN17" s="1" t="str">
        <f aca="false">IF($A17="","",$BC$1*$D17)</f>
        <v/>
      </c>
      <c r="AO17" s="1" t="str">
        <f aca="false">IF($A17="","",$BC$2*$D17)</f>
        <v/>
      </c>
      <c r="AP17" s="1" t="str">
        <f aca="false">IF($A17="","",$BC$3*$D17)</f>
        <v/>
      </c>
      <c r="AQ17" s="1" t="str">
        <f aca="false">IF($A17="","",1*$D17)</f>
        <v/>
      </c>
      <c r="AR17" s="1" t="str">
        <f aca="false">IF($A17="","",1*$D17)</f>
        <v/>
      </c>
      <c r="AS17" s="1" t="str">
        <f aca="false">IF($A17="","",0*$D17)</f>
        <v/>
      </c>
      <c r="AT17" s="1" t="str">
        <f aca="false">IF($A17="","",0*$D17)</f>
        <v/>
      </c>
      <c r="AU17" s="1" t="str">
        <f aca="false">IF($A17="","",6*$D17)</f>
        <v/>
      </c>
      <c r="AV17" s="1" t="str">
        <f aca="false">IF($A17="","",ROUND((2*($C17+$B17))*$D17/1000,1))</f>
        <v/>
      </c>
      <c r="AW17" s="1" t="str">
        <f aca="false">IF($A17="","",ROUND(($C17+2*$B17)*$D17/1000,1))</f>
        <v/>
      </c>
      <c r="AX17" s="1" t="str">
        <f aca="false">IF($A17="","",1*$D17)</f>
        <v/>
      </c>
      <c r="AY17" s="0" t="str">
        <f aca="false">IF($A17="","",$BC$4*$D17)</f>
        <v/>
      </c>
    </row>
    <row r="18" customFormat="false" ht="39.75" hidden="false" customHeight="true" outlineLevel="0" collapsed="false">
      <c r="A18" s="52"/>
      <c r="B18" s="53"/>
      <c r="C18" s="54"/>
      <c r="D18" s="55"/>
      <c r="E18" s="60" t="str">
        <f aca="false">IF($A18="","",$B18)</f>
        <v/>
      </c>
      <c r="F18" s="61" t="str">
        <f aca="false">IF($A18="","",$L$54*$D18)</f>
        <v/>
      </c>
      <c r="G18" s="60" t="str">
        <f aca="false">IF($A18="","",$C18-$E$55-$F$55)</f>
        <v/>
      </c>
      <c r="H18" s="61" t="str">
        <f aca="false">IF($A18="","",$L$55*$D18)</f>
        <v/>
      </c>
      <c r="I18" s="60" t="str">
        <f aca="false">IF($A18="","",$B18-$E$56-$F$56)</f>
        <v/>
      </c>
      <c r="J18" s="61" t="str">
        <f aca="false">IF($A18="","",$L$56*$D18)</f>
        <v/>
      </c>
      <c r="K18" s="60" t="str">
        <f aca="false">IF($A18="","",(($C18-$E$57-$F$57)))</f>
        <v/>
      </c>
      <c r="L18" s="61" t="str">
        <f aca="false">IF($A18="","",$L$57*$D18)</f>
        <v/>
      </c>
      <c r="M18" s="60" t="str">
        <f aca="false">IF($A18="","",$I18-$E$58-$F$58)</f>
        <v/>
      </c>
      <c r="N18" s="61" t="str">
        <f aca="false">IF($A18="","",$L$58*$D18)</f>
        <v/>
      </c>
      <c r="O18" s="60" t="str">
        <f aca="false">IF($A18="","",$K18-$E$59-$F$59)</f>
        <v/>
      </c>
      <c r="P18" s="61" t="str">
        <f aca="false">IF($A18="","",$L$59*$D18)</f>
        <v/>
      </c>
      <c r="Q18" s="60" t="str">
        <f aca="false">IF($A18="","",$K18)</f>
        <v/>
      </c>
      <c r="R18" s="61" t="str">
        <f aca="false">IF($A18="","",$L$60*$D18)</f>
        <v/>
      </c>
      <c r="S18" s="60"/>
      <c r="T18" s="61"/>
      <c r="U18" s="60"/>
      <c r="V18" s="61"/>
      <c r="W18" s="60"/>
      <c r="X18" s="61"/>
      <c r="Y18" s="60"/>
      <c r="Z18" s="61"/>
      <c r="AA18" s="60"/>
      <c r="AB18" s="61"/>
      <c r="AC18" s="57" t="str">
        <f aca="false">IF($A18="","",$I18-87-87)</f>
        <v/>
      </c>
      <c r="AD18" s="58" t="str">
        <f aca="false">IF($A18="","",$K18-87-87)</f>
        <v/>
      </c>
      <c r="AE18" s="59" t="str">
        <f aca="false">IF($A18="","",1*$D18)</f>
        <v/>
      </c>
      <c r="AK18" s="1" t="str">
        <f aca="false">IF($A18="","",(IF(OR($B18&gt;3000,$C18&gt;1200),5,4))*$D18)</f>
        <v/>
      </c>
      <c r="AL18" s="1" t="str">
        <f aca="false">IF($A18="","",4*1*$D18)</f>
        <v/>
      </c>
      <c r="AM18" s="1" t="str">
        <f aca="false">IF($A18="","",8*1*$D18)</f>
        <v/>
      </c>
      <c r="AN18" s="1" t="str">
        <f aca="false">IF($A18="","",$BC$1*$D18)</f>
        <v/>
      </c>
      <c r="AO18" s="1" t="str">
        <f aca="false">IF($A18="","",$BC$2*$D18)</f>
        <v/>
      </c>
      <c r="AP18" s="1" t="str">
        <f aca="false">IF($A18="","",$BC$3*$D18)</f>
        <v/>
      </c>
      <c r="AQ18" s="1" t="str">
        <f aca="false">IF($A18="","",1*$D18)</f>
        <v/>
      </c>
      <c r="AR18" s="1" t="str">
        <f aca="false">IF($A18="","",1*$D18)</f>
        <v/>
      </c>
      <c r="AS18" s="1" t="str">
        <f aca="false">IF($A18="","",0*$D18)</f>
        <v/>
      </c>
      <c r="AT18" s="1" t="str">
        <f aca="false">IF($A18="","",0*$D18)</f>
        <v/>
      </c>
      <c r="AU18" s="1" t="str">
        <f aca="false">IF($A18="","",6*$D18)</f>
        <v/>
      </c>
      <c r="AV18" s="1" t="str">
        <f aca="false">IF($A18="","",ROUND((2*($C18+$B18))*$D18/1000,1))</f>
        <v/>
      </c>
      <c r="AW18" s="1" t="str">
        <f aca="false">IF($A18="","",ROUND(($C18+2*$B18)*$D18/1000,1))</f>
        <v/>
      </c>
      <c r="AX18" s="1" t="str">
        <f aca="false">IF($A18="","",1*$D18)</f>
        <v/>
      </c>
      <c r="AY18" s="0" t="str">
        <f aca="false">IF($A18="","",$BC$4*$D18)</f>
        <v/>
      </c>
    </row>
    <row r="19" customFormat="false" ht="39.75" hidden="false" customHeight="true" outlineLevel="0" collapsed="false">
      <c r="A19" s="88"/>
      <c r="B19" s="89"/>
      <c r="C19" s="90"/>
      <c r="D19" s="91"/>
      <c r="E19" s="56" t="str">
        <f aca="false">IF($A19="","",$B19)</f>
        <v/>
      </c>
      <c r="F19" s="54" t="str">
        <f aca="false">IF($A19="","",$L$54*$D19)</f>
        <v/>
      </c>
      <c r="G19" s="56" t="str">
        <f aca="false">IF($A19="","",$C19-$E$55-$F$55)</f>
        <v/>
      </c>
      <c r="H19" s="54" t="str">
        <f aca="false">IF($A19="","",$L$55*$D19)</f>
        <v/>
      </c>
      <c r="I19" s="56" t="str">
        <f aca="false">IF($A19="","",$B19-$E$56-$F$56)</f>
        <v/>
      </c>
      <c r="J19" s="54" t="str">
        <f aca="false">IF($A19="","",$L$56*$D19)</f>
        <v/>
      </c>
      <c r="K19" s="56" t="str">
        <f aca="false">IF($A19="","",(($C19-$E$57-$F$57)))</f>
        <v/>
      </c>
      <c r="L19" s="54" t="str">
        <f aca="false">IF($A19="","",$L$57*$D19)</f>
        <v/>
      </c>
      <c r="M19" s="56" t="str">
        <f aca="false">IF($A19="","",$I19-$E$58-$F$58)</f>
        <v/>
      </c>
      <c r="N19" s="54" t="str">
        <f aca="false">IF($A19="","",$L$58*$D19)</f>
        <v/>
      </c>
      <c r="O19" s="56" t="str">
        <f aca="false">IF($A19="","",$K19-$E$59-$F$59)</f>
        <v/>
      </c>
      <c r="P19" s="54" t="str">
        <f aca="false">IF($A19="","",$L$59*$D19)</f>
        <v/>
      </c>
      <c r="Q19" s="56" t="str">
        <f aca="false">IF($A19="","",$K19)</f>
        <v/>
      </c>
      <c r="R19" s="54" t="str">
        <f aca="false">IF($A19="","",$L$60*$D19)</f>
        <v/>
      </c>
      <c r="S19" s="56"/>
      <c r="T19" s="54"/>
      <c r="U19" s="56"/>
      <c r="V19" s="54"/>
      <c r="W19" s="56"/>
      <c r="X19" s="54"/>
      <c r="Y19" s="56"/>
      <c r="Z19" s="54"/>
      <c r="AA19" s="56"/>
      <c r="AB19" s="54"/>
      <c r="AC19" s="57" t="str">
        <f aca="false">IF($A19="","",$I19-87-87)</f>
        <v/>
      </c>
      <c r="AD19" s="58" t="str">
        <f aca="false">IF($A19="","",$K19-87-87)</f>
        <v/>
      </c>
      <c r="AE19" s="59" t="str">
        <f aca="false">IF($A19="","",1*$D19)</f>
        <v/>
      </c>
      <c r="AK19" s="1" t="str">
        <f aca="false">IF($A19="","",(IF(OR($B19&gt;3000,$C19&gt;1200),5,4))*$D19)</f>
        <v/>
      </c>
      <c r="AL19" s="1" t="str">
        <f aca="false">IF($A19="","",4*1*$D19)</f>
        <v/>
      </c>
      <c r="AM19" s="1" t="str">
        <f aca="false">IF($A19="","",8*1*$D19)</f>
        <v/>
      </c>
      <c r="AN19" s="1" t="str">
        <f aca="false">IF($A19="","",$BC$1*$D19)</f>
        <v/>
      </c>
      <c r="AO19" s="1" t="str">
        <f aca="false">IF($A19="","",$BC$2*$D19)</f>
        <v/>
      </c>
      <c r="AP19" s="1" t="str">
        <f aca="false">IF($A19="","",$BC$3*$D19)</f>
        <v/>
      </c>
      <c r="AQ19" s="1" t="str">
        <f aca="false">IF($A19="","",1*$D19)</f>
        <v/>
      </c>
      <c r="AR19" s="1" t="str">
        <f aca="false">IF($A19="","",1*$D19)</f>
        <v/>
      </c>
      <c r="AS19" s="1" t="str">
        <f aca="false">IF($A19="","",0*$D19)</f>
        <v/>
      </c>
      <c r="AT19" s="1" t="str">
        <f aca="false">IF($A19="","",0*$D19)</f>
        <v/>
      </c>
      <c r="AU19" s="1" t="str">
        <f aca="false">IF($A19="","",6*$D19)</f>
        <v/>
      </c>
      <c r="AV19" s="1" t="str">
        <f aca="false">IF($A19="","",ROUND((2*($C19+$B19))*$D19/1000,1))</f>
        <v/>
      </c>
      <c r="AW19" s="1" t="str">
        <f aca="false">IF($A19="","",ROUND(($C19+2*$B19)*$D19/1000,1))</f>
        <v/>
      </c>
      <c r="AX19" s="1" t="str">
        <f aca="false">IF($A19="","",1*$D19)</f>
        <v/>
      </c>
      <c r="AY19" s="0" t="str">
        <f aca="false">IF($A19="","",$BC$4*$D19)</f>
        <v/>
      </c>
    </row>
    <row r="20" customFormat="false" ht="39.75" hidden="false" customHeight="true" outlineLevel="0" collapsed="false">
      <c r="A20" s="88"/>
      <c r="B20" s="89"/>
      <c r="C20" s="90"/>
      <c r="D20" s="91"/>
      <c r="E20" s="60" t="str">
        <f aca="false">IF($A20="","",$B20)</f>
        <v/>
      </c>
      <c r="F20" s="61" t="str">
        <f aca="false">IF($A20="","",$L$54*$D20)</f>
        <v/>
      </c>
      <c r="G20" s="60" t="str">
        <f aca="false">IF($A20="","",$C20-$E$55-$F$55)</f>
        <v/>
      </c>
      <c r="H20" s="61" t="str">
        <f aca="false">IF($A20="","",$L$55*$D20)</f>
        <v/>
      </c>
      <c r="I20" s="60" t="str">
        <f aca="false">IF($A20="","",$B20-$E$56-$F$56)</f>
        <v/>
      </c>
      <c r="J20" s="61" t="str">
        <f aca="false">IF($A20="","",$L$56*$D20)</f>
        <v/>
      </c>
      <c r="K20" s="60" t="str">
        <f aca="false">IF($A20="","",(($C20-$E$57-$F$57)))</f>
        <v/>
      </c>
      <c r="L20" s="61" t="str">
        <f aca="false">IF($A20="","",$L$57*$D20)</f>
        <v/>
      </c>
      <c r="M20" s="60" t="str">
        <f aca="false">IF($A20="","",$I20-$E$58-$F$58)</f>
        <v/>
      </c>
      <c r="N20" s="61" t="str">
        <f aca="false">IF($A20="","",$L$58*$D20)</f>
        <v/>
      </c>
      <c r="O20" s="60" t="str">
        <f aca="false">IF($A20="","",$K20-$E$59-$F$59)</f>
        <v/>
      </c>
      <c r="P20" s="61" t="str">
        <f aca="false">IF($A20="","",$L$59*$D20)</f>
        <v/>
      </c>
      <c r="Q20" s="60" t="str">
        <f aca="false">IF($A20="","",$K20)</f>
        <v/>
      </c>
      <c r="R20" s="61" t="str">
        <f aca="false">IF($A20="","",$L$60*$D20)</f>
        <v/>
      </c>
      <c r="S20" s="60"/>
      <c r="T20" s="61"/>
      <c r="U20" s="60"/>
      <c r="V20" s="61"/>
      <c r="W20" s="60"/>
      <c r="X20" s="61"/>
      <c r="Y20" s="60"/>
      <c r="Z20" s="61"/>
      <c r="AA20" s="60"/>
      <c r="AB20" s="61"/>
      <c r="AC20" s="57" t="str">
        <f aca="false">IF($A20="","",$I20-87-87)</f>
        <v/>
      </c>
      <c r="AD20" s="58" t="str">
        <f aca="false">IF($A20="","",$K20-87-87)</f>
        <v/>
      </c>
      <c r="AE20" s="59" t="str">
        <f aca="false">IF($A20="","",1*$D20)</f>
        <v/>
      </c>
      <c r="AK20" s="1" t="str">
        <f aca="false">IF($A20="","",(IF(OR($B20&gt;3000,$C20&gt;1200),5,4))*$D20)</f>
        <v/>
      </c>
      <c r="AL20" s="1" t="str">
        <f aca="false">IF($A20="","",4*1*$D20)</f>
        <v/>
      </c>
      <c r="AM20" s="1" t="str">
        <f aca="false">IF($A20="","",8*1*$D20)</f>
        <v/>
      </c>
      <c r="AN20" s="1" t="str">
        <f aca="false">IF($A20="","",$BC$1*$D20)</f>
        <v/>
      </c>
      <c r="AO20" s="1" t="str">
        <f aca="false">IF($A20="","",$BC$2*$D20)</f>
        <v/>
      </c>
      <c r="AP20" s="1" t="str">
        <f aca="false">IF($A20="","",$BC$3*$D20)</f>
        <v/>
      </c>
      <c r="AQ20" s="1" t="str">
        <f aca="false">IF($A20="","",1*$D20)</f>
        <v/>
      </c>
      <c r="AR20" s="1" t="str">
        <f aca="false">IF($A20="","",1*$D20)</f>
        <v/>
      </c>
      <c r="AS20" s="1" t="str">
        <f aca="false">IF($A20="","",0*$D20)</f>
        <v/>
      </c>
      <c r="AT20" s="1" t="str">
        <f aca="false">IF($A20="","",0*$D20)</f>
        <v/>
      </c>
      <c r="AU20" s="1" t="str">
        <f aca="false">IF($A20="","",6*$D20)</f>
        <v/>
      </c>
      <c r="AV20" s="1" t="str">
        <f aca="false">IF($A20="","",ROUND((2*($C20+$B20))*$D20/1000,1))</f>
        <v/>
      </c>
      <c r="AW20" s="1" t="str">
        <f aca="false">IF($A20="","",ROUND(($C20+2*$B20)*$D20/1000,1))</f>
        <v/>
      </c>
      <c r="AX20" s="1" t="str">
        <f aca="false">IF($A20="","",1*$D20)</f>
        <v/>
      </c>
      <c r="AY20" s="0" t="str">
        <f aca="false">IF($A20="","",$BC$4*$D20)</f>
        <v/>
      </c>
    </row>
    <row r="21" customFormat="false" ht="39.75" hidden="false" customHeight="true" outlineLevel="0" collapsed="false">
      <c r="A21" s="88"/>
      <c r="B21" s="89"/>
      <c r="C21" s="90"/>
      <c r="D21" s="91"/>
      <c r="E21" s="56" t="str">
        <f aca="false">IF($A21="","",$B21)</f>
        <v/>
      </c>
      <c r="F21" s="54" t="str">
        <f aca="false">IF($A21="","",$L$54*$D21)</f>
        <v/>
      </c>
      <c r="G21" s="56" t="str">
        <f aca="false">IF($A21="","",$C21-$E$55-$F$55)</f>
        <v/>
      </c>
      <c r="H21" s="54" t="str">
        <f aca="false">IF($A21="","",$L$55*$D21)</f>
        <v/>
      </c>
      <c r="I21" s="56" t="str">
        <f aca="false">IF($A21="","",$B21-$E$56-$F$56)</f>
        <v/>
      </c>
      <c r="J21" s="54" t="str">
        <f aca="false">IF($A21="","",$L$56*$D21)</f>
        <v/>
      </c>
      <c r="K21" s="56" t="str">
        <f aca="false">IF($A21="","",(($C21-$E$57-$F$57)))</f>
        <v/>
      </c>
      <c r="L21" s="54" t="str">
        <f aca="false">IF($A21="","",$L$57*$D21)</f>
        <v/>
      </c>
      <c r="M21" s="56" t="str">
        <f aca="false">IF($A21="","",$I21-$E$58-$F$58)</f>
        <v/>
      </c>
      <c r="N21" s="54" t="str">
        <f aca="false">IF($A21="","",$L$58*$D21)</f>
        <v/>
      </c>
      <c r="O21" s="56" t="str">
        <f aca="false">IF($A21="","",$K21-$E$59-$F$59)</f>
        <v/>
      </c>
      <c r="P21" s="54" t="str">
        <f aca="false">IF($A21="","",$L$59*$D21)</f>
        <v/>
      </c>
      <c r="Q21" s="56" t="str">
        <f aca="false">IF($A21="","",$K21)</f>
        <v/>
      </c>
      <c r="R21" s="54" t="str">
        <f aca="false">IF($A21="","",$L$60*$D21)</f>
        <v/>
      </c>
      <c r="S21" s="56"/>
      <c r="T21" s="54"/>
      <c r="U21" s="56"/>
      <c r="V21" s="54"/>
      <c r="W21" s="56"/>
      <c r="X21" s="54"/>
      <c r="Y21" s="56"/>
      <c r="Z21" s="54"/>
      <c r="AA21" s="56"/>
      <c r="AB21" s="54"/>
      <c r="AC21" s="57" t="str">
        <f aca="false">IF($A21="","",$I21-87-87)</f>
        <v/>
      </c>
      <c r="AD21" s="58" t="str">
        <f aca="false">IF($A21="","",$K21-87-87)</f>
        <v/>
      </c>
      <c r="AE21" s="59" t="str">
        <f aca="false">IF($A21="","",1*$D21)</f>
        <v/>
      </c>
      <c r="AK21" s="1" t="str">
        <f aca="false">IF($A21="","",(IF(OR($B21&gt;3000,$C21&gt;1200),5,4))*$D21)</f>
        <v/>
      </c>
      <c r="AL21" s="1" t="str">
        <f aca="false">IF($A21="","",4*1*$D21)</f>
        <v/>
      </c>
      <c r="AM21" s="1" t="str">
        <f aca="false">IF($A21="","",8*1*$D21)</f>
        <v/>
      </c>
      <c r="AN21" s="1" t="str">
        <f aca="false">IF($A21="","",$BC$1*$D21)</f>
        <v/>
      </c>
      <c r="AO21" s="1" t="str">
        <f aca="false">IF($A21="","",$BC$2*$D21)</f>
        <v/>
      </c>
      <c r="AP21" s="1" t="str">
        <f aca="false">IF($A21="","",$BC$3*$D21)</f>
        <v/>
      </c>
      <c r="AQ21" s="1" t="str">
        <f aca="false">IF($A21="","",1*$D21)</f>
        <v/>
      </c>
      <c r="AR21" s="1" t="str">
        <f aca="false">IF($A21="","",1*$D21)</f>
        <v/>
      </c>
      <c r="AS21" s="1" t="str">
        <f aca="false">IF($A21="","",0*$D21)</f>
        <v/>
      </c>
      <c r="AT21" s="1" t="str">
        <f aca="false">IF($A21="","",0*$D21)</f>
        <v/>
      </c>
      <c r="AU21" s="1" t="str">
        <f aca="false">IF($A21="","",6*$D21)</f>
        <v/>
      </c>
      <c r="AV21" s="1" t="str">
        <f aca="false">IF($A21="","",ROUND((2*($C21+$B21))*$D21/1000,1))</f>
        <v/>
      </c>
      <c r="AW21" s="1" t="str">
        <f aca="false">IF($A21="","",ROUND(($C21+2*$B21)*$D21/1000,1))</f>
        <v/>
      </c>
      <c r="AX21" s="1" t="str">
        <f aca="false">IF($A21="","",1*$D21)</f>
        <v/>
      </c>
      <c r="AY21" s="0" t="str">
        <f aca="false">IF($A21="","",$BC$4*$D21)</f>
        <v/>
      </c>
    </row>
    <row r="22" customFormat="false" ht="39.75" hidden="false" customHeight="true" outlineLevel="0" collapsed="false">
      <c r="A22" s="88"/>
      <c r="B22" s="89"/>
      <c r="C22" s="90"/>
      <c r="D22" s="91"/>
      <c r="E22" s="60" t="str">
        <f aca="false">IF($A22="","",$B22)</f>
        <v/>
      </c>
      <c r="F22" s="61" t="str">
        <f aca="false">IF($A22="","",$L$54*$D22)</f>
        <v/>
      </c>
      <c r="G22" s="60" t="str">
        <f aca="false">IF($A22="","",$C22-$E$55-$F$55)</f>
        <v/>
      </c>
      <c r="H22" s="61" t="str">
        <f aca="false">IF($A22="","",$L$55*$D22)</f>
        <v/>
      </c>
      <c r="I22" s="60" t="str">
        <f aca="false">IF($A22="","",$B22-$E$56-$F$56)</f>
        <v/>
      </c>
      <c r="J22" s="61" t="str">
        <f aca="false">IF($A22="","",$L$56*$D22)</f>
        <v/>
      </c>
      <c r="K22" s="60" t="str">
        <f aca="false">IF($A22="","",(($C22-$E$57-$F$57)))</f>
        <v/>
      </c>
      <c r="L22" s="61" t="str">
        <f aca="false">IF($A22="","",$L$57*$D22)</f>
        <v/>
      </c>
      <c r="M22" s="60" t="str">
        <f aca="false">IF($A22="","",$I22-$E$58-$F$58)</f>
        <v/>
      </c>
      <c r="N22" s="61" t="str">
        <f aca="false">IF($A22="","",$L$58*$D22)</f>
        <v/>
      </c>
      <c r="O22" s="60" t="str">
        <f aca="false">IF($A22="","",$K22-$E$59-$F$59)</f>
        <v/>
      </c>
      <c r="P22" s="61" t="str">
        <f aca="false">IF($A22="","",$L$59*$D22)</f>
        <v/>
      </c>
      <c r="Q22" s="60" t="str">
        <f aca="false">IF($A22="","",$K22)</f>
        <v/>
      </c>
      <c r="R22" s="61" t="str">
        <f aca="false">IF($A22="","",$L$60*$D22)</f>
        <v/>
      </c>
      <c r="S22" s="60"/>
      <c r="T22" s="61"/>
      <c r="U22" s="60"/>
      <c r="V22" s="61"/>
      <c r="W22" s="60"/>
      <c r="X22" s="61"/>
      <c r="Y22" s="60"/>
      <c r="Z22" s="61"/>
      <c r="AA22" s="60"/>
      <c r="AB22" s="61"/>
      <c r="AC22" s="57" t="str">
        <f aca="false">IF($A22="","",$I22-87-87)</f>
        <v/>
      </c>
      <c r="AD22" s="58" t="str">
        <f aca="false">IF($A22="","",$K22-87-87)</f>
        <v/>
      </c>
      <c r="AE22" s="59" t="str">
        <f aca="false">IF($A22="","",1*$D22)</f>
        <v/>
      </c>
      <c r="AK22" s="1" t="str">
        <f aca="false">IF($A22="","",(IF(OR($B22&gt;3000,$C22&gt;1200),5,4))*$D22)</f>
        <v/>
      </c>
      <c r="AL22" s="1" t="str">
        <f aca="false">IF($A22="","",4*1*$D22)</f>
        <v/>
      </c>
      <c r="AM22" s="1" t="str">
        <f aca="false">IF($A22="","",8*1*$D22)</f>
        <v/>
      </c>
      <c r="AN22" s="1" t="str">
        <f aca="false">IF($A22="","",$BC$1*$D22)</f>
        <v/>
      </c>
      <c r="AO22" s="1" t="str">
        <f aca="false">IF($A22="","",$BC$2*$D22)</f>
        <v/>
      </c>
      <c r="AP22" s="1" t="str">
        <f aca="false">IF($A22="","",$BC$3*$D22)</f>
        <v/>
      </c>
      <c r="AQ22" s="1" t="str">
        <f aca="false">IF($A22="","",1*$D22)</f>
        <v/>
      </c>
      <c r="AR22" s="1" t="str">
        <f aca="false">IF($A22="","",1*$D22)</f>
        <v/>
      </c>
      <c r="AS22" s="1" t="str">
        <f aca="false">IF($A22="","",0*$D22)</f>
        <v/>
      </c>
      <c r="AT22" s="1" t="str">
        <f aca="false">IF($A22="","",0*$D22)</f>
        <v/>
      </c>
      <c r="AU22" s="1" t="str">
        <f aca="false">IF($A22="","",6*$D22)</f>
        <v/>
      </c>
      <c r="AV22" s="1" t="str">
        <f aca="false">IF($A22="","",ROUND((2*($C22+$B22))*$D22/1000,1))</f>
        <v/>
      </c>
      <c r="AW22" s="1" t="str">
        <f aca="false">IF($A22="","",ROUND(($C22+2*$B22)*$D22/1000,1))</f>
        <v/>
      </c>
      <c r="AX22" s="1" t="str">
        <f aca="false">IF($A22="","",1*$D22)</f>
        <v/>
      </c>
      <c r="AY22" s="0" t="str">
        <f aca="false">IF($A22="","",$BC$4*$D22)</f>
        <v/>
      </c>
    </row>
    <row r="23" customFormat="false" ht="39.75" hidden="false" customHeight="true" outlineLevel="0" collapsed="false">
      <c r="A23" s="88"/>
      <c r="B23" s="89"/>
      <c r="C23" s="90"/>
      <c r="D23" s="91"/>
      <c r="E23" s="56" t="str">
        <f aca="false">IF($A23="","",$B23)</f>
        <v/>
      </c>
      <c r="F23" s="54" t="str">
        <f aca="false">IF($A23="","",$L$54*$D23)</f>
        <v/>
      </c>
      <c r="G23" s="56" t="str">
        <f aca="false">IF($A23="","",$C23-$E$55-$F$55)</f>
        <v/>
      </c>
      <c r="H23" s="54" t="str">
        <f aca="false">IF($A23="","",$L$55*$D23)</f>
        <v/>
      </c>
      <c r="I23" s="56" t="str">
        <f aca="false">IF($A23="","",$B23-$E$56-$F$56)</f>
        <v/>
      </c>
      <c r="J23" s="54" t="str">
        <f aca="false">IF($A23="","",$L$56*$D23)</f>
        <v/>
      </c>
      <c r="K23" s="56" t="str">
        <f aca="false">IF($A23="","",(($C23-$E$57-$F$57)))</f>
        <v/>
      </c>
      <c r="L23" s="54" t="str">
        <f aca="false">IF($A23="","",$L$57*$D23)</f>
        <v/>
      </c>
      <c r="M23" s="56" t="str">
        <f aca="false">IF($A23="","",$I23-$E$58-$F$58)</f>
        <v/>
      </c>
      <c r="N23" s="54" t="str">
        <f aca="false">IF($A23="","",$L$58*$D23)</f>
        <v/>
      </c>
      <c r="O23" s="56" t="str">
        <f aca="false">IF($A23="","",$K23-$E$59-$F$59)</f>
        <v/>
      </c>
      <c r="P23" s="54" t="str">
        <f aca="false">IF($A23="","",$L$59*$D23)</f>
        <v/>
      </c>
      <c r="Q23" s="56" t="str">
        <f aca="false">IF($A23="","",$K23)</f>
        <v/>
      </c>
      <c r="R23" s="54" t="str">
        <f aca="false">IF($A23="","",$L$60*$D23)</f>
        <v/>
      </c>
      <c r="S23" s="56"/>
      <c r="T23" s="54"/>
      <c r="U23" s="56"/>
      <c r="V23" s="54"/>
      <c r="W23" s="56"/>
      <c r="X23" s="54"/>
      <c r="Y23" s="56"/>
      <c r="Z23" s="54"/>
      <c r="AA23" s="56"/>
      <c r="AB23" s="54"/>
      <c r="AC23" s="57" t="str">
        <f aca="false">IF($A23="","",$I23-87-87)</f>
        <v/>
      </c>
      <c r="AD23" s="58" t="str">
        <f aca="false">IF($A23="","",$K23-87-87)</f>
        <v/>
      </c>
      <c r="AE23" s="59" t="str">
        <f aca="false">IF($A23="","",1*$D23)</f>
        <v/>
      </c>
      <c r="AK23" s="1" t="str">
        <f aca="false">IF($A23="","",(IF(OR($B23&gt;3000,$C23&gt;1200),5,4))*$D23)</f>
        <v/>
      </c>
      <c r="AL23" s="1" t="str">
        <f aca="false">IF($A23="","",4*1*$D23)</f>
        <v/>
      </c>
      <c r="AM23" s="1" t="str">
        <f aca="false">IF($A23="","",8*1*$D23)</f>
        <v/>
      </c>
      <c r="AN23" s="1" t="str">
        <f aca="false">IF($A23="","",$BC$1*$D23)</f>
        <v/>
      </c>
      <c r="AO23" s="1" t="str">
        <f aca="false">IF($A23="","",$BC$2*$D23)</f>
        <v/>
      </c>
      <c r="AP23" s="1" t="str">
        <f aca="false">IF($A23="","",$BC$3*$D23)</f>
        <v/>
      </c>
      <c r="AQ23" s="1" t="str">
        <f aca="false">IF($A23="","",1*$D23)</f>
        <v/>
      </c>
      <c r="AR23" s="1" t="str">
        <f aca="false">IF($A23="","",1*$D23)</f>
        <v/>
      </c>
      <c r="AS23" s="1" t="str">
        <f aca="false">IF($A23="","",0*$D23)</f>
        <v/>
      </c>
      <c r="AT23" s="1" t="str">
        <f aca="false">IF($A23="","",0*$D23)</f>
        <v/>
      </c>
      <c r="AU23" s="1" t="str">
        <f aca="false">IF($A23="","",6*$D23)</f>
        <v/>
      </c>
      <c r="AV23" s="1" t="str">
        <f aca="false">IF($A23="","",ROUND((2*($C23+$B23))*$D23/1000,1))</f>
        <v/>
      </c>
      <c r="AW23" s="1" t="str">
        <f aca="false">IF($A23="","",ROUND(($C23+2*$B23)*$D23/1000,1))</f>
        <v/>
      </c>
      <c r="AX23" s="1" t="str">
        <f aca="false">IF($A23="","",1*$D23)</f>
        <v/>
      </c>
      <c r="AY23" s="0" t="str">
        <f aca="false">IF($A23="","",$BC$4*$D23)</f>
        <v/>
      </c>
    </row>
    <row r="24" customFormat="false" ht="39.75" hidden="false" customHeight="true" outlineLevel="0" collapsed="false">
      <c r="A24" s="88"/>
      <c r="B24" s="89"/>
      <c r="C24" s="90"/>
      <c r="D24" s="91"/>
      <c r="E24" s="60" t="str">
        <f aca="false">IF($A24="","",$B24)</f>
        <v/>
      </c>
      <c r="F24" s="61" t="str">
        <f aca="false">IF($A24="","",$L$54*$D24)</f>
        <v/>
      </c>
      <c r="G24" s="60" t="str">
        <f aca="false">IF($A24="","",$C24-$E$55-$F$55)</f>
        <v/>
      </c>
      <c r="H24" s="61" t="str">
        <f aca="false">IF($A24="","",$L$55*$D24)</f>
        <v/>
      </c>
      <c r="I24" s="60" t="str">
        <f aca="false">IF($A24="","",$B24-$E$56-$F$56)</f>
        <v/>
      </c>
      <c r="J24" s="61" t="str">
        <f aca="false">IF($A24="","",$L$56*$D24)</f>
        <v/>
      </c>
      <c r="K24" s="60" t="str">
        <f aca="false">IF($A24="","",(($C24-$E$57-$F$57)))</f>
        <v/>
      </c>
      <c r="L24" s="61" t="str">
        <f aca="false">IF($A24="","",$L$57*$D24)</f>
        <v/>
      </c>
      <c r="M24" s="60" t="str">
        <f aca="false">IF($A24="","",$I24-$E$58-$F$58)</f>
        <v/>
      </c>
      <c r="N24" s="61" t="str">
        <f aca="false">IF($A24="","",$L$58*$D24)</f>
        <v/>
      </c>
      <c r="O24" s="60" t="str">
        <f aca="false">IF($A24="","",$K24-$E$59-$F$59)</f>
        <v/>
      </c>
      <c r="P24" s="61" t="str">
        <f aca="false">IF($A24="","",$L$59*$D24)</f>
        <v/>
      </c>
      <c r="Q24" s="60" t="str">
        <f aca="false">IF($A24="","",$K24)</f>
        <v/>
      </c>
      <c r="R24" s="61" t="str">
        <f aca="false">IF($A24="","",$L$60*$D24)</f>
        <v/>
      </c>
      <c r="S24" s="60"/>
      <c r="T24" s="61"/>
      <c r="U24" s="60"/>
      <c r="V24" s="61"/>
      <c r="W24" s="60"/>
      <c r="X24" s="61"/>
      <c r="Y24" s="60"/>
      <c r="Z24" s="61"/>
      <c r="AA24" s="60"/>
      <c r="AB24" s="61"/>
      <c r="AC24" s="57" t="str">
        <f aca="false">IF($A24="","",$I24-87-87)</f>
        <v/>
      </c>
      <c r="AD24" s="58" t="str">
        <f aca="false">IF($A24="","",$K24-87-87)</f>
        <v/>
      </c>
      <c r="AE24" s="59" t="str">
        <f aca="false">IF($A24="","",1*$D24)</f>
        <v/>
      </c>
      <c r="AK24" s="1" t="str">
        <f aca="false">IF($A24="","",(IF(OR($B24&gt;3000,$C24&gt;1200),5,4))*$D24)</f>
        <v/>
      </c>
      <c r="AL24" s="1" t="str">
        <f aca="false">IF($A24="","",4*1*$D24)</f>
        <v/>
      </c>
      <c r="AM24" s="1" t="str">
        <f aca="false">IF($A24="","",8*1*$D24)</f>
        <v/>
      </c>
      <c r="AN24" s="1" t="str">
        <f aca="false">IF($A24="","",$BC$1*$D24)</f>
        <v/>
      </c>
      <c r="AO24" s="1" t="str">
        <f aca="false">IF($A24="","",$BC$2*$D24)</f>
        <v/>
      </c>
      <c r="AP24" s="1" t="str">
        <f aca="false">IF($A24="","",$BC$3*$D24)</f>
        <v/>
      </c>
      <c r="AQ24" s="1" t="str">
        <f aca="false">IF($A24="","",1*$D24)</f>
        <v/>
      </c>
      <c r="AR24" s="1" t="str">
        <f aca="false">IF($A24="","",1*$D24)</f>
        <v/>
      </c>
      <c r="AS24" s="1" t="str">
        <f aca="false">IF($A24="","",0*$D24)</f>
        <v/>
      </c>
      <c r="AT24" s="1" t="str">
        <f aca="false">IF($A24="","",0*$D24)</f>
        <v/>
      </c>
      <c r="AU24" s="1" t="str">
        <f aca="false">IF($A24="","",6*$D24)</f>
        <v/>
      </c>
      <c r="AV24" s="1" t="str">
        <f aca="false">IF($A24="","",ROUND((2*($C24+$B24))*$D24/1000,1))</f>
        <v/>
      </c>
      <c r="AW24" s="1" t="str">
        <f aca="false">IF($A24="","",ROUND(($C24+2*$B24)*$D24/1000,1))</f>
        <v/>
      </c>
      <c r="AX24" s="1" t="str">
        <f aca="false">IF($A24="","",1*$D24)</f>
        <v/>
      </c>
      <c r="AY24" s="0" t="str">
        <f aca="false">IF($A24="","",$BC$4*$D24)</f>
        <v/>
      </c>
    </row>
    <row r="25" customFormat="false" ht="39.75" hidden="false" customHeight="true" outlineLevel="0" collapsed="false">
      <c r="A25" s="88"/>
      <c r="B25" s="89"/>
      <c r="C25" s="90"/>
      <c r="D25" s="91"/>
      <c r="E25" s="56" t="str">
        <f aca="false">IF($A25="","",$B25)</f>
        <v/>
      </c>
      <c r="F25" s="54" t="str">
        <f aca="false">IF($A25="","",$L$54*$D25)</f>
        <v/>
      </c>
      <c r="G25" s="56" t="str">
        <f aca="false">IF($A25="","",$C25-$E$55-$F$55)</f>
        <v/>
      </c>
      <c r="H25" s="54" t="str">
        <f aca="false">IF($A25="","",$L$55*$D25)</f>
        <v/>
      </c>
      <c r="I25" s="56" t="str">
        <f aca="false">IF($A25="","",$B25-$E$56-$F$56)</f>
        <v/>
      </c>
      <c r="J25" s="54" t="str">
        <f aca="false">IF($A25="","",$L$56*$D25)</f>
        <v/>
      </c>
      <c r="K25" s="56" t="str">
        <f aca="false">IF($A25="","",(($C25-$E$57-$F$57)))</f>
        <v/>
      </c>
      <c r="L25" s="54" t="str">
        <f aca="false">IF($A25="","",$L$57*$D25)</f>
        <v/>
      </c>
      <c r="M25" s="56" t="str">
        <f aca="false">IF($A25="","",$I25-$E$58-$F$58)</f>
        <v/>
      </c>
      <c r="N25" s="54" t="str">
        <f aca="false">IF($A25="","",$L$58*$D25)</f>
        <v/>
      </c>
      <c r="O25" s="56" t="str">
        <f aca="false">IF($A25="","",$K25-$E$59-$F$59)</f>
        <v/>
      </c>
      <c r="P25" s="54" t="str">
        <f aca="false">IF($A25="","",$L$59*$D25)</f>
        <v/>
      </c>
      <c r="Q25" s="56" t="str">
        <f aca="false">IF($A25="","",$K25)</f>
        <v/>
      </c>
      <c r="R25" s="54" t="str">
        <f aca="false">IF($A25="","",$L$60*$D25)</f>
        <v/>
      </c>
      <c r="S25" s="56"/>
      <c r="T25" s="54"/>
      <c r="U25" s="56"/>
      <c r="V25" s="54"/>
      <c r="W25" s="56"/>
      <c r="X25" s="54"/>
      <c r="Y25" s="56"/>
      <c r="Z25" s="54"/>
      <c r="AA25" s="56"/>
      <c r="AB25" s="54"/>
      <c r="AC25" s="57" t="str">
        <f aca="false">IF($A25="","",$I25-87-87)</f>
        <v/>
      </c>
      <c r="AD25" s="58" t="str">
        <f aca="false">IF($A25="","",$K25-87-87)</f>
        <v/>
      </c>
      <c r="AE25" s="59" t="str">
        <f aca="false">IF($A25="","",1*$D25)</f>
        <v/>
      </c>
      <c r="AK25" s="1" t="str">
        <f aca="false">IF($A25="","",(IF(OR($B25&gt;3000,$C25&gt;1200),5,4))*$D25)</f>
        <v/>
      </c>
      <c r="AL25" s="1" t="str">
        <f aca="false">IF($A25="","",4*1*$D25)</f>
        <v/>
      </c>
      <c r="AM25" s="1" t="str">
        <f aca="false">IF($A25="","",8*1*$D25)</f>
        <v/>
      </c>
      <c r="AN25" s="1" t="str">
        <f aca="false">IF($A25="","",$BC$1*$D25)</f>
        <v/>
      </c>
      <c r="AO25" s="1" t="str">
        <f aca="false">IF($A25="","",$BC$2*$D25)</f>
        <v/>
      </c>
      <c r="AP25" s="1" t="str">
        <f aca="false">IF($A25="","",$BC$3*$D25)</f>
        <v/>
      </c>
      <c r="AQ25" s="1" t="str">
        <f aca="false">IF($A25="","",1*$D25)</f>
        <v/>
      </c>
      <c r="AR25" s="1" t="str">
        <f aca="false">IF($A25="","",1*$D25)</f>
        <v/>
      </c>
      <c r="AS25" s="1" t="str">
        <f aca="false">IF($A25="","",0*$D25)</f>
        <v/>
      </c>
      <c r="AT25" s="1" t="str">
        <f aca="false">IF($A25="","",0*$D25)</f>
        <v/>
      </c>
      <c r="AU25" s="1" t="str">
        <f aca="false">IF($A25="","",6*$D25)</f>
        <v/>
      </c>
      <c r="AV25" s="1" t="str">
        <f aca="false">IF($A25="","",ROUND((2*($C25+$B25))*$D25/1000,1))</f>
        <v/>
      </c>
      <c r="AW25" s="1" t="str">
        <f aca="false">IF($A25="","",ROUND(($C25+2*$B25)*$D25/1000,1))</f>
        <v/>
      </c>
      <c r="AX25" s="1" t="str">
        <f aca="false">IF($A25="","",1*$D25)</f>
        <v/>
      </c>
      <c r="AY25" s="0" t="str">
        <f aca="false">IF($A25="","",$BC$4*$D25)</f>
        <v/>
      </c>
    </row>
    <row r="26" customFormat="false" ht="39.75" hidden="false" customHeight="true" outlineLevel="0" collapsed="false">
      <c r="A26" s="88"/>
      <c r="B26" s="89"/>
      <c r="C26" s="90"/>
      <c r="D26" s="91"/>
      <c r="E26" s="60" t="str">
        <f aca="false">IF($A26="","",$B26)</f>
        <v/>
      </c>
      <c r="F26" s="61" t="str">
        <f aca="false">IF($A26="","",$L$54*$D26)</f>
        <v/>
      </c>
      <c r="G26" s="60" t="str">
        <f aca="false">IF($A26="","",$C26-$E$55-$F$55)</f>
        <v/>
      </c>
      <c r="H26" s="61" t="str">
        <f aca="false">IF($A26="","",$L$55*$D26)</f>
        <v/>
      </c>
      <c r="I26" s="60" t="str">
        <f aca="false">IF($A26="","",$B26-$E$56-$F$56)</f>
        <v/>
      </c>
      <c r="J26" s="61" t="str">
        <f aca="false">IF($A26="","",$L$56*$D26)</f>
        <v/>
      </c>
      <c r="K26" s="60" t="str">
        <f aca="false">IF($A26="","",(($C26-$E$57-$F$57)))</f>
        <v/>
      </c>
      <c r="L26" s="61" t="str">
        <f aca="false">IF($A26="","",$L$57*$D26)</f>
        <v/>
      </c>
      <c r="M26" s="60" t="str">
        <f aca="false">IF($A26="","",$I26-$E$58-$F$58)</f>
        <v/>
      </c>
      <c r="N26" s="61" t="str">
        <f aca="false">IF($A26="","",$L$58*$D26)</f>
        <v/>
      </c>
      <c r="O26" s="60" t="str">
        <f aca="false">IF($A26="","",$K26-$E$59-$F$59)</f>
        <v/>
      </c>
      <c r="P26" s="61" t="str">
        <f aca="false">IF($A26="","",$L$59*$D26)</f>
        <v/>
      </c>
      <c r="Q26" s="60" t="str">
        <f aca="false">IF($A26="","",$K26)</f>
        <v/>
      </c>
      <c r="R26" s="61" t="str">
        <f aca="false">IF($A26="","",$L$60*$D26)</f>
        <v/>
      </c>
      <c r="S26" s="60"/>
      <c r="T26" s="61"/>
      <c r="U26" s="60"/>
      <c r="V26" s="61"/>
      <c r="W26" s="60"/>
      <c r="X26" s="61"/>
      <c r="Y26" s="60"/>
      <c r="Z26" s="61"/>
      <c r="AA26" s="60"/>
      <c r="AB26" s="61"/>
      <c r="AC26" s="57" t="str">
        <f aca="false">IF($A26="","",$I26-87-87)</f>
        <v/>
      </c>
      <c r="AD26" s="58" t="str">
        <f aca="false">IF($A26="","",$K26-87-87)</f>
        <v/>
      </c>
      <c r="AE26" s="59" t="str">
        <f aca="false">IF($A26="","",1*$D26)</f>
        <v/>
      </c>
      <c r="AK26" s="1" t="str">
        <f aca="false">IF($A26="","",(IF(OR($B26&gt;3000,$C26&gt;1200),5,4))*$D26)</f>
        <v/>
      </c>
      <c r="AL26" s="1" t="str">
        <f aca="false">IF($A26="","",4*1*$D26)</f>
        <v/>
      </c>
      <c r="AM26" s="1" t="str">
        <f aca="false">IF($A26="","",8*1*$D26)</f>
        <v/>
      </c>
      <c r="AN26" s="1" t="str">
        <f aca="false">IF($A26="","",$BC$1*$D26)</f>
        <v/>
      </c>
      <c r="AO26" s="1" t="str">
        <f aca="false">IF($A26="","",$BC$2*$D26)</f>
        <v/>
      </c>
      <c r="AP26" s="1" t="str">
        <f aca="false">IF($A26="","",$BC$3*$D26)</f>
        <v/>
      </c>
      <c r="AQ26" s="1" t="str">
        <f aca="false">IF($A26="","",1*$D26)</f>
        <v/>
      </c>
      <c r="AR26" s="1" t="str">
        <f aca="false">IF($A26="","",1*$D26)</f>
        <v/>
      </c>
      <c r="AS26" s="1" t="str">
        <f aca="false">IF($A26="","",0*$D26)</f>
        <v/>
      </c>
      <c r="AT26" s="1" t="str">
        <f aca="false">IF($A26="","",0*$D26)</f>
        <v/>
      </c>
      <c r="AU26" s="1" t="str">
        <f aca="false">IF($A26="","",6*$D26)</f>
        <v/>
      </c>
      <c r="AV26" s="1" t="str">
        <f aca="false">IF($A26="","",ROUND((2*($C26+$B26))*$D26/1000,1))</f>
        <v/>
      </c>
      <c r="AW26" s="1" t="str">
        <f aca="false">IF($A26="","",ROUND(($C26+2*$B26)*$D26/1000,1))</f>
        <v/>
      </c>
      <c r="AX26" s="1" t="str">
        <f aca="false">IF($A26="","",1*$D26)</f>
        <v/>
      </c>
      <c r="AY26" s="0" t="str">
        <f aca="false">IF($A26="","",$BC$4*$D26)</f>
        <v/>
      </c>
    </row>
    <row r="27" customFormat="false" ht="39.75" hidden="false" customHeight="true" outlineLevel="0" collapsed="false">
      <c r="A27" s="88"/>
      <c r="B27" s="89"/>
      <c r="C27" s="90"/>
      <c r="D27" s="91"/>
      <c r="E27" s="56" t="str">
        <f aca="false">IF($A27="","",$B27)</f>
        <v/>
      </c>
      <c r="F27" s="54" t="str">
        <f aca="false">IF($A27="","",$L$54*$D27)</f>
        <v/>
      </c>
      <c r="G27" s="56" t="str">
        <f aca="false">IF($A27="","",$C27-$E$55-$F$55)</f>
        <v/>
      </c>
      <c r="H27" s="54" t="str">
        <f aca="false">IF($A27="","",$L$55*$D27)</f>
        <v/>
      </c>
      <c r="I27" s="56" t="str">
        <f aca="false">IF($A27="","",$B27-$E$56-$F$56)</f>
        <v/>
      </c>
      <c r="J27" s="54" t="str">
        <f aca="false">IF($A27="","",$L$56*$D27)</f>
        <v/>
      </c>
      <c r="K27" s="56" t="str">
        <f aca="false">IF($A27="","",(($C27-$E$57-$F$57)))</f>
        <v/>
      </c>
      <c r="L27" s="54" t="str">
        <f aca="false">IF($A27="","",$L$57*$D27)</f>
        <v/>
      </c>
      <c r="M27" s="56" t="str">
        <f aca="false">IF($A27="","",$I27-$E$58-$F$58)</f>
        <v/>
      </c>
      <c r="N27" s="54" t="str">
        <f aca="false">IF($A27="","",$L$58*$D27)</f>
        <v/>
      </c>
      <c r="O27" s="56" t="str">
        <f aca="false">IF($A27="","",$K27-$E$59-$F$59)</f>
        <v/>
      </c>
      <c r="P27" s="54" t="str">
        <f aca="false">IF($A27="","",$L$59*$D27)</f>
        <v/>
      </c>
      <c r="Q27" s="56" t="str">
        <f aca="false">IF($A27="","",$K27)</f>
        <v/>
      </c>
      <c r="R27" s="54" t="str">
        <f aca="false">IF($A27="","",$L$60*$D27)</f>
        <v/>
      </c>
      <c r="S27" s="56"/>
      <c r="T27" s="54"/>
      <c r="U27" s="56"/>
      <c r="V27" s="54"/>
      <c r="W27" s="56"/>
      <c r="X27" s="54"/>
      <c r="Y27" s="56"/>
      <c r="Z27" s="54"/>
      <c r="AA27" s="56"/>
      <c r="AB27" s="54"/>
      <c r="AC27" s="57" t="str">
        <f aca="false">IF($A27="","",$I27-87-87)</f>
        <v/>
      </c>
      <c r="AD27" s="58" t="str">
        <f aca="false">IF($A27="","",$K27-87-87)</f>
        <v/>
      </c>
      <c r="AE27" s="59" t="str">
        <f aca="false">IF($A27="","",1*$D27)</f>
        <v/>
      </c>
      <c r="AK27" s="1" t="str">
        <f aca="false">IF($A27="","",(IF(OR($B27&gt;3000,$C27&gt;1200),5,4))*$D27)</f>
        <v/>
      </c>
      <c r="AL27" s="1" t="str">
        <f aca="false">IF($A27="","",4*1*$D27)</f>
        <v/>
      </c>
      <c r="AM27" s="1" t="str">
        <f aca="false">IF($A27="","",8*1*$D27)</f>
        <v/>
      </c>
      <c r="AN27" s="1" t="str">
        <f aca="false">IF($A27="","",$BC$1*$D27)</f>
        <v/>
      </c>
      <c r="AO27" s="1" t="str">
        <f aca="false">IF($A27="","",$BC$2*$D27)</f>
        <v/>
      </c>
      <c r="AP27" s="1" t="str">
        <f aca="false">IF($A27="","",$BC$3*$D27)</f>
        <v/>
      </c>
      <c r="AQ27" s="1" t="str">
        <f aca="false">IF($A27="","",1*$D27)</f>
        <v/>
      </c>
      <c r="AR27" s="1" t="str">
        <f aca="false">IF($A27="","",1*$D27)</f>
        <v/>
      </c>
      <c r="AS27" s="1" t="str">
        <f aca="false">IF($A27="","",0*$D27)</f>
        <v/>
      </c>
      <c r="AT27" s="1" t="str">
        <f aca="false">IF($A27="","",0*$D27)</f>
        <v/>
      </c>
      <c r="AU27" s="1" t="str">
        <f aca="false">IF($A27="","",6*$D27)</f>
        <v/>
      </c>
      <c r="AV27" s="1" t="str">
        <f aca="false">IF($A27="","",ROUND((2*($C27+$B27))*$D27/1000,1))</f>
        <v/>
      </c>
      <c r="AW27" s="1" t="str">
        <f aca="false">IF($A27="","",ROUND(($C27+2*$B27)*$D27/1000,1))</f>
        <v/>
      </c>
      <c r="AX27" s="1" t="str">
        <f aca="false">IF($A27="","",1*$D27)</f>
        <v/>
      </c>
      <c r="AY27" s="0" t="str">
        <f aca="false">IF($A27="","",$BC$4*$D27)</f>
        <v/>
      </c>
    </row>
    <row r="28" customFormat="false" ht="39.75" hidden="false" customHeight="true" outlineLevel="0" collapsed="false">
      <c r="A28" s="88"/>
      <c r="B28" s="89"/>
      <c r="C28" s="90"/>
      <c r="D28" s="91"/>
      <c r="E28" s="60" t="str">
        <f aca="false">IF($A28="","",$B28)</f>
        <v/>
      </c>
      <c r="F28" s="61" t="str">
        <f aca="false">IF($A28="","",$L$54*$D28)</f>
        <v/>
      </c>
      <c r="G28" s="60" t="str">
        <f aca="false">IF($A28="","",$C28-$E$55-$F$55)</f>
        <v/>
      </c>
      <c r="H28" s="61" t="str">
        <f aca="false">IF($A28="","",$L$55*$D28)</f>
        <v/>
      </c>
      <c r="I28" s="60" t="str">
        <f aca="false">IF($A28="","",$B28-$E$56-$F$56)</f>
        <v/>
      </c>
      <c r="J28" s="61" t="str">
        <f aca="false">IF($A28="","",$L$56*$D28)</f>
        <v/>
      </c>
      <c r="K28" s="60" t="str">
        <f aca="false">IF($A28="","",(($C28-$E$57-$F$57)))</f>
        <v/>
      </c>
      <c r="L28" s="61" t="str">
        <f aca="false">IF($A28="","",$L$57*$D28)</f>
        <v/>
      </c>
      <c r="M28" s="60" t="str">
        <f aca="false">IF($A28="","",$I28-$E$58-$F$58)</f>
        <v/>
      </c>
      <c r="N28" s="61" t="str">
        <f aca="false">IF($A28="","",$L$58*$D28)</f>
        <v/>
      </c>
      <c r="O28" s="60" t="str">
        <f aca="false">IF($A28="","",$K28-$E$59-$F$59)</f>
        <v/>
      </c>
      <c r="P28" s="61" t="str">
        <f aca="false">IF($A28="","",$L$59*$D28)</f>
        <v/>
      </c>
      <c r="Q28" s="60" t="str">
        <f aca="false">IF($A28="","",$K28)</f>
        <v/>
      </c>
      <c r="R28" s="61" t="str">
        <f aca="false">IF($A28="","",$L$60*$D28)</f>
        <v/>
      </c>
      <c r="S28" s="60"/>
      <c r="T28" s="61"/>
      <c r="U28" s="60"/>
      <c r="V28" s="61"/>
      <c r="W28" s="60"/>
      <c r="X28" s="61"/>
      <c r="Y28" s="60"/>
      <c r="Z28" s="61"/>
      <c r="AA28" s="60"/>
      <c r="AB28" s="61"/>
      <c r="AC28" s="57" t="str">
        <f aca="false">IF($A28="","",$I28-87-87)</f>
        <v/>
      </c>
      <c r="AD28" s="58" t="str">
        <f aca="false">IF($A28="","",$K28-87-87)</f>
        <v/>
      </c>
      <c r="AE28" s="59" t="str">
        <f aca="false">IF($A28="","",1*$D28)</f>
        <v/>
      </c>
      <c r="AK28" s="1" t="str">
        <f aca="false">IF($A28="","",(IF(OR($B28&gt;3000,$C28&gt;1200),5,4))*$D28)</f>
        <v/>
      </c>
      <c r="AL28" s="1" t="str">
        <f aca="false">IF($A28="","",4*1*$D28)</f>
        <v/>
      </c>
      <c r="AM28" s="1" t="str">
        <f aca="false">IF($A28="","",8*1*$D28)</f>
        <v/>
      </c>
      <c r="AN28" s="1" t="str">
        <f aca="false">IF($A28="","",$BC$1*$D28)</f>
        <v/>
      </c>
      <c r="AO28" s="1" t="str">
        <f aca="false">IF($A28="","",$BC$2*$D28)</f>
        <v/>
      </c>
      <c r="AP28" s="1" t="str">
        <f aca="false">IF($A28="","",$BC$3*$D28)</f>
        <v/>
      </c>
      <c r="AQ28" s="1" t="str">
        <f aca="false">IF($A28="","",1*$D28)</f>
        <v/>
      </c>
      <c r="AR28" s="1" t="str">
        <f aca="false">IF($A28="","",1*$D28)</f>
        <v/>
      </c>
      <c r="AS28" s="1" t="str">
        <f aca="false">IF($A28="","",0*$D28)</f>
        <v/>
      </c>
      <c r="AT28" s="1" t="str">
        <f aca="false">IF($A28="","",0*$D28)</f>
        <v/>
      </c>
      <c r="AU28" s="1" t="str">
        <f aca="false">IF($A28="","",6*$D28)</f>
        <v/>
      </c>
      <c r="AV28" s="1" t="str">
        <f aca="false">IF($A28="","",ROUND((2*($C28+$B28))*$D28/1000,1))</f>
        <v/>
      </c>
      <c r="AW28" s="1" t="str">
        <f aca="false">IF($A28="","",ROUND(($C28+2*$B28)*$D28/1000,1))</f>
        <v/>
      </c>
      <c r="AX28" s="1" t="str">
        <f aca="false">IF($A28="","",1*$D28)</f>
        <v/>
      </c>
      <c r="AY28" s="0" t="str">
        <f aca="false">IF($A28="","",$BC$4*$D28)</f>
        <v/>
      </c>
    </row>
    <row r="29" customFormat="false" ht="39.75" hidden="false" customHeight="true" outlineLevel="0" collapsed="false"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65" t="str">
        <f aca="false">E$7</f>
        <v>F7859</v>
      </c>
      <c r="F30" s="65"/>
      <c r="G30" s="65"/>
      <c r="H30" s="66" t="n">
        <f aca="false">(ROUNDUP(SUM(F49:H49)/6400,0))</f>
        <v>1</v>
      </c>
      <c r="I30" s="65" t="str">
        <f aca="false">I$7</f>
        <v>F7864</v>
      </c>
      <c r="J30" s="65"/>
      <c r="K30" s="65"/>
      <c r="L30" s="66" t="n">
        <f aca="false">(ROUNDUP(SUM(J49:L49)/6400,0))</f>
        <v>1</v>
      </c>
      <c r="M30" s="65" t="str">
        <f aca="false">M$7</f>
        <v>F7935</v>
      </c>
      <c r="N30" s="65"/>
      <c r="O30" s="65"/>
      <c r="P30" s="66" t="n">
        <f aca="false">(ROUNDUP(SUM(N49:P49)/6400,0))</f>
        <v>1</v>
      </c>
      <c r="Q30" s="66" t="str">
        <f aca="false">Q$7</f>
        <v>F7863</v>
      </c>
      <c r="R30" s="66" t="n">
        <f aca="false">(ROUNDUP(R49/6400,0))</f>
        <v>1</v>
      </c>
      <c r="S30" s="65" t="n">
        <f aca="false">S$7</f>
        <v>0</v>
      </c>
      <c r="T30" s="65"/>
      <c r="U30" s="65"/>
      <c r="V30" s="66" t="n">
        <f aca="false">(ROUNDUP(SUM(T49:V49)/6400,0))</f>
        <v>0</v>
      </c>
      <c r="W30" s="66" t="n">
        <f aca="false">W$7</f>
        <v>0</v>
      </c>
      <c r="X30" s="66" t="n">
        <f aca="false">(ROUNDUP(X49/6400,0))</f>
        <v>0</v>
      </c>
      <c r="Y30" s="66" t="n">
        <f aca="false">Y$7</f>
        <v>0</v>
      </c>
      <c r="Z30" s="66" t="n">
        <f aca="false">(ROUNDUP(Z49/6400,0))</f>
        <v>0</v>
      </c>
      <c r="AA30" s="66" t="n">
        <f aca="false">AA$7</f>
        <v>0</v>
      </c>
      <c r="AB30" s="66" t="n">
        <f aca="false">(ROUNDUP(AB49/6400,0))</f>
        <v>0</v>
      </c>
      <c r="AJ30" s="40" t="s">
        <v>65</v>
      </c>
      <c r="AK30" s="40" t="n">
        <f aca="false">SUM(AK11:AK28)</f>
        <v>4</v>
      </c>
      <c r="AL30" s="40" t="n">
        <f aca="false">SUM(AL11:AL28)</f>
        <v>4</v>
      </c>
      <c r="AM30" s="40" t="n">
        <f aca="false">SUM(AM11:AM28)</f>
        <v>8</v>
      </c>
      <c r="AN30" s="40" t="n">
        <f aca="false">SUM(AN11:AN28)</f>
        <v>1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1</v>
      </c>
      <c r="AR30" s="40" t="n">
        <f aca="false">SUM(AR11:AR28)</f>
        <v>1</v>
      </c>
      <c r="AS30" s="40" t="n">
        <f aca="false">SUM(AS11:AS28)</f>
        <v>0</v>
      </c>
      <c r="AT30" s="40" t="n">
        <f aca="false">SUM(AT11:AT28)</f>
        <v>0</v>
      </c>
      <c r="AU30" s="40" t="n">
        <f aca="false">SUM(AU11:AU28)</f>
        <v>6</v>
      </c>
      <c r="AV30" s="40" t="n">
        <f aca="false">SUM(AV11:AV28)</f>
        <v>2</v>
      </c>
      <c r="AW30" s="40" t="n">
        <f aca="false">SUM(AW11:AW28)</f>
        <v>1.4</v>
      </c>
      <c r="AX30" s="40" t="n">
        <f aca="false">SUM(AX11:AX28)</f>
        <v>1</v>
      </c>
      <c r="AY30" s="41" t="n">
        <f aca="false">SUM(AY11:AY28)</f>
        <v>0</v>
      </c>
    </row>
    <row r="31" customFormat="false" ht="39.75" hidden="true" customHeight="true" outlineLevel="0" collapsed="false">
      <c r="F31" s="67" t="n">
        <f aca="false">IF($A11="","",F11*E11)</f>
        <v>800</v>
      </c>
      <c r="G31" s="67"/>
      <c r="H31" s="67" t="n">
        <f aca="false">IF($A11="","",H11*G11)</f>
        <v>550</v>
      </c>
      <c r="I31" s="67"/>
      <c r="J31" s="67" t="n">
        <f aca="false">IF($A11="","",J11*I11)</f>
        <v>749</v>
      </c>
      <c r="K31" s="67"/>
      <c r="L31" s="67" t="n">
        <f aca="false">IF($A11="","",L11*K11)</f>
        <v>1126</v>
      </c>
      <c r="M31" s="67"/>
      <c r="N31" s="67" t="n">
        <f aca="false">IF($A11="","",N11*M11)</f>
        <v>349</v>
      </c>
      <c r="O31" s="67"/>
      <c r="P31" s="67" t="n">
        <f aca="false">IF($A11="","",P11*O11)</f>
        <v>806</v>
      </c>
      <c r="Q31" s="67"/>
      <c r="R31" s="67" t="n">
        <f aca="false">IF($A11="","",R11*Q11)</f>
        <v>563</v>
      </c>
      <c r="S31" s="67"/>
      <c r="T31" s="67" t="n">
        <f aca="false">IF($A11="","",T11*S11)</f>
        <v>0</v>
      </c>
      <c r="U31" s="67"/>
      <c r="V31" s="67" t="n">
        <f aca="false">IF($A11="","",V11*U11)</f>
        <v>0</v>
      </c>
      <c r="W31" s="67"/>
      <c r="X31" s="67" t="n">
        <f aca="false">IF($A11="","",X11*W11)</f>
        <v>0</v>
      </c>
      <c r="Y31" s="67"/>
      <c r="Z31" s="67" t="n">
        <f aca="false">IF($A11="","",Z11*Y11)</f>
        <v>0</v>
      </c>
      <c r="AA31" s="67"/>
      <c r="AB31" s="67" t="n">
        <f aca="false">IF($A11="","",AB11*AA11)</f>
        <v>0</v>
      </c>
    </row>
    <row r="32" customFormat="false" ht="39.75" hidden="true" customHeight="true" outlineLevel="0" collapsed="false">
      <c r="F32" s="67" t="str">
        <f aca="false">IF($A12="","",F12*E12)</f>
        <v/>
      </c>
      <c r="G32" s="67"/>
      <c r="H32" s="67" t="str">
        <f aca="false">IF($A12="","",H12*G12)</f>
        <v/>
      </c>
      <c r="I32" s="67"/>
      <c r="J32" s="67" t="str">
        <f aca="false">IF($A12="","",J12*I12)</f>
        <v/>
      </c>
      <c r="K32" s="67"/>
      <c r="L32" s="67" t="str">
        <f aca="false">IF($A12="","",L12*K12)</f>
        <v/>
      </c>
      <c r="M32" s="67"/>
      <c r="N32" s="67" t="str">
        <f aca="false">IF($A12="","",N12*M12)</f>
        <v/>
      </c>
      <c r="O32" s="67"/>
      <c r="P32" s="67" t="str">
        <f aca="false">IF($A12="","",P12*O12)</f>
        <v/>
      </c>
      <c r="Q32" s="67"/>
      <c r="R32" s="67" t="str">
        <f aca="false">IF($A12="","",R12*Q12)</f>
        <v/>
      </c>
      <c r="S32" s="67"/>
      <c r="T32" s="67" t="str">
        <f aca="false">IF($A12="","",T12*S12)</f>
        <v/>
      </c>
      <c r="U32" s="67"/>
      <c r="V32" s="67" t="str">
        <f aca="false">IF($A12="","",V12*U12)</f>
        <v/>
      </c>
      <c r="W32" s="67"/>
      <c r="X32" s="67" t="str">
        <f aca="false">IF($A12="","",X12*W12)</f>
        <v/>
      </c>
      <c r="Y32" s="67"/>
      <c r="Z32" s="67" t="str">
        <f aca="false">IF($A12="","",Z12*Y12)</f>
        <v/>
      </c>
      <c r="AA32" s="67"/>
      <c r="AB32" s="67" t="str">
        <f aca="false">IF($A12="","",AB12*AA12)</f>
        <v/>
      </c>
    </row>
    <row r="33" customFormat="false" ht="39.75" hidden="true" customHeight="true" outlineLevel="0" collapsed="false">
      <c r="F33" s="67" t="str">
        <f aca="false">IF($A13="","",F13*E13)</f>
        <v/>
      </c>
      <c r="G33" s="67"/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</row>
    <row r="34" customFormat="false" ht="39.75" hidden="true" customHeight="true" outlineLevel="0" collapsed="false">
      <c r="F34" s="67" t="str">
        <f aca="false">IF($A14="","",F14*E14)</f>
        <v/>
      </c>
      <c r="G34" s="67"/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</row>
    <row r="35" customFormat="false" ht="39.75" hidden="true" customHeight="true" outlineLevel="0" collapsed="false">
      <c r="F35" s="67" t="str">
        <f aca="false">IF($A15="","",F15*E15)</f>
        <v/>
      </c>
      <c r="G35" s="67"/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</row>
    <row r="36" customFormat="false" ht="15" hidden="true" customHeight="true" outlineLevel="0" collapsed="false">
      <c r="F36" s="67" t="str">
        <f aca="false">IF($A16="","",F16*E16)</f>
        <v/>
      </c>
      <c r="G36" s="67"/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</row>
    <row r="37" customFormat="false" ht="15" hidden="true" customHeight="true" outlineLevel="0" collapsed="false">
      <c r="F37" s="67" t="str">
        <f aca="false">IF($A17="","",F17*E17)</f>
        <v/>
      </c>
      <c r="G37" s="67"/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</row>
    <row r="38" customFormat="false" ht="15" hidden="true" customHeight="true" outlineLevel="0" collapsed="false">
      <c r="F38" s="67" t="str">
        <f aca="false">IF($A18="","",F18*E18)</f>
        <v/>
      </c>
      <c r="G38" s="67"/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</row>
    <row r="39" customFormat="false" ht="15" hidden="true" customHeight="true" outlineLevel="0" collapsed="false">
      <c r="F39" s="67" t="str">
        <f aca="false">IF($A19="","",F19*E19)</f>
        <v/>
      </c>
      <c r="G39" s="67"/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</row>
    <row r="40" customFormat="false" ht="15" hidden="true" customHeight="true" outlineLevel="0" collapsed="false">
      <c r="F40" s="67" t="str">
        <f aca="false">IF($A20="","",F20*E20)</f>
        <v/>
      </c>
      <c r="G40" s="67"/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</row>
    <row r="41" customFormat="false" ht="15" hidden="true" customHeight="true" outlineLevel="0" collapsed="false">
      <c r="F41" s="67" t="str">
        <f aca="false">IF($A21="","",F21*E21)</f>
        <v/>
      </c>
      <c r="G41" s="67"/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</row>
    <row r="42" customFormat="false" ht="15" hidden="true" customHeight="true" outlineLevel="0" collapsed="false">
      <c r="F42" s="67" t="str">
        <f aca="false">IF($A22="","",F22*E22)</f>
        <v/>
      </c>
      <c r="G42" s="67"/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</row>
    <row r="43" customFormat="false" ht="15" hidden="true" customHeight="true" outlineLevel="0" collapsed="false">
      <c r="F43" s="67" t="str">
        <f aca="false">IF($A23="","",F23*E23)</f>
        <v/>
      </c>
      <c r="G43" s="67"/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</row>
    <row r="44" customFormat="false" ht="15" hidden="true" customHeight="true" outlineLevel="0" collapsed="false">
      <c r="F44" s="67" t="str">
        <f aca="false">IF($A24="","",F24*E24)</f>
        <v/>
      </c>
      <c r="G44" s="67"/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</row>
    <row r="45" customFormat="false" ht="15" hidden="true" customHeight="true" outlineLevel="0" collapsed="false">
      <c r="F45" s="67" t="str">
        <f aca="false">IF($A25="","",F25*E25)</f>
        <v/>
      </c>
      <c r="G45" s="67"/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</row>
    <row r="46" customFormat="false" ht="15" hidden="true" customHeight="true" outlineLevel="0" collapsed="false">
      <c r="F46" s="67" t="str">
        <f aca="false">IF($A26="","",F26*E26)</f>
        <v/>
      </c>
      <c r="G46" s="67"/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</row>
    <row r="47" customFormat="false" ht="15" hidden="true" customHeight="true" outlineLevel="0" collapsed="false">
      <c r="F47" s="67" t="str">
        <f aca="false">IF($A27="","",F27*E27)</f>
        <v/>
      </c>
      <c r="G47" s="67"/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</row>
    <row r="48" customFormat="false" ht="15" hidden="true" customHeight="true" outlineLevel="0" collapsed="false">
      <c r="F48" s="67" t="str">
        <f aca="false">IF($A28="","",F28*E28)</f>
        <v/>
      </c>
      <c r="G48" s="67"/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</row>
    <row r="49" customFormat="false" ht="15" hidden="true" customHeight="true" outlineLevel="0" collapsed="false">
      <c r="F49" s="68" t="n">
        <f aca="false">SUMIF(F31:F48,"&gt;0")</f>
        <v>800</v>
      </c>
      <c r="G49" s="68"/>
      <c r="H49" s="68" t="n">
        <f aca="false">SUMIF(H31:H48,"&gt;0")</f>
        <v>550</v>
      </c>
      <c r="I49" s="68"/>
      <c r="J49" s="68" t="n">
        <f aca="false">SUMIF(J31:J48,"&gt;0")</f>
        <v>749</v>
      </c>
      <c r="K49" s="68"/>
      <c r="L49" s="68" t="n">
        <f aca="false">SUMIF(L31:L48,"&gt;0")</f>
        <v>1126</v>
      </c>
      <c r="N49" s="68" t="n">
        <f aca="false">SUMIF(N31:N48,"&gt;0")</f>
        <v>349</v>
      </c>
      <c r="O49" s="68"/>
      <c r="P49" s="68" t="n">
        <f aca="false">SUMIF(P31:P48,"&gt;0")</f>
        <v>806</v>
      </c>
      <c r="Q49" s="68"/>
      <c r="R49" s="68" t="n">
        <f aca="false">SUMIF(R31:R48,"&gt;0")</f>
        <v>563</v>
      </c>
      <c r="S49" s="68"/>
      <c r="T49" s="68" t="n">
        <f aca="false">SUMIF(T31:T48,"&gt;0")</f>
        <v>0</v>
      </c>
      <c r="V49" s="68" t="n">
        <f aca="false">SUMIF(V31:V48,"&gt;0")</f>
        <v>0</v>
      </c>
      <c r="X49" s="68" t="n">
        <f aca="false">SUMIF(X31:X48,"&gt;0")</f>
        <v>0</v>
      </c>
      <c r="Y49" s="68"/>
      <c r="Z49" s="68" t="n">
        <f aca="false">SUMIF(Z31:Z48,"&gt;0")</f>
        <v>0</v>
      </c>
      <c r="AB49" s="68" t="n">
        <f aca="false">SUMIF(AB31:AB48,"&gt;0")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 t="n">
        <v>2</v>
      </c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 t="n">
        <v>1</v>
      </c>
    </row>
    <row r="56" customFormat="false" ht="15" hidden="false" customHeight="true" outlineLevel="0" collapsed="false">
      <c r="A56" s="72" t="n">
        <v>3</v>
      </c>
      <c r="B56" s="73" t="s">
        <v>34</v>
      </c>
      <c r="C56" s="74" t="str">
        <f aca="false">IF($D$4="8 cm · 7943B","7943B","7864")</f>
        <v>7864</v>
      </c>
      <c r="D56" s="75" t="s">
        <v>105</v>
      </c>
      <c r="E56" s="77" t="n">
        <v>18.5</v>
      </c>
      <c r="F56" s="77" t="n">
        <v>7</v>
      </c>
      <c r="G56" s="76"/>
      <c r="H56" s="76"/>
      <c r="I56" s="76"/>
      <c r="J56" s="76"/>
      <c r="K56" s="76"/>
      <c r="L56" s="77" t="n">
        <v>2</v>
      </c>
    </row>
    <row r="57" customFormat="false" ht="15" hidden="false" customHeight="true" outlineLevel="0" collapsed="false">
      <c r="A57" s="72" t="n">
        <v>4</v>
      </c>
      <c r="B57" s="73" t="s">
        <v>35</v>
      </c>
      <c r="C57" s="74" t="s">
        <v>79</v>
      </c>
      <c r="D57" s="75" t="s">
        <v>9</v>
      </c>
      <c r="E57" s="77" t="n">
        <v>18.5</v>
      </c>
      <c r="F57" s="77" t="n">
        <v>18.5</v>
      </c>
      <c r="G57" s="76"/>
      <c r="H57" s="76"/>
      <c r="I57" s="76"/>
      <c r="J57" s="76"/>
      <c r="K57" s="76"/>
      <c r="L57" s="77" t="n">
        <v>2</v>
      </c>
    </row>
    <row r="58" customFormat="false" ht="15" hidden="false" customHeight="true" outlineLevel="0" collapsed="false">
      <c r="A58" s="72" t="n">
        <v>5</v>
      </c>
      <c r="B58" s="73" t="s">
        <v>36</v>
      </c>
      <c r="C58" s="74" t="s">
        <v>17</v>
      </c>
      <c r="D58" s="75" t="s">
        <v>10</v>
      </c>
      <c r="E58" s="77" t="n">
        <f aca="false">IF($D$4="8 cm · 7943B",80,100)</f>
        <v>100</v>
      </c>
      <c r="F58" s="77" t="n">
        <f aca="false">IF($D$4="8 cm · 7943B",80,100)</f>
        <v>100</v>
      </c>
      <c r="G58" s="76"/>
      <c r="H58" s="76"/>
      <c r="I58" s="76"/>
      <c r="J58" s="76"/>
      <c r="K58" s="76"/>
      <c r="L58" s="77" t="n">
        <v>2</v>
      </c>
    </row>
    <row r="59" customFormat="false" ht="15" hidden="false" customHeight="true" outlineLevel="0" collapsed="false">
      <c r="A59" s="72" t="n">
        <v>6</v>
      </c>
      <c r="B59" s="73" t="s">
        <v>37</v>
      </c>
      <c r="C59" s="74" t="s">
        <v>79</v>
      </c>
      <c r="D59" s="75" t="s">
        <v>11</v>
      </c>
      <c r="E59" s="77" t="n">
        <f aca="false">IF($D$4="8 cm · 7943B",60,80)</f>
        <v>80</v>
      </c>
      <c r="F59" s="77" t="n">
        <f aca="false">IF($D$4="8 cm · 7943B",60,80)</f>
        <v>80</v>
      </c>
      <c r="G59" s="76"/>
      <c r="H59" s="76"/>
      <c r="I59" s="76"/>
      <c r="J59" s="76"/>
      <c r="K59" s="76"/>
      <c r="L59" s="77" t="n">
        <v>2</v>
      </c>
    </row>
    <row r="60" customFormat="false" ht="15" hidden="false" customHeight="true" outlineLevel="0" collapsed="false">
      <c r="A60" s="72" t="n">
        <v>7</v>
      </c>
      <c r="B60" s="73" t="s">
        <v>108</v>
      </c>
      <c r="C60" s="74" t="s">
        <v>107</v>
      </c>
      <c r="D60" s="75" t="s">
        <v>106</v>
      </c>
      <c r="E60" s="76"/>
      <c r="F60" s="76"/>
      <c r="G60" s="76"/>
      <c r="H60" s="76"/>
      <c r="I60" s="76"/>
      <c r="J60" s="76"/>
      <c r="K60" s="76"/>
      <c r="L60" s="77" t="n">
        <v>1</v>
      </c>
    </row>
    <row r="62" customFormat="false" ht="15" hidden="false" customHeight="true" outlineLevel="0" collapsed="false">
      <c r="A62" s="78" t="s">
        <v>80</v>
      </c>
      <c r="F62" s="79"/>
    </row>
    <row r="63" customFormat="false" ht="15" hidden="false" customHeight="true" outlineLevel="0" collapsed="false">
      <c r="A63" s="80" t="s">
        <v>81</v>
      </c>
      <c r="B63" s="81" t="s">
        <v>82</v>
      </c>
      <c r="F63" s="82"/>
    </row>
    <row r="64" customFormat="false" ht="15" hidden="false" customHeight="true" outlineLevel="0" collapsed="false">
      <c r="A64" s="80" t="s">
        <v>83</v>
      </c>
      <c r="B64" s="81" t="s">
        <v>84</v>
      </c>
      <c r="F64" s="82"/>
    </row>
    <row r="65" customFormat="false" ht="15" hidden="false" customHeight="true" outlineLevel="0" collapsed="false">
      <c r="A65" s="80" t="s">
        <v>85</v>
      </c>
      <c r="B65" s="81" t="s">
        <v>86</v>
      </c>
      <c r="F65" s="82"/>
    </row>
    <row r="66" customFormat="false" ht="15" hidden="false" customHeight="true" outlineLevel="0" collapsed="false">
      <c r="A66" s="80" t="s">
        <v>87</v>
      </c>
      <c r="B66" s="81" t="s">
        <v>88</v>
      </c>
      <c r="F66" s="82"/>
    </row>
    <row r="67" customFormat="false" ht="15" hidden="false" customHeight="true" outlineLevel="0" collapsed="false">
      <c r="A67" s="83"/>
    </row>
    <row r="68" customFormat="false" ht="15" hidden="false" customHeight="true" outlineLevel="0" collapsed="false">
      <c r="A68" s="84" t="s">
        <v>89</v>
      </c>
    </row>
    <row r="69" customFormat="false" ht="15" hidden="false" customHeight="true" outlineLevel="0" collapsed="false">
      <c r="A69" s="84" t="s">
        <v>67</v>
      </c>
      <c r="B69" s="84" t="s">
        <v>90</v>
      </c>
      <c r="C69" s="84" t="s">
        <v>91</v>
      </c>
      <c r="D69" s="84" t="s">
        <v>60</v>
      </c>
      <c r="E69" s="84" t="s">
        <v>92</v>
      </c>
      <c r="F69" s="84" t="s">
        <v>93</v>
      </c>
    </row>
    <row r="70" customFormat="false" ht="15" hidden="false" customHeight="true" outlineLevel="0" collapsed="false">
      <c r="A70" s="85" t="n">
        <v>1</v>
      </c>
      <c r="B70" s="85" t="s">
        <v>41</v>
      </c>
      <c r="C70" s="81" t="str">
        <f aca="false">AK8</f>
        <v>JR00489</v>
      </c>
      <c r="D70" s="86" t="n">
        <f aca="false">AK30</f>
        <v>4</v>
      </c>
      <c r="E70" s="85" t="s">
        <v>94</v>
      </c>
      <c r="F70" s="85"/>
    </row>
    <row r="71" customFormat="false" ht="15" hidden="false" customHeight="true" outlineLevel="0" collapsed="false">
      <c r="A71" s="85" t="n">
        <v>2</v>
      </c>
      <c r="B71" s="85" t="s">
        <v>42</v>
      </c>
      <c r="C71" s="81" t="str">
        <f aca="false">AL8</f>
        <v>JR00482</v>
      </c>
      <c r="D71" s="86" t="n">
        <f aca="false">AL30</f>
        <v>4</v>
      </c>
      <c r="E71" s="85" t="s">
        <v>94</v>
      </c>
      <c r="F71" s="85"/>
    </row>
    <row r="72" customFormat="false" ht="15" hidden="false" customHeight="true" outlineLevel="0" collapsed="false">
      <c r="A72" s="85" t="n">
        <v>3</v>
      </c>
      <c r="B72" s="85" t="s">
        <v>43</v>
      </c>
      <c r="C72" s="81" t="str">
        <f aca="false">AM8</f>
        <v>JR00557</v>
      </c>
      <c r="D72" s="86" t="n">
        <f aca="false">AM30</f>
        <v>8</v>
      </c>
      <c r="E72" s="85" t="s">
        <v>94</v>
      </c>
      <c r="F72" s="85"/>
    </row>
    <row r="73" customFormat="false" ht="15" hidden="false" customHeight="true" outlineLevel="0" collapsed="false">
      <c r="A73" s="85" t="n">
        <v>4</v>
      </c>
      <c r="B73" s="85" t="s">
        <v>44</v>
      </c>
      <c r="C73" s="81" t="str">
        <f aca="false">AN8</f>
        <v>JR00315</v>
      </c>
      <c r="D73" s="86" t="n">
        <f aca="false">AN30</f>
        <v>1</v>
      </c>
      <c r="E73" s="85" t="s">
        <v>22</v>
      </c>
      <c r="F73" s="85"/>
    </row>
    <row r="74" customFormat="false" ht="15" hidden="false" customHeight="true" outlineLevel="0" collapsed="false">
      <c r="A74" s="85" t="n">
        <v>5</v>
      </c>
      <c r="B74" s="85" t="s">
        <v>45</v>
      </c>
      <c r="C74" s="81" t="str">
        <f aca="false">AO8</f>
        <v>JR00313</v>
      </c>
      <c r="D74" s="86" t="n">
        <f aca="false">AO30</f>
        <v>0</v>
      </c>
      <c r="E74" s="85" t="s">
        <v>22</v>
      </c>
      <c r="F74" s="85"/>
    </row>
    <row r="75" customFormat="false" ht="15" hidden="false" customHeight="true" outlineLevel="0" collapsed="false">
      <c r="A75" s="85" t="n">
        <v>6</v>
      </c>
      <c r="B75" s="85" t="s">
        <v>95</v>
      </c>
      <c r="C75" s="81"/>
      <c r="D75" s="86" t="n">
        <f aca="false">AP30</f>
        <v>0</v>
      </c>
      <c r="E75" s="85" t="s">
        <v>22</v>
      </c>
      <c r="F75" s="85" t="s">
        <v>96</v>
      </c>
    </row>
    <row r="76" customFormat="false" ht="15" hidden="false" customHeight="true" outlineLevel="0" collapsed="false">
      <c r="A76" s="85" t="n">
        <v>7</v>
      </c>
      <c r="B76" s="85" t="s">
        <v>97</v>
      </c>
      <c r="C76" s="81"/>
      <c r="D76" s="86" t="n">
        <f aca="false">AY30</f>
        <v>0</v>
      </c>
      <c r="E76" s="85" t="s">
        <v>22</v>
      </c>
      <c r="F76" s="85" t="s">
        <v>96</v>
      </c>
    </row>
    <row r="77" customFormat="false" ht="15" hidden="false" customHeight="true" outlineLevel="0" collapsed="false">
      <c r="A77" s="85" t="n">
        <v>8</v>
      </c>
      <c r="B77" s="85" t="s">
        <v>47</v>
      </c>
      <c r="C77" s="81" t="str">
        <f aca="false">AQ8</f>
        <v>JR00551</v>
      </c>
      <c r="D77" s="86" t="n">
        <f aca="false">IF(OR($B$66="Digital lock",$B$66="ไม่ใส่"),0,AQ30)</f>
        <v>1</v>
      </c>
      <c r="E77" s="85" t="s">
        <v>94</v>
      </c>
      <c r="F77" s="85"/>
    </row>
    <row r="78" customFormat="false" ht="15" hidden="false" customHeight="true" outlineLevel="0" collapsed="false">
      <c r="A78" s="85" t="n">
        <v>9</v>
      </c>
      <c r="B78" s="85" t="s">
        <v>48</v>
      </c>
      <c r="C78" s="81" t="str">
        <f aca="false">AR8</f>
        <v>JR00499</v>
      </c>
      <c r="D78" s="86" t="n">
        <f aca="false">IF(OR($B$66="Digital lock",$B$66="ไม่ใส่"),0,AR30)</f>
        <v>1</v>
      </c>
      <c r="E78" s="85" t="s">
        <v>94</v>
      </c>
      <c r="F78" s="85" t="s">
        <v>98</v>
      </c>
    </row>
    <row r="79" customFormat="false" ht="15" hidden="false" customHeight="true" outlineLevel="0" collapsed="false">
      <c r="A79" s="85" t="n">
        <v>10</v>
      </c>
      <c r="B79" s="85" t="s">
        <v>54</v>
      </c>
      <c r="C79" s="81" t="str">
        <f aca="false">AX8</f>
        <v>JR00562</v>
      </c>
      <c r="D79" s="86" t="n">
        <f aca="false">IF(OR($B$66="Digital lock",$B$66="ไม่ใส่"),0,AX30)</f>
        <v>1</v>
      </c>
      <c r="E79" s="85" t="s">
        <v>22</v>
      </c>
      <c r="F79" s="85"/>
    </row>
    <row r="80" customFormat="false" ht="15" hidden="false" customHeight="true" outlineLevel="0" collapsed="false">
      <c r="A80" s="85" t="n">
        <v>11</v>
      </c>
      <c r="B80" s="85" t="s">
        <v>99</v>
      </c>
      <c r="C80" s="81" t="str">
        <f aca="false">AS8</f>
        <v>JR00596</v>
      </c>
      <c r="D80" s="86" t="n">
        <f aca="false">AS30</f>
        <v>0</v>
      </c>
      <c r="E80" s="85" t="s">
        <v>94</v>
      </c>
      <c r="F80" s="85"/>
    </row>
    <row r="81" customFormat="false" ht="15" hidden="false" customHeight="true" outlineLevel="0" collapsed="false">
      <c r="A81" s="85" t="n">
        <v>12</v>
      </c>
      <c r="B81" s="85" t="s">
        <v>50</v>
      </c>
      <c r="C81" s="81" t="str">
        <f aca="false">AT8</f>
        <v>JR00598</v>
      </c>
      <c r="D81" s="86" t="n">
        <f aca="false">AT30</f>
        <v>0</v>
      </c>
      <c r="E81" s="85" t="s">
        <v>94</v>
      </c>
      <c r="F81" s="85"/>
    </row>
    <row r="82" customFormat="false" ht="15" hidden="false" customHeight="true" outlineLevel="0" collapsed="false">
      <c r="A82" s="85" t="n">
        <v>13</v>
      </c>
      <c r="B82" s="85" t="s">
        <v>100</v>
      </c>
      <c r="C82" s="81" t="str">
        <f aca="false">AU8</f>
        <v>JR00864</v>
      </c>
      <c r="D82" s="86" t="n">
        <f aca="false">AU30</f>
        <v>6</v>
      </c>
      <c r="E82" s="85" t="s">
        <v>94</v>
      </c>
      <c r="F82" s="85"/>
    </row>
    <row r="83" customFormat="false" ht="15" hidden="false" customHeight="true" outlineLevel="0" collapsed="false">
      <c r="A83" s="85" t="n">
        <v>14</v>
      </c>
      <c r="B83" s="85" t="s">
        <v>52</v>
      </c>
      <c r="C83" s="81" t="str">
        <f aca="false">AV8</f>
        <v>JR00771</v>
      </c>
      <c r="D83" s="86" t="n">
        <f aca="false">AV30</f>
        <v>2</v>
      </c>
      <c r="E83" s="85" t="s">
        <v>101</v>
      </c>
      <c r="F83" s="85"/>
    </row>
    <row r="84" customFormat="false" ht="15" hidden="false" customHeight="true" outlineLevel="0" collapsed="false">
      <c r="A84" s="85" t="n">
        <v>15</v>
      </c>
      <c r="B84" s="85" t="s">
        <v>53</v>
      </c>
      <c r="C84" s="81" t="str">
        <f aca="false">AW8</f>
        <v>JR00771</v>
      </c>
      <c r="D84" s="86" t="n">
        <f aca="false">AW30</f>
        <v>1.4</v>
      </c>
      <c r="E84" s="85" t="s">
        <v>101</v>
      </c>
      <c r="F84" s="85"/>
    </row>
    <row r="85" customFormat="false" ht="15" hidden="false" customHeight="false" outlineLevel="0" collapsed="false">
      <c r="A85" s="85" t="n">
        <v>16</v>
      </c>
      <c r="B85" s="85" t="s">
        <v>102</v>
      </c>
      <c r="C85" s="81"/>
      <c r="D85" s="86" t="n">
        <f aca="false">IF($B$66="Digital lock",1,0)</f>
        <v>0</v>
      </c>
      <c r="E85" s="85" t="s">
        <v>22</v>
      </c>
      <c r="F85" s="85" t="s">
        <v>103</v>
      </c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L7"/>
    <mergeCell ref="M7:P7"/>
    <mergeCell ref="Q7:R7"/>
    <mergeCell ref="S7:V7"/>
    <mergeCell ref="W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I30:K30"/>
    <mergeCell ref="M30:O30"/>
    <mergeCell ref="S30:U30"/>
  </mergeCells>
  <dataValidations count="5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3" type="list">
      <formula1>"ขาว,ดำ"</formula1>
      <formula2>0</formula2>
    </dataValidation>
    <dataValidation allowBlank="true" errorStyle="stop" operator="between" showDropDown="false" showErrorMessage="false" showInputMessage="false" sqref="B64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5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66" type="list">
      <formula1>"คิงโบ ล็อค+กุญแจ,คิงโบ ดัมมี่+ดัมมี่,Cmech ล็อค+กุญแจ,Cmech ดัมมี่+ดัมมี่,ไม่ใส่,Digital lock"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7" min="6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5" min="34" style="1" width="12.7"/>
    <col collapsed="false" customWidth="true" hidden="false" outlineLevel="0" max="37" min="37" style="1" width="8.9"/>
    <col collapsed="false" customWidth="true" hidden="true" outlineLevel="0" max="56" min="53" style="1" width="13"/>
  </cols>
  <sheetData>
    <row r="1" customFormat="false" ht="39.75" hidden="false" customHeight="true" outlineLevel="0" collapsed="false">
      <c r="A1" s="3" t="s">
        <v>110</v>
      </c>
      <c r="B1" s="4"/>
      <c r="F1" s="5"/>
      <c r="G1" s="6"/>
      <c r="H1" s="5"/>
      <c r="I1" s="7"/>
      <c r="J1" s="7"/>
      <c r="K1" s="8"/>
      <c r="L1" s="8"/>
      <c r="M1" s="5"/>
      <c r="N1" s="5"/>
      <c r="O1" s="7"/>
      <c r="P1" s="7"/>
      <c r="Q1" s="8"/>
      <c r="R1" s="8"/>
      <c r="S1" s="8"/>
      <c r="T1" s="8"/>
      <c r="U1" s="5"/>
      <c r="V1" s="9"/>
      <c r="W1" s="8"/>
      <c r="X1" s="8"/>
      <c r="Y1" s="5"/>
      <c r="Z1" s="5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BC1" s="40" t="n">
        <f aca="false">COUNTIF($B$70:$B$71,"คิงโบ ล็อค+กุญแจ")</f>
        <v>2</v>
      </c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10"/>
      <c r="H2" s="7"/>
      <c r="I2" s="11"/>
      <c r="J2" s="11"/>
      <c r="K2" s="11"/>
      <c r="L2" s="11"/>
      <c r="M2" s="7"/>
      <c r="N2" s="7"/>
      <c r="O2" s="7"/>
      <c r="P2" s="7"/>
      <c r="Q2" s="11"/>
      <c r="R2" s="11"/>
      <c r="S2" s="11"/>
      <c r="T2" s="11"/>
      <c r="U2" s="7"/>
      <c r="V2" s="7"/>
      <c r="W2" s="11"/>
      <c r="X2" s="11"/>
      <c r="Y2" s="7"/>
      <c r="Z2" s="7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BC2" s="40" t="n">
        <f aca="false">COUNTIF($B$70:$B$71,"คิงโบ ดัมมี่+ดัมมี่")</f>
        <v>0</v>
      </c>
    </row>
    <row r="3" customFormat="false" ht="39.75" hidden="false" customHeight="true" outlineLevel="0" collapsed="false">
      <c r="A3" s="7"/>
      <c r="B3" s="92" t="s">
        <v>111</v>
      </c>
      <c r="C3" s="93"/>
      <c r="D3" s="93"/>
      <c r="E3" s="93"/>
      <c r="F3" s="7"/>
      <c r="G3" s="10"/>
      <c r="H3" s="7"/>
      <c r="K3" s="12"/>
      <c r="L3" s="12"/>
      <c r="M3" s="7"/>
      <c r="N3" s="7"/>
      <c r="O3" s="7"/>
      <c r="P3" s="7"/>
      <c r="Q3" s="12"/>
      <c r="R3" s="12"/>
      <c r="S3" s="12"/>
      <c r="T3" s="12"/>
      <c r="U3" s="7"/>
      <c r="V3" s="7"/>
      <c r="W3" s="12"/>
      <c r="X3" s="12"/>
      <c r="Y3" s="7"/>
      <c r="Z3" s="7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BC3" s="40" t="n">
        <f aca="false">COUNTIF($B$70:$B$71,"Cmech ล็อค+กุญแจ")</f>
        <v>0</v>
      </c>
    </row>
    <row r="4" customFormat="false" ht="39.75" hidden="false" customHeight="true" outlineLevel="0" collapsed="false">
      <c r="A4" s="13" t="s">
        <v>2</v>
      </c>
      <c r="B4" s="7"/>
      <c r="C4" s="7"/>
      <c r="D4" s="14" t="s">
        <v>3</v>
      </c>
      <c r="E4" s="7"/>
      <c r="F4" s="7"/>
      <c r="H4" s="7"/>
      <c r="M4" s="7"/>
      <c r="N4" s="7"/>
      <c r="O4" s="7"/>
      <c r="P4" s="7"/>
      <c r="U4" s="7"/>
      <c r="V4" s="7"/>
      <c r="Y4" s="7"/>
      <c r="Z4" s="7"/>
      <c r="BC4" s="1" t="n">
        <f aca="false">COUNTIF($B$70:$B$71,"Cmech ดัมมี่+ดัมมี่")</f>
        <v>0</v>
      </c>
    </row>
    <row r="5" customFormat="false" ht="39.75" hidden="false" customHeight="true" outlineLevel="0" collapsed="false">
      <c r="A5" s="15" t="s">
        <v>4</v>
      </c>
      <c r="B5" s="7"/>
      <c r="C5" s="7"/>
      <c r="D5" s="7"/>
      <c r="E5" s="7"/>
      <c r="F5" s="7"/>
      <c r="G5" s="10"/>
      <c r="H5" s="7"/>
      <c r="M5" s="7"/>
      <c r="N5" s="7"/>
      <c r="P5" s="7"/>
      <c r="U5" s="7"/>
      <c r="V5" s="7"/>
      <c r="Y5" s="7"/>
      <c r="Z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 t="s">
        <v>7</v>
      </c>
      <c r="L6" s="17"/>
      <c r="M6" s="17" t="s">
        <v>8</v>
      </c>
      <c r="N6" s="17"/>
      <c r="O6" s="17" t="s">
        <v>112</v>
      </c>
      <c r="P6" s="17"/>
      <c r="Q6" s="17" t="s">
        <v>113</v>
      </c>
      <c r="R6" s="17"/>
      <c r="S6" s="17" t="s">
        <v>10</v>
      </c>
      <c r="T6" s="17"/>
      <c r="U6" s="17" t="s">
        <v>114</v>
      </c>
      <c r="V6" s="17"/>
      <c r="W6" s="17" t="s">
        <v>115</v>
      </c>
      <c r="X6" s="17"/>
      <c r="Y6" s="17" t="s">
        <v>12</v>
      </c>
      <c r="Z6" s="17"/>
      <c r="AA6" s="17" t="s">
        <v>116</v>
      </c>
      <c r="AB6" s="17"/>
      <c r="AC6" s="17"/>
      <c r="AD6" s="17"/>
      <c r="AE6" s="18"/>
      <c r="AF6" s="18"/>
      <c r="AG6" s="18"/>
      <c r="AH6" s="18"/>
      <c r="AI6" s="18"/>
      <c r="AJ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14</v>
      </c>
      <c r="H7" s="20"/>
      <c r="I7" s="20"/>
      <c r="J7" s="20"/>
      <c r="K7" s="20" t="s">
        <v>15</v>
      </c>
      <c r="L7" s="20"/>
      <c r="M7" s="20" t="s">
        <v>16</v>
      </c>
      <c r="N7" s="20"/>
      <c r="O7" s="20"/>
      <c r="P7" s="20"/>
      <c r="Q7" s="20"/>
      <c r="R7" s="20"/>
      <c r="S7" s="20" t="s">
        <v>17</v>
      </c>
      <c r="T7" s="20"/>
      <c r="U7" s="20"/>
      <c r="V7" s="20"/>
      <c r="W7" s="20"/>
      <c r="X7" s="20"/>
      <c r="Y7" s="21" t="s">
        <v>18</v>
      </c>
      <c r="Z7" s="21"/>
      <c r="AA7" s="20" t="s">
        <v>117</v>
      </c>
      <c r="AB7" s="20"/>
      <c r="AC7" s="94"/>
      <c r="AD7" s="95"/>
      <c r="AE7" s="24"/>
      <c r="AF7" s="25" t="s">
        <v>19</v>
      </c>
      <c r="AG7" s="26"/>
      <c r="AH7" s="24"/>
      <c r="AI7" s="25" t="s">
        <v>19</v>
      </c>
      <c r="AJ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6"/>
      <c r="E8" s="96"/>
      <c r="F8" s="27" t="s">
        <v>118</v>
      </c>
      <c r="G8" s="29"/>
      <c r="H8" s="29"/>
      <c r="I8" s="30"/>
      <c r="J8" s="30"/>
      <c r="K8" s="31"/>
      <c r="L8" s="31"/>
      <c r="M8" s="29"/>
      <c r="N8" s="29"/>
      <c r="O8" s="97"/>
      <c r="P8" s="97"/>
      <c r="Q8" s="30"/>
      <c r="R8" s="30"/>
      <c r="S8" s="29"/>
      <c r="T8" s="29"/>
      <c r="U8" s="97"/>
      <c r="V8" s="97"/>
      <c r="W8" s="30"/>
      <c r="X8" s="30"/>
      <c r="Y8" s="30"/>
      <c r="Z8" s="30"/>
      <c r="AA8" s="31"/>
      <c r="AB8" s="31"/>
      <c r="AC8" s="30"/>
      <c r="AD8" s="30"/>
      <c r="AE8" s="32"/>
      <c r="AF8" s="33" t="s">
        <v>119</v>
      </c>
      <c r="AG8" s="34"/>
      <c r="AH8" s="32"/>
      <c r="AI8" s="33" t="s">
        <v>120</v>
      </c>
      <c r="AJ8" s="34"/>
      <c r="AK8" s="1" t="str">
        <f aca="false">IF($B$67="ดำ","JR00488","JR00489")</f>
        <v>JR00489</v>
      </c>
      <c r="AL8" s="1" t="s">
        <v>24</v>
      </c>
      <c r="AM8" s="1" t="s">
        <v>25</v>
      </c>
      <c r="AN8" s="1" t="str">
        <f aca="false">IF($B$67="ดำ","JR00314","JR00315")</f>
        <v>JR00315</v>
      </c>
      <c r="AO8" s="1" t="str">
        <f aca="false">IF($B$67="ดำ","JR00312","JR00313")</f>
        <v>JR00313</v>
      </c>
      <c r="AQ8" s="1" t="str">
        <f aca="false">IF($B$68="มัลติพ้อยล็อค","JR00553","JR00551")</f>
        <v>JR00551</v>
      </c>
      <c r="AR8" s="1" t="str">
        <f aca="false">IF($B$69="เปิดเข้า","JR00498","JR00499")</f>
        <v>JR00499</v>
      </c>
      <c r="AS8" s="1" t="s">
        <v>26</v>
      </c>
      <c r="AT8" s="1" t="s">
        <v>27</v>
      </c>
      <c r="AU8" s="1" t="s">
        <v>28</v>
      </c>
      <c r="AV8" s="1" t="s">
        <v>29</v>
      </c>
      <c r="AW8" s="1" t="s">
        <v>29</v>
      </c>
      <c r="AX8" s="1" t="s">
        <v>30</v>
      </c>
    </row>
    <row r="9" customFormat="false" ht="39.75" hidden="false" customHeight="true" outlineLevel="0" collapsed="false">
      <c r="A9" s="27"/>
      <c r="B9" s="28"/>
      <c r="C9" s="28"/>
      <c r="D9" s="98"/>
      <c r="E9" s="98"/>
      <c r="F9" s="27"/>
      <c r="G9" s="35" t="s">
        <v>31</v>
      </c>
      <c r="H9" s="35"/>
      <c r="I9" s="35" t="s">
        <v>32</v>
      </c>
      <c r="J9" s="35"/>
      <c r="K9" s="35" t="s">
        <v>33</v>
      </c>
      <c r="L9" s="35"/>
      <c r="M9" s="35" t="s">
        <v>34</v>
      </c>
      <c r="N9" s="35"/>
      <c r="O9" s="35" t="s">
        <v>121</v>
      </c>
      <c r="P9" s="35"/>
      <c r="Q9" s="35" t="s">
        <v>122</v>
      </c>
      <c r="R9" s="35"/>
      <c r="S9" s="35" t="s">
        <v>36</v>
      </c>
      <c r="T9" s="35"/>
      <c r="U9" s="35" t="s">
        <v>123</v>
      </c>
      <c r="V9" s="35"/>
      <c r="W9" s="35" t="s">
        <v>124</v>
      </c>
      <c r="X9" s="35"/>
      <c r="Y9" s="35" t="s">
        <v>38</v>
      </c>
      <c r="Z9" s="35"/>
      <c r="AA9" s="35" t="s">
        <v>125</v>
      </c>
      <c r="AB9" s="35"/>
      <c r="AC9" s="35"/>
      <c r="AD9" s="35"/>
      <c r="AE9" s="37" t="s">
        <v>39</v>
      </c>
      <c r="AF9" s="38" t="s">
        <v>126</v>
      </c>
      <c r="AG9" s="39"/>
      <c r="AH9" s="37" t="s">
        <v>39</v>
      </c>
      <c r="AI9" s="38" t="s">
        <v>127</v>
      </c>
      <c r="AJ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1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  <c r="AY9" s="41" t="s">
        <v>55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99" t="s">
        <v>57</v>
      </c>
      <c r="D10" s="45" t="s">
        <v>119</v>
      </c>
      <c r="E10" s="45" t="s">
        <v>120</v>
      </c>
      <c r="F10" s="45" t="s">
        <v>58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8" t="s">
        <v>60</v>
      </c>
      <c r="U10" s="46" t="s">
        <v>59</v>
      </c>
      <c r="V10" s="48" t="s">
        <v>60</v>
      </c>
      <c r="W10" s="46" t="s">
        <v>59</v>
      </c>
      <c r="X10" s="48" t="s">
        <v>60</v>
      </c>
      <c r="Y10" s="46" t="s">
        <v>59</v>
      </c>
      <c r="Z10" s="47" t="s">
        <v>60</v>
      </c>
      <c r="AA10" s="46" t="s">
        <v>59</v>
      </c>
      <c r="AB10" s="47" t="s">
        <v>60</v>
      </c>
      <c r="AC10" s="46" t="s">
        <v>59</v>
      </c>
      <c r="AD10" s="48" t="s">
        <v>60</v>
      </c>
      <c r="AE10" s="49" t="s">
        <v>61</v>
      </c>
      <c r="AF10" s="50" t="s">
        <v>62</v>
      </c>
      <c r="AG10" s="51" t="s">
        <v>60</v>
      </c>
      <c r="AH10" s="49" t="s">
        <v>61</v>
      </c>
      <c r="AI10" s="50" t="s">
        <v>62</v>
      </c>
      <c r="AJ10" s="51" t="s">
        <v>60</v>
      </c>
      <c r="AK10" s="40" t="s">
        <v>60</v>
      </c>
      <c r="AL10" s="40" t="s">
        <v>60</v>
      </c>
      <c r="AM10" s="40" t="s">
        <v>60</v>
      </c>
      <c r="AN10" s="40" t="s">
        <v>60</v>
      </c>
      <c r="AO10" s="40" t="s">
        <v>60</v>
      </c>
      <c r="AP10" s="40" t="s">
        <v>60</v>
      </c>
      <c r="AQ10" s="40" t="s">
        <v>60</v>
      </c>
      <c r="AR10" s="40" t="s">
        <v>60</v>
      </c>
      <c r="AS10" s="40" t="s">
        <v>60</v>
      </c>
      <c r="AT10" s="40" t="s">
        <v>60</v>
      </c>
      <c r="AU10" s="40" t="s">
        <v>60</v>
      </c>
      <c r="AV10" s="40" t="s">
        <v>60</v>
      </c>
      <c r="AW10" s="40" t="s">
        <v>60</v>
      </c>
      <c r="AX10" s="40" t="s">
        <v>60</v>
      </c>
    </row>
    <row r="11" customFormat="false" ht="39.75" hidden="false" customHeight="true" outlineLevel="0" collapsed="false">
      <c r="A11" s="52" t="s">
        <v>63</v>
      </c>
      <c r="B11" s="53" t="n">
        <v>2790</v>
      </c>
      <c r="C11" s="100" t="n">
        <f aca="false">IF($A11="","",$D11+$E11)</f>
        <v>1200</v>
      </c>
      <c r="D11" s="55" t="n">
        <v>800</v>
      </c>
      <c r="E11" s="55" t="n">
        <v>400</v>
      </c>
      <c r="F11" s="55" t="n">
        <v>1</v>
      </c>
      <c r="G11" s="56" t="n">
        <f aca="false">IF($A11="","",$B11)</f>
        <v>2790</v>
      </c>
      <c r="H11" s="54" t="n">
        <f aca="false">IF($A11="","",2*$F11)</f>
        <v>2</v>
      </c>
      <c r="I11" s="56" t="n">
        <f aca="false">IF($A11="","",$C11-$E$55-$F$55)</f>
        <v>1150</v>
      </c>
      <c r="J11" s="54" t="n">
        <f aca="false">IF($A11="","",1*$F11)</f>
        <v>1</v>
      </c>
      <c r="K11" s="56" t="n">
        <f aca="false">IF($A11="","",$I11)</f>
        <v>1150</v>
      </c>
      <c r="L11" s="54" t="n">
        <f aca="false">IF($A11="","",1*$F11)</f>
        <v>1</v>
      </c>
      <c r="M11" s="56" t="n">
        <f aca="false">IF($A11="","",$B11-$E$57-$F$57)</f>
        <v>2753</v>
      </c>
      <c r="N11" s="54" t="n">
        <f aca="false">IF($A11="","",4*$F11)</f>
        <v>4</v>
      </c>
      <c r="O11" s="56" t="n">
        <f aca="false">IF($A11="","",(($D11-$E$58-$F$58)))</f>
        <v>780.5</v>
      </c>
      <c r="P11" s="54" t="n">
        <f aca="false">IF($A11="","",2*$F11)</f>
        <v>2</v>
      </c>
      <c r="Q11" s="56" t="n">
        <f aca="false">IF($A11="","",(($E11-$E$59-$F$59)))</f>
        <v>380.5</v>
      </c>
      <c r="R11" s="54" t="n">
        <f aca="false">IF($A11="","",2*$F11)</f>
        <v>2</v>
      </c>
      <c r="S11" s="56" t="n">
        <f aca="false">IF($A11="","",$M11-$E$60-$F$60)</f>
        <v>2553</v>
      </c>
      <c r="T11" s="54" t="n">
        <f aca="false">IF($A11="","",4*$F11)</f>
        <v>4</v>
      </c>
      <c r="U11" s="56" t="n">
        <f aca="false">IF($A11="","",$O11-$E$61-$F$61)</f>
        <v>620.5</v>
      </c>
      <c r="V11" s="54" t="n">
        <f aca="false">IF($A11="","",2*$F11)</f>
        <v>2</v>
      </c>
      <c r="W11" s="56" t="n">
        <f aca="false">IF($A11="","",$Q11-$E$62-$F$62)</f>
        <v>220.5</v>
      </c>
      <c r="X11" s="54" t="n">
        <f aca="false">IF($A11="","",2*$F11)</f>
        <v>2</v>
      </c>
      <c r="Y11" s="56" t="n">
        <f aca="false">IF($A11="","",$I11)</f>
        <v>1150</v>
      </c>
      <c r="Z11" s="54" t="n">
        <f aca="false">IF($A11="","",1*$F11)</f>
        <v>1</v>
      </c>
      <c r="AA11" s="56" t="n">
        <f aca="false">IF($A11="","",$B11-$E$64-$F$64)</f>
        <v>2736</v>
      </c>
      <c r="AB11" s="54" t="n">
        <f aca="false">IF($A11="","",1*$F11)</f>
        <v>1</v>
      </c>
      <c r="AC11" s="56"/>
      <c r="AD11" s="54"/>
      <c r="AE11" s="57" t="n">
        <f aca="false">IF($A11="","",$M11-87-87)</f>
        <v>2579</v>
      </c>
      <c r="AF11" s="101" t="n">
        <f aca="false">IF($A11="","",$O11-87-87)</f>
        <v>606.5</v>
      </c>
      <c r="AG11" s="59" t="n">
        <f aca="false">IF($A11="","",1*$F11)</f>
        <v>1</v>
      </c>
      <c r="AH11" s="57" t="n">
        <f aca="false">IF($A11="","",$M11-87-87)</f>
        <v>2579</v>
      </c>
      <c r="AI11" s="101" t="n">
        <f aca="false">IF($A11="","",$Q11-87-87)</f>
        <v>206.5</v>
      </c>
      <c r="AJ11" s="59" t="n">
        <f aca="false">IF($A11="","",1*$F11)</f>
        <v>1</v>
      </c>
      <c r="AK11" s="40" t="n">
        <f aca="false">IF($A11="","",(IF(OR($B11&gt;3000,$D11&gt;1200),5,4)+IF(OR($B11&gt;3000,$E11&gt;1200),5,4))*$F11)</f>
        <v>8</v>
      </c>
      <c r="AL11" s="40" t="n">
        <f aca="false">IF($A11="","",4*2*$F11)</f>
        <v>8</v>
      </c>
      <c r="AM11" s="40" t="n">
        <f aca="false">IF($A11="","",8*2*$F11)</f>
        <v>16</v>
      </c>
      <c r="AN11" s="40" t="n">
        <f aca="false">IF($A11="","",$BC$1*$F11)</f>
        <v>2</v>
      </c>
      <c r="AO11" s="40" t="n">
        <f aca="false">IF($A11="","",$BC$2*$F11)</f>
        <v>0</v>
      </c>
      <c r="AP11" s="40" t="n">
        <f aca="false">IF($A11="","",$BC$3*$F11)</f>
        <v>0</v>
      </c>
      <c r="AQ11" s="40" t="n">
        <f aca="false">IF($A11="","",1*$F11)</f>
        <v>1</v>
      </c>
      <c r="AR11" s="40" t="n">
        <f aca="false">IF($A11="","",1*$F11)</f>
        <v>1</v>
      </c>
      <c r="AS11" s="40" t="n">
        <f aca="false">IF($A11="","",1*$F11)</f>
        <v>1</v>
      </c>
      <c r="AT11" s="40" t="n">
        <f aca="false">IF($A11="","",1*$F11)</f>
        <v>1</v>
      </c>
      <c r="AU11" s="40" t="n">
        <f aca="false">IF($A11="","",8*$F11)</f>
        <v>8</v>
      </c>
      <c r="AV11" s="40" t="n">
        <f aca="false">IF($A11="","",ROUND((2*($D11+$B11)+2*($E11+$B11))*$F11/1000,1))</f>
        <v>13.6</v>
      </c>
      <c r="AW11" s="40" t="n">
        <f aca="false">IF($A11="","",ROUND((2*($C11+$B11))*$F11/1000,1))</f>
        <v>8</v>
      </c>
      <c r="AX11" s="40" t="n">
        <f aca="false">IF($A11="","",1*$F11)</f>
        <v>1</v>
      </c>
      <c r="AY11" s="41" t="n">
        <f aca="false">IF($A11="","",$BC$4*$F11)</f>
        <v>0</v>
      </c>
    </row>
    <row r="12" customFormat="false" ht="39.75" hidden="false" customHeight="true" outlineLevel="0" collapsed="false">
      <c r="A12" s="52"/>
      <c r="B12" s="53"/>
      <c r="C12" s="100" t="str">
        <f aca="false">IF($A12="","",$D12+$E12)</f>
        <v/>
      </c>
      <c r="D12" s="55"/>
      <c r="E12" s="55"/>
      <c r="F12" s="55"/>
      <c r="G12" s="60" t="str">
        <f aca="false">IF($A12="","",$B12)</f>
        <v/>
      </c>
      <c r="H12" s="61" t="str">
        <f aca="false">IF($A12="","",2*$F12)</f>
        <v/>
      </c>
      <c r="I12" s="60" t="str">
        <f aca="false">IF($A12="","",$C12-$E$55-$F$55)</f>
        <v/>
      </c>
      <c r="J12" s="61" t="str">
        <f aca="false">IF($A12="","",1*$F12)</f>
        <v/>
      </c>
      <c r="K12" s="60" t="str">
        <f aca="false">IF($A12="","",$I12)</f>
        <v/>
      </c>
      <c r="L12" s="61" t="str">
        <f aca="false">IF($A12="","",1*$F12)</f>
        <v/>
      </c>
      <c r="M12" s="60" t="str">
        <f aca="false">IF($A12="","",$B12-$E$57-$F$57)</f>
        <v/>
      </c>
      <c r="N12" s="61" t="str">
        <f aca="false">IF($A12="","",4*$F12)</f>
        <v/>
      </c>
      <c r="O12" s="60" t="str">
        <f aca="false">IF($A12="","",(($D12-$E$58-$F$58)))</f>
        <v/>
      </c>
      <c r="P12" s="61" t="str">
        <f aca="false">IF($A12="","",2*$F12)</f>
        <v/>
      </c>
      <c r="Q12" s="60" t="str">
        <f aca="false">IF($A12="","",(($E12-$E$59-$F$59)))</f>
        <v/>
      </c>
      <c r="R12" s="61" t="str">
        <f aca="false">IF($A12="","",2*$F12)</f>
        <v/>
      </c>
      <c r="S12" s="60" t="str">
        <f aca="false">IF($A12="","",$M12-$E$60-$F$60)</f>
        <v/>
      </c>
      <c r="T12" s="61" t="str">
        <f aca="false">IF($A12="","",4*$F12)</f>
        <v/>
      </c>
      <c r="U12" s="60" t="str">
        <f aca="false">IF($A12="","",$O12-$E$61-$F$61)</f>
        <v/>
      </c>
      <c r="V12" s="61" t="str">
        <f aca="false">IF($A12="","",2*$F12)</f>
        <v/>
      </c>
      <c r="W12" s="60" t="str">
        <f aca="false">IF($A12="","",$Q12-$E$62-$F$62)</f>
        <v/>
      </c>
      <c r="X12" s="61" t="str">
        <f aca="false">IF($A12="","",2*$F12)</f>
        <v/>
      </c>
      <c r="Y12" s="60" t="str">
        <f aca="false">IF($A12="","",$I12)</f>
        <v/>
      </c>
      <c r="Z12" s="61" t="str">
        <f aca="false">IF($A12="","",1*$F12)</f>
        <v/>
      </c>
      <c r="AA12" s="60" t="str">
        <f aca="false">IF($A12="","",$B12-$E$64-$F$64)</f>
        <v/>
      </c>
      <c r="AB12" s="61" t="str">
        <f aca="false">IF($A12="","",1*$F12)</f>
        <v/>
      </c>
      <c r="AC12" s="60"/>
      <c r="AD12" s="61"/>
      <c r="AE12" s="57" t="str">
        <f aca="false">IF($A12="","",$M12-87-87)</f>
        <v/>
      </c>
      <c r="AF12" s="58" t="str">
        <f aca="false">IF($A12="","",$O12-87-87)</f>
        <v/>
      </c>
      <c r="AG12" s="59" t="str">
        <f aca="false">IF($A12="","",1*$F12)</f>
        <v/>
      </c>
      <c r="AH12" s="57" t="str">
        <f aca="false">IF($A12="","",$M12-87-87)</f>
        <v/>
      </c>
      <c r="AI12" s="58" t="str">
        <f aca="false">IF($A12="","",$Q12-87-87)</f>
        <v/>
      </c>
      <c r="AJ12" s="59" t="str">
        <f aca="false">IF($A12="","",1*$F12)</f>
        <v/>
      </c>
      <c r="AK12" s="1" t="str">
        <f aca="false">IF($A12="","",(IF(OR($B12&gt;3000,$D12&gt;1200),5,4)+IF(OR($B12&gt;3000,$E12&gt;1200),5,4))*$F12)</f>
        <v/>
      </c>
      <c r="AL12" s="1" t="str">
        <f aca="false">IF($A12="","",4*2*$F12)</f>
        <v/>
      </c>
      <c r="AM12" s="1" t="str">
        <f aca="false">IF($A12="","",8*2*$F12)</f>
        <v/>
      </c>
      <c r="AN12" s="1" t="str">
        <f aca="false">IF($A12="","",$BC$1*$F12)</f>
        <v/>
      </c>
      <c r="AO12" s="1" t="str">
        <f aca="false">IF($A12="","",$BC$2*$F12)</f>
        <v/>
      </c>
      <c r="AP12" s="1" t="str">
        <f aca="false">IF($A12="","",$BC$3*$F12)</f>
        <v/>
      </c>
      <c r="AQ12" s="1" t="str">
        <f aca="false">IF($A12="","",1*$F12)</f>
        <v/>
      </c>
      <c r="AR12" s="1" t="str">
        <f aca="false">IF($A12="","",1*$F12)</f>
        <v/>
      </c>
      <c r="AS12" s="1" t="str">
        <f aca="false">IF($A12="","",1*$F12)</f>
        <v/>
      </c>
      <c r="AT12" s="1" t="str">
        <f aca="false">IF($A12="","",1*$F12)</f>
        <v/>
      </c>
      <c r="AU12" s="1" t="str">
        <f aca="false">IF($A12="","",8*$F12)</f>
        <v/>
      </c>
      <c r="AV12" s="1" t="str">
        <f aca="false">IF($A12="","",ROUND((2*($D12+$B12)+2*($E12+$B12))*$F12/1000,1))</f>
        <v/>
      </c>
      <c r="AW12" s="1" t="str">
        <f aca="false">IF($A12="","",ROUND((2*($C12+$B12))*$F12/1000,1))</f>
        <v/>
      </c>
      <c r="AX12" s="1" t="str">
        <f aca="false">IF($A12="","",1*$F12)</f>
        <v/>
      </c>
      <c r="AY12" s="0" t="str">
        <f aca="false">IF($A12="","",$BC$4*$F12)</f>
        <v/>
      </c>
    </row>
    <row r="13" customFormat="false" ht="39.75" hidden="false" customHeight="true" outlineLevel="0" collapsed="false">
      <c r="A13" s="52"/>
      <c r="B13" s="53"/>
      <c r="C13" s="100" t="str">
        <f aca="false">IF($A13="","",$D13+$E13)</f>
        <v/>
      </c>
      <c r="D13" s="55"/>
      <c r="E13" s="55"/>
      <c r="F13" s="55"/>
      <c r="G13" s="56" t="str">
        <f aca="false">IF($A13="","",$B13)</f>
        <v/>
      </c>
      <c r="H13" s="54" t="str">
        <f aca="false">IF($A13="","",2*$F13)</f>
        <v/>
      </c>
      <c r="I13" s="56" t="str">
        <f aca="false">IF($A13="","",$C13-$E$55-$F$55)</f>
        <v/>
      </c>
      <c r="J13" s="54" t="str">
        <f aca="false">IF($A13="","",1*$F13)</f>
        <v/>
      </c>
      <c r="K13" s="56" t="str">
        <f aca="false">IF($A13="","",$I13)</f>
        <v/>
      </c>
      <c r="L13" s="54" t="str">
        <f aca="false">IF($A13="","",1*$F13)</f>
        <v/>
      </c>
      <c r="M13" s="56" t="str">
        <f aca="false">IF($A13="","",$B13-$E$57-$F$57)</f>
        <v/>
      </c>
      <c r="N13" s="54" t="str">
        <f aca="false">IF($A13="","",4*$F13)</f>
        <v/>
      </c>
      <c r="O13" s="56" t="str">
        <f aca="false">IF($A13="","",(($D13-$E$58-$F$58)))</f>
        <v/>
      </c>
      <c r="P13" s="54" t="str">
        <f aca="false">IF($A13="","",2*$F13)</f>
        <v/>
      </c>
      <c r="Q13" s="56" t="str">
        <f aca="false">IF($A13="","",(($E13-$E$59-$F$59)))</f>
        <v/>
      </c>
      <c r="R13" s="54" t="str">
        <f aca="false">IF($A13="","",2*$F13)</f>
        <v/>
      </c>
      <c r="S13" s="56" t="str">
        <f aca="false">IF($A13="","",$M13-$E$60-$F$60)</f>
        <v/>
      </c>
      <c r="T13" s="54" t="str">
        <f aca="false">IF($A13="","",4*$F13)</f>
        <v/>
      </c>
      <c r="U13" s="56" t="str">
        <f aca="false">IF($A13="","",$O13-$E$61-$F$61)</f>
        <v/>
      </c>
      <c r="V13" s="54" t="str">
        <f aca="false">IF($A13="","",2*$F13)</f>
        <v/>
      </c>
      <c r="W13" s="56" t="str">
        <f aca="false">IF($A13="","",$Q13-$E$62-$F$62)</f>
        <v/>
      </c>
      <c r="X13" s="54" t="str">
        <f aca="false">IF($A13="","",2*$F13)</f>
        <v/>
      </c>
      <c r="Y13" s="56" t="str">
        <f aca="false">IF($A13="","",$I13)</f>
        <v/>
      </c>
      <c r="Z13" s="54" t="str">
        <f aca="false">IF($A13="","",1*$F13)</f>
        <v/>
      </c>
      <c r="AA13" s="56" t="str">
        <f aca="false">IF($A13="","",$B13-$E$64-$F$64)</f>
        <v/>
      </c>
      <c r="AB13" s="54" t="str">
        <f aca="false">IF($A13="","",1*$F13)</f>
        <v/>
      </c>
      <c r="AC13" s="56"/>
      <c r="AD13" s="54"/>
      <c r="AE13" s="57" t="str">
        <f aca="false">IF($A13="","",$M13-87-87)</f>
        <v/>
      </c>
      <c r="AF13" s="58" t="str">
        <f aca="false">IF($A13="","",$O13-87-87)</f>
        <v/>
      </c>
      <c r="AG13" s="59" t="str">
        <f aca="false">IF($A13="","",1*$F13)</f>
        <v/>
      </c>
      <c r="AH13" s="57" t="str">
        <f aca="false">IF($A13="","",$M13-87-87)</f>
        <v/>
      </c>
      <c r="AI13" s="58" t="str">
        <f aca="false">IF($A13="","",$Q13-87-87)</f>
        <v/>
      </c>
      <c r="AJ13" s="59" t="str">
        <f aca="false">IF($A13="","",1*$F13)</f>
        <v/>
      </c>
      <c r="AK13" s="1" t="str">
        <f aca="false">IF($A13="","",(IF(OR($B13&gt;3000,$D13&gt;1200),5,4)+IF(OR($B13&gt;3000,$E13&gt;1200),5,4))*$F13)</f>
        <v/>
      </c>
      <c r="AL13" s="1" t="str">
        <f aca="false">IF($A13="","",4*2*$F13)</f>
        <v/>
      </c>
      <c r="AM13" s="1" t="str">
        <f aca="false">IF($A13="","",8*2*$F13)</f>
        <v/>
      </c>
      <c r="AN13" s="1" t="str">
        <f aca="false">IF($A13="","",$BC$1*$F13)</f>
        <v/>
      </c>
      <c r="AO13" s="1" t="str">
        <f aca="false">IF($A13="","",$BC$2*$F13)</f>
        <v/>
      </c>
      <c r="AP13" s="1" t="str">
        <f aca="false">IF($A13="","",$BC$3*$F13)</f>
        <v/>
      </c>
      <c r="AQ13" s="1" t="str">
        <f aca="false">IF($A13="","",1*$F13)</f>
        <v/>
      </c>
      <c r="AR13" s="1" t="str">
        <f aca="false">IF($A13="","",1*$F13)</f>
        <v/>
      </c>
      <c r="AS13" s="1" t="str">
        <f aca="false">IF($A13="","",1*$F13)</f>
        <v/>
      </c>
      <c r="AT13" s="1" t="str">
        <f aca="false">IF($A13="","",1*$F13)</f>
        <v/>
      </c>
      <c r="AU13" s="1" t="str">
        <f aca="false">IF($A13="","",8*$F13)</f>
        <v/>
      </c>
      <c r="AV13" s="1" t="str">
        <f aca="false">IF($A13="","",ROUND((2*($D13+$B13)+2*($E13+$B13))*$F13/1000,1))</f>
        <v/>
      </c>
      <c r="AW13" s="1" t="str">
        <f aca="false">IF($A13="","",ROUND((2*($C13+$B13))*$F13/1000,1))</f>
        <v/>
      </c>
      <c r="AX13" s="1" t="str">
        <f aca="false">IF($A13="","",1*$F13)</f>
        <v/>
      </c>
      <c r="AY13" s="0" t="str">
        <f aca="false">IF($A13="","",$BC$4*$F13)</f>
        <v/>
      </c>
    </row>
    <row r="14" customFormat="false" ht="39.75" hidden="false" customHeight="true" outlineLevel="0" collapsed="false">
      <c r="A14" s="52"/>
      <c r="B14" s="53"/>
      <c r="C14" s="100" t="str">
        <f aca="false">IF($A14="","",$D14+$E14)</f>
        <v/>
      </c>
      <c r="D14" s="55"/>
      <c r="E14" s="55"/>
      <c r="F14" s="55"/>
      <c r="G14" s="60" t="str">
        <f aca="false">IF($A14="","",$B14)</f>
        <v/>
      </c>
      <c r="H14" s="61" t="str">
        <f aca="false">IF($A14="","",2*$F14)</f>
        <v/>
      </c>
      <c r="I14" s="60" t="str">
        <f aca="false">IF($A14="","",$C14-$E$55-$F$55)</f>
        <v/>
      </c>
      <c r="J14" s="61" t="str">
        <f aca="false">IF($A14="","",1*$F14)</f>
        <v/>
      </c>
      <c r="K14" s="60" t="str">
        <f aca="false">IF($A14="","",$I14)</f>
        <v/>
      </c>
      <c r="L14" s="61" t="str">
        <f aca="false">IF($A14="","",1*$F14)</f>
        <v/>
      </c>
      <c r="M14" s="60" t="str">
        <f aca="false">IF($A14="","",$B14-$E$57-$F$57)</f>
        <v/>
      </c>
      <c r="N14" s="61" t="str">
        <f aca="false">IF($A14="","",4*$F14)</f>
        <v/>
      </c>
      <c r="O14" s="60" t="str">
        <f aca="false">IF($A14="","",(($D14-$E$58-$F$58)))</f>
        <v/>
      </c>
      <c r="P14" s="61" t="str">
        <f aca="false">IF($A14="","",2*$F14)</f>
        <v/>
      </c>
      <c r="Q14" s="60" t="str">
        <f aca="false">IF($A14="","",(($E14-$E$59-$F$59)))</f>
        <v/>
      </c>
      <c r="R14" s="61" t="str">
        <f aca="false">IF($A14="","",2*$F14)</f>
        <v/>
      </c>
      <c r="S14" s="60" t="str">
        <f aca="false">IF($A14="","",$M14-$E$60-$F$60)</f>
        <v/>
      </c>
      <c r="T14" s="61" t="str">
        <f aca="false">IF($A14="","",4*$F14)</f>
        <v/>
      </c>
      <c r="U14" s="60" t="str">
        <f aca="false">IF($A14="","",$O14-$E$61-$F$61)</f>
        <v/>
      </c>
      <c r="V14" s="61" t="str">
        <f aca="false">IF($A14="","",2*$F14)</f>
        <v/>
      </c>
      <c r="W14" s="60" t="str">
        <f aca="false">IF($A14="","",$Q14-$E$62-$F$62)</f>
        <v/>
      </c>
      <c r="X14" s="61" t="str">
        <f aca="false">IF($A14="","",2*$F14)</f>
        <v/>
      </c>
      <c r="Y14" s="60" t="str">
        <f aca="false">IF($A14="","",$I14)</f>
        <v/>
      </c>
      <c r="Z14" s="61" t="str">
        <f aca="false">IF($A14="","",1*$F14)</f>
        <v/>
      </c>
      <c r="AA14" s="60" t="str">
        <f aca="false">IF($A14="","",$B14-$E$64-$F$64)</f>
        <v/>
      </c>
      <c r="AB14" s="61" t="str">
        <f aca="false">IF($A14="","",1*$F14)</f>
        <v/>
      </c>
      <c r="AC14" s="60"/>
      <c r="AD14" s="61"/>
      <c r="AE14" s="57" t="str">
        <f aca="false">IF($A14="","",$M14-87-87)</f>
        <v/>
      </c>
      <c r="AF14" s="58" t="str">
        <f aca="false">IF($A14="","",$O14-87-87)</f>
        <v/>
      </c>
      <c r="AG14" s="59" t="str">
        <f aca="false">IF($A14="","",1*$F14)</f>
        <v/>
      </c>
      <c r="AH14" s="57" t="str">
        <f aca="false">IF($A14="","",$M14-87-87)</f>
        <v/>
      </c>
      <c r="AI14" s="58" t="str">
        <f aca="false">IF($A14="","",$Q14-87-87)</f>
        <v/>
      </c>
      <c r="AJ14" s="59" t="str">
        <f aca="false">IF($A14="","",1*$F14)</f>
        <v/>
      </c>
      <c r="AK14" s="1" t="str">
        <f aca="false">IF($A14="","",(IF(OR($B14&gt;3000,$D14&gt;1200),5,4)+IF(OR($B14&gt;3000,$E14&gt;1200),5,4))*$F14)</f>
        <v/>
      </c>
      <c r="AL14" s="1" t="str">
        <f aca="false">IF($A14="","",4*2*$F14)</f>
        <v/>
      </c>
      <c r="AM14" s="1" t="str">
        <f aca="false">IF($A14="","",8*2*$F14)</f>
        <v/>
      </c>
      <c r="AN14" s="1" t="str">
        <f aca="false">IF($A14="","",$BC$1*$F14)</f>
        <v/>
      </c>
      <c r="AO14" s="1" t="str">
        <f aca="false">IF($A14="","",$BC$2*$F14)</f>
        <v/>
      </c>
      <c r="AP14" s="1" t="str">
        <f aca="false">IF($A14="","",$BC$3*$F14)</f>
        <v/>
      </c>
      <c r="AQ14" s="1" t="str">
        <f aca="false">IF($A14="","",1*$F14)</f>
        <v/>
      </c>
      <c r="AR14" s="1" t="str">
        <f aca="false">IF($A14="","",1*$F14)</f>
        <v/>
      </c>
      <c r="AS14" s="1" t="str">
        <f aca="false">IF($A14="","",1*$F14)</f>
        <v/>
      </c>
      <c r="AT14" s="1" t="str">
        <f aca="false">IF($A14="","",1*$F14)</f>
        <v/>
      </c>
      <c r="AU14" s="1" t="str">
        <f aca="false">IF($A14="","",8*$F14)</f>
        <v/>
      </c>
      <c r="AV14" s="1" t="str">
        <f aca="false">IF($A14="","",ROUND((2*($D14+$B14)+2*($E14+$B14))*$F14/1000,1))</f>
        <v/>
      </c>
      <c r="AW14" s="1" t="str">
        <f aca="false">IF($A14="","",ROUND((2*($C14+$B14))*$F14/1000,1))</f>
        <v/>
      </c>
      <c r="AX14" s="1" t="str">
        <f aca="false">IF($A14="","",1*$F14)</f>
        <v/>
      </c>
      <c r="AY14" s="0" t="str">
        <f aca="false">IF($A14="","",$BC$4*$F14)</f>
        <v/>
      </c>
    </row>
    <row r="15" customFormat="false" ht="39.75" hidden="false" customHeight="true" outlineLevel="0" collapsed="false">
      <c r="A15" s="52"/>
      <c r="B15" s="53"/>
      <c r="C15" s="100" t="str">
        <f aca="false">IF($A15="","",$D15+$E15)</f>
        <v/>
      </c>
      <c r="D15" s="55"/>
      <c r="E15" s="55"/>
      <c r="F15" s="55"/>
      <c r="G15" s="56" t="str">
        <f aca="false">IF($A15="","",$B15)</f>
        <v/>
      </c>
      <c r="H15" s="54" t="str">
        <f aca="false">IF($A15="","",2*$F15)</f>
        <v/>
      </c>
      <c r="I15" s="56" t="str">
        <f aca="false">IF($A15="","",$C15-$E$55-$F$55)</f>
        <v/>
      </c>
      <c r="J15" s="54" t="str">
        <f aca="false">IF($A15="","",1*$F15)</f>
        <v/>
      </c>
      <c r="K15" s="56" t="str">
        <f aca="false">IF($A15="","",$I15)</f>
        <v/>
      </c>
      <c r="L15" s="54" t="str">
        <f aca="false">IF($A15="","",1*$F15)</f>
        <v/>
      </c>
      <c r="M15" s="56" t="str">
        <f aca="false">IF($A15="","",$B15-$E$57-$F$57)</f>
        <v/>
      </c>
      <c r="N15" s="54" t="str">
        <f aca="false">IF($A15="","",4*$F15)</f>
        <v/>
      </c>
      <c r="O15" s="56" t="str">
        <f aca="false">IF($A15="","",(($D15-$E$58-$F$58)))</f>
        <v/>
      </c>
      <c r="P15" s="54" t="str">
        <f aca="false">IF($A15="","",2*$F15)</f>
        <v/>
      </c>
      <c r="Q15" s="56" t="str">
        <f aca="false">IF($A15="","",(($E15-$E$59-$F$59)))</f>
        <v/>
      </c>
      <c r="R15" s="54" t="str">
        <f aca="false">IF($A15="","",2*$F15)</f>
        <v/>
      </c>
      <c r="S15" s="56" t="str">
        <f aca="false">IF($A15="","",$M15-$E$60-$F$60)</f>
        <v/>
      </c>
      <c r="T15" s="54" t="str">
        <f aca="false">IF($A15="","",4*$F15)</f>
        <v/>
      </c>
      <c r="U15" s="56" t="str">
        <f aca="false">IF($A15="","",$O15-$E$61-$F$61)</f>
        <v/>
      </c>
      <c r="V15" s="54" t="str">
        <f aca="false">IF($A15="","",2*$F15)</f>
        <v/>
      </c>
      <c r="W15" s="56" t="str">
        <f aca="false">IF($A15="","",$Q15-$E$62-$F$62)</f>
        <v/>
      </c>
      <c r="X15" s="54" t="str">
        <f aca="false">IF($A15="","",2*$F15)</f>
        <v/>
      </c>
      <c r="Y15" s="56" t="str">
        <f aca="false">IF($A15="","",$I15)</f>
        <v/>
      </c>
      <c r="Z15" s="54" t="str">
        <f aca="false">IF($A15="","",1*$F15)</f>
        <v/>
      </c>
      <c r="AA15" s="56" t="str">
        <f aca="false">IF($A15="","",$B15-$E$64-$F$64)</f>
        <v/>
      </c>
      <c r="AB15" s="54" t="str">
        <f aca="false">IF($A15="","",1*$F15)</f>
        <v/>
      </c>
      <c r="AC15" s="56"/>
      <c r="AD15" s="54"/>
      <c r="AE15" s="57" t="str">
        <f aca="false">IF($A15="","",$M15-87-87)</f>
        <v/>
      </c>
      <c r="AF15" s="58" t="str">
        <f aca="false">IF($A15="","",$O15-87-87)</f>
        <v/>
      </c>
      <c r="AG15" s="59" t="str">
        <f aca="false">IF($A15="","",1*$F15)</f>
        <v/>
      </c>
      <c r="AH15" s="57" t="str">
        <f aca="false">IF($A15="","",$M15-87-87)</f>
        <v/>
      </c>
      <c r="AI15" s="58" t="str">
        <f aca="false">IF($A15="","",$Q15-87-87)</f>
        <v/>
      </c>
      <c r="AJ15" s="59" t="str">
        <f aca="false">IF($A15="","",1*$F15)</f>
        <v/>
      </c>
      <c r="AK15" s="1" t="str">
        <f aca="false">IF($A15="","",(IF(OR($B15&gt;3000,$D15&gt;1200),5,4)+IF(OR($B15&gt;3000,$E15&gt;1200),5,4))*$F15)</f>
        <v/>
      </c>
      <c r="AL15" s="1" t="str">
        <f aca="false">IF($A15="","",4*2*$F15)</f>
        <v/>
      </c>
      <c r="AM15" s="1" t="str">
        <f aca="false">IF($A15="","",8*2*$F15)</f>
        <v/>
      </c>
      <c r="AN15" s="1" t="str">
        <f aca="false">IF($A15="","",$BC$1*$F15)</f>
        <v/>
      </c>
      <c r="AO15" s="1" t="str">
        <f aca="false">IF($A15="","",$BC$2*$F15)</f>
        <v/>
      </c>
      <c r="AP15" s="1" t="str">
        <f aca="false">IF($A15="","",$BC$3*$F15)</f>
        <v/>
      </c>
      <c r="AQ15" s="1" t="str">
        <f aca="false">IF($A15="","",1*$F15)</f>
        <v/>
      </c>
      <c r="AR15" s="1" t="str">
        <f aca="false">IF($A15="","",1*$F15)</f>
        <v/>
      </c>
      <c r="AS15" s="1" t="str">
        <f aca="false">IF($A15="","",1*$F15)</f>
        <v/>
      </c>
      <c r="AT15" s="1" t="str">
        <f aca="false">IF($A15="","",1*$F15)</f>
        <v/>
      </c>
      <c r="AU15" s="1" t="str">
        <f aca="false">IF($A15="","",8*$F15)</f>
        <v/>
      </c>
      <c r="AV15" s="1" t="str">
        <f aca="false">IF($A15="","",ROUND((2*($D15+$B15)+2*($E15+$B15))*$F15/1000,1))</f>
        <v/>
      </c>
      <c r="AW15" s="1" t="str">
        <f aca="false">IF($A15="","",ROUND((2*($C15+$B15))*$F15/1000,1))</f>
        <v/>
      </c>
      <c r="AX15" s="1" t="str">
        <f aca="false">IF($A15="","",1*$F15)</f>
        <v/>
      </c>
      <c r="AY15" s="0" t="str">
        <f aca="false">IF($A15="","",$BC$4*$F15)</f>
        <v/>
      </c>
    </row>
    <row r="16" customFormat="false" ht="39.75" hidden="false" customHeight="true" outlineLevel="0" collapsed="false">
      <c r="A16" s="52"/>
      <c r="B16" s="53"/>
      <c r="C16" s="100" t="str">
        <f aca="false">IF($A16="","",$D16+$E16)</f>
        <v/>
      </c>
      <c r="D16" s="55"/>
      <c r="E16" s="55"/>
      <c r="F16" s="55"/>
      <c r="G16" s="60" t="str">
        <f aca="false">IF($A16="","",$B16)</f>
        <v/>
      </c>
      <c r="H16" s="61" t="str">
        <f aca="false">IF($A16="","",2*$F16)</f>
        <v/>
      </c>
      <c r="I16" s="60" t="str">
        <f aca="false">IF($A16="","",$C16-$E$55-$F$55)</f>
        <v/>
      </c>
      <c r="J16" s="61" t="str">
        <f aca="false">IF($A16="","",1*$F16)</f>
        <v/>
      </c>
      <c r="K16" s="60" t="str">
        <f aca="false">IF($A16="","",$I16)</f>
        <v/>
      </c>
      <c r="L16" s="61" t="str">
        <f aca="false">IF($A16="","",1*$F16)</f>
        <v/>
      </c>
      <c r="M16" s="60" t="str">
        <f aca="false">IF($A16="","",$B16-$E$57-$F$57)</f>
        <v/>
      </c>
      <c r="N16" s="61" t="str">
        <f aca="false">IF($A16="","",4*$F16)</f>
        <v/>
      </c>
      <c r="O16" s="60" t="str">
        <f aca="false">IF($A16="","",(($D16-$E$58-$F$58)))</f>
        <v/>
      </c>
      <c r="P16" s="61" t="str">
        <f aca="false">IF($A16="","",2*$F16)</f>
        <v/>
      </c>
      <c r="Q16" s="60" t="str">
        <f aca="false">IF($A16="","",(($E16-$E$59-$F$59)))</f>
        <v/>
      </c>
      <c r="R16" s="61" t="str">
        <f aca="false">IF($A16="","",2*$F16)</f>
        <v/>
      </c>
      <c r="S16" s="60" t="str">
        <f aca="false">IF($A16="","",$M16-$E$60-$F$60)</f>
        <v/>
      </c>
      <c r="T16" s="61" t="str">
        <f aca="false">IF($A16="","",4*$F16)</f>
        <v/>
      </c>
      <c r="U16" s="60" t="str">
        <f aca="false">IF($A16="","",$O16-$E$61-$F$61)</f>
        <v/>
      </c>
      <c r="V16" s="61" t="str">
        <f aca="false">IF($A16="","",2*$F16)</f>
        <v/>
      </c>
      <c r="W16" s="60" t="str">
        <f aca="false">IF($A16="","",$Q16-$E$62-$F$62)</f>
        <v/>
      </c>
      <c r="X16" s="61" t="str">
        <f aca="false">IF($A16="","",2*$F16)</f>
        <v/>
      </c>
      <c r="Y16" s="60" t="str">
        <f aca="false">IF($A16="","",$I16)</f>
        <v/>
      </c>
      <c r="Z16" s="61" t="str">
        <f aca="false">IF($A16="","",1*$F16)</f>
        <v/>
      </c>
      <c r="AA16" s="60" t="str">
        <f aca="false">IF($A16="","",$B16-$E$64-$F$64)</f>
        <v/>
      </c>
      <c r="AB16" s="61" t="str">
        <f aca="false">IF($A16="","",1*$F16)</f>
        <v/>
      </c>
      <c r="AC16" s="60"/>
      <c r="AD16" s="61"/>
      <c r="AE16" s="57" t="str">
        <f aca="false">IF($A16="","",$M16-87-87)</f>
        <v/>
      </c>
      <c r="AF16" s="58" t="str">
        <f aca="false">IF($A16="","",$O16-87-87)</f>
        <v/>
      </c>
      <c r="AG16" s="59" t="str">
        <f aca="false">IF($A16="","",1*$F16)</f>
        <v/>
      </c>
      <c r="AH16" s="57" t="str">
        <f aca="false">IF($A16="","",$M16-87-87)</f>
        <v/>
      </c>
      <c r="AI16" s="58" t="str">
        <f aca="false">IF($A16="","",$Q16-87-87)</f>
        <v/>
      </c>
      <c r="AJ16" s="59" t="str">
        <f aca="false">IF($A16="","",1*$F16)</f>
        <v/>
      </c>
      <c r="AK16" s="1" t="str">
        <f aca="false">IF($A16="","",(IF(OR($B16&gt;3000,$D16&gt;1200),5,4)+IF(OR($B16&gt;3000,$E16&gt;1200),5,4))*$F16)</f>
        <v/>
      </c>
      <c r="AL16" s="1" t="str">
        <f aca="false">IF($A16="","",4*2*$F16)</f>
        <v/>
      </c>
      <c r="AM16" s="1" t="str">
        <f aca="false">IF($A16="","",8*2*$F16)</f>
        <v/>
      </c>
      <c r="AN16" s="1" t="str">
        <f aca="false">IF($A16="","",$BC$1*$F16)</f>
        <v/>
      </c>
      <c r="AO16" s="1" t="str">
        <f aca="false">IF($A16="","",$BC$2*$F16)</f>
        <v/>
      </c>
      <c r="AP16" s="1" t="str">
        <f aca="false">IF($A16="","",$BC$3*$F16)</f>
        <v/>
      </c>
      <c r="AQ16" s="1" t="str">
        <f aca="false">IF($A16="","",1*$F16)</f>
        <v/>
      </c>
      <c r="AR16" s="1" t="str">
        <f aca="false">IF($A16="","",1*$F16)</f>
        <v/>
      </c>
      <c r="AS16" s="1" t="str">
        <f aca="false">IF($A16="","",1*$F16)</f>
        <v/>
      </c>
      <c r="AT16" s="1" t="str">
        <f aca="false">IF($A16="","",1*$F16)</f>
        <v/>
      </c>
      <c r="AU16" s="1" t="str">
        <f aca="false">IF($A16="","",8*$F16)</f>
        <v/>
      </c>
      <c r="AV16" s="1" t="str">
        <f aca="false">IF($A16="","",ROUND((2*($D16+$B16)+2*($E16+$B16))*$F16/1000,1))</f>
        <v/>
      </c>
      <c r="AW16" s="1" t="str">
        <f aca="false">IF($A16="","",ROUND((2*($C16+$B16))*$F16/1000,1))</f>
        <v/>
      </c>
      <c r="AX16" s="1" t="str">
        <f aca="false">IF($A16="","",1*$F16)</f>
        <v/>
      </c>
      <c r="AY16" s="0" t="str">
        <f aca="false">IF($A16="","",$BC$4*$F16)</f>
        <v/>
      </c>
    </row>
    <row r="17" customFormat="false" ht="39.75" hidden="false" customHeight="true" outlineLevel="0" collapsed="false">
      <c r="A17" s="52"/>
      <c r="B17" s="53"/>
      <c r="C17" s="100" t="str">
        <f aca="false">IF($A17="","",$D17+$E17)</f>
        <v/>
      </c>
      <c r="D17" s="55"/>
      <c r="E17" s="55"/>
      <c r="F17" s="55"/>
      <c r="G17" s="56" t="str">
        <f aca="false">IF($A17="","",$B17)</f>
        <v/>
      </c>
      <c r="H17" s="54" t="str">
        <f aca="false">IF($A17="","",2*$F17)</f>
        <v/>
      </c>
      <c r="I17" s="56" t="str">
        <f aca="false">IF($A17="","",$C17-$E$55-$F$55)</f>
        <v/>
      </c>
      <c r="J17" s="54" t="str">
        <f aca="false">IF($A17="","",1*$F17)</f>
        <v/>
      </c>
      <c r="K17" s="56" t="str">
        <f aca="false">IF($A17="","",$I17)</f>
        <v/>
      </c>
      <c r="L17" s="54" t="str">
        <f aca="false">IF($A17="","",1*$F17)</f>
        <v/>
      </c>
      <c r="M17" s="56" t="str">
        <f aca="false">IF($A17="","",$B17-$E$57-$F$57)</f>
        <v/>
      </c>
      <c r="N17" s="54" t="str">
        <f aca="false">IF($A17="","",4*$F17)</f>
        <v/>
      </c>
      <c r="O17" s="56" t="str">
        <f aca="false">IF($A17="","",(($D17-$E$58-$F$58)))</f>
        <v/>
      </c>
      <c r="P17" s="54" t="str">
        <f aca="false">IF($A17="","",2*$F17)</f>
        <v/>
      </c>
      <c r="Q17" s="56" t="str">
        <f aca="false">IF($A17="","",(($E17-$E$59-$F$59)))</f>
        <v/>
      </c>
      <c r="R17" s="54" t="str">
        <f aca="false">IF($A17="","",2*$F17)</f>
        <v/>
      </c>
      <c r="S17" s="56" t="str">
        <f aca="false">IF($A17="","",$M17-$E$60-$F$60)</f>
        <v/>
      </c>
      <c r="T17" s="54" t="str">
        <f aca="false">IF($A17="","",4*$F17)</f>
        <v/>
      </c>
      <c r="U17" s="56" t="str">
        <f aca="false">IF($A17="","",$O17-$E$61-$F$61)</f>
        <v/>
      </c>
      <c r="V17" s="54" t="str">
        <f aca="false">IF($A17="","",2*$F17)</f>
        <v/>
      </c>
      <c r="W17" s="56" t="str">
        <f aca="false">IF($A17="","",$Q17-$E$62-$F$62)</f>
        <v/>
      </c>
      <c r="X17" s="54" t="str">
        <f aca="false">IF($A17="","",2*$F17)</f>
        <v/>
      </c>
      <c r="Y17" s="56" t="str">
        <f aca="false">IF($A17="","",$I17)</f>
        <v/>
      </c>
      <c r="Z17" s="54" t="str">
        <f aca="false">IF($A17="","",1*$F17)</f>
        <v/>
      </c>
      <c r="AA17" s="56" t="str">
        <f aca="false">IF($A17="","",$B17-$E$64-$F$64)</f>
        <v/>
      </c>
      <c r="AB17" s="54" t="str">
        <f aca="false">IF($A17="","",1*$F17)</f>
        <v/>
      </c>
      <c r="AC17" s="56"/>
      <c r="AD17" s="54"/>
      <c r="AE17" s="57" t="str">
        <f aca="false">IF($A17="","",$M17-87-87)</f>
        <v/>
      </c>
      <c r="AF17" s="58" t="str">
        <f aca="false">IF($A17="","",$O17-87-87)</f>
        <v/>
      </c>
      <c r="AG17" s="59" t="str">
        <f aca="false">IF($A17="","",1*$F17)</f>
        <v/>
      </c>
      <c r="AH17" s="57" t="str">
        <f aca="false">IF($A17="","",$M17-87-87)</f>
        <v/>
      </c>
      <c r="AI17" s="58" t="str">
        <f aca="false">IF($A17="","",$Q17-87-87)</f>
        <v/>
      </c>
      <c r="AJ17" s="59" t="str">
        <f aca="false">IF($A17="","",1*$F17)</f>
        <v/>
      </c>
      <c r="AK17" s="1" t="str">
        <f aca="false">IF($A17="","",(IF(OR($B17&gt;3000,$D17&gt;1200),5,4)+IF(OR($B17&gt;3000,$E17&gt;1200),5,4))*$F17)</f>
        <v/>
      </c>
      <c r="AL17" s="1" t="str">
        <f aca="false">IF($A17="","",4*2*$F17)</f>
        <v/>
      </c>
      <c r="AM17" s="1" t="str">
        <f aca="false">IF($A17="","",8*2*$F17)</f>
        <v/>
      </c>
      <c r="AN17" s="1" t="str">
        <f aca="false">IF($A17="","",$BC$1*$F17)</f>
        <v/>
      </c>
      <c r="AO17" s="1" t="str">
        <f aca="false">IF($A17="","",$BC$2*$F17)</f>
        <v/>
      </c>
      <c r="AP17" s="1" t="str">
        <f aca="false">IF($A17="","",$BC$3*$F17)</f>
        <v/>
      </c>
      <c r="AQ17" s="1" t="str">
        <f aca="false">IF($A17="","",1*$F17)</f>
        <v/>
      </c>
      <c r="AR17" s="1" t="str">
        <f aca="false">IF($A17="","",1*$F17)</f>
        <v/>
      </c>
      <c r="AS17" s="1" t="str">
        <f aca="false">IF($A17="","",1*$F17)</f>
        <v/>
      </c>
      <c r="AT17" s="1" t="str">
        <f aca="false">IF($A17="","",1*$F17)</f>
        <v/>
      </c>
      <c r="AU17" s="1" t="str">
        <f aca="false">IF($A17="","",8*$F17)</f>
        <v/>
      </c>
      <c r="AV17" s="1" t="str">
        <f aca="false">IF($A17="","",ROUND((2*($D17+$B17)+2*($E17+$B17))*$F17/1000,1))</f>
        <v/>
      </c>
      <c r="AW17" s="1" t="str">
        <f aca="false">IF($A17="","",ROUND((2*($C17+$B17))*$F17/1000,1))</f>
        <v/>
      </c>
      <c r="AX17" s="1" t="str">
        <f aca="false">IF($A17="","",1*$F17)</f>
        <v/>
      </c>
      <c r="AY17" s="0" t="str">
        <f aca="false">IF($A17="","",$BC$4*$F17)</f>
        <v/>
      </c>
    </row>
    <row r="18" customFormat="false" ht="39.75" hidden="false" customHeight="true" outlineLevel="0" collapsed="false">
      <c r="A18" s="52"/>
      <c r="B18" s="53"/>
      <c r="C18" s="100" t="str">
        <f aca="false">IF($A18="","",$D18+$E18)</f>
        <v/>
      </c>
      <c r="D18" s="55"/>
      <c r="E18" s="55"/>
      <c r="F18" s="55"/>
      <c r="G18" s="60" t="str">
        <f aca="false">IF($A18="","",$B18)</f>
        <v/>
      </c>
      <c r="H18" s="61" t="str">
        <f aca="false">IF($A18="","",2*$F18)</f>
        <v/>
      </c>
      <c r="I18" s="60" t="str">
        <f aca="false">IF($A18="","",$C18-$E$55-$F$55)</f>
        <v/>
      </c>
      <c r="J18" s="61" t="str">
        <f aca="false">IF($A18="","",1*$F18)</f>
        <v/>
      </c>
      <c r="K18" s="60" t="str">
        <f aca="false">IF($A18="","",$I18)</f>
        <v/>
      </c>
      <c r="L18" s="61" t="str">
        <f aca="false">IF($A18="","",1*$F18)</f>
        <v/>
      </c>
      <c r="M18" s="60" t="str">
        <f aca="false">IF($A18="","",$B18-$E$57-$F$57)</f>
        <v/>
      </c>
      <c r="N18" s="61" t="str">
        <f aca="false">IF($A18="","",4*$F18)</f>
        <v/>
      </c>
      <c r="O18" s="60" t="str">
        <f aca="false">IF($A18="","",(($D18-$E$58-$F$58)))</f>
        <v/>
      </c>
      <c r="P18" s="61" t="str">
        <f aca="false">IF($A18="","",2*$F18)</f>
        <v/>
      </c>
      <c r="Q18" s="60" t="str">
        <f aca="false">IF($A18="","",(($E18-$E$59-$F$59)))</f>
        <v/>
      </c>
      <c r="R18" s="61" t="str">
        <f aca="false">IF($A18="","",2*$F18)</f>
        <v/>
      </c>
      <c r="S18" s="60" t="str">
        <f aca="false">IF($A18="","",$M18-$E$60-$F$60)</f>
        <v/>
      </c>
      <c r="T18" s="61" t="str">
        <f aca="false">IF($A18="","",4*$F18)</f>
        <v/>
      </c>
      <c r="U18" s="60" t="str">
        <f aca="false">IF($A18="","",$O18-$E$61-$F$61)</f>
        <v/>
      </c>
      <c r="V18" s="61" t="str">
        <f aca="false">IF($A18="","",2*$F18)</f>
        <v/>
      </c>
      <c r="W18" s="60" t="str">
        <f aca="false">IF($A18="","",$Q18-$E$62-$F$62)</f>
        <v/>
      </c>
      <c r="X18" s="61" t="str">
        <f aca="false">IF($A18="","",2*$F18)</f>
        <v/>
      </c>
      <c r="Y18" s="60" t="str">
        <f aca="false">IF($A18="","",$I18)</f>
        <v/>
      </c>
      <c r="Z18" s="61" t="str">
        <f aca="false">IF($A18="","",1*$F18)</f>
        <v/>
      </c>
      <c r="AA18" s="60" t="str">
        <f aca="false">IF($A18="","",$B18-$E$64-$F$64)</f>
        <v/>
      </c>
      <c r="AB18" s="61" t="str">
        <f aca="false">IF($A18="","",1*$F18)</f>
        <v/>
      </c>
      <c r="AC18" s="60"/>
      <c r="AD18" s="61"/>
      <c r="AE18" s="57" t="str">
        <f aca="false">IF($A18="","",$M18-87-87)</f>
        <v/>
      </c>
      <c r="AF18" s="58" t="str">
        <f aca="false">IF($A18="","",$O18-87-87)</f>
        <v/>
      </c>
      <c r="AG18" s="59" t="str">
        <f aca="false">IF($A18="","",1*$F18)</f>
        <v/>
      </c>
      <c r="AH18" s="57" t="str">
        <f aca="false">IF($A18="","",$M18-87-87)</f>
        <v/>
      </c>
      <c r="AI18" s="58" t="str">
        <f aca="false">IF($A18="","",$Q18-87-87)</f>
        <v/>
      </c>
      <c r="AJ18" s="59" t="str">
        <f aca="false">IF($A18="","",1*$F18)</f>
        <v/>
      </c>
      <c r="AK18" s="1" t="str">
        <f aca="false">IF($A18="","",(IF(OR($B18&gt;3000,$D18&gt;1200),5,4)+IF(OR($B18&gt;3000,$E18&gt;1200),5,4))*$F18)</f>
        <v/>
      </c>
      <c r="AL18" s="1" t="str">
        <f aca="false">IF($A18="","",4*2*$F18)</f>
        <v/>
      </c>
      <c r="AM18" s="1" t="str">
        <f aca="false">IF($A18="","",8*2*$F18)</f>
        <v/>
      </c>
      <c r="AN18" s="1" t="str">
        <f aca="false">IF($A18="","",$BC$1*$F18)</f>
        <v/>
      </c>
      <c r="AO18" s="1" t="str">
        <f aca="false">IF($A18="","",$BC$2*$F18)</f>
        <v/>
      </c>
      <c r="AP18" s="1" t="str">
        <f aca="false">IF($A18="","",$BC$3*$F18)</f>
        <v/>
      </c>
      <c r="AQ18" s="1" t="str">
        <f aca="false">IF($A18="","",1*$F18)</f>
        <v/>
      </c>
      <c r="AR18" s="1" t="str">
        <f aca="false">IF($A18="","",1*$F18)</f>
        <v/>
      </c>
      <c r="AS18" s="1" t="str">
        <f aca="false">IF($A18="","",1*$F18)</f>
        <v/>
      </c>
      <c r="AT18" s="1" t="str">
        <f aca="false">IF($A18="","",1*$F18)</f>
        <v/>
      </c>
      <c r="AU18" s="1" t="str">
        <f aca="false">IF($A18="","",8*$F18)</f>
        <v/>
      </c>
      <c r="AV18" s="1" t="str">
        <f aca="false">IF($A18="","",ROUND((2*($D18+$B18)+2*($E18+$B18))*$F18/1000,1))</f>
        <v/>
      </c>
      <c r="AW18" s="1" t="str">
        <f aca="false">IF($A18="","",ROUND((2*($C18+$B18))*$F18/1000,1))</f>
        <v/>
      </c>
      <c r="AX18" s="1" t="str">
        <f aca="false">IF($A18="","",1*$F18)</f>
        <v/>
      </c>
      <c r="AY18" s="0" t="str">
        <f aca="false">IF($A18="","",$BC$4*$F18)</f>
        <v/>
      </c>
    </row>
    <row r="19" customFormat="false" ht="39.75" hidden="false" customHeight="true" outlineLevel="0" collapsed="false">
      <c r="A19" s="88"/>
      <c r="B19" s="89"/>
      <c r="C19" s="100" t="str">
        <f aca="false">IF($A19="","",$D19+$E19)</f>
        <v/>
      </c>
      <c r="D19" s="91"/>
      <c r="E19" s="91"/>
      <c r="F19" s="91"/>
      <c r="G19" s="56" t="str">
        <f aca="false">IF($A19="","",$B19)</f>
        <v/>
      </c>
      <c r="H19" s="54" t="str">
        <f aca="false">IF($A19="","",2*$F19)</f>
        <v/>
      </c>
      <c r="I19" s="56" t="str">
        <f aca="false">IF($A19="","",$C19-$E$55-$F$55)</f>
        <v/>
      </c>
      <c r="J19" s="54" t="str">
        <f aca="false">IF($A19="","",1*$F19)</f>
        <v/>
      </c>
      <c r="K19" s="56" t="str">
        <f aca="false">IF($A19="","",$I19)</f>
        <v/>
      </c>
      <c r="L19" s="54" t="str">
        <f aca="false">IF($A19="","",1*$F19)</f>
        <v/>
      </c>
      <c r="M19" s="56" t="str">
        <f aca="false">IF($A19="","",$B19-$E$57-$F$57)</f>
        <v/>
      </c>
      <c r="N19" s="54" t="str">
        <f aca="false">IF($A19="","",4*$F19)</f>
        <v/>
      </c>
      <c r="O19" s="56" t="str">
        <f aca="false">IF($A19="","",(($D19-$E$58-$F$58)))</f>
        <v/>
      </c>
      <c r="P19" s="54" t="str">
        <f aca="false">IF($A19="","",2*$F19)</f>
        <v/>
      </c>
      <c r="Q19" s="56" t="str">
        <f aca="false">IF($A19="","",(($E19-$E$59-$F$59)))</f>
        <v/>
      </c>
      <c r="R19" s="54" t="str">
        <f aca="false">IF($A19="","",2*$F19)</f>
        <v/>
      </c>
      <c r="S19" s="56" t="str">
        <f aca="false">IF($A19="","",$M19-$E$60-$F$60)</f>
        <v/>
      </c>
      <c r="T19" s="54" t="str">
        <f aca="false">IF($A19="","",4*$F19)</f>
        <v/>
      </c>
      <c r="U19" s="56" t="str">
        <f aca="false">IF($A19="","",$O19-$E$61-$F$61)</f>
        <v/>
      </c>
      <c r="V19" s="54" t="str">
        <f aca="false">IF($A19="","",2*$F19)</f>
        <v/>
      </c>
      <c r="W19" s="56" t="str">
        <f aca="false">IF($A19="","",$Q19-$E$62-$F$62)</f>
        <v/>
      </c>
      <c r="X19" s="54" t="str">
        <f aca="false">IF($A19="","",2*$F19)</f>
        <v/>
      </c>
      <c r="Y19" s="56" t="str">
        <f aca="false">IF($A19="","",$I19)</f>
        <v/>
      </c>
      <c r="Z19" s="54" t="str">
        <f aca="false">IF($A19="","",1*$F19)</f>
        <v/>
      </c>
      <c r="AA19" s="56" t="str">
        <f aca="false">IF($A19="","",$B19-$E$64-$F$64)</f>
        <v/>
      </c>
      <c r="AB19" s="54" t="str">
        <f aca="false">IF($A19="","",1*$F19)</f>
        <v/>
      </c>
      <c r="AC19" s="56"/>
      <c r="AD19" s="54"/>
      <c r="AE19" s="57" t="str">
        <f aca="false">IF($A19="","",$M19-87-87)</f>
        <v/>
      </c>
      <c r="AF19" s="58" t="str">
        <f aca="false">IF($A19="","",$O19-87-87)</f>
        <v/>
      </c>
      <c r="AG19" s="59" t="str">
        <f aca="false">IF($A19="","",1*$F19)</f>
        <v/>
      </c>
      <c r="AH19" s="57" t="str">
        <f aca="false">IF($A19="","",$M19-87-87)</f>
        <v/>
      </c>
      <c r="AI19" s="58" t="str">
        <f aca="false">IF($A19="","",$Q19-87-87)</f>
        <v/>
      </c>
      <c r="AJ19" s="59" t="str">
        <f aca="false">IF($A19="","",1*$F19)</f>
        <v/>
      </c>
      <c r="AK19" s="1" t="str">
        <f aca="false">IF($A19="","",(IF(OR($B19&gt;3000,$D19&gt;1200),5,4)+IF(OR($B19&gt;3000,$E19&gt;1200),5,4))*$F19)</f>
        <v/>
      </c>
      <c r="AL19" s="1" t="str">
        <f aca="false">IF($A19="","",4*2*$F19)</f>
        <v/>
      </c>
      <c r="AM19" s="1" t="str">
        <f aca="false">IF($A19="","",8*2*$F19)</f>
        <v/>
      </c>
      <c r="AN19" s="1" t="str">
        <f aca="false">IF($A19="","",$BC$1*$F19)</f>
        <v/>
      </c>
      <c r="AO19" s="1" t="str">
        <f aca="false">IF($A19="","",$BC$2*$F19)</f>
        <v/>
      </c>
      <c r="AP19" s="1" t="str">
        <f aca="false">IF($A19="","",$BC$3*$F19)</f>
        <v/>
      </c>
      <c r="AQ19" s="1" t="str">
        <f aca="false">IF($A19="","",1*$F19)</f>
        <v/>
      </c>
      <c r="AR19" s="1" t="str">
        <f aca="false">IF($A19="","",1*$F19)</f>
        <v/>
      </c>
      <c r="AS19" s="1" t="str">
        <f aca="false">IF($A19="","",1*$F19)</f>
        <v/>
      </c>
      <c r="AT19" s="1" t="str">
        <f aca="false">IF($A19="","",1*$F19)</f>
        <v/>
      </c>
      <c r="AU19" s="1" t="str">
        <f aca="false">IF($A19="","",8*$F19)</f>
        <v/>
      </c>
      <c r="AV19" s="1" t="str">
        <f aca="false">IF($A19="","",ROUND((2*($D19+$B19)+2*($E19+$B19))*$F19/1000,1))</f>
        <v/>
      </c>
      <c r="AW19" s="1" t="str">
        <f aca="false">IF($A19="","",ROUND((2*($C19+$B19))*$F19/1000,1))</f>
        <v/>
      </c>
      <c r="AX19" s="1" t="str">
        <f aca="false">IF($A19="","",1*$F19)</f>
        <v/>
      </c>
      <c r="AY19" s="0" t="str">
        <f aca="false">IF($A19="","",$BC$4*$F19)</f>
        <v/>
      </c>
    </row>
    <row r="20" customFormat="false" ht="39.75" hidden="false" customHeight="true" outlineLevel="0" collapsed="false">
      <c r="A20" s="88"/>
      <c r="B20" s="89"/>
      <c r="C20" s="100" t="str">
        <f aca="false">IF($A20="","",$D20+$E20)</f>
        <v/>
      </c>
      <c r="D20" s="91"/>
      <c r="E20" s="91"/>
      <c r="F20" s="91"/>
      <c r="G20" s="60" t="str">
        <f aca="false">IF($A20="","",$B20)</f>
        <v/>
      </c>
      <c r="H20" s="61" t="str">
        <f aca="false">IF($A20="","",2*$F20)</f>
        <v/>
      </c>
      <c r="I20" s="60" t="str">
        <f aca="false">IF($A20="","",$C20-$E$55-$F$55)</f>
        <v/>
      </c>
      <c r="J20" s="61" t="str">
        <f aca="false">IF($A20="","",1*$F20)</f>
        <v/>
      </c>
      <c r="K20" s="60" t="str">
        <f aca="false">IF($A20="","",$I20)</f>
        <v/>
      </c>
      <c r="L20" s="61" t="str">
        <f aca="false">IF($A20="","",1*$F20)</f>
        <v/>
      </c>
      <c r="M20" s="60" t="str">
        <f aca="false">IF($A20="","",$B20-$E$57-$F$57)</f>
        <v/>
      </c>
      <c r="N20" s="61" t="str">
        <f aca="false">IF($A20="","",4*$F20)</f>
        <v/>
      </c>
      <c r="O20" s="60" t="str">
        <f aca="false">IF($A20="","",(($D20-$E$58-$F$58)))</f>
        <v/>
      </c>
      <c r="P20" s="61" t="str">
        <f aca="false">IF($A20="","",2*$F20)</f>
        <v/>
      </c>
      <c r="Q20" s="60" t="str">
        <f aca="false">IF($A20="","",(($E20-$E$59-$F$59)))</f>
        <v/>
      </c>
      <c r="R20" s="61" t="str">
        <f aca="false">IF($A20="","",2*$F20)</f>
        <v/>
      </c>
      <c r="S20" s="60" t="str">
        <f aca="false">IF($A20="","",$M20-$E$60-$F$60)</f>
        <v/>
      </c>
      <c r="T20" s="61" t="str">
        <f aca="false">IF($A20="","",4*$F20)</f>
        <v/>
      </c>
      <c r="U20" s="60" t="str">
        <f aca="false">IF($A20="","",$O20-$E$61-$F$61)</f>
        <v/>
      </c>
      <c r="V20" s="61" t="str">
        <f aca="false">IF($A20="","",2*$F20)</f>
        <v/>
      </c>
      <c r="W20" s="60" t="str">
        <f aca="false">IF($A20="","",$Q20-$E$62-$F$62)</f>
        <v/>
      </c>
      <c r="X20" s="61" t="str">
        <f aca="false">IF($A20="","",2*$F20)</f>
        <v/>
      </c>
      <c r="Y20" s="60" t="str">
        <f aca="false">IF($A20="","",$I20)</f>
        <v/>
      </c>
      <c r="Z20" s="61" t="str">
        <f aca="false">IF($A20="","",1*$F20)</f>
        <v/>
      </c>
      <c r="AA20" s="60" t="str">
        <f aca="false">IF($A20="","",$B20-$E$64-$F$64)</f>
        <v/>
      </c>
      <c r="AB20" s="61" t="str">
        <f aca="false">IF($A20="","",1*$F20)</f>
        <v/>
      </c>
      <c r="AC20" s="60"/>
      <c r="AD20" s="61"/>
      <c r="AE20" s="57" t="str">
        <f aca="false">IF($A20="","",$M20-87-87)</f>
        <v/>
      </c>
      <c r="AF20" s="58" t="str">
        <f aca="false">IF($A20="","",$O20-87-87)</f>
        <v/>
      </c>
      <c r="AG20" s="59" t="str">
        <f aca="false">IF($A20="","",1*$F20)</f>
        <v/>
      </c>
      <c r="AH20" s="57" t="str">
        <f aca="false">IF($A20="","",$M20-87-87)</f>
        <v/>
      </c>
      <c r="AI20" s="58" t="str">
        <f aca="false">IF($A20="","",$Q20-87-87)</f>
        <v/>
      </c>
      <c r="AJ20" s="59" t="str">
        <f aca="false">IF($A20="","",1*$F20)</f>
        <v/>
      </c>
      <c r="AK20" s="1" t="str">
        <f aca="false">IF($A20="","",(IF(OR($B20&gt;3000,$D20&gt;1200),5,4)+IF(OR($B20&gt;3000,$E20&gt;1200),5,4))*$F20)</f>
        <v/>
      </c>
      <c r="AL20" s="1" t="str">
        <f aca="false">IF($A20="","",4*2*$F20)</f>
        <v/>
      </c>
      <c r="AM20" s="1" t="str">
        <f aca="false">IF($A20="","",8*2*$F20)</f>
        <v/>
      </c>
      <c r="AN20" s="1" t="str">
        <f aca="false">IF($A20="","",$BC$1*$F20)</f>
        <v/>
      </c>
      <c r="AO20" s="1" t="str">
        <f aca="false">IF($A20="","",$BC$2*$F20)</f>
        <v/>
      </c>
      <c r="AP20" s="1" t="str">
        <f aca="false">IF($A20="","",$BC$3*$F20)</f>
        <v/>
      </c>
      <c r="AQ20" s="1" t="str">
        <f aca="false">IF($A20="","",1*$F20)</f>
        <v/>
      </c>
      <c r="AR20" s="1" t="str">
        <f aca="false">IF($A20="","",1*$F20)</f>
        <v/>
      </c>
      <c r="AS20" s="1" t="str">
        <f aca="false">IF($A20="","",1*$F20)</f>
        <v/>
      </c>
      <c r="AT20" s="1" t="str">
        <f aca="false">IF($A20="","",1*$F20)</f>
        <v/>
      </c>
      <c r="AU20" s="1" t="str">
        <f aca="false">IF($A20="","",8*$F20)</f>
        <v/>
      </c>
      <c r="AV20" s="1" t="str">
        <f aca="false">IF($A20="","",ROUND((2*($D20+$B20)+2*($E20+$B20))*$F20/1000,1))</f>
        <v/>
      </c>
      <c r="AW20" s="1" t="str">
        <f aca="false">IF($A20="","",ROUND((2*($C20+$B20))*$F20/1000,1))</f>
        <v/>
      </c>
      <c r="AX20" s="1" t="str">
        <f aca="false">IF($A20="","",1*$F20)</f>
        <v/>
      </c>
      <c r="AY20" s="0" t="str">
        <f aca="false">IF($A20="","",$BC$4*$F20)</f>
        <v/>
      </c>
    </row>
    <row r="21" customFormat="false" ht="39.75" hidden="false" customHeight="true" outlineLevel="0" collapsed="false">
      <c r="A21" s="88"/>
      <c r="B21" s="89"/>
      <c r="C21" s="100" t="str">
        <f aca="false">IF($A21="","",$D21+$E21)</f>
        <v/>
      </c>
      <c r="D21" s="91"/>
      <c r="E21" s="91"/>
      <c r="F21" s="91"/>
      <c r="G21" s="56" t="str">
        <f aca="false">IF($A21="","",$B21)</f>
        <v/>
      </c>
      <c r="H21" s="54" t="str">
        <f aca="false">IF($A21="","",2*$F21)</f>
        <v/>
      </c>
      <c r="I21" s="56" t="str">
        <f aca="false">IF($A21="","",$C21-$E$55-$F$55)</f>
        <v/>
      </c>
      <c r="J21" s="54" t="str">
        <f aca="false">IF($A21="","",1*$F21)</f>
        <v/>
      </c>
      <c r="K21" s="56" t="str">
        <f aca="false">IF($A21="","",$I21)</f>
        <v/>
      </c>
      <c r="L21" s="54" t="str">
        <f aca="false">IF($A21="","",1*$F21)</f>
        <v/>
      </c>
      <c r="M21" s="56" t="str">
        <f aca="false">IF($A21="","",$B21-$E$57-$F$57)</f>
        <v/>
      </c>
      <c r="N21" s="54" t="str">
        <f aca="false">IF($A21="","",4*$F21)</f>
        <v/>
      </c>
      <c r="O21" s="56" t="str">
        <f aca="false">IF($A21="","",(($D21-$E$58-$F$58)))</f>
        <v/>
      </c>
      <c r="P21" s="54" t="str">
        <f aca="false">IF($A21="","",2*$F21)</f>
        <v/>
      </c>
      <c r="Q21" s="56" t="str">
        <f aca="false">IF($A21="","",(($E21-$E$59-$F$59)))</f>
        <v/>
      </c>
      <c r="R21" s="54" t="str">
        <f aca="false">IF($A21="","",2*$F21)</f>
        <v/>
      </c>
      <c r="S21" s="56" t="str">
        <f aca="false">IF($A21="","",$M21-$E$60-$F$60)</f>
        <v/>
      </c>
      <c r="T21" s="54" t="str">
        <f aca="false">IF($A21="","",4*$F21)</f>
        <v/>
      </c>
      <c r="U21" s="56" t="str">
        <f aca="false">IF($A21="","",$O21-$E$61-$F$61)</f>
        <v/>
      </c>
      <c r="V21" s="54" t="str">
        <f aca="false">IF($A21="","",2*$F21)</f>
        <v/>
      </c>
      <c r="W21" s="56" t="str">
        <f aca="false">IF($A21="","",$Q21-$E$62-$F$62)</f>
        <v/>
      </c>
      <c r="X21" s="54" t="str">
        <f aca="false">IF($A21="","",2*$F21)</f>
        <v/>
      </c>
      <c r="Y21" s="56" t="str">
        <f aca="false">IF($A21="","",$I21)</f>
        <v/>
      </c>
      <c r="Z21" s="54" t="str">
        <f aca="false">IF($A21="","",1*$F21)</f>
        <v/>
      </c>
      <c r="AA21" s="56" t="str">
        <f aca="false">IF($A21="","",$B21-$E$64-$F$64)</f>
        <v/>
      </c>
      <c r="AB21" s="54" t="str">
        <f aca="false">IF($A21="","",1*$F21)</f>
        <v/>
      </c>
      <c r="AC21" s="56"/>
      <c r="AD21" s="54"/>
      <c r="AE21" s="57" t="str">
        <f aca="false">IF($A21="","",$M21-87-87)</f>
        <v/>
      </c>
      <c r="AF21" s="58" t="str">
        <f aca="false">IF($A21="","",$O21-87-87)</f>
        <v/>
      </c>
      <c r="AG21" s="59" t="str">
        <f aca="false">IF($A21="","",1*$F21)</f>
        <v/>
      </c>
      <c r="AH21" s="57" t="str">
        <f aca="false">IF($A21="","",$M21-87-87)</f>
        <v/>
      </c>
      <c r="AI21" s="58" t="str">
        <f aca="false">IF($A21="","",$Q21-87-87)</f>
        <v/>
      </c>
      <c r="AJ21" s="59" t="str">
        <f aca="false">IF($A21="","",1*$F21)</f>
        <v/>
      </c>
      <c r="AK21" s="1" t="str">
        <f aca="false">IF($A21="","",(IF(OR($B21&gt;3000,$D21&gt;1200),5,4)+IF(OR($B21&gt;3000,$E21&gt;1200),5,4))*$F21)</f>
        <v/>
      </c>
      <c r="AL21" s="1" t="str">
        <f aca="false">IF($A21="","",4*2*$F21)</f>
        <v/>
      </c>
      <c r="AM21" s="1" t="str">
        <f aca="false">IF($A21="","",8*2*$F21)</f>
        <v/>
      </c>
      <c r="AN21" s="1" t="str">
        <f aca="false">IF($A21="","",$BC$1*$F21)</f>
        <v/>
      </c>
      <c r="AO21" s="1" t="str">
        <f aca="false">IF($A21="","",$BC$2*$F21)</f>
        <v/>
      </c>
      <c r="AP21" s="1" t="str">
        <f aca="false">IF($A21="","",$BC$3*$F21)</f>
        <v/>
      </c>
      <c r="AQ21" s="1" t="str">
        <f aca="false">IF($A21="","",1*$F21)</f>
        <v/>
      </c>
      <c r="AR21" s="1" t="str">
        <f aca="false">IF($A21="","",1*$F21)</f>
        <v/>
      </c>
      <c r="AS21" s="1" t="str">
        <f aca="false">IF($A21="","",1*$F21)</f>
        <v/>
      </c>
      <c r="AT21" s="1" t="str">
        <f aca="false">IF($A21="","",1*$F21)</f>
        <v/>
      </c>
      <c r="AU21" s="1" t="str">
        <f aca="false">IF($A21="","",8*$F21)</f>
        <v/>
      </c>
      <c r="AV21" s="1" t="str">
        <f aca="false">IF($A21="","",ROUND((2*($D21+$B21)+2*($E21+$B21))*$F21/1000,1))</f>
        <v/>
      </c>
      <c r="AW21" s="1" t="str">
        <f aca="false">IF($A21="","",ROUND((2*($C21+$B21))*$F21/1000,1))</f>
        <v/>
      </c>
      <c r="AX21" s="1" t="str">
        <f aca="false">IF($A21="","",1*$F21)</f>
        <v/>
      </c>
      <c r="AY21" s="0" t="str">
        <f aca="false">IF($A21="","",$BC$4*$F21)</f>
        <v/>
      </c>
    </row>
    <row r="22" customFormat="false" ht="39.75" hidden="false" customHeight="true" outlineLevel="0" collapsed="false">
      <c r="A22" s="88"/>
      <c r="B22" s="89"/>
      <c r="C22" s="100" t="str">
        <f aca="false">IF($A22="","",$D22+$E22)</f>
        <v/>
      </c>
      <c r="D22" s="91"/>
      <c r="E22" s="91"/>
      <c r="F22" s="91"/>
      <c r="G22" s="60" t="str">
        <f aca="false">IF($A22="","",$B22)</f>
        <v/>
      </c>
      <c r="H22" s="61" t="str">
        <f aca="false">IF($A22="","",2*$F22)</f>
        <v/>
      </c>
      <c r="I22" s="60" t="str">
        <f aca="false">IF($A22="","",$C22-$E$55-$F$55)</f>
        <v/>
      </c>
      <c r="J22" s="61" t="str">
        <f aca="false">IF($A22="","",1*$F22)</f>
        <v/>
      </c>
      <c r="K22" s="60" t="str">
        <f aca="false">IF($A22="","",$I22)</f>
        <v/>
      </c>
      <c r="L22" s="61" t="str">
        <f aca="false">IF($A22="","",1*$F22)</f>
        <v/>
      </c>
      <c r="M22" s="60" t="str">
        <f aca="false">IF($A22="","",$B22-$E$57-$F$57)</f>
        <v/>
      </c>
      <c r="N22" s="61" t="str">
        <f aca="false">IF($A22="","",4*$F22)</f>
        <v/>
      </c>
      <c r="O22" s="60" t="str">
        <f aca="false">IF($A22="","",(($D22-$E$58-$F$58)))</f>
        <v/>
      </c>
      <c r="P22" s="61" t="str">
        <f aca="false">IF($A22="","",2*$F22)</f>
        <v/>
      </c>
      <c r="Q22" s="60" t="str">
        <f aca="false">IF($A22="","",(($E22-$E$59-$F$59)))</f>
        <v/>
      </c>
      <c r="R22" s="61" t="str">
        <f aca="false">IF($A22="","",2*$F22)</f>
        <v/>
      </c>
      <c r="S22" s="60" t="str">
        <f aca="false">IF($A22="","",$M22-$E$60-$F$60)</f>
        <v/>
      </c>
      <c r="T22" s="61" t="str">
        <f aca="false">IF($A22="","",4*$F22)</f>
        <v/>
      </c>
      <c r="U22" s="60" t="str">
        <f aca="false">IF($A22="","",$O22-$E$61-$F$61)</f>
        <v/>
      </c>
      <c r="V22" s="61" t="str">
        <f aca="false">IF($A22="","",2*$F22)</f>
        <v/>
      </c>
      <c r="W22" s="60" t="str">
        <f aca="false">IF($A22="","",$Q22-$E$62-$F$62)</f>
        <v/>
      </c>
      <c r="X22" s="61" t="str">
        <f aca="false">IF($A22="","",2*$F22)</f>
        <v/>
      </c>
      <c r="Y22" s="60" t="str">
        <f aca="false">IF($A22="","",$I22)</f>
        <v/>
      </c>
      <c r="Z22" s="61" t="str">
        <f aca="false">IF($A22="","",1*$F22)</f>
        <v/>
      </c>
      <c r="AA22" s="60" t="str">
        <f aca="false">IF($A22="","",$B22-$E$64-$F$64)</f>
        <v/>
      </c>
      <c r="AB22" s="61" t="str">
        <f aca="false">IF($A22="","",1*$F22)</f>
        <v/>
      </c>
      <c r="AC22" s="60"/>
      <c r="AD22" s="61"/>
      <c r="AE22" s="57" t="str">
        <f aca="false">IF($A22="","",$M22-87-87)</f>
        <v/>
      </c>
      <c r="AF22" s="58" t="str">
        <f aca="false">IF($A22="","",$O22-87-87)</f>
        <v/>
      </c>
      <c r="AG22" s="59" t="str">
        <f aca="false">IF($A22="","",1*$F22)</f>
        <v/>
      </c>
      <c r="AH22" s="57" t="str">
        <f aca="false">IF($A22="","",$M22-87-87)</f>
        <v/>
      </c>
      <c r="AI22" s="58" t="str">
        <f aca="false">IF($A22="","",$Q22-87-87)</f>
        <v/>
      </c>
      <c r="AJ22" s="59" t="str">
        <f aca="false">IF($A22="","",1*$F22)</f>
        <v/>
      </c>
      <c r="AK22" s="1" t="str">
        <f aca="false">IF($A22="","",(IF(OR($B22&gt;3000,$D22&gt;1200),5,4)+IF(OR($B22&gt;3000,$E22&gt;1200),5,4))*$F22)</f>
        <v/>
      </c>
      <c r="AL22" s="1" t="str">
        <f aca="false">IF($A22="","",4*2*$F22)</f>
        <v/>
      </c>
      <c r="AM22" s="1" t="str">
        <f aca="false">IF($A22="","",8*2*$F22)</f>
        <v/>
      </c>
      <c r="AN22" s="1" t="str">
        <f aca="false">IF($A22="","",$BC$1*$F22)</f>
        <v/>
      </c>
      <c r="AO22" s="1" t="str">
        <f aca="false">IF($A22="","",$BC$2*$F22)</f>
        <v/>
      </c>
      <c r="AP22" s="1" t="str">
        <f aca="false">IF($A22="","",$BC$3*$F22)</f>
        <v/>
      </c>
      <c r="AQ22" s="1" t="str">
        <f aca="false">IF($A22="","",1*$F22)</f>
        <v/>
      </c>
      <c r="AR22" s="1" t="str">
        <f aca="false">IF($A22="","",1*$F22)</f>
        <v/>
      </c>
      <c r="AS22" s="1" t="str">
        <f aca="false">IF($A22="","",1*$F22)</f>
        <v/>
      </c>
      <c r="AT22" s="1" t="str">
        <f aca="false">IF($A22="","",1*$F22)</f>
        <v/>
      </c>
      <c r="AU22" s="1" t="str">
        <f aca="false">IF($A22="","",8*$F22)</f>
        <v/>
      </c>
      <c r="AV22" s="1" t="str">
        <f aca="false">IF($A22="","",ROUND((2*($D22+$B22)+2*($E22+$B22))*$F22/1000,1))</f>
        <v/>
      </c>
      <c r="AW22" s="1" t="str">
        <f aca="false">IF($A22="","",ROUND((2*($C22+$B22))*$F22/1000,1))</f>
        <v/>
      </c>
      <c r="AX22" s="1" t="str">
        <f aca="false">IF($A22="","",1*$F22)</f>
        <v/>
      </c>
      <c r="AY22" s="0" t="str">
        <f aca="false">IF($A22="","",$BC$4*$F22)</f>
        <v/>
      </c>
    </row>
    <row r="23" customFormat="false" ht="39.75" hidden="false" customHeight="true" outlineLevel="0" collapsed="false">
      <c r="A23" s="88"/>
      <c r="B23" s="89"/>
      <c r="C23" s="100" t="str">
        <f aca="false">IF($A23="","",$D23+$E23)</f>
        <v/>
      </c>
      <c r="D23" s="91"/>
      <c r="E23" s="91"/>
      <c r="F23" s="91"/>
      <c r="G23" s="56" t="str">
        <f aca="false">IF($A23="","",$B23)</f>
        <v/>
      </c>
      <c r="H23" s="54" t="str">
        <f aca="false">IF($A23="","",2*$F23)</f>
        <v/>
      </c>
      <c r="I23" s="56" t="str">
        <f aca="false">IF($A23="","",$C23-$E$55-$F$55)</f>
        <v/>
      </c>
      <c r="J23" s="54" t="str">
        <f aca="false">IF($A23="","",1*$F23)</f>
        <v/>
      </c>
      <c r="K23" s="56" t="str">
        <f aca="false">IF($A23="","",$I23)</f>
        <v/>
      </c>
      <c r="L23" s="54" t="str">
        <f aca="false">IF($A23="","",1*$F23)</f>
        <v/>
      </c>
      <c r="M23" s="56" t="str">
        <f aca="false">IF($A23="","",$B23-$E$57-$F$57)</f>
        <v/>
      </c>
      <c r="N23" s="54" t="str">
        <f aca="false">IF($A23="","",4*$F23)</f>
        <v/>
      </c>
      <c r="O23" s="56" t="str">
        <f aca="false">IF($A23="","",(($D23-$E$58-$F$58)))</f>
        <v/>
      </c>
      <c r="P23" s="54" t="str">
        <f aca="false">IF($A23="","",2*$F23)</f>
        <v/>
      </c>
      <c r="Q23" s="56" t="str">
        <f aca="false">IF($A23="","",(($E23-$E$59-$F$59)))</f>
        <v/>
      </c>
      <c r="R23" s="54" t="str">
        <f aca="false">IF($A23="","",2*$F23)</f>
        <v/>
      </c>
      <c r="S23" s="56" t="str">
        <f aca="false">IF($A23="","",$M23-$E$60-$F$60)</f>
        <v/>
      </c>
      <c r="T23" s="54" t="str">
        <f aca="false">IF($A23="","",4*$F23)</f>
        <v/>
      </c>
      <c r="U23" s="56" t="str">
        <f aca="false">IF($A23="","",$O23-$E$61-$F$61)</f>
        <v/>
      </c>
      <c r="V23" s="54" t="str">
        <f aca="false">IF($A23="","",2*$F23)</f>
        <v/>
      </c>
      <c r="W23" s="56" t="str">
        <f aca="false">IF($A23="","",$Q23-$E$62-$F$62)</f>
        <v/>
      </c>
      <c r="X23" s="54" t="str">
        <f aca="false">IF($A23="","",2*$F23)</f>
        <v/>
      </c>
      <c r="Y23" s="56" t="str">
        <f aca="false">IF($A23="","",$I23)</f>
        <v/>
      </c>
      <c r="Z23" s="54" t="str">
        <f aca="false">IF($A23="","",1*$F23)</f>
        <v/>
      </c>
      <c r="AA23" s="56" t="str">
        <f aca="false">IF($A23="","",$B23-$E$64-$F$64)</f>
        <v/>
      </c>
      <c r="AB23" s="54" t="str">
        <f aca="false">IF($A23="","",1*$F23)</f>
        <v/>
      </c>
      <c r="AC23" s="56"/>
      <c r="AD23" s="54"/>
      <c r="AE23" s="57" t="str">
        <f aca="false">IF($A23="","",$M23-87-87)</f>
        <v/>
      </c>
      <c r="AF23" s="58" t="str">
        <f aca="false">IF($A23="","",$O23-87-87)</f>
        <v/>
      </c>
      <c r="AG23" s="59" t="str">
        <f aca="false">IF($A23="","",1*$F23)</f>
        <v/>
      </c>
      <c r="AH23" s="57" t="str">
        <f aca="false">IF($A23="","",$M23-87-87)</f>
        <v/>
      </c>
      <c r="AI23" s="58" t="str">
        <f aca="false">IF($A23="","",$Q23-87-87)</f>
        <v/>
      </c>
      <c r="AJ23" s="59" t="str">
        <f aca="false">IF($A23="","",1*$F23)</f>
        <v/>
      </c>
      <c r="AK23" s="1" t="str">
        <f aca="false">IF($A23="","",(IF(OR($B23&gt;3000,$D23&gt;1200),5,4)+IF(OR($B23&gt;3000,$E23&gt;1200),5,4))*$F23)</f>
        <v/>
      </c>
      <c r="AL23" s="1" t="str">
        <f aca="false">IF($A23="","",4*2*$F23)</f>
        <v/>
      </c>
      <c r="AM23" s="1" t="str">
        <f aca="false">IF($A23="","",8*2*$F23)</f>
        <v/>
      </c>
      <c r="AN23" s="1" t="str">
        <f aca="false">IF($A23="","",$BC$1*$F23)</f>
        <v/>
      </c>
      <c r="AO23" s="1" t="str">
        <f aca="false">IF($A23="","",$BC$2*$F23)</f>
        <v/>
      </c>
      <c r="AP23" s="1" t="str">
        <f aca="false">IF($A23="","",$BC$3*$F23)</f>
        <v/>
      </c>
      <c r="AQ23" s="1" t="str">
        <f aca="false">IF($A23="","",1*$F23)</f>
        <v/>
      </c>
      <c r="AR23" s="1" t="str">
        <f aca="false">IF($A23="","",1*$F23)</f>
        <v/>
      </c>
      <c r="AS23" s="1" t="str">
        <f aca="false">IF($A23="","",1*$F23)</f>
        <v/>
      </c>
      <c r="AT23" s="1" t="str">
        <f aca="false">IF($A23="","",1*$F23)</f>
        <v/>
      </c>
      <c r="AU23" s="1" t="str">
        <f aca="false">IF($A23="","",8*$F23)</f>
        <v/>
      </c>
      <c r="AV23" s="1" t="str">
        <f aca="false">IF($A23="","",ROUND((2*($D23+$B23)+2*($E23+$B23))*$F23/1000,1))</f>
        <v/>
      </c>
      <c r="AW23" s="1" t="str">
        <f aca="false">IF($A23="","",ROUND((2*($C23+$B23))*$F23/1000,1))</f>
        <v/>
      </c>
      <c r="AX23" s="1" t="str">
        <f aca="false">IF($A23="","",1*$F23)</f>
        <v/>
      </c>
      <c r="AY23" s="0" t="str">
        <f aca="false">IF($A23="","",$BC$4*$F23)</f>
        <v/>
      </c>
    </row>
    <row r="24" customFormat="false" ht="39.75" hidden="false" customHeight="true" outlineLevel="0" collapsed="false">
      <c r="A24" s="88"/>
      <c r="B24" s="89"/>
      <c r="C24" s="100" t="str">
        <f aca="false">IF($A24="","",$D24+$E24)</f>
        <v/>
      </c>
      <c r="D24" s="91"/>
      <c r="E24" s="91"/>
      <c r="F24" s="91"/>
      <c r="G24" s="60" t="str">
        <f aca="false">IF($A24="","",$B24)</f>
        <v/>
      </c>
      <c r="H24" s="61" t="str">
        <f aca="false">IF($A24="","",2*$F24)</f>
        <v/>
      </c>
      <c r="I24" s="60" t="str">
        <f aca="false">IF($A24="","",$C24-$E$55-$F$55)</f>
        <v/>
      </c>
      <c r="J24" s="61" t="str">
        <f aca="false">IF($A24="","",1*$F24)</f>
        <v/>
      </c>
      <c r="K24" s="60" t="str">
        <f aca="false">IF($A24="","",$I24)</f>
        <v/>
      </c>
      <c r="L24" s="61" t="str">
        <f aca="false">IF($A24="","",1*$F24)</f>
        <v/>
      </c>
      <c r="M24" s="60" t="str">
        <f aca="false">IF($A24="","",$B24-$E$57-$F$57)</f>
        <v/>
      </c>
      <c r="N24" s="61" t="str">
        <f aca="false">IF($A24="","",4*$F24)</f>
        <v/>
      </c>
      <c r="O24" s="60" t="str">
        <f aca="false">IF($A24="","",(($D24-$E$58-$F$58)))</f>
        <v/>
      </c>
      <c r="P24" s="61" t="str">
        <f aca="false">IF($A24="","",2*$F24)</f>
        <v/>
      </c>
      <c r="Q24" s="60" t="str">
        <f aca="false">IF($A24="","",(($E24-$E$59-$F$59)))</f>
        <v/>
      </c>
      <c r="R24" s="61" t="str">
        <f aca="false">IF($A24="","",2*$F24)</f>
        <v/>
      </c>
      <c r="S24" s="60" t="str">
        <f aca="false">IF($A24="","",$M24-$E$60-$F$60)</f>
        <v/>
      </c>
      <c r="T24" s="61" t="str">
        <f aca="false">IF($A24="","",4*$F24)</f>
        <v/>
      </c>
      <c r="U24" s="60" t="str">
        <f aca="false">IF($A24="","",$O24-$E$61-$F$61)</f>
        <v/>
      </c>
      <c r="V24" s="61" t="str">
        <f aca="false">IF($A24="","",2*$F24)</f>
        <v/>
      </c>
      <c r="W24" s="60" t="str">
        <f aca="false">IF($A24="","",$Q24-$E$62-$F$62)</f>
        <v/>
      </c>
      <c r="X24" s="61" t="str">
        <f aca="false">IF($A24="","",2*$F24)</f>
        <v/>
      </c>
      <c r="Y24" s="60" t="str">
        <f aca="false">IF($A24="","",$I24)</f>
        <v/>
      </c>
      <c r="Z24" s="61" t="str">
        <f aca="false">IF($A24="","",1*$F24)</f>
        <v/>
      </c>
      <c r="AA24" s="60" t="str">
        <f aca="false">IF($A24="","",$B24-$E$64-$F$64)</f>
        <v/>
      </c>
      <c r="AB24" s="61" t="str">
        <f aca="false">IF($A24="","",1*$F24)</f>
        <v/>
      </c>
      <c r="AC24" s="60"/>
      <c r="AD24" s="61"/>
      <c r="AE24" s="57" t="str">
        <f aca="false">IF($A24="","",$M24-87-87)</f>
        <v/>
      </c>
      <c r="AF24" s="58" t="str">
        <f aca="false">IF($A24="","",$O24-87-87)</f>
        <v/>
      </c>
      <c r="AG24" s="59" t="str">
        <f aca="false">IF($A24="","",1*$F24)</f>
        <v/>
      </c>
      <c r="AH24" s="57" t="str">
        <f aca="false">IF($A24="","",$M24-87-87)</f>
        <v/>
      </c>
      <c r="AI24" s="58" t="str">
        <f aca="false">IF($A24="","",$Q24-87-87)</f>
        <v/>
      </c>
      <c r="AJ24" s="59" t="str">
        <f aca="false">IF($A24="","",1*$F24)</f>
        <v/>
      </c>
      <c r="AK24" s="1" t="str">
        <f aca="false">IF($A24="","",(IF(OR($B24&gt;3000,$D24&gt;1200),5,4)+IF(OR($B24&gt;3000,$E24&gt;1200),5,4))*$F24)</f>
        <v/>
      </c>
      <c r="AL24" s="1" t="str">
        <f aca="false">IF($A24="","",4*2*$F24)</f>
        <v/>
      </c>
      <c r="AM24" s="1" t="str">
        <f aca="false">IF($A24="","",8*2*$F24)</f>
        <v/>
      </c>
      <c r="AN24" s="1" t="str">
        <f aca="false">IF($A24="","",$BC$1*$F24)</f>
        <v/>
      </c>
      <c r="AO24" s="1" t="str">
        <f aca="false">IF($A24="","",$BC$2*$F24)</f>
        <v/>
      </c>
      <c r="AP24" s="1" t="str">
        <f aca="false">IF($A24="","",$BC$3*$F24)</f>
        <v/>
      </c>
      <c r="AQ24" s="1" t="str">
        <f aca="false">IF($A24="","",1*$F24)</f>
        <v/>
      </c>
      <c r="AR24" s="1" t="str">
        <f aca="false">IF($A24="","",1*$F24)</f>
        <v/>
      </c>
      <c r="AS24" s="1" t="str">
        <f aca="false">IF($A24="","",1*$F24)</f>
        <v/>
      </c>
      <c r="AT24" s="1" t="str">
        <f aca="false">IF($A24="","",1*$F24)</f>
        <v/>
      </c>
      <c r="AU24" s="1" t="str">
        <f aca="false">IF($A24="","",8*$F24)</f>
        <v/>
      </c>
      <c r="AV24" s="1" t="str">
        <f aca="false">IF($A24="","",ROUND((2*($D24+$B24)+2*($E24+$B24))*$F24/1000,1))</f>
        <v/>
      </c>
      <c r="AW24" s="1" t="str">
        <f aca="false">IF($A24="","",ROUND((2*($C24+$B24))*$F24/1000,1))</f>
        <v/>
      </c>
      <c r="AX24" s="1" t="str">
        <f aca="false">IF($A24="","",1*$F24)</f>
        <v/>
      </c>
      <c r="AY24" s="0" t="str">
        <f aca="false">IF($A24="","",$BC$4*$F24)</f>
        <v/>
      </c>
    </row>
    <row r="25" customFormat="false" ht="39.75" hidden="false" customHeight="true" outlineLevel="0" collapsed="false">
      <c r="A25" s="88"/>
      <c r="B25" s="89"/>
      <c r="C25" s="100" t="str">
        <f aca="false">IF($A25="","",$D25+$E25)</f>
        <v/>
      </c>
      <c r="D25" s="91"/>
      <c r="E25" s="91"/>
      <c r="F25" s="91"/>
      <c r="G25" s="56" t="str">
        <f aca="false">IF($A25="","",$B25)</f>
        <v/>
      </c>
      <c r="H25" s="54" t="str">
        <f aca="false">IF($A25="","",2*$F25)</f>
        <v/>
      </c>
      <c r="I25" s="56" t="str">
        <f aca="false">IF($A25="","",$C25-$E$55-$F$55)</f>
        <v/>
      </c>
      <c r="J25" s="54" t="str">
        <f aca="false">IF($A25="","",1*$F25)</f>
        <v/>
      </c>
      <c r="K25" s="56" t="str">
        <f aca="false">IF($A25="","",$I25)</f>
        <v/>
      </c>
      <c r="L25" s="54" t="str">
        <f aca="false">IF($A25="","",1*$F25)</f>
        <v/>
      </c>
      <c r="M25" s="56" t="str">
        <f aca="false">IF($A25="","",$B25-$E$57-$F$57)</f>
        <v/>
      </c>
      <c r="N25" s="54" t="str">
        <f aca="false">IF($A25="","",4*$F25)</f>
        <v/>
      </c>
      <c r="O25" s="56" t="str">
        <f aca="false">IF($A25="","",(($D25-$E$58-$F$58)))</f>
        <v/>
      </c>
      <c r="P25" s="54" t="str">
        <f aca="false">IF($A25="","",2*$F25)</f>
        <v/>
      </c>
      <c r="Q25" s="56" t="str">
        <f aca="false">IF($A25="","",(($E25-$E$59-$F$59)))</f>
        <v/>
      </c>
      <c r="R25" s="54" t="str">
        <f aca="false">IF($A25="","",2*$F25)</f>
        <v/>
      </c>
      <c r="S25" s="56" t="str">
        <f aca="false">IF($A25="","",$M25-$E$60-$F$60)</f>
        <v/>
      </c>
      <c r="T25" s="54" t="str">
        <f aca="false">IF($A25="","",4*$F25)</f>
        <v/>
      </c>
      <c r="U25" s="56" t="str">
        <f aca="false">IF($A25="","",$O25-$E$61-$F$61)</f>
        <v/>
      </c>
      <c r="V25" s="54" t="str">
        <f aca="false">IF($A25="","",2*$F25)</f>
        <v/>
      </c>
      <c r="W25" s="56" t="str">
        <f aca="false">IF($A25="","",$Q25-$E$62-$F$62)</f>
        <v/>
      </c>
      <c r="X25" s="54" t="str">
        <f aca="false">IF($A25="","",2*$F25)</f>
        <v/>
      </c>
      <c r="Y25" s="56" t="str">
        <f aca="false">IF($A25="","",$I25)</f>
        <v/>
      </c>
      <c r="Z25" s="54" t="str">
        <f aca="false">IF($A25="","",1*$F25)</f>
        <v/>
      </c>
      <c r="AA25" s="56" t="str">
        <f aca="false">IF($A25="","",$B25-$E$64-$F$64)</f>
        <v/>
      </c>
      <c r="AB25" s="54" t="str">
        <f aca="false">IF($A25="","",1*$F25)</f>
        <v/>
      </c>
      <c r="AC25" s="56"/>
      <c r="AD25" s="54"/>
      <c r="AE25" s="57" t="str">
        <f aca="false">IF($A25="","",$M25-87-87)</f>
        <v/>
      </c>
      <c r="AF25" s="58" t="str">
        <f aca="false">IF($A25="","",$O25-87-87)</f>
        <v/>
      </c>
      <c r="AG25" s="59" t="str">
        <f aca="false">IF($A25="","",1*$F25)</f>
        <v/>
      </c>
      <c r="AH25" s="57" t="str">
        <f aca="false">IF($A25="","",$M25-87-87)</f>
        <v/>
      </c>
      <c r="AI25" s="58" t="str">
        <f aca="false">IF($A25="","",$Q25-87-87)</f>
        <v/>
      </c>
      <c r="AJ25" s="59" t="str">
        <f aca="false">IF($A25="","",1*$F25)</f>
        <v/>
      </c>
      <c r="AK25" s="1" t="str">
        <f aca="false">IF($A25="","",(IF(OR($B25&gt;3000,$D25&gt;1200),5,4)+IF(OR($B25&gt;3000,$E25&gt;1200),5,4))*$F25)</f>
        <v/>
      </c>
      <c r="AL25" s="1" t="str">
        <f aca="false">IF($A25="","",4*2*$F25)</f>
        <v/>
      </c>
      <c r="AM25" s="1" t="str">
        <f aca="false">IF($A25="","",8*2*$F25)</f>
        <v/>
      </c>
      <c r="AN25" s="1" t="str">
        <f aca="false">IF($A25="","",$BC$1*$F25)</f>
        <v/>
      </c>
      <c r="AO25" s="1" t="str">
        <f aca="false">IF($A25="","",$BC$2*$F25)</f>
        <v/>
      </c>
      <c r="AP25" s="1" t="str">
        <f aca="false">IF($A25="","",$BC$3*$F25)</f>
        <v/>
      </c>
      <c r="AQ25" s="1" t="str">
        <f aca="false">IF($A25="","",1*$F25)</f>
        <v/>
      </c>
      <c r="AR25" s="1" t="str">
        <f aca="false">IF($A25="","",1*$F25)</f>
        <v/>
      </c>
      <c r="AS25" s="1" t="str">
        <f aca="false">IF($A25="","",1*$F25)</f>
        <v/>
      </c>
      <c r="AT25" s="1" t="str">
        <f aca="false">IF($A25="","",1*$F25)</f>
        <v/>
      </c>
      <c r="AU25" s="1" t="str">
        <f aca="false">IF($A25="","",8*$F25)</f>
        <v/>
      </c>
      <c r="AV25" s="1" t="str">
        <f aca="false">IF($A25="","",ROUND((2*($D25+$B25)+2*($E25+$B25))*$F25/1000,1))</f>
        <v/>
      </c>
      <c r="AW25" s="1" t="str">
        <f aca="false">IF($A25="","",ROUND((2*($C25+$B25))*$F25/1000,1))</f>
        <v/>
      </c>
      <c r="AX25" s="1" t="str">
        <f aca="false">IF($A25="","",1*$F25)</f>
        <v/>
      </c>
      <c r="AY25" s="0" t="str">
        <f aca="false">IF($A25="","",$BC$4*$F25)</f>
        <v/>
      </c>
    </row>
    <row r="26" customFormat="false" ht="39.75" hidden="false" customHeight="true" outlineLevel="0" collapsed="false">
      <c r="A26" s="88"/>
      <c r="B26" s="89"/>
      <c r="C26" s="100" t="str">
        <f aca="false">IF($A26="","",$D26+$E26)</f>
        <v/>
      </c>
      <c r="D26" s="91"/>
      <c r="E26" s="91"/>
      <c r="F26" s="91"/>
      <c r="G26" s="60" t="str">
        <f aca="false">IF($A26="","",$B26)</f>
        <v/>
      </c>
      <c r="H26" s="61" t="str">
        <f aca="false">IF($A26="","",2*$F26)</f>
        <v/>
      </c>
      <c r="I26" s="60" t="str">
        <f aca="false">IF($A26="","",$C26-$E$55-$F$55)</f>
        <v/>
      </c>
      <c r="J26" s="61" t="str">
        <f aca="false">IF($A26="","",1*$F26)</f>
        <v/>
      </c>
      <c r="K26" s="60" t="str">
        <f aca="false">IF($A26="","",$I26)</f>
        <v/>
      </c>
      <c r="L26" s="61" t="str">
        <f aca="false">IF($A26="","",1*$F26)</f>
        <v/>
      </c>
      <c r="M26" s="60" t="str">
        <f aca="false">IF($A26="","",$B26-$E$57-$F$57)</f>
        <v/>
      </c>
      <c r="N26" s="61" t="str">
        <f aca="false">IF($A26="","",4*$F26)</f>
        <v/>
      </c>
      <c r="O26" s="60" t="str">
        <f aca="false">IF($A26="","",(($D26-$E$58-$F$58)))</f>
        <v/>
      </c>
      <c r="P26" s="61" t="str">
        <f aca="false">IF($A26="","",2*$F26)</f>
        <v/>
      </c>
      <c r="Q26" s="60" t="str">
        <f aca="false">IF($A26="","",(($E26-$E$59-$F$59)))</f>
        <v/>
      </c>
      <c r="R26" s="61" t="str">
        <f aca="false">IF($A26="","",2*$F26)</f>
        <v/>
      </c>
      <c r="S26" s="60" t="str">
        <f aca="false">IF($A26="","",$M26-$E$60-$F$60)</f>
        <v/>
      </c>
      <c r="T26" s="61" t="str">
        <f aca="false">IF($A26="","",4*$F26)</f>
        <v/>
      </c>
      <c r="U26" s="60" t="str">
        <f aca="false">IF($A26="","",$O26-$E$61-$F$61)</f>
        <v/>
      </c>
      <c r="V26" s="61" t="str">
        <f aca="false">IF($A26="","",2*$F26)</f>
        <v/>
      </c>
      <c r="W26" s="60" t="str">
        <f aca="false">IF($A26="","",$Q26-$E$62-$F$62)</f>
        <v/>
      </c>
      <c r="X26" s="61" t="str">
        <f aca="false">IF($A26="","",2*$F26)</f>
        <v/>
      </c>
      <c r="Y26" s="60" t="str">
        <f aca="false">IF($A26="","",$I26)</f>
        <v/>
      </c>
      <c r="Z26" s="61" t="str">
        <f aca="false">IF($A26="","",1*$F26)</f>
        <v/>
      </c>
      <c r="AA26" s="60" t="str">
        <f aca="false">IF($A26="","",$B26-$E$64-$F$64)</f>
        <v/>
      </c>
      <c r="AB26" s="61" t="str">
        <f aca="false">IF($A26="","",1*$F26)</f>
        <v/>
      </c>
      <c r="AC26" s="60"/>
      <c r="AD26" s="61"/>
      <c r="AE26" s="57" t="str">
        <f aca="false">IF($A26="","",$M26-87-87)</f>
        <v/>
      </c>
      <c r="AF26" s="58" t="str">
        <f aca="false">IF($A26="","",$O26-87-87)</f>
        <v/>
      </c>
      <c r="AG26" s="59" t="str">
        <f aca="false">IF($A26="","",1*$F26)</f>
        <v/>
      </c>
      <c r="AH26" s="57" t="str">
        <f aca="false">IF($A26="","",$M26-87-87)</f>
        <v/>
      </c>
      <c r="AI26" s="58" t="str">
        <f aca="false">IF($A26="","",$Q26-87-87)</f>
        <v/>
      </c>
      <c r="AJ26" s="59" t="str">
        <f aca="false">IF($A26="","",1*$F26)</f>
        <v/>
      </c>
      <c r="AK26" s="1" t="str">
        <f aca="false">IF($A26="","",(IF(OR($B26&gt;3000,$D26&gt;1200),5,4)+IF(OR($B26&gt;3000,$E26&gt;1200),5,4))*$F26)</f>
        <v/>
      </c>
      <c r="AL26" s="1" t="str">
        <f aca="false">IF($A26="","",4*2*$F26)</f>
        <v/>
      </c>
      <c r="AM26" s="1" t="str">
        <f aca="false">IF($A26="","",8*2*$F26)</f>
        <v/>
      </c>
      <c r="AN26" s="1" t="str">
        <f aca="false">IF($A26="","",$BC$1*$F26)</f>
        <v/>
      </c>
      <c r="AO26" s="1" t="str">
        <f aca="false">IF($A26="","",$BC$2*$F26)</f>
        <v/>
      </c>
      <c r="AP26" s="1" t="str">
        <f aca="false">IF($A26="","",$BC$3*$F26)</f>
        <v/>
      </c>
      <c r="AQ26" s="1" t="str">
        <f aca="false">IF($A26="","",1*$F26)</f>
        <v/>
      </c>
      <c r="AR26" s="1" t="str">
        <f aca="false">IF($A26="","",1*$F26)</f>
        <v/>
      </c>
      <c r="AS26" s="1" t="str">
        <f aca="false">IF($A26="","",1*$F26)</f>
        <v/>
      </c>
      <c r="AT26" s="1" t="str">
        <f aca="false">IF($A26="","",1*$F26)</f>
        <v/>
      </c>
      <c r="AU26" s="1" t="str">
        <f aca="false">IF($A26="","",8*$F26)</f>
        <v/>
      </c>
      <c r="AV26" s="1" t="str">
        <f aca="false">IF($A26="","",ROUND((2*($D26+$B26)+2*($E26+$B26))*$F26/1000,1))</f>
        <v/>
      </c>
      <c r="AW26" s="1" t="str">
        <f aca="false">IF($A26="","",ROUND((2*($C26+$B26))*$F26/1000,1))</f>
        <v/>
      </c>
      <c r="AX26" s="1" t="str">
        <f aca="false">IF($A26="","",1*$F26)</f>
        <v/>
      </c>
      <c r="AY26" s="0" t="str">
        <f aca="false">IF($A26="","",$BC$4*$F26)</f>
        <v/>
      </c>
    </row>
    <row r="27" customFormat="false" ht="39.75" hidden="false" customHeight="true" outlineLevel="0" collapsed="false">
      <c r="A27" s="88"/>
      <c r="B27" s="89"/>
      <c r="C27" s="100" t="str">
        <f aca="false">IF($A27="","",$D27+$E27)</f>
        <v/>
      </c>
      <c r="D27" s="91"/>
      <c r="E27" s="91"/>
      <c r="F27" s="91"/>
      <c r="G27" s="56" t="str">
        <f aca="false">IF($A27="","",$B27)</f>
        <v/>
      </c>
      <c r="H27" s="54" t="str">
        <f aca="false">IF($A27="","",2*$F27)</f>
        <v/>
      </c>
      <c r="I27" s="56" t="str">
        <f aca="false">IF($A27="","",$C27-$E$55-$F$55)</f>
        <v/>
      </c>
      <c r="J27" s="54" t="str">
        <f aca="false">IF($A27="","",1*$F27)</f>
        <v/>
      </c>
      <c r="K27" s="56" t="str">
        <f aca="false">IF($A27="","",$I27)</f>
        <v/>
      </c>
      <c r="L27" s="54" t="str">
        <f aca="false">IF($A27="","",1*$F27)</f>
        <v/>
      </c>
      <c r="M27" s="56" t="str">
        <f aca="false">IF($A27="","",$B27-$E$57-$F$57)</f>
        <v/>
      </c>
      <c r="N27" s="54" t="str">
        <f aca="false">IF($A27="","",4*$F27)</f>
        <v/>
      </c>
      <c r="O27" s="56" t="str">
        <f aca="false">IF($A27="","",(($D27-$E$58-$F$58)))</f>
        <v/>
      </c>
      <c r="P27" s="54" t="str">
        <f aca="false">IF($A27="","",2*$F27)</f>
        <v/>
      </c>
      <c r="Q27" s="56" t="str">
        <f aca="false">IF($A27="","",(($E27-$E$59-$F$59)))</f>
        <v/>
      </c>
      <c r="R27" s="54" t="str">
        <f aca="false">IF($A27="","",2*$F27)</f>
        <v/>
      </c>
      <c r="S27" s="56" t="str">
        <f aca="false">IF($A27="","",$M27-$E$60-$F$60)</f>
        <v/>
      </c>
      <c r="T27" s="54" t="str">
        <f aca="false">IF($A27="","",4*$F27)</f>
        <v/>
      </c>
      <c r="U27" s="56" t="str">
        <f aca="false">IF($A27="","",$O27-$E$61-$F$61)</f>
        <v/>
      </c>
      <c r="V27" s="54" t="str">
        <f aca="false">IF($A27="","",2*$F27)</f>
        <v/>
      </c>
      <c r="W27" s="56" t="str">
        <f aca="false">IF($A27="","",$Q27-$E$62-$F$62)</f>
        <v/>
      </c>
      <c r="X27" s="54" t="str">
        <f aca="false">IF($A27="","",2*$F27)</f>
        <v/>
      </c>
      <c r="Y27" s="56" t="str">
        <f aca="false">IF($A27="","",$I27)</f>
        <v/>
      </c>
      <c r="Z27" s="54" t="str">
        <f aca="false">IF($A27="","",1*$F27)</f>
        <v/>
      </c>
      <c r="AA27" s="56" t="str">
        <f aca="false">IF($A27="","",$B27-$E$64-$F$64)</f>
        <v/>
      </c>
      <c r="AB27" s="54" t="str">
        <f aca="false">IF($A27="","",1*$F27)</f>
        <v/>
      </c>
      <c r="AC27" s="56"/>
      <c r="AD27" s="54"/>
      <c r="AE27" s="57" t="str">
        <f aca="false">IF($A27="","",$M27-87-87)</f>
        <v/>
      </c>
      <c r="AF27" s="58" t="str">
        <f aca="false">IF($A27="","",$O27-87-87)</f>
        <v/>
      </c>
      <c r="AG27" s="59" t="str">
        <f aca="false">IF($A27="","",1*$F27)</f>
        <v/>
      </c>
      <c r="AH27" s="57" t="str">
        <f aca="false">IF($A27="","",$M27-87-87)</f>
        <v/>
      </c>
      <c r="AI27" s="58" t="str">
        <f aca="false">IF($A27="","",$Q27-87-87)</f>
        <v/>
      </c>
      <c r="AJ27" s="59" t="str">
        <f aca="false">IF($A27="","",1*$F27)</f>
        <v/>
      </c>
      <c r="AK27" s="1" t="str">
        <f aca="false">IF($A27="","",(IF(OR($B27&gt;3000,$D27&gt;1200),5,4)+IF(OR($B27&gt;3000,$E27&gt;1200),5,4))*$F27)</f>
        <v/>
      </c>
      <c r="AL27" s="1" t="str">
        <f aca="false">IF($A27="","",4*2*$F27)</f>
        <v/>
      </c>
      <c r="AM27" s="1" t="str">
        <f aca="false">IF($A27="","",8*2*$F27)</f>
        <v/>
      </c>
      <c r="AN27" s="1" t="str">
        <f aca="false">IF($A27="","",$BC$1*$F27)</f>
        <v/>
      </c>
      <c r="AO27" s="1" t="str">
        <f aca="false">IF($A27="","",$BC$2*$F27)</f>
        <v/>
      </c>
      <c r="AP27" s="1" t="str">
        <f aca="false">IF($A27="","",$BC$3*$F27)</f>
        <v/>
      </c>
      <c r="AQ27" s="1" t="str">
        <f aca="false">IF($A27="","",1*$F27)</f>
        <v/>
      </c>
      <c r="AR27" s="1" t="str">
        <f aca="false">IF($A27="","",1*$F27)</f>
        <v/>
      </c>
      <c r="AS27" s="1" t="str">
        <f aca="false">IF($A27="","",1*$F27)</f>
        <v/>
      </c>
      <c r="AT27" s="1" t="str">
        <f aca="false">IF($A27="","",1*$F27)</f>
        <v/>
      </c>
      <c r="AU27" s="1" t="str">
        <f aca="false">IF($A27="","",8*$F27)</f>
        <v/>
      </c>
      <c r="AV27" s="1" t="str">
        <f aca="false">IF($A27="","",ROUND((2*($D27+$B27)+2*($E27+$B27))*$F27/1000,1))</f>
        <v/>
      </c>
      <c r="AW27" s="1" t="str">
        <f aca="false">IF($A27="","",ROUND((2*($C27+$B27))*$F27/1000,1))</f>
        <v/>
      </c>
      <c r="AX27" s="1" t="str">
        <f aca="false">IF($A27="","",1*$F27)</f>
        <v/>
      </c>
      <c r="AY27" s="0" t="str">
        <f aca="false">IF($A27="","",$BC$4*$F27)</f>
        <v/>
      </c>
    </row>
    <row r="28" customFormat="false" ht="39.75" hidden="false" customHeight="true" outlineLevel="0" collapsed="false">
      <c r="A28" s="88"/>
      <c r="B28" s="89"/>
      <c r="C28" s="100" t="str">
        <f aca="false">IF($A28="","",$D28+$E28)</f>
        <v/>
      </c>
      <c r="D28" s="91"/>
      <c r="E28" s="91"/>
      <c r="F28" s="91"/>
      <c r="G28" s="60" t="str">
        <f aca="false">IF($A28="","",$B28)</f>
        <v/>
      </c>
      <c r="H28" s="61" t="str">
        <f aca="false">IF($A28="","",2*$F28)</f>
        <v/>
      </c>
      <c r="I28" s="60" t="str">
        <f aca="false">IF($A28="","",$C28-$E$55-$F$55)</f>
        <v/>
      </c>
      <c r="J28" s="61" t="str">
        <f aca="false">IF($A28="","",1*$F28)</f>
        <v/>
      </c>
      <c r="K28" s="60" t="str">
        <f aca="false">IF($A28="","",$I28)</f>
        <v/>
      </c>
      <c r="L28" s="61" t="str">
        <f aca="false">IF($A28="","",1*$F28)</f>
        <v/>
      </c>
      <c r="M28" s="60" t="str">
        <f aca="false">IF($A28="","",$B28-$E$57-$F$57)</f>
        <v/>
      </c>
      <c r="N28" s="61" t="str">
        <f aca="false">IF($A28="","",4*$F28)</f>
        <v/>
      </c>
      <c r="O28" s="60" t="str">
        <f aca="false">IF($A28="","",(($D28-$E$58-$F$58)))</f>
        <v/>
      </c>
      <c r="P28" s="61" t="str">
        <f aca="false">IF($A28="","",2*$F28)</f>
        <v/>
      </c>
      <c r="Q28" s="60" t="str">
        <f aca="false">IF($A28="","",(($E28-$E$59-$F$59)))</f>
        <v/>
      </c>
      <c r="R28" s="61" t="str">
        <f aca="false">IF($A28="","",2*$F28)</f>
        <v/>
      </c>
      <c r="S28" s="60" t="str">
        <f aca="false">IF($A28="","",$M28-$E$60-$F$60)</f>
        <v/>
      </c>
      <c r="T28" s="61" t="str">
        <f aca="false">IF($A28="","",4*$F28)</f>
        <v/>
      </c>
      <c r="U28" s="60" t="str">
        <f aca="false">IF($A28="","",$O28-$E$61-$F$61)</f>
        <v/>
      </c>
      <c r="V28" s="61" t="str">
        <f aca="false">IF($A28="","",2*$F28)</f>
        <v/>
      </c>
      <c r="W28" s="60" t="str">
        <f aca="false">IF($A28="","",$Q28-$E$62-$F$62)</f>
        <v/>
      </c>
      <c r="X28" s="61" t="str">
        <f aca="false">IF($A28="","",2*$F28)</f>
        <v/>
      </c>
      <c r="Y28" s="60" t="str">
        <f aca="false">IF($A28="","",$I28)</f>
        <v/>
      </c>
      <c r="Z28" s="61" t="str">
        <f aca="false">IF($A28="","",1*$F28)</f>
        <v/>
      </c>
      <c r="AA28" s="60" t="str">
        <f aca="false">IF($A28="","",$B28-$E$64-$F$64)</f>
        <v/>
      </c>
      <c r="AB28" s="61" t="str">
        <f aca="false">IF($A28="","",1*$F28)</f>
        <v/>
      </c>
      <c r="AC28" s="60"/>
      <c r="AD28" s="61"/>
      <c r="AE28" s="57" t="str">
        <f aca="false">IF($A28="","",$M28-87-87)</f>
        <v/>
      </c>
      <c r="AF28" s="58" t="str">
        <f aca="false">IF($A28="","",$O28-87-87)</f>
        <v/>
      </c>
      <c r="AG28" s="59" t="str">
        <f aca="false">IF($A28="","",1*$F28)</f>
        <v/>
      </c>
      <c r="AH28" s="57" t="str">
        <f aca="false">IF($A28="","",$M28-87-87)</f>
        <v/>
      </c>
      <c r="AI28" s="58" t="str">
        <f aca="false">IF($A28="","",$Q28-87-87)</f>
        <v/>
      </c>
      <c r="AJ28" s="59" t="str">
        <f aca="false">IF($A28="","",1*$F28)</f>
        <v/>
      </c>
      <c r="AK28" s="1" t="str">
        <f aca="false">IF($A28="","",(IF(OR($B28&gt;3000,$D28&gt;1200),5,4)+IF(OR($B28&gt;3000,$E28&gt;1200),5,4))*$F28)</f>
        <v/>
      </c>
      <c r="AL28" s="1" t="str">
        <f aca="false">IF($A28="","",4*2*$F28)</f>
        <v/>
      </c>
      <c r="AM28" s="1" t="str">
        <f aca="false">IF($A28="","",8*2*$F28)</f>
        <v/>
      </c>
      <c r="AN28" s="1" t="str">
        <f aca="false">IF($A28="","",$BC$1*$F28)</f>
        <v/>
      </c>
      <c r="AO28" s="1" t="str">
        <f aca="false">IF($A28="","",$BC$2*$F28)</f>
        <v/>
      </c>
      <c r="AP28" s="1" t="str">
        <f aca="false">IF($A28="","",$BC$3*$F28)</f>
        <v/>
      </c>
      <c r="AQ28" s="1" t="str">
        <f aca="false">IF($A28="","",1*$F28)</f>
        <v/>
      </c>
      <c r="AR28" s="1" t="str">
        <f aca="false">IF($A28="","",1*$F28)</f>
        <v/>
      </c>
      <c r="AS28" s="1" t="str">
        <f aca="false">IF($A28="","",1*$F28)</f>
        <v/>
      </c>
      <c r="AT28" s="1" t="str">
        <f aca="false">IF($A28="","",1*$F28)</f>
        <v/>
      </c>
      <c r="AU28" s="1" t="str">
        <f aca="false">IF($A28="","",8*$F28)</f>
        <v/>
      </c>
      <c r="AV28" s="1" t="str">
        <f aca="false">IF($A28="","",ROUND((2*($D28+$B28)+2*($E28+$B28))*$F28/1000,1))</f>
        <v/>
      </c>
      <c r="AW28" s="1" t="str">
        <f aca="false">IF($A28="","",ROUND((2*($C28+$B28))*$F28/1000,1))</f>
        <v/>
      </c>
      <c r="AX28" s="1" t="str">
        <f aca="false">IF($A28="","",1*$F28)</f>
        <v/>
      </c>
      <c r="AY28" s="0" t="str">
        <f aca="false">IF($A28="","",$BC$4*$F28)</f>
        <v/>
      </c>
    </row>
    <row r="29" customFormat="false" ht="39.75" hidden="false" customHeight="true" outlineLevel="0" collapsed="false"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3"/>
      <c r="AH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64"/>
      <c r="F30" s="64"/>
      <c r="G30" s="65" t="str">
        <f aca="false">G$7</f>
        <v>F7859</v>
      </c>
      <c r="H30" s="65"/>
      <c r="I30" s="65"/>
      <c r="J30" s="66" t="n">
        <f aca="false">(ROUNDUP(SUM(H49:J49)/6400,0))</f>
        <v>2</v>
      </c>
      <c r="K30" s="102" t="str">
        <f aca="false">K$7</f>
        <v>F7938</v>
      </c>
      <c r="L30" s="103"/>
      <c r="M30" s="65" t="str">
        <f aca="false">M$7</f>
        <v>F7864</v>
      </c>
      <c r="N30" s="65"/>
      <c r="O30" s="65"/>
      <c r="P30" s="65"/>
      <c r="Q30" s="65"/>
      <c r="R30" s="66" t="n">
        <f aca="false">(ROUNDUP(SUM(N49:R49)/6400,0))</f>
        <v>3</v>
      </c>
      <c r="S30" s="65" t="str">
        <f aca="false">S$7</f>
        <v>F7935</v>
      </c>
      <c r="T30" s="65"/>
      <c r="U30" s="65"/>
      <c r="V30" s="65"/>
      <c r="W30" s="65"/>
      <c r="X30" s="66" t="n">
        <f aca="false">(ROUNDUP(SUM(T49:X49)/6400,0))</f>
        <v>2</v>
      </c>
      <c r="Y30" s="66" t="str">
        <f aca="false">Y$7</f>
        <v>F7960</v>
      </c>
      <c r="Z30" s="66" t="n">
        <f aca="false">(ROUNDUP(Z49/6400,0))</f>
        <v>1</v>
      </c>
      <c r="AA30" s="66" t="str">
        <f aca="false">AA$7</f>
        <v>F7945</v>
      </c>
      <c r="AB30" s="66" t="n">
        <f aca="false">(ROUNDUP(AB49/6400,0))</f>
        <v>1</v>
      </c>
      <c r="AC30" s="104"/>
      <c r="AD30" s="66" t="n">
        <f aca="false">(ROUNDUP(SUM(L49:AD49)/6400,0))</f>
        <v>5</v>
      </c>
      <c r="AJ30" s="40" t="s">
        <v>65</v>
      </c>
      <c r="AK30" s="40" t="n">
        <f aca="false">SUM(AK11:AK28)</f>
        <v>8</v>
      </c>
      <c r="AL30" s="40" t="n">
        <f aca="false">SUM(AL11:AL28)</f>
        <v>8</v>
      </c>
      <c r="AM30" s="40" t="n">
        <f aca="false">SUM(AM11:AM28)</f>
        <v>16</v>
      </c>
      <c r="AN30" s="40" t="n">
        <f aca="false">SUM(AN11:AN28)</f>
        <v>2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1</v>
      </c>
      <c r="AR30" s="40" t="n">
        <f aca="false">SUM(AR11:AR28)</f>
        <v>1</v>
      </c>
      <c r="AS30" s="40" t="n">
        <f aca="false">SUM(AS11:AS28)</f>
        <v>1</v>
      </c>
      <c r="AT30" s="40" t="n">
        <f aca="false">SUM(AT11:AT28)</f>
        <v>1</v>
      </c>
      <c r="AU30" s="40" t="n">
        <f aca="false">SUM(AU11:AU28)</f>
        <v>8</v>
      </c>
      <c r="AV30" s="40" t="n">
        <f aca="false">SUM(AV11:AV28)</f>
        <v>13.6</v>
      </c>
      <c r="AW30" s="40" t="n">
        <f aca="false">SUM(AW11:AW28)</f>
        <v>8</v>
      </c>
      <c r="AX30" s="40" t="n">
        <f aca="false">SUM(AX11:AX28)</f>
        <v>1</v>
      </c>
      <c r="AY30" s="41" t="n">
        <f aca="false">SUM(AY11:AY28)</f>
        <v>0</v>
      </c>
    </row>
    <row r="31" customFormat="false" ht="39.75" hidden="true" customHeight="true" outlineLevel="0" collapsed="false">
      <c r="H31" s="67" t="n">
        <f aca="false">IF($A11="","",H11*G11)</f>
        <v>5580</v>
      </c>
      <c r="I31" s="67"/>
      <c r="J31" s="67" t="n">
        <f aca="false">IF($A11="","",J11*I11)</f>
        <v>1150</v>
      </c>
      <c r="K31" s="67"/>
      <c r="L31" s="67" t="n">
        <f aca="false">IF($A11="","",L11*K11)</f>
        <v>1150</v>
      </c>
      <c r="M31" s="67"/>
      <c r="N31" s="67" t="n">
        <f aca="false">IF($A11="","",N11*M11)</f>
        <v>11012</v>
      </c>
      <c r="O31" s="67"/>
      <c r="P31" s="67" t="n">
        <f aca="false">IF($A11="","",P11*O11)</f>
        <v>1561</v>
      </c>
      <c r="Q31" s="67"/>
      <c r="R31" s="67" t="n">
        <f aca="false">IF($A11="","",R11*Q11)</f>
        <v>761</v>
      </c>
      <c r="S31" s="67"/>
      <c r="T31" s="67" t="n">
        <f aca="false">IF($A11="","",T11*S11)</f>
        <v>10212</v>
      </c>
      <c r="U31" s="67"/>
      <c r="V31" s="67" t="n">
        <f aca="false">IF($A11="","",V11*U11)</f>
        <v>1241</v>
      </c>
      <c r="W31" s="67"/>
      <c r="X31" s="67" t="n">
        <f aca="false">IF($A11="","",X11*W11)</f>
        <v>441</v>
      </c>
      <c r="Y31" s="67"/>
      <c r="Z31" s="67" t="n">
        <f aca="false">IF($A11="","",Z11*Y11)</f>
        <v>1150</v>
      </c>
      <c r="AA31" s="67"/>
      <c r="AB31" s="67" t="n">
        <f aca="false">IF($A11="","",AB11*AA11)</f>
        <v>2736</v>
      </c>
      <c r="AC31" s="67"/>
      <c r="AD31" s="67" t="n">
        <f aca="false">IF($A11="","",AD11*AC11)</f>
        <v>0</v>
      </c>
    </row>
    <row r="32" customFormat="false" ht="39.75" hidden="true" customHeight="true" outlineLevel="0" collapsed="false">
      <c r="H32" s="67" t="str">
        <f aca="false">IF($A12="","",H12*G12)</f>
        <v/>
      </c>
      <c r="I32" s="67"/>
      <c r="J32" s="67" t="str">
        <f aca="false">IF($A12="","",J12*I12)</f>
        <v/>
      </c>
      <c r="K32" s="67"/>
      <c r="L32" s="67" t="str">
        <f aca="false">IF($A12="","",L12*K12)</f>
        <v/>
      </c>
      <c r="M32" s="67"/>
      <c r="N32" s="67" t="str">
        <f aca="false">IF($A12="","",N12*M12)</f>
        <v/>
      </c>
      <c r="O32" s="67"/>
      <c r="P32" s="67" t="str">
        <f aca="false">IF($A12="","",P12*O12)</f>
        <v/>
      </c>
      <c r="Q32" s="67"/>
      <c r="R32" s="67" t="str">
        <f aca="false">IF($A12="","",R12*Q12)</f>
        <v/>
      </c>
      <c r="S32" s="67"/>
      <c r="T32" s="67" t="str">
        <f aca="false">IF($A12="","",T12*S12)</f>
        <v/>
      </c>
      <c r="U32" s="67"/>
      <c r="V32" s="67" t="str">
        <f aca="false">IF($A12="","",V12*U12)</f>
        <v/>
      </c>
      <c r="W32" s="67"/>
      <c r="X32" s="67" t="str">
        <f aca="false">IF($A12="","",X12*W12)</f>
        <v/>
      </c>
      <c r="Y32" s="67"/>
      <c r="Z32" s="67" t="str">
        <f aca="false">IF($A12="","",Z12*Y12)</f>
        <v/>
      </c>
      <c r="AA32" s="67"/>
      <c r="AB32" s="67" t="str">
        <f aca="false">IF($A12="","",AB12*AA12)</f>
        <v/>
      </c>
      <c r="AC32" s="67"/>
      <c r="AD32" s="67" t="str">
        <f aca="false">IF($A12="","",AD12*AC12)</f>
        <v/>
      </c>
    </row>
    <row r="33" customFormat="false" ht="39.75" hidden="true" customHeight="true" outlineLevel="0" collapsed="false"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  <c r="AC33" s="67"/>
      <c r="AD33" s="67" t="str">
        <f aca="false">IF($A13="","",AD13*AC13)</f>
        <v/>
      </c>
    </row>
    <row r="34" customFormat="false" ht="39.75" hidden="true" customHeight="true" outlineLevel="0" collapsed="false"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  <c r="AC34" s="67"/>
      <c r="AD34" s="67" t="str">
        <f aca="false">IF($A14="","",AD14*AC14)</f>
        <v/>
      </c>
    </row>
    <row r="35" customFormat="false" ht="39.75" hidden="true" customHeight="true" outlineLevel="0" collapsed="false"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  <c r="AC35" s="67"/>
      <c r="AD35" s="67" t="str">
        <f aca="false">IF($A15="","",AD15*AC15)</f>
        <v/>
      </c>
    </row>
    <row r="36" customFormat="false" ht="15" hidden="true" customHeight="true" outlineLevel="0" collapsed="false"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  <c r="AC36" s="67"/>
      <c r="AD36" s="67" t="str">
        <f aca="false">IF($A16="","",AD16*AC16)</f>
        <v/>
      </c>
    </row>
    <row r="37" customFormat="false" ht="15" hidden="true" customHeight="true" outlineLevel="0" collapsed="false"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  <c r="AC37" s="67"/>
      <c r="AD37" s="67" t="str">
        <f aca="false">IF($A17="","",AD17*AC17)</f>
        <v/>
      </c>
    </row>
    <row r="38" customFormat="false" ht="15" hidden="true" customHeight="true" outlineLevel="0" collapsed="false"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  <c r="AC38" s="67"/>
      <c r="AD38" s="67" t="str">
        <f aca="false">IF($A18="","",AD18*AC18)</f>
        <v/>
      </c>
    </row>
    <row r="39" customFormat="false" ht="15" hidden="true" customHeight="true" outlineLevel="0" collapsed="false"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  <c r="AC39" s="67"/>
      <c r="AD39" s="67" t="str">
        <f aca="false">IF($A19="","",AD19*AC19)</f>
        <v/>
      </c>
    </row>
    <row r="40" customFormat="false" ht="15" hidden="true" customHeight="true" outlineLevel="0" collapsed="false"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  <c r="AC40" s="67"/>
      <c r="AD40" s="67" t="str">
        <f aca="false">IF($A20="","",AD20*AC20)</f>
        <v/>
      </c>
    </row>
    <row r="41" customFormat="false" ht="15" hidden="true" customHeight="true" outlineLevel="0" collapsed="false"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  <c r="AC41" s="67"/>
      <c r="AD41" s="67" t="str">
        <f aca="false">IF($A21="","",AD21*AC21)</f>
        <v/>
      </c>
    </row>
    <row r="42" customFormat="false" ht="15" hidden="true" customHeight="true" outlineLevel="0" collapsed="false"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  <c r="AC42" s="67"/>
      <c r="AD42" s="67" t="str">
        <f aca="false">IF($A22="","",AD22*AC22)</f>
        <v/>
      </c>
    </row>
    <row r="43" customFormat="false" ht="15" hidden="true" customHeight="true" outlineLevel="0" collapsed="false"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  <c r="AC43" s="67"/>
      <c r="AD43" s="67" t="str">
        <f aca="false">IF($A23="","",AD23*AC23)</f>
        <v/>
      </c>
    </row>
    <row r="44" customFormat="false" ht="15" hidden="true" customHeight="true" outlineLevel="0" collapsed="false"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  <c r="AC44" s="67"/>
      <c r="AD44" s="67" t="str">
        <f aca="false">IF($A24="","",AD24*AC24)</f>
        <v/>
      </c>
    </row>
    <row r="45" customFormat="false" ht="15" hidden="true" customHeight="true" outlineLevel="0" collapsed="false"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  <c r="AC45" s="67"/>
      <c r="AD45" s="67" t="str">
        <f aca="false">IF($A25="","",AD25*AC25)</f>
        <v/>
      </c>
    </row>
    <row r="46" customFormat="false" ht="15" hidden="true" customHeight="true" outlineLevel="0" collapsed="false"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  <c r="AC46" s="67"/>
      <c r="AD46" s="67" t="str">
        <f aca="false">IF($A26="","",AD26*AC26)</f>
        <v/>
      </c>
    </row>
    <row r="47" customFormat="false" ht="15" hidden="true" customHeight="true" outlineLevel="0" collapsed="false"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  <c r="AC47" s="67"/>
      <c r="AD47" s="67" t="str">
        <f aca="false">IF($A27="","",AD27*AC27)</f>
        <v/>
      </c>
    </row>
    <row r="48" customFormat="false" ht="15" hidden="true" customHeight="true" outlineLevel="0" collapsed="false"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  <c r="AC48" s="67"/>
      <c r="AD48" s="67" t="str">
        <f aca="false">IF($A28="","",AD28*AC28)</f>
        <v/>
      </c>
    </row>
    <row r="49" customFormat="false" ht="15" hidden="true" customHeight="true" outlineLevel="0" collapsed="false">
      <c r="H49" s="68" t="n">
        <f aca="false">SUMIF(H31:H48,"&gt;0")</f>
        <v>5580</v>
      </c>
      <c r="I49" s="68"/>
      <c r="J49" s="68" t="n">
        <f aca="false">SUMIF(J31:J48,"&gt;0")</f>
        <v>1150</v>
      </c>
      <c r="K49" s="68"/>
      <c r="L49" s="68" t="n">
        <f aca="false">SUMIF(L31:L48,"&gt;0")</f>
        <v>1150</v>
      </c>
      <c r="M49" s="68"/>
      <c r="N49" s="68" t="n">
        <f aca="false">SUMIF(N31:N48,"&gt;0")</f>
        <v>11012</v>
      </c>
      <c r="O49" s="68"/>
      <c r="P49" s="68" t="n">
        <f aca="false">SUMIF(P31:P48,"&gt;0")</f>
        <v>1561</v>
      </c>
      <c r="Q49" s="68"/>
      <c r="R49" s="68" t="n">
        <f aca="false">SUMIF(R31:R48,"&gt;0")</f>
        <v>761</v>
      </c>
      <c r="T49" s="68" t="n">
        <f aca="false">SUMIF(T31:T48,"&gt;0")</f>
        <v>10212</v>
      </c>
      <c r="U49" s="68"/>
      <c r="V49" s="68" t="n">
        <f aca="false">SUMIF(V31:V48,"&gt;0")</f>
        <v>1241</v>
      </c>
      <c r="X49" s="68" t="n">
        <f aca="false">SUMIF(X31:X48,"&gt;0")</f>
        <v>441</v>
      </c>
      <c r="Y49" s="68"/>
      <c r="Z49" s="68" t="n">
        <f aca="false">SUMIF(Z31:Z48,"&gt;0")</f>
        <v>1150</v>
      </c>
      <c r="AB49" s="68" t="n">
        <f aca="false">SUMIF(AB31:AB48,"&gt;0")</f>
        <v>2736</v>
      </c>
      <c r="AD49" s="68" t="n">
        <f aca="false">SUMIF(AD31:AD48,"&gt;0")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/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/>
    </row>
    <row r="56" customFormat="false" ht="15" hidden="false" customHeight="true" outlineLevel="0" collapsed="false">
      <c r="A56" s="72" t="n">
        <v>3</v>
      </c>
      <c r="B56" s="73" t="s">
        <v>33</v>
      </c>
      <c r="C56" s="74" t="s">
        <v>15</v>
      </c>
      <c r="D56" s="75" t="s">
        <v>7</v>
      </c>
      <c r="E56" s="76"/>
      <c r="F56" s="76"/>
      <c r="G56" s="76"/>
      <c r="H56" s="76"/>
      <c r="I56" s="76"/>
      <c r="J56" s="76"/>
      <c r="K56" s="76"/>
      <c r="L56" s="77"/>
    </row>
    <row r="57" customFormat="false" ht="15" hidden="false" customHeight="true" outlineLevel="0" collapsed="false">
      <c r="A57" s="72" t="n">
        <v>4</v>
      </c>
      <c r="B57" s="73" t="s">
        <v>34</v>
      </c>
      <c r="C57" s="74" t="str">
        <f aca="false">IF($D$4="8 cm · 7943B","7943B","7864")</f>
        <v>7864</v>
      </c>
      <c r="D57" s="75" t="s">
        <v>8</v>
      </c>
      <c r="E57" s="77" t="n">
        <v>18.5</v>
      </c>
      <c r="F57" s="77" t="n">
        <v>18.5</v>
      </c>
      <c r="G57" s="76"/>
      <c r="H57" s="76"/>
      <c r="I57" s="76"/>
      <c r="J57" s="76"/>
      <c r="K57" s="76"/>
      <c r="L57" s="77"/>
    </row>
    <row r="58" customFormat="false" ht="15" hidden="false" customHeight="true" outlineLevel="0" collapsed="false">
      <c r="A58" s="72" t="n">
        <v>5</v>
      </c>
      <c r="B58" s="73" t="s">
        <v>121</v>
      </c>
      <c r="C58" s="74" t="s">
        <v>79</v>
      </c>
      <c r="D58" s="75" t="s">
        <v>112</v>
      </c>
      <c r="E58" s="77" t="n">
        <v>18.5</v>
      </c>
      <c r="F58" s="77" t="n">
        <v>1</v>
      </c>
      <c r="G58" s="76"/>
      <c r="H58" s="76"/>
      <c r="I58" s="76"/>
      <c r="J58" s="76"/>
      <c r="K58" s="76"/>
      <c r="L58" s="77"/>
    </row>
    <row r="59" customFormat="false" ht="15" hidden="false" customHeight="true" outlineLevel="0" collapsed="false">
      <c r="A59" s="72" t="n">
        <v>6</v>
      </c>
      <c r="B59" s="73" t="s">
        <v>122</v>
      </c>
      <c r="C59" s="74" t="s">
        <v>79</v>
      </c>
      <c r="D59" s="75" t="s">
        <v>113</v>
      </c>
      <c r="E59" s="77" t="n">
        <v>18.5</v>
      </c>
      <c r="F59" s="77" t="n">
        <v>1</v>
      </c>
      <c r="G59" s="76"/>
      <c r="H59" s="76"/>
      <c r="I59" s="76"/>
      <c r="J59" s="76"/>
      <c r="K59" s="76"/>
      <c r="L59" s="77"/>
    </row>
    <row r="60" customFormat="false" ht="15" hidden="false" customHeight="true" outlineLevel="0" collapsed="false">
      <c r="A60" s="72" t="n">
        <v>7</v>
      </c>
      <c r="B60" s="73" t="s">
        <v>36</v>
      </c>
      <c r="C60" s="74" t="s">
        <v>17</v>
      </c>
      <c r="D60" s="75" t="s">
        <v>10</v>
      </c>
      <c r="E60" s="77" t="n">
        <f aca="false">IF($D$4="8 cm · 7943B",80,100)</f>
        <v>100</v>
      </c>
      <c r="F60" s="77" t="n">
        <f aca="false">IF($D$4="8 cm · 7943B",80,100)</f>
        <v>100</v>
      </c>
      <c r="G60" s="76"/>
      <c r="H60" s="76"/>
      <c r="I60" s="76"/>
      <c r="J60" s="76"/>
      <c r="K60" s="76"/>
      <c r="L60" s="77"/>
    </row>
    <row r="61" customFormat="false" ht="15" hidden="false" customHeight="true" outlineLevel="0" collapsed="false">
      <c r="A61" s="72" t="n">
        <v>8</v>
      </c>
      <c r="B61" s="73" t="s">
        <v>123</v>
      </c>
      <c r="C61" s="74" t="s">
        <v>79</v>
      </c>
      <c r="D61" s="75" t="s">
        <v>114</v>
      </c>
      <c r="E61" s="77" t="n">
        <f aca="false">IF($D$4="8 cm · 7943B",60,80)</f>
        <v>80</v>
      </c>
      <c r="F61" s="77" t="n">
        <f aca="false">IF($D$4="8 cm · 7943B",60,80)</f>
        <v>80</v>
      </c>
      <c r="G61" s="76"/>
      <c r="H61" s="76"/>
      <c r="I61" s="76"/>
      <c r="J61" s="76"/>
      <c r="K61" s="76"/>
      <c r="L61" s="77"/>
    </row>
    <row r="62" customFormat="false" ht="15" hidden="false" customHeight="true" outlineLevel="0" collapsed="false">
      <c r="A62" s="72" t="n">
        <v>9</v>
      </c>
      <c r="B62" s="73" t="s">
        <v>124</v>
      </c>
      <c r="C62" s="74" t="s">
        <v>79</v>
      </c>
      <c r="D62" s="75" t="s">
        <v>115</v>
      </c>
      <c r="E62" s="77" t="n">
        <f aca="false">IF($D$4="8 cm · 7943B",60,80)</f>
        <v>80</v>
      </c>
      <c r="F62" s="77" t="n">
        <f aca="false">IF($D$4="8 cm · 7943B",60,80)</f>
        <v>80</v>
      </c>
      <c r="G62" s="76"/>
      <c r="H62" s="76"/>
      <c r="I62" s="76"/>
      <c r="J62" s="76"/>
      <c r="K62" s="76"/>
      <c r="L62" s="77"/>
    </row>
    <row r="63" customFormat="false" ht="15" hidden="false" customHeight="true" outlineLevel="0" collapsed="false">
      <c r="A63" s="72" t="n">
        <v>10</v>
      </c>
      <c r="B63" s="73" t="s">
        <v>38</v>
      </c>
      <c r="C63" s="74" t="s">
        <v>18</v>
      </c>
      <c r="D63" s="75" t="s">
        <v>12</v>
      </c>
      <c r="E63" s="76"/>
      <c r="F63" s="76"/>
      <c r="G63" s="76"/>
      <c r="H63" s="76"/>
      <c r="I63" s="76"/>
      <c r="J63" s="76"/>
      <c r="K63" s="76"/>
      <c r="L63" s="77"/>
    </row>
    <row r="64" customFormat="false" ht="15" hidden="false" customHeight="true" outlineLevel="0" collapsed="false">
      <c r="A64" s="72" t="n">
        <v>11</v>
      </c>
      <c r="B64" s="73" t="s">
        <v>125</v>
      </c>
      <c r="C64" s="74" t="s">
        <v>117</v>
      </c>
      <c r="D64" s="75" t="s">
        <v>116</v>
      </c>
      <c r="E64" s="77" t="n">
        <v>27</v>
      </c>
      <c r="F64" s="77" t="n">
        <v>27</v>
      </c>
      <c r="G64" s="76"/>
      <c r="H64" s="76"/>
      <c r="I64" s="76"/>
      <c r="J64" s="76"/>
      <c r="K64" s="76"/>
      <c r="L64" s="77"/>
    </row>
    <row r="66" customFormat="false" ht="15" hidden="false" customHeight="true" outlineLevel="0" collapsed="false">
      <c r="A66" s="78" t="s">
        <v>128</v>
      </c>
      <c r="F66" s="79"/>
    </row>
    <row r="67" customFormat="false" ht="15" hidden="false" customHeight="true" outlineLevel="0" collapsed="false">
      <c r="A67" s="80" t="s">
        <v>81</v>
      </c>
      <c r="B67" s="81" t="s">
        <v>82</v>
      </c>
      <c r="F67" s="82"/>
    </row>
    <row r="68" customFormat="false" ht="15" hidden="false" customHeight="true" outlineLevel="0" collapsed="false">
      <c r="A68" s="80" t="s">
        <v>83</v>
      </c>
      <c r="B68" s="81" t="s">
        <v>84</v>
      </c>
      <c r="F68" s="82"/>
    </row>
    <row r="69" customFormat="false" ht="15" hidden="false" customHeight="true" outlineLevel="0" collapsed="false">
      <c r="A69" s="80" t="s">
        <v>85</v>
      </c>
      <c r="B69" s="81" t="s">
        <v>86</v>
      </c>
      <c r="F69" s="82"/>
    </row>
    <row r="70" customFormat="false" ht="15" hidden="false" customHeight="true" outlineLevel="0" collapsed="false">
      <c r="A70" s="80" t="s">
        <v>87</v>
      </c>
      <c r="B70" s="81" t="s">
        <v>88</v>
      </c>
      <c r="F70" s="82"/>
    </row>
    <row r="71" customFormat="false" ht="15" hidden="false" customHeight="true" outlineLevel="0" collapsed="false">
      <c r="A71" s="105" t="s">
        <v>129</v>
      </c>
      <c r="B71" s="81" t="s">
        <v>88</v>
      </c>
    </row>
    <row r="73" customFormat="false" ht="15" hidden="false" customHeight="true" outlineLevel="0" collapsed="false">
      <c r="A73" s="84" t="s">
        <v>89</v>
      </c>
    </row>
    <row r="74" customFormat="false" ht="15" hidden="false" customHeight="true" outlineLevel="0" collapsed="false">
      <c r="A74" s="84" t="s">
        <v>67</v>
      </c>
      <c r="B74" s="84" t="s">
        <v>90</v>
      </c>
      <c r="C74" s="84" t="s">
        <v>91</v>
      </c>
      <c r="D74" s="84" t="s">
        <v>60</v>
      </c>
      <c r="E74" s="84" t="s">
        <v>92</v>
      </c>
      <c r="F74" s="84" t="s">
        <v>93</v>
      </c>
    </row>
    <row r="75" customFormat="false" ht="15" hidden="false" customHeight="true" outlineLevel="0" collapsed="false">
      <c r="A75" s="85" t="n">
        <v>1</v>
      </c>
      <c r="B75" s="85" t="s">
        <v>41</v>
      </c>
      <c r="C75" s="81" t="str">
        <f aca="false">AK8</f>
        <v>JR00489</v>
      </c>
      <c r="D75" s="86" t="n">
        <f aca="false">AK30</f>
        <v>8</v>
      </c>
      <c r="E75" s="85" t="s">
        <v>94</v>
      </c>
      <c r="F75" s="85"/>
    </row>
    <row r="76" customFormat="false" ht="15" hidden="false" customHeight="true" outlineLevel="0" collapsed="false">
      <c r="A76" s="85" t="n">
        <v>2</v>
      </c>
      <c r="B76" s="85" t="s">
        <v>42</v>
      </c>
      <c r="C76" s="81" t="str">
        <f aca="false">AL8</f>
        <v>JR00482</v>
      </c>
      <c r="D76" s="86" t="n">
        <f aca="false">AL30</f>
        <v>8</v>
      </c>
      <c r="E76" s="85" t="s">
        <v>94</v>
      </c>
      <c r="F76" s="85"/>
    </row>
    <row r="77" customFormat="false" ht="15" hidden="false" customHeight="true" outlineLevel="0" collapsed="false">
      <c r="A77" s="85" t="n">
        <v>3</v>
      </c>
      <c r="B77" s="85" t="s">
        <v>43</v>
      </c>
      <c r="C77" s="81" t="str">
        <f aca="false">AM8</f>
        <v>JR00557</v>
      </c>
      <c r="D77" s="86" t="n">
        <f aca="false">AM30</f>
        <v>16</v>
      </c>
      <c r="E77" s="85" t="s">
        <v>94</v>
      </c>
      <c r="F77" s="85"/>
    </row>
    <row r="78" customFormat="false" ht="15" hidden="false" customHeight="true" outlineLevel="0" collapsed="false">
      <c r="A78" s="85" t="n">
        <v>4</v>
      </c>
      <c r="B78" s="85" t="s">
        <v>44</v>
      </c>
      <c r="C78" s="81" t="str">
        <f aca="false">AN8</f>
        <v>JR00315</v>
      </c>
      <c r="D78" s="86" t="n">
        <f aca="false">AN30</f>
        <v>2</v>
      </c>
      <c r="E78" s="85" t="s">
        <v>22</v>
      </c>
      <c r="F78" s="85"/>
    </row>
    <row r="79" customFormat="false" ht="15" hidden="false" customHeight="true" outlineLevel="0" collapsed="false">
      <c r="A79" s="85" t="n">
        <v>5</v>
      </c>
      <c r="B79" s="85" t="s">
        <v>45</v>
      </c>
      <c r="C79" s="81" t="str">
        <f aca="false">AO8</f>
        <v>JR00313</v>
      </c>
      <c r="D79" s="86" t="n">
        <f aca="false">AO30</f>
        <v>0</v>
      </c>
      <c r="E79" s="85" t="s">
        <v>22</v>
      </c>
      <c r="F79" s="85"/>
    </row>
    <row r="80" customFormat="false" ht="15" hidden="false" customHeight="true" outlineLevel="0" collapsed="false">
      <c r="A80" s="85" t="n">
        <v>6</v>
      </c>
      <c r="B80" s="85" t="s">
        <v>95</v>
      </c>
      <c r="C80" s="85"/>
      <c r="D80" s="86" t="n">
        <f aca="false">AP30</f>
        <v>0</v>
      </c>
      <c r="E80" s="85" t="s">
        <v>22</v>
      </c>
      <c r="F80" s="85" t="s">
        <v>96</v>
      </c>
    </row>
    <row r="81" customFormat="false" ht="15" hidden="false" customHeight="true" outlineLevel="0" collapsed="false">
      <c r="A81" s="85" t="n">
        <v>7</v>
      </c>
      <c r="B81" s="85" t="s">
        <v>97</v>
      </c>
      <c r="C81" s="85"/>
      <c r="D81" s="86" t="n">
        <f aca="false">AY30</f>
        <v>0</v>
      </c>
      <c r="E81" s="85" t="s">
        <v>22</v>
      </c>
      <c r="F81" s="85" t="s">
        <v>96</v>
      </c>
    </row>
    <row r="82" customFormat="false" ht="15" hidden="false" customHeight="true" outlineLevel="0" collapsed="false">
      <c r="A82" s="85" t="n">
        <v>8</v>
      </c>
      <c r="B82" s="85" t="s">
        <v>47</v>
      </c>
      <c r="C82" s="81" t="str">
        <f aca="false">AQ8</f>
        <v>JR00551</v>
      </c>
      <c r="D82" s="86" t="n">
        <f aca="false">IF(OR($B$70="Digital lock",$B$70="ไม่ใส่"),0,AQ30)</f>
        <v>1</v>
      </c>
      <c r="E82" s="85" t="s">
        <v>94</v>
      </c>
      <c r="F82" s="85"/>
    </row>
    <row r="83" customFormat="false" ht="15" hidden="false" customHeight="true" outlineLevel="0" collapsed="false">
      <c r="A83" s="85" t="n">
        <v>9</v>
      </c>
      <c r="B83" s="85" t="s">
        <v>48</v>
      </c>
      <c r="C83" s="81" t="str">
        <f aca="false">AR8</f>
        <v>JR00499</v>
      </c>
      <c r="D83" s="86" t="n">
        <f aca="false">IF(OR($B$70="Digital lock",$B$70="ไม่ใส่"),0,AR30)</f>
        <v>1</v>
      </c>
      <c r="E83" s="85" t="s">
        <v>94</v>
      </c>
      <c r="F83" s="85" t="s">
        <v>98</v>
      </c>
    </row>
    <row r="84" customFormat="false" ht="15" hidden="false" customHeight="true" outlineLevel="0" collapsed="false">
      <c r="A84" s="85" t="n">
        <v>10</v>
      </c>
      <c r="B84" s="85" t="s">
        <v>54</v>
      </c>
      <c r="C84" s="81" t="str">
        <f aca="false">AX8</f>
        <v>JR00562</v>
      </c>
      <c r="D84" s="86" t="n">
        <f aca="false">IF(OR($B$70="Digital lock",$B$70="ไม่ใส่"),0,AX30)</f>
        <v>1</v>
      </c>
      <c r="E84" s="85" t="s">
        <v>22</v>
      </c>
      <c r="F84" s="85"/>
    </row>
    <row r="85" customFormat="false" ht="15" hidden="false" customHeight="true" outlineLevel="0" collapsed="false">
      <c r="A85" s="85" t="n">
        <v>11</v>
      </c>
      <c r="B85" s="85" t="s">
        <v>99</v>
      </c>
      <c r="C85" s="81" t="str">
        <f aca="false">AS8</f>
        <v>JR00596</v>
      </c>
      <c r="D85" s="86" t="n">
        <f aca="false">AS30</f>
        <v>1</v>
      </c>
      <c r="E85" s="85" t="s">
        <v>94</v>
      </c>
      <c r="F85" s="85"/>
    </row>
    <row r="86" customFormat="false" ht="15" hidden="false" customHeight="true" outlineLevel="0" collapsed="false">
      <c r="A86" s="85" t="n">
        <v>12</v>
      </c>
      <c r="B86" s="85" t="s">
        <v>50</v>
      </c>
      <c r="C86" s="81" t="str">
        <f aca="false">AT8</f>
        <v>JR00598</v>
      </c>
      <c r="D86" s="86" t="n">
        <f aca="false">AT30</f>
        <v>1</v>
      </c>
      <c r="E86" s="85" t="s">
        <v>94</v>
      </c>
      <c r="F86" s="85"/>
    </row>
    <row r="87" customFormat="false" ht="15" hidden="false" customHeight="true" outlineLevel="0" collapsed="false">
      <c r="A87" s="85" t="n">
        <v>13</v>
      </c>
      <c r="B87" s="85" t="s">
        <v>100</v>
      </c>
      <c r="C87" s="81" t="str">
        <f aca="false">AU8</f>
        <v>JR00864</v>
      </c>
      <c r="D87" s="86" t="n">
        <f aca="false">AU30</f>
        <v>8</v>
      </c>
      <c r="E87" s="85" t="s">
        <v>94</v>
      </c>
      <c r="F87" s="85"/>
    </row>
    <row r="88" customFormat="false" ht="15" hidden="false" customHeight="true" outlineLevel="0" collapsed="false">
      <c r="A88" s="85" t="n">
        <v>14</v>
      </c>
      <c r="B88" s="85" t="s">
        <v>52</v>
      </c>
      <c r="C88" s="81" t="str">
        <f aca="false">AV8</f>
        <v>JR00771</v>
      </c>
      <c r="D88" s="86" t="n">
        <f aca="false">AV30</f>
        <v>13.6</v>
      </c>
      <c r="E88" s="85" t="s">
        <v>101</v>
      </c>
      <c r="F88" s="85"/>
    </row>
    <row r="89" customFormat="false" ht="15" hidden="false" customHeight="true" outlineLevel="0" collapsed="false">
      <c r="A89" s="85" t="n">
        <v>15</v>
      </c>
      <c r="B89" s="85" t="s">
        <v>53</v>
      </c>
      <c r="C89" s="81" t="str">
        <f aca="false">AW8</f>
        <v>JR00771</v>
      </c>
      <c r="D89" s="86" t="n">
        <f aca="false">AW30</f>
        <v>8</v>
      </c>
      <c r="E89" s="85" t="s">
        <v>101</v>
      </c>
      <c r="F89" s="85"/>
    </row>
    <row r="90" customFormat="false" ht="15" hidden="false" customHeight="false" outlineLevel="0" collapsed="false">
      <c r="A90" s="85" t="n">
        <v>16</v>
      </c>
      <c r="B90" s="85" t="s">
        <v>102</v>
      </c>
      <c r="C90" s="81"/>
      <c r="D90" s="86" t="n">
        <f aca="false">IF($B$70="Digital lock",1,0)</f>
        <v>0</v>
      </c>
      <c r="E90" s="85" t="s">
        <v>22</v>
      </c>
      <c r="F90" s="85" t="s">
        <v>103</v>
      </c>
    </row>
  </sheetData>
  <mergeCells count="51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F7"/>
    <mergeCell ref="G7:J7"/>
    <mergeCell ref="K7:L7"/>
    <mergeCell ref="M7:R7"/>
    <mergeCell ref="S7:X7"/>
    <mergeCell ref="Y7:Z7"/>
    <mergeCell ref="AA7:AB7"/>
    <mergeCell ref="A8:A9"/>
    <mergeCell ref="B8:C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F30"/>
    <mergeCell ref="G30:I30"/>
    <mergeCell ref="M30:Q30"/>
    <mergeCell ref="S30:W30"/>
  </mergeCells>
  <dataValidations count="6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7" type="list">
      <formula1>"ขาว,ดำ"</formula1>
      <formula2>0</formula2>
    </dataValidation>
    <dataValidation allowBlank="true" errorStyle="stop" operator="between" showDropDown="false" showErrorMessage="false" showInputMessage="false" sqref="B68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9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70" type="list">
      <formula1>"คิงโบ ล็อค+กุญแจ,คิงโบ ดัมมี่+ดัมมี่,Cmech ล็อค+กุญแจ,Cmech ดัมมี่+ดัมมี่,ไม่ใส่,Digital lock"</formula1>
      <formula2>0</formula2>
    </dataValidation>
    <dataValidation allowBlank="true" errorStyle="stop" operator="between" showDropDown="false" showErrorMessage="false" showInputMessage="false" sqref="B71" type="list">
      <formula1>"คิงโบ ล็อค+กุญแจ,คิงโบ ดัมมี่+ดัมมี่,Cmech ล็อค+กุญแจ,Cmech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7" min="6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5" min="34" style="1" width="12.7"/>
    <col collapsed="false" customWidth="true" hidden="false" outlineLevel="0" max="37" min="37" style="1" width="8.9"/>
    <col collapsed="false" customWidth="true" hidden="true" outlineLevel="0" max="56" min="53" style="1" width="13"/>
  </cols>
  <sheetData>
    <row r="1" customFormat="false" ht="39.75" hidden="false" customHeight="true" outlineLevel="0" collapsed="false">
      <c r="A1" s="3" t="s">
        <v>130</v>
      </c>
      <c r="B1" s="4"/>
      <c r="F1" s="5"/>
      <c r="G1" s="6"/>
      <c r="H1" s="5"/>
      <c r="I1" s="7"/>
      <c r="J1" s="7"/>
      <c r="K1" s="5"/>
      <c r="L1" s="5"/>
      <c r="M1" s="7"/>
      <c r="N1" s="7"/>
      <c r="O1" s="8"/>
      <c r="P1" s="8"/>
      <c r="Q1" s="8"/>
      <c r="R1" s="8"/>
      <c r="S1" s="5"/>
      <c r="T1" s="9"/>
      <c r="U1" s="8"/>
      <c r="V1" s="8"/>
      <c r="W1" s="5"/>
      <c r="X1" s="5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BC1" s="40" t="n">
        <f aca="false">COUNTIF($B$69:$B$70,"คิงโบ ล็อค+กุญแจ")</f>
        <v>2</v>
      </c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10"/>
      <c r="H2" s="7"/>
      <c r="I2" s="11"/>
      <c r="J2" s="11"/>
      <c r="K2" s="7"/>
      <c r="L2" s="7"/>
      <c r="M2" s="7"/>
      <c r="N2" s="7"/>
      <c r="O2" s="11"/>
      <c r="P2" s="11"/>
      <c r="Q2" s="11"/>
      <c r="R2" s="11"/>
      <c r="S2" s="7"/>
      <c r="T2" s="7"/>
      <c r="U2" s="11"/>
      <c r="V2" s="11"/>
      <c r="W2" s="7"/>
      <c r="X2" s="7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BC2" s="40" t="n">
        <f aca="false">COUNTIF($B$69:$B$70,"คิงโบ ดัมมี่+ดัมมี่")</f>
        <v>0</v>
      </c>
    </row>
    <row r="3" customFormat="false" ht="39.75" hidden="false" customHeight="true" outlineLevel="0" collapsed="false">
      <c r="A3" s="7"/>
      <c r="B3" s="7"/>
      <c r="C3" s="7"/>
      <c r="D3" s="7"/>
      <c r="E3" s="7"/>
      <c r="F3" s="7"/>
      <c r="G3" s="10"/>
      <c r="H3" s="7"/>
      <c r="K3" s="7"/>
      <c r="L3" s="7"/>
      <c r="M3" s="7"/>
      <c r="N3" s="7"/>
      <c r="O3" s="12"/>
      <c r="P3" s="12"/>
      <c r="Q3" s="12"/>
      <c r="R3" s="12"/>
      <c r="S3" s="7"/>
      <c r="T3" s="7"/>
      <c r="U3" s="12"/>
      <c r="V3" s="12"/>
      <c r="W3" s="7"/>
      <c r="X3" s="7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BC3" s="40" t="n">
        <f aca="false">COUNTIF($B$69:$B$70,"Cmech ล็อค+กุญแจ")</f>
        <v>0</v>
      </c>
    </row>
    <row r="4" customFormat="false" ht="39.75" hidden="false" customHeight="true" outlineLevel="0" collapsed="false">
      <c r="A4" s="13" t="s">
        <v>2</v>
      </c>
      <c r="B4" s="7"/>
      <c r="C4" s="7"/>
      <c r="D4" s="14" t="s">
        <v>3</v>
      </c>
      <c r="E4" s="7"/>
      <c r="F4" s="7"/>
      <c r="H4" s="7"/>
      <c r="K4" s="7"/>
      <c r="L4" s="7"/>
      <c r="M4" s="7"/>
      <c r="N4" s="7"/>
      <c r="S4" s="7"/>
      <c r="T4" s="7"/>
      <c r="W4" s="7"/>
      <c r="X4" s="7"/>
      <c r="BC4" s="1" t="n">
        <f aca="false">COUNTIF($B$69:$B$70,"Cmech ดัมมี่+ดัมมี่")</f>
        <v>0</v>
      </c>
    </row>
    <row r="5" customFormat="false" ht="39.75" hidden="false" customHeight="true" outlineLevel="0" collapsed="false">
      <c r="A5" s="15" t="s">
        <v>4</v>
      </c>
      <c r="B5" s="7"/>
      <c r="C5" s="7"/>
      <c r="D5" s="7"/>
      <c r="E5" s="7"/>
      <c r="F5" s="7"/>
      <c r="G5" s="10"/>
      <c r="H5" s="7"/>
      <c r="K5" s="7"/>
      <c r="L5" s="7"/>
      <c r="N5" s="7"/>
      <c r="S5" s="7"/>
      <c r="T5" s="7"/>
      <c r="W5" s="7"/>
      <c r="X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 t="s">
        <v>105</v>
      </c>
      <c r="L6" s="17"/>
      <c r="M6" s="17" t="s">
        <v>112</v>
      </c>
      <c r="N6" s="17"/>
      <c r="O6" s="17" t="s">
        <v>113</v>
      </c>
      <c r="P6" s="17"/>
      <c r="Q6" s="17" t="s">
        <v>10</v>
      </c>
      <c r="R6" s="17"/>
      <c r="S6" s="17" t="s">
        <v>114</v>
      </c>
      <c r="T6" s="17"/>
      <c r="U6" s="17" t="s">
        <v>115</v>
      </c>
      <c r="V6" s="17"/>
      <c r="W6" s="17" t="s">
        <v>106</v>
      </c>
      <c r="X6" s="17"/>
      <c r="Y6" s="17" t="s">
        <v>131</v>
      </c>
      <c r="Z6" s="17"/>
      <c r="AA6" s="17"/>
      <c r="AB6" s="17"/>
      <c r="AC6" s="17"/>
      <c r="AD6" s="17"/>
      <c r="AE6" s="18"/>
      <c r="AF6" s="18"/>
      <c r="AG6" s="18"/>
      <c r="AH6" s="18"/>
      <c r="AI6" s="18"/>
      <c r="AJ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14</v>
      </c>
      <c r="H7" s="20"/>
      <c r="I7" s="20"/>
      <c r="J7" s="20"/>
      <c r="K7" s="20" t="s">
        <v>16</v>
      </c>
      <c r="L7" s="20"/>
      <c r="M7" s="20"/>
      <c r="N7" s="20"/>
      <c r="O7" s="20"/>
      <c r="P7" s="20"/>
      <c r="Q7" s="20" t="s">
        <v>17</v>
      </c>
      <c r="R7" s="20"/>
      <c r="S7" s="20"/>
      <c r="T7" s="20"/>
      <c r="U7" s="20"/>
      <c r="V7" s="20"/>
      <c r="W7" s="21" t="s">
        <v>107</v>
      </c>
      <c r="X7" s="21"/>
      <c r="Y7" s="20" t="s">
        <v>117</v>
      </c>
      <c r="Z7" s="20"/>
      <c r="AA7" s="22"/>
      <c r="AB7" s="22"/>
      <c r="AC7" s="22"/>
      <c r="AD7" s="22"/>
      <c r="AE7" s="24"/>
      <c r="AF7" s="25" t="s">
        <v>19</v>
      </c>
      <c r="AG7" s="26"/>
      <c r="AH7" s="24"/>
      <c r="AI7" s="25" t="s">
        <v>19</v>
      </c>
      <c r="AJ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6"/>
      <c r="E8" s="96"/>
      <c r="F8" s="27" t="s">
        <v>118</v>
      </c>
      <c r="G8" s="29"/>
      <c r="H8" s="29"/>
      <c r="I8" s="30"/>
      <c r="J8" s="30"/>
      <c r="K8" s="29"/>
      <c r="L8" s="29"/>
      <c r="M8" s="97"/>
      <c r="N8" s="97"/>
      <c r="O8" s="30"/>
      <c r="P8" s="30"/>
      <c r="Q8" s="29"/>
      <c r="R8" s="29"/>
      <c r="S8" s="97"/>
      <c r="T8" s="97"/>
      <c r="U8" s="30"/>
      <c r="V8" s="30"/>
      <c r="W8" s="30"/>
      <c r="X8" s="30"/>
      <c r="Y8" s="31"/>
      <c r="Z8" s="31"/>
      <c r="AA8" s="29"/>
      <c r="AB8" s="29"/>
      <c r="AC8" s="30"/>
      <c r="AD8" s="30"/>
      <c r="AE8" s="32"/>
      <c r="AF8" s="33" t="s">
        <v>119</v>
      </c>
      <c r="AG8" s="34"/>
      <c r="AH8" s="32"/>
      <c r="AI8" s="33" t="s">
        <v>120</v>
      </c>
      <c r="AJ8" s="34"/>
      <c r="AK8" s="1" t="str">
        <f aca="false">IF($B$66="ดำ","JR00488","JR00489")</f>
        <v>JR00489</v>
      </c>
      <c r="AL8" s="1" t="s">
        <v>24</v>
      </c>
      <c r="AM8" s="1" t="s">
        <v>25</v>
      </c>
      <c r="AN8" s="1" t="str">
        <f aca="false">IF($B$66="ดำ","JR00314","JR00315")</f>
        <v>JR00315</v>
      </c>
      <c r="AO8" s="1" t="str">
        <f aca="false">IF($B$66="ดำ","JR00312","JR00313")</f>
        <v>JR00313</v>
      </c>
      <c r="AQ8" s="1" t="str">
        <f aca="false">IF($B$67="มัลติพ้อยล็อค","JR00553","JR00551")</f>
        <v>JR00551</v>
      </c>
      <c r="AR8" s="1" t="str">
        <f aca="false">IF($B$68="เปิดเข้า","JR00498","JR00499")</f>
        <v>JR00499</v>
      </c>
      <c r="AS8" s="1" t="s">
        <v>26</v>
      </c>
      <c r="AT8" s="1" t="s">
        <v>27</v>
      </c>
      <c r="AU8" s="1" t="s">
        <v>28</v>
      </c>
      <c r="AV8" s="1" t="s">
        <v>29</v>
      </c>
      <c r="AW8" s="1" t="s">
        <v>29</v>
      </c>
      <c r="AX8" s="1" t="s">
        <v>30</v>
      </c>
    </row>
    <row r="9" customFormat="false" ht="39.75" hidden="false" customHeight="true" outlineLevel="0" collapsed="false">
      <c r="A9" s="27"/>
      <c r="B9" s="28"/>
      <c r="C9" s="28"/>
      <c r="D9" s="98"/>
      <c r="E9" s="98"/>
      <c r="F9" s="27"/>
      <c r="G9" s="35" t="s">
        <v>31</v>
      </c>
      <c r="H9" s="35"/>
      <c r="I9" s="35" t="s">
        <v>32</v>
      </c>
      <c r="J9" s="35"/>
      <c r="K9" s="35" t="s">
        <v>34</v>
      </c>
      <c r="L9" s="35"/>
      <c r="M9" s="35" t="s">
        <v>121</v>
      </c>
      <c r="N9" s="35"/>
      <c r="O9" s="35" t="s">
        <v>122</v>
      </c>
      <c r="P9" s="35"/>
      <c r="Q9" s="35" t="s">
        <v>36</v>
      </c>
      <c r="R9" s="35"/>
      <c r="S9" s="35" t="s">
        <v>123</v>
      </c>
      <c r="T9" s="35"/>
      <c r="U9" s="35" t="s">
        <v>124</v>
      </c>
      <c r="V9" s="35"/>
      <c r="W9" s="35" t="s">
        <v>108</v>
      </c>
      <c r="X9" s="35"/>
      <c r="Y9" s="35" t="s">
        <v>125</v>
      </c>
      <c r="Z9" s="35"/>
      <c r="AA9" s="35"/>
      <c r="AB9" s="35"/>
      <c r="AC9" s="35"/>
      <c r="AD9" s="35"/>
      <c r="AE9" s="37" t="s">
        <v>39</v>
      </c>
      <c r="AF9" s="38" t="s">
        <v>132</v>
      </c>
      <c r="AG9" s="39"/>
      <c r="AH9" s="37" t="s">
        <v>39</v>
      </c>
      <c r="AI9" s="38" t="s">
        <v>133</v>
      </c>
      <c r="AJ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1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  <c r="AY9" s="41" t="s">
        <v>55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99" t="s">
        <v>57</v>
      </c>
      <c r="D10" s="45" t="s">
        <v>119</v>
      </c>
      <c r="E10" s="45" t="s">
        <v>120</v>
      </c>
      <c r="F10" s="45" t="s">
        <v>58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8" t="s">
        <v>60</v>
      </c>
      <c r="U10" s="46" t="s">
        <v>59</v>
      </c>
      <c r="V10" s="48" t="s">
        <v>60</v>
      </c>
      <c r="W10" s="46" t="s">
        <v>59</v>
      </c>
      <c r="X10" s="47" t="s">
        <v>60</v>
      </c>
      <c r="Y10" s="46" t="s">
        <v>59</v>
      </c>
      <c r="Z10" s="47" t="s">
        <v>60</v>
      </c>
      <c r="AA10" s="46" t="s">
        <v>59</v>
      </c>
      <c r="AB10" s="48" t="s">
        <v>60</v>
      </c>
      <c r="AC10" s="46" t="s">
        <v>59</v>
      </c>
      <c r="AD10" s="48" t="s">
        <v>60</v>
      </c>
      <c r="AE10" s="49" t="s">
        <v>61</v>
      </c>
      <c r="AF10" s="50" t="s">
        <v>62</v>
      </c>
      <c r="AG10" s="51" t="s">
        <v>60</v>
      </c>
      <c r="AH10" s="49" t="s">
        <v>61</v>
      </c>
      <c r="AI10" s="50" t="s">
        <v>62</v>
      </c>
      <c r="AJ10" s="51" t="s">
        <v>60</v>
      </c>
      <c r="AK10" s="40" t="s">
        <v>60</v>
      </c>
      <c r="AL10" s="40" t="s">
        <v>60</v>
      </c>
      <c r="AM10" s="40" t="s">
        <v>60</v>
      </c>
      <c r="AN10" s="40" t="s">
        <v>60</v>
      </c>
      <c r="AO10" s="40" t="s">
        <v>60</v>
      </c>
      <c r="AP10" s="40" t="s">
        <v>60</v>
      </c>
      <c r="AQ10" s="40" t="s">
        <v>60</v>
      </c>
      <c r="AR10" s="40" t="s">
        <v>60</v>
      </c>
      <c r="AS10" s="40" t="s">
        <v>60</v>
      </c>
      <c r="AT10" s="40" t="s">
        <v>60</v>
      </c>
      <c r="AU10" s="40" t="s">
        <v>60</v>
      </c>
      <c r="AV10" s="40" t="s">
        <v>60</v>
      </c>
      <c r="AW10" s="40" t="s">
        <v>60</v>
      </c>
      <c r="AX10" s="40" t="s">
        <v>60</v>
      </c>
    </row>
    <row r="11" customFormat="false" ht="39.75" hidden="false" customHeight="true" outlineLevel="0" collapsed="false">
      <c r="A11" s="52" t="s">
        <v>63</v>
      </c>
      <c r="B11" s="53" t="n">
        <v>400</v>
      </c>
      <c r="C11" s="100" t="n">
        <f aca="false">IF($A11="","",$D11+$E11)</f>
        <v>600</v>
      </c>
      <c r="D11" s="55" t="n">
        <v>250</v>
      </c>
      <c r="E11" s="55" t="n">
        <v>350</v>
      </c>
      <c r="F11" s="55" t="n">
        <v>1</v>
      </c>
      <c r="G11" s="56" t="n">
        <f aca="false">IF($A11="","",$B11)</f>
        <v>400</v>
      </c>
      <c r="H11" s="54" t="n">
        <f aca="false">IF($A11="","",2*$F11)</f>
        <v>2</v>
      </c>
      <c r="I11" s="56" t="n">
        <f aca="false">IF($A11="","",$C11-$E$55-$F$55)</f>
        <v>550</v>
      </c>
      <c r="J11" s="54" t="n">
        <f aca="false">IF($A11="","",1*$F11)</f>
        <v>1</v>
      </c>
      <c r="K11" s="56" t="n">
        <f aca="false">IF($A11="","",$B11-$E$56-$F$56)</f>
        <v>374.5</v>
      </c>
      <c r="L11" s="54" t="n">
        <f aca="false">IF($A11="","",4*$F11)</f>
        <v>4</v>
      </c>
      <c r="M11" s="56" t="n">
        <f aca="false">IF($A11="","",(($D11-$E$57-$F$57)))</f>
        <v>230.5</v>
      </c>
      <c r="N11" s="54" t="n">
        <f aca="false">IF($A11="","",2*$F11)</f>
        <v>2</v>
      </c>
      <c r="O11" s="56" t="n">
        <f aca="false">IF($A11="","",(($E11-$E$58-$F$58)))</f>
        <v>330.5</v>
      </c>
      <c r="P11" s="54" t="n">
        <f aca="false">IF($A11="","",2*$F11)</f>
        <v>2</v>
      </c>
      <c r="Q11" s="56" t="n">
        <f aca="false">IF($A11="","",$K11-$E$59-$F$59)</f>
        <v>174.5</v>
      </c>
      <c r="R11" s="54" t="n">
        <f aca="false">IF($A11="","",4*$F11)</f>
        <v>4</v>
      </c>
      <c r="S11" s="56" t="n">
        <f aca="false">IF($A11="","",$M11-$E$60-$F$60)</f>
        <v>70.5</v>
      </c>
      <c r="T11" s="54" t="n">
        <f aca="false">IF($A11="","",2*$F11)</f>
        <v>2</v>
      </c>
      <c r="U11" s="56" t="n">
        <f aca="false">IF($A11="","",$O11-$E$61-$F$61)</f>
        <v>170.5</v>
      </c>
      <c r="V11" s="54" t="n">
        <f aca="false">IF($A11="","",2*$F11)</f>
        <v>2</v>
      </c>
      <c r="W11" s="56" t="n">
        <f aca="false">IF($A11="","",$M11)</f>
        <v>230.5</v>
      </c>
      <c r="X11" s="54" t="n">
        <f aca="false">IF($A11="","",2*$F11)</f>
        <v>2</v>
      </c>
      <c r="Y11" s="56" t="n">
        <f aca="false">IF($A11="","",$K11-$E$63)</f>
        <v>366</v>
      </c>
      <c r="Z11" s="54" t="n">
        <f aca="false">IF($A11="","",1*$F11)</f>
        <v>1</v>
      </c>
      <c r="AA11" s="56"/>
      <c r="AB11" s="54"/>
      <c r="AC11" s="56"/>
      <c r="AD11" s="54"/>
      <c r="AE11" s="87" t="n">
        <f aca="false">IF($A11="","",$K11-87-87)</f>
        <v>200.5</v>
      </c>
      <c r="AF11" s="101" t="n">
        <f aca="false">IF($A11="","",$M11-87-87)</f>
        <v>56.5</v>
      </c>
      <c r="AG11" s="59" t="n">
        <f aca="false">IF($A11="","",1*$F11)</f>
        <v>1</v>
      </c>
      <c r="AH11" s="87" t="n">
        <f aca="false">IF($A11="","",$K11-87-87)</f>
        <v>200.5</v>
      </c>
      <c r="AI11" s="101" t="n">
        <f aca="false">IF($A11="","",$O11-87-87)</f>
        <v>156.5</v>
      </c>
      <c r="AJ11" s="59" t="n">
        <f aca="false">IF($A11="","",1*$F11)</f>
        <v>1</v>
      </c>
      <c r="AK11" s="40" t="n">
        <f aca="false">IF($A11="","",(IF(OR($B11&gt;3000,$D11&gt;1200),5,4)+IF(OR($B11&gt;3000,$E11&gt;1200),5,4))*$F11)</f>
        <v>8</v>
      </c>
      <c r="AL11" s="40" t="n">
        <f aca="false">IF($A11="","",4*2*$F11)</f>
        <v>8</v>
      </c>
      <c r="AM11" s="40" t="n">
        <f aca="false">IF($A11="","",8*2*$F11)</f>
        <v>16</v>
      </c>
      <c r="AN11" s="40" t="n">
        <f aca="false">IF($A11="","",$BC$1*$F11)</f>
        <v>2</v>
      </c>
      <c r="AO11" s="40" t="n">
        <f aca="false">IF($A11="","",$BC$2*$F11)</f>
        <v>0</v>
      </c>
      <c r="AP11" s="40" t="n">
        <f aca="false">IF($A11="","",$BC$3*$F11)</f>
        <v>0</v>
      </c>
      <c r="AQ11" s="40" t="n">
        <f aca="false">IF($A11="","",1*$F11)</f>
        <v>1</v>
      </c>
      <c r="AR11" s="40" t="n">
        <f aca="false">IF($A11="","",1*$F11)</f>
        <v>1</v>
      </c>
      <c r="AS11" s="40" t="n">
        <f aca="false">IF($A11="","",1*$F11)</f>
        <v>1</v>
      </c>
      <c r="AT11" s="40" t="n">
        <f aca="false">IF($A11="","",1*$F11)</f>
        <v>1</v>
      </c>
      <c r="AU11" s="40" t="n">
        <f aca="false">IF($A11="","",6*$F11)</f>
        <v>6</v>
      </c>
      <c r="AV11" s="40" t="n">
        <f aca="false">IF($A11="","",ROUND((2*($D11+$B11)+2*($E11+$B11))*$F11/1000,1))</f>
        <v>2.8</v>
      </c>
      <c r="AW11" s="40" t="n">
        <f aca="false">IF($A11="","",ROUND(($C11+2*$B11)*$F11/1000,1))</f>
        <v>1.4</v>
      </c>
      <c r="AX11" s="40" t="n">
        <f aca="false">IF($A11="","",1*$F11)</f>
        <v>1</v>
      </c>
      <c r="AY11" s="41" t="n">
        <f aca="false">IF($A11="","",$BC$4*$F11)</f>
        <v>0</v>
      </c>
    </row>
    <row r="12" customFormat="false" ht="39.75" hidden="false" customHeight="true" outlineLevel="0" collapsed="false">
      <c r="A12" s="52"/>
      <c r="B12" s="53"/>
      <c r="C12" s="100" t="str">
        <f aca="false">IF($A12="","",$D12+$E12)</f>
        <v/>
      </c>
      <c r="D12" s="55"/>
      <c r="E12" s="55"/>
      <c r="F12" s="55"/>
      <c r="G12" s="60" t="str">
        <f aca="false">IF($A12="","",$B12)</f>
        <v/>
      </c>
      <c r="H12" s="61" t="str">
        <f aca="false">IF($A12="","",2*$F12)</f>
        <v/>
      </c>
      <c r="I12" s="60" t="str">
        <f aca="false">IF($A12="","",$C12-$E$55-$F$55)</f>
        <v/>
      </c>
      <c r="J12" s="61" t="str">
        <f aca="false">IF($A12="","",1*$F12)</f>
        <v/>
      </c>
      <c r="K12" s="60" t="str">
        <f aca="false">IF($A12="","",$B12-$E$56-$F$56)</f>
        <v/>
      </c>
      <c r="L12" s="61" t="str">
        <f aca="false">IF($A12="","",4*$F12)</f>
        <v/>
      </c>
      <c r="M12" s="60" t="str">
        <f aca="false">IF($A12="","",(($D12-$E$57-$F$57)))</f>
        <v/>
      </c>
      <c r="N12" s="61" t="str">
        <f aca="false">IF($A12="","",2*$F12)</f>
        <v/>
      </c>
      <c r="O12" s="60" t="str">
        <f aca="false">IF($A12="","",(($E12-$E$58-$F$58)))</f>
        <v/>
      </c>
      <c r="P12" s="61" t="str">
        <f aca="false">IF($A12="","",2*$F12)</f>
        <v/>
      </c>
      <c r="Q12" s="60" t="str">
        <f aca="false">IF($A12="","",$K12-$E$59-$F$59)</f>
        <v/>
      </c>
      <c r="R12" s="61" t="str">
        <f aca="false">IF($A12="","",4*$F12)</f>
        <v/>
      </c>
      <c r="S12" s="60" t="str">
        <f aca="false">IF($A12="","",$M12-$E$60-$F$60)</f>
        <v/>
      </c>
      <c r="T12" s="61" t="str">
        <f aca="false">IF($A12="","",2*$F12)</f>
        <v/>
      </c>
      <c r="U12" s="60" t="str">
        <f aca="false">IF($A12="","",$O12-$E$61-$F$61)</f>
        <v/>
      </c>
      <c r="V12" s="61" t="str">
        <f aca="false">IF($A12="","",2*$F12)</f>
        <v/>
      </c>
      <c r="W12" s="60" t="str">
        <f aca="false">IF($A12="","",$M12)</f>
        <v/>
      </c>
      <c r="X12" s="61" t="str">
        <f aca="false">IF($A12="","",2*$F12)</f>
        <v/>
      </c>
      <c r="Y12" s="60" t="str">
        <f aca="false">IF($A12="","",$K12-$E$63)</f>
        <v/>
      </c>
      <c r="Z12" s="61" t="str">
        <f aca="false">IF($A12="","",1*$F12)</f>
        <v/>
      </c>
      <c r="AA12" s="60"/>
      <c r="AB12" s="61"/>
      <c r="AC12" s="60"/>
      <c r="AD12" s="61"/>
      <c r="AE12" s="57" t="str">
        <f aca="false">IF($A12="","",$K12-87-87)</f>
        <v/>
      </c>
      <c r="AF12" s="58" t="str">
        <f aca="false">IF($A12="","",$M12-87-87)</f>
        <v/>
      </c>
      <c r="AG12" s="59" t="str">
        <f aca="false">IF($A12="","",1*$F12)</f>
        <v/>
      </c>
      <c r="AH12" s="57" t="str">
        <f aca="false">IF($A12="","",$K12-87-87)</f>
        <v/>
      </c>
      <c r="AI12" s="58" t="str">
        <f aca="false">IF($A12="","",$O12-87-87)</f>
        <v/>
      </c>
      <c r="AJ12" s="59" t="str">
        <f aca="false">IF($A12="","",1*$F12)</f>
        <v/>
      </c>
      <c r="AK12" s="1" t="str">
        <f aca="false">IF($A12="","",(IF(OR($B12&gt;3000,$D12&gt;1200),5,4)+IF(OR($B12&gt;3000,$E12&gt;1200),5,4))*$F12)</f>
        <v/>
      </c>
      <c r="AL12" s="1" t="str">
        <f aca="false">IF($A12="","",4*2*$F12)</f>
        <v/>
      </c>
      <c r="AM12" s="1" t="str">
        <f aca="false">IF($A12="","",8*2*$F12)</f>
        <v/>
      </c>
      <c r="AN12" s="1" t="str">
        <f aca="false">IF($A12="","",$BC$1*$F12)</f>
        <v/>
      </c>
      <c r="AO12" s="1" t="str">
        <f aca="false">IF($A12="","",$BC$2*$F12)</f>
        <v/>
      </c>
      <c r="AP12" s="1" t="str">
        <f aca="false">IF($A12="","",$BC$3*$F12)</f>
        <v/>
      </c>
      <c r="AQ12" s="1" t="str">
        <f aca="false">IF($A12="","",1*$F12)</f>
        <v/>
      </c>
      <c r="AR12" s="1" t="str">
        <f aca="false">IF($A12="","",1*$F12)</f>
        <v/>
      </c>
      <c r="AS12" s="1" t="str">
        <f aca="false">IF($A12="","",1*$F12)</f>
        <v/>
      </c>
      <c r="AT12" s="1" t="str">
        <f aca="false">IF($A12="","",1*$F12)</f>
        <v/>
      </c>
      <c r="AU12" s="1" t="str">
        <f aca="false">IF($A12="","",6*$F12)</f>
        <v/>
      </c>
      <c r="AV12" s="1" t="str">
        <f aca="false">IF($A12="","",ROUND((2*($D12+$B12)+2*($E12+$B12))*$F12/1000,1))</f>
        <v/>
      </c>
      <c r="AW12" s="1" t="str">
        <f aca="false">IF($A12="","",ROUND(($C12+2*$B12)*$F12/1000,1))</f>
        <v/>
      </c>
      <c r="AX12" s="1" t="str">
        <f aca="false">IF($A12="","",1*$F12)</f>
        <v/>
      </c>
      <c r="AY12" s="0" t="str">
        <f aca="false">IF($A12="","",$BC$4*$F12)</f>
        <v/>
      </c>
    </row>
    <row r="13" customFormat="false" ht="39.75" hidden="false" customHeight="true" outlineLevel="0" collapsed="false">
      <c r="A13" s="52"/>
      <c r="B13" s="53"/>
      <c r="C13" s="100" t="str">
        <f aca="false">IF($A13="","",$D13+$E13)</f>
        <v/>
      </c>
      <c r="D13" s="55"/>
      <c r="E13" s="55"/>
      <c r="F13" s="55"/>
      <c r="G13" s="56" t="str">
        <f aca="false">IF($A13="","",$B13)</f>
        <v/>
      </c>
      <c r="H13" s="54" t="str">
        <f aca="false">IF($A13="","",2*$F13)</f>
        <v/>
      </c>
      <c r="I13" s="56" t="str">
        <f aca="false">IF($A13="","",$C13-$E$55-$F$55)</f>
        <v/>
      </c>
      <c r="J13" s="54" t="str">
        <f aca="false">IF($A13="","",1*$F13)</f>
        <v/>
      </c>
      <c r="K13" s="56" t="str">
        <f aca="false">IF($A13="","",$B13-$E$56-$F$56)</f>
        <v/>
      </c>
      <c r="L13" s="54" t="str">
        <f aca="false">IF($A13="","",4*$F13)</f>
        <v/>
      </c>
      <c r="M13" s="56" t="str">
        <f aca="false">IF($A13="","",(($D13-$E$57-$F$57)))</f>
        <v/>
      </c>
      <c r="N13" s="54" t="str">
        <f aca="false">IF($A13="","",2*$F13)</f>
        <v/>
      </c>
      <c r="O13" s="56" t="str">
        <f aca="false">IF($A13="","",(($E13-$E$58-$F$58)))</f>
        <v/>
      </c>
      <c r="P13" s="54" t="str">
        <f aca="false">IF($A13="","",2*$F13)</f>
        <v/>
      </c>
      <c r="Q13" s="56" t="str">
        <f aca="false">IF($A13="","",$K13-$E$59-$F$59)</f>
        <v/>
      </c>
      <c r="R13" s="54" t="str">
        <f aca="false">IF($A13="","",4*$F13)</f>
        <v/>
      </c>
      <c r="S13" s="56" t="str">
        <f aca="false">IF($A13="","",$M13-$E$60-$F$60)</f>
        <v/>
      </c>
      <c r="T13" s="54" t="str">
        <f aca="false">IF($A13="","",2*$F13)</f>
        <v/>
      </c>
      <c r="U13" s="56" t="str">
        <f aca="false">IF($A13="","",$O13-$E$61-$F$61)</f>
        <v/>
      </c>
      <c r="V13" s="54" t="str">
        <f aca="false">IF($A13="","",2*$F13)</f>
        <v/>
      </c>
      <c r="W13" s="56" t="str">
        <f aca="false">IF($A13="","",$M13)</f>
        <v/>
      </c>
      <c r="X13" s="54" t="str">
        <f aca="false">IF($A13="","",2*$F13)</f>
        <v/>
      </c>
      <c r="Y13" s="56" t="str">
        <f aca="false">IF($A13="","",$K13-$E$63)</f>
        <v/>
      </c>
      <c r="Z13" s="54" t="str">
        <f aca="false">IF($A13="","",1*$F13)</f>
        <v/>
      </c>
      <c r="AA13" s="56"/>
      <c r="AB13" s="54"/>
      <c r="AC13" s="56"/>
      <c r="AD13" s="54"/>
      <c r="AE13" s="57" t="str">
        <f aca="false">IF($A13="","",$K13-87-87)</f>
        <v/>
      </c>
      <c r="AF13" s="58" t="str">
        <f aca="false">IF($A13="","",$M13-87-87)</f>
        <v/>
      </c>
      <c r="AG13" s="59" t="str">
        <f aca="false">IF($A13="","",1*$F13)</f>
        <v/>
      </c>
      <c r="AH13" s="57" t="str">
        <f aca="false">IF($A13="","",$K13-87-87)</f>
        <v/>
      </c>
      <c r="AI13" s="58" t="str">
        <f aca="false">IF($A13="","",$O13-87-87)</f>
        <v/>
      </c>
      <c r="AJ13" s="59" t="str">
        <f aca="false">IF($A13="","",1*$F13)</f>
        <v/>
      </c>
      <c r="AK13" s="1" t="str">
        <f aca="false">IF($A13="","",(IF(OR($B13&gt;3000,$D13&gt;1200),5,4)+IF(OR($B13&gt;3000,$E13&gt;1200),5,4))*$F13)</f>
        <v/>
      </c>
      <c r="AL13" s="1" t="str">
        <f aca="false">IF($A13="","",4*2*$F13)</f>
        <v/>
      </c>
      <c r="AM13" s="1" t="str">
        <f aca="false">IF($A13="","",8*2*$F13)</f>
        <v/>
      </c>
      <c r="AN13" s="1" t="str">
        <f aca="false">IF($A13="","",$BC$1*$F13)</f>
        <v/>
      </c>
      <c r="AO13" s="1" t="str">
        <f aca="false">IF($A13="","",$BC$2*$F13)</f>
        <v/>
      </c>
      <c r="AP13" s="1" t="str">
        <f aca="false">IF($A13="","",$BC$3*$F13)</f>
        <v/>
      </c>
      <c r="AQ13" s="1" t="str">
        <f aca="false">IF($A13="","",1*$F13)</f>
        <v/>
      </c>
      <c r="AR13" s="1" t="str">
        <f aca="false">IF($A13="","",1*$F13)</f>
        <v/>
      </c>
      <c r="AS13" s="1" t="str">
        <f aca="false">IF($A13="","",1*$F13)</f>
        <v/>
      </c>
      <c r="AT13" s="1" t="str">
        <f aca="false">IF($A13="","",1*$F13)</f>
        <v/>
      </c>
      <c r="AU13" s="1" t="str">
        <f aca="false">IF($A13="","",6*$F13)</f>
        <v/>
      </c>
      <c r="AV13" s="1" t="str">
        <f aca="false">IF($A13="","",ROUND((2*($D13+$B13)+2*($E13+$B13))*$F13/1000,1))</f>
        <v/>
      </c>
      <c r="AW13" s="1" t="str">
        <f aca="false">IF($A13="","",ROUND(($C13+2*$B13)*$F13/1000,1))</f>
        <v/>
      </c>
      <c r="AX13" s="1" t="str">
        <f aca="false">IF($A13="","",1*$F13)</f>
        <v/>
      </c>
      <c r="AY13" s="0" t="str">
        <f aca="false">IF($A13="","",$BC$4*$F13)</f>
        <v/>
      </c>
    </row>
    <row r="14" customFormat="false" ht="39.75" hidden="false" customHeight="true" outlineLevel="0" collapsed="false">
      <c r="A14" s="52"/>
      <c r="B14" s="53"/>
      <c r="C14" s="100" t="str">
        <f aca="false">IF($A14="","",$D14+$E14)</f>
        <v/>
      </c>
      <c r="D14" s="55"/>
      <c r="E14" s="55"/>
      <c r="F14" s="55"/>
      <c r="G14" s="60" t="str">
        <f aca="false">IF($A14="","",$B14)</f>
        <v/>
      </c>
      <c r="H14" s="61" t="str">
        <f aca="false">IF($A14="","",2*$F14)</f>
        <v/>
      </c>
      <c r="I14" s="60" t="str">
        <f aca="false">IF($A14="","",$C14-$E$55-$F$55)</f>
        <v/>
      </c>
      <c r="J14" s="61" t="str">
        <f aca="false">IF($A14="","",1*$F14)</f>
        <v/>
      </c>
      <c r="K14" s="60" t="str">
        <f aca="false">IF($A14="","",$B14-$E$56-$F$56)</f>
        <v/>
      </c>
      <c r="L14" s="61" t="str">
        <f aca="false">IF($A14="","",4*$F14)</f>
        <v/>
      </c>
      <c r="M14" s="60" t="str">
        <f aca="false">IF($A14="","",(($D14-$E$57-$F$57)))</f>
        <v/>
      </c>
      <c r="N14" s="61" t="str">
        <f aca="false">IF($A14="","",2*$F14)</f>
        <v/>
      </c>
      <c r="O14" s="60" t="str">
        <f aca="false">IF($A14="","",(($E14-$E$58-$F$58)))</f>
        <v/>
      </c>
      <c r="P14" s="61" t="str">
        <f aca="false">IF($A14="","",2*$F14)</f>
        <v/>
      </c>
      <c r="Q14" s="60" t="str">
        <f aca="false">IF($A14="","",$K14-$E$59-$F$59)</f>
        <v/>
      </c>
      <c r="R14" s="61" t="str">
        <f aca="false">IF($A14="","",4*$F14)</f>
        <v/>
      </c>
      <c r="S14" s="60" t="str">
        <f aca="false">IF($A14="","",$M14-$E$60-$F$60)</f>
        <v/>
      </c>
      <c r="T14" s="61" t="str">
        <f aca="false">IF($A14="","",2*$F14)</f>
        <v/>
      </c>
      <c r="U14" s="60" t="str">
        <f aca="false">IF($A14="","",$O14-$E$61-$F$61)</f>
        <v/>
      </c>
      <c r="V14" s="61" t="str">
        <f aca="false">IF($A14="","",2*$F14)</f>
        <v/>
      </c>
      <c r="W14" s="60" t="str">
        <f aca="false">IF($A14="","",$M14)</f>
        <v/>
      </c>
      <c r="X14" s="61" t="str">
        <f aca="false">IF($A14="","",2*$F14)</f>
        <v/>
      </c>
      <c r="Y14" s="60" t="str">
        <f aca="false">IF($A14="","",$K14-$E$63)</f>
        <v/>
      </c>
      <c r="Z14" s="61" t="str">
        <f aca="false">IF($A14="","",1*$F14)</f>
        <v/>
      </c>
      <c r="AA14" s="60"/>
      <c r="AB14" s="61"/>
      <c r="AC14" s="60"/>
      <c r="AD14" s="61"/>
      <c r="AE14" s="57" t="str">
        <f aca="false">IF($A14="","",$K14-87-87)</f>
        <v/>
      </c>
      <c r="AF14" s="58" t="str">
        <f aca="false">IF($A14="","",$M14-87-87)</f>
        <v/>
      </c>
      <c r="AG14" s="59" t="str">
        <f aca="false">IF($A14="","",1*$F14)</f>
        <v/>
      </c>
      <c r="AH14" s="57" t="str">
        <f aca="false">IF($A14="","",$K14-87-87)</f>
        <v/>
      </c>
      <c r="AI14" s="58" t="str">
        <f aca="false">IF($A14="","",$O14-87-87)</f>
        <v/>
      </c>
      <c r="AJ14" s="59" t="str">
        <f aca="false">IF($A14="","",1*$F14)</f>
        <v/>
      </c>
      <c r="AK14" s="1" t="str">
        <f aca="false">IF($A14="","",(IF(OR($B14&gt;3000,$D14&gt;1200),5,4)+IF(OR($B14&gt;3000,$E14&gt;1200),5,4))*$F14)</f>
        <v/>
      </c>
      <c r="AL14" s="1" t="str">
        <f aca="false">IF($A14="","",4*2*$F14)</f>
        <v/>
      </c>
      <c r="AM14" s="1" t="str">
        <f aca="false">IF($A14="","",8*2*$F14)</f>
        <v/>
      </c>
      <c r="AN14" s="1" t="str">
        <f aca="false">IF($A14="","",$BC$1*$F14)</f>
        <v/>
      </c>
      <c r="AO14" s="1" t="str">
        <f aca="false">IF($A14="","",$BC$2*$F14)</f>
        <v/>
      </c>
      <c r="AP14" s="1" t="str">
        <f aca="false">IF($A14="","",$BC$3*$F14)</f>
        <v/>
      </c>
      <c r="AQ14" s="1" t="str">
        <f aca="false">IF($A14="","",1*$F14)</f>
        <v/>
      </c>
      <c r="AR14" s="1" t="str">
        <f aca="false">IF($A14="","",1*$F14)</f>
        <v/>
      </c>
      <c r="AS14" s="1" t="str">
        <f aca="false">IF($A14="","",1*$F14)</f>
        <v/>
      </c>
      <c r="AT14" s="1" t="str">
        <f aca="false">IF($A14="","",1*$F14)</f>
        <v/>
      </c>
      <c r="AU14" s="1" t="str">
        <f aca="false">IF($A14="","",6*$F14)</f>
        <v/>
      </c>
      <c r="AV14" s="1" t="str">
        <f aca="false">IF($A14="","",ROUND((2*($D14+$B14)+2*($E14+$B14))*$F14/1000,1))</f>
        <v/>
      </c>
      <c r="AW14" s="1" t="str">
        <f aca="false">IF($A14="","",ROUND(($C14+2*$B14)*$F14/1000,1))</f>
        <v/>
      </c>
      <c r="AX14" s="1" t="str">
        <f aca="false">IF($A14="","",1*$F14)</f>
        <v/>
      </c>
      <c r="AY14" s="0" t="str">
        <f aca="false">IF($A14="","",$BC$4*$F14)</f>
        <v/>
      </c>
    </row>
    <row r="15" customFormat="false" ht="39.75" hidden="false" customHeight="true" outlineLevel="0" collapsed="false">
      <c r="A15" s="52"/>
      <c r="B15" s="53"/>
      <c r="C15" s="100" t="str">
        <f aca="false">IF($A15="","",$D15+$E15)</f>
        <v/>
      </c>
      <c r="D15" s="55"/>
      <c r="E15" s="55"/>
      <c r="F15" s="55"/>
      <c r="G15" s="56" t="str">
        <f aca="false">IF($A15="","",$B15)</f>
        <v/>
      </c>
      <c r="H15" s="54" t="str">
        <f aca="false">IF($A15="","",2*$F15)</f>
        <v/>
      </c>
      <c r="I15" s="56" t="str">
        <f aca="false">IF($A15="","",$C15-$E$55-$F$55)</f>
        <v/>
      </c>
      <c r="J15" s="54" t="str">
        <f aca="false">IF($A15="","",1*$F15)</f>
        <v/>
      </c>
      <c r="K15" s="56" t="str">
        <f aca="false">IF($A15="","",$B15-$E$56-$F$56)</f>
        <v/>
      </c>
      <c r="L15" s="54" t="str">
        <f aca="false">IF($A15="","",4*$F15)</f>
        <v/>
      </c>
      <c r="M15" s="56" t="str">
        <f aca="false">IF($A15="","",(($D15-$E$57-$F$57)))</f>
        <v/>
      </c>
      <c r="N15" s="54" t="str">
        <f aca="false">IF($A15="","",2*$F15)</f>
        <v/>
      </c>
      <c r="O15" s="56" t="str">
        <f aca="false">IF($A15="","",(($E15-$E$58-$F$58)))</f>
        <v/>
      </c>
      <c r="P15" s="54" t="str">
        <f aca="false">IF($A15="","",2*$F15)</f>
        <v/>
      </c>
      <c r="Q15" s="56" t="str">
        <f aca="false">IF($A15="","",$K15-$E$59-$F$59)</f>
        <v/>
      </c>
      <c r="R15" s="54" t="str">
        <f aca="false">IF($A15="","",4*$F15)</f>
        <v/>
      </c>
      <c r="S15" s="56" t="str">
        <f aca="false">IF($A15="","",$M15-$E$60-$F$60)</f>
        <v/>
      </c>
      <c r="T15" s="54" t="str">
        <f aca="false">IF($A15="","",2*$F15)</f>
        <v/>
      </c>
      <c r="U15" s="56" t="str">
        <f aca="false">IF($A15="","",$O15-$E$61-$F$61)</f>
        <v/>
      </c>
      <c r="V15" s="54" t="str">
        <f aca="false">IF($A15="","",2*$F15)</f>
        <v/>
      </c>
      <c r="W15" s="56" t="str">
        <f aca="false">IF($A15="","",$M15)</f>
        <v/>
      </c>
      <c r="X15" s="54" t="str">
        <f aca="false">IF($A15="","",2*$F15)</f>
        <v/>
      </c>
      <c r="Y15" s="56" t="str">
        <f aca="false">IF($A15="","",$K15-$E$63)</f>
        <v/>
      </c>
      <c r="Z15" s="54" t="str">
        <f aca="false">IF($A15="","",1*$F15)</f>
        <v/>
      </c>
      <c r="AA15" s="56"/>
      <c r="AB15" s="54"/>
      <c r="AC15" s="56"/>
      <c r="AD15" s="54"/>
      <c r="AE15" s="57" t="str">
        <f aca="false">IF($A15="","",$K15-87-87)</f>
        <v/>
      </c>
      <c r="AF15" s="58" t="str">
        <f aca="false">IF($A15="","",$M15-87-87)</f>
        <v/>
      </c>
      <c r="AG15" s="59" t="str">
        <f aca="false">IF($A15="","",1*$F15)</f>
        <v/>
      </c>
      <c r="AH15" s="57" t="str">
        <f aca="false">IF($A15="","",$K15-87-87)</f>
        <v/>
      </c>
      <c r="AI15" s="58" t="str">
        <f aca="false">IF($A15="","",$O15-87-87)</f>
        <v/>
      </c>
      <c r="AJ15" s="59" t="str">
        <f aca="false">IF($A15="","",1*$F15)</f>
        <v/>
      </c>
      <c r="AK15" s="1" t="str">
        <f aca="false">IF($A15="","",(IF(OR($B15&gt;3000,$D15&gt;1200),5,4)+IF(OR($B15&gt;3000,$E15&gt;1200),5,4))*$F15)</f>
        <v/>
      </c>
      <c r="AL15" s="1" t="str">
        <f aca="false">IF($A15="","",4*2*$F15)</f>
        <v/>
      </c>
      <c r="AM15" s="1" t="str">
        <f aca="false">IF($A15="","",8*2*$F15)</f>
        <v/>
      </c>
      <c r="AN15" s="1" t="str">
        <f aca="false">IF($A15="","",$BC$1*$F15)</f>
        <v/>
      </c>
      <c r="AO15" s="1" t="str">
        <f aca="false">IF($A15="","",$BC$2*$F15)</f>
        <v/>
      </c>
      <c r="AP15" s="1" t="str">
        <f aca="false">IF($A15="","",$BC$3*$F15)</f>
        <v/>
      </c>
      <c r="AQ15" s="1" t="str">
        <f aca="false">IF($A15="","",1*$F15)</f>
        <v/>
      </c>
      <c r="AR15" s="1" t="str">
        <f aca="false">IF($A15="","",1*$F15)</f>
        <v/>
      </c>
      <c r="AS15" s="1" t="str">
        <f aca="false">IF($A15="","",1*$F15)</f>
        <v/>
      </c>
      <c r="AT15" s="1" t="str">
        <f aca="false">IF($A15="","",1*$F15)</f>
        <v/>
      </c>
      <c r="AU15" s="1" t="str">
        <f aca="false">IF($A15="","",6*$F15)</f>
        <v/>
      </c>
      <c r="AV15" s="1" t="str">
        <f aca="false">IF($A15="","",ROUND((2*($D15+$B15)+2*($E15+$B15))*$F15/1000,1))</f>
        <v/>
      </c>
      <c r="AW15" s="1" t="str">
        <f aca="false">IF($A15="","",ROUND(($C15+2*$B15)*$F15/1000,1))</f>
        <v/>
      </c>
      <c r="AX15" s="1" t="str">
        <f aca="false">IF($A15="","",1*$F15)</f>
        <v/>
      </c>
      <c r="AY15" s="0" t="str">
        <f aca="false">IF($A15="","",$BC$4*$F15)</f>
        <v/>
      </c>
    </row>
    <row r="16" customFormat="false" ht="39.75" hidden="false" customHeight="true" outlineLevel="0" collapsed="false">
      <c r="A16" s="52"/>
      <c r="B16" s="53"/>
      <c r="C16" s="100" t="str">
        <f aca="false">IF($A16="","",$D16+$E16)</f>
        <v/>
      </c>
      <c r="D16" s="55"/>
      <c r="E16" s="55"/>
      <c r="F16" s="55"/>
      <c r="G16" s="60" t="str">
        <f aca="false">IF($A16="","",$B16)</f>
        <v/>
      </c>
      <c r="H16" s="61" t="str">
        <f aca="false">IF($A16="","",2*$F16)</f>
        <v/>
      </c>
      <c r="I16" s="60" t="str">
        <f aca="false">IF($A16="","",$C16-$E$55-$F$55)</f>
        <v/>
      </c>
      <c r="J16" s="61" t="str">
        <f aca="false">IF($A16="","",1*$F16)</f>
        <v/>
      </c>
      <c r="K16" s="60" t="str">
        <f aca="false">IF($A16="","",$B16-$E$56-$F$56)</f>
        <v/>
      </c>
      <c r="L16" s="61" t="str">
        <f aca="false">IF($A16="","",4*$F16)</f>
        <v/>
      </c>
      <c r="M16" s="60" t="str">
        <f aca="false">IF($A16="","",(($D16-$E$57-$F$57)))</f>
        <v/>
      </c>
      <c r="N16" s="61" t="str">
        <f aca="false">IF($A16="","",2*$F16)</f>
        <v/>
      </c>
      <c r="O16" s="60" t="str">
        <f aca="false">IF($A16="","",(($E16-$E$58-$F$58)))</f>
        <v/>
      </c>
      <c r="P16" s="61" t="str">
        <f aca="false">IF($A16="","",2*$F16)</f>
        <v/>
      </c>
      <c r="Q16" s="60" t="str">
        <f aca="false">IF($A16="","",$K16-$E$59-$F$59)</f>
        <v/>
      </c>
      <c r="R16" s="61" t="str">
        <f aca="false">IF($A16="","",4*$F16)</f>
        <v/>
      </c>
      <c r="S16" s="60" t="str">
        <f aca="false">IF($A16="","",$M16-$E$60-$F$60)</f>
        <v/>
      </c>
      <c r="T16" s="61" t="str">
        <f aca="false">IF($A16="","",2*$F16)</f>
        <v/>
      </c>
      <c r="U16" s="60" t="str">
        <f aca="false">IF($A16="","",$O16-$E$61-$F$61)</f>
        <v/>
      </c>
      <c r="V16" s="61" t="str">
        <f aca="false">IF($A16="","",2*$F16)</f>
        <v/>
      </c>
      <c r="W16" s="60" t="str">
        <f aca="false">IF($A16="","",$M16)</f>
        <v/>
      </c>
      <c r="X16" s="61" t="str">
        <f aca="false">IF($A16="","",2*$F16)</f>
        <v/>
      </c>
      <c r="Y16" s="60" t="str">
        <f aca="false">IF($A16="","",$K16-$E$63)</f>
        <v/>
      </c>
      <c r="Z16" s="61" t="str">
        <f aca="false">IF($A16="","",1*$F16)</f>
        <v/>
      </c>
      <c r="AA16" s="60"/>
      <c r="AB16" s="61"/>
      <c r="AC16" s="60"/>
      <c r="AD16" s="61"/>
      <c r="AE16" s="57" t="str">
        <f aca="false">IF($A16="","",$K16-87-87)</f>
        <v/>
      </c>
      <c r="AF16" s="58" t="str">
        <f aca="false">IF($A16="","",$M16-87-87)</f>
        <v/>
      </c>
      <c r="AG16" s="59" t="str">
        <f aca="false">IF($A16="","",1*$F16)</f>
        <v/>
      </c>
      <c r="AH16" s="57" t="str">
        <f aca="false">IF($A16="","",$K16-87-87)</f>
        <v/>
      </c>
      <c r="AI16" s="58" t="str">
        <f aca="false">IF($A16="","",$O16-87-87)</f>
        <v/>
      </c>
      <c r="AJ16" s="59" t="str">
        <f aca="false">IF($A16="","",1*$F16)</f>
        <v/>
      </c>
      <c r="AK16" s="1" t="str">
        <f aca="false">IF($A16="","",(IF(OR($B16&gt;3000,$D16&gt;1200),5,4)+IF(OR($B16&gt;3000,$E16&gt;1200),5,4))*$F16)</f>
        <v/>
      </c>
      <c r="AL16" s="1" t="str">
        <f aca="false">IF($A16="","",4*2*$F16)</f>
        <v/>
      </c>
      <c r="AM16" s="1" t="str">
        <f aca="false">IF($A16="","",8*2*$F16)</f>
        <v/>
      </c>
      <c r="AN16" s="1" t="str">
        <f aca="false">IF($A16="","",$BC$1*$F16)</f>
        <v/>
      </c>
      <c r="AO16" s="1" t="str">
        <f aca="false">IF($A16="","",$BC$2*$F16)</f>
        <v/>
      </c>
      <c r="AP16" s="1" t="str">
        <f aca="false">IF($A16="","",$BC$3*$F16)</f>
        <v/>
      </c>
      <c r="AQ16" s="1" t="str">
        <f aca="false">IF($A16="","",1*$F16)</f>
        <v/>
      </c>
      <c r="AR16" s="1" t="str">
        <f aca="false">IF($A16="","",1*$F16)</f>
        <v/>
      </c>
      <c r="AS16" s="1" t="str">
        <f aca="false">IF($A16="","",1*$F16)</f>
        <v/>
      </c>
      <c r="AT16" s="1" t="str">
        <f aca="false">IF($A16="","",1*$F16)</f>
        <v/>
      </c>
      <c r="AU16" s="1" t="str">
        <f aca="false">IF($A16="","",6*$F16)</f>
        <v/>
      </c>
      <c r="AV16" s="1" t="str">
        <f aca="false">IF($A16="","",ROUND((2*($D16+$B16)+2*($E16+$B16))*$F16/1000,1))</f>
        <v/>
      </c>
      <c r="AW16" s="1" t="str">
        <f aca="false">IF($A16="","",ROUND(($C16+2*$B16)*$F16/1000,1))</f>
        <v/>
      </c>
      <c r="AX16" s="1" t="str">
        <f aca="false">IF($A16="","",1*$F16)</f>
        <v/>
      </c>
      <c r="AY16" s="0" t="str">
        <f aca="false">IF($A16="","",$BC$4*$F16)</f>
        <v/>
      </c>
    </row>
    <row r="17" customFormat="false" ht="39.75" hidden="false" customHeight="true" outlineLevel="0" collapsed="false">
      <c r="A17" s="52"/>
      <c r="B17" s="53"/>
      <c r="C17" s="100" t="str">
        <f aca="false">IF($A17="","",$D17+$E17)</f>
        <v/>
      </c>
      <c r="D17" s="55"/>
      <c r="E17" s="55"/>
      <c r="F17" s="55"/>
      <c r="G17" s="56" t="str">
        <f aca="false">IF($A17="","",$B17)</f>
        <v/>
      </c>
      <c r="H17" s="54" t="str">
        <f aca="false">IF($A17="","",2*$F17)</f>
        <v/>
      </c>
      <c r="I17" s="56" t="str">
        <f aca="false">IF($A17="","",$C17-$E$55-$F$55)</f>
        <v/>
      </c>
      <c r="J17" s="54" t="str">
        <f aca="false">IF($A17="","",1*$F17)</f>
        <v/>
      </c>
      <c r="K17" s="56" t="str">
        <f aca="false">IF($A17="","",$B17-$E$56-$F$56)</f>
        <v/>
      </c>
      <c r="L17" s="54" t="str">
        <f aca="false">IF($A17="","",4*$F17)</f>
        <v/>
      </c>
      <c r="M17" s="56" t="str">
        <f aca="false">IF($A17="","",(($D17-$E$57-$F$57)))</f>
        <v/>
      </c>
      <c r="N17" s="54" t="str">
        <f aca="false">IF($A17="","",2*$F17)</f>
        <v/>
      </c>
      <c r="O17" s="56" t="str">
        <f aca="false">IF($A17="","",(($E17-$E$58-$F$58)))</f>
        <v/>
      </c>
      <c r="P17" s="54" t="str">
        <f aca="false">IF($A17="","",2*$F17)</f>
        <v/>
      </c>
      <c r="Q17" s="56" t="str">
        <f aca="false">IF($A17="","",$K17-$E$59-$F$59)</f>
        <v/>
      </c>
      <c r="R17" s="54" t="str">
        <f aca="false">IF($A17="","",4*$F17)</f>
        <v/>
      </c>
      <c r="S17" s="56" t="str">
        <f aca="false">IF($A17="","",$M17-$E$60-$F$60)</f>
        <v/>
      </c>
      <c r="T17" s="54" t="str">
        <f aca="false">IF($A17="","",2*$F17)</f>
        <v/>
      </c>
      <c r="U17" s="56" t="str">
        <f aca="false">IF($A17="","",$O17-$E$61-$F$61)</f>
        <v/>
      </c>
      <c r="V17" s="54" t="str">
        <f aca="false">IF($A17="","",2*$F17)</f>
        <v/>
      </c>
      <c r="W17" s="56" t="str">
        <f aca="false">IF($A17="","",$M17)</f>
        <v/>
      </c>
      <c r="X17" s="54" t="str">
        <f aca="false">IF($A17="","",2*$F17)</f>
        <v/>
      </c>
      <c r="Y17" s="56" t="str">
        <f aca="false">IF($A17="","",$K17-$E$63)</f>
        <v/>
      </c>
      <c r="Z17" s="54" t="str">
        <f aca="false">IF($A17="","",1*$F17)</f>
        <v/>
      </c>
      <c r="AA17" s="56"/>
      <c r="AB17" s="54"/>
      <c r="AC17" s="56"/>
      <c r="AD17" s="54"/>
      <c r="AE17" s="57" t="str">
        <f aca="false">IF($A17="","",$K17-87-87)</f>
        <v/>
      </c>
      <c r="AF17" s="58" t="str">
        <f aca="false">IF($A17="","",$M17-87-87)</f>
        <v/>
      </c>
      <c r="AG17" s="59" t="str">
        <f aca="false">IF($A17="","",1*$F17)</f>
        <v/>
      </c>
      <c r="AH17" s="57" t="str">
        <f aca="false">IF($A17="","",$K17-87-87)</f>
        <v/>
      </c>
      <c r="AI17" s="58" t="str">
        <f aca="false">IF($A17="","",$O17-87-87)</f>
        <v/>
      </c>
      <c r="AJ17" s="59" t="str">
        <f aca="false">IF($A17="","",1*$F17)</f>
        <v/>
      </c>
      <c r="AK17" s="1" t="str">
        <f aca="false">IF($A17="","",(IF(OR($B17&gt;3000,$D17&gt;1200),5,4)+IF(OR($B17&gt;3000,$E17&gt;1200),5,4))*$F17)</f>
        <v/>
      </c>
      <c r="AL17" s="1" t="str">
        <f aca="false">IF($A17="","",4*2*$F17)</f>
        <v/>
      </c>
      <c r="AM17" s="1" t="str">
        <f aca="false">IF($A17="","",8*2*$F17)</f>
        <v/>
      </c>
      <c r="AN17" s="1" t="str">
        <f aca="false">IF($A17="","",$BC$1*$F17)</f>
        <v/>
      </c>
      <c r="AO17" s="1" t="str">
        <f aca="false">IF($A17="","",$BC$2*$F17)</f>
        <v/>
      </c>
      <c r="AP17" s="1" t="str">
        <f aca="false">IF($A17="","",$BC$3*$F17)</f>
        <v/>
      </c>
      <c r="AQ17" s="1" t="str">
        <f aca="false">IF($A17="","",1*$F17)</f>
        <v/>
      </c>
      <c r="AR17" s="1" t="str">
        <f aca="false">IF($A17="","",1*$F17)</f>
        <v/>
      </c>
      <c r="AS17" s="1" t="str">
        <f aca="false">IF($A17="","",1*$F17)</f>
        <v/>
      </c>
      <c r="AT17" s="1" t="str">
        <f aca="false">IF($A17="","",1*$F17)</f>
        <v/>
      </c>
      <c r="AU17" s="1" t="str">
        <f aca="false">IF($A17="","",6*$F17)</f>
        <v/>
      </c>
      <c r="AV17" s="1" t="str">
        <f aca="false">IF($A17="","",ROUND((2*($D17+$B17)+2*($E17+$B17))*$F17/1000,1))</f>
        <v/>
      </c>
      <c r="AW17" s="1" t="str">
        <f aca="false">IF($A17="","",ROUND(($C17+2*$B17)*$F17/1000,1))</f>
        <v/>
      </c>
      <c r="AX17" s="1" t="str">
        <f aca="false">IF($A17="","",1*$F17)</f>
        <v/>
      </c>
      <c r="AY17" s="0" t="str">
        <f aca="false">IF($A17="","",$BC$4*$F17)</f>
        <v/>
      </c>
    </row>
    <row r="18" customFormat="false" ht="39.75" hidden="false" customHeight="true" outlineLevel="0" collapsed="false">
      <c r="A18" s="52"/>
      <c r="B18" s="53"/>
      <c r="C18" s="100" t="str">
        <f aca="false">IF($A18="","",$D18+$E18)</f>
        <v/>
      </c>
      <c r="D18" s="55"/>
      <c r="E18" s="55"/>
      <c r="F18" s="55"/>
      <c r="G18" s="60" t="str">
        <f aca="false">IF($A18="","",$B18)</f>
        <v/>
      </c>
      <c r="H18" s="61" t="str">
        <f aca="false">IF($A18="","",2*$F18)</f>
        <v/>
      </c>
      <c r="I18" s="60" t="str">
        <f aca="false">IF($A18="","",$C18-$E$55-$F$55)</f>
        <v/>
      </c>
      <c r="J18" s="61" t="str">
        <f aca="false">IF($A18="","",1*$F18)</f>
        <v/>
      </c>
      <c r="K18" s="60" t="str">
        <f aca="false">IF($A18="","",$B18-$E$56-$F$56)</f>
        <v/>
      </c>
      <c r="L18" s="61" t="str">
        <f aca="false">IF($A18="","",4*$F18)</f>
        <v/>
      </c>
      <c r="M18" s="60" t="str">
        <f aca="false">IF($A18="","",(($D18-$E$57-$F$57)))</f>
        <v/>
      </c>
      <c r="N18" s="61" t="str">
        <f aca="false">IF($A18="","",2*$F18)</f>
        <v/>
      </c>
      <c r="O18" s="60" t="str">
        <f aca="false">IF($A18="","",(($E18-$E$58-$F$58)))</f>
        <v/>
      </c>
      <c r="P18" s="61" t="str">
        <f aca="false">IF($A18="","",2*$F18)</f>
        <v/>
      </c>
      <c r="Q18" s="60" t="str">
        <f aca="false">IF($A18="","",$K18-$E$59-$F$59)</f>
        <v/>
      </c>
      <c r="R18" s="61" t="str">
        <f aca="false">IF($A18="","",4*$F18)</f>
        <v/>
      </c>
      <c r="S18" s="60" t="str">
        <f aca="false">IF($A18="","",$M18-$E$60-$F$60)</f>
        <v/>
      </c>
      <c r="T18" s="61" t="str">
        <f aca="false">IF($A18="","",2*$F18)</f>
        <v/>
      </c>
      <c r="U18" s="60" t="str">
        <f aca="false">IF($A18="","",$O18-$E$61-$F$61)</f>
        <v/>
      </c>
      <c r="V18" s="61" t="str">
        <f aca="false">IF($A18="","",2*$F18)</f>
        <v/>
      </c>
      <c r="W18" s="60" t="str">
        <f aca="false">IF($A18="","",$M18)</f>
        <v/>
      </c>
      <c r="X18" s="61" t="str">
        <f aca="false">IF($A18="","",2*$F18)</f>
        <v/>
      </c>
      <c r="Y18" s="60" t="str">
        <f aca="false">IF($A18="","",$K18-$E$63)</f>
        <v/>
      </c>
      <c r="Z18" s="61" t="str">
        <f aca="false">IF($A18="","",1*$F18)</f>
        <v/>
      </c>
      <c r="AA18" s="60"/>
      <c r="AB18" s="61"/>
      <c r="AC18" s="60"/>
      <c r="AD18" s="61"/>
      <c r="AE18" s="57" t="str">
        <f aca="false">IF($A18="","",$K18-87-87)</f>
        <v/>
      </c>
      <c r="AF18" s="58" t="str">
        <f aca="false">IF($A18="","",$M18-87-87)</f>
        <v/>
      </c>
      <c r="AG18" s="59" t="str">
        <f aca="false">IF($A18="","",1*$F18)</f>
        <v/>
      </c>
      <c r="AH18" s="57" t="str">
        <f aca="false">IF($A18="","",$K18-87-87)</f>
        <v/>
      </c>
      <c r="AI18" s="58" t="str">
        <f aca="false">IF($A18="","",$O18-87-87)</f>
        <v/>
      </c>
      <c r="AJ18" s="59" t="str">
        <f aca="false">IF($A18="","",1*$F18)</f>
        <v/>
      </c>
      <c r="AK18" s="1" t="str">
        <f aca="false">IF($A18="","",(IF(OR($B18&gt;3000,$D18&gt;1200),5,4)+IF(OR($B18&gt;3000,$E18&gt;1200),5,4))*$F18)</f>
        <v/>
      </c>
      <c r="AL18" s="1" t="str">
        <f aca="false">IF($A18="","",4*2*$F18)</f>
        <v/>
      </c>
      <c r="AM18" s="1" t="str">
        <f aca="false">IF($A18="","",8*2*$F18)</f>
        <v/>
      </c>
      <c r="AN18" s="1" t="str">
        <f aca="false">IF($A18="","",$BC$1*$F18)</f>
        <v/>
      </c>
      <c r="AO18" s="1" t="str">
        <f aca="false">IF($A18="","",$BC$2*$F18)</f>
        <v/>
      </c>
      <c r="AP18" s="1" t="str">
        <f aca="false">IF($A18="","",$BC$3*$F18)</f>
        <v/>
      </c>
      <c r="AQ18" s="1" t="str">
        <f aca="false">IF($A18="","",1*$F18)</f>
        <v/>
      </c>
      <c r="AR18" s="1" t="str">
        <f aca="false">IF($A18="","",1*$F18)</f>
        <v/>
      </c>
      <c r="AS18" s="1" t="str">
        <f aca="false">IF($A18="","",1*$F18)</f>
        <v/>
      </c>
      <c r="AT18" s="1" t="str">
        <f aca="false">IF($A18="","",1*$F18)</f>
        <v/>
      </c>
      <c r="AU18" s="1" t="str">
        <f aca="false">IF($A18="","",6*$F18)</f>
        <v/>
      </c>
      <c r="AV18" s="1" t="str">
        <f aca="false">IF($A18="","",ROUND((2*($D18+$B18)+2*($E18+$B18))*$F18/1000,1))</f>
        <v/>
      </c>
      <c r="AW18" s="1" t="str">
        <f aca="false">IF($A18="","",ROUND(($C18+2*$B18)*$F18/1000,1))</f>
        <v/>
      </c>
      <c r="AX18" s="1" t="str">
        <f aca="false">IF($A18="","",1*$F18)</f>
        <v/>
      </c>
      <c r="AY18" s="0" t="str">
        <f aca="false">IF($A18="","",$BC$4*$F18)</f>
        <v/>
      </c>
    </row>
    <row r="19" customFormat="false" ht="39.75" hidden="false" customHeight="true" outlineLevel="0" collapsed="false">
      <c r="A19" s="88"/>
      <c r="B19" s="89"/>
      <c r="C19" s="100" t="str">
        <f aca="false">IF($A19="","",$D19+$E19)</f>
        <v/>
      </c>
      <c r="D19" s="91"/>
      <c r="E19" s="91"/>
      <c r="F19" s="91"/>
      <c r="G19" s="56" t="str">
        <f aca="false">IF($A19="","",$B19)</f>
        <v/>
      </c>
      <c r="H19" s="54" t="str">
        <f aca="false">IF($A19="","",2*$F19)</f>
        <v/>
      </c>
      <c r="I19" s="56" t="str">
        <f aca="false">IF($A19="","",$C19-$E$55-$F$55)</f>
        <v/>
      </c>
      <c r="J19" s="54" t="str">
        <f aca="false">IF($A19="","",1*$F19)</f>
        <v/>
      </c>
      <c r="K19" s="56" t="str">
        <f aca="false">IF($A19="","",$B19-$E$56-$F$56)</f>
        <v/>
      </c>
      <c r="L19" s="54" t="str">
        <f aca="false">IF($A19="","",4*$F19)</f>
        <v/>
      </c>
      <c r="M19" s="56" t="str">
        <f aca="false">IF($A19="","",(($D19-$E$57-$F$57)))</f>
        <v/>
      </c>
      <c r="N19" s="54" t="str">
        <f aca="false">IF($A19="","",2*$F19)</f>
        <v/>
      </c>
      <c r="O19" s="56" t="str">
        <f aca="false">IF($A19="","",(($E19-$E$58-$F$58)))</f>
        <v/>
      </c>
      <c r="P19" s="54" t="str">
        <f aca="false">IF($A19="","",2*$F19)</f>
        <v/>
      </c>
      <c r="Q19" s="56" t="str">
        <f aca="false">IF($A19="","",$K19-$E$59-$F$59)</f>
        <v/>
      </c>
      <c r="R19" s="54" t="str">
        <f aca="false">IF($A19="","",4*$F19)</f>
        <v/>
      </c>
      <c r="S19" s="56" t="str">
        <f aca="false">IF($A19="","",$M19-$E$60-$F$60)</f>
        <v/>
      </c>
      <c r="T19" s="54" t="str">
        <f aca="false">IF($A19="","",2*$F19)</f>
        <v/>
      </c>
      <c r="U19" s="56" t="str">
        <f aca="false">IF($A19="","",$O19-$E$61-$F$61)</f>
        <v/>
      </c>
      <c r="V19" s="54" t="str">
        <f aca="false">IF($A19="","",2*$F19)</f>
        <v/>
      </c>
      <c r="W19" s="56" t="str">
        <f aca="false">IF($A19="","",$M19)</f>
        <v/>
      </c>
      <c r="X19" s="54" t="str">
        <f aca="false">IF($A19="","",2*$F19)</f>
        <v/>
      </c>
      <c r="Y19" s="56" t="str">
        <f aca="false">IF($A19="","",$K19-$E$63)</f>
        <v/>
      </c>
      <c r="Z19" s="54" t="str">
        <f aca="false">IF($A19="","",1*$F19)</f>
        <v/>
      </c>
      <c r="AA19" s="56"/>
      <c r="AB19" s="54"/>
      <c r="AC19" s="56"/>
      <c r="AD19" s="54"/>
      <c r="AE19" s="57" t="str">
        <f aca="false">IF($A19="","",$K19-87-87)</f>
        <v/>
      </c>
      <c r="AF19" s="58" t="str">
        <f aca="false">IF($A19="","",$M19-87-87)</f>
        <v/>
      </c>
      <c r="AG19" s="59" t="str">
        <f aca="false">IF($A19="","",1*$F19)</f>
        <v/>
      </c>
      <c r="AH19" s="57" t="str">
        <f aca="false">IF($A19="","",$K19-87-87)</f>
        <v/>
      </c>
      <c r="AI19" s="58" t="str">
        <f aca="false">IF($A19="","",$O19-87-87)</f>
        <v/>
      </c>
      <c r="AJ19" s="59" t="str">
        <f aca="false">IF($A19="","",1*$F19)</f>
        <v/>
      </c>
      <c r="AK19" s="1" t="str">
        <f aca="false">IF($A19="","",(IF(OR($B19&gt;3000,$D19&gt;1200),5,4)+IF(OR($B19&gt;3000,$E19&gt;1200),5,4))*$F19)</f>
        <v/>
      </c>
      <c r="AL19" s="1" t="str">
        <f aca="false">IF($A19="","",4*2*$F19)</f>
        <v/>
      </c>
      <c r="AM19" s="1" t="str">
        <f aca="false">IF($A19="","",8*2*$F19)</f>
        <v/>
      </c>
      <c r="AN19" s="1" t="str">
        <f aca="false">IF($A19="","",$BC$1*$F19)</f>
        <v/>
      </c>
      <c r="AO19" s="1" t="str">
        <f aca="false">IF($A19="","",$BC$2*$F19)</f>
        <v/>
      </c>
      <c r="AP19" s="1" t="str">
        <f aca="false">IF($A19="","",$BC$3*$F19)</f>
        <v/>
      </c>
      <c r="AQ19" s="1" t="str">
        <f aca="false">IF($A19="","",1*$F19)</f>
        <v/>
      </c>
      <c r="AR19" s="1" t="str">
        <f aca="false">IF($A19="","",1*$F19)</f>
        <v/>
      </c>
      <c r="AS19" s="1" t="str">
        <f aca="false">IF($A19="","",1*$F19)</f>
        <v/>
      </c>
      <c r="AT19" s="1" t="str">
        <f aca="false">IF($A19="","",1*$F19)</f>
        <v/>
      </c>
      <c r="AU19" s="1" t="str">
        <f aca="false">IF($A19="","",6*$F19)</f>
        <v/>
      </c>
      <c r="AV19" s="1" t="str">
        <f aca="false">IF($A19="","",ROUND((2*($D19+$B19)+2*($E19+$B19))*$F19/1000,1))</f>
        <v/>
      </c>
      <c r="AW19" s="1" t="str">
        <f aca="false">IF($A19="","",ROUND(($C19+2*$B19)*$F19/1000,1))</f>
        <v/>
      </c>
      <c r="AX19" s="1" t="str">
        <f aca="false">IF($A19="","",1*$F19)</f>
        <v/>
      </c>
      <c r="AY19" s="0" t="str">
        <f aca="false">IF($A19="","",$BC$4*$F19)</f>
        <v/>
      </c>
    </row>
    <row r="20" customFormat="false" ht="39.75" hidden="false" customHeight="true" outlineLevel="0" collapsed="false">
      <c r="A20" s="88"/>
      <c r="B20" s="89"/>
      <c r="C20" s="100" t="str">
        <f aca="false">IF($A20="","",$D20+$E20)</f>
        <v/>
      </c>
      <c r="D20" s="91"/>
      <c r="E20" s="91"/>
      <c r="F20" s="91"/>
      <c r="G20" s="60" t="str">
        <f aca="false">IF($A20="","",$B20)</f>
        <v/>
      </c>
      <c r="H20" s="61" t="str">
        <f aca="false">IF($A20="","",2*$F20)</f>
        <v/>
      </c>
      <c r="I20" s="60" t="str">
        <f aca="false">IF($A20="","",$C20-$E$55-$F$55)</f>
        <v/>
      </c>
      <c r="J20" s="61" t="str">
        <f aca="false">IF($A20="","",1*$F20)</f>
        <v/>
      </c>
      <c r="K20" s="60" t="str">
        <f aca="false">IF($A20="","",$B20-$E$56-$F$56)</f>
        <v/>
      </c>
      <c r="L20" s="61" t="str">
        <f aca="false">IF($A20="","",4*$F20)</f>
        <v/>
      </c>
      <c r="M20" s="60" t="str">
        <f aca="false">IF($A20="","",(($D20-$E$57-$F$57)))</f>
        <v/>
      </c>
      <c r="N20" s="61" t="str">
        <f aca="false">IF($A20="","",2*$F20)</f>
        <v/>
      </c>
      <c r="O20" s="60" t="str">
        <f aca="false">IF($A20="","",(($E20-$E$58-$F$58)))</f>
        <v/>
      </c>
      <c r="P20" s="61" t="str">
        <f aca="false">IF($A20="","",2*$F20)</f>
        <v/>
      </c>
      <c r="Q20" s="60" t="str">
        <f aca="false">IF($A20="","",$K20-$E$59-$F$59)</f>
        <v/>
      </c>
      <c r="R20" s="61" t="str">
        <f aca="false">IF($A20="","",4*$F20)</f>
        <v/>
      </c>
      <c r="S20" s="60" t="str">
        <f aca="false">IF($A20="","",$M20-$E$60-$F$60)</f>
        <v/>
      </c>
      <c r="T20" s="61" t="str">
        <f aca="false">IF($A20="","",2*$F20)</f>
        <v/>
      </c>
      <c r="U20" s="60" t="str">
        <f aca="false">IF($A20="","",$O20-$E$61-$F$61)</f>
        <v/>
      </c>
      <c r="V20" s="61" t="str">
        <f aca="false">IF($A20="","",2*$F20)</f>
        <v/>
      </c>
      <c r="W20" s="60" t="str">
        <f aca="false">IF($A20="","",$M20)</f>
        <v/>
      </c>
      <c r="X20" s="61" t="str">
        <f aca="false">IF($A20="","",2*$F20)</f>
        <v/>
      </c>
      <c r="Y20" s="60" t="str">
        <f aca="false">IF($A20="","",$K20-$E$63)</f>
        <v/>
      </c>
      <c r="Z20" s="61" t="str">
        <f aca="false">IF($A20="","",1*$F20)</f>
        <v/>
      </c>
      <c r="AA20" s="60"/>
      <c r="AB20" s="61"/>
      <c r="AC20" s="60"/>
      <c r="AD20" s="61"/>
      <c r="AE20" s="57" t="str">
        <f aca="false">IF($A20="","",$K20-87-87)</f>
        <v/>
      </c>
      <c r="AF20" s="58" t="str">
        <f aca="false">IF($A20="","",$M20-87-87)</f>
        <v/>
      </c>
      <c r="AG20" s="59" t="str">
        <f aca="false">IF($A20="","",1*$F20)</f>
        <v/>
      </c>
      <c r="AH20" s="57" t="str">
        <f aca="false">IF($A20="","",$K20-87-87)</f>
        <v/>
      </c>
      <c r="AI20" s="58" t="str">
        <f aca="false">IF($A20="","",$O20-87-87)</f>
        <v/>
      </c>
      <c r="AJ20" s="59" t="str">
        <f aca="false">IF($A20="","",1*$F20)</f>
        <v/>
      </c>
      <c r="AK20" s="1" t="str">
        <f aca="false">IF($A20="","",(IF(OR($B20&gt;3000,$D20&gt;1200),5,4)+IF(OR($B20&gt;3000,$E20&gt;1200),5,4))*$F20)</f>
        <v/>
      </c>
      <c r="AL20" s="1" t="str">
        <f aca="false">IF($A20="","",4*2*$F20)</f>
        <v/>
      </c>
      <c r="AM20" s="1" t="str">
        <f aca="false">IF($A20="","",8*2*$F20)</f>
        <v/>
      </c>
      <c r="AN20" s="1" t="str">
        <f aca="false">IF($A20="","",$BC$1*$F20)</f>
        <v/>
      </c>
      <c r="AO20" s="1" t="str">
        <f aca="false">IF($A20="","",$BC$2*$F20)</f>
        <v/>
      </c>
      <c r="AP20" s="1" t="str">
        <f aca="false">IF($A20="","",$BC$3*$F20)</f>
        <v/>
      </c>
      <c r="AQ20" s="1" t="str">
        <f aca="false">IF($A20="","",1*$F20)</f>
        <v/>
      </c>
      <c r="AR20" s="1" t="str">
        <f aca="false">IF($A20="","",1*$F20)</f>
        <v/>
      </c>
      <c r="AS20" s="1" t="str">
        <f aca="false">IF($A20="","",1*$F20)</f>
        <v/>
      </c>
      <c r="AT20" s="1" t="str">
        <f aca="false">IF($A20="","",1*$F20)</f>
        <v/>
      </c>
      <c r="AU20" s="1" t="str">
        <f aca="false">IF($A20="","",6*$F20)</f>
        <v/>
      </c>
      <c r="AV20" s="1" t="str">
        <f aca="false">IF($A20="","",ROUND((2*($D20+$B20)+2*($E20+$B20))*$F20/1000,1))</f>
        <v/>
      </c>
      <c r="AW20" s="1" t="str">
        <f aca="false">IF($A20="","",ROUND(($C20+2*$B20)*$F20/1000,1))</f>
        <v/>
      </c>
      <c r="AX20" s="1" t="str">
        <f aca="false">IF($A20="","",1*$F20)</f>
        <v/>
      </c>
      <c r="AY20" s="0" t="str">
        <f aca="false">IF($A20="","",$BC$4*$F20)</f>
        <v/>
      </c>
    </row>
    <row r="21" customFormat="false" ht="39.75" hidden="false" customHeight="true" outlineLevel="0" collapsed="false">
      <c r="A21" s="88"/>
      <c r="B21" s="89"/>
      <c r="C21" s="100" t="str">
        <f aca="false">IF($A21="","",$D21+$E21)</f>
        <v/>
      </c>
      <c r="D21" s="91"/>
      <c r="E21" s="91"/>
      <c r="F21" s="91"/>
      <c r="G21" s="56" t="str">
        <f aca="false">IF($A21="","",$B21)</f>
        <v/>
      </c>
      <c r="H21" s="54" t="str">
        <f aca="false">IF($A21="","",2*$F21)</f>
        <v/>
      </c>
      <c r="I21" s="56" t="str">
        <f aca="false">IF($A21="","",$C21-$E$55-$F$55)</f>
        <v/>
      </c>
      <c r="J21" s="54" t="str">
        <f aca="false">IF($A21="","",1*$F21)</f>
        <v/>
      </c>
      <c r="K21" s="56" t="str">
        <f aca="false">IF($A21="","",$B21-$E$56-$F$56)</f>
        <v/>
      </c>
      <c r="L21" s="54" t="str">
        <f aca="false">IF($A21="","",4*$F21)</f>
        <v/>
      </c>
      <c r="M21" s="56" t="str">
        <f aca="false">IF($A21="","",(($D21-$E$57-$F$57)))</f>
        <v/>
      </c>
      <c r="N21" s="54" t="str">
        <f aca="false">IF($A21="","",2*$F21)</f>
        <v/>
      </c>
      <c r="O21" s="56" t="str">
        <f aca="false">IF($A21="","",(($E21-$E$58-$F$58)))</f>
        <v/>
      </c>
      <c r="P21" s="54" t="str">
        <f aca="false">IF($A21="","",2*$F21)</f>
        <v/>
      </c>
      <c r="Q21" s="56" t="str">
        <f aca="false">IF($A21="","",$K21-$E$59-$F$59)</f>
        <v/>
      </c>
      <c r="R21" s="54" t="str">
        <f aca="false">IF($A21="","",4*$F21)</f>
        <v/>
      </c>
      <c r="S21" s="56" t="str">
        <f aca="false">IF($A21="","",$M21-$E$60-$F$60)</f>
        <v/>
      </c>
      <c r="T21" s="54" t="str">
        <f aca="false">IF($A21="","",2*$F21)</f>
        <v/>
      </c>
      <c r="U21" s="56" t="str">
        <f aca="false">IF($A21="","",$O21-$E$61-$F$61)</f>
        <v/>
      </c>
      <c r="V21" s="54" t="str">
        <f aca="false">IF($A21="","",2*$F21)</f>
        <v/>
      </c>
      <c r="W21" s="56" t="str">
        <f aca="false">IF($A21="","",$M21)</f>
        <v/>
      </c>
      <c r="X21" s="54" t="str">
        <f aca="false">IF($A21="","",2*$F21)</f>
        <v/>
      </c>
      <c r="Y21" s="56" t="str">
        <f aca="false">IF($A21="","",$K21-$E$63)</f>
        <v/>
      </c>
      <c r="Z21" s="54" t="str">
        <f aca="false">IF($A21="","",1*$F21)</f>
        <v/>
      </c>
      <c r="AA21" s="56"/>
      <c r="AB21" s="54"/>
      <c r="AC21" s="56"/>
      <c r="AD21" s="54"/>
      <c r="AE21" s="57" t="str">
        <f aca="false">IF($A21="","",$K21-87-87)</f>
        <v/>
      </c>
      <c r="AF21" s="58" t="str">
        <f aca="false">IF($A21="","",$M21-87-87)</f>
        <v/>
      </c>
      <c r="AG21" s="59" t="str">
        <f aca="false">IF($A21="","",1*$F21)</f>
        <v/>
      </c>
      <c r="AH21" s="57" t="str">
        <f aca="false">IF($A21="","",$K21-87-87)</f>
        <v/>
      </c>
      <c r="AI21" s="58" t="str">
        <f aca="false">IF($A21="","",$O21-87-87)</f>
        <v/>
      </c>
      <c r="AJ21" s="59" t="str">
        <f aca="false">IF($A21="","",1*$F21)</f>
        <v/>
      </c>
      <c r="AK21" s="1" t="str">
        <f aca="false">IF($A21="","",(IF(OR($B21&gt;3000,$D21&gt;1200),5,4)+IF(OR($B21&gt;3000,$E21&gt;1200),5,4))*$F21)</f>
        <v/>
      </c>
      <c r="AL21" s="1" t="str">
        <f aca="false">IF($A21="","",4*2*$F21)</f>
        <v/>
      </c>
      <c r="AM21" s="1" t="str">
        <f aca="false">IF($A21="","",8*2*$F21)</f>
        <v/>
      </c>
      <c r="AN21" s="1" t="str">
        <f aca="false">IF($A21="","",$BC$1*$F21)</f>
        <v/>
      </c>
      <c r="AO21" s="1" t="str">
        <f aca="false">IF($A21="","",$BC$2*$F21)</f>
        <v/>
      </c>
      <c r="AP21" s="1" t="str">
        <f aca="false">IF($A21="","",$BC$3*$F21)</f>
        <v/>
      </c>
      <c r="AQ21" s="1" t="str">
        <f aca="false">IF($A21="","",1*$F21)</f>
        <v/>
      </c>
      <c r="AR21" s="1" t="str">
        <f aca="false">IF($A21="","",1*$F21)</f>
        <v/>
      </c>
      <c r="AS21" s="1" t="str">
        <f aca="false">IF($A21="","",1*$F21)</f>
        <v/>
      </c>
      <c r="AT21" s="1" t="str">
        <f aca="false">IF($A21="","",1*$F21)</f>
        <v/>
      </c>
      <c r="AU21" s="1" t="str">
        <f aca="false">IF($A21="","",6*$F21)</f>
        <v/>
      </c>
      <c r="AV21" s="1" t="str">
        <f aca="false">IF($A21="","",ROUND((2*($D21+$B21)+2*($E21+$B21))*$F21/1000,1))</f>
        <v/>
      </c>
      <c r="AW21" s="1" t="str">
        <f aca="false">IF($A21="","",ROUND(($C21+2*$B21)*$F21/1000,1))</f>
        <v/>
      </c>
      <c r="AX21" s="1" t="str">
        <f aca="false">IF($A21="","",1*$F21)</f>
        <v/>
      </c>
      <c r="AY21" s="0" t="str">
        <f aca="false">IF($A21="","",$BC$4*$F21)</f>
        <v/>
      </c>
    </row>
    <row r="22" customFormat="false" ht="39.75" hidden="false" customHeight="true" outlineLevel="0" collapsed="false">
      <c r="A22" s="88"/>
      <c r="B22" s="89"/>
      <c r="C22" s="100" t="str">
        <f aca="false">IF($A22="","",$D22+$E22)</f>
        <v/>
      </c>
      <c r="D22" s="91"/>
      <c r="E22" s="91"/>
      <c r="F22" s="91"/>
      <c r="G22" s="60" t="str">
        <f aca="false">IF($A22="","",$B22)</f>
        <v/>
      </c>
      <c r="H22" s="61" t="str">
        <f aca="false">IF($A22="","",2*$F22)</f>
        <v/>
      </c>
      <c r="I22" s="60" t="str">
        <f aca="false">IF($A22="","",$C22-$E$55-$F$55)</f>
        <v/>
      </c>
      <c r="J22" s="61" t="str">
        <f aca="false">IF($A22="","",1*$F22)</f>
        <v/>
      </c>
      <c r="K22" s="60" t="str">
        <f aca="false">IF($A22="","",$B22-$E$56-$F$56)</f>
        <v/>
      </c>
      <c r="L22" s="61" t="str">
        <f aca="false">IF($A22="","",4*$F22)</f>
        <v/>
      </c>
      <c r="M22" s="60" t="str">
        <f aca="false">IF($A22="","",(($D22-$E$57-$F$57)))</f>
        <v/>
      </c>
      <c r="N22" s="61" t="str">
        <f aca="false">IF($A22="","",2*$F22)</f>
        <v/>
      </c>
      <c r="O22" s="60" t="str">
        <f aca="false">IF($A22="","",(($E22-$E$58-$F$58)))</f>
        <v/>
      </c>
      <c r="P22" s="61" t="str">
        <f aca="false">IF($A22="","",2*$F22)</f>
        <v/>
      </c>
      <c r="Q22" s="60" t="str">
        <f aca="false">IF($A22="","",$K22-$E$59-$F$59)</f>
        <v/>
      </c>
      <c r="R22" s="61" t="str">
        <f aca="false">IF($A22="","",4*$F22)</f>
        <v/>
      </c>
      <c r="S22" s="60" t="str">
        <f aca="false">IF($A22="","",$M22-$E$60-$F$60)</f>
        <v/>
      </c>
      <c r="T22" s="61" t="str">
        <f aca="false">IF($A22="","",2*$F22)</f>
        <v/>
      </c>
      <c r="U22" s="60" t="str">
        <f aca="false">IF($A22="","",$O22-$E$61-$F$61)</f>
        <v/>
      </c>
      <c r="V22" s="61" t="str">
        <f aca="false">IF($A22="","",2*$F22)</f>
        <v/>
      </c>
      <c r="W22" s="60" t="str">
        <f aca="false">IF($A22="","",$M22)</f>
        <v/>
      </c>
      <c r="X22" s="61" t="str">
        <f aca="false">IF($A22="","",2*$F22)</f>
        <v/>
      </c>
      <c r="Y22" s="60" t="str">
        <f aca="false">IF($A22="","",$K22-$E$63)</f>
        <v/>
      </c>
      <c r="Z22" s="61" t="str">
        <f aca="false">IF($A22="","",1*$F22)</f>
        <v/>
      </c>
      <c r="AA22" s="60"/>
      <c r="AB22" s="61"/>
      <c r="AC22" s="60"/>
      <c r="AD22" s="61"/>
      <c r="AE22" s="57" t="str">
        <f aca="false">IF($A22="","",$K22-87-87)</f>
        <v/>
      </c>
      <c r="AF22" s="58" t="str">
        <f aca="false">IF($A22="","",$M22-87-87)</f>
        <v/>
      </c>
      <c r="AG22" s="59" t="str">
        <f aca="false">IF($A22="","",1*$F22)</f>
        <v/>
      </c>
      <c r="AH22" s="57" t="str">
        <f aca="false">IF($A22="","",$K22-87-87)</f>
        <v/>
      </c>
      <c r="AI22" s="58" t="str">
        <f aca="false">IF($A22="","",$O22-87-87)</f>
        <v/>
      </c>
      <c r="AJ22" s="59" t="str">
        <f aca="false">IF($A22="","",1*$F22)</f>
        <v/>
      </c>
      <c r="AK22" s="1" t="str">
        <f aca="false">IF($A22="","",(IF(OR($B22&gt;3000,$D22&gt;1200),5,4)+IF(OR($B22&gt;3000,$E22&gt;1200),5,4))*$F22)</f>
        <v/>
      </c>
      <c r="AL22" s="1" t="str">
        <f aca="false">IF($A22="","",4*2*$F22)</f>
        <v/>
      </c>
      <c r="AM22" s="1" t="str">
        <f aca="false">IF($A22="","",8*2*$F22)</f>
        <v/>
      </c>
      <c r="AN22" s="1" t="str">
        <f aca="false">IF($A22="","",$BC$1*$F22)</f>
        <v/>
      </c>
      <c r="AO22" s="1" t="str">
        <f aca="false">IF($A22="","",$BC$2*$F22)</f>
        <v/>
      </c>
      <c r="AP22" s="1" t="str">
        <f aca="false">IF($A22="","",$BC$3*$F22)</f>
        <v/>
      </c>
      <c r="AQ22" s="1" t="str">
        <f aca="false">IF($A22="","",1*$F22)</f>
        <v/>
      </c>
      <c r="AR22" s="1" t="str">
        <f aca="false">IF($A22="","",1*$F22)</f>
        <v/>
      </c>
      <c r="AS22" s="1" t="str">
        <f aca="false">IF($A22="","",1*$F22)</f>
        <v/>
      </c>
      <c r="AT22" s="1" t="str">
        <f aca="false">IF($A22="","",1*$F22)</f>
        <v/>
      </c>
      <c r="AU22" s="1" t="str">
        <f aca="false">IF($A22="","",6*$F22)</f>
        <v/>
      </c>
      <c r="AV22" s="1" t="str">
        <f aca="false">IF($A22="","",ROUND((2*($D22+$B22)+2*($E22+$B22))*$F22/1000,1))</f>
        <v/>
      </c>
      <c r="AW22" s="1" t="str">
        <f aca="false">IF($A22="","",ROUND(($C22+2*$B22)*$F22/1000,1))</f>
        <v/>
      </c>
      <c r="AX22" s="1" t="str">
        <f aca="false">IF($A22="","",1*$F22)</f>
        <v/>
      </c>
      <c r="AY22" s="0" t="str">
        <f aca="false">IF($A22="","",$BC$4*$F22)</f>
        <v/>
      </c>
    </row>
    <row r="23" customFormat="false" ht="39.75" hidden="false" customHeight="true" outlineLevel="0" collapsed="false">
      <c r="A23" s="88"/>
      <c r="B23" s="89"/>
      <c r="C23" s="100" t="str">
        <f aca="false">IF($A23="","",$D23+$E23)</f>
        <v/>
      </c>
      <c r="D23" s="91"/>
      <c r="E23" s="91"/>
      <c r="F23" s="91"/>
      <c r="G23" s="56" t="str">
        <f aca="false">IF($A23="","",$B23)</f>
        <v/>
      </c>
      <c r="H23" s="54" t="str">
        <f aca="false">IF($A23="","",2*$F23)</f>
        <v/>
      </c>
      <c r="I23" s="56" t="str">
        <f aca="false">IF($A23="","",$C23-$E$55-$F$55)</f>
        <v/>
      </c>
      <c r="J23" s="54" t="str">
        <f aca="false">IF($A23="","",1*$F23)</f>
        <v/>
      </c>
      <c r="K23" s="56" t="str">
        <f aca="false">IF($A23="","",$B23-$E$56-$F$56)</f>
        <v/>
      </c>
      <c r="L23" s="54" t="str">
        <f aca="false">IF($A23="","",4*$F23)</f>
        <v/>
      </c>
      <c r="M23" s="56" t="str">
        <f aca="false">IF($A23="","",(($D23-$E$57-$F$57)))</f>
        <v/>
      </c>
      <c r="N23" s="54" t="str">
        <f aca="false">IF($A23="","",2*$F23)</f>
        <v/>
      </c>
      <c r="O23" s="56" t="str">
        <f aca="false">IF($A23="","",(($E23-$E$58-$F$58)))</f>
        <v/>
      </c>
      <c r="P23" s="54" t="str">
        <f aca="false">IF($A23="","",2*$F23)</f>
        <v/>
      </c>
      <c r="Q23" s="56" t="str">
        <f aca="false">IF($A23="","",$K23-$E$59-$F$59)</f>
        <v/>
      </c>
      <c r="R23" s="54" t="str">
        <f aca="false">IF($A23="","",4*$F23)</f>
        <v/>
      </c>
      <c r="S23" s="56" t="str">
        <f aca="false">IF($A23="","",$M23-$E$60-$F$60)</f>
        <v/>
      </c>
      <c r="T23" s="54" t="str">
        <f aca="false">IF($A23="","",2*$F23)</f>
        <v/>
      </c>
      <c r="U23" s="56" t="str">
        <f aca="false">IF($A23="","",$O23-$E$61-$F$61)</f>
        <v/>
      </c>
      <c r="V23" s="54" t="str">
        <f aca="false">IF($A23="","",2*$F23)</f>
        <v/>
      </c>
      <c r="W23" s="56" t="str">
        <f aca="false">IF($A23="","",$M23)</f>
        <v/>
      </c>
      <c r="X23" s="54" t="str">
        <f aca="false">IF($A23="","",2*$F23)</f>
        <v/>
      </c>
      <c r="Y23" s="56" t="str">
        <f aca="false">IF($A23="","",$K23-$E$63)</f>
        <v/>
      </c>
      <c r="Z23" s="54" t="str">
        <f aca="false">IF($A23="","",1*$F23)</f>
        <v/>
      </c>
      <c r="AA23" s="56"/>
      <c r="AB23" s="54"/>
      <c r="AC23" s="56"/>
      <c r="AD23" s="54"/>
      <c r="AE23" s="57" t="str">
        <f aca="false">IF($A23="","",$K23-87-87)</f>
        <v/>
      </c>
      <c r="AF23" s="58" t="str">
        <f aca="false">IF($A23="","",$M23-87-87)</f>
        <v/>
      </c>
      <c r="AG23" s="59" t="str">
        <f aca="false">IF($A23="","",1*$F23)</f>
        <v/>
      </c>
      <c r="AH23" s="57" t="str">
        <f aca="false">IF($A23="","",$K23-87-87)</f>
        <v/>
      </c>
      <c r="AI23" s="58" t="str">
        <f aca="false">IF($A23="","",$O23-87-87)</f>
        <v/>
      </c>
      <c r="AJ23" s="59" t="str">
        <f aca="false">IF($A23="","",1*$F23)</f>
        <v/>
      </c>
      <c r="AK23" s="1" t="str">
        <f aca="false">IF($A23="","",(IF(OR($B23&gt;3000,$D23&gt;1200),5,4)+IF(OR($B23&gt;3000,$E23&gt;1200),5,4))*$F23)</f>
        <v/>
      </c>
      <c r="AL23" s="1" t="str">
        <f aca="false">IF($A23="","",4*2*$F23)</f>
        <v/>
      </c>
      <c r="AM23" s="1" t="str">
        <f aca="false">IF($A23="","",8*2*$F23)</f>
        <v/>
      </c>
      <c r="AN23" s="1" t="str">
        <f aca="false">IF($A23="","",$BC$1*$F23)</f>
        <v/>
      </c>
      <c r="AO23" s="1" t="str">
        <f aca="false">IF($A23="","",$BC$2*$F23)</f>
        <v/>
      </c>
      <c r="AP23" s="1" t="str">
        <f aca="false">IF($A23="","",$BC$3*$F23)</f>
        <v/>
      </c>
      <c r="AQ23" s="1" t="str">
        <f aca="false">IF($A23="","",1*$F23)</f>
        <v/>
      </c>
      <c r="AR23" s="1" t="str">
        <f aca="false">IF($A23="","",1*$F23)</f>
        <v/>
      </c>
      <c r="AS23" s="1" t="str">
        <f aca="false">IF($A23="","",1*$F23)</f>
        <v/>
      </c>
      <c r="AT23" s="1" t="str">
        <f aca="false">IF($A23="","",1*$F23)</f>
        <v/>
      </c>
      <c r="AU23" s="1" t="str">
        <f aca="false">IF($A23="","",6*$F23)</f>
        <v/>
      </c>
      <c r="AV23" s="1" t="str">
        <f aca="false">IF($A23="","",ROUND((2*($D23+$B23)+2*($E23+$B23))*$F23/1000,1))</f>
        <v/>
      </c>
      <c r="AW23" s="1" t="str">
        <f aca="false">IF($A23="","",ROUND(($C23+2*$B23)*$F23/1000,1))</f>
        <v/>
      </c>
      <c r="AX23" s="1" t="str">
        <f aca="false">IF($A23="","",1*$F23)</f>
        <v/>
      </c>
      <c r="AY23" s="0" t="str">
        <f aca="false">IF($A23="","",$BC$4*$F23)</f>
        <v/>
      </c>
    </row>
    <row r="24" customFormat="false" ht="39.75" hidden="false" customHeight="true" outlineLevel="0" collapsed="false">
      <c r="A24" s="88"/>
      <c r="B24" s="89"/>
      <c r="C24" s="100" t="str">
        <f aca="false">IF($A24="","",$D24+$E24)</f>
        <v/>
      </c>
      <c r="D24" s="91"/>
      <c r="E24" s="91"/>
      <c r="F24" s="91"/>
      <c r="G24" s="60" t="str">
        <f aca="false">IF($A24="","",$B24)</f>
        <v/>
      </c>
      <c r="H24" s="61" t="str">
        <f aca="false">IF($A24="","",2*$F24)</f>
        <v/>
      </c>
      <c r="I24" s="60" t="str">
        <f aca="false">IF($A24="","",$C24-$E$55-$F$55)</f>
        <v/>
      </c>
      <c r="J24" s="61" t="str">
        <f aca="false">IF($A24="","",1*$F24)</f>
        <v/>
      </c>
      <c r="K24" s="60" t="str">
        <f aca="false">IF($A24="","",$B24-$E$56-$F$56)</f>
        <v/>
      </c>
      <c r="L24" s="61" t="str">
        <f aca="false">IF($A24="","",4*$F24)</f>
        <v/>
      </c>
      <c r="M24" s="60" t="str">
        <f aca="false">IF($A24="","",(($D24-$E$57-$F$57)))</f>
        <v/>
      </c>
      <c r="N24" s="61" t="str">
        <f aca="false">IF($A24="","",2*$F24)</f>
        <v/>
      </c>
      <c r="O24" s="60" t="str">
        <f aca="false">IF($A24="","",(($E24-$E$58-$F$58)))</f>
        <v/>
      </c>
      <c r="P24" s="61" t="str">
        <f aca="false">IF($A24="","",2*$F24)</f>
        <v/>
      </c>
      <c r="Q24" s="60" t="str">
        <f aca="false">IF($A24="","",$K24-$E$59-$F$59)</f>
        <v/>
      </c>
      <c r="R24" s="61" t="str">
        <f aca="false">IF($A24="","",4*$F24)</f>
        <v/>
      </c>
      <c r="S24" s="60" t="str">
        <f aca="false">IF($A24="","",$M24-$E$60-$F$60)</f>
        <v/>
      </c>
      <c r="T24" s="61" t="str">
        <f aca="false">IF($A24="","",2*$F24)</f>
        <v/>
      </c>
      <c r="U24" s="60" t="str">
        <f aca="false">IF($A24="","",$O24-$E$61-$F$61)</f>
        <v/>
      </c>
      <c r="V24" s="61" t="str">
        <f aca="false">IF($A24="","",2*$F24)</f>
        <v/>
      </c>
      <c r="W24" s="60" t="str">
        <f aca="false">IF($A24="","",$M24)</f>
        <v/>
      </c>
      <c r="X24" s="61" t="str">
        <f aca="false">IF($A24="","",2*$F24)</f>
        <v/>
      </c>
      <c r="Y24" s="60" t="str">
        <f aca="false">IF($A24="","",$K24-$E$63)</f>
        <v/>
      </c>
      <c r="Z24" s="61" t="str">
        <f aca="false">IF($A24="","",1*$F24)</f>
        <v/>
      </c>
      <c r="AA24" s="60"/>
      <c r="AB24" s="61"/>
      <c r="AC24" s="60"/>
      <c r="AD24" s="61"/>
      <c r="AE24" s="57" t="str">
        <f aca="false">IF($A24="","",$K24-87-87)</f>
        <v/>
      </c>
      <c r="AF24" s="58" t="str">
        <f aca="false">IF($A24="","",$M24-87-87)</f>
        <v/>
      </c>
      <c r="AG24" s="59" t="str">
        <f aca="false">IF($A24="","",1*$F24)</f>
        <v/>
      </c>
      <c r="AH24" s="57" t="str">
        <f aca="false">IF($A24="","",$K24-87-87)</f>
        <v/>
      </c>
      <c r="AI24" s="58" t="str">
        <f aca="false">IF($A24="","",$O24-87-87)</f>
        <v/>
      </c>
      <c r="AJ24" s="59" t="str">
        <f aca="false">IF($A24="","",1*$F24)</f>
        <v/>
      </c>
      <c r="AK24" s="1" t="str">
        <f aca="false">IF($A24="","",(IF(OR($B24&gt;3000,$D24&gt;1200),5,4)+IF(OR($B24&gt;3000,$E24&gt;1200),5,4))*$F24)</f>
        <v/>
      </c>
      <c r="AL24" s="1" t="str">
        <f aca="false">IF($A24="","",4*2*$F24)</f>
        <v/>
      </c>
      <c r="AM24" s="1" t="str">
        <f aca="false">IF($A24="","",8*2*$F24)</f>
        <v/>
      </c>
      <c r="AN24" s="1" t="str">
        <f aca="false">IF($A24="","",$BC$1*$F24)</f>
        <v/>
      </c>
      <c r="AO24" s="1" t="str">
        <f aca="false">IF($A24="","",$BC$2*$F24)</f>
        <v/>
      </c>
      <c r="AP24" s="1" t="str">
        <f aca="false">IF($A24="","",$BC$3*$F24)</f>
        <v/>
      </c>
      <c r="AQ24" s="1" t="str">
        <f aca="false">IF($A24="","",1*$F24)</f>
        <v/>
      </c>
      <c r="AR24" s="1" t="str">
        <f aca="false">IF($A24="","",1*$F24)</f>
        <v/>
      </c>
      <c r="AS24" s="1" t="str">
        <f aca="false">IF($A24="","",1*$F24)</f>
        <v/>
      </c>
      <c r="AT24" s="1" t="str">
        <f aca="false">IF($A24="","",1*$F24)</f>
        <v/>
      </c>
      <c r="AU24" s="1" t="str">
        <f aca="false">IF($A24="","",6*$F24)</f>
        <v/>
      </c>
      <c r="AV24" s="1" t="str">
        <f aca="false">IF($A24="","",ROUND((2*($D24+$B24)+2*($E24+$B24))*$F24/1000,1))</f>
        <v/>
      </c>
      <c r="AW24" s="1" t="str">
        <f aca="false">IF($A24="","",ROUND(($C24+2*$B24)*$F24/1000,1))</f>
        <v/>
      </c>
      <c r="AX24" s="1" t="str">
        <f aca="false">IF($A24="","",1*$F24)</f>
        <v/>
      </c>
      <c r="AY24" s="0" t="str">
        <f aca="false">IF($A24="","",$BC$4*$F24)</f>
        <v/>
      </c>
    </row>
    <row r="25" customFormat="false" ht="39.75" hidden="false" customHeight="true" outlineLevel="0" collapsed="false">
      <c r="A25" s="88"/>
      <c r="B25" s="89"/>
      <c r="C25" s="100" t="str">
        <f aca="false">IF($A25="","",$D25+$E25)</f>
        <v/>
      </c>
      <c r="D25" s="91"/>
      <c r="E25" s="91"/>
      <c r="F25" s="91"/>
      <c r="G25" s="56" t="str">
        <f aca="false">IF($A25="","",$B25)</f>
        <v/>
      </c>
      <c r="H25" s="54" t="str">
        <f aca="false">IF($A25="","",2*$F25)</f>
        <v/>
      </c>
      <c r="I25" s="56" t="str">
        <f aca="false">IF($A25="","",$C25-$E$55-$F$55)</f>
        <v/>
      </c>
      <c r="J25" s="54" t="str">
        <f aca="false">IF($A25="","",1*$F25)</f>
        <v/>
      </c>
      <c r="K25" s="56" t="str">
        <f aca="false">IF($A25="","",$B25-$E$56-$F$56)</f>
        <v/>
      </c>
      <c r="L25" s="54" t="str">
        <f aca="false">IF($A25="","",4*$F25)</f>
        <v/>
      </c>
      <c r="M25" s="56" t="str">
        <f aca="false">IF($A25="","",(($D25-$E$57-$F$57)))</f>
        <v/>
      </c>
      <c r="N25" s="54" t="str">
        <f aca="false">IF($A25="","",2*$F25)</f>
        <v/>
      </c>
      <c r="O25" s="56" t="str">
        <f aca="false">IF($A25="","",(($E25-$E$58-$F$58)))</f>
        <v/>
      </c>
      <c r="P25" s="54" t="str">
        <f aca="false">IF($A25="","",2*$F25)</f>
        <v/>
      </c>
      <c r="Q25" s="56" t="str">
        <f aca="false">IF($A25="","",$K25-$E$59-$F$59)</f>
        <v/>
      </c>
      <c r="R25" s="54" t="str">
        <f aca="false">IF($A25="","",4*$F25)</f>
        <v/>
      </c>
      <c r="S25" s="56" t="str">
        <f aca="false">IF($A25="","",$M25-$E$60-$F$60)</f>
        <v/>
      </c>
      <c r="T25" s="54" t="str">
        <f aca="false">IF($A25="","",2*$F25)</f>
        <v/>
      </c>
      <c r="U25" s="56" t="str">
        <f aca="false">IF($A25="","",$O25-$E$61-$F$61)</f>
        <v/>
      </c>
      <c r="V25" s="54" t="str">
        <f aca="false">IF($A25="","",2*$F25)</f>
        <v/>
      </c>
      <c r="W25" s="56" t="str">
        <f aca="false">IF($A25="","",$M25)</f>
        <v/>
      </c>
      <c r="X25" s="54" t="str">
        <f aca="false">IF($A25="","",2*$F25)</f>
        <v/>
      </c>
      <c r="Y25" s="56" t="str">
        <f aca="false">IF($A25="","",$K25-$E$63)</f>
        <v/>
      </c>
      <c r="Z25" s="54" t="str">
        <f aca="false">IF($A25="","",1*$F25)</f>
        <v/>
      </c>
      <c r="AA25" s="56"/>
      <c r="AB25" s="54"/>
      <c r="AC25" s="56"/>
      <c r="AD25" s="54"/>
      <c r="AE25" s="57" t="str">
        <f aca="false">IF($A25="","",$K25-87-87)</f>
        <v/>
      </c>
      <c r="AF25" s="58" t="str">
        <f aca="false">IF($A25="","",$M25-87-87)</f>
        <v/>
      </c>
      <c r="AG25" s="59" t="str">
        <f aca="false">IF($A25="","",1*$F25)</f>
        <v/>
      </c>
      <c r="AH25" s="57" t="str">
        <f aca="false">IF($A25="","",$K25-87-87)</f>
        <v/>
      </c>
      <c r="AI25" s="58" t="str">
        <f aca="false">IF($A25="","",$O25-87-87)</f>
        <v/>
      </c>
      <c r="AJ25" s="59" t="str">
        <f aca="false">IF($A25="","",1*$F25)</f>
        <v/>
      </c>
      <c r="AK25" s="1" t="str">
        <f aca="false">IF($A25="","",(IF(OR($B25&gt;3000,$D25&gt;1200),5,4)+IF(OR($B25&gt;3000,$E25&gt;1200),5,4))*$F25)</f>
        <v/>
      </c>
      <c r="AL25" s="1" t="str">
        <f aca="false">IF($A25="","",4*2*$F25)</f>
        <v/>
      </c>
      <c r="AM25" s="1" t="str">
        <f aca="false">IF($A25="","",8*2*$F25)</f>
        <v/>
      </c>
      <c r="AN25" s="1" t="str">
        <f aca="false">IF($A25="","",$BC$1*$F25)</f>
        <v/>
      </c>
      <c r="AO25" s="1" t="str">
        <f aca="false">IF($A25="","",$BC$2*$F25)</f>
        <v/>
      </c>
      <c r="AP25" s="1" t="str">
        <f aca="false">IF($A25="","",$BC$3*$F25)</f>
        <v/>
      </c>
      <c r="AQ25" s="1" t="str">
        <f aca="false">IF($A25="","",1*$F25)</f>
        <v/>
      </c>
      <c r="AR25" s="1" t="str">
        <f aca="false">IF($A25="","",1*$F25)</f>
        <v/>
      </c>
      <c r="AS25" s="1" t="str">
        <f aca="false">IF($A25="","",1*$F25)</f>
        <v/>
      </c>
      <c r="AT25" s="1" t="str">
        <f aca="false">IF($A25="","",1*$F25)</f>
        <v/>
      </c>
      <c r="AU25" s="1" t="str">
        <f aca="false">IF($A25="","",6*$F25)</f>
        <v/>
      </c>
      <c r="AV25" s="1" t="str">
        <f aca="false">IF($A25="","",ROUND((2*($D25+$B25)+2*($E25+$B25))*$F25/1000,1))</f>
        <v/>
      </c>
      <c r="AW25" s="1" t="str">
        <f aca="false">IF($A25="","",ROUND(($C25+2*$B25)*$F25/1000,1))</f>
        <v/>
      </c>
      <c r="AX25" s="1" t="str">
        <f aca="false">IF($A25="","",1*$F25)</f>
        <v/>
      </c>
      <c r="AY25" s="0" t="str">
        <f aca="false">IF($A25="","",$BC$4*$F25)</f>
        <v/>
      </c>
    </row>
    <row r="26" customFormat="false" ht="39.75" hidden="false" customHeight="true" outlineLevel="0" collapsed="false">
      <c r="A26" s="88"/>
      <c r="B26" s="89"/>
      <c r="C26" s="100" t="str">
        <f aca="false">IF($A26="","",$D26+$E26)</f>
        <v/>
      </c>
      <c r="D26" s="91"/>
      <c r="E26" s="91"/>
      <c r="F26" s="91"/>
      <c r="G26" s="60" t="str">
        <f aca="false">IF($A26="","",$B26)</f>
        <v/>
      </c>
      <c r="H26" s="61" t="str">
        <f aca="false">IF($A26="","",2*$F26)</f>
        <v/>
      </c>
      <c r="I26" s="60" t="str">
        <f aca="false">IF($A26="","",$C26-$E$55-$F$55)</f>
        <v/>
      </c>
      <c r="J26" s="61" t="str">
        <f aca="false">IF($A26="","",1*$F26)</f>
        <v/>
      </c>
      <c r="K26" s="60" t="str">
        <f aca="false">IF($A26="","",$B26-$E$56-$F$56)</f>
        <v/>
      </c>
      <c r="L26" s="61" t="str">
        <f aca="false">IF($A26="","",4*$F26)</f>
        <v/>
      </c>
      <c r="M26" s="60" t="str">
        <f aca="false">IF($A26="","",(($D26-$E$57-$F$57)))</f>
        <v/>
      </c>
      <c r="N26" s="61" t="str">
        <f aca="false">IF($A26="","",2*$F26)</f>
        <v/>
      </c>
      <c r="O26" s="60" t="str">
        <f aca="false">IF($A26="","",(($E26-$E$58-$F$58)))</f>
        <v/>
      </c>
      <c r="P26" s="61" t="str">
        <f aca="false">IF($A26="","",2*$F26)</f>
        <v/>
      </c>
      <c r="Q26" s="60" t="str">
        <f aca="false">IF($A26="","",$K26-$E$59-$F$59)</f>
        <v/>
      </c>
      <c r="R26" s="61" t="str">
        <f aca="false">IF($A26="","",4*$F26)</f>
        <v/>
      </c>
      <c r="S26" s="60" t="str">
        <f aca="false">IF($A26="","",$M26-$E$60-$F$60)</f>
        <v/>
      </c>
      <c r="T26" s="61" t="str">
        <f aca="false">IF($A26="","",2*$F26)</f>
        <v/>
      </c>
      <c r="U26" s="60" t="str">
        <f aca="false">IF($A26="","",$O26-$E$61-$F$61)</f>
        <v/>
      </c>
      <c r="V26" s="61" t="str">
        <f aca="false">IF($A26="","",2*$F26)</f>
        <v/>
      </c>
      <c r="W26" s="60" t="str">
        <f aca="false">IF($A26="","",$M26)</f>
        <v/>
      </c>
      <c r="X26" s="61" t="str">
        <f aca="false">IF($A26="","",2*$F26)</f>
        <v/>
      </c>
      <c r="Y26" s="60" t="str">
        <f aca="false">IF($A26="","",$K26-$E$63)</f>
        <v/>
      </c>
      <c r="Z26" s="61" t="str">
        <f aca="false">IF($A26="","",1*$F26)</f>
        <v/>
      </c>
      <c r="AA26" s="60"/>
      <c r="AB26" s="61"/>
      <c r="AC26" s="60"/>
      <c r="AD26" s="61"/>
      <c r="AE26" s="57" t="str">
        <f aca="false">IF($A26="","",$K26-87-87)</f>
        <v/>
      </c>
      <c r="AF26" s="58" t="str">
        <f aca="false">IF($A26="","",$M26-87-87)</f>
        <v/>
      </c>
      <c r="AG26" s="59" t="str">
        <f aca="false">IF($A26="","",1*$F26)</f>
        <v/>
      </c>
      <c r="AH26" s="57" t="str">
        <f aca="false">IF($A26="","",$K26-87-87)</f>
        <v/>
      </c>
      <c r="AI26" s="58" t="str">
        <f aca="false">IF($A26="","",$O26-87-87)</f>
        <v/>
      </c>
      <c r="AJ26" s="59" t="str">
        <f aca="false">IF($A26="","",1*$F26)</f>
        <v/>
      </c>
      <c r="AK26" s="1" t="str">
        <f aca="false">IF($A26="","",(IF(OR($B26&gt;3000,$D26&gt;1200),5,4)+IF(OR($B26&gt;3000,$E26&gt;1200),5,4))*$F26)</f>
        <v/>
      </c>
      <c r="AL26" s="1" t="str">
        <f aca="false">IF($A26="","",4*2*$F26)</f>
        <v/>
      </c>
      <c r="AM26" s="1" t="str">
        <f aca="false">IF($A26="","",8*2*$F26)</f>
        <v/>
      </c>
      <c r="AN26" s="1" t="str">
        <f aca="false">IF($A26="","",$BC$1*$F26)</f>
        <v/>
      </c>
      <c r="AO26" s="1" t="str">
        <f aca="false">IF($A26="","",$BC$2*$F26)</f>
        <v/>
      </c>
      <c r="AP26" s="1" t="str">
        <f aca="false">IF($A26="","",$BC$3*$F26)</f>
        <v/>
      </c>
      <c r="AQ26" s="1" t="str">
        <f aca="false">IF($A26="","",1*$F26)</f>
        <v/>
      </c>
      <c r="AR26" s="1" t="str">
        <f aca="false">IF($A26="","",1*$F26)</f>
        <v/>
      </c>
      <c r="AS26" s="1" t="str">
        <f aca="false">IF($A26="","",1*$F26)</f>
        <v/>
      </c>
      <c r="AT26" s="1" t="str">
        <f aca="false">IF($A26="","",1*$F26)</f>
        <v/>
      </c>
      <c r="AU26" s="1" t="str">
        <f aca="false">IF($A26="","",6*$F26)</f>
        <v/>
      </c>
      <c r="AV26" s="1" t="str">
        <f aca="false">IF($A26="","",ROUND((2*($D26+$B26)+2*($E26+$B26))*$F26/1000,1))</f>
        <v/>
      </c>
      <c r="AW26" s="1" t="str">
        <f aca="false">IF($A26="","",ROUND(($C26+2*$B26)*$F26/1000,1))</f>
        <v/>
      </c>
      <c r="AX26" s="1" t="str">
        <f aca="false">IF($A26="","",1*$F26)</f>
        <v/>
      </c>
      <c r="AY26" s="0" t="str">
        <f aca="false">IF($A26="","",$BC$4*$F26)</f>
        <v/>
      </c>
    </row>
    <row r="27" customFormat="false" ht="39.75" hidden="false" customHeight="true" outlineLevel="0" collapsed="false">
      <c r="A27" s="88"/>
      <c r="B27" s="89"/>
      <c r="C27" s="100" t="str">
        <f aca="false">IF($A27="","",$D27+$E27)</f>
        <v/>
      </c>
      <c r="D27" s="91"/>
      <c r="E27" s="91"/>
      <c r="F27" s="91"/>
      <c r="G27" s="56" t="str">
        <f aca="false">IF($A27="","",$B27)</f>
        <v/>
      </c>
      <c r="H27" s="54" t="str">
        <f aca="false">IF($A27="","",2*$F27)</f>
        <v/>
      </c>
      <c r="I27" s="56" t="str">
        <f aca="false">IF($A27="","",$C27-$E$55-$F$55)</f>
        <v/>
      </c>
      <c r="J27" s="54" t="str">
        <f aca="false">IF($A27="","",1*$F27)</f>
        <v/>
      </c>
      <c r="K27" s="56" t="str">
        <f aca="false">IF($A27="","",$B27-$E$56-$F$56)</f>
        <v/>
      </c>
      <c r="L27" s="54" t="str">
        <f aca="false">IF($A27="","",4*$F27)</f>
        <v/>
      </c>
      <c r="M27" s="56" t="str">
        <f aca="false">IF($A27="","",(($D27-$E$57-$F$57)))</f>
        <v/>
      </c>
      <c r="N27" s="54" t="str">
        <f aca="false">IF($A27="","",2*$F27)</f>
        <v/>
      </c>
      <c r="O27" s="56" t="str">
        <f aca="false">IF($A27="","",(($E27-$E$58-$F$58)))</f>
        <v/>
      </c>
      <c r="P27" s="54" t="str">
        <f aca="false">IF($A27="","",2*$F27)</f>
        <v/>
      </c>
      <c r="Q27" s="56" t="str">
        <f aca="false">IF($A27="","",$K27-$E$59-$F$59)</f>
        <v/>
      </c>
      <c r="R27" s="54" t="str">
        <f aca="false">IF($A27="","",4*$F27)</f>
        <v/>
      </c>
      <c r="S27" s="56" t="str">
        <f aca="false">IF($A27="","",$M27-$E$60-$F$60)</f>
        <v/>
      </c>
      <c r="T27" s="54" t="str">
        <f aca="false">IF($A27="","",2*$F27)</f>
        <v/>
      </c>
      <c r="U27" s="56" t="str">
        <f aca="false">IF($A27="","",$O27-$E$61-$F$61)</f>
        <v/>
      </c>
      <c r="V27" s="54" t="str">
        <f aca="false">IF($A27="","",2*$F27)</f>
        <v/>
      </c>
      <c r="W27" s="56" t="str">
        <f aca="false">IF($A27="","",$M27)</f>
        <v/>
      </c>
      <c r="X27" s="54" t="str">
        <f aca="false">IF($A27="","",2*$F27)</f>
        <v/>
      </c>
      <c r="Y27" s="56" t="str">
        <f aca="false">IF($A27="","",$K27-$E$63)</f>
        <v/>
      </c>
      <c r="Z27" s="54" t="str">
        <f aca="false">IF($A27="","",1*$F27)</f>
        <v/>
      </c>
      <c r="AA27" s="56"/>
      <c r="AB27" s="54"/>
      <c r="AC27" s="56"/>
      <c r="AD27" s="54"/>
      <c r="AE27" s="57" t="str">
        <f aca="false">IF($A27="","",$K27-87-87)</f>
        <v/>
      </c>
      <c r="AF27" s="58" t="str">
        <f aca="false">IF($A27="","",$M27-87-87)</f>
        <v/>
      </c>
      <c r="AG27" s="59" t="str">
        <f aca="false">IF($A27="","",1*$F27)</f>
        <v/>
      </c>
      <c r="AH27" s="57" t="str">
        <f aca="false">IF($A27="","",$K27-87-87)</f>
        <v/>
      </c>
      <c r="AI27" s="58" t="str">
        <f aca="false">IF($A27="","",$O27-87-87)</f>
        <v/>
      </c>
      <c r="AJ27" s="59" t="str">
        <f aca="false">IF($A27="","",1*$F27)</f>
        <v/>
      </c>
      <c r="AK27" s="1" t="str">
        <f aca="false">IF($A27="","",(IF(OR($B27&gt;3000,$D27&gt;1200),5,4)+IF(OR($B27&gt;3000,$E27&gt;1200),5,4))*$F27)</f>
        <v/>
      </c>
      <c r="AL27" s="1" t="str">
        <f aca="false">IF($A27="","",4*2*$F27)</f>
        <v/>
      </c>
      <c r="AM27" s="1" t="str">
        <f aca="false">IF($A27="","",8*2*$F27)</f>
        <v/>
      </c>
      <c r="AN27" s="1" t="str">
        <f aca="false">IF($A27="","",$BC$1*$F27)</f>
        <v/>
      </c>
      <c r="AO27" s="1" t="str">
        <f aca="false">IF($A27="","",$BC$2*$F27)</f>
        <v/>
      </c>
      <c r="AP27" s="1" t="str">
        <f aca="false">IF($A27="","",$BC$3*$F27)</f>
        <v/>
      </c>
      <c r="AQ27" s="1" t="str">
        <f aca="false">IF($A27="","",1*$F27)</f>
        <v/>
      </c>
      <c r="AR27" s="1" t="str">
        <f aca="false">IF($A27="","",1*$F27)</f>
        <v/>
      </c>
      <c r="AS27" s="1" t="str">
        <f aca="false">IF($A27="","",1*$F27)</f>
        <v/>
      </c>
      <c r="AT27" s="1" t="str">
        <f aca="false">IF($A27="","",1*$F27)</f>
        <v/>
      </c>
      <c r="AU27" s="1" t="str">
        <f aca="false">IF($A27="","",6*$F27)</f>
        <v/>
      </c>
      <c r="AV27" s="1" t="str">
        <f aca="false">IF($A27="","",ROUND((2*($D27+$B27)+2*($E27+$B27))*$F27/1000,1))</f>
        <v/>
      </c>
      <c r="AW27" s="1" t="str">
        <f aca="false">IF($A27="","",ROUND(($C27+2*$B27)*$F27/1000,1))</f>
        <v/>
      </c>
      <c r="AX27" s="1" t="str">
        <f aca="false">IF($A27="","",1*$F27)</f>
        <v/>
      </c>
      <c r="AY27" s="0" t="str">
        <f aca="false">IF($A27="","",$BC$4*$F27)</f>
        <v/>
      </c>
    </row>
    <row r="28" customFormat="false" ht="39.75" hidden="false" customHeight="true" outlineLevel="0" collapsed="false">
      <c r="A28" s="88"/>
      <c r="B28" s="89"/>
      <c r="C28" s="100" t="str">
        <f aca="false">IF($A28="","",$D28+$E28)</f>
        <v/>
      </c>
      <c r="D28" s="91"/>
      <c r="E28" s="91"/>
      <c r="F28" s="91"/>
      <c r="G28" s="60" t="str">
        <f aca="false">IF($A28="","",$B28)</f>
        <v/>
      </c>
      <c r="H28" s="61" t="str">
        <f aca="false">IF($A28="","",2*$F28)</f>
        <v/>
      </c>
      <c r="I28" s="60" t="str">
        <f aca="false">IF($A28="","",$C28-$E$55-$F$55)</f>
        <v/>
      </c>
      <c r="J28" s="61" t="str">
        <f aca="false">IF($A28="","",1*$F28)</f>
        <v/>
      </c>
      <c r="K28" s="60" t="str">
        <f aca="false">IF($A28="","",$B28-$E$56-$F$56)</f>
        <v/>
      </c>
      <c r="L28" s="61" t="str">
        <f aca="false">IF($A28="","",4*$F28)</f>
        <v/>
      </c>
      <c r="M28" s="60" t="str">
        <f aca="false">IF($A28="","",(($D28-$E$57-$F$57)))</f>
        <v/>
      </c>
      <c r="N28" s="61" t="str">
        <f aca="false">IF($A28="","",2*$F28)</f>
        <v/>
      </c>
      <c r="O28" s="60" t="str">
        <f aca="false">IF($A28="","",(($E28-$E$58-$F$58)))</f>
        <v/>
      </c>
      <c r="P28" s="61" t="str">
        <f aca="false">IF($A28="","",2*$F28)</f>
        <v/>
      </c>
      <c r="Q28" s="60" t="str">
        <f aca="false">IF($A28="","",$K28-$E$59-$F$59)</f>
        <v/>
      </c>
      <c r="R28" s="61" t="str">
        <f aca="false">IF($A28="","",4*$F28)</f>
        <v/>
      </c>
      <c r="S28" s="60" t="str">
        <f aca="false">IF($A28="","",$M28-$E$60-$F$60)</f>
        <v/>
      </c>
      <c r="T28" s="61" t="str">
        <f aca="false">IF($A28="","",2*$F28)</f>
        <v/>
      </c>
      <c r="U28" s="60" t="str">
        <f aca="false">IF($A28="","",$O28-$E$61-$F$61)</f>
        <v/>
      </c>
      <c r="V28" s="61" t="str">
        <f aca="false">IF($A28="","",2*$F28)</f>
        <v/>
      </c>
      <c r="W28" s="60" t="str">
        <f aca="false">IF($A28="","",$M28)</f>
        <v/>
      </c>
      <c r="X28" s="61" t="str">
        <f aca="false">IF($A28="","",2*$F28)</f>
        <v/>
      </c>
      <c r="Y28" s="60" t="str">
        <f aca="false">IF($A28="","",$K28-$E$63)</f>
        <v/>
      </c>
      <c r="Z28" s="61" t="str">
        <f aca="false">IF($A28="","",1*$F28)</f>
        <v/>
      </c>
      <c r="AA28" s="60"/>
      <c r="AB28" s="61"/>
      <c r="AC28" s="60"/>
      <c r="AD28" s="61"/>
      <c r="AE28" s="57" t="str">
        <f aca="false">IF($A28="","",$K28-87-87)</f>
        <v/>
      </c>
      <c r="AF28" s="58" t="str">
        <f aca="false">IF($A28="","",$M28-87-87)</f>
        <v/>
      </c>
      <c r="AG28" s="59" t="str">
        <f aca="false">IF($A28="","",1*$F28)</f>
        <v/>
      </c>
      <c r="AH28" s="57" t="str">
        <f aca="false">IF($A28="","",$K28-87-87)</f>
        <v/>
      </c>
      <c r="AI28" s="58" t="str">
        <f aca="false">IF($A28="","",$O28-87-87)</f>
        <v/>
      </c>
      <c r="AJ28" s="59" t="str">
        <f aca="false">IF($A28="","",1*$F28)</f>
        <v/>
      </c>
      <c r="AK28" s="1" t="str">
        <f aca="false">IF($A28="","",(IF(OR($B28&gt;3000,$D28&gt;1200),5,4)+IF(OR($B28&gt;3000,$E28&gt;1200),5,4))*$F28)</f>
        <v/>
      </c>
      <c r="AL28" s="1" t="str">
        <f aca="false">IF($A28="","",4*2*$F28)</f>
        <v/>
      </c>
      <c r="AM28" s="1" t="str">
        <f aca="false">IF($A28="","",8*2*$F28)</f>
        <v/>
      </c>
      <c r="AN28" s="1" t="str">
        <f aca="false">IF($A28="","",$BC$1*$F28)</f>
        <v/>
      </c>
      <c r="AO28" s="1" t="str">
        <f aca="false">IF($A28="","",$BC$2*$F28)</f>
        <v/>
      </c>
      <c r="AP28" s="1" t="str">
        <f aca="false">IF($A28="","",$BC$3*$F28)</f>
        <v/>
      </c>
      <c r="AQ28" s="1" t="str">
        <f aca="false">IF($A28="","",1*$F28)</f>
        <v/>
      </c>
      <c r="AR28" s="1" t="str">
        <f aca="false">IF($A28="","",1*$F28)</f>
        <v/>
      </c>
      <c r="AS28" s="1" t="str">
        <f aca="false">IF($A28="","",1*$F28)</f>
        <v/>
      </c>
      <c r="AT28" s="1" t="str">
        <f aca="false">IF($A28="","",1*$F28)</f>
        <v/>
      </c>
      <c r="AU28" s="1" t="str">
        <f aca="false">IF($A28="","",6*$F28)</f>
        <v/>
      </c>
      <c r="AV28" s="1" t="str">
        <f aca="false">IF($A28="","",ROUND((2*($D28+$B28)+2*($E28+$B28))*$F28/1000,1))</f>
        <v/>
      </c>
      <c r="AW28" s="1" t="str">
        <f aca="false">IF($A28="","",ROUND(($C28+2*$B28)*$F28/1000,1))</f>
        <v/>
      </c>
      <c r="AX28" s="1" t="str">
        <f aca="false">IF($A28="","",1*$F28)</f>
        <v/>
      </c>
      <c r="AY28" s="0" t="str">
        <f aca="false">IF($A28="","",$BC$4*$F28)</f>
        <v/>
      </c>
    </row>
    <row r="29" customFormat="false" ht="39.75" hidden="false" customHeight="true" outlineLevel="0" collapsed="false"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3"/>
      <c r="AH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64"/>
      <c r="F30" s="64"/>
      <c r="G30" s="65" t="str">
        <f aca="false">G$7</f>
        <v>F7859</v>
      </c>
      <c r="H30" s="65"/>
      <c r="I30" s="65"/>
      <c r="J30" s="66" t="n">
        <f aca="false">(ROUNDUP(SUM(H49:J49)/6400,0))</f>
        <v>1</v>
      </c>
      <c r="K30" s="65" t="str">
        <f aca="false">K$7</f>
        <v>F7864</v>
      </c>
      <c r="L30" s="65"/>
      <c r="M30" s="65"/>
      <c r="N30" s="65"/>
      <c r="O30" s="65"/>
      <c r="P30" s="66" t="n">
        <f aca="false">(ROUNDUP(SUM(L49:P49)/6400,0))</f>
        <v>1</v>
      </c>
      <c r="Q30" s="65" t="str">
        <f aca="false">Q$7</f>
        <v>F7935</v>
      </c>
      <c r="R30" s="65"/>
      <c r="S30" s="65"/>
      <c r="T30" s="65"/>
      <c r="U30" s="65"/>
      <c r="V30" s="66" t="n">
        <f aca="false">(ROUNDUP(SUM(R49:V49)/6400,0))</f>
        <v>1</v>
      </c>
      <c r="W30" s="66" t="str">
        <f aca="false">W$7</f>
        <v>F7863</v>
      </c>
      <c r="X30" s="66" t="n">
        <f aca="false">(ROUNDUP(X49/6400,0))</f>
        <v>1</v>
      </c>
      <c r="Y30" s="66" t="str">
        <f aca="false">Y$7</f>
        <v>F7945</v>
      </c>
      <c r="Z30" s="66" t="n">
        <f aca="false">(ROUNDUP(Z49/6400,0))</f>
        <v>1</v>
      </c>
      <c r="AA30" s="65" t="n">
        <f aca="false">AA$7</f>
        <v>0</v>
      </c>
      <c r="AB30" s="65"/>
      <c r="AC30" s="65"/>
      <c r="AD30" s="66" t="n">
        <f aca="false">(ROUNDUP(SUM(AB49:AD49)/6400,0))</f>
        <v>0</v>
      </c>
      <c r="AJ30" s="40" t="s">
        <v>65</v>
      </c>
      <c r="AK30" s="40" t="n">
        <f aca="false">SUM(AK11:AK28)</f>
        <v>8</v>
      </c>
      <c r="AL30" s="40" t="n">
        <f aca="false">SUM(AL11:AL28)</f>
        <v>8</v>
      </c>
      <c r="AM30" s="40" t="n">
        <f aca="false">SUM(AM11:AM28)</f>
        <v>16</v>
      </c>
      <c r="AN30" s="40" t="n">
        <f aca="false">SUM(AN11:AN28)</f>
        <v>2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1</v>
      </c>
      <c r="AR30" s="40" t="n">
        <f aca="false">SUM(AR11:AR28)</f>
        <v>1</v>
      </c>
      <c r="AS30" s="40" t="n">
        <f aca="false">SUM(AS11:AS28)</f>
        <v>1</v>
      </c>
      <c r="AT30" s="40" t="n">
        <f aca="false">SUM(AT11:AT28)</f>
        <v>1</v>
      </c>
      <c r="AU30" s="40" t="n">
        <f aca="false">SUM(AU11:AU28)</f>
        <v>6</v>
      </c>
      <c r="AV30" s="40" t="n">
        <f aca="false">SUM(AV11:AV28)</f>
        <v>2.8</v>
      </c>
      <c r="AW30" s="40" t="n">
        <f aca="false">SUM(AW11:AW28)</f>
        <v>1.4</v>
      </c>
      <c r="AX30" s="40" t="n">
        <f aca="false">SUM(AX11:AX28)</f>
        <v>1</v>
      </c>
      <c r="AY30" s="41" t="n">
        <f aca="false">SUM(AY11:AY28)</f>
        <v>0</v>
      </c>
    </row>
    <row r="31" customFormat="false" ht="39.75" hidden="true" customHeight="true" outlineLevel="0" collapsed="false">
      <c r="H31" s="67" t="n">
        <f aca="false">IF($A11="","",H11*G11)</f>
        <v>800</v>
      </c>
      <c r="I31" s="67"/>
      <c r="J31" s="67" t="n">
        <f aca="false">IF($A11="","",J11*I11)</f>
        <v>550</v>
      </c>
      <c r="K31" s="67"/>
      <c r="L31" s="67" t="n">
        <f aca="false">IF($A11="","",L11*K11)</f>
        <v>1498</v>
      </c>
      <c r="M31" s="67"/>
      <c r="N31" s="67" t="n">
        <f aca="false">IF($A11="","",N11*M11)</f>
        <v>461</v>
      </c>
      <c r="O31" s="67"/>
      <c r="P31" s="67" t="n">
        <f aca="false">IF($A11="","",P11*O11)</f>
        <v>661</v>
      </c>
      <c r="Q31" s="67"/>
      <c r="R31" s="67" t="n">
        <f aca="false">IF($A11="","",R11*Q11)</f>
        <v>698</v>
      </c>
      <c r="S31" s="67"/>
      <c r="T31" s="67" t="n">
        <f aca="false">IF($A11="","",T11*S11)</f>
        <v>141</v>
      </c>
      <c r="U31" s="67"/>
      <c r="V31" s="67" t="n">
        <f aca="false">IF($A11="","",V11*U11)</f>
        <v>341</v>
      </c>
      <c r="W31" s="67"/>
      <c r="X31" s="67" t="n">
        <f aca="false">IF($A11="","",X11*W11)</f>
        <v>461</v>
      </c>
      <c r="Y31" s="67"/>
      <c r="Z31" s="67" t="n">
        <f aca="false">IF($A11="","",Z11*Y11)</f>
        <v>366</v>
      </c>
      <c r="AA31" s="67"/>
      <c r="AB31" s="67" t="n">
        <f aca="false">IF($A11="","",AB11*AA11)</f>
        <v>0</v>
      </c>
      <c r="AC31" s="67"/>
      <c r="AD31" s="67" t="n">
        <f aca="false">IF($A11="","",AD11*AC11)</f>
        <v>0</v>
      </c>
    </row>
    <row r="32" customFormat="false" ht="39.75" hidden="true" customHeight="true" outlineLevel="0" collapsed="false">
      <c r="H32" s="67" t="str">
        <f aca="false">IF($A12="","",H12*G12)</f>
        <v/>
      </c>
      <c r="I32" s="67"/>
      <c r="J32" s="67" t="str">
        <f aca="false">IF($A12="","",J12*I12)</f>
        <v/>
      </c>
      <c r="K32" s="67"/>
      <c r="L32" s="67" t="str">
        <f aca="false">IF($A12="","",L12*K12)</f>
        <v/>
      </c>
      <c r="M32" s="67"/>
      <c r="N32" s="67" t="str">
        <f aca="false">IF($A12="","",N12*M12)</f>
        <v/>
      </c>
      <c r="O32" s="67"/>
      <c r="P32" s="67" t="str">
        <f aca="false">IF($A12="","",P12*O12)</f>
        <v/>
      </c>
      <c r="Q32" s="67"/>
      <c r="R32" s="67" t="str">
        <f aca="false">IF($A12="","",R12*Q12)</f>
        <v/>
      </c>
      <c r="S32" s="67"/>
      <c r="T32" s="67" t="str">
        <f aca="false">IF($A12="","",T12*S12)</f>
        <v/>
      </c>
      <c r="U32" s="67"/>
      <c r="V32" s="67" t="str">
        <f aca="false">IF($A12="","",V12*U12)</f>
        <v/>
      </c>
      <c r="W32" s="67"/>
      <c r="X32" s="67" t="str">
        <f aca="false">IF($A12="","",X12*W12)</f>
        <v/>
      </c>
      <c r="Y32" s="67"/>
      <c r="Z32" s="67" t="str">
        <f aca="false">IF($A12="","",Z12*Y12)</f>
        <v/>
      </c>
      <c r="AA32" s="67"/>
      <c r="AB32" s="67" t="str">
        <f aca="false">IF($A12="","",AB12*AA12)</f>
        <v/>
      </c>
      <c r="AC32" s="67"/>
      <c r="AD32" s="67" t="str">
        <f aca="false">IF($A12="","",AD12*AC12)</f>
        <v/>
      </c>
    </row>
    <row r="33" customFormat="false" ht="39.75" hidden="true" customHeight="true" outlineLevel="0" collapsed="false"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  <c r="AC33" s="67"/>
      <c r="AD33" s="67" t="str">
        <f aca="false">IF($A13="","",AD13*AC13)</f>
        <v/>
      </c>
    </row>
    <row r="34" customFormat="false" ht="39.75" hidden="true" customHeight="true" outlineLevel="0" collapsed="false"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  <c r="AC34" s="67"/>
      <c r="AD34" s="67" t="str">
        <f aca="false">IF($A14="","",AD14*AC14)</f>
        <v/>
      </c>
    </row>
    <row r="35" customFormat="false" ht="39.75" hidden="true" customHeight="true" outlineLevel="0" collapsed="false"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  <c r="AC35" s="67"/>
      <c r="AD35" s="67" t="str">
        <f aca="false">IF($A15="","",AD15*AC15)</f>
        <v/>
      </c>
    </row>
    <row r="36" customFormat="false" ht="15" hidden="true" customHeight="true" outlineLevel="0" collapsed="false"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  <c r="AC36" s="67"/>
      <c r="AD36" s="67" t="str">
        <f aca="false">IF($A16="","",AD16*AC16)</f>
        <v/>
      </c>
    </row>
    <row r="37" customFormat="false" ht="15" hidden="true" customHeight="true" outlineLevel="0" collapsed="false"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  <c r="AC37" s="67"/>
      <c r="AD37" s="67" t="str">
        <f aca="false">IF($A17="","",AD17*AC17)</f>
        <v/>
      </c>
    </row>
    <row r="38" customFormat="false" ht="15" hidden="true" customHeight="true" outlineLevel="0" collapsed="false"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  <c r="AC38" s="67"/>
      <c r="AD38" s="67" t="str">
        <f aca="false">IF($A18="","",AD18*AC18)</f>
        <v/>
      </c>
    </row>
    <row r="39" customFormat="false" ht="15" hidden="true" customHeight="true" outlineLevel="0" collapsed="false"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  <c r="AC39" s="67"/>
      <c r="AD39" s="67" t="str">
        <f aca="false">IF($A19="","",AD19*AC19)</f>
        <v/>
      </c>
    </row>
    <row r="40" customFormat="false" ht="15" hidden="true" customHeight="true" outlineLevel="0" collapsed="false"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  <c r="AC40" s="67"/>
      <c r="AD40" s="67" t="str">
        <f aca="false">IF($A20="","",AD20*AC20)</f>
        <v/>
      </c>
    </row>
    <row r="41" customFormat="false" ht="15" hidden="true" customHeight="true" outlineLevel="0" collapsed="false"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  <c r="AC41" s="67"/>
      <c r="AD41" s="67" t="str">
        <f aca="false">IF($A21="","",AD21*AC21)</f>
        <v/>
      </c>
    </row>
    <row r="42" customFormat="false" ht="15" hidden="true" customHeight="true" outlineLevel="0" collapsed="false"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  <c r="AC42" s="67"/>
      <c r="AD42" s="67" t="str">
        <f aca="false">IF($A22="","",AD22*AC22)</f>
        <v/>
      </c>
    </row>
    <row r="43" customFormat="false" ht="15" hidden="true" customHeight="true" outlineLevel="0" collapsed="false"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  <c r="AC43" s="67"/>
      <c r="AD43" s="67" t="str">
        <f aca="false">IF($A23="","",AD23*AC23)</f>
        <v/>
      </c>
    </row>
    <row r="44" customFormat="false" ht="15" hidden="true" customHeight="true" outlineLevel="0" collapsed="false"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  <c r="AC44" s="67"/>
      <c r="AD44" s="67" t="str">
        <f aca="false">IF($A24="","",AD24*AC24)</f>
        <v/>
      </c>
    </row>
    <row r="45" customFormat="false" ht="15" hidden="true" customHeight="true" outlineLevel="0" collapsed="false"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  <c r="AC45" s="67"/>
      <c r="AD45" s="67" t="str">
        <f aca="false">IF($A25="","",AD25*AC25)</f>
        <v/>
      </c>
    </row>
    <row r="46" customFormat="false" ht="15" hidden="true" customHeight="true" outlineLevel="0" collapsed="false"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  <c r="AC46" s="67"/>
      <c r="AD46" s="67" t="str">
        <f aca="false">IF($A26="","",AD26*AC26)</f>
        <v/>
      </c>
    </row>
    <row r="47" customFormat="false" ht="15" hidden="true" customHeight="true" outlineLevel="0" collapsed="false"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  <c r="AC47" s="67"/>
      <c r="AD47" s="67" t="str">
        <f aca="false">IF($A27="","",AD27*AC27)</f>
        <v/>
      </c>
    </row>
    <row r="48" customFormat="false" ht="15" hidden="true" customHeight="true" outlineLevel="0" collapsed="false"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  <c r="AC48" s="67"/>
      <c r="AD48" s="67" t="str">
        <f aca="false">IF($A28="","",AD28*AC28)</f>
        <v/>
      </c>
    </row>
    <row r="49" customFormat="false" ht="15" hidden="true" customHeight="true" outlineLevel="0" collapsed="false">
      <c r="H49" s="68" t="n">
        <f aca="false">SUMIF(H31:H48,"&gt;0")</f>
        <v>800</v>
      </c>
      <c r="I49" s="68"/>
      <c r="J49" s="68" t="n">
        <f aca="false">SUMIF(J31:J48,"&gt;0")</f>
        <v>550</v>
      </c>
      <c r="K49" s="68"/>
      <c r="L49" s="68" t="n">
        <f aca="false">SUMIF(L31:L48,"&gt;0")</f>
        <v>1498</v>
      </c>
      <c r="M49" s="68"/>
      <c r="N49" s="68" t="n">
        <f aca="false">SUMIF(N31:N48,"&gt;0")</f>
        <v>461</v>
      </c>
      <c r="O49" s="68"/>
      <c r="P49" s="68" t="n">
        <f aca="false">SUMIF(P31:P48,"&gt;0")</f>
        <v>661</v>
      </c>
      <c r="R49" s="68" t="n">
        <f aca="false">SUMIF(R31:R48,"&gt;0")</f>
        <v>698</v>
      </c>
      <c r="S49" s="68"/>
      <c r="T49" s="68" t="n">
        <f aca="false">SUMIF(T31:T48,"&gt;0")</f>
        <v>141</v>
      </c>
      <c r="V49" s="68" t="n">
        <f aca="false">SUMIF(V31:V48,"&gt;0")</f>
        <v>341</v>
      </c>
      <c r="W49" s="68"/>
      <c r="X49" s="68" t="n">
        <f aca="false">SUMIF(X31:X48,"&gt;0")</f>
        <v>461</v>
      </c>
      <c r="Z49" s="68" t="n">
        <f aca="false">SUMIF(Z31:Z48,"&gt;0")</f>
        <v>366</v>
      </c>
      <c r="AA49" s="68"/>
      <c r="AB49" s="68" t="n">
        <f aca="false">SUMIF(AB31:AB48,"&gt;0")</f>
        <v>0</v>
      </c>
      <c r="AD49" s="68" t="n">
        <f aca="false">SUMIF(AD31:AD48,"&gt;0")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/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/>
    </row>
    <row r="56" customFormat="false" ht="15" hidden="false" customHeight="true" outlineLevel="0" collapsed="false">
      <c r="A56" s="72" t="n">
        <v>3</v>
      </c>
      <c r="B56" s="73" t="s">
        <v>34</v>
      </c>
      <c r="C56" s="74" t="str">
        <f aca="false">IF($D$4="8 cm · 7943B","7943B","7864")</f>
        <v>7864</v>
      </c>
      <c r="D56" s="75" t="s">
        <v>105</v>
      </c>
      <c r="E56" s="77" t="n">
        <v>18.5</v>
      </c>
      <c r="F56" s="77" t="n">
        <v>7</v>
      </c>
      <c r="G56" s="76"/>
      <c r="H56" s="76"/>
      <c r="I56" s="76"/>
      <c r="J56" s="76"/>
      <c r="K56" s="76"/>
      <c r="L56" s="77"/>
    </row>
    <row r="57" customFormat="false" ht="15" hidden="false" customHeight="true" outlineLevel="0" collapsed="false">
      <c r="A57" s="72" t="n">
        <v>4</v>
      </c>
      <c r="B57" s="73" t="s">
        <v>121</v>
      </c>
      <c r="C57" s="74" t="s">
        <v>79</v>
      </c>
      <c r="D57" s="75" t="s">
        <v>112</v>
      </c>
      <c r="E57" s="77" t="n">
        <v>18.5</v>
      </c>
      <c r="F57" s="77" t="n">
        <v>1</v>
      </c>
      <c r="G57" s="76"/>
      <c r="H57" s="76"/>
      <c r="I57" s="76"/>
      <c r="J57" s="76"/>
      <c r="K57" s="76"/>
      <c r="L57" s="77"/>
    </row>
    <row r="58" customFormat="false" ht="15" hidden="false" customHeight="true" outlineLevel="0" collapsed="false">
      <c r="A58" s="72" t="n">
        <v>5</v>
      </c>
      <c r="B58" s="73" t="s">
        <v>122</v>
      </c>
      <c r="C58" s="74" t="s">
        <v>79</v>
      </c>
      <c r="D58" s="75" t="s">
        <v>113</v>
      </c>
      <c r="E58" s="77" t="n">
        <v>18.5</v>
      </c>
      <c r="F58" s="77" t="n">
        <v>1</v>
      </c>
      <c r="G58" s="76"/>
      <c r="H58" s="76"/>
      <c r="I58" s="76"/>
      <c r="J58" s="76"/>
      <c r="K58" s="76"/>
      <c r="L58" s="77"/>
    </row>
    <row r="59" customFormat="false" ht="15" hidden="false" customHeight="true" outlineLevel="0" collapsed="false">
      <c r="A59" s="72" t="n">
        <v>6</v>
      </c>
      <c r="B59" s="73" t="s">
        <v>36</v>
      </c>
      <c r="C59" s="74" t="s">
        <v>17</v>
      </c>
      <c r="D59" s="75" t="s">
        <v>10</v>
      </c>
      <c r="E59" s="77" t="n">
        <f aca="false">IF($D$4="8 cm · 7943B",80,100)</f>
        <v>100</v>
      </c>
      <c r="F59" s="77" t="n">
        <f aca="false">IF($D$4="8 cm · 7943B",80,100)</f>
        <v>100</v>
      </c>
      <c r="G59" s="76"/>
      <c r="H59" s="76"/>
      <c r="I59" s="76"/>
      <c r="J59" s="76"/>
      <c r="K59" s="76"/>
      <c r="L59" s="77"/>
    </row>
    <row r="60" customFormat="false" ht="15" hidden="false" customHeight="true" outlineLevel="0" collapsed="false">
      <c r="A60" s="72" t="n">
        <v>7</v>
      </c>
      <c r="B60" s="73" t="s">
        <v>123</v>
      </c>
      <c r="C60" s="74" t="s">
        <v>79</v>
      </c>
      <c r="D60" s="75" t="s">
        <v>114</v>
      </c>
      <c r="E60" s="77" t="n">
        <f aca="false">IF($D$4="8 cm · 7943B",60,80)</f>
        <v>80</v>
      </c>
      <c r="F60" s="77" t="n">
        <f aca="false">IF($D$4="8 cm · 7943B",60,80)</f>
        <v>80</v>
      </c>
      <c r="G60" s="76"/>
      <c r="H60" s="76"/>
      <c r="I60" s="76"/>
      <c r="J60" s="76"/>
      <c r="K60" s="76"/>
      <c r="L60" s="77"/>
    </row>
    <row r="61" customFormat="false" ht="15" hidden="false" customHeight="true" outlineLevel="0" collapsed="false">
      <c r="A61" s="72" t="n">
        <v>8</v>
      </c>
      <c r="B61" s="73" t="s">
        <v>124</v>
      </c>
      <c r="C61" s="74" t="s">
        <v>79</v>
      </c>
      <c r="D61" s="75" t="s">
        <v>115</v>
      </c>
      <c r="E61" s="77" t="n">
        <f aca="false">IF($D$4="8 cm · 7943B",60,80)</f>
        <v>80</v>
      </c>
      <c r="F61" s="77" t="n">
        <f aca="false">IF($D$4="8 cm · 7943B",60,80)</f>
        <v>80</v>
      </c>
      <c r="G61" s="76"/>
      <c r="H61" s="76"/>
      <c r="I61" s="76"/>
      <c r="J61" s="76"/>
      <c r="K61" s="76"/>
      <c r="L61" s="77"/>
    </row>
    <row r="62" customFormat="false" ht="15" hidden="false" customHeight="true" outlineLevel="0" collapsed="false">
      <c r="A62" s="72" t="n">
        <v>9</v>
      </c>
      <c r="B62" s="73" t="s">
        <v>108</v>
      </c>
      <c r="C62" s="74" t="s">
        <v>107</v>
      </c>
      <c r="D62" s="75" t="s">
        <v>106</v>
      </c>
      <c r="E62" s="76"/>
      <c r="F62" s="76"/>
      <c r="G62" s="76"/>
      <c r="H62" s="76"/>
      <c r="I62" s="76"/>
      <c r="J62" s="76"/>
      <c r="K62" s="76"/>
      <c r="L62" s="77"/>
    </row>
    <row r="63" customFormat="false" ht="15" hidden="false" customHeight="true" outlineLevel="0" collapsed="false">
      <c r="A63" s="72" t="n">
        <v>10</v>
      </c>
      <c r="B63" s="73" t="s">
        <v>125</v>
      </c>
      <c r="C63" s="74" t="s">
        <v>117</v>
      </c>
      <c r="D63" s="75" t="s">
        <v>131</v>
      </c>
      <c r="E63" s="77" t="n">
        <v>8.5</v>
      </c>
      <c r="F63" s="76"/>
      <c r="G63" s="76"/>
      <c r="H63" s="76"/>
      <c r="I63" s="76"/>
      <c r="J63" s="76"/>
      <c r="K63" s="76"/>
      <c r="L63" s="77"/>
    </row>
    <row r="65" customFormat="false" ht="15" hidden="false" customHeight="true" outlineLevel="0" collapsed="false">
      <c r="A65" s="78" t="s">
        <v>128</v>
      </c>
      <c r="F65" s="79"/>
    </row>
    <row r="66" customFormat="false" ht="15" hidden="false" customHeight="true" outlineLevel="0" collapsed="false">
      <c r="A66" s="80" t="s">
        <v>81</v>
      </c>
      <c r="B66" s="81" t="s">
        <v>82</v>
      </c>
      <c r="F66" s="82"/>
    </row>
    <row r="67" customFormat="false" ht="15" hidden="false" customHeight="true" outlineLevel="0" collapsed="false">
      <c r="A67" s="80" t="s">
        <v>83</v>
      </c>
      <c r="B67" s="81" t="s">
        <v>84</v>
      </c>
      <c r="F67" s="82"/>
    </row>
    <row r="68" customFormat="false" ht="15" hidden="false" customHeight="true" outlineLevel="0" collapsed="false">
      <c r="A68" s="80" t="s">
        <v>85</v>
      </c>
      <c r="B68" s="81" t="s">
        <v>86</v>
      </c>
      <c r="F68" s="82"/>
    </row>
    <row r="69" customFormat="false" ht="15" hidden="false" customHeight="true" outlineLevel="0" collapsed="false">
      <c r="A69" s="80" t="s">
        <v>87</v>
      </c>
      <c r="B69" s="81" t="s">
        <v>88</v>
      </c>
      <c r="F69" s="82"/>
    </row>
    <row r="70" customFormat="false" ht="15" hidden="false" customHeight="true" outlineLevel="0" collapsed="false">
      <c r="A70" s="105" t="s">
        <v>129</v>
      </c>
      <c r="B70" s="81" t="s">
        <v>88</v>
      </c>
    </row>
    <row r="72" customFormat="false" ht="15" hidden="false" customHeight="true" outlineLevel="0" collapsed="false">
      <c r="A72" s="84" t="s">
        <v>89</v>
      </c>
    </row>
    <row r="73" customFormat="false" ht="15" hidden="false" customHeight="true" outlineLevel="0" collapsed="false">
      <c r="A73" s="84" t="s">
        <v>67</v>
      </c>
      <c r="B73" s="84" t="s">
        <v>90</v>
      </c>
      <c r="C73" s="84" t="s">
        <v>91</v>
      </c>
      <c r="D73" s="84" t="s">
        <v>60</v>
      </c>
      <c r="E73" s="84" t="s">
        <v>92</v>
      </c>
      <c r="F73" s="84" t="s">
        <v>93</v>
      </c>
    </row>
    <row r="74" customFormat="false" ht="15" hidden="false" customHeight="true" outlineLevel="0" collapsed="false">
      <c r="A74" s="85" t="n">
        <v>1</v>
      </c>
      <c r="B74" s="85" t="s">
        <v>41</v>
      </c>
      <c r="C74" s="81" t="str">
        <f aca="false">AK8</f>
        <v>JR00489</v>
      </c>
      <c r="D74" s="86" t="n">
        <f aca="false">AK30</f>
        <v>8</v>
      </c>
      <c r="E74" s="85" t="s">
        <v>94</v>
      </c>
      <c r="F74" s="85"/>
    </row>
    <row r="75" customFormat="false" ht="15" hidden="false" customHeight="true" outlineLevel="0" collapsed="false">
      <c r="A75" s="85" t="n">
        <v>2</v>
      </c>
      <c r="B75" s="85" t="s">
        <v>42</v>
      </c>
      <c r="C75" s="81" t="str">
        <f aca="false">AL8</f>
        <v>JR00482</v>
      </c>
      <c r="D75" s="86" t="n">
        <f aca="false">AL30</f>
        <v>8</v>
      </c>
      <c r="E75" s="85" t="s">
        <v>94</v>
      </c>
      <c r="F75" s="85"/>
    </row>
    <row r="76" customFormat="false" ht="15" hidden="false" customHeight="true" outlineLevel="0" collapsed="false">
      <c r="A76" s="85" t="n">
        <v>3</v>
      </c>
      <c r="B76" s="85" t="s">
        <v>43</v>
      </c>
      <c r="C76" s="81" t="str">
        <f aca="false">AM8</f>
        <v>JR00557</v>
      </c>
      <c r="D76" s="86" t="n">
        <f aca="false">AM30</f>
        <v>16</v>
      </c>
      <c r="E76" s="85" t="s">
        <v>94</v>
      </c>
      <c r="F76" s="85"/>
    </row>
    <row r="77" customFormat="false" ht="15" hidden="false" customHeight="true" outlineLevel="0" collapsed="false">
      <c r="A77" s="85" t="n">
        <v>4</v>
      </c>
      <c r="B77" s="85" t="s">
        <v>44</v>
      </c>
      <c r="C77" s="81" t="str">
        <f aca="false">AN8</f>
        <v>JR00315</v>
      </c>
      <c r="D77" s="86" t="n">
        <f aca="false">AN30</f>
        <v>2</v>
      </c>
      <c r="E77" s="85" t="s">
        <v>22</v>
      </c>
      <c r="F77" s="85"/>
    </row>
    <row r="78" customFormat="false" ht="15" hidden="false" customHeight="true" outlineLevel="0" collapsed="false">
      <c r="A78" s="85" t="n">
        <v>5</v>
      </c>
      <c r="B78" s="85" t="s">
        <v>45</v>
      </c>
      <c r="C78" s="81" t="str">
        <f aca="false">AO8</f>
        <v>JR00313</v>
      </c>
      <c r="D78" s="86" t="n">
        <f aca="false">AO30</f>
        <v>0</v>
      </c>
      <c r="E78" s="85" t="s">
        <v>22</v>
      </c>
      <c r="F78" s="85"/>
    </row>
    <row r="79" customFormat="false" ht="15" hidden="false" customHeight="true" outlineLevel="0" collapsed="false">
      <c r="A79" s="85" t="n">
        <v>6</v>
      </c>
      <c r="B79" s="85" t="s">
        <v>95</v>
      </c>
      <c r="C79" s="85"/>
      <c r="D79" s="86" t="n">
        <f aca="false">AP30</f>
        <v>0</v>
      </c>
      <c r="E79" s="85" t="s">
        <v>22</v>
      </c>
      <c r="F79" s="85" t="s">
        <v>96</v>
      </c>
    </row>
    <row r="80" customFormat="false" ht="15" hidden="false" customHeight="true" outlineLevel="0" collapsed="false">
      <c r="A80" s="85" t="n">
        <v>7</v>
      </c>
      <c r="B80" s="85" t="s">
        <v>97</v>
      </c>
      <c r="C80" s="85"/>
      <c r="D80" s="86" t="n">
        <f aca="false">AY30</f>
        <v>0</v>
      </c>
      <c r="E80" s="85" t="s">
        <v>22</v>
      </c>
      <c r="F80" s="85" t="s">
        <v>96</v>
      </c>
    </row>
    <row r="81" customFormat="false" ht="15" hidden="false" customHeight="true" outlineLevel="0" collapsed="false">
      <c r="A81" s="85" t="n">
        <v>8</v>
      </c>
      <c r="B81" s="85" t="s">
        <v>47</v>
      </c>
      <c r="C81" s="81" t="str">
        <f aca="false">AQ8</f>
        <v>JR00551</v>
      </c>
      <c r="D81" s="86" t="n">
        <f aca="false">IF(OR($B$69="Digital lock",$B$69="ไม่ใส่"),0,AQ30)</f>
        <v>1</v>
      </c>
      <c r="E81" s="85" t="s">
        <v>94</v>
      </c>
      <c r="F81" s="85"/>
    </row>
    <row r="82" customFormat="false" ht="15" hidden="false" customHeight="true" outlineLevel="0" collapsed="false">
      <c r="A82" s="85" t="n">
        <v>9</v>
      </c>
      <c r="B82" s="85" t="s">
        <v>48</v>
      </c>
      <c r="C82" s="81" t="str">
        <f aca="false">AR8</f>
        <v>JR00499</v>
      </c>
      <c r="D82" s="86" t="n">
        <f aca="false">IF(OR($B$69="Digital lock",$B$69="ไม่ใส่"),0,AR30)</f>
        <v>1</v>
      </c>
      <c r="E82" s="85" t="s">
        <v>94</v>
      </c>
      <c r="F82" s="85" t="s">
        <v>98</v>
      </c>
    </row>
    <row r="83" customFormat="false" ht="15" hidden="false" customHeight="true" outlineLevel="0" collapsed="false">
      <c r="A83" s="85" t="n">
        <v>10</v>
      </c>
      <c r="B83" s="85" t="s">
        <v>54</v>
      </c>
      <c r="C83" s="81" t="str">
        <f aca="false">AX8</f>
        <v>JR00562</v>
      </c>
      <c r="D83" s="86" t="n">
        <f aca="false">IF(OR($B$69="Digital lock",$B$69="ไม่ใส่"),0,AX30)</f>
        <v>1</v>
      </c>
      <c r="E83" s="85" t="s">
        <v>22</v>
      </c>
      <c r="F83" s="85"/>
    </row>
    <row r="84" customFormat="false" ht="15" hidden="false" customHeight="true" outlineLevel="0" collapsed="false">
      <c r="A84" s="85" t="n">
        <v>11</v>
      </c>
      <c r="B84" s="85" t="s">
        <v>99</v>
      </c>
      <c r="C84" s="81" t="str">
        <f aca="false">AS8</f>
        <v>JR00596</v>
      </c>
      <c r="D84" s="86" t="n">
        <f aca="false">AS30</f>
        <v>1</v>
      </c>
      <c r="E84" s="85" t="s">
        <v>94</v>
      </c>
      <c r="F84" s="85"/>
    </row>
    <row r="85" customFormat="false" ht="15" hidden="false" customHeight="true" outlineLevel="0" collapsed="false">
      <c r="A85" s="85" t="n">
        <v>12</v>
      </c>
      <c r="B85" s="85" t="s">
        <v>50</v>
      </c>
      <c r="C85" s="81" t="str">
        <f aca="false">AT8</f>
        <v>JR00598</v>
      </c>
      <c r="D85" s="86" t="n">
        <f aca="false">AT30</f>
        <v>1</v>
      </c>
      <c r="E85" s="85" t="s">
        <v>94</v>
      </c>
      <c r="F85" s="85"/>
    </row>
    <row r="86" customFormat="false" ht="15" hidden="false" customHeight="true" outlineLevel="0" collapsed="false">
      <c r="A86" s="85" t="n">
        <v>13</v>
      </c>
      <c r="B86" s="85" t="s">
        <v>100</v>
      </c>
      <c r="C86" s="81" t="str">
        <f aca="false">AU8</f>
        <v>JR00864</v>
      </c>
      <c r="D86" s="86" t="n">
        <f aca="false">AU30</f>
        <v>6</v>
      </c>
      <c r="E86" s="85" t="s">
        <v>94</v>
      </c>
      <c r="F86" s="85"/>
    </row>
    <row r="87" customFormat="false" ht="15" hidden="false" customHeight="true" outlineLevel="0" collapsed="false">
      <c r="A87" s="85" t="n">
        <v>14</v>
      </c>
      <c r="B87" s="85" t="s">
        <v>52</v>
      </c>
      <c r="C87" s="81" t="str">
        <f aca="false">AV8</f>
        <v>JR00771</v>
      </c>
      <c r="D87" s="86" t="n">
        <f aca="false">AV30</f>
        <v>2.8</v>
      </c>
      <c r="E87" s="85" t="s">
        <v>101</v>
      </c>
      <c r="F87" s="85"/>
    </row>
    <row r="88" customFormat="false" ht="15" hidden="false" customHeight="true" outlineLevel="0" collapsed="false">
      <c r="A88" s="85" t="n">
        <v>15</v>
      </c>
      <c r="B88" s="85" t="s">
        <v>53</v>
      </c>
      <c r="C88" s="81" t="str">
        <f aca="false">AW8</f>
        <v>JR00771</v>
      </c>
      <c r="D88" s="86" t="n">
        <f aca="false">AW30</f>
        <v>1.4</v>
      </c>
      <c r="E88" s="85" t="s">
        <v>101</v>
      </c>
      <c r="F88" s="85"/>
    </row>
    <row r="89" customFormat="false" ht="15" hidden="false" customHeight="false" outlineLevel="0" collapsed="false">
      <c r="A89" s="85" t="n">
        <v>16</v>
      </c>
      <c r="B89" s="85" t="s">
        <v>102</v>
      </c>
      <c r="C89" s="81"/>
      <c r="D89" s="86" t="n">
        <f aca="false">IF($B$69="Digital lock",1,0)</f>
        <v>0</v>
      </c>
      <c r="E89" s="85" t="s">
        <v>22</v>
      </c>
      <c r="F89" s="85" t="s">
        <v>103</v>
      </c>
    </row>
  </sheetData>
  <mergeCells count="52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F7"/>
    <mergeCell ref="G7:J7"/>
    <mergeCell ref="K7:P7"/>
    <mergeCell ref="Q7:V7"/>
    <mergeCell ref="W7:X7"/>
    <mergeCell ref="Y7:Z7"/>
    <mergeCell ref="AA7:AD7"/>
    <mergeCell ref="A8:A9"/>
    <mergeCell ref="B8:C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F30"/>
    <mergeCell ref="G30:I30"/>
    <mergeCell ref="K30:O30"/>
    <mergeCell ref="Q30:U30"/>
    <mergeCell ref="AA30:AC30"/>
  </mergeCells>
  <dataValidations count="6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6" type="list">
      <formula1>"ขาว,ดำ"</formula1>
      <formula2>0</formula2>
    </dataValidation>
    <dataValidation allowBlank="true" errorStyle="stop" operator="between" showDropDown="false" showErrorMessage="false" showInputMessage="false" sqref="B67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8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69" type="list">
      <formula1>"คิงโบ ล็อค+กุญแจ,คิงโบ ดัมมี่+ดัมมี่,Cmech ล็อค+กุญแจ,Cmech ดัมมี่+ดัมมี่,ไม่ใส่,Digital lock"</formula1>
      <formula2>0</formula2>
    </dataValidation>
    <dataValidation allowBlank="true" errorStyle="stop" operator="between" showDropDown="false" showErrorMessage="false" showInputMessage="false" sqref="B70" type="list">
      <formula1>"คิงโบ ล็อค+กุญแจ,คิงโบ ดัมมี่+ดัมมี่,Cmech ล็อค+กุญแจ,Cmech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8" min="7" style="1" width="12.7"/>
    <col collapsed="false" customWidth="true" hidden="false" outlineLevel="0" max="9" min="9" style="1" width="6.7"/>
    <col collapsed="false" customWidth="true" hidden="false" outlineLevel="0" max="10" min="10" style="1" width="12.7"/>
    <col collapsed="false" customWidth="true" hidden="false" outlineLevel="0" max="11" min="11" style="1" width="6.7"/>
    <col collapsed="false" customWidth="true" hidden="false" outlineLevel="0" max="12" min="12" style="1" width="12.7"/>
    <col collapsed="false" customWidth="true" hidden="false" outlineLevel="0" max="13" min="13" style="1" width="6.7"/>
    <col collapsed="false" customWidth="true" hidden="false" outlineLevel="0" max="14" min="14" style="1" width="12.7"/>
    <col collapsed="false" customWidth="true" hidden="false" outlineLevel="0" max="15" min="15" style="1" width="6.7"/>
    <col collapsed="false" customWidth="true" hidden="false" outlineLevel="0" max="16" min="16" style="1" width="12.7"/>
    <col collapsed="false" customWidth="true" hidden="false" outlineLevel="0" max="17" min="17" style="1" width="6.7"/>
    <col collapsed="false" customWidth="true" hidden="false" outlineLevel="0" max="18" min="18" style="1" width="12.7"/>
    <col collapsed="false" customWidth="true" hidden="false" outlineLevel="0" max="19" min="19" style="1" width="6.7"/>
    <col collapsed="false" customWidth="true" hidden="false" outlineLevel="0" max="20" min="20" style="1" width="12.7"/>
    <col collapsed="false" customWidth="true" hidden="false" outlineLevel="0" max="21" min="21" style="1" width="6.7"/>
    <col collapsed="false" customWidth="true" hidden="false" outlineLevel="0" max="22" min="22" style="1" width="12.7"/>
    <col collapsed="false" customWidth="true" hidden="false" outlineLevel="0" max="23" min="23" style="1" width="6.7"/>
    <col collapsed="false" customWidth="true" hidden="false" outlineLevel="0" max="24" min="24" style="1" width="12.7"/>
    <col collapsed="false" customWidth="true" hidden="false" outlineLevel="0" max="25" min="25" style="1" width="6.7"/>
    <col collapsed="false" customWidth="true" hidden="false" outlineLevel="0" max="26" min="26" style="1" width="12.7"/>
    <col collapsed="false" customWidth="true" hidden="false" outlineLevel="0" max="27" min="27" style="1" width="6.7"/>
    <col collapsed="false" customWidth="true" hidden="false" outlineLevel="0" max="28" min="28" style="1" width="12.7"/>
    <col collapsed="false" customWidth="true" hidden="false" outlineLevel="0" max="29" min="29" style="1" width="6.7"/>
    <col collapsed="false" customWidth="true" hidden="false" outlineLevel="0" max="30" min="30" style="1" width="12.7"/>
    <col collapsed="false" customWidth="true" hidden="false" outlineLevel="0" max="31" min="31" style="1" width="6.7"/>
    <col collapsed="false" customWidth="true" hidden="false" outlineLevel="0" max="32" min="32" style="1" width="12.7"/>
    <col collapsed="false" customWidth="true" hidden="false" outlineLevel="0" max="33" min="33" style="1" width="6.7"/>
    <col collapsed="false" customWidth="true" hidden="false" outlineLevel="0" max="34" min="34" style="1" width="12.7"/>
    <col collapsed="false" customWidth="true" hidden="false" outlineLevel="0" max="35" min="35" style="1" width="6.7"/>
    <col collapsed="false" customWidth="true" hidden="false" outlineLevel="0" max="36" min="36" style="1" width="12.7"/>
    <col collapsed="false" customWidth="true" hidden="false" outlineLevel="0" max="37" min="37" style="1" width="6.7"/>
    <col collapsed="false" customWidth="true" hidden="false" outlineLevel="0" max="38" min="38" style="1" width="12.7"/>
    <col collapsed="false" customWidth="true" hidden="false" outlineLevel="0" max="39" min="39" style="1" width="6.7"/>
    <col collapsed="false" customWidth="true" hidden="false" outlineLevel="0" max="40" min="40" style="1" width="12.7"/>
    <col collapsed="false" customWidth="true" hidden="false" outlineLevel="0" max="41" min="41" style="1" width="6.7"/>
    <col collapsed="false" customWidth="true" hidden="false" outlineLevel="0" max="42" min="42" style="1" width="12.7"/>
    <col collapsed="false" customWidth="true" hidden="false" outlineLevel="0" max="43" min="43" style="1" width="6.7"/>
    <col collapsed="false" customWidth="true" hidden="false" outlineLevel="0" max="44" min="44" style="1" width="12.7"/>
    <col collapsed="false" customWidth="true" hidden="false" outlineLevel="0" max="45" min="45" style="1" width="6.7"/>
    <col collapsed="false" customWidth="true" hidden="false" outlineLevel="0" max="47" min="46" style="1" width="10.71"/>
    <col collapsed="false" customWidth="true" hidden="false" outlineLevel="0" max="50" min="49" style="1" width="10.71"/>
    <col collapsed="false" customWidth="true" hidden="false" outlineLevel="0" max="52" min="52" style="1" width="10.71"/>
    <col collapsed="false" customWidth="true" hidden="true" outlineLevel="0" max="53" min="53" style="1" width="10.71"/>
    <col collapsed="false" customWidth="false" hidden="true" outlineLevel="0" max="54" min="54" style="1" width="8.7"/>
    <col collapsed="false" customWidth="true" hidden="true" outlineLevel="0" max="55" min="55" style="1" width="8.9"/>
    <col collapsed="false" customWidth="true" hidden="true" outlineLevel="0" max="56" min="56" style="1" width="13"/>
  </cols>
  <sheetData>
    <row r="1" customFormat="false" ht="39.75" hidden="false" customHeight="true" outlineLevel="0" collapsed="false">
      <c r="A1" s="3" t="s">
        <v>134</v>
      </c>
      <c r="B1" s="4"/>
      <c r="G1" s="5"/>
      <c r="H1" s="6"/>
      <c r="I1" s="5"/>
      <c r="J1" s="8"/>
      <c r="K1" s="8"/>
      <c r="L1" s="7"/>
      <c r="M1" s="7"/>
      <c r="N1" s="8"/>
      <c r="O1" s="8"/>
      <c r="P1" s="8"/>
      <c r="Q1" s="8"/>
      <c r="R1" s="8"/>
      <c r="S1" s="8"/>
      <c r="T1" s="8"/>
      <c r="U1" s="8"/>
      <c r="V1" s="5"/>
      <c r="W1" s="5"/>
      <c r="X1" s="7"/>
      <c r="Y1" s="7"/>
      <c r="Z1" s="8"/>
      <c r="AA1" s="8"/>
      <c r="AB1" s="8"/>
      <c r="AC1" s="8"/>
      <c r="AD1" s="5"/>
      <c r="AE1" s="9"/>
      <c r="AF1" s="8"/>
      <c r="AG1" s="8"/>
      <c r="AH1" s="8"/>
      <c r="AI1" s="8"/>
      <c r="AJ1" s="8"/>
      <c r="AK1" s="8"/>
      <c r="AL1" s="5"/>
      <c r="AM1" s="5"/>
      <c r="AN1" s="5"/>
      <c r="AO1" s="5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 t="n">
        <f aca="false">COUNTIF($B$78:$B$79,"คิงโบ ล็อค+กุญแจ")</f>
        <v>2</v>
      </c>
      <c r="BD1" s="8"/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7"/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7"/>
      <c r="W2" s="7"/>
      <c r="X2" s="7"/>
      <c r="Y2" s="7"/>
      <c r="Z2" s="11"/>
      <c r="AA2" s="11"/>
      <c r="AB2" s="11"/>
      <c r="AC2" s="11"/>
      <c r="AD2" s="7"/>
      <c r="AE2" s="7"/>
      <c r="AF2" s="11"/>
      <c r="AG2" s="11"/>
      <c r="AH2" s="11"/>
      <c r="AI2" s="11"/>
      <c r="AJ2" s="11"/>
      <c r="AK2" s="11"/>
      <c r="AL2" s="7"/>
      <c r="AM2" s="7"/>
      <c r="AN2" s="7"/>
      <c r="AO2" s="7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 t="n">
        <f aca="false">COUNTIF($B$78:$B$79,"คิงโบ ดัมมี่+ดัมมี่")</f>
        <v>0</v>
      </c>
      <c r="BD2" s="11"/>
    </row>
    <row r="3" customFormat="false" ht="39.75" hidden="false" customHeight="true" outlineLevel="0" collapsed="false">
      <c r="A3" s="7"/>
      <c r="B3" s="7"/>
      <c r="C3" s="7"/>
      <c r="D3" s="7"/>
      <c r="E3" s="7"/>
      <c r="F3" s="7"/>
      <c r="G3" s="7"/>
      <c r="H3" s="10"/>
      <c r="I3" s="7"/>
      <c r="J3" s="12"/>
      <c r="K3" s="12"/>
      <c r="N3" s="12"/>
      <c r="O3" s="12"/>
      <c r="P3" s="12"/>
      <c r="Q3" s="12"/>
      <c r="R3" s="12"/>
      <c r="S3" s="12"/>
      <c r="T3" s="12"/>
      <c r="U3" s="12"/>
      <c r="V3" s="7"/>
      <c r="W3" s="7"/>
      <c r="X3" s="7"/>
      <c r="Y3" s="7"/>
      <c r="Z3" s="12"/>
      <c r="AA3" s="12"/>
      <c r="AB3" s="12"/>
      <c r="AC3" s="12"/>
      <c r="AD3" s="7"/>
      <c r="AE3" s="7"/>
      <c r="AF3" s="12"/>
      <c r="AG3" s="12"/>
      <c r="AH3" s="12"/>
      <c r="AI3" s="12"/>
      <c r="AJ3" s="12"/>
      <c r="AK3" s="12"/>
      <c r="AL3" s="7"/>
      <c r="AM3" s="7"/>
      <c r="AN3" s="7"/>
      <c r="AO3" s="7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 t="n">
        <f aca="false">COUNTIF($B$78:$B$79,"Cmech ล็อค+กุญแจ")</f>
        <v>0</v>
      </c>
      <c r="BD3" s="12"/>
    </row>
    <row r="4" customFormat="false" ht="39.75" hidden="false" customHeight="true" outlineLevel="0" collapsed="false">
      <c r="A4" s="7"/>
      <c r="B4" s="7"/>
      <c r="C4" s="7"/>
      <c r="D4" s="7"/>
      <c r="E4" s="7"/>
      <c r="F4" s="7"/>
      <c r="G4" s="7"/>
      <c r="I4" s="7"/>
      <c r="V4" s="7"/>
      <c r="W4" s="7"/>
      <c r="X4" s="7"/>
      <c r="Y4" s="7"/>
      <c r="AD4" s="7"/>
      <c r="AE4" s="7"/>
      <c r="AL4" s="7"/>
      <c r="AM4" s="7"/>
      <c r="AN4" s="7"/>
      <c r="AO4" s="7"/>
      <c r="BC4" s="1" t="n">
        <f aca="false">COUNTIF($B$78:$B$79,"Cmech ดัมมี่+ดัมมี่")</f>
        <v>0</v>
      </c>
    </row>
    <row r="5" customFormat="false" ht="39.75" hidden="false" customHeight="true" outlineLevel="0" collapsed="false">
      <c r="A5" s="7"/>
      <c r="B5" s="7"/>
      <c r="C5" s="7"/>
      <c r="D5" s="7"/>
      <c r="E5" s="7"/>
      <c r="F5" s="7"/>
      <c r="G5" s="7"/>
      <c r="H5" s="10"/>
      <c r="I5" s="7"/>
      <c r="V5" s="7"/>
      <c r="W5" s="7"/>
      <c r="Y5" s="7"/>
      <c r="AD5" s="7"/>
      <c r="AE5" s="7"/>
      <c r="AL5" s="7"/>
      <c r="AM5" s="7"/>
      <c r="AN5" s="7"/>
      <c r="AO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6"/>
      <c r="H6" s="17" t="s">
        <v>6</v>
      </c>
      <c r="I6" s="17"/>
      <c r="J6" s="17" t="s">
        <v>6</v>
      </c>
      <c r="K6" s="17"/>
      <c r="L6" s="17" t="s">
        <v>135</v>
      </c>
      <c r="M6" s="17"/>
      <c r="N6" s="17" t="s">
        <v>135</v>
      </c>
      <c r="O6" s="17"/>
      <c r="P6" s="17" t="s">
        <v>136</v>
      </c>
      <c r="Q6" s="17"/>
      <c r="R6" s="17" t="s">
        <v>6</v>
      </c>
      <c r="S6" s="17"/>
      <c r="T6" s="17" t="s">
        <v>136</v>
      </c>
      <c r="U6" s="17"/>
      <c r="V6" s="17" t="s">
        <v>8</v>
      </c>
      <c r="W6" s="17"/>
      <c r="X6" s="17" t="s">
        <v>137</v>
      </c>
      <c r="Y6" s="17"/>
      <c r="Z6" s="17" t="s">
        <v>138</v>
      </c>
      <c r="AA6" s="17"/>
      <c r="AB6" s="17" t="s">
        <v>10</v>
      </c>
      <c r="AC6" s="17"/>
      <c r="AD6" s="17" t="s">
        <v>114</v>
      </c>
      <c r="AE6" s="17"/>
      <c r="AF6" s="17" t="s">
        <v>115</v>
      </c>
      <c r="AH6" s="17" t="s">
        <v>136</v>
      </c>
      <c r="AJ6" s="17" t="s">
        <v>139</v>
      </c>
      <c r="AL6" s="17" t="s">
        <v>135</v>
      </c>
      <c r="AN6" s="17" t="s">
        <v>136</v>
      </c>
      <c r="AP6" s="17" t="s">
        <v>116</v>
      </c>
      <c r="AR6" s="17" t="s">
        <v>136</v>
      </c>
      <c r="AT6" s="18"/>
      <c r="AU6" s="18"/>
      <c r="AV6" s="18"/>
      <c r="AW6" s="18"/>
      <c r="AX6" s="18"/>
      <c r="AY6" s="18"/>
      <c r="AZ6" s="18"/>
      <c r="BA6" s="18"/>
      <c r="BB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19"/>
      <c r="H7" s="106" t="s">
        <v>140</v>
      </c>
      <c r="I7" s="106"/>
      <c r="J7" s="20" t="s">
        <v>141</v>
      </c>
      <c r="K7" s="20"/>
      <c r="L7" s="20" t="s">
        <v>14</v>
      </c>
      <c r="M7" s="20"/>
      <c r="N7" s="20" t="s">
        <v>15</v>
      </c>
      <c r="O7" s="20"/>
      <c r="P7" s="20"/>
      <c r="Q7" s="20"/>
      <c r="R7" s="22" t="s">
        <v>142</v>
      </c>
      <c r="S7" s="22"/>
      <c r="T7" s="22"/>
      <c r="U7" s="22"/>
      <c r="V7" s="20" t="s">
        <v>16</v>
      </c>
      <c r="W7" s="20"/>
      <c r="X7" s="20"/>
      <c r="Y7" s="20"/>
      <c r="Z7" s="20"/>
      <c r="AA7" s="20"/>
      <c r="AB7" s="20" t="s">
        <v>17</v>
      </c>
      <c r="AL7" s="20" t="s">
        <v>18</v>
      </c>
      <c r="AP7" s="20" t="s">
        <v>117</v>
      </c>
      <c r="AR7" s="20" t="s">
        <v>143</v>
      </c>
      <c r="AT7" s="24"/>
      <c r="AU7" s="25"/>
      <c r="AV7" s="107" t="s">
        <v>23</v>
      </c>
      <c r="AW7" s="107"/>
      <c r="AX7" s="25"/>
      <c r="AY7" s="26"/>
      <c r="AZ7" s="107"/>
      <c r="BA7" s="25" t="s">
        <v>144</v>
      </c>
      <c r="BB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6"/>
      <c r="E8" s="96"/>
      <c r="F8" s="96"/>
      <c r="G8" s="27" t="s">
        <v>118</v>
      </c>
      <c r="H8" s="29"/>
      <c r="I8" s="29"/>
      <c r="J8" s="31"/>
      <c r="K8" s="31"/>
      <c r="L8" s="31"/>
      <c r="M8" s="31"/>
      <c r="N8" s="29"/>
      <c r="O8" s="29"/>
      <c r="P8" s="30"/>
      <c r="Q8" s="30"/>
      <c r="R8" s="29"/>
      <c r="S8" s="29"/>
      <c r="T8" s="30"/>
      <c r="U8" s="30"/>
      <c r="V8" s="29"/>
      <c r="W8" s="29"/>
      <c r="X8" s="97"/>
      <c r="Y8" s="97"/>
      <c r="Z8" s="30"/>
      <c r="AA8" s="30"/>
      <c r="AB8" s="29"/>
      <c r="AC8" s="29"/>
      <c r="AD8" s="97"/>
      <c r="AE8" s="97"/>
      <c r="AF8" s="97"/>
      <c r="AH8" s="97"/>
      <c r="AJ8" s="30"/>
      <c r="AK8" s="1" t="str">
        <f aca="false">IF($B$75="ดำ","JR00488","JR00489")</f>
        <v>JR00489</v>
      </c>
      <c r="AL8" s="29" t="s">
        <v>24</v>
      </c>
      <c r="AM8" s="1" t="s">
        <v>25</v>
      </c>
      <c r="AN8" s="30" t="str">
        <f aca="false">IF($B$75="ดำ","JR00314","JR00315")</f>
        <v>JR00315</v>
      </c>
      <c r="AO8" s="1" t="str">
        <f aca="false">IF($B$75="ดำ","JR00312","JR00313")</f>
        <v>JR00313</v>
      </c>
      <c r="AP8" s="31"/>
      <c r="AQ8" s="1" t="str">
        <f aca="false">IF($B$76="มัลติพ้อยล็อค","JR00553","JR00551")</f>
        <v>JR00551</v>
      </c>
      <c r="AR8" s="31" t="str">
        <f aca="false">IF($B$77="เปิดเข้า","JR00498","JR00499")</f>
        <v>JR00499</v>
      </c>
      <c r="AS8" s="1" t="s">
        <v>26</v>
      </c>
      <c r="AT8" s="32" t="s">
        <v>27</v>
      </c>
      <c r="AU8" s="33" t="s">
        <v>28</v>
      </c>
      <c r="AV8" s="34" t="s">
        <v>29</v>
      </c>
      <c r="AW8" s="32" t="s">
        <v>29</v>
      </c>
      <c r="AX8" s="33" t="s">
        <v>30</v>
      </c>
      <c r="AY8" s="34"/>
      <c r="AZ8" s="32"/>
      <c r="BA8" s="33" t="s">
        <v>145</v>
      </c>
      <c r="BB8" s="34"/>
    </row>
    <row r="9" customFormat="false" ht="39.75" hidden="false" customHeight="true" outlineLevel="0" collapsed="false">
      <c r="A9" s="27"/>
      <c r="B9" s="28"/>
      <c r="C9" s="28"/>
      <c r="D9" s="98"/>
      <c r="E9" s="98"/>
      <c r="F9" s="98"/>
      <c r="G9" s="27"/>
      <c r="H9" s="35" t="s">
        <v>146</v>
      </c>
      <c r="I9" s="35"/>
      <c r="J9" s="35" t="s">
        <v>147</v>
      </c>
      <c r="K9" s="35"/>
      <c r="L9" s="35" t="s">
        <v>148</v>
      </c>
      <c r="M9" s="35"/>
      <c r="N9" s="35" t="s">
        <v>149</v>
      </c>
      <c r="O9" s="35"/>
      <c r="P9" s="35" t="s">
        <v>150</v>
      </c>
      <c r="Q9" s="35"/>
      <c r="R9" s="35" t="s">
        <v>151</v>
      </c>
      <c r="S9" s="35"/>
      <c r="T9" s="35" t="s">
        <v>152</v>
      </c>
      <c r="U9" s="35"/>
      <c r="V9" s="35" t="s">
        <v>34</v>
      </c>
      <c r="W9" s="35"/>
      <c r="X9" s="35" t="s">
        <v>121</v>
      </c>
      <c r="Y9" s="35"/>
      <c r="Z9" s="35" t="s">
        <v>122</v>
      </c>
      <c r="AA9" s="35"/>
      <c r="AB9" s="35" t="s">
        <v>36</v>
      </c>
      <c r="AC9" s="35"/>
      <c r="AD9" s="35" t="s">
        <v>123</v>
      </c>
      <c r="AE9" s="35"/>
      <c r="AF9" s="35" t="s">
        <v>124</v>
      </c>
      <c r="AH9" s="35" t="s">
        <v>153</v>
      </c>
      <c r="AJ9" s="35" t="s">
        <v>154</v>
      </c>
      <c r="AK9" s="40" t="s">
        <v>41</v>
      </c>
      <c r="AL9" s="35" t="s">
        <v>42</v>
      </c>
      <c r="AM9" s="40" t="s">
        <v>43</v>
      </c>
      <c r="AN9" s="35" t="s">
        <v>44</v>
      </c>
      <c r="AO9" s="40" t="s">
        <v>45</v>
      </c>
      <c r="AP9" s="35" t="s">
        <v>46</v>
      </c>
      <c r="AQ9" s="40" t="s">
        <v>47</v>
      </c>
      <c r="AR9" s="35" t="s">
        <v>48</v>
      </c>
      <c r="AS9" s="1" t="s">
        <v>49</v>
      </c>
      <c r="AT9" s="37" t="s">
        <v>50</v>
      </c>
      <c r="AU9" s="38" t="s">
        <v>51</v>
      </c>
      <c r="AV9" s="39" t="s">
        <v>52</v>
      </c>
      <c r="AW9" s="37" t="s">
        <v>53</v>
      </c>
      <c r="AX9" s="38" t="s">
        <v>54</v>
      </c>
      <c r="AY9" s="39"/>
      <c r="AZ9" s="37" t="s">
        <v>155</v>
      </c>
      <c r="BA9" s="38" t="s">
        <v>156</v>
      </c>
      <c r="BB9" s="39"/>
      <c r="BD9" s="108" t="s">
        <v>55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109" t="s">
        <v>57</v>
      </c>
      <c r="D10" s="109" t="s">
        <v>119</v>
      </c>
      <c r="E10" s="109" t="s">
        <v>120</v>
      </c>
      <c r="F10" s="110" t="s">
        <v>145</v>
      </c>
      <c r="G10" s="44" t="s">
        <v>58</v>
      </c>
      <c r="H10" s="46" t="s">
        <v>59</v>
      </c>
      <c r="I10" s="47" t="s">
        <v>60</v>
      </c>
      <c r="J10" s="46" t="s">
        <v>59</v>
      </c>
      <c r="K10" s="48" t="s">
        <v>60</v>
      </c>
      <c r="L10" s="46" t="s">
        <v>59</v>
      </c>
      <c r="M10" s="47" t="s">
        <v>60</v>
      </c>
      <c r="N10" s="46" t="s">
        <v>59</v>
      </c>
      <c r="O10" s="48" t="s">
        <v>60</v>
      </c>
      <c r="P10" s="46" t="s">
        <v>59</v>
      </c>
      <c r="Q10" s="48" t="s">
        <v>60</v>
      </c>
      <c r="R10" s="46" t="s">
        <v>59</v>
      </c>
      <c r="S10" s="48" t="s">
        <v>60</v>
      </c>
      <c r="T10" s="46" t="s">
        <v>59</v>
      </c>
      <c r="U10" s="48" t="s">
        <v>60</v>
      </c>
      <c r="V10" s="46" t="s">
        <v>59</v>
      </c>
      <c r="W10" s="48" t="s">
        <v>60</v>
      </c>
      <c r="X10" s="46" t="s">
        <v>59</v>
      </c>
      <c r="Y10" s="48" t="s">
        <v>60</v>
      </c>
      <c r="Z10" s="46" t="s">
        <v>59</v>
      </c>
      <c r="AA10" s="48" t="s">
        <v>60</v>
      </c>
      <c r="AB10" s="46" t="s">
        <v>59</v>
      </c>
      <c r="AC10" s="48" t="s">
        <v>60</v>
      </c>
      <c r="AD10" s="46" t="s">
        <v>59</v>
      </c>
      <c r="AE10" s="48" t="s">
        <v>60</v>
      </c>
      <c r="AF10" s="46" t="s">
        <v>59</v>
      </c>
      <c r="AG10" s="48" t="s">
        <v>60</v>
      </c>
      <c r="AH10" s="46" t="s">
        <v>59</v>
      </c>
      <c r="AI10" s="48" t="s">
        <v>60</v>
      </c>
      <c r="AJ10" s="46" t="s">
        <v>59</v>
      </c>
      <c r="AK10" s="48" t="s">
        <v>60</v>
      </c>
      <c r="AL10" s="46" t="s">
        <v>60</v>
      </c>
      <c r="AM10" s="47" t="s">
        <v>60</v>
      </c>
      <c r="AN10" s="46" t="s">
        <v>60</v>
      </c>
      <c r="AO10" s="47" t="s">
        <v>60</v>
      </c>
      <c r="AP10" s="46" t="s">
        <v>60</v>
      </c>
      <c r="AQ10" s="47" t="s">
        <v>60</v>
      </c>
      <c r="AR10" s="46" t="s">
        <v>60</v>
      </c>
      <c r="AS10" s="48" t="s">
        <v>60</v>
      </c>
      <c r="AT10" s="49" t="s">
        <v>60</v>
      </c>
      <c r="AU10" s="50" t="s">
        <v>60</v>
      </c>
      <c r="AV10" s="51" t="s">
        <v>60</v>
      </c>
      <c r="AW10" s="49" t="s">
        <v>60</v>
      </c>
      <c r="AX10" s="50" t="s">
        <v>60</v>
      </c>
      <c r="AY10" s="51" t="s">
        <v>60</v>
      </c>
      <c r="AZ10" s="49" t="s">
        <v>61</v>
      </c>
      <c r="BA10" s="50" t="s">
        <v>62</v>
      </c>
      <c r="BB10" s="51" t="s">
        <v>60</v>
      </c>
    </row>
    <row r="11" customFormat="false" ht="39.75" hidden="false" customHeight="true" outlineLevel="0" collapsed="false">
      <c r="A11" s="111" t="s">
        <v>63</v>
      </c>
      <c r="B11" s="112" t="n">
        <v>400</v>
      </c>
      <c r="C11" s="112" t="n">
        <v>700</v>
      </c>
      <c r="D11" s="112" t="n">
        <v>260</v>
      </c>
      <c r="E11" s="112" t="n">
        <v>240</v>
      </c>
      <c r="F11" s="113" t="n">
        <f aca="false">IF($A11="","",(($C11-$D11-$E11)/2))</f>
        <v>100</v>
      </c>
      <c r="G11" s="114" t="n">
        <v>1</v>
      </c>
      <c r="H11" s="115" t="n">
        <f aca="false">IF($A11="","",$B11)</f>
        <v>400</v>
      </c>
      <c r="I11" s="114" t="n">
        <f aca="false">IF($A11="","",2*$G11)</f>
        <v>2</v>
      </c>
      <c r="J11" s="115" t="n">
        <f aca="false">IF($A11="","",$H11)</f>
        <v>400</v>
      </c>
      <c r="K11" s="114" t="n">
        <f aca="false">IF($A11="","",2*$G11)</f>
        <v>2</v>
      </c>
      <c r="L11" s="115" t="n">
        <f aca="false">IF($A11="","",$C11-$F11-$F11-$E$56-$F$56)</f>
        <v>430</v>
      </c>
      <c r="M11" s="114" t="n">
        <f aca="false">IF($A11="","",1*$G11)</f>
        <v>1</v>
      </c>
      <c r="N11" s="115" t="n">
        <f aca="false">IF($A11="","",$L11)</f>
        <v>430</v>
      </c>
      <c r="O11" s="114" t="n">
        <f aca="false">IF($A11="","",1*$G11)</f>
        <v>1</v>
      </c>
      <c r="P11" s="115" t="n">
        <f aca="false">IF($A11="","",$F11-$E$58)</f>
        <v>75</v>
      </c>
      <c r="Q11" s="114" t="n">
        <f aca="false">IF($A11="","",2*$G11)</f>
        <v>2</v>
      </c>
      <c r="R11" s="115" t="n">
        <f aca="false">IF($A11="","",$H11)</f>
        <v>400</v>
      </c>
      <c r="S11" s="114" t="n">
        <f aca="false">IF($A11="","",2*$G11)</f>
        <v>2</v>
      </c>
      <c r="T11" s="115" t="n">
        <f aca="false">IF($A11="","",$P11)</f>
        <v>75</v>
      </c>
      <c r="U11" s="114" t="n">
        <f aca="false">IF($A11="","",2*$G11)</f>
        <v>2</v>
      </c>
      <c r="V11" s="115" t="n">
        <f aca="false">IF($A11="","",$B11-$E$61-$F$61)</f>
        <v>363</v>
      </c>
      <c r="W11" s="114" t="n">
        <f aca="false">IF($A11="","",4*$G11)</f>
        <v>4</v>
      </c>
      <c r="X11" s="115" t="n">
        <f aca="false">IF($A11="","",$D11-$E$62-$F$62)</f>
        <v>230.5</v>
      </c>
      <c r="Y11" s="114" t="n">
        <f aca="false">IF($A11="","",2*$G11)</f>
        <v>2</v>
      </c>
      <c r="Z11" s="115" t="n">
        <f aca="false">IF($A11="","",$E11-$E$63-$F$63)</f>
        <v>210.5</v>
      </c>
      <c r="AA11" s="114" t="n">
        <f aca="false">IF($A11="","",2*$G11)</f>
        <v>2</v>
      </c>
      <c r="AB11" s="115" t="n">
        <f aca="false">IF($A11="","",$V11-$E$64-$F$64)</f>
        <v>163</v>
      </c>
      <c r="AC11" s="114" t="n">
        <f aca="false">IF($A11="","",4*$G11)</f>
        <v>4</v>
      </c>
      <c r="AD11" s="115" t="n">
        <f aca="false">IF($A11="","",$X11-$E$65-$F$65)</f>
        <v>70.5</v>
      </c>
      <c r="AE11" s="114" t="n">
        <f aca="false">IF($A11="","",2*$G11)</f>
        <v>2</v>
      </c>
      <c r="AF11" s="115" t="n">
        <f aca="false">IF($A11="","",$Z11-$E$66-$F$66)</f>
        <v>50.5</v>
      </c>
      <c r="AG11" s="114" t="n">
        <f aca="false">IF($A11="","",2*$G11)</f>
        <v>2</v>
      </c>
      <c r="AH11" s="115" t="n">
        <f aca="false">IF($A11="","",$F11-$E$67)</f>
        <v>75</v>
      </c>
      <c r="AI11" s="114" t="n">
        <f aca="false">IF($A11="","",2*$G11)</f>
        <v>2</v>
      </c>
      <c r="AJ11" s="115" t="n">
        <f aca="false">IF($A11="","",$B11-$E$68-$F$68)</f>
        <v>310</v>
      </c>
      <c r="AK11" s="114" t="n">
        <f aca="false">IF($A11="","",(IF(OR($B11&gt;3000,$D11&gt;1200),5,4)+IF(OR($B11&gt;3000,$E11&gt;1200),5,4))*$G11)</f>
        <v>8</v>
      </c>
      <c r="AL11" s="115" t="n">
        <f aca="false">IF($A11="","",4*2*$G11)</f>
        <v>8</v>
      </c>
      <c r="AM11" s="114" t="n">
        <f aca="false">IF($A11="","",8*2*$G11)</f>
        <v>16</v>
      </c>
      <c r="AN11" s="115" t="n">
        <f aca="false">IF($A11="","",$BC$1*$G11)</f>
        <v>2</v>
      </c>
      <c r="AO11" s="114" t="n">
        <f aca="false">IF($A11="","",$BC$2*$G11)</f>
        <v>0</v>
      </c>
      <c r="AP11" s="115" t="n">
        <f aca="false">IF($A11="","",$BC$3*$G11)</f>
        <v>0</v>
      </c>
      <c r="AQ11" s="114" t="n">
        <f aca="false">IF($A11="","",1*$G11)</f>
        <v>1</v>
      </c>
      <c r="AR11" s="115" t="n">
        <f aca="false">IF($A11="","",1*$G11)</f>
        <v>1</v>
      </c>
      <c r="AS11" s="114" t="n">
        <f aca="false">IF($A11="","",1*$G11)</f>
        <v>1</v>
      </c>
      <c r="AT11" s="116" t="n">
        <f aca="false">IF($A11="","",1*$G11)</f>
        <v>1</v>
      </c>
      <c r="AU11" s="117" t="n">
        <f aca="false">IF($A11="","",8*$G11)</f>
        <v>8</v>
      </c>
      <c r="AV11" s="118" t="n">
        <f aca="false">IF($A11="","",ROUND((2*($D11+$B11)+2*($E11+$B11))*$G11/1000,1))</f>
        <v>2.6</v>
      </c>
      <c r="AW11" s="116" t="n">
        <f aca="false">IF($A11="","",ROUND((2*($C11+$B11))*$G11/1000,1))</f>
        <v>2.2</v>
      </c>
      <c r="AX11" s="117" t="n">
        <f aca="false">IF($A11="","",1*$G11)</f>
        <v>1</v>
      </c>
      <c r="AY11" s="118" t="n">
        <f aca="false">IF($A11="","",1*$G11)</f>
        <v>1</v>
      </c>
      <c r="AZ11" s="116" t="n">
        <f aca="false">IF($A11="","",$B11-35-35)</f>
        <v>330</v>
      </c>
      <c r="BA11" s="119" t="n">
        <f aca="false">IF($A11="","",$F11-35-10)</f>
        <v>55</v>
      </c>
      <c r="BB11" s="118" t="n">
        <f aca="false">IF($A11="","",2*$G11)</f>
        <v>2</v>
      </c>
      <c r="BD11" s="1" t="n">
        <f aca="false">IF($A11="","",$BC$4*$G11)</f>
        <v>0</v>
      </c>
    </row>
    <row r="12" customFormat="false" ht="39.75" hidden="false" customHeight="true" outlineLevel="0" collapsed="false">
      <c r="A12" s="111"/>
      <c r="B12" s="112"/>
      <c r="C12" s="112" t="str">
        <f aca="false">IF($A12="","",$D12+$E12)</f>
        <v/>
      </c>
      <c r="D12" s="112"/>
      <c r="E12" s="112"/>
      <c r="F12" s="113" t="str">
        <f aca="false">IF($A12="","",(($C12-$D12-$E12)/2))</f>
        <v/>
      </c>
      <c r="G12" s="114"/>
      <c r="H12" s="120" t="str">
        <f aca="false">IF($A12="","",$B12)</f>
        <v/>
      </c>
      <c r="I12" s="121" t="str">
        <f aca="false">IF($A12="","",2*$G12)</f>
        <v/>
      </c>
      <c r="J12" s="120" t="str">
        <f aca="false">IF($A12="","",$H12)</f>
        <v/>
      </c>
      <c r="K12" s="121" t="str">
        <f aca="false">IF($A12="","",2*$G12)</f>
        <v/>
      </c>
      <c r="L12" s="120" t="str">
        <f aca="false">IF($A12="","",$C12-$F12-$F12-$E$56-$F$56)</f>
        <v/>
      </c>
      <c r="M12" s="121" t="str">
        <f aca="false">IF($A12="","",1*$G12)</f>
        <v/>
      </c>
      <c r="N12" s="120" t="str">
        <f aca="false">IF($A12="","",$L12)</f>
        <v/>
      </c>
      <c r="O12" s="121" t="str">
        <f aca="false">IF($A12="","",1*$G12)</f>
        <v/>
      </c>
      <c r="P12" s="120" t="str">
        <f aca="false">IF($A12="","",$F12-$E$58)</f>
        <v/>
      </c>
      <c r="Q12" s="121" t="str">
        <f aca="false">IF($A12="","",2*$G12)</f>
        <v/>
      </c>
      <c r="R12" s="120" t="str">
        <f aca="false">IF($A12="","",$H12)</f>
        <v/>
      </c>
      <c r="S12" s="121" t="str">
        <f aca="false">IF($A12="","",2*$G12)</f>
        <v/>
      </c>
      <c r="T12" s="120" t="str">
        <f aca="false">IF($A12="","",$P12)</f>
        <v/>
      </c>
      <c r="U12" s="121" t="str">
        <f aca="false">IF($A12="","",2*$G12)</f>
        <v/>
      </c>
      <c r="V12" s="120" t="str">
        <f aca="false">IF($A12="","",$B12-$E$61-$F$61)</f>
        <v/>
      </c>
      <c r="W12" s="121" t="str">
        <f aca="false">IF($A12="","",4*$G12)</f>
        <v/>
      </c>
      <c r="X12" s="120" t="str">
        <f aca="false">IF($A12="","",$D12-$E$62-$F$62)</f>
        <v/>
      </c>
      <c r="Y12" s="121" t="str">
        <f aca="false">IF($A12="","",2*$G12)</f>
        <v/>
      </c>
      <c r="Z12" s="120" t="str">
        <f aca="false">IF($A12="","",$E12-$E$63-$F$63)</f>
        <v/>
      </c>
      <c r="AA12" s="121" t="str">
        <f aca="false">IF($A12="","",2*$G12)</f>
        <v/>
      </c>
      <c r="AB12" s="120" t="str">
        <f aca="false">IF($A12="","",$V12-$E$64-$F$64)</f>
        <v/>
      </c>
      <c r="AC12" s="121" t="str">
        <f aca="false">IF($A12="","",4*$G12)</f>
        <v/>
      </c>
      <c r="AD12" s="120" t="str">
        <f aca="false">IF($A12="","",$X12-$E$65-$F$65)</f>
        <v/>
      </c>
      <c r="AE12" s="121" t="str">
        <f aca="false">IF($A12="","",2*$G12)</f>
        <v/>
      </c>
      <c r="AF12" s="120" t="str">
        <f aca="false">IF($A12="","",$Z12-$E$66-$F$66)</f>
        <v/>
      </c>
      <c r="AG12" s="121" t="str">
        <f aca="false">IF($A12="","",2*$G12)</f>
        <v/>
      </c>
      <c r="AH12" s="120" t="str">
        <f aca="false">IF($A12="","",$F12-$E$67)</f>
        <v/>
      </c>
      <c r="AI12" s="121" t="str">
        <f aca="false">IF($A12="","",2*$G12)</f>
        <v/>
      </c>
      <c r="AJ12" s="120" t="str">
        <f aca="false">IF($A12="","",$B12-$E$68-$F$68)</f>
        <v/>
      </c>
      <c r="AK12" s="121" t="str">
        <f aca="false">IF($A12="","",(IF(OR($B12&gt;3000,$D12&gt;1200),5,4)+IF(OR($B12&gt;3000,$E12&gt;1200),5,4))*$G12)</f>
        <v/>
      </c>
      <c r="AL12" s="120" t="str">
        <f aca="false">IF($A12="","",4*2*$G12)</f>
        <v/>
      </c>
      <c r="AM12" s="121" t="str">
        <f aca="false">IF($A12="","",8*2*$G12)</f>
        <v/>
      </c>
      <c r="AN12" s="120" t="str">
        <f aca="false">IF($A12="","",$BC$1*$G12)</f>
        <v/>
      </c>
      <c r="AO12" s="121" t="str">
        <f aca="false">IF($A12="","",$BC$2*$G12)</f>
        <v/>
      </c>
      <c r="AP12" s="120" t="str">
        <f aca="false">IF($A12="","",$BC$3*$G12)</f>
        <v/>
      </c>
      <c r="AQ12" s="121" t="str">
        <f aca="false">IF($A12="","",1*$G12)</f>
        <v/>
      </c>
      <c r="AR12" s="120" t="str">
        <f aca="false">IF($A12="","",1*$G12)</f>
        <v/>
      </c>
      <c r="AS12" s="121" t="str">
        <f aca="false">IF($A12="","",1*$G12)</f>
        <v/>
      </c>
      <c r="AT12" s="116" t="str">
        <f aca="false">IF($A12="","",1*$G12)</f>
        <v/>
      </c>
      <c r="AU12" s="119" t="str">
        <f aca="false">IF($A12="","",8*$G12)</f>
        <v/>
      </c>
      <c r="AV12" s="118" t="str">
        <f aca="false">IF($A12="","",ROUND((2*($D12+$B12)+2*($E12+$B12))*$G12/1000,1))</f>
        <v/>
      </c>
      <c r="AW12" s="116" t="str">
        <f aca="false">IF($A12="","",ROUND((2*($C12+$B12))*$G12/1000,1))</f>
        <v/>
      </c>
      <c r="AX12" s="119" t="str">
        <f aca="false">IF($A12="","",1*$G12)</f>
        <v/>
      </c>
      <c r="AY12" s="118" t="str">
        <f aca="false">IF($A12="","",1*$G12)</f>
        <v/>
      </c>
      <c r="AZ12" s="116" t="str">
        <f aca="false">IF($A12="","",$B12-35-35)</f>
        <v/>
      </c>
      <c r="BA12" s="119" t="str">
        <f aca="false">IF($A12="","",$F12-35-10)</f>
        <v/>
      </c>
      <c r="BB12" s="118" t="str">
        <f aca="false">IF($A12="","",2*$G12)</f>
        <v/>
      </c>
      <c r="BD12" s="1" t="str">
        <f aca="false">IF($A12="","",$BC$4*$G12)</f>
        <v/>
      </c>
    </row>
    <row r="13" customFormat="false" ht="39.75" hidden="false" customHeight="true" outlineLevel="0" collapsed="false">
      <c r="A13" s="111"/>
      <c r="B13" s="112"/>
      <c r="C13" s="112" t="str">
        <f aca="false">IF($A13="","",$D13+$E13)</f>
        <v/>
      </c>
      <c r="D13" s="112"/>
      <c r="E13" s="112"/>
      <c r="F13" s="113" t="str">
        <f aca="false">IF($A13="","",(($C13-$D13-$E13)/2))</f>
        <v/>
      </c>
      <c r="G13" s="114"/>
      <c r="H13" s="115" t="str">
        <f aca="false">IF($A13="","",$B13)</f>
        <v/>
      </c>
      <c r="I13" s="114" t="str">
        <f aca="false">IF($A13="","",2*$G13)</f>
        <v/>
      </c>
      <c r="J13" s="115" t="str">
        <f aca="false">IF($A13="","",$H13)</f>
        <v/>
      </c>
      <c r="K13" s="114" t="str">
        <f aca="false">IF($A13="","",2*$G13)</f>
        <v/>
      </c>
      <c r="L13" s="115" t="str">
        <f aca="false">IF($A13="","",$C13-$F13-$F13-$E$56-$F$56)</f>
        <v/>
      </c>
      <c r="M13" s="114" t="str">
        <f aca="false">IF($A13="","",1*$G13)</f>
        <v/>
      </c>
      <c r="N13" s="115" t="str">
        <f aca="false">IF($A13="","",$L13)</f>
        <v/>
      </c>
      <c r="O13" s="114" t="str">
        <f aca="false">IF($A13="","",1*$G13)</f>
        <v/>
      </c>
      <c r="P13" s="115" t="str">
        <f aca="false">IF($A13="","",$F13-$E$58)</f>
        <v/>
      </c>
      <c r="Q13" s="114" t="str">
        <f aca="false">IF($A13="","",2*$G13)</f>
        <v/>
      </c>
      <c r="R13" s="115" t="str">
        <f aca="false">IF($A13="","",$H13)</f>
        <v/>
      </c>
      <c r="S13" s="114" t="str">
        <f aca="false">IF($A13="","",2*$G13)</f>
        <v/>
      </c>
      <c r="T13" s="115" t="str">
        <f aca="false">IF($A13="","",$P13)</f>
        <v/>
      </c>
      <c r="U13" s="114" t="str">
        <f aca="false">IF($A13="","",2*$G13)</f>
        <v/>
      </c>
      <c r="V13" s="115" t="str">
        <f aca="false">IF($A13="","",$B13-$E$61-$F$61)</f>
        <v/>
      </c>
      <c r="W13" s="114" t="str">
        <f aca="false">IF($A13="","",4*$G13)</f>
        <v/>
      </c>
      <c r="X13" s="115" t="str">
        <f aca="false">IF($A13="","",$D13-$E$62-$F$62)</f>
        <v/>
      </c>
      <c r="Y13" s="114" t="str">
        <f aca="false">IF($A13="","",2*$G13)</f>
        <v/>
      </c>
      <c r="Z13" s="115" t="str">
        <f aca="false">IF($A13="","",$E13-$E$63-$F$63)</f>
        <v/>
      </c>
      <c r="AA13" s="114" t="str">
        <f aca="false">IF($A13="","",2*$G13)</f>
        <v/>
      </c>
      <c r="AB13" s="115" t="str">
        <f aca="false">IF($A13="","",$V13-$E$64-$F$64)</f>
        <v/>
      </c>
      <c r="AC13" s="114" t="str">
        <f aca="false">IF($A13="","",4*$G13)</f>
        <v/>
      </c>
      <c r="AD13" s="115" t="str">
        <f aca="false">IF($A13="","",$X13-$E$65-$F$65)</f>
        <v/>
      </c>
      <c r="AE13" s="114" t="str">
        <f aca="false">IF($A13="","",2*$G13)</f>
        <v/>
      </c>
      <c r="AF13" s="115" t="str">
        <f aca="false">IF($A13="","",$Z13-$E$66-$F$66)</f>
        <v/>
      </c>
      <c r="AG13" s="114" t="str">
        <f aca="false">IF($A13="","",2*$G13)</f>
        <v/>
      </c>
      <c r="AH13" s="115" t="str">
        <f aca="false">IF($A13="","",$F13-$E$67)</f>
        <v/>
      </c>
      <c r="AI13" s="114" t="str">
        <f aca="false">IF($A13="","",2*$G13)</f>
        <v/>
      </c>
      <c r="AJ13" s="115" t="str">
        <f aca="false">IF($A13="","",$B13-$E$68-$F$68)</f>
        <v/>
      </c>
      <c r="AK13" s="114" t="str">
        <f aca="false">IF($A13="","",(IF(OR($B13&gt;3000,$D13&gt;1200),5,4)+IF(OR($B13&gt;3000,$E13&gt;1200),5,4))*$G13)</f>
        <v/>
      </c>
      <c r="AL13" s="115" t="str">
        <f aca="false">IF($A13="","",4*2*$G13)</f>
        <v/>
      </c>
      <c r="AM13" s="114" t="str">
        <f aca="false">IF($A13="","",8*2*$G13)</f>
        <v/>
      </c>
      <c r="AN13" s="115" t="str">
        <f aca="false">IF($A13="","",$BC$1*$G13)</f>
        <v/>
      </c>
      <c r="AO13" s="114" t="str">
        <f aca="false">IF($A13="","",$BC$2*$G13)</f>
        <v/>
      </c>
      <c r="AP13" s="115" t="str">
        <f aca="false">IF($A13="","",$BC$3*$G13)</f>
        <v/>
      </c>
      <c r="AQ13" s="114" t="str">
        <f aca="false">IF($A13="","",1*$G13)</f>
        <v/>
      </c>
      <c r="AR13" s="115" t="str">
        <f aca="false">IF($A13="","",1*$G13)</f>
        <v/>
      </c>
      <c r="AS13" s="114" t="str">
        <f aca="false">IF($A13="","",1*$G13)</f>
        <v/>
      </c>
      <c r="AT13" s="116" t="str">
        <f aca="false">IF($A13="","",1*$G13)</f>
        <v/>
      </c>
      <c r="AU13" s="119" t="str">
        <f aca="false">IF($A13="","",8*$G13)</f>
        <v/>
      </c>
      <c r="AV13" s="118" t="str">
        <f aca="false">IF($A13="","",ROUND((2*($D13+$B13)+2*($E13+$B13))*$G13/1000,1))</f>
        <v/>
      </c>
      <c r="AW13" s="116" t="str">
        <f aca="false">IF($A13="","",ROUND((2*($C13+$B13))*$G13/1000,1))</f>
        <v/>
      </c>
      <c r="AX13" s="119" t="str">
        <f aca="false">IF($A13="","",1*$G13)</f>
        <v/>
      </c>
      <c r="AY13" s="118" t="str">
        <f aca="false">IF($A13="","",1*$G13)</f>
        <v/>
      </c>
      <c r="AZ13" s="116" t="str">
        <f aca="false">IF($A13="","",$B13-35-35)</f>
        <v/>
      </c>
      <c r="BA13" s="119" t="str">
        <f aca="false">IF($A13="","",$F13-35-10)</f>
        <v/>
      </c>
      <c r="BB13" s="118" t="str">
        <f aca="false">IF($A13="","",2*$G13)</f>
        <v/>
      </c>
      <c r="BD13" s="1" t="str">
        <f aca="false">IF($A13="","",$BC$4*$G13)</f>
        <v/>
      </c>
    </row>
    <row r="14" customFormat="false" ht="39.75" hidden="false" customHeight="true" outlineLevel="0" collapsed="false">
      <c r="A14" s="111"/>
      <c r="B14" s="112"/>
      <c r="C14" s="112" t="str">
        <f aca="false">IF($A14="","",$D14+$E14)</f>
        <v/>
      </c>
      <c r="D14" s="112"/>
      <c r="E14" s="112"/>
      <c r="F14" s="113" t="str">
        <f aca="false">IF($A14="","",(($C14-$D14-$E14)/2))</f>
        <v/>
      </c>
      <c r="G14" s="114"/>
      <c r="H14" s="120" t="str">
        <f aca="false">IF($A14="","",$B14)</f>
        <v/>
      </c>
      <c r="I14" s="121" t="str">
        <f aca="false">IF($A14="","",2*$G14)</f>
        <v/>
      </c>
      <c r="J14" s="120" t="str">
        <f aca="false">IF($A14="","",$H14)</f>
        <v/>
      </c>
      <c r="K14" s="121" t="str">
        <f aca="false">IF($A14="","",2*$G14)</f>
        <v/>
      </c>
      <c r="L14" s="120" t="str">
        <f aca="false">IF($A14="","",$C14-$F14-$F14-$E$56-$F$56)</f>
        <v/>
      </c>
      <c r="M14" s="121" t="str">
        <f aca="false">IF($A14="","",1*$G14)</f>
        <v/>
      </c>
      <c r="N14" s="120" t="str">
        <f aca="false">IF($A14="","",$L14)</f>
        <v/>
      </c>
      <c r="O14" s="121" t="str">
        <f aca="false">IF($A14="","",1*$G14)</f>
        <v/>
      </c>
      <c r="P14" s="120" t="str">
        <f aca="false">IF($A14="","",$F14-$E$58)</f>
        <v/>
      </c>
      <c r="Q14" s="121" t="str">
        <f aca="false">IF($A14="","",2*$G14)</f>
        <v/>
      </c>
      <c r="R14" s="120" t="str">
        <f aca="false">IF($A14="","",$H14)</f>
        <v/>
      </c>
      <c r="S14" s="121" t="str">
        <f aca="false">IF($A14="","",2*$G14)</f>
        <v/>
      </c>
      <c r="T14" s="120" t="str">
        <f aca="false">IF($A14="","",$P14)</f>
        <v/>
      </c>
      <c r="U14" s="121" t="str">
        <f aca="false">IF($A14="","",2*$G14)</f>
        <v/>
      </c>
      <c r="V14" s="120" t="str">
        <f aca="false">IF($A14="","",$B14-$E$61-$F$61)</f>
        <v/>
      </c>
      <c r="W14" s="121" t="str">
        <f aca="false">IF($A14="","",4*$G14)</f>
        <v/>
      </c>
      <c r="X14" s="120" t="str">
        <f aca="false">IF($A14="","",$D14-$E$62-$F$62)</f>
        <v/>
      </c>
      <c r="Y14" s="121" t="str">
        <f aca="false">IF($A14="","",2*$G14)</f>
        <v/>
      </c>
      <c r="Z14" s="120" t="str">
        <f aca="false">IF($A14="","",$E14-$E$63-$F$63)</f>
        <v/>
      </c>
      <c r="AA14" s="121" t="str">
        <f aca="false">IF($A14="","",2*$G14)</f>
        <v/>
      </c>
      <c r="AB14" s="120" t="str">
        <f aca="false">IF($A14="","",$V14-$E$64-$F$64)</f>
        <v/>
      </c>
      <c r="AC14" s="121" t="str">
        <f aca="false">IF($A14="","",4*$G14)</f>
        <v/>
      </c>
      <c r="AD14" s="120" t="str">
        <f aca="false">IF($A14="","",$X14-$E$65-$F$65)</f>
        <v/>
      </c>
      <c r="AE14" s="121" t="str">
        <f aca="false">IF($A14="","",2*$G14)</f>
        <v/>
      </c>
      <c r="AF14" s="120" t="str">
        <f aca="false">IF($A14="","",$Z14-$E$66-$F$66)</f>
        <v/>
      </c>
      <c r="AG14" s="121" t="str">
        <f aca="false">IF($A14="","",2*$G14)</f>
        <v/>
      </c>
      <c r="AH14" s="120" t="str">
        <f aca="false">IF($A14="","",$F14-$E$67)</f>
        <v/>
      </c>
      <c r="AI14" s="121" t="str">
        <f aca="false">IF($A14="","",2*$G14)</f>
        <v/>
      </c>
      <c r="AJ14" s="120" t="str">
        <f aca="false">IF($A14="","",$B14-$E$68-$F$68)</f>
        <v/>
      </c>
      <c r="AK14" s="121" t="str">
        <f aca="false">IF($A14="","",(IF(OR($B14&gt;3000,$D14&gt;1200),5,4)+IF(OR($B14&gt;3000,$E14&gt;1200),5,4))*$G14)</f>
        <v/>
      </c>
      <c r="AL14" s="120" t="str">
        <f aca="false">IF($A14="","",4*2*$G14)</f>
        <v/>
      </c>
      <c r="AM14" s="121" t="str">
        <f aca="false">IF($A14="","",8*2*$G14)</f>
        <v/>
      </c>
      <c r="AN14" s="120" t="str">
        <f aca="false">IF($A14="","",$BC$1*$G14)</f>
        <v/>
      </c>
      <c r="AO14" s="121" t="str">
        <f aca="false">IF($A14="","",$BC$2*$G14)</f>
        <v/>
      </c>
      <c r="AP14" s="120" t="str">
        <f aca="false">IF($A14="","",$BC$3*$G14)</f>
        <v/>
      </c>
      <c r="AQ14" s="121" t="str">
        <f aca="false">IF($A14="","",1*$G14)</f>
        <v/>
      </c>
      <c r="AR14" s="120" t="str">
        <f aca="false">IF($A14="","",1*$G14)</f>
        <v/>
      </c>
      <c r="AS14" s="121" t="str">
        <f aca="false">IF($A14="","",1*$G14)</f>
        <v/>
      </c>
      <c r="AT14" s="116" t="str">
        <f aca="false">IF($A14="","",1*$G14)</f>
        <v/>
      </c>
      <c r="AU14" s="119" t="str">
        <f aca="false">IF($A14="","",8*$G14)</f>
        <v/>
      </c>
      <c r="AV14" s="118" t="str">
        <f aca="false">IF($A14="","",ROUND((2*($D14+$B14)+2*($E14+$B14))*$G14/1000,1))</f>
        <v/>
      </c>
      <c r="AW14" s="116" t="str">
        <f aca="false">IF($A14="","",ROUND((2*($C14+$B14))*$G14/1000,1))</f>
        <v/>
      </c>
      <c r="AX14" s="119" t="str">
        <f aca="false">IF($A14="","",1*$G14)</f>
        <v/>
      </c>
      <c r="AY14" s="118" t="str">
        <f aca="false">IF($A14="","",1*$G14)</f>
        <v/>
      </c>
      <c r="AZ14" s="116" t="str">
        <f aca="false">IF($A14="","",$B14-35-35)</f>
        <v/>
      </c>
      <c r="BA14" s="119" t="str">
        <f aca="false">IF($A14="","",$F14-35-10)</f>
        <v/>
      </c>
      <c r="BB14" s="118" t="str">
        <f aca="false">IF($A14="","",2*$G14)</f>
        <v/>
      </c>
      <c r="BD14" s="1" t="str">
        <f aca="false">IF($A14="","",$BC$4*$G14)</f>
        <v/>
      </c>
    </row>
    <row r="15" customFormat="false" ht="39.75" hidden="false" customHeight="true" outlineLevel="0" collapsed="false">
      <c r="A15" s="111"/>
      <c r="B15" s="112"/>
      <c r="C15" s="112" t="str">
        <f aca="false">IF($A15="","",$D15+$E15)</f>
        <v/>
      </c>
      <c r="D15" s="112"/>
      <c r="E15" s="112"/>
      <c r="F15" s="113" t="str">
        <f aca="false">IF($A15="","",(($C15-$D15-$E15)/2))</f>
        <v/>
      </c>
      <c r="G15" s="114"/>
      <c r="H15" s="115" t="str">
        <f aca="false">IF($A15="","",$B15)</f>
        <v/>
      </c>
      <c r="I15" s="114" t="str">
        <f aca="false">IF($A15="","",2*$G15)</f>
        <v/>
      </c>
      <c r="J15" s="115" t="str">
        <f aca="false">IF($A15="","",$H15)</f>
        <v/>
      </c>
      <c r="K15" s="114" t="str">
        <f aca="false">IF($A15="","",2*$G15)</f>
        <v/>
      </c>
      <c r="L15" s="115" t="str">
        <f aca="false">IF($A15="","",$C15-$F15-$F15-$E$56-$F$56)</f>
        <v/>
      </c>
      <c r="M15" s="114" t="str">
        <f aca="false">IF($A15="","",1*$G15)</f>
        <v/>
      </c>
      <c r="N15" s="115" t="str">
        <f aca="false">IF($A15="","",$L15)</f>
        <v/>
      </c>
      <c r="O15" s="114" t="str">
        <f aca="false">IF($A15="","",1*$G15)</f>
        <v/>
      </c>
      <c r="P15" s="115" t="str">
        <f aca="false">IF($A15="","",$F15-$E$58)</f>
        <v/>
      </c>
      <c r="Q15" s="114" t="str">
        <f aca="false">IF($A15="","",2*$G15)</f>
        <v/>
      </c>
      <c r="R15" s="115" t="str">
        <f aca="false">IF($A15="","",$H15)</f>
        <v/>
      </c>
      <c r="S15" s="114" t="str">
        <f aca="false">IF($A15="","",2*$G15)</f>
        <v/>
      </c>
      <c r="T15" s="115" t="str">
        <f aca="false">IF($A15="","",$P15)</f>
        <v/>
      </c>
      <c r="U15" s="114" t="str">
        <f aca="false">IF($A15="","",2*$G15)</f>
        <v/>
      </c>
      <c r="V15" s="115" t="str">
        <f aca="false">IF($A15="","",$B15-$E$61-$F$61)</f>
        <v/>
      </c>
      <c r="W15" s="114" t="str">
        <f aca="false">IF($A15="","",4*$G15)</f>
        <v/>
      </c>
      <c r="X15" s="115" t="str">
        <f aca="false">IF($A15="","",$D15-$E$62-$F$62)</f>
        <v/>
      </c>
      <c r="Y15" s="114" t="str">
        <f aca="false">IF($A15="","",2*$G15)</f>
        <v/>
      </c>
      <c r="Z15" s="115" t="str">
        <f aca="false">IF($A15="","",$E15-$E$63-$F$63)</f>
        <v/>
      </c>
      <c r="AA15" s="114" t="str">
        <f aca="false">IF($A15="","",2*$G15)</f>
        <v/>
      </c>
      <c r="AB15" s="115" t="str">
        <f aca="false">IF($A15="","",$V15-$E$64-$F$64)</f>
        <v/>
      </c>
      <c r="AC15" s="114" t="str">
        <f aca="false">IF($A15="","",4*$G15)</f>
        <v/>
      </c>
      <c r="AD15" s="115" t="str">
        <f aca="false">IF($A15="","",$X15-$E$65-$F$65)</f>
        <v/>
      </c>
      <c r="AE15" s="114" t="str">
        <f aca="false">IF($A15="","",2*$G15)</f>
        <v/>
      </c>
      <c r="AF15" s="115" t="str">
        <f aca="false">IF($A15="","",$Z15-$E$66-$F$66)</f>
        <v/>
      </c>
      <c r="AG15" s="114" t="str">
        <f aca="false">IF($A15="","",2*$G15)</f>
        <v/>
      </c>
      <c r="AH15" s="115" t="str">
        <f aca="false">IF($A15="","",$F15-$E$67)</f>
        <v/>
      </c>
      <c r="AI15" s="114" t="str">
        <f aca="false">IF($A15="","",2*$G15)</f>
        <v/>
      </c>
      <c r="AJ15" s="115" t="str">
        <f aca="false">IF($A15="","",$B15-$E$68-$F$68)</f>
        <v/>
      </c>
      <c r="AK15" s="114" t="str">
        <f aca="false">IF($A15="","",(IF(OR($B15&gt;3000,$D15&gt;1200),5,4)+IF(OR($B15&gt;3000,$E15&gt;1200),5,4))*$G15)</f>
        <v/>
      </c>
      <c r="AL15" s="115" t="str">
        <f aca="false">IF($A15="","",4*2*$G15)</f>
        <v/>
      </c>
      <c r="AM15" s="114" t="str">
        <f aca="false">IF($A15="","",8*2*$G15)</f>
        <v/>
      </c>
      <c r="AN15" s="115" t="str">
        <f aca="false">IF($A15="","",$BC$1*$G15)</f>
        <v/>
      </c>
      <c r="AO15" s="114" t="str">
        <f aca="false">IF($A15="","",$BC$2*$G15)</f>
        <v/>
      </c>
      <c r="AP15" s="115" t="str">
        <f aca="false">IF($A15="","",$BC$3*$G15)</f>
        <v/>
      </c>
      <c r="AQ15" s="114" t="str">
        <f aca="false">IF($A15="","",1*$G15)</f>
        <v/>
      </c>
      <c r="AR15" s="115" t="str">
        <f aca="false">IF($A15="","",1*$G15)</f>
        <v/>
      </c>
      <c r="AS15" s="114" t="str">
        <f aca="false">IF($A15="","",1*$G15)</f>
        <v/>
      </c>
      <c r="AT15" s="116" t="str">
        <f aca="false">IF($A15="","",1*$G15)</f>
        <v/>
      </c>
      <c r="AU15" s="119" t="str">
        <f aca="false">IF($A15="","",8*$G15)</f>
        <v/>
      </c>
      <c r="AV15" s="118" t="str">
        <f aca="false">IF($A15="","",ROUND((2*($D15+$B15)+2*($E15+$B15))*$G15/1000,1))</f>
        <v/>
      </c>
      <c r="AW15" s="116" t="str">
        <f aca="false">IF($A15="","",ROUND((2*($C15+$B15))*$G15/1000,1))</f>
        <v/>
      </c>
      <c r="AX15" s="119" t="str">
        <f aca="false">IF($A15="","",1*$G15)</f>
        <v/>
      </c>
      <c r="AY15" s="118" t="str">
        <f aca="false">IF($A15="","",1*$G15)</f>
        <v/>
      </c>
      <c r="AZ15" s="116" t="str">
        <f aca="false">IF($A15="","",$B15-35-35)</f>
        <v/>
      </c>
      <c r="BA15" s="119" t="str">
        <f aca="false">IF($A15="","",$F15-35-10)</f>
        <v/>
      </c>
      <c r="BB15" s="118" t="str">
        <f aca="false">IF($A15="","",2*$G15)</f>
        <v/>
      </c>
      <c r="BD15" s="1" t="str">
        <f aca="false">IF($A15="","",$BC$4*$G15)</f>
        <v/>
      </c>
    </row>
    <row r="16" customFormat="false" ht="39.75" hidden="false" customHeight="true" outlineLevel="0" collapsed="false">
      <c r="A16" s="111"/>
      <c r="B16" s="112"/>
      <c r="C16" s="112" t="str">
        <f aca="false">IF($A16="","",$D16+$E16)</f>
        <v/>
      </c>
      <c r="D16" s="112"/>
      <c r="E16" s="112"/>
      <c r="F16" s="113" t="str">
        <f aca="false">IF($A16="","",(($C16-$D16-$E16)/2))</f>
        <v/>
      </c>
      <c r="G16" s="114"/>
      <c r="H16" s="120" t="str">
        <f aca="false">IF($A16="","",$B16)</f>
        <v/>
      </c>
      <c r="I16" s="121" t="str">
        <f aca="false">IF($A16="","",2*$G16)</f>
        <v/>
      </c>
      <c r="J16" s="120" t="str">
        <f aca="false">IF($A16="","",$H16)</f>
        <v/>
      </c>
      <c r="K16" s="121" t="str">
        <f aca="false">IF($A16="","",2*$G16)</f>
        <v/>
      </c>
      <c r="L16" s="120" t="str">
        <f aca="false">IF($A16="","",$C16-$F16-$F16-$E$56-$F$56)</f>
        <v/>
      </c>
      <c r="M16" s="121" t="str">
        <f aca="false">IF($A16="","",1*$G16)</f>
        <v/>
      </c>
      <c r="N16" s="120" t="str">
        <f aca="false">IF($A16="","",$L16)</f>
        <v/>
      </c>
      <c r="O16" s="121" t="str">
        <f aca="false">IF($A16="","",1*$G16)</f>
        <v/>
      </c>
      <c r="P16" s="120" t="str">
        <f aca="false">IF($A16="","",$F16-$E$58)</f>
        <v/>
      </c>
      <c r="Q16" s="121" t="str">
        <f aca="false">IF($A16="","",2*$G16)</f>
        <v/>
      </c>
      <c r="R16" s="120" t="str">
        <f aca="false">IF($A16="","",$H16)</f>
        <v/>
      </c>
      <c r="S16" s="121" t="str">
        <f aca="false">IF($A16="","",2*$G16)</f>
        <v/>
      </c>
      <c r="T16" s="120" t="str">
        <f aca="false">IF($A16="","",$P16)</f>
        <v/>
      </c>
      <c r="U16" s="121" t="str">
        <f aca="false">IF($A16="","",2*$G16)</f>
        <v/>
      </c>
      <c r="V16" s="120" t="str">
        <f aca="false">IF($A16="","",$B16-$E$61-$F$61)</f>
        <v/>
      </c>
      <c r="W16" s="121" t="str">
        <f aca="false">IF($A16="","",4*$G16)</f>
        <v/>
      </c>
      <c r="X16" s="120" t="str">
        <f aca="false">IF($A16="","",$D16-$E$62-$F$62)</f>
        <v/>
      </c>
      <c r="Y16" s="121" t="str">
        <f aca="false">IF($A16="","",2*$G16)</f>
        <v/>
      </c>
      <c r="Z16" s="120" t="str">
        <f aca="false">IF($A16="","",$E16-$E$63-$F$63)</f>
        <v/>
      </c>
      <c r="AA16" s="121" t="str">
        <f aca="false">IF($A16="","",2*$G16)</f>
        <v/>
      </c>
      <c r="AB16" s="120" t="str">
        <f aca="false">IF($A16="","",$V16-$E$64-$F$64)</f>
        <v/>
      </c>
      <c r="AC16" s="121" t="str">
        <f aca="false">IF($A16="","",4*$G16)</f>
        <v/>
      </c>
      <c r="AD16" s="120" t="str">
        <f aca="false">IF($A16="","",$X16-$E$65-$F$65)</f>
        <v/>
      </c>
      <c r="AE16" s="121" t="str">
        <f aca="false">IF($A16="","",2*$G16)</f>
        <v/>
      </c>
      <c r="AF16" s="120" t="str">
        <f aca="false">IF($A16="","",$Z16-$E$66-$F$66)</f>
        <v/>
      </c>
      <c r="AG16" s="121" t="str">
        <f aca="false">IF($A16="","",2*$G16)</f>
        <v/>
      </c>
      <c r="AH16" s="120" t="str">
        <f aca="false">IF($A16="","",$F16-$E$67)</f>
        <v/>
      </c>
      <c r="AI16" s="121" t="str">
        <f aca="false">IF($A16="","",2*$G16)</f>
        <v/>
      </c>
      <c r="AJ16" s="120" t="str">
        <f aca="false">IF($A16="","",$B16-$E$68-$F$68)</f>
        <v/>
      </c>
      <c r="AK16" s="121" t="str">
        <f aca="false">IF($A16="","",(IF(OR($B16&gt;3000,$D16&gt;1200),5,4)+IF(OR($B16&gt;3000,$E16&gt;1200),5,4))*$G16)</f>
        <v/>
      </c>
      <c r="AL16" s="120" t="str">
        <f aca="false">IF($A16="","",4*2*$G16)</f>
        <v/>
      </c>
      <c r="AM16" s="121" t="str">
        <f aca="false">IF($A16="","",8*2*$G16)</f>
        <v/>
      </c>
      <c r="AN16" s="120" t="str">
        <f aca="false">IF($A16="","",$BC$1*$G16)</f>
        <v/>
      </c>
      <c r="AO16" s="121" t="str">
        <f aca="false">IF($A16="","",$BC$2*$G16)</f>
        <v/>
      </c>
      <c r="AP16" s="120" t="str">
        <f aca="false">IF($A16="","",$BC$3*$G16)</f>
        <v/>
      </c>
      <c r="AQ16" s="121" t="str">
        <f aca="false">IF($A16="","",1*$G16)</f>
        <v/>
      </c>
      <c r="AR16" s="120" t="str">
        <f aca="false">IF($A16="","",1*$G16)</f>
        <v/>
      </c>
      <c r="AS16" s="121" t="str">
        <f aca="false">IF($A16="","",1*$G16)</f>
        <v/>
      </c>
      <c r="AT16" s="116" t="str">
        <f aca="false">IF($A16="","",1*$G16)</f>
        <v/>
      </c>
      <c r="AU16" s="119" t="str">
        <f aca="false">IF($A16="","",8*$G16)</f>
        <v/>
      </c>
      <c r="AV16" s="118" t="str">
        <f aca="false">IF($A16="","",ROUND((2*($D16+$B16)+2*($E16+$B16))*$G16/1000,1))</f>
        <v/>
      </c>
      <c r="AW16" s="116" t="str">
        <f aca="false">IF($A16="","",ROUND((2*($C16+$B16))*$G16/1000,1))</f>
        <v/>
      </c>
      <c r="AX16" s="119" t="str">
        <f aca="false">IF($A16="","",1*$G16)</f>
        <v/>
      </c>
      <c r="AY16" s="118" t="str">
        <f aca="false">IF($A16="","",1*$G16)</f>
        <v/>
      </c>
      <c r="AZ16" s="116" t="str">
        <f aca="false">IF($A16="","",$B16-35-35)</f>
        <v/>
      </c>
      <c r="BA16" s="119" t="str">
        <f aca="false">IF($A16="","",$F16-35-10)</f>
        <v/>
      </c>
      <c r="BB16" s="118" t="str">
        <f aca="false">IF($A16="","",2*$G16)</f>
        <v/>
      </c>
      <c r="BD16" s="1" t="str">
        <f aca="false">IF($A16="","",$BC$4*$G16)</f>
        <v/>
      </c>
    </row>
    <row r="17" customFormat="false" ht="39.75" hidden="false" customHeight="true" outlineLevel="0" collapsed="false">
      <c r="A17" s="111"/>
      <c r="B17" s="112"/>
      <c r="C17" s="112" t="str">
        <f aca="false">IF($A17="","",$D17+$E17)</f>
        <v/>
      </c>
      <c r="D17" s="112"/>
      <c r="E17" s="112"/>
      <c r="F17" s="113" t="str">
        <f aca="false">IF($A17="","",(($C17-$D17-$E17)/2))</f>
        <v/>
      </c>
      <c r="G17" s="114"/>
      <c r="H17" s="115" t="str">
        <f aca="false">IF($A17="","",$B17)</f>
        <v/>
      </c>
      <c r="I17" s="114" t="str">
        <f aca="false">IF($A17="","",2*$G17)</f>
        <v/>
      </c>
      <c r="J17" s="115" t="str">
        <f aca="false">IF($A17="","",$H17)</f>
        <v/>
      </c>
      <c r="K17" s="114" t="str">
        <f aca="false">IF($A17="","",2*$G17)</f>
        <v/>
      </c>
      <c r="L17" s="115" t="str">
        <f aca="false">IF($A17="","",$C17-$F17-$F17-$E$56-$F$56)</f>
        <v/>
      </c>
      <c r="M17" s="114" t="str">
        <f aca="false">IF($A17="","",1*$G17)</f>
        <v/>
      </c>
      <c r="N17" s="115" t="str">
        <f aca="false">IF($A17="","",$L17)</f>
        <v/>
      </c>
      <c r="O17" s="114" t="str">
        <f aca="false">IF($A17="","",1*$G17)</f>
        <v/>
      </c>
      <c r="P17" s="115" t="str">
        <f aca="false">IF($A17="","",$F17-$E$58)</f>
        <v/>
      </c>
      <c r="Q17" s="114" t="str">
        <f aca="false">IF($A17="","",2*$G17)</f>
        <v/>
      </c>
      <c r="R17" s="115" t="str">
        <f aca="false">IF($A17="","",$H17)</f>
        <v/>
      </c>
      <c r="S17" s="114" t="str">
        <f aca="false">IF($A17="","",2*$G17)</f>
        <v/>
      </c>
      <c r="T17" s="115" t="str">
        <f aca="false">IF($A17="","",$P17)</f>
        <v/>
      </c>
      <c r="U17" s="114" t="str">
        <f aca="false">IF($A17="","",2*$G17)</f>
        <v/>
      </c>
      <c r="V17" s="115" t="str">
        <f aca="false">IF($A17="","",$B17-$E$61-$F$61)</f>
        <v/>
      </c>
      <c r="W17" s="114" t="str">
        <f aca="false">IF($A17="","",4*$G17)</f>
        <v/>
      </c>
      <c r="X17" s="115" t="str">
        <f aca="false">IF($A17="","",$D17-$E$62-$F$62)</f>
        <v/>
      </c>
      <c r="Y17" s="114" t="str">
        <f aca="false">IF($A17="","",2*$G17)</f>
        <v/>
      </c>
      <c r="Z17" s="115" t="str">
        <f aca="false">IF($A17="","",$E17-$E$63-$F$63)</f>
        <v/>
      </c>
      <c r="AA17" s="114" t="str">
        <f aca="false">IF($A17="","",2*$G17)</f>
        <v/>
      </c>
      <c r="AB17" s="115" t="str">
        <f aca="false">IF($A17="","",$V17-$E$64-$F$64)</f>
        <v/>
      </c>
      <c r="AC17" s="114" t="str">
        <f aca="false">IF($A17="","",4*$G17)</f>
        <v/>
      </c>
      <c r="AD17" s="115" t="str">
        <f aca="false">IF($A17="","",$X17-$E$65-$F$65)</f>
        <v/>
      </c>
      <c r="AE17" s="114" t="str">
        <f aca="false">IF($A17="","",2*$G17)</f>
        <v/>
      </c>
      <c r="AF17" s="115" t="str">
        <f aca="false">IF($A17="","",$Z17-$E$66-$F$66)</f>
        <v/>
      </c>
      <c r="AG17" s="114" t="str">
        <f aca="false">IF($A17="","",2*$G17)</f>
        <v/>
      </c>
      <c r="AH17" s="115" t="str">
        <f aca="false">IF($A17="","",$F17-$E$67)</f>
        <v/>
      </c>
      <c r="AI17" s="114" t="str">
        <f aca="false">IF($A17="","",2*$G17)</f>
        <v/>
      </c>
      <c r="AJ17" s="115" t="str">
        <f aca="false">IF($A17="","",$B17-$E$68-$F$68)</f>
        <v/>
      </c>
      <c r="AK17" s="114" t="str">
        <f aca="false">IF($A17="","",(IF(OR($B17&gt;3000,$D17&gt;1200),5,4)+IF(OR($B17&gt;3000,$E17&gt;1200),5,4))*$G17)</f>
        <v/>
      </c>
      <c r="AL17" s="115" t="str">
        <f aca="false">IF($A17="","",4*2*$G17)</f>
        <v/>
      </c>
      <c r="AM17" s="114" t="str">
        <f aca="false">IF($A17="","",8*2*$G17)</f>
        <v/>
      </c>
      <c r="AN17" s="115" t="str">
        <f aca="false">IF($A17="","",$BC$1*$G17)</f>
        <v/>
      </c>
      <c r="AO17" s="114" t="str">
        <f aca="false">IF($A17="","",$BC$2*$G17)</f>
        <v/>
      </c>
      <c r="AP17" s="115" t="str">
        <f aca="false">IF($A17="","",$BC$3*$G17)</f>
        <v/>
      </c>
      <c r="AQ17" s="114" t="str">
        <f aca="false">IF($A17="","",1*$G17)</f>
        <v/>
      </c>
      <c r="AR17" s="115" t="str">
        <f aca="false">IF($A17="","",1*$G17)</f>
        <v/>
      </c>
      <c r="AS17" s="114" t="str">
        <f aca="false">IF($A17="","",1*$G17)</f>
        <v/>
      </c>
      <c r="AT17" s="116" t="str">
        <f aca="false">IF($A17="","",1*$G17)</f>
        <v/>
      </c>
      <c r="AU17" s="119" t="str">
        <f aca="false">IF($A17="","",8*$G17)</f>
        <v/>
      </c>
      <c r="AV17" s="118" t="str">
        <f aca="false">IF($A17="","",ROUND((2*($D17+$B17)+2*($E17+$B17))*$G17/1000,1))</f>
        <v/>
      </c>
      <c r="AW17" s="116" t="str">
        <f aca="false">IF($A17="","",ROUND((2*($C17+$B17))*$G17/1000,1))</f>
        <v/>
      </c>
      <c r="AX17" s="119" t="str">
        <f aca="false">IF($A17="","",1*$G17)</f>
        <v/>
      </c>
      <c r="AY17" s="118" t="str">
        <f aca="false">IF($A17="","",1*$G17)</f>
        <v/>
      </c>
      <c r="AZ17" s="116" t="str">
        <f aca="false">IF($A17="","",$B17-35-35)</f>
        <v/>
      </c>
      <c r="BA17" s="119" t="str">
        <f aca="false">IF($A17="","",$F17-35-10)</f>
        <v/>
      </c>
      <c r="BB17" s="118" t="str">
        <f aca="false">IF($A17="","",2*$G17)</f>
        <v/>
      </c>
      <c r="BD17" s="1" t="str">
        <f aca="false">IF($A17="","",$BC$4*$G17)</f>
        <v/>
      </c>
    </row>
    <row r="18" customFormat="false" ht="39.75" hidden="false" customHeight="true" outlineLevel="0" collapsed="false">
      <c r="A18" s="111"/>
      <c r="B18" s="112"/>
      <c r="C18" s="112" t="str">
        <f aca="false">IF($A18="","",$D18+$E18)</f>
        <v/>
      </c>
      <c r="D18" s="112"/>
      <c r="E18" s="112"/>
      <c r="F18" s="113" t="str">
        <f aca="false">IF($A18="","",(($C18-$D18-$E18)/2))</f>
        <v/>
      </c>
      <c r="G18" s="114"/>
      <c r="H18" s="120" t="str">
        <f aca="false">IF($A18="","",$B18)</f>
        <v/>
      </c>
      <c r="I18" s="121" t="str">
        <f aca="false">IF($A18="","",2*$G18)</f>
        <v/>
      </c>
      <c r="J18" s="120" t="str">
        <f aca="false">IF($A18="","",$H18)</f>
        <v/>
      </c>
      <c r="K18" s="121" t="str">
        <f aca="false">IF($A18="","",2*$G18)</f>
        <v/>
      </c>
      <c r="L18" s="120" t="str">
        <f aca="false">IF($A18="","",$C18-$F18-$F18-$E$56-$F$56)</f>
        <v/>
      </c>
      <c r="M18" s="121" t="str">
        <f aca="false">IF($A18="","",1*$G18)</f>
        <v/>
      </c>
      <c r="N18" s="120" t="str">
        <f aca="false">IF($A18="","",$L18)</f>
        <v/>
      </c>
      <c r="O18" s="121" t="str">
        <f aca="false">IF($A18="","",1*$G18)</f>
        <v/>
      </c>
      <c r="P18" s="120" t="str">
        <f aca="false">IF($A18="","",$F18-$E$58)</f>
        <v/>
      </c>
      <c r="Q18" s="121" t="str">
        <f aca="false">IF($A18="","",2*$G18)</f>
        <v/>
      </c>
      <c r="R18" s="120" t="str">
        <f aca="false">IF($A18="","",$H18)</f>
        <v/>
      </c>
      <c r="S18" s="121" t="str">
        <f aca="false">IF($A18="","",2*$G18)</f>
        <v/>
      </c>
      <c r="T18" s="120" t="str">
        <f aca="false">IF($A18="","",$P18)</f>
        <v/>
      </c>
      <c r="U18" s="121" t="str">
        <f aca="false">IF($A18="","",2*$G18)</f>
        <v/>
      </c>
      <c r="V18" s="120" t="str">
        <f aca="false">IF($A18="","",$B18-$E$61-$F$61)</f>
        <v/>
      </c>
      <c r="W18" s="121" t="str">
        <f aca="false">IF($A18="","",4*$G18)</f>
        <v/>
      </c>
      <c r="X18" s="120" t="str">
        <f aca="false">IF($A18="","",$D18-$E$62-$F$62)</f>
        <v/>
      </c>
      <c r="Y18" s="121" t="str">
        <f aca="false">IF($A18="","",2*$G18)</f>
        <v/>
      </c>
      <c r="Z18" s="120" t="str">
        <f aca="false">IF($A18="","",$E18-$E$63-$F$63)</f>
        <v/>
      </c>
      <c r="AA18" s="121" t="str">
        <f aca="false">IF($A18="","",2*$G18)</f>
        <v/>
      </c>
      <c r="AB18" s="120" t="str">
        <f aca="false">IF($A18="","",$V18-$E$64-$F$64)</f>
        <v/>
      </c>
      <c r="AC18" s="121" t="str">
        <f aca="false">IF($A18="","",4*$G18)</f>
        <v/>
      </c>
      <c r="AD18" s="120" t="str">
        <f aca="false">IF($A18="","",$X18-$E$65-$F$65)</f>
        <v/>
      </c>
      <c r="AE18" s="121" t="str">
        <f aca="false">IF($A18="","",2*$G18)</f>
        <v/>
      </c>
      <c r="AF18" s="120" t="str">
        <f aca="false">IF($A18="","",$Z18-$E$66-$F$66)</f>
        <v/>
      </c>
      <c r="AG18" s="121" t="str">
        <f aca="false">IF($A18="","",2*$G18)</f>
        <v/>
      </c>
      <c r="AH18" s="120" t="str">
        <f aca="false">IF($A18="","",$F18-$E$67)</f>
        <v/>
      </c>
      <c r="AI18" s="121" t="str">
        <f aca="false">IF($A18="","",2*$G18)</f>
        <v/>
      </c>
      <c r="AJ18" s="120" t="str">
        <f aca="false">IF($A18="","",$B18-$E$68-$F$68)</f>
        <v/>
      </c>
      <c r="AK18" s="121" t="str">
        <f aca="false">IF($A18="","",(IF(OR($B18&gt;3000,$D18&gt;1200),5,4)+IF(OR($B18&gt;3000,$E18&gt;1200),5,4))*$G18)</f>
        <v/>
      </c>
      <c r="AL18" s="120" t="str">
        <f aca="false">IF($A18="","",4*2*$G18)</f>
        <v/>
      </c>
      <c r="AM18" s="121" t="str">
        <f aca="false">IF($A18="","",8*2*$G18)</f>
        <v/>
      </c>
      <c r="AN18" s="120" t="str">
        <f aca="false">IF($A18="","",$BC$1*$G18)</f>
        <v/>
      </c>
      <c r="AO18" s="121" t="str">
        <f aca="false">IF($A18="","",$BC$2*$G18)</f>
        <v/>
      </c>
      <c r="AP18" s="120" t="str">
        <f aca="false">IF($A18="","",$BC$3*$G18)</f>
        <v/>
      </c>
      <c r="AQ18" s="121" t="str">
        <f aca="false">IF($A18="","",1*$G18)</f>
        <v/>
      </c>
      <c r="AR18" s="120" t="str">
        <f aca="false">IF($A18="","",1*$G18)</f>
        <v/>
      </c>
      <c r="AS18" s="121" t="str">
        <f aca="false">IF($A18="","",1*$G18)</f>
        <v/>
      </c>
      <c r="AT18" s="116" t="str">
        <f aca="false">IF($A18="","",1*$G18)</f>
        <v/>
      </c>
      <c r="AU18" s="119" t="str">
        <f aca="false">IF($A18="","",8*$G18)</f>
        <v/>
      </c>
      <c r="AV18" s="118" t="str">
        <f aca="false">IF($A18="","",ROUND((2*($D18+$B18)+2*($E18+$B18))*$G18/1000,1))</f>
        <v/>
      </c>
      <c r="AW18" s="116" t="str">
        <f aca="false">IF($A18="","",ROUND((2*($C18+$B18))*$G18/1000,1))</f>
        <v/>
      </c>
      <c r="AX18" s="119" t="str">
        <f aca="false">IF($A18="","",1*$G18)</f>
        <v/>
      </c>
      <c r="AY18" s="118" t="str">
        <f aca="false">IF($A18="","",1*$G18)</f>
        <v/>
      </c>
      <c r="AZ18" s="116" t="str">
        <f aca="false">IF($A18="","",$B18-35-35)</f>
        <v/>
      </c>
      <c r="BA18" s="119" t="str">
        <f aca="false">IF($A18="","",$F18-35-10)</f>
        <v/>
      </c>
      <c r="BB18" s="118" t="str">
        <f aca="false">IF($A18="","",2*$G18)</f>
        <v/>
      </c>
      <c r="BD18" s="1" t="str">
        <f aca="false">IF($A18="","",$BC$4*$G18)</f>
        <v/>
      </c>
    </row>
    <row r="19" customFormat="false" ht="39.75" hidden="false" customHeight="true" outlineLevel="0" collapsed="false">
      <c r="A19" s="111"/>
      <c r="B19" s="112"/>
      <c r="C19" s="112" t="str">
        <f aca="false">IF($A19="","",$D19+$E19)</f>
        <v/>
      </c>
      <c r="D19" s="112"/>
      <c r="E19" s="112"/>
      <c r="F19" s="113" t="str">
        <f aca="false">IF($A19="","",(($C19-$D19-$E19)/2))</f>
        <v/>
      </c>
      <c r="G19" s="114"/>
      <c r="H19" s="115" t="str">
        <f aca="false">IF($A19="","",$B19)</f>
        <v/>
      </c>
      <c r="I19" s="114" t="str">
        <f aca="false">IF($A19="","",2*$G19)</f>
        <v/>
      </c>
      <c r="J19" s="115" t="str">
        <f aca="false">IF($A19="","",$H19)</f>
        <v/>
      </c>
      <c r="K19" s="114" t="str">
        <f aca="false">IF($A19="","",2*$G19)</f>
        <v/>
      </c>
      <c r="L19" s="115" t="str">
        <f aca="false">IF($A19="","",$C19-$F19-$F19-$E$56-$F$56)</f>
        <v/>
      </c>
      <c r="M19" s="114" t="str">
        <f aca="false">IF($A19="","",1*$G19)</f>
        <v/>
      </c>
      <c r="N19" s="115" t="str">
        <f aca="false">IF($A19="","",$L19)</f>
        <v/>
      </c>
      <c r="O19" s="114" t="str">
        <f aca="false">IF($A19="","",1*$G19)</f>
        <v/>
      </c>
      <c r="P19" s="115" t="str">
        <f aca="false">IF($A19="","",$F19-$E$58)</f>
        <v/>
      </c>
      <c r="Q19" s="114" t="str">
        <f aca="false">IF($A19="","",2*$G19)</f>
        <v/>
      </c>
      <c r="R19" s="115" t="str">
        <f aca="false">IF($A19="","",$H19)</f>
        <v/>
      </c>
      <c r="S19" s="114" t="str">
        <f aca="false">IF($A19="","",2*$G19)</f>
        <v/>
      </c>
      <c r="T19" s="115" t="str">
        <f aca="false">IF($A19="","",$P19)</f>
        <v/>
      </c>
      <c r="U19" s="114" t="str">
        <f aca="false">IF($A19="","",2*$G19)</f>
        <v/>
      </c>
      <c r="V19" s="115" t="str">
        <f aca="false">IF($A19="","",$B19-$E$61-$F$61)</f>
        <v/>
      </c>
      <c r="W19" s="114" t="str">
        <f aca="false">IF($A19="","",4*$G19)</f>
        <v/>
      </c>
      <c r="X19" s="115" t="str">
        <f aca="false">IF($A19="","",$D19-$E$62-$F$62)</f>
        <v/>
      </c>
      <c r="Y19" s="114" t="str">
        <f aca="false">IF($A19="","",2*$G19)</f>
        <v/>
      </c>
      <c r="Z19" s="115" t="str">
        <f aca="false">IF($A19="","",$E19-$E$63-$F$63)</f>
        <v/>
      </c>
      <c r="AA19" s="114" t="str">
        <f aca="false">IF($A19="","",2*$G19)</f>
        <v/>
      </c>
      <c r="AB19" s="115" t="str">
        <f aca="false">IF($A19="","",$V19-$E$64-$F$64)</f>
        <v/>
      </c>
      <c r="AC19" s="114" t="str">
        <f aca="false">IF($A19="","",4*$G19)</f>
        <v/>
      </c>
      <c r="AD19" s="115" t="str">
        <f aca="false">IF($A19="","",$X19-$E$65-$F$65)</f>
        <v/>
      </c>
      <c r="AE19" s="114" t="str">
        <f aca="false">IF($A19="","",2*$G19)</f>
        <v/>
      </c>
      <c r="AF19" s="115" t="str">
        <f aca="false">IF($A19="","",$Z19-$E$66-$F$66)</f>
        <v/>
      </c>
      <c r="AG19" s="114" t="str">
        <f aca="false">IF($A19="","",2*$G19)</f>
        <v/>
      </c>
      <c r="AH19" s="115" t="str">
        <f aca="false">IF($A19="","",$F19-$E$67)</f>
        <v/>
      </c>
      <c r="AI19" s="114" t="str">
        <f aca="false">IF($A19="","",2*$G19)</f>
        <v/>
      </c>
      <c r="AJ19" s="115" t="str">
        <f aca="false">IF($A19="","",$B19-$E$68-$F$68)</f>
        <v/>
      </c>
      <c r="AK19" s="114" t="str">
        <f aca="false">IF($A19="","",(IF(OR($B19&gt;3000,$D19&gt;1200),5,4)+IF(OR($B19&gt;3000,$E19&gt;1200),5,4))*$G19)</f>
        <v/>
      </c>
      <c r="AL19" s="115" t="str">
        <f aca="false">IF($A19="","",4*2*$G19)</f>
        <v/>
      </c>
      <c r="AM19" s="114" t="str">
        <f aca="false">IF($A19="","",8*2*$G19)</f>
        <v/>
      </c>
      <c r="AN19" s="115" t="str">
        <f aca="false">IF($A19="","",$BC$1*$G19)</f>
        <v/>
      </c>
      <c r="AO19" s="114" t="str">
        <f aca="false">IF($A19="","",$BC$2*$G19)</f>
        <v/>
      </c>
      <c r="AP19" s="115" t="str">
        <f aca="false">IF($A19="","",$BC$3*$G19)</f>
        <v/>
      </c>
      <c r="AQ19" s="114" t="str">
        <f aca="false">IF($A19="","",1*$G19)</f>
        <v/>
      </c>
      <c r="AR19" s="115" t="str">
        <f aca="false">IF($A19="","",1*$G19)</f>
        <v/>
      </c>
      <c r="AS19" s="114" t="str">
        <f aca="false">IF($A19="","",1*$G19)</f>
        <v/>
      </c>
      <c r="AT19" s="116" t="str">
        <f aca="false">IF($A19="","",1*$G19)</f>
        <v/>
      </c>
      <c r="AU19" s="119" t="str">
        <f aca="false">IF($A19="","",8*$G19)</f>
        <v/>
      </c>
      <c r="AV19" s="118" t="str">
        <f aca="false">IF($A19="","",ROUND((2*($D19+$B19)+2*($E19+$B19))*$G19/1000,1))</f>
        <v/>
      </c>
      <c r="AW19" s="116" t="str">
        <f aca="false">IF($A19="","",ROUND((2*($C19+$B19))*$G19/1000,1))</f>
        <v/>
      </c>
      <c r="AX19" s="119" t="str">
        <f aca="false">IF($A19="","",1*$G19)</f>
        <v/>
      </c>
      <c r="AY19" s="118" t="str">
        <f aca="false">IF($A19="","",1*$G19)</f>
        <v/>
      </c>
      <c r="AZ19" s="116" t="str">
        <f aca="false">IF($A19="","",$B19-35-35)</f>
        <v/>
      </c>
      <c r="BA19" s="119" t="str">
        <f aca="false">IF($A19="","",$F19-35-10)</f>
        <v/>
      </c>
      <c r="BB19" s="118" t="str">
        <f aca="false">IF($A19="","",2*$G19)</f>
        <v/>
      </c>
      <c r="BD19" s="1" t="str">
        <f aca="false">IF($A19="","",$BC$4*$G19)</f>
        <v/>
      </c>
    </row>
    <row r="20" customFormat="false" ht="39.75" hidden="false" customHeight="true" outlineLevel="0" collapsed="false">
      <c r="A20" s="111"/>
      <c r="B20" s="112"/>
      <c r="C20" s="112" t="str">
        <f aca="false">IF($A20="","",$D20+$E20)</f>
        <v/>
      </c>
      <c r="D20" s="112"/>
      <c r="E20" s="112"/>
      <c r="F20" s="113" t="str">
        <f aca="false">IF($A20="","",(($C20-$D20-$E20)/2))</f>
        <v/>
      </c>
      <c r="G20" s="114"/>
      <c r="H20" s="120" t="str">
        <f aca="false">IF($A20="","",$B20)</f>
        <v/>
      </c>
      <c r="I20" s="121" t="str">
        <f aca="false">IF($A20="","",2*$G20)</f>
        <v/>
      </c>
      <c r="J20" s="120" t="str">
        <f aca="false">IF($A20="","",$H20)</f>
        <v/>
      </c>
      <c r="K20" s="121" t="str">
        <f aca="false">IF($A20="","",2*$G20)</f>
        <v/>
      </c>
      <c r="L20" s="120" t="str">
        <f aca="false">IF($A20="","",$C20-$F20-$F20-$E$56-$F$56)</f>
        <v/>
      </c>
      <c r="M20" s="121" t="str">
        <f aca="false">IF($A20="","",1*$G20)</f>
        <v/>
      </c>
      <c r="N20" s="120" t="str">
        <f aca="false">IF($A20="","",$L20)</f>
        <v/>
      </c>
      <c r="O20" s="121" t="str">
        <f aca="false">IF($A20="","",1*$G20)</f>
        <v/>
      </c>
      <c r="P20" s="120" t="str">
        <f aca="false">IF($A20="","",$F20-$E$58)</f>
        <v/>
      </c>
      <c r="Q20" s="121" t="str">
        <f aca="false">IF($A20="","",2*$G20)</f>
        <v/>
      </c>
      <c r="R20" s="120" t="str">
        <f aca="false">IF($A20="","",$H20)</f>
        <v/>
      </c>
      <c r="S20" s="121" t="str">
        <f aca="false">IF($A20="","",2*$G20)</f>
        <v/>
      </c>
      <c r="T20" s="120" t="str">
        <f aca="false">IF($A20="","",$P20)</f>
        <v/>
      </c>
      <c r="U20" s="121" t="str">
        <f aca="false">IF($A20="","",2*$G20)</f>
        <v/>
      </c>
      <c r="V20" s="120" t="str">
        <f aca="false">IF($A20="","",$B20-$E$61-$F$61)</f>
        <v/>
      </c>
      <c r="W20" s="121" t="str">
        <f aca="false">IF($A20="","",4*$G20)</f>
        <v/>
      </c>
      <c r="X20" s="120" t="str">
        <f aca="false">IF($A20="","",$D20-$E$62-$F$62)</f>
        <v/>
      </c>
      <c r="Y20" s="121" t="str">
        <f aca="false">IF($A20="","",2*$G20)</f>
        <v/>
      </c>
      <c r="Z20" s="120" t="str">
        <f aca="false">IF($A20="","",$E20-$E$63-$F$63)</f>
        <v/>
      </c>
      <c r="AA20" s="121" t="str">
        <f aca="false">IF($A20="","",2*$G20)</f>
        <v/>
      </c>
      <c r="AB20" s="120" t="str">
        <f aca="false">IF($A20="","",$V20-$E$64-$F$64)</f>
        <v/>
      </c>
      <c r="AC20" s="121" t="str">
        <f aca="false">IF($A20="","",4*$G20)</f>
        <v/>
      </c>
      <c r="AD20" s="120" t="str">
        <f aca="false">IF($A20="","",$X20-$E$65-$F$65)</f>
        <v/>
      </c>
      <c r="AE20" s="121" t="str">
        <f aca="false">IF($A20="","",2*$G20)</f>
        <v/>
      </c>
      <c r="AF20" s="120" t="str">
        <f aca="false">IF($A20="","",$Z20-$E$66-$F$66)</f>
        <v/>
      </c>
      <c r="AG20" s="121" t="str">
        <f aca="false">IF($A20="","",2*$G20)</f>
        <v/>
      </c>
      <c r="AH20" s="120" t="str">
        <f aca="false">IF($A20="","",$F20-$E$67)</f>
        <v/>
      </c>
      <c r="AI20" s="121" t="str">
        <f aca="false">IF($A20="","",2*$G20)</f>
        <v/>
      </c>
      <c r="AJ20" s="120" t="str">
        <f aca="false">IF($A20="","",$B20-$E$68-$F$68)</f>
        <v/>
      </c>
      <c r="AK20" s="121" t="str">
        <f aca="false">IF($A20="","",(IF(OR($B20&gt;3000,$D20&gt;1200),5,4)+IF(OR($B20&gt;3000,$E20&gt;1200),5,4))*$G20)</f>
        <v/>
      </c>
      <c r="AL20" s="120" t="str">
        <f aca="false">IF($A20="","",4*2*$G20)</f>
        <v/>
      </c>
      <c r="AM20" s="121" t="str">
        <f aca="false">IF($A20="","",8*2*$G20)</f>
        <v/>
      </c>
      <c r="AN20" s="120" t="str">
        <f aca="false">IF($A20="","",$BC$1*$G20)</f>
        <v/>
      </c>
      <c r="AO20" s="121" t="str">
        <f aca="false">IF($A20="","",$BC$2*$G20)</f>
        <v/>
      </c>
      <c r="AP20" s="120" t="str">
        <f aca="false">IF($A20="","",$BC$3*$G20)</f>
        <v/>
      </c>
      <c r="AQ20" s="121" t="str">
        <f aca="false">IF($A20="","",1*$G20)</f>
        <v/>
      </c>
      <c r="AR20" s="120" t="str">
        <f aca="false">IF($A20="","",1*$G20)</f>
        <v/>
      </c>
      <c r="AS20" s="121" t="str">
        <f aca="false">IF($A20="","",1*$G20)</f>
        <v/>
      </c>
      <c r="AT20" s="116" t="str">
        <f aca="false">IF($A20="","",1*$G20)</f>
        <v/>
      </c>
      <c r="AU20" s="119" t="str">
        <f aca="false">IF($A20="","",8*$G20)</f>
        <v/>
      </c>
      <c r="AV20" s="118" t="str">
        <f aca="false">IF($A20="","",ROUND((2*($D20+$B20)+2*($E20+$B20))*$G20/1000,1))</f>
        <v/>
      </c>
      <c r="AW20" s="116" t="str">
        <f aca="false">IF($A20="","",ROUND((2*($C20+$B20))*$G20/1000,1))</f>
        <v/>
      </c>
      <c r="AX20" s="119" t="str">
        <f aca="false">IF($A20="","",1*$G20)</f>
        <v/>
      </c>
      <c r="AY20" s="118" t="str">
        <f aca="false">IF($A20="","",1*$G20)</f>
        <v/>
      </c>
      <c r="AZ20" s="116" t="str">
        <f aca="false">IF($A20="","",$B20-35-35)</f>
        <v/>
      </c>
      <c r="BA20" s="119" t="str">
        <f aca="false">IF($A20="","",$F20-35-10)</f>
        <v/>
      </c>
      <c r="BB20" s="118" t="str">
        <f aca="false">IF($A20="","",2*$G20)</f>
        <v/>
      </c>
      <c r="BD20" s="1" t="str">
        <f aca="false">IF($A20="","",$BC$4*$G20)</f>
        <v/>
      </c>
    </row>
    <row r="21" customFormat="false" ht="39.75" hidden="false" customHeight="true" outlineLevel="0" collapsed="false">
      <c r="A21" s="111"/>
      <c r="B21" s="112"/>
      <c r="C21" s="112" t="str">
        <f aca="false">IF($A21="","",$D21+$E21)</f>
        <v/>
      </c>
      <c r="D21" s="112"/>
      <c r="E21" s="112"/>
      <c r="F21" s="113" t="str">
        <f aca="false">IF($A21="","",(($C21-$D21-$E21)/2))</f>
        <v/>
      </c>
      <c r="G21" s="114"/>
      <c r="H21" s="115" t="str">
        <f aca="false">IF($A21="","",$B21)</f>
        <v/>
      </c>
      <c r="I21" s="114" t="str">
        <f aca="false">IF($A21="","",2*$G21)</f>
        <v/>
      </c>
      <c r="J21" s="115" t="str">
        <f aca="false">IF($A21="","",$H21)</f>
        <v/>
      </c>
      <c r="K21" s="114" t="str">
        <f aca="false">IF($A21="","",2*$G21)</f>
        <v/>
      </c>
      <c r="L21" s="115" t="str">
        <f aca="false">IF($A21="","",$C21-$F21-$F21-$E$56-$F$56)</f>
        <v/>
      </c>
      <c r="M21" s="114" t="str">
        <f aca="false">IF($A21="","",1*$G21)</f>
        <v/>
      </c>
      <c r="N21" s="115" t="str">
        <f aca="false">IF($A21="","",$L21)</f>
        <v/>
      </c>
      <c r="O21" s="114" t="str">
        <f aca="false">IF($A21="","",1*$G21)</f>
        <v/>
      </c>
      <c r="P21" s="115" t="str">
        <f aca="false">IF($A21="","",$F21-$E$58)</f>
        <v/>
      </c>
      <c r="Q21" s="114" t="str">
        <f aca="false">IF($A21="","",2*$G21)</f>
        <v/>
      </c>
      <c r="R21" s="115" t="str">
        <f aca="false">IF($A21="","",$H21)</f>
        <v/>
      </c>
      <c r="S21" s="114" t="str">
        <f aca="false">IF($A21="","",2*$G21)</f>
        <v/>
      </c>
      <c r="T21" s="115" t="str">
        <f aca="false">IF($A21="","",$P21)</f>
        <v/>
      </c>
      <c r="U21" s="114" t="str">
        <f aca="false">IF($A21="","",2*$G21)</f>
        <v/>
      </c>
      <c r="V21" s="115" t="str">
        <f aca="false">IF($A21="","",$B21-$E$61-$F$61)</f>
        <v/>
      </c>
      <c r="W21" s="114" t="str">
        <f aca="false">IF($A21="","",4*$G21)</f>
        <v/>
      </c>
      <c r="X21" s="115" t="str">
        <f aca="false">IF($A21="","",$D21-$E$62-$F$62)</f>
        <v/>
      </c>
      <c r="Y21" s="114" t="str">
        <f aca="false">IF($A21="","",2*$G21)</f>
        <v/>
      </c>
      <c r="Z21" s="115" t="str">
        <f aca="false">IF($A21="","",$E21-$E$63-$F$63)</f>
        <v/>
      </c>
      <c r="AA21" s="114" t="str">
        <f aca="false">IF($A21="","",2*$G21)</f>
        <v/>
      </c>
      <c r="AB21" s="115" t="str">
        <f aca="false">IF($A21="","",$V21-$E$64-$F$64)</f>
        <v/>
      </c>
      <c r="AC21" s="114" t="str">
        <f aca="false">IF($A21="","",4*$G21)</f>
        <v/>
      </c>
      <c r="AD21" s="115" t="str">
        <f aca="false">IF($A21="","",$X21-$E$65-$F$65)</f>
        <v/>
      </c>
      <c r="AE21" s="114" t="str">
        <f aca="false">IF($A21="","",2*$G21)</f>
        <v/>
      </c>
      <c r="AF21" s="115" t="str">
        <f aca="false">IF($A21="","",$Z21-$E$66-$F$66)</f>
        <v/>
      </c>
      <c r="AG21" s="114" t="str">
        <f aca="false">IF($A21="","",2*$G21)</f>
        <v/>
      </c>
      <c r="AH21" s="115" t="str">
        <f aca="false">IF($A21="","",$F21-$E$67)</f>
        <v/>
      </c>
      <c r="AI21" s="114" t="str">
        <f aca="false">IF($A21="","",2*$G21)</f>
        <v/>
      </c>
      <c r="AJ21" s="115" t="str">
        <f aca="false">IF($A21="","",$B21-$E$68-$F$68)</f>
        <v/>
      </c>
      <c r="AK21" s="114" t="str">
        <f aca="false">IF($A21="","",(IF(OR($B21&gt;3000,$D21&gt;1200),5,4)+IF(OR($B21&gt;3000,$E21&gt;1200),5,4))*$G21)</f>
        <v/>
      </c>
      <c r="AL21" s="115" t="str">
        <f aca="false">IF($A21="","",4*2*$G21)</f>
        <v/>
      </c>
      <c r="AM21" s="114" t="str">
        <f aca="false">IF($A21="","",8*2*$G21)</f>
        <v/>
      </c>
      <c r="AN21" s="115" t="str">
        <f aca="false">IF($A21="","",$BC$1*$G21)</f>
        <v/>
      </c>
      <c r="AO21" s="114" t="str">
        <f aca="false">IF($A21="","",$BC$2*$G21)</f>
        <v/>
      </c>
      <c r="AP21" s="115" t="str">
        <f aca="false">IF($A21="","",$BC$3*$G21)</f>
        <v/>
      </c>
      <c r="AQ21" s="114" t="str">
        <f aca="false">IF($A21="","",1*$G21)</f>
        <v/>
      </c>
      <c r="AR21" s="115" t="str">
        <f aca="false">IF($A21="","",1*$G21)</f>
        <v/>
      </c>
      <c r="AS21" s="114" t="str">
        <f aca="false">IF($A21="","",1*$G21)</f>
        <v/>
      </c>
      <c r="AT21" s="116" t="str">
        <f aca="false">IF($A21="","",1*$G21)</f>
        <v/>
      </c>
      <c r="AU21" s="119" t="str">
        <f aca="false">IF($A21="","",8*$G21)</f>
        <v/>
      </c>
      <c r="AV21" s="118" t="str">
        <f aca="false">IF($A21="","",ROUND((2*($D21+$B21)+2*($E21+$B21))*$G21/1000,1))</f>
        <v/>
      </c>
      <c r="AW21" s="116" t="str">
        <f aca="false">IF($A21="","",ROUND((2*($C21+$B21))*$G21/1000,1))</f>
        <v/>
      </c>
      <c r="AX21" s="119" t="str">
        <f aca="false">IF($A21="","",1*$G21)</f>
        <v/>
      </c>
      <c r="AY21" s="118" t="str">
        <f aca="false">IF($A21="","",1*$G21)</f>
        <v/>
      </c>
      <c r="AZ21" s="116" t="str">
        <f aca="false">IF($A21="","",$B21-35-35)</f>
        <v/>
      </c>
      <c r="BA21" s="119" t="str">
        <f aca="false">IF($A21="","",$F21-35-10)</f>
        <v/>
      </c>
      <c r="BB21" s="118" t="str">
        <f aca="false">IF($A21="","",2*$G21)</f>
        <v/>
      </c>
      <c r="BD21" s="1" t="str">
        <f aca="false">IF($A21="","",$BC$4*$G21)</f>
        <v/>
      </c>
    </row>
    <row r="22" customFormat="false" ht="39.75" hidden="false" customHeight="true" outlineLevel="0" collapsed="false">
      <c r="A22" s="111"/>
      <c r="B22" s="112"/>
      <c r="C22" s="112" t="str">
        <f aca="false">IF($A22="","",$D22+$E22)</f>
        <v/>
      </c>
      <c r="D22" s="112"/>
      <c r="E22" s="112"/>
      <c r="F22" s="113" t="str">
        <f aca="false">IF($A22="","",(($C22-$D22-$E22)/2))</f>
        <v/>
      </c>
      <c r="G22" s="114"/>
      <c r="H22" s="120" t="str">
        <f aca="false">IF($A22="","",$B22)</f>
        <v/>
      </c>
      <c r="I22" s="121" t="str">
        <f aca="false">IF($A22="","",2*$G22)</f>
        <v/>
      </c>
      <c r="J22" s="120" t="str">
        <f aca="false">IF($A22="","",$H22)</f>
        <v/>
      </c>
      <c r="K22" s="121" t="str">
        <f aca="false">IF($A22="","",2*$G22)</f>
        <v/>
      </c>
      <c r="L22" s="120" t="str">
        <f aca="false">IF($A22="","",$C22-$F22-$F22-$E$56-$F$56)</f>
        <v/>
      </c>
      <c r="M22" s="121" t="str">
        <f aca="false">IF($A22="","",1*$G22)</f>
        <v/>
      </c>
      <c r="N22" s="120" t="str">
        <f aca="false">IF($A22="","",$L22)</f>
        <v/>
      </c>
      <c r="O22" s="121" t="str">
        <f aca="false">IF($A22="","",1*$G22)</f>
        <v/>
      </c>
      <c r="P22" s="120" t="str">
        <f aca="false">IF($A22="","",$F22-$E$58)</f>
        <v/>
      </c>
      <c r="Q22" s="121" t="str">
        <f aca="false">IF($A22="","",2*$G22)</f>
        <v/>
      </c>
      <c r="R22" s="120" t="str">
        <f aca="false">IF($A22="","",$H22)</f>
        <v/>
      </c>
      <c r="S22" s="121" t="str">
        <f aca="false">IF($A22="","",2*$G22)</f>
        <v/>
      </c>
      <c r="T22" s="120" t="str">
        <f aca="false">IF($A22="","",$P22)</f>
        <v/>
      </c>
      <c r="U22" s="121" t="str">
        <f aca="false">IF($A22="","",2*$G22)</f>
        <v/>
      </c>
      <c r="V22" s="120" t="str">
        <f aca="false">IF($A22="","",$B22-$E$61-$F$61)</f>
        <v/>
      </c>
      <c r="W22" s="121" t="str">
        <f aca="false">IF($A22="","",4*$G22)</f>
        <v/>
      </c>
      <c r="X22" s="120" t="str">
        <f aca="false">IF($A22="","",$D22-$E$62-$F$62)</f>
        <v/>
      </c>
      <c r="Y22" s="121" t="str">
        <f aca="false">IF($A22="","",2*$G22)</f>
        <v/>
      </c>
      <c r="Z22" s="120" t="str">
        <f aca="false">IF($A22="","",$E22-$E$63-$F$63)</f>
        <v/>
      </c>
      <c r="AA22" s="121" t="str">
        <f aca="false">IF($A22="","",2*$G22)</f>
        <v/>
      </c>
      <c r="AB22" s="120" t="str">
        <f aca="false">IF($A22="","",$V22-$E$64-$F$64)</f>
        <v/>
      </c>
      <c r="AC22" s="121" t="str">
        <f aca="false">IF($A22="","",4*$G22)</f>
        <v/>
      </c>
      <c r="AD22" s="120" t="str">
        <f aca="false">IF($A22="","",$X22-$E$65-$F$65)</f>
        <v/>
      </c>
      <c r="AE22" s="121" t="str">
        <f aca="false">IF($A22="","",2*$G22)</f>
        <v/>
      </c>
      <c r="AF22" s="120" t="str">
        <f aca="false">IF($A22="","",$Z22-$E$66-$F$66)</f>
        <v/>
      </c>
      <c r="AG22" s="121" t="str">
        <f aca="false">IF($A22="","",2*$G22)</f>
        <v/>
      </c>
      <c r="AH22" s="120" t="str">
        <f aca="false">IF($A22="","",$F22-$E$67)</f>
        <v/>
      </c>
      <c r="AI22" s="121" t="str">
        <f aca="false">IF($A22="","",2*$G22)</f>
        <v/>
      </c>
      <c r="AJ22" s="120" t="str">
        <f aca="false">IF($A22="","",$B22-$E$68-$F$68)</f>
        <v/>
      </c>
      <c r="AK22" s="121" t="str">
        <f aca="false">IF($A22="","",(IF(OR($B22&gt;3000,$D22&gt;1200),5,4)+IF(OR($B22&gt;3000,$E22&gt;1200),5,4))*$G22)</f>
        <v/>
      </c>
      <c r="AL22" s="120" t="str">
        <f aca="false">IF($A22="","",4*2*$G22)</f>
        <v/>
      </c>
      <c r="AM22" s="121" t="str">
        <f aca="false">IF($A22="","",8*2*$G22)</f>
        <v/>
      </c>
      <c r="AN22" s="120" t="str">
        <f aca="false">IF($A22="","",$BC$1*$G22)</f>
        <v/>
      </c>
      <c r="AO22" s="121" t="str">
        <f aca="false">IF($A22="","",$BC$2*$G22)</f>
        <v/>
      </c>
      <c r="AP22" s="120" t="str">
        <f aca="false">IF($A22="","",$BC$3*$G22)</f>
        <v/>
      </c>
      <c r="AQ22" s="121" t="str">
        <f aca="false">IF($A22="","",1*$G22)</f>
        <v/>
      </c>
      <c r="AR22" s="120" t="str">
        <f aca="false">IF($A22="","",1*$G22)</f>
        <v/>
      </c>
      <c r="AS22" s="121" t="str">
        <f aca="false">IF($A22="","",1*$G22)</f>
        <v/>
      </c>
      <c r="AT22" s="116" t="str">
        <f aca="false">IF($A22="","",1*$G22)</f>
        <v/>
      </c>
      <c r="AU22" s="119" t="str">
        <f aca="false">IF($A22="","",8*$G22)</f>
        <v/>
      </c>
      <c r="AV22" s="118" t="str">
        <f aca="false">IF($A22="","",ROUND((2*($D22+$B22)+2*($E22+$B22))*$G22/1000,1))</f>
        <v/>
      </c>
      <c r="AW22" s="116" t="str">
        <f aca="false">IF($A22="","",ROUND((2*($C22+$B22))*$G22/1000,1))</f>
        <v/>
      </c>
      <c r="AX22" s="119" t="str">
        <f aca="false">IF($A22="","",1*$G22)</f>
        <v/>
      </c>
      <c r="AY22" s="118" t="str">
        <f aca="false">IF($A22="","",1*$G22)</f>
        <v/>
      </c>
      <c r="AZ22" s="116" t="str">
        <f aca="false">IF($A22="","",$B22-35-35)</f>
        <v/>
      </c>
      <c r="BA22" s="119" t="str">
        <f aca="false">IF($A22="","",$F22-35-10)</f>
        <v/>
      </c>
      <c r="BB22" s="118" t="str">
        <f aca="false">IF($A22="","",2*$G22)</f>
        <v/>
      </c>
      <c r="BD22" s="1" t="str">
        <f aca="false">IF($A22="","",$BC$4*$G22)</f>
        <v/>
      </c>
    </row>
    <row r="23" customFormat="false" ht="39.75" hidden="false" customHeight="true" outlineLevel="0" collapsed="false">
      <c r="A23" s="111"/>
      <c r="B23" s="112"/>
      <c r="C23" s="112" t="str">
        <f aca="false">IF($A23="","",$D23+$E23)</f>
        <v/>
      </c>
      <c r="D23" s="112"/>
      <c r="E23" s="112"/>
      <c r="F23" s="113" t="str">
        <f aca="false">IF($A23="","",(($C23-$D23-$E23)/2))</f>
        <v/>
      </c>
      <c r="G23" s="114"/>
      <c r="H23" s="115" t="str">
        <f aca="false">IF($A23="","",$B23)</f>
        <v/>
      </c>
      <c r="I23" s="114" t="str">
        <f aca="false">IF($A23="","",2*$G23)</f>
        <v/>
      </c>
      <c r="J23" s="115" t="str">
        <f aca="false">IF($A23="","",$H23)</f>
        <v/>
      </c>
      <c r="K23" s="114" t="str">
        <f aca="false">IF($A23="","",2*$G23)</f>
        <v/>
      </c>
      <c r="L23" s="115" t="str">
        <f aca="false">IF($A23="","",$C23-$F23-$F23-$E$56-$F$56)</f>
        <v/>
      </c>
      <c r="M23" s="114" t="str">
        <f aca="false">IF($A23="","",1*$G23)</f>
        <v/>
      </c>
      <c r="N23" s="115" t="str">
        <f aca="false">IF($A23="","",$L23)</f>
        <v/>
      </c>
      <c r="O23" s="114" t="str">
        <f aca="false">IF($A23="","",1*$G23)</f>
        <v/>
      </c>
      <c r="P23" s="115" t="str">
        <f aca="false">IF($A23="","",$F23-$E$58)</f>
        <v/>
      </c>
      <c r="Q23" s="114" t="str">
        <f aca="false">IF($A23="","",2*$G23)</f>
        <v/>
      </c>
      <c r="R23" s="115" t="str">
        <f aca="false">IF($A23="","",$H23)</f>
        <v/>
      </c>
      <c r="S23" s="114" t="str">
        <f aca="false">IF($A23="","",2*$G23)</f>
        <v/>
      </c>
      <c r="T23" s="115" t="str">
        <f aca="false">IF($A23="","",$P23)</f>
        <v/>
      </c>
      <c r="U23" s="114" t="str">
        <f aca="false">IF($A23="","",2*$G23)</f>
        <v/>
      </c>
      <c r="V23" s="115" t="str">
        <f aca="false">IF($A23="","",$B23-$E$61-$F$61)</f>
        <v/>
      </c>
      <c r="W23" s="114" t="str">
        <f aca="false">IF($A23="","",4*$G23)</f>
        <v/>
      </c>
      <c r="X23" s="115" t="str">
        <f aca="false">IF($A23="","",$D23-$E$62-$F$62)</f>
        <v/>
      </c>
      <c r="Y23" s="114" t="str">
        <f aca="false">IF($A23="","",2*$G23)</f>
        <v/>
      </c>
      <c r="Z23" s="115" t="str">
        <f aca="false">IF($A23="","",$E23-$E$63-$F$63)</f>
        <v/>
      </c>
      <c r="AA23" s="114" t="str">
        <f aca="false">IF($A23="","",2*$G23)</f>
        <v/>
      </c>
      <c r="AB23" s="115" t="str">
        <f aca="false">IF($A23="","",$V23-$E$64-$F$64)</f>
        <v/>
      </c>
      <c r="AC23" s="114" t="str">
        <f aca="false">IF($A23="","",4*$G23)</f>
        <v/>
      </c>
      <c r="AD23" s="115" t="str">
        <f aca="false">IF($A23="","",$X23-$E$65-$F$65)</f>
        <v/>
      </c>
      <c r="AE23" s="114" t="str">
        <f aca="false">IF($A23="","",2*$G23)</f>
        <v/>
      </c>
      <c r="AF23" s="115" t="str">
        <f aca="false">IF($A23="","",$Z23-$E$66-$F$66)</f>
        <v/>
      </c>
      <c r="AG23" s="114" t="str">
        <f aca="false">IF($A23="","",2*$G23)</f>
        <v/>
      </c>
      <c r="AH23" s="115" t="str">
        <f aca="false">IF($A23="","",$F23-$E$67)</f>
        <v/>
      </c>
      <c r="AI23" s="114" t="str">
        <f aca="false">IF($A23="","",2*$G23)</f>
        <v/>
      </c>
      <c r="AJ23" s="115" t="str">
        <f aca="false">IF($A23="","",$B23-$E$68-$F$68)</f>
        <v/>
      </c>
      <c r="AK23" s="114" t="str">
        <f aca="false">IF($A23="","",(IF(OR($B23&gt;3000,$D23&gt;1200),5,4)+IF(OR($B23&gt;3000,$E23&gt;1200),5,4))*$G23)</f>
        <v/>
      </c>
      <c r="AL23" s="115" t="str">
        <f aca="false">IF($A23="","",4*2*$G23)</f>
        <v/>
      </c>
      <c r="AM23" s="114" t="str">
        <f aca="false">IF($A23="","",8*2*$G23)</f>
        <v/>
      </c>
      <c r="AN23" s="115" t="str">
        <f aca="false">IF($A23="","",$BC$1*$G23)</f>
        <v/>
      </c>
      <c r="AO23" s="114" t="str">
        <f aca="false">IF($A23="","",$BC$2*$G23)</f>
        <v/>
      </c>
      <c r="AP23" s="115" t="str">
        <f aca="false">IF($A23="","",$BC$3*$G23)</f>
        <v/>
      </c>
      <c r="AQ23" s="114" t="str">
        <f aca="false">IF($A23="","",1*$G23)</f>
        <v/>
      </c>
      <c r="AR23" s="115" t="str">
        <f aca="false">IF($A23="","",1*$G23)</f>
        <v/>
      </c>
      <c r="AS23" s="114" t="str">
        <f aca="false">IF($A23="","",1*$G23)</f>
        <v/>
      </c>
      <c r="AT23" s="116" t="str">
        <f aca="false">IF($A23="","",1*$G23)</f>
        <v/>
      </c>
      <c r="AU23" s="119" t="str">
        <f aca="false">IF($A23="","",8*$G23)</f>
        <v/>
      </c>
      <c r="AV23" s="118" t="str">
        <f aca="false">IF($A23="","",ROUND((2*($D23+$B23)+2*($E23+$B23))*$G23/1000,1))</f>
        <v/>
      </c>
      <c r="AW23" s="116" t="str">
        <f aca="false">IF($A23="","",ROUND((2*($C23+$B23))*$G23/1000,1))</f>
        <v/>
      </c>
      <c r="AX23" s="119" t="str">
        <f aca="false">IF($A23="","",1*$G23)</f>
        <v/>
      </c>
      <c r="AY23" s="118" t="str">
        <f aca="false">IF($A23="","",1*$G23)</f>
        <v/>
      </c>
      <c r="AZ23" s="116" t="str">
        <f aca="false">IF($A23="","",$B23-35-35)</f>
        <v/>
      </c>
      <c r="BA23" s="119" t="str">
        <f aca="false">IF($A23="","",$F23-35-10)</f>
        <v/>
      </c>
      <c r="BB23" s="118" t="str">
        <f aca="false">IF($A23="","",2*$G23)</f>
        <v/>
      </c>
      <c r="BD23" s="1" t="str">
        <f aca="false">IF($A23="","",$BC$4*$G23)</f>
        <v/>
      </c>
    </row>
    <row r="24" customFormat="false" ht="39.75" hidden="false" customHeight="true" outlineLevel="0" collapsed="false">
      <c r="A24" s="111"/>
      <c r="B24" s="112"/>
      <c r="C24" s="112" t="str">
        <f aca="false">IF($A24="","",$D24+$E24)</f>
        <v/>
      </c>
      <c r="D24" s="112"/>
      <c r="E24" s="112"/>
      <c r="F24" s="113" t="str">
        <f aca="false">IF($A24="","",(($C24-$D24-$E24)/2))</f>
        <v/>
      </c>
      <c r="G24" s="114"/>
      <c r="H24" s="120" t="str">
        <f aca="false">IF($A24="","",$B24)</f>
        <v/>
      </c>
      <c r="I24" s="121" t="str">
        <f aca="false">IF($A24="","",2*$G24)</f>
        <v/>
      </c>
      <c r="J24" s="120" t="str">
        <f aca="false">IF($A24="","",$H24)</f>
        <v/>
      </c>
      <c r="K24" s="121" t="str">
        <f aca="false">IF($A24="","",2*$G24)</f>
        <v/>
      </c>
      <c r="L24" s="120" t="str">
        <f aca="false">IF($A24="","",$C24-$F24-$F24-$E$56-$F$56)</f>
        <v/>
      </c>
      <c r="M24" s="121" t="str">
        <f aca="false">IF($A24="","",1*$G24)</f>
        <v/>
      </c>
      <c r="N24" s="120" t="str">
        <f aca="false">IF($A24="","",$L24)</f>
        <v/>
      </c>
      <c r="O24" s="121" t="str">
        <f aca="false">IF($A24="","",1*$G24)</f>
        <v/>
      </c>
      <c r="P24" s="120" t="str">
        <f aca="false">IF($A24="","",$F24-$E$58)</f>
        <v/>
      </c>
      <c r="Q24" s="121" t="str">
        <f aca="false">IF($A24="","",2*$G24)</f>
        <v/>
      </c>
      <c r="R24" s="120" t="str">
        <f aca="false">IF($A24="","",$H24)</f>
        <v/>
      </c>
      <c r="S24" s="121" t="str">
        <f aca="false">IF($A24="","",2*$G24)</f>
        <v/>
      </c>
      <c r="T24" s="120" t="str">
        <f aca="false">IF($A24="","",$P24)</f>
        <v/>
      </c>
      <c r="U24" s="121" t="str">
        <f aca="false">IF($A24="","",2*$G24)</f>
        <v/>
      </c>
      <c r="V24" s="120" t="str">
        <f aca="false">IF($A24="","",$B24-$E$61-$F$61)</f>
        <v/>
      </c>
      <c r="W24" s="121" t="str">
        <f aca="false">IF($A24="","",4*$G24)</f>
        <v/>
      </c>
      <c r="X24" s="120" t="str">
        <f aca="false">IF($A24="","",$D24-$E$62-$F$62)</f>
        <v/>
      </c>
      <c r="Y24" s="121" t="str">
        <f aca="false">IF($A24="","",2*$G24)</f>
        <v/>
      </c>
      <c r="Z24" s="120" t="str">
        <f aca="false">IF($A24="","",$E24-$E$63-$F$63)</f>
        <v/>
      </c>
      <c r="AA24" s="121" t="str">
        <f aca="false">IF($A24="","",2*$G24)</f>
        <v/>
      </c>
      <c r="AB24" s="120" t="str">
        <f aca="false">IF($A24="","",$V24-$E$64-$F$64)</f>
        <v/>
      </c>
      <c r="AC24" s="121" t="str">
        <f aca="false">IF($A24="","",4*$G24)</f>
        <v/>
      </c>
      <c r="AD24" s="120" t="str">
        <f aca="false">IF($A24="","",$X24-$E$65-$F$65)</f>
        <v/>
      </c>
      <c r="AE24" s="121" t="str">
        <f aca="false">IF($A24="","",2*$G24)</f>
        <v/>
      </c>
      <c r="AF24" s="120" t="str">
        <f aca="false">IF($A24="","",$Z24-$E$66-$F$66)</f>
        <v/>
      </c>
      <c r="AG24" s="121" t="str">
        <f aca="false">IF($A24="","",2*$G24)</f>
        <v/>
      </c>
      <c r="AH24" s="120" t="str">
        <f aca="false">IF($A24="","",$F24-$E$67)</f>
        <v/>
      </c>
      <c r="AI24" s="121" t="str">
        <f aca="false">IF($A24="","",2*$G24)</f>
        <v/>
      </c>
      <c r="AJ24" s="120" t="str">
        <f aca="false">IF($A24="","",$B24-$E$68-$F$68)</f>
        <v/>
      </c>
      <c r="AK24" s="121" t="str">
        <f aca="false">IF($A24="","",(IF(OR($B24&gt;3000,$D24&gt;1200),5,4)+IF(OR($B24&gt;3000,$E24&gt;1200),5,4))*$G24)</f>
        <v/>
      </c>
      <c r="AL24" s="120" t="str">
        <f aca="false">IF($A24="","",4*2*$G24)</f>
        <v/>
      </c>
      <c r="AM24" s="121" t="str">
        <f aca="false">IF($A24="","",8*2*$G24)</f>
        <v/>
      </c>
      <c r="AN24" s="120" t="str">
        <f aca="false">IF($A24="","",$BC$1*$G24)</f>
        <v/>
      </c>
      <c r="AO24" s="121" t="str">
        <f aca="false">IF($A24="","",$BC$2*$G24)</f>
        <v/>
      </c>
      <c r="AP24" s="120" t="str">
        <f aca="false">IF($A24="","",$BC$3*$G24)</f>
        <v/>
      </c>
      <c r="AQ24" s="121" t="str">
        <f aca="false">IF($A24="","",1*$G24)</f>
        <v/>
      </c>
      <c r="AR24" s="120" t="str">
        <f aca="false">IF($A24="","",1*$G24)</f>
        <v/>
      </c>
      <c r="AS24" s="121" t="str">
        <f aca="false">IF($A24="","",1*$G24)</f>
        <v/>
      </c>
      <c r="AT24" s="116" t="str">
        <f aca="false">IF($A24="","",1*$G24)</f>
        <v/>
      </c>
      <c r="AU24" s="119" t="str">
        <f aca="false">IF($A24="","",8*$G24)</f>
        <v/>
      </c>
      <c r="AV24" s="118" t="str">
        <f aca="false">IF($A24="","",ROUND((2*($D24+$B24)+2*($E24+$B24))*$G24/1000,1))</f>
        <v/>
      </c>
      <c r="AW24" s="116" t="str">
        <f aca="false">IF($A24="","",ROUND((2*($C24+$B24))*$G24/1000,1))</f>
        <v/>
      </c>
      <c r="AX24" s="119" t="str">
        <f aca="false">IF($A24="","",1*$G24)</f>
        <v/>
      </c>
      <c r="AY24" s="118" t="str">
        <f aca="false">IF($A24="","",1*$G24)</f>
        <v/>
      </c>
      <c r="AZ24" s="116" t="str">
        <f aca="false">IF($A24="","",$B24-35-35)</f>
        <v/>
      </c>
      <c r="BA24" s="119" t="str">
        <f aca="false">IF($A24="","",$F24-35-10)</f>
        <v/>
      </c>
      <c r="BB24" s="118" t="str">
        <f aca="false">IF($A24="","",2*$G24)</f>
        <v/>
      </c>
      <c r="BD24" s="1" t="str">
        <f aca="false">IF($A24="","",$BC$4*$G24)</f>
        <v/>
      </c>
    </row>
    <row r="25" customFormat="false" ht="39.75" hidden="false" customHeight="true" outlineLevel="0" collapsed="false">
      <c r="A25" s="111"/>
      <c r="B25" s="112"/>
      <c r="C25" s="112" t="str">
        <f aca="false">IF($A25="","",$D25+$E25)</f>
        <v/>
      </c>
      <c r="D25" s="112"/>
      <c r="E25" s="112"/>
      <c r="F25" s="113" t="str">
        <f aca="false">IF($A25="","",(($C25-$D25-$E25)/2))</f>
        <v/>
      </c>
      <c r="G25" s="114"/>
      <c r="H25" s="115" t="str">
        <f aca="false">IF($A25="","",$B25)</f>
        <v/>
      </c>
      <c r="I25" s="114" t="str">
        <f aca="false">IF($A25="","",2*$G25)</f>
        <v/>
      </c>
      <c r="J25" s="115" t="str">
        <f aca="false">IF($A25="","",$H25)</f>
        <v/>
      </c>
      <c r="K25" s="114" t="str">
        <f aca="false">IF($A25="","",2*$G25)</f>
        <v/>
      </c>
      <c r="L25" s="115" t="str">
        <f aca="false">IF($A25="","",$C25-$F25-$F25-$E$56-$F$56)</f>
        <v/>
      </c>
      <c r="M25" s="114" t="str">
        <f aca="false">IF($A25="","",1*$G25)</f>
        <v/>
      </c>
      <c r="N25" s="115" t="str">
        <f aca="false">IF($A25="","",$L25)</f>
        <v/>
      </c>
      <c r="O25" s="114" t="str">
        <f aca="false">IF($A25="","",1*$G25)</f>
        <v/>
      </c>
      <c r="P25" s="115" t="str">
        <f aca="false">IF($A25="","",$F25-$E$58)</f>
        <v/>
      </c>
      <c r="Q25" s="114" t="str">
        <f aca="false">IF($A25="","",2*$G25)</f>
        <v/>
      </c>
      <c r="R25" s="115" t="str">
        <f aca="false">IF($A25="","",$H25)</f>
        <v/>
      </c>
      <c r="S25" s="114" t="str">
        <f aca="false">IF($A25="","",2*$G25)</f>
        <v/>
      </c>
      <c r="T25" s="115" t="str">
        <f aca="false">IF($A25="","",$P25)</f>
        <v/>
      </c>
      <c r="U25" s="114" t="str">
        <f aca="false">IF($A25="","",2*$G25)</f>
        <v/>
      </c>
      <c r="V25" s="115" t="str">
        <f aca="false">IF($A25="","",$B25-$E$61-$F$61)</f>
        <v/>
      </c>
      <c r="W25" s="114" t="str">
        <f aca="false">IF($A25="","",4*$G25)</f>
        <v/>
      </c>
      <c r="X25" s="115" t="str">
        <f aca="false">IF($A25="","",$D25-$E$62-$F$62)</f>
        <v/>
      </c>
      <c r="Y25" s="114" t="str">
        <f aca="false">IF($A25="","",2*$G25)</f>
        <v/>
      </c>
      <c r="Z25" s="115" t="str">
        <f aca="false">IF($A25="","",$E25-$E$63-$F$63)</f>
        <v/>
      </c>
      <c r="AA25" s="114" t="str">
        <f aca="false">IF($A25="","",2*$G25)</f>
        <v/>
      </c>
      <c r="AB25" s="115" t="str">
        <f aca="false">IF($A25="","",$V25-$E$64-$F$64)</f>
        <v/>
      </c>
      <c r="AC25" s="114" t="str">
        <f aca="false">IF($A25="","",4*$G25)</f>
        <v/>
      </c>
      <c r="AD25" s="115" t="str">
        <f aca="false">IF($A25="","",$X25-$E$65-$F$65)</f>
        <v/>
      </c>
      <c r="AE25" s="114" t="str">
        <f aca="false">IF($A25="","",2*$G25)</f>
        <v/>
      </c>
      <c r="AF25" s="115" t="str">
        <f aca="false">IF($A25="","",$Z25-$E$66-$F$66)</f>
        <v/>
      </c>
      <c r="AG25" s="114" t="str">
        <f aca="false">IF($A25="","",2*$G25)</f>
        <v/>
      </c>
      <c r="AH25" s="115" t="str">
        <f aca="false">IF($A25="","",$F25-$E$67)</f>
        <v/>
      </c>
      <c r="AI25" s="114" t="str">
        <f aca="false">IF($A25="","",2*$G25)</f>
        <v/>
      </c>
      <c r="AJ25" s="115" t="str">
        <f aca="false">IF($A25="","",$B25-$E$68-$F$68)</f>
        <v/>
      </c>
      <c r="AK25" s="114" t="str">
        <f aca="false">IF($A25="","",(IF(OR($B25&gt;3000,$D25&gt;1200),5,4)+IF(OR($B25&gt;3000,$E25&gt;1200),5,4))*$G25)</f>
        <v/>
      </c>
      <c r="AL25" s="115" t="str">
        <f aca="false">IF($A25="","",4*2*$G25)</f>
        <v/>
      </c>
      <c r="AM25" s="114" t="str">
        <f aca="false">IF($A25="","",8*2*$G25)</f>
        <v/>
      </c>
      <c r="AN25" s="115" t="str">
        <f aca="false">IF($A25="","",$BC$1*$G25)</f>
        <v/>
      </c>
      <c r="AO25" s="114" t="str">
        <f aca="false">IF($A25="","",$BC$2*$G25)</f>
        <v/>
      </c>
      <c r="AP25" s="115" t="str">
        <f aca="false">IF($A25="","",$BC$3*$G25)</f>
        <v/>
      </c>
      <c r="AQ25" s="114" t="str">
        <f aca="false">IF($A25="","",1*$G25)</f>
        <v/>
      </c>
      <c r="AR25" s="115" t="str">
        <f aca="false">IF($A25="","",1*$G25)</f>
        <v/>
      </c>
      <c r="AS25" s="114" t="str">
        <f aca="false">IF($A25="","",1*$G25)</f>
        <v/>
      </c>
      <c r="AT25" s="116" t="str">
        <f aca="false">IF($A25="","",1*$G25)</f>
        <v/>
      </c>
      <c r="AU25" s="119" t="str">
        <f aca="false">IF($A25="","",8*$G25)</f>
        <v/>
      </c>
      <c r="AV25" s="118" t="str">
        <f aca="false">IF($A25="","",ROUND((2*($D25+$B25)+2*($E25+$B25))*$G25/1000,1))</f>
        <v/>
      </c>
      <c r="AW25" s="116" t="str">
        <f aca="false">IF($A25="","",ROUND((2*($C25+$B25))*$G25/1000,1))</f>
        <v/>
      </c>
      <c r="AX25" s="119" t="str">
        <f aca="false">IF($A25="","",1*$G25)</f>
        <v/>
      </c>
      <c r="AY25" s="118" t="str">
        <f aca="false">IF($A25="","",1*$G25)</f>
        <v/>
      </c>
      <c r="AZ25" s="116" t="str">
        <f aca="false">IF($A25="","",$B25-35-35)</f>
        <v/>
      </c>
      <c r="BA25" s="119" t="str">
        <f aca="false">IF($A25="","",$F25-35-10)</f>
        <v/>
      </c>
      <c r="BB25" s="118" t="str">
        <f aca="false">IF($A25="","",2*$G25)</f>
        <v/>
      </c>
      <c r="BD25" s="1" t="str">
        <f aca="false">IF($A25="","",$BC$4*$G25)</f>
        <v/>
      </c>
    </row>
    <row r="26" customFormat="false" ht="39.75" hidden="false" customHeight="true" outlineLevel="0" collapsed="false">
      <c r="A26" s="111"/>
      <c r="B26" s="112"/>
      <c r="C26" s="112" t="str">
        <f aca="false">IF($A26="","",$D26+$E26)</f>
        <v/>
      </c>
      <c r="D26" s="112"/>
      <c r="E26" s="112"/>
      <c r="F26" s="113" t="str">
        <f aca="false">IF($A26="","",(($C26-$D26-$E26)/2))</f>
        <v/>
      </c>
      <c r="G26" s="114"/>
      <c r="H26" s="120" t="str">
        <f aca="false">IF($A26="","",$B26)</f>
        <v/>
      </c>
      <c r="I26" s="121" t="str">
        <f aca="false">IF($A26="","",2*$G26)</f>
        <v/>
      </c>
      <c r="J26" s="120" t="str">
        <f aca="false">IF($A26="","",$H26)</f>
        <v/>
      </c>
      <c r="K26" s="121" t="str">
        <f aca="false">IF($A26="","",2*$G26)</f>
        <v/>
      </c>
      <c r="L26" s="120" t="str">
        <f aca="false">IF($A26="","",$C26-$F26-$F26-$E$56-$F$56)</f>
        <v/>
      </c>
      <c r="M26" s="121" t="str">
        <f aca="false">IF($A26="","",1*$G26)</f>
        <v/>
      </c>
      <c r="N26" s="120" t="str">
        <f aca="false">IF($A26="","",$L26)</f>
        <v/>
      </c>
      <c r="O26" s="121" t="str">
        <f aca="false">IF($A26="","",1*$G26)</f>
        <v/>
      </c>
      <c r="P26" s="120" t="str">
        <f aca="false">IF($A26="","",$F26-$E$58)</f>
        <v/>
      </c>
      <c r="Q26" s="121" t="str">
        <f aca="false">IF($A26="","",2*$G26)</f>
        <v/>
      </c>
      <c r="R26" s="120" t="str">
        <f aca="false">IF($A26="","",$H26)</f>
        <v/>
      </c>
      <c r="S26" s="121" t="str">
        <f aca="false">IF($A26="","",2*$G26)</f>
        <v/>
      </c>
      <c r="T26" s="120" t="str">
        <f aca="false">IF($A26="","",$P26)</f>
        <v/>
      </c>
      <c r="U26" s="121" t="str">
        <f aca="false">IF($A26="","",2*$G26)</f>
        <v/>
      </c>
      <c r="V26" s="120" t="str">
        <f aca="false">IF($A26="","",$B26-$E$61-$F$61)</f>
        <v/>
      </c>
      <c r="W26" s="121" t="str">
        <f aca="false">IF($A26="","",4*$G26)</f>
        <v/>
      </c>
      <c r="X26" s="120" t="str">
        <f aca="false">IF($A26="","",$D26-$E$62-$F$62)</f>
        <v/>
      </c>
      <c r="Y26" s="121" t="str">
        <f aca="false">IF($A26="","",2*$G26)</f>
        <v/>
      </c>
      <c r="Z26" s="120" t="str">
        <f aca="false">IF($A26="","",$E26-$E$63-$F$63)</f>
        <v/>
      </c>
      <c r="AA26" s="121" t="str">
        <f aca="false">IF($A26="","",2*$G26)</f>
        <v/>
      </c>
      <c r="AB26" s="120" t="str">
        <f aca="false">IF($A26="","",$V26-$E$64-$F$64)</f>
        <v/>
      </c>
      <c r="AC26" s="121" t="str">
        <f aca="false">IF($A26="","",4*$G26)</f>
        <v/>
      </c>
      <c r="AD26" s="120" t="str">
        <f aca="false">IF($A26="","",$X26-$E$65-$F$65)</f>
        <v/>
      </c>
      <c r="AE26" s="121" t="str">
        <f aca="false">IF($A26="","",2*$G26)</f>
        <v/>
      </c>
      <c r="AF26" s="120" t="str">
        <f aca="false">IF($A26="","",$Z26-$E$66-$F$66)</f>
        <v/>
      </c>
      <c r="AG26" s="121" t="str">
        <f aca="false">IF($A26="","",2*$G26)</f>
        <v/>
      </c>
      <c r="AH26" s="120" t="str">
        <f aca="false">IF($A26="","",$F26-$E$67)</f>
        <v/>
      </c>
      <c r="AI26" s="121" t="str">
        <f aca="false">IF($A26="","",2*$G26)</f>
        <v/>
      </c>
      <c r="AJ26" s="120" t="str">
        <f aca="false">IF($A26="","",$B26-$E$68-$F$68)</f>
        <v/>
      </c>
      <c r="AK26" s="121" t="str">
        <f aca="false">IF($A26="","",(IF(OR($B26&gt;3000,$D26&gt;1200),5,4)+IF(OR($B26&gt;3000,$E26&gt;1200),5,4))*$G26)</f>
        <v/>
      </c>
      <c r="AL26" s="120" t="str">
        <f aca="false">IF($A26="","",4*2*$G26)</f>
        <v/>
      </c>
      <c r="AM26" s="121" t="str">
        <f aca="false">IF($A26="","",8*2*$G26)</f>
        <v/>
      </c>
      <c r="AN26" s="120" t="str">
        <f aca="false">IF($A26="","",$BC$1*$G26)</f>
        <v/>
      </c>
      <c r="AO26" s="121" t="str">
        <f aca="false">IF($A26="","",$BC$2*$G26)</f>
        <v/>
      </c>
      <c r="AP26" s="120" t="str">
        <f aca="false">IF($A26="","",$BC$3*$G26)</f>
        <v/>
      </c>
      <c r="AQ26" s="121" t="str">
        <f aca="false">IF($A26="","",1*$G26)</f>
        <v/>
      </c>
      <c r="AR26" s="120" t="str">
        <f aca="false">IF($A26="","",1*$G26)</f>
        <v/>
      </c>
      <c r="AS26" s="121" t="str">
        <f aca="false">IF($A26="","",1*$G26)</f>
        <v/>
      </c>
      <c r="AT26" s="116" t="str">
        <f aca="false">IF($A26="","",1*$G26)</f>
        <v/>
      </c>
      <c r="AU26" s="119" t="str">
        <f aca="false">IF($A26="","",8*$G26)</f>
        <v/>
      </c>
      <c r="AV26" s="118" t="str">
        <f aca="false">IF($A26="","",ROUND((2*($D26+$B26)+2*($E26+$B26))*$G26/1000,1))</f>
        <v/>
      </c>
      <c r="AW26" s="116" t="str">
        <f aca="false">IF($A26="","",ROUND((2*($C26+$B26))*$G26/1000,1))</f>
        <v/>
      </c>
      <c r="AX26" s="119" t="str">
        <f aca="false">IF($A26="","",1*$G26)</f>
        <v/>
      </c>
      <c r="AY26" s="118" t="str">
        <f aca="false">IF($A26="","",1*$G26)</f>
        <v/>
      </c>
      <c r="AZ26" s="116" t="str">
        <f aca="false">IF($A26="","",$B26-35-35)</f>
        <v/>
      </c>
      <c r="BA26" s="119" t="str">
        <f aca="false">IF($A26="","",$F26-35-10)</f>
        <v/>
      </c>
      <c r="BB26" s="118" t="str">
        <f aca="false">IF($A26="","",2*$G26)</f>
        <v/>
      </c>
      <c r="BD26" s="1" t="str">
        <f aca="false">IF($A26="","",$BC$4*$G26)</f>
        <v/>
      </c>
    </row>
    <row r="27" customFormat="false" ht="39.75" hidden="false" customHeight="true" outlineLevel="0" collapsed="false">
      <c r="A27" s="111"/>
      <c r="B27" s="112"/>
      <c r="C27" s="112" t="str">
        <f aca="false">IF($A27="","",$D27+$E27)</f>
        <v/>
      </c>
      <c r="D27" s="112"/>
      <c r="E27" s="112"/>
      <c r="F27" s="113" t="str">
        <f aca="false">IF($A27="","",(($C27-$D27-$E27)/2))</f>
        <v/>
      </c>
      <c r="G27" s="114"/>
      <c r="H27" s="115" t="str">
        <f aca="false">IF($A27="","",$B27)</f>
        <v/>
      </c>
      <c r="I27" s="114" t="str">
        <f aca="false">IF($A27="","",2*$G27)</f>
        <v/>
      </c>
      <c r="J27" s="115" t="str">
        <f aca="false">IF($A27="","",$H27)</f>
        <v/>
      </c>
      <c r="K27" s="114" t="str">
        <f aca="false">IF($A27="","",2*$G27)</f>
        <v/>
      </c>
      <c r="L27" s="115" t="str">
        <f aca="false">IF($A27="","",$C27-$F27-$F27-$E$56-$F$56)</f>
        <v/>
      </c>
      <c r="M27" s="114" t="str">
        <f aca="false">IF($A27="","",1*$G27)</f>
        <v/>
      </c>
      <c r="N27" s="115" t="str">
        <f aca="false">IF($A27="","",$L27)</f>
        <v/>
      </c>
      <c r="O27" s="114" t="str">
        <f aca="false">IF($A27="","",1*$G27)</f>
        <v/>
      </c>
      <c r="P27" s="115" t="str">
        <f aca="false">IF($A27="","",$F27-$E$58)</f>
        <v/>
      </c>
      <c r="Q27" s="114" t="str">
        <f aca="false">IF($A27="","",2*$G27)</f>
        <v/>
      </c>
      <c r="R27" s="115" t="str">
        <f aca="false">IF($A27="","",$H27)</f>
        <v/>
      </c>
      <c r="S27" s="114" t="str">
        <f aca="false">IF($A27="","",2*$G27)</f>
        <v/>
      </c>
      <c r="T27" s="115" t="str">
        <f aca="false">IF($A27="","",$P27)</f>
        <v/>
      </c>
      <c r="U27" s="114" t="str">
        <f aca="false">IF($A27="","",2*$G27)</f>
        <v/>
      </c>
      <c r="V27" s="115" t="str">
        <f aca="false">IF($A27="","",$B27-$E$61-$F$61)</f>
        <v/>
      </c>
      <c r="W27" s="114" t="str">
        <f aca="false">IF($A27="","",4*$G27)</f>
        <v/>
      </c>
      <c r="X27" s="115" t="str">
        <f aca="false">IF($A27="","",$D27-$E$62-$F$62)</f>
        <v/>
      </c>
      <c r="Y27" s="114" t="str">
        <f aca="false">IF($A27="","",2*$G27)</f>
        <v/>
      </c>
      <c r="Z27" s="115" t="str">
        <f aca="false">IF($A27="","",$E27-$E$63-$F$63)</f>
        <v/>
      </c>
      <c r="AA27" s="114" t="str">
        <f aca="false">IF($A27="","",2*$G27)</f>
        <v/>
      </c>
      <c r="AB27" s="115" t="str">
        <f aca="false">IF($A27="","",$V27-$E$64-$F$64)</f>
        <v/>
      </c>
      <c r="AC27" s="114" t="str">
        <f aca="false">IF($A27="","",4*$G27)</f>
        <v/>
      </c>
      <c r="AD27" s="115" t="str">
        <f aca="false">IF($A27="","",$X27-$E$65-$F$65)</f>
        <v/>
      </c>
      <c r="AE27" s="114" t="str">
        <f aca="false">IF($A27="","",2*$G27)</f>
        <v/>
      </c>
      <c r="AF27" s="115" t="str">
        <f aca="false">IF($A27="","",$Z27-$E$66-$F$66)</f>
        <v/>
      </c>
      <c r="AG27" s="114" t="str">
        <f aca="false">IF($A27="","",2*$G27)</f>
        <v/>
      </c>
      <c r="AH27" s="115" t="str">
        <f aca="false">IF($A27="","",$F27-$E$67)</f>
        <v/>
      </c>
      <c r="AI27" s="114" t="str">
        <f aca="false">IF($A27="","",2*$G27)</f>
        <v/>
      </c>
      <c r="AJ27" s="115" t="str">
        <f aca="false">IF($A27="","",$B27-$E$68-$F$68)</f>
        <v/>
      </c>
      <c r="AK27" s="114" t="str">
        <f aca="false">IF($A27="","",(IF(OR($B27&gt;3000,$D27&gt;1200),5,4)+IF(OR($B27&gt;3000,$E27&gt;1200),5,4))*$G27)</f>
        <v/>
      </c>
      <c r="AL27" s="115" t="str">
        <f aca="false">IF($A27="","",4*2*$G27)</f>
        <v/>
      </c>
      <c r="AM27" s="114" t="str">
        <f aca="false">IF($A27="","",8*2*$G27)</f>
        <v/>
      </c>
      <c r="AN27" s="115" t="str">
        <f aca="false">IF($A27="","",$BC$1*$G27)</f>
        <v/>
      </c>
      <c r="AO27" s="114" t="str">
        <f aca="false">IF($A27="","",$BC$2*$G27)</f>
        <v/>
      </c>
      <c r="AP27" s="115" t="str">
        <f aca="false">IF($A27="","",$BC$3*$G27)</f>
        <v/>
      </c>
      <c r="AQ27" s="114" t="str">
        <f aca="false">IF($A27="","",1*$G27)</f>
        <v/>
      </c>
      <c r="AR27" s="115" t="str">
        <f aca="false">IF($A27="","",1*$G27)</f>
        <v/>
      </c>
      <c r="AS27" s="114" t="str">
        <f aca="false">IF($A27="","",1*$G27)</f>
        <v/>
      </c>
      <c r="AT27" s="116" t="str">
        <f aca="false">IF($A27="","",1*$G27)</f>
        <v/>
      </c>
      <c r="AU27" s="119" t="str">
        <f aca="false">IF($A27="","",8*$G27)</f>
        <v/>
      </c>
      <c r="AV27" s="118" t="str">
        <f aca="false">IF($A27="","",ROUND((2*($D27+$B27)+2*($E27+$B27))*$G27/1000,1))</f>
        <v/>
      </c>
      <c r="AW27" s="116" t="str">
        <f aca="false">IF($A27="","",ROUND((2*($C27+$B27))*$G27/1000,1))</f>
        <v/>
      </c>
      <c r="AX27" s="119" t="str">
        <f aca="false">IF($A27="","",1*$G27)</f>
        <v/>
      </c>
      <c r="AY27" s="118" t="str">
        <f aca="false">IF($A27="","",1*$G27)</f>
        <v/>
      </c>
      <c r="AZ27" s="116" t="str">
        <f aca="false">IF($A27="","",$B27-35-35)</f>
        <v/>
      </c>
      <c r="BA27" s="119" t="str">
        <f aca="false">IF($A27="","",$F27-35-10)</f>
        <v/>
      </c>
      <c r="BB27" s="118" t="str">
        <f aca="false">IF($A27="","",2*$G27)</f>
        <v/>
      </c>
      <c r="BD27" s="1" t="str">
        <f aca="false">IF($A27="","",$BC$4*$G27)</f>
        <v/>
      </c>
    </row>
    <row r="28" customFormat="false" ht="39.75" hidden="false" customHeight="true" outlineLevel="0" collapsed="false">
      <c r="A28" s="111"/>
      <c r="B28" s="112"/>
      <c r="C28" s="112" t="str">
        <f aca="false">IF($A28="","",$D28+$E28)</f>
        <v/>
      </c>
      <c r="D28" s="112"/>
      <c r="E28" s="112"/>
      <c r="F28" s="113" t="str">
        <f aca="false">IF($A28="","",(($C28-$D28-$E28)/2))</f>
        <v/>
      </c>
      <c r="G28" s="114"/>
      <c r="H28" s="120" t="str">
        <f aca="false">IF($A28="","",$B28)</f>
        <v/>
      </c>
      <c r="I28" s="121" t="str">
        <f aca="false">IF($A28="","",2*$G28)</f>
        <v/>
      </c>
      <c r="J28" s="120" t="str">
        <f aca="false">IF($A28="","",$H28)</f>
        <v/>
      </c>
      <c r="K28" s="121" t="str">
        <f aca="false">IF($A28="","",2*$G28)</f>
        <v/>
      </c>
      <c r="L28" s="120" t="str">
        <f aca="false">IF($A28="","",$C28-$F28-$F28-$E$56-$F$56)</f>
        <v/>
      </c>
      <c r="M28" s="121" t="str">
        <f aca="false">IF($A28="","",1*$G28)</f>
        <v/>
      </c>
      <c r="N28" s="120" t="str">
        <f aca="false">IF($A28="","",$L28)</f>
        <v/>
      </c>
      <c r="O28" s="121" t="str">
        <f aca="false">IF($A28="","",1*$G28)</f>
        <v/>
      </c>
      <c r="P28" s="120" t="str">
        <f aca="false">IF($A28="","",$F28-$E$58)</f>
        <v/>
      </c>
      <c r="Q28" s="121" t="str">
        <f aca="false">IF($A28="","",2*$G28)</f>
        <v/>
      </c>
      <c r="R28" s="120" t="str">
        <f aca="false">IF($A28="","",$H28)</f>
        <v/>
      </c>
      <c r="S28" s="121" t="str">
        <f aca="false">IF($A28="","",2*$G28)</f>
        <v/>
      </c>
      <c r="T28" s="120" t="str">
        <f aca="false">IF($A28="","",$P28)</f>
        <v/>
      </c>
      <c r="U28" s="121" t="str">
        <f aca="false">IF($A28="","",2*$G28)</f>
        <v/>
      </c>
      <c r="V28" s="120" t="str">
        <f aca="false">IF($A28="","",$B28-$E$61-$F$61)</f>
        <v/>
      </c>
      <c r="W28" s="121" t="str">
        <f aca="false">IF($A28="","",4*$G28)</f>
        <v/>
      </c>
      <c r="X28" s="120" t="str">
        <f aca="false">IF($A28="","",$D28-$E$62-$F$62)</f>
        <v/>
      </c>
      <c r="Y28" s="121" t="str">
        <f aca="false">IF($A28="","",2*$G28)</f>
        <v/>
      </c>
      <c r="Z28" s="120" t="str">
        <f aca="false">IF($A28="","",$E28-$E$63-$F$63)</f>
        <v/>
      </c>
      <c r="AA28" s="121" t="str">
        <f aca="false">IF($A28="","",2*$G28)</f>
        <v/>
      </c>
      <c r="AB28" s="120" t="str">
        <f aca="false">IF($A28="","",$V28-$E$64-$F$64)</f>
        <v/>
      </c>
      <c r="AC28" s="121" t="str">
        <f aca="false">IF($A28="","",4*$G28)</f>
        <v/>
      </c>
      <c r="AD28" s="120" t="str">
        <f aca="false">IF($A28="","",$X28-$E$65-$F$65)</f>
        <v/>
      </c>
      <c r="AE28" s="121" t="str">
        <f aca="false">IF($A28="","",2*$G28)</f>
        <v/>
      </c>
      <c r="AF28" s="120" t="str">
        <f aca="false">IF($A28="","",$Z28-$E$66-$F$66)</f>
        <v/>
      </c>
      <c r="AG28" s="121" t="str">
        <f aca="false">IF($A28="","",2*$G28)</f>
        <v/>
      </c>
      <c r="AH28" s="120" t="str">
        <f aca="false">IF($A28="","",$F28-$E$67)</f>
        <v/>
      </c>
      <c r="AI28" s="121" t="str">
        <f aca="false">IF($A28="","",2*$G28)</f>
        <v/>
      </c>
      <c r="AJ28" s="120" t="str">
        <f aca="false">IF($A28="","",$B28-$E$68-$F$68)</f>
        <v/>
      </c>
      <c r="AK28" s="121" t="str">
        <f aca="false">IF($A28="","",(IF(OR($B28&gt;3000,$D28&gt;1200),5,4)+IF(OR($B28&gt;3000,$E28&gt;1200),5,4))*$G28)</f>
        <v/>
      </c>
      <c r="AL28" s="120" t="str">
        <f aca="false">IF($A28="","",4*2*$G28)</f>
        <v/>
      </c>
      <c r="AM28" s="121" t="str">
        <f aca="false">IF($A28="","",8*2*$G28)</f>
        <v/>
      </c>
      <c r="AN28" s="120" t="str">
        <f aca="false">IF($A28="","",$BC$1*$G28)</f>
        <v/>
      </c>
      <c r="AO28" s="121" t="str">
        <f aca="false">IF($A28="","",$BC$2*$G28)</f>
        <v/>
      </c>
      <c r="AP28" s="120" t="str">
        <f aca="false">IF($A28="","",$BC$3*$G28)</f>
        <v/>
      </c>
      <c r="AQ28" s="121" t="str">
        <f aca="false">IF($A28="","",1*$G28)</f>
        <v/>
      </c>
      <c r="AR28" s="120" t="str">
        <f aca="false">IF($A28="","",1*$G28)</f>
        <v/>
      </c>
      <c r="AS28" s="121" t="str">
        <f aca="false">IF($A28="","",1*$G28)</f>
        <v/>
      </c>
      <c r="AT28" s="116" t="str">
        <f aca="false">IF($A28="","",1*$G28)</f>
        <v/>
      </c>
      <c r="AU28" s="119" t="str">
        <f aca="false">IF($A28="","",8*$G28)</f>
        <v/>
      </c>
      <c r="AV28" s="118" t="str">
        <f aca="false">IF($A28="","",ROUND((2*($D28+$B28)+2*($E28+$B28))*$G28/1000,1))</f>
        <v/>
      </c>
      <c r="AW28" s="116" t="str">
        <f aca="false">IF($A28="","",ROUND((2*($C28+$B28))*$G28/1000,1))</f>
        <v/>
      </c>
      <c r="AX28" s="119" t="str">
        <f aca="false">IF($A28="","",1*$G28)</f>
        <v/>
      </c>
      <c r="AY28" s="118" t="str">
        <f aca="false">IF($A28="","",1*$G28)</f>
        <v/>
      </c>
      <c r="AZ28" s="116" t="str">
        <f aca="false">IF($A28="","",$B28-35-35)</f>
        <v/>
      </c>
      <c r="BA28" s="119" t="str">
        <f aca="false">IF($A28="","",$F28-35-10)</f>
        <v/>
      </c>
      <c r="BB28" s="118" t="str">
        <f aca="false">IF($A28="","",2*$G28)</f>
        <v/>
      </c>
      <c r="BD28" s="1" t="str">
        <f aca="false">IF($A28="","",$BC$4*$G28)</f>
        <v/>
      </c>
    </row>
    <row r="29" customFormat="false" ht="39.75" hidden="false" customHeight="true" outlineLevel="0" collapsed="false">
      <c r="A29" s="122"/>
      <c r="B29" s="122"/>
      <c r="C29" s="122"/>
      <c r="D29" s="122"/>
      <c r="E29" s="122"/>
      <c r="F29" s="122"/>
      <c r="G29" s="122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4"/>
      <c r="AU29" s="122"/>
      <c r="AV29" s="122"/>
      <c r="AW29" s="124"/>
      <c r="AX29" s="122"/>
      <c r="AY29" s="122"/>
      <c r="AZ29" s="124"/>
      <c r="BA29" s="122"/>
      <c r="BB29" s="122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64"/>
      <c r="F30" s="64"/>
      <c r="G30" s="64"/>
      <c r="H30" s="125" t="str">
        <f aca="false">H$7</f>
        <v>F7854</v>
      </c>
      <c r="I30" s="125" t="n">
        <f aca="false">(ROUNDUP(I49/6400,0))</f>
        <v>1</v>
      </c>
      <c r="J30" s="125" t="str">
        <f aca="false">J$7</f>
        <v>F7852</v>
      </c>
      <c r="K30" s="125" t="n">
        <f aca="false">(ROUNDUP(K49/6400,0))</f>
        <v>1</v>
      </c>
      <c r="L30" s="125" t="str">
        <f aca="false">L$7</f>
        <v>F7859</v>
      </c>
      <c r="M30" s="125" t="n">
        <f aca="false">(ROUNDUP(M49/6400,0))</f>
        <v>1</v>
      </c>
      <c r="N30" s="125" t="str">
        <f aca="false">N$7</f>
        <v>F7938</v>
      </c>
      <c r="O30" s="125"/>
      <c r="P30" s="125"/>
      <c r="Q30" s="125" t="n">
        <f aca="false">(ROUNDUP(SUM(O49:Q49)/6400,0))</f>
        <v>1</v>
      </c>
      <c r="R30" s="125" t="str">
        <f aca="false">R$7</f>
        <v>F7937</v>
      </c>
      <c r="S30" s="125"/>
      <c r="T30" s="125"/>
      <c r="U30" s="125" t="n">
        <f aca="false">(ROUNDUP(SUM(S49:U49)/6400,0))</f>
        <v>1</v>
      </c>
      <c r="V30" s="125" t="str">
        <f aca="false">V$7</f>
        <v>F7864</v>
      </c>
      <c r="W30" s="125"/>
      <c r="X30" s="125"/>
      <c r="Y30" s="125"/>
      <c r="Z30" s="125"/>
      <c r="AA30" s="125" t="n">
        <f aca="false">(ROUNDUP(SUM(W49:AA49)/6400,0))</f>
        <v>1</v>
      </c>
      <c r="AB30" s="125" t="str">
        <f aca="false">AB$7</f>
        <v>F7935</v>
      </c>
      <c r="AJ30" s="40" t="s">
        <v>65</v>
      </c>
      <c r="AK30" s="125" t="n">
        <f aca="false">SUM(AK11:AK28)</f>
        <v>8</v>
      </c>
      <c r="AL30" s="125" t="n">
        <f aca="false">SUM(AL11:AL28)</f>
        <v>8</v>
      </c>
      <c r="AM30" s="40" t="n">
        <f aca="false">SUM(AM11:AM28)</f>
        <v>16</v>
      </c>
      <c r="AN30" s="40" t="n">
        <f aca="false">SUM(AN11:AN28)</f>
        <v>2</v>
      </c>
      <c r="AO30" s="125" t="n">
        <f aca="false">SUM(AO11:AO28)</f>
        <v>0</v>
      </c>
      <c r="AP30" s="125" t="n">
        <f aca="false">SUM(AP11:AP28)</f>
        <v>0</v>
      </c>
      <c r="AQ30" s="125" t="n">
        <f aca="false">SUM(AQ11:AQ28)</f>
        <v>1</v>
      </c>
      <c r="AR30" s="125" t="n">
        <f aca="false">SUM(AR11:AR28)</f>
        <v>1</v>
      </c>
      <c r="AS30" s="125" t="n">
        <f aca="false">SUM(AS11:AS28)</f>
        <v>1</v>
      </c>
      <c r="AT30" s="126" t="n">
        <f aca="false">SUM(AT11:AT28)</f>
        <v>1</v>
      </c>
      <c r="AU30" s="126" t="n">
        <f aca="false">SUM(AU11:AU28)</f>
        <v>8</v>
      </c>
      <c r="AV30" s="126" t="n">
        <f aca="false">SUM(AV11:AV28)</f>
        <v>2.6</v>
      </c>
      <c r="AW30" s="126" t="n">
        <f aca="false">SUM(AW11:AW28)</f>
        <v>2.2</v>
      </c>
      <c r="AX30" s="126" t="n">
        <f aca="false">SUM(AX11:AX28)</f>
        <v>1</v>
      </c>
      <c r="AY30" s="126"/>
      <c r="AZ30" s="126"/>
      <c r="BA30" s="126"/>
      <c r="BB30" s="126"/>
      <c r="BD30" s="1" t="n">
        <f aca="false">SUM(BD11:BD28)</f>
        <v>0</v>
      </c>
    </row>
    <row r="31" customFormat="false" ht="39.75" hidden="true" customHeight="true" outlineLevel="0" collapsed="false">
      <c r="I31" s="67" t="n">
        <f aca="false">IF($A11="","",I11*H11)</f>
        <v>800</v>
      </c>
      <c r="J31" s="67"/>
      <c r="K31" s="67" t="n">
        <f aca="false">IF($A11="","",K11*J11)</f>
        <v>800</v>
      </c>
      <c r="L31" s="67"/>
      <c r="M31" s="67" t="n">
        <f aca="false">IF($A11="","",M11*L11)</f>
        <v>430</v>
      </c>
      <c r="N31" s="67"/>
      <c r="O31" s="67" t="n">
        <f aca="false">IF($A11="","",O11*N11)</f>
        <v>430</v>
      </c>
      <c r="P31" s="67"/>
      <c r="Q31" s="67" t="n">
        <f aca="false">IF($A11="","",Q11*P11)</f>
        <v>150</v>
      </c>
      <c r="R31" s="67"/>
      <c r="S31" s="67" t="n">
        <f aca="false">IF($A11="","",S11*R11)</f>
        <v>800</v>
      </c>
      <c r="T31" s="67"/>
      <c r="U31" s="67" t="n">
        <f aca="false">IF($A11="","",U11*T11)</f>
        <v>150</v>
      </c>
      <c r="V31" s="67"/>
      <c r="W31" s="67" t="n">
        <f aca="false">IF($A11="","",W11*V11)</f>
        <v>1452</v>
      </c>
      <c r="X31" s="67"/>
      <c r="Y31" s="67" t="n">
        <f aca="false">IF($A11="","",Y11*X11)</f>
        <v>461</v>
      </c>
      <c r="Z31" s="67"/>
      <c r="AA31" s="67" t="n">
        <f aca="false">IF($A11="","",AA11*Z11)</f>
        <v>421</v>
      </c>
      <c r="AB31" s="67"/>
      <c r="AC31" s="67" t="n">
        <f aca="false">IF($A11="","",AC11*AB11)</f>
        <v>652</v>
      </c>
      <c r="AD31" s="67"/>
      <c r="AE31" s="67" t="n">
        <f aca="false">IF($A11="","",AE11*AD11)</f>
        <v>141</v>
      </c>
      <c r="AF31" s="67"/>
      <c r="AG31" s="67" t="n">
        <f aca="false">IF($A11="","",AG11*AF11)</f>
        <v>101</v>
      </c>
      <c r="AH31" s="67"/>
      <c r="AI31" s="67" t="n">
        <f aca="false">IF($A11="","",AI11*AH11)</f>
        <v>150</v>
      </c>
      <c r="AJ31" s="67"/>
      <c r="AK31" s="67" t="n">
        <f aca="false">IF($A11="","",AK11*AJ11)</f>
        <v>2480</v>
      </c>
      <c r="AL31" s="67"/>
      <c r="AM31" s="67" t="n">
        <f aca="false">IF($A11="","",AM11*AL11)</f>
        <v>128</v>
      </c>
      <c r="AN31" s="67"/>
      <c r="AO31" s="67" t="n">
        <f aca="false">IF($A11="","",AO11*AN11)</f>
        <v>0</v>
      </c>
      <c r="AP31" s="67"/>
      <c r="AQ31" s="67" t="n">
        <f aca="false">IF($A11="","",AQ11*AP11)</f>
        <v>0</v>
      </c>
      <c r="AR31" s="67"/>
      <c r="AS31" s="67" t="n">
        <f aca="false">IF($A11="","",AS11*AR11)</f>
        <v>1</v>
      </c>
    </row>
    <row r="32" customFormat="false" ht="39.75" hidden="true" customHeight="true" outlineLevel="0" collapsed="false">
      <c r="I32" s="67" t="str">
        <f aca="false">IF($A12="","",I12*H12)</f>
        <v/>
      </c>
      <c r="J32" s="67"/>
      <c r="K32" s="67" t="str">
        <f aca="false">IF($A12="","",K12*J12)</f>
        <v/>
      </c>
      <c r="L32" s="67"/>
      <c r="M32" s="67" t="str">
        <f aca="false">IF($A12="","",M12*L12)</f>
        <v/>
      </c>
      <c r="N32" s="67"/>
      <c r="O32" s="67" t="str">
        <f aca="false">IF($A12="","",O12*N12)</f>
        <v/>
      </c>
      <c r="P32" s="67"/>
      <c r="Q32" s="67" t="str">
        <f aca="false">IF($A12="","",Q12*P12)</f>
        <v/>
      </c>
      <c r="R32" s="67"/>
      <c r="S32" s="67" t="str">
        <f aca="false">IF($A12="","",S12*R12)</f>
        <v/>
      </c>
      <c r="T32" s="67"/>
      <c r="U32" s="67" t="str">
        <f aca="false">IF($A12="","",U12*T12)</f>
        <v/>
      </c>
      <c r="V32" s="67"/>
      <c r="W32" s="67" t="str">
        <f aca="false">IF($A12="","",W12*V12)</f>
        <v/>
      </c>
      <c r="X32" s="67"/>
      <c r="Y32" s="67" t="str">
        <f aca="false">IF($A12="","",Y12*X12)</f>
        <v/>
      </c>
      <c r="Z32" s="67"/>
      <c r="AA32" s="67" t="str">
        <f aca="false">IF($A12="","",AA12*Z12)</f>
        <v/>
      </c>
      <c r="AB32" s="67"/>
      <c r="AC32" s="67" t="str">
        <f aca="false">IF($A12="","",AC12*AB12)</f>
        <v/>
      </c>
      <c r="AD32" s="67"/>
      <c r="AE32" s="67" t="str">
        <f aca="false">IF($A12="","",AE12*AD12)</f>
        <v/>
      </c>
      <c r="AF32" s="67"/>
      <c r="AG32" s="67" t="str">
        <f aca="false">IF($A12="","",AG12*AF12)</f>
        <v/>
      </c>
      <c r="AH32" s="67"/>
      <c r="AI32" s="67" t="str">
        <f aca="false">IF($A12="","",AI12*AH12)</f>
        <v/>
      </c>
      <c r="AJ32" s="67"/>
      <c r="AK32" s="67" t="str">
        <f aca="false">IF($A12="","",AK12*AJ12)</f>
        <v/>
      </c>
      <c r="AL32" s="67"/>
      <c r="AM32" s="67" t="str">
        <f aca="false">IF($A12="","",AM12*AL12)</f>
        <v/>
      </c>
      <c r="AN32" s="67"/>
      <c r="AO32" s="67" t="str">
        <f aca="false">IF($A12="","",AO12*AN12)</f>
        <v/>
      </c>
      <c r="AP32" s="67"/>
      <c r="AQ32" s="67" t="str">
        <f aca="false">IF($A12="","",AQ12*AP12)</f>
        <v/>
      </c>
      <c r="AR32" s="67"/>
      <c r="AS32" s="67" t="str">
        <f aca="false">IF($A12="","",AS12*AR12)</f>
        <v/>
      </c>
    </row>
    <row r="33" customFormat="false" ht="39.75" hidden="true" customHeight="true" outlineLevel="0" collapsed="false">
      <c r="I33" s="67" t="str">
        <f aca="false">IF($A13="","",I13*H13)</f>
        <v/>
      </c>
      <c r="J33" s="67"/>
      <c r="K33" s="67" t="str">
        <f aca="false">IF($A13="","",K13*J13)</f>
        <v/>
      </c>
      <c r="L33" s="67"/>
      <c r="M33" s="67" t="str">
        <f aca="false">IF($A13="","",M13*L13)</f>
        <v/>
      </c>
      <c r="N33" s="67"/>
      <c r="O33" s="67" t="str">
        <f aca="false">IF($A13="","",O13*N13)</f>
        <v/>
      </c>
      <c r="P33" s="67"/>
      <c r="Q33" s="67" t="str">
        <f aca="false">IF($A13="","",Q13*P13)</f>
        <v/>
      </c>
      <c r="R33" s="67"/>
      <c r="S33" s="67" t="str">
        <f aca="false">IF($A13="","",S13*R13)</f>
        <v/>
      </c>
      <c r="T33" s="67"/>
      <c r="U33" s="67" t="str">
        <f aca="false">IF($A13="","",U13*T13)</f>
        <v/>
      </c>
      <c r="V33" s="67"/>
      <c r="W33" s="67" t="str">
        <f aca="false">IF($A13="","",W13*V13)</f>
        <v/>
      </c>
      <c r="X33" s="67"/>
      <c r="Y33" s="67" t="str">
        <f aca="false">IF($A13="","",Y13*X13)</f>
        <v/>
      </c>
      <c r="Z33" s="67"/>
      <c r="AA33" s="67" t="str">
        <f aca="false">IF($A13="","",AA13*Z13)</f>
        <v/>
      </c>
      <c r="AB33" s="67"/>
      <c r="AC33" s="67" t="str">
        <f aca="false">IF($A13="","",AC13*AB13)</f>
        <v/>
      </c>
      <c r="AD33" s="67"/>
      <c r="AE33" s="67" t="str">
        <f aca="false">IF($A13="","",AE13*AD13)</f>
        <v/>
      </c>
      <c r="AF33" s="67"/>
      <c r="AG33" s="67" t="str">
        <f aca="false">IF($A13="","",AG13*AF13)</f>
        <v/>
      </c>
      <c r="AH33" s="67"/>
      <c r="AI33" s="67" t="str">
        <f aca="false">IF($A13="","",AI13*AH13)</f>
        <v/>
      </c>
      <c r="AJ33" s="67"/>
      <c r="AK33" s="67" t="str">
        <f aca="false">IF($A13="","",AK13*AJ13)</f>
        <v/>
      </c>
      <c r="AL33" s="67"/>
      <c r="AM33" s="67" t="str">
        <f aca="false">IF($A13="","",AM13*AL13)</f>
        <v/>
      </c>
      <c r="AN33" s="67"/>
      <c r="AO33" s="67" t="str">
        <f aca="false">IF($A13="","",AO13*AN13)</f>
        <v/>
      </c>
      <c r="AP33" s="67"/>
      <c r="AQ33" s="67" t="str">
        <f aca="false">IF($A13="","",AQ13*AP13)</f>
        <v/>
      </c>
      <c r="AR33" s="67"/>
      <c r="AS33" s="67" t="str">
        <f aca="false">IF($A13="","",AS13*AR13)</f>
        <v/>
      </c>
    </row>
    <row r="34" customFormat="false" ht="39.75" hidden="true" customHeight="true" outlineLevel="0" collapsed="false">
      <c r="I34" s="67" t="str">
        <f aca="false">IF($A14="","",I14*H14)</f>
        <v/>
      </c>
      <c r="J34" s="67"/>
      <c r="K34" s="67" t="str">
        <f aca="false">IF($A14="","",K14*J14)</f>
        <v/>
      </c>
      <c r="L34" s="67"/>
      <c r="M34" s="67" t="str">
        <f aca="false">IF($A14="","",M14*L14)</f>
        <v/>
      </c>
      <c r="N34" s="67"/>
      <c r="O34" s="67" t="str">
        <f aca="false">IF($A14="","",O14*N14)</f>
        <v/>
      </c>
      <c r="P34" s="67"/>
      <c r="Q34" s="67" t="str">
        <f aca="false">IF($A14="","",Q14*P14)</f>
        <v/>
      </c>
      <c r="R34" s="67"/>
      <c r="S34" s="67" t="str">
        <f aca="false">IF($A14="","",S14*R14)</f>
        <v/>
      </c>
      <c r="T34" s="67"/>
      <c r="U34" s="67" t="str">
        <f aca="false">IF($A14="","",U14*T14)</f>
        <v/>
      </c>
      <c r="V34" s="67"/>
      <c r="W34" s="67" t="str">
        <f aca="false">IF($A14="","",W14*V14)</f>
        <v/>
      </c>
      <c r="X34" s="67"/>
      <c r="Y34" s="67" t="str">
        <f aca="false">IF($A14="","",Y14*X14)</f>
        <v/>
      </c>
      <c r="Z34" s="67"/>
      <c r="AA34" s="67" t="str">
        <f aca="false">IF($A14="","",AA14*Z14)</f>
        <v/>
      </c>
      <c r="AB34" s="67"/>
      <c r="AC34" s="67" t="str">
        <f aca="false">IF($A14="","",AC14*AB14)</f>
        <v/>
      </c>
      <c r="AD34" s="67"/>
      <c r="AE34" s="67" t="str">
        <f aca="false">IF($A14="","",AE14*AD14)</f>
        <v/>
      </c>
      <c r="AF34" s="67"/>
      <c r="AG34" s="67" t="str">
        <f aca="false">IF($A14="","",AG14*AF14)</f>
        <v/>
      </c>
      <c r="AH34" s="67"/>
      <c r="AI34" s="67" t="str">
        <f aca="false">IF($A14="","",AI14*AH14)</f>
        <v/>
      </c>
      <c r="AJ34" s="67"/>
      <c r="AK34" s="67" t="str">
        <f aca="false">IF($A14="","",AK14*AJ14)</f>
        <v/>
      </c>
      <c r="AL34" s="67"/>
      <c r="AM34" s="67" t="str">
        <f aca="false">IF($A14="","",AM14*AL14)</f>
        <v/>
      </c>
      <c r="AN34" s="67"/>
      <c r="AO34" s="67" t="str">
        <f aca="false">IF($A14="","",AO14*AN14)</f>
        <v/>
      </c>
      <c r="AP34" s="67"/>
      <c r="AQ34" s="67" t="str">
        <f aca="false">IF($A14="","",AQ14*AP14)</f>
        <v/>
      </c>
      <c r="AR34" s="67"/>
      <c r="AS34" s="67" t="str">
        <f aca="false">IF($A14="","",AS14*AR14)</f>
        <v/>
      </c>
    </row>
    <row r="35" customFormat="false" ht="39.75" hidden="true" customHeight="true" outlineLevel="0" collapsed="false">
      <c r="I35" s="67" t="str">
        <f aca="false">IF($A15="","",I15*H15)</f>
        <v/>
      </c>
      <c r="J35" s="67"/>
      <c r="K35" s="67" t="str">
        <f aca="false">IF($A15="","",K15*J15)</f>
        <v/>
      </c>
      <c r="L35" s="67"/>
      <c r="M35" s="67" t="str">
        <f aca="false">IF($A15="","",M15*L15)</f>
        <v/>
      </c>
      <c r="N35" s="67"/>
      <c r="O35" s="67" t="str">
        <f aca="false">IF($A15="","",O15*N15)</f>
        <v/>
      </c>
      <c r="P35" s="67"/>
      <c r="Q35" s="67" t="str">
        <f aca="false">IF($A15="","",Q15*P15)</f>
        <v/>
      </c>
      <c r="R35" s="67"/>
      <c r="S35" s="67" t="str">
        <f aca="false">IF($A15="","",S15*R15)</f>
        <v/>
      </c>
      <c r="T35" s="67"/>
      <c r="U35" s="67" t="str">
        <f aca="false">IF($A15="","",U15*T15)</f>
        <v/>
      </c>
      <c r="V35" s="67"/>
      <c r="W35" s="67" t="str">
        <f aca="false">IF($A15="","",W15*V15)</f>
        <v/>
      </c>
      <c r="X35" s="67"/>
      <c r="Y35" s="67" t="str">
        <f aca="false">IF($A15="","",Y15*X15)</f>
        <v/>
      </c>
      <c r="Z35" s="67"/>
      <c r="AA35" s="67" t="str">
        <f aca="false">IF($A15="","",AA15*Z15)</f>
        <v/>
      </c>
      <c r="AB35" s="67"/>
      <c r="AC35" s="67" t="str">
        <f aca="false">IF($A15="","",AC15*AB15)</f>
        <v/>
      </c>
      <c r="AD35" s="67"/>
      <c r="AE35" s="67" t="str">
        <f aca="false">IF($A15="","",AE15*AD15)</f>
        <v/>
      </c>
      <c r="AF35" s="67"/>
      <c r="AG35" s="67" t="str">
        <f aca="false">IF($A15="","",AG15*AF15)</f>
        <v/>
      </c>
      <c r="AH35" s="67"/>
      <c r="AI35" s="67" t="str">
        <f aca="false">IF($A15="","",AI15*AH15)</f>
        <v/>
      </c>
      <c r="AJ35" s="67"/>
      <c r="AK35" s="67" t="str">
        <f aca="false">IF($A15="","",AK15*AJ15)</f>
        <v/>
      </c>
      <c r="AL35" s="67"/>
      <c r="AM35" s="67" t="str">
        <f aca="false">IF($A15="","",AM15*AL15)</f>
        <v/>
      </c>
      <c r="AN35" s="67"/>
      <c r="AO35" s="67" t="str">
        <f aca="false">IF($A15="","",AO15*AN15)</f>
        <v/>
      </c>
      <c r="AP35" s="67"/>
      <c r="AQ35" s="67" t="str">
        <f aca="false">IF($A15="","",AQ15*AP15)</f>
        <v/>
      </c>
      <c r="AR35" s="67"/>
      <c r="AS35" s="67" t="str">
        <f aca="false">IF($A15="","",AS15*AR15)</f>
        <v/>
      </c>
    </row>
    <row r="36" customFormat="false" ht="15" hidden="true" customHeight="true" outlineLevel="0" collapsed="false">
      <c r="I36" s="67" t="str">
        <f aca="false">IF($A16="","",I16*H16)</f>
        <v/>
      </c>
      <c r="J36" s="67"/>
      <c r="K36" s="67" t="str">
        <f aca="false">IF($A16="","",K16*J16)</f>
        <v/>
      </c>
      <c r="L36" s="67"/>
      <c r="M36" s="67" t="str">
        <f aca="false">IF($A16="","",M16*L16)</f>
        <v/>
      </c>
      <c r="N36" s="67"/>
      <c r="O36" s="67" t="str">
        <f aca="false">IF($A16="","",O16*N16)</f>
        <v/>
      </c>
      <c r="P36" s="67"/>
      <c r="Q36" s="67" t="str">
        <f aca="false">IF($A16="","",Q16*P16)</f>
        <v/>
      </c>
      <c r="R36" s="67"/>
      <c r="S36" s="67" t="str">
        <f aca="false">IF($A16="","",S16*R16)</f>
        <v/>
      </c>
      <c r="T36" s="67"/>
      <c r="U36" s="67" t="str">
        <f aca="false">IF($A16="","",U16*T16)</f>
        <v/>
      </c>
      <c r="V36" s="67"/>
      <c r="W36" s="67" t="str">
        <f aca="false">IF($A16="","",W16*V16)</f>
        <v/>
      </c>
      <c r="X36" s="67"/>
      <c r="Y36" s="67" t="str">
        <f aca="false">IF($A16="","",Y16*X16)</f>
        <v/>
      </c>
      <c r="Z36" s="67"/>
      <c r="AA36" s="67" t="str">
        <f aca="false">IF($A16="","",AA16*Z16)</f>
        <v/>
      </c>
      <c r="AB36" s="67"/>
      <c r="AC36" s="67" t="str">
        <f aca="false">IF($A16="","",AC16*AB16)</f>
        <v/>
      </c>
      <c r="AD36" s="67"/>
      <c r="AE36" s="67" t="str">
        <f aca="false">IF($A16="","",AE16*AD16)</f>
        <v/>
      </c>
      <c r="AF36" s="67"/>
      <c r="AG36" s="67" t="str">
        <f aca="false">IF($A16="","",AG16*AF16)</f>
        <v/>
      </c>
      <c r="AH36" s="67"/>
      <c r="AI36" s="67" t="str">
        <f aca="false">IF($A16="","",AI16*AH16)</f>
        <v/>
      </c>
      <c r="AJ36" s="67"/>
      <c r="AK36" s="67" t="str">
        <f aca="false">IF($A16="","",AK16*AJ16)</f>
        <v/>
      </c>
      <c r="AL36" s="67"/>
      <c r="AM36" s="67" t="str">
        <f aca="false">IF($A16="","",AM16*AL16)</f>
        <v/>
      </c>
      <c r="AN36" s="67"/>
      <c r="AO36" s="67" t="str">
        <f aca="false">IF($A16="","",AO16*AN16)</f>
        <v/>
      </c>
      <c r="AP36" s="67"/>
      <c r="AQ36" s="67" t="str">
        <f aca="false">IF($A16="","",AQ16*AP16)</f>
        <v/>
      </c>
      <c r="AR36" s="67"/>
      <c r="AS36" s="67" t="str">
        <f aca="false">IF($A16="","",AS16*AR16)</f>
        <v/>
      </c>
    </row>
    <row r="37" customFormat="false" ht="15" hidden="true" customHeight="true" outlineLevel="0" collapsed="false">
      <c r="I37" s="67" t="str">
        <f aca="false">IF($A17="","",I17*H17)</f>
        <v/>
      </c>
      <c r="J37" s="67"/>
      <c r="K37" s="67" t="str">
        <f aca="false">IF($A17="","",K17*J17)</f>
        <v/>
      </c>
      <c r="L37" s="67"/>
      <c r="M37" s="67" t="str">
        <f aca="false">IF($A17="","",M17*L17)</f>
        <v/>
      </c>
      <c r="N37" s="67"/>
      <c r="O37" s="67" t="str">
        <f aca="false">IF($A17="","",O17*N17)</f>
        <v/>
      </c>
      <c r="P37" s="67"/>
      <c r="Q37" s="67" t="str">
        <f aca="false">IF($A17="","",Q17*P17)</f>
        <v/>
      </c>
      <c r="R37" s="67"/>
      <c r="S37" s="67" t="str">
        <f aca="false">IF($A17="","",S17*R17)</f>
        <v/>
      </c>
      <c r="T37" s="67"/>
      <c r="U37" s="67" t="str">
        <f aca="false">IF($A17="","",U17*T17)</f>
        <v/>
      </c>
      <c r="V37" s="67"/>
      <c r="W37" s="67" t="str">
        <f aca="false">IF($A17="","",W17*V17)</f>
        <v/>
      </c>
      <c r="X37" s="67"/>
      <c r="Y37" s="67" t="str">
        <f aca="false">IF($A17="","",Y17*X17)</f>
        <v/>
      </c>
      <c r="Z37" s="67"/>
      <c r="AA37" s="67" t="str">
        <f aca="false">IF($A17="","",AA17*Z17)</f>
        <v/>
      </c>
      <c r="AB37" s="67"/>
      <c r="AC37" s="67" t="str">
        <f aca="false">IF($A17="","",AC17*AB17)</f>
        <v/>
      </c>
      <c r="AD37" s="67"/>
      <c r="AE37" s="67" t="str">
        <f aca="false">IF($A17="","",AE17*AD17)</f>
        <v/>
      </c>
      <c r="AF37" s="67"/>
      <c r="AG37" s="67" t="str">
        <f aca="false">IF($A17="","",AG17*AF17)</f>
        <v/>
      </c>
      <c r="AH37" s="67"/>
      <c r="AI37" s="67" t="str">
        <f aca="false">IF($A17="","",AI17*AH17)</f>
        <v/>
      </c>
      <c r="AJ37" s="67"/>
      <c r="AK37" s="67" t="str">
        <f aca="false">IF($A17="","",AK17*AJ17)</f>
        <v/>
      </c>
      <c r="AL37" s="67"/>
      <c r="AM37" s="67" t="str">
        <f aca="false">IF($A17="","",AM17*AL17)</f>
        <v/>
      </c>
      <c r="AN37" s="67"/>
      <c r="AO37" s="67" t="str">
        <f aca="false">IF($A17="","",AO17*AN17)</f>
        <v/>
      </c>
      <c r="AP37" s="67"/>
      <c r="AQ37" s="67" t="str">
        <f aca="false">IF($A17="","",AQ17*AP17)</f>
        <v/>
      </c>
      <c r="AR37" s="67"/>
      <c r="AS37" s="67" t="str">
        <f aca="false">IF($A17="","",AS17*AR17)</f>
        <v/>
      </c>
    </row>
    <row r="38" customFormat="false" ht="15" hidden="true" customHeight="true" outlineLevel="0" collapsed="false">
      <c r="I38" s="67" t="str">
        <f aca="false">IF($A18="","",I18*H18)</f>
        <v/>
      </c>
      <c r="J38" s="67"/>
      <c r="K38" s="67" t="str">
        <f aca="false">IF($A18="","",K18*J18)</f>
        <v/>
      </c>
      <c r="L38" s="67"/>
      <c r="M38" s="67" t="str">
        <f aca="false">IF($A18="","",M18*L18)</f>
        <v/>
      </c>
      <c r="N38" s="67"/>
      <c r="O38" s="67" t="str">
        <f aca="false">IF($A18="","",O18*N18)</f>
        <v/>
      </c>
      <c r="P38" s="67"/>
      <c r="Q38" s="67" t="str">
        <f aca="false">IF($A18="","",Q18*P18)</f>
        <v/>
      </c>
      <c r="R38" s="67"/>
      <c r="S38" s="67" t="str">
        <f aca="false">IF($A18="","",S18*R18)</f>
        <v/>
      </c>
      <c r="T38" s="67"/>
      <c r="U38" s="67" t="str">
        <f aca="false">IF($A18="","",U18*T18)</f>
        <v/>
      </c>
      <c r="V38" s="67"/>
      <c r="W38" s="67" t="str">
        <f aca="false">IF($A18="","",W18*V18)</f>
        <v/>
      </c>
      <c r="X38" s="67"/>
      <c r="Y38" s="67" t="str">
        <f aca="false">IF($A18="","",Y18*X18)</f>
        <v/>
      </c>
      <c r="Z38" s="67"/>
      <c r="AA38" s="67" t="str">
        <f aca="false">IF($A18="","",AA18*Z18)</f>
        <v/>
      </c>
      <c r="AB38" s="67"/>
      <c r="AC38" s="67" t="str">
        <f aca="false">IF($A18="","",AC18*AB18)</f>
        <v/>
      </c>
      <c r="AD38" s="67"/>
      <c r="AE38" s="67" t="str">
        <f aca="false">IF($A18="","",AE18*AD18)</f>
        <v/>
      </c>
      <c r="AF38" s="67"/>
      <c r="AG38" s="67" t="str">
        <f aca="false">IF($A18="","",AG18*AF18)</f>
        <v/>
      </c>
      <c r="AH38" s="67"/>
      <c r="AI38" s="67" t="str">
        <f aca="false">IF($A18="","",AI18*AH18)</f>
        <v/>
      </c>
      <c r="AJ38" s="67"/>
      <c r="AK38" s="67" t="str">
        <f aca="false">IF($A18="","",AK18*AJ18)</f>
        <v/>
      </c>
      <c r="AL38" s="67"/>
      <c r="AM38" s="67" t="str">
        <f aca="false">IF($A18="","",AM18*AL18)</f>
        <v/>
      </c>
      <c r="AN38" s="67"/>
      <c r="AO38" s="67" t="str">
        <f aca="false">IF($A18="","",AO18*AN18)</f>
        <v/>
      </c>
      <c r="AP38" s="67"/>
      <c r="AQ38" s="67" t="str">
        <f aca="false">IF($A18="","",AQ18*AP18)</f>
        <v/>
      </c>
      <c r="AR38" s="67"/>
      <c r="AS38" s="67" t="str">
        <f aca="false">IF($A18="","",AS18*AR18)</f>
        <v/>
      </c>
    </row>
    <row r="39" customFormat="false" ht="15" hidden="true" customHeight="true" outlineLevel="0" collapsed="false">
      <c r="I39" s="67" t="str">
        <f aca="false">IF($A19="","",I19*H19)</f>
        <v/>
      </c>
      <c r="J39" s="67"/>
      <c r="K39" s="67" t="str">
        <f aca="false">IF($A19="","",K19*J19)</f>
        <v/>
      </c>
      <c r="L39" s="67"/>
      <c r="M39" s="67" t="str">
        <f aca="false">IF($A19="","",M19*L19)</f>
        <v/>
      </c>
      <c r="N39" s="67"/>
      <c r="O39" s="67" t="str">
        <f aca="false">IF($A19="","",O19*N19)</f>
        <v/>
      </c>
      <c r="P39" s="67"/>
      <c r="Q39" s="67" t="str">
        <f aca="false">IF($A19="","",Q19*P19)</f>
        <v/>
      </c>
      <c r="R39" s="67"/>
      <c r="S39" s="67" t="str">
        <f aca="false">IF($A19="","",S19*R19)</f>
        <v/>
      </c>
      <c r="T39" s="67"/>
      <c r="U39" s="67" t="str">
        <f aca="false">IF($A19="","",U19*T19)</f>
        <v/>
      </c>
      <c r="V39" s="67"/>
      <c r="W39" s="67" t="str">
        <f aca="false">IF($A19="","",W19*V19)</f>
        <v/>
      </c>
      <c r="X39" s="67"/>
      <c r="Y39" s="67" t="str">
        <f aca="false">IF($A19="","",Y19*X19)</f>
        <v/>
      </c>
      <c r="Z39" s="67"/>
      <c r="AA39" s="67" t="str">
        <f aca="false">IF($A19="","",AA19*Z19)</f>
        <v/>
      </c>
      <c r="AB39" s="67"/>
      <c r="AC39" s="67" t="str">
        <f aca="false">IF($A19="","",AC19*AB19)</f>
        <v/>
      </c>
      <c r="AD39" s="67"/>
      <c r="AE39" s="67" t="str">
        <f aca="false">IF($A19="","",AE19*AD19)</f>
        <v/>
      </c>
      <c r="AF39" s="67"/>
      <c r="AG39" s="67" t="str">
        <f aca="false">IF($A19="","",AG19*AF19)</f>
        <v/>
      </c>
      <c r="AH39" s="67"/>
      <c r="AI39" s="67" t="str">
        <f aca="false">IF($A19="","",AI19*AH19)</f>
        <v/>
      </c>
      <c r="AJ39" s="67"/>
      <c r="AK39" s="67" t="str">
        <f aca="false">IF($A19="","",AK19*AJ19)</f>
        <v/>
      </c>
      <c r="AL39" s="67"/>
      <c r="AM39" s="67" t="str">
        <f aca="false">IF($A19="","",AM19*AL19)</f>
        <v/>
      </c>
      <c r="AN39" s="67"/>
      <c r="AO39" s="67" t="str">
        <f aca="false">IF($A19="","",AO19*AN19)</f>
        <v/>
      </c>
      <c r="AP39" s="67"/>
      <c r="AQ39" s="67" t="str">
        <f aca="false">IF($A19="","",AQ19*AP19)</f>
        <v/>
      </c>
      <c r="AR39" s="67"/>
      <c r="AS39" s="67" t="str">
        <f aca="false">IF($A19="","",AS19*AR19)</f>
        <v/>
      </c>
    </row>
    <row r="40" customFormat="false" ht="15" hidden="true" customHeight="true" outlineLevel="0" collapsed="false">
      <c r="I40" s="67" t="str">
        <f aca="false">IF($A20="","",I20*H20)</f>
        <v/>
      </c>
      <c r="J40" s="67"/>
      <c r="K40" s="67" t="str">
        <f aca="false">IF($A20="","",K20*J20)</f>
        <v/>
      </c>
      <c r="L40" s="67"/>
      <c r="M40" s="67" t="str">
        <f aca="false">IF($A20="","",M20*L20)</f>
        <v/>
      </c>
      <c r="N40" s="67"/>
      <c r="O40" s="67" t="str">
        <f aca="false">IF($A20="","",O20*N20)</f>
        <v/>
      </c>
      <c r="P40" s="67"/>
      <c r="Q40" s="67" t="str">
        <f aca="false">IF($A20="","",Q20*P20)</f>
        <v/>
      </c>
      <c r="R40" s="67"/>
      <c r="S40" s="67" t="str">
        <f aca="false">IF($A20="","",S20*R20)</f>
        <v/>
      </c>
      <c r="T40" s="67"/>
      <c r="U40" s="67" t="str">
        <f aca="false">IF($A20="","",U20*T20)</f>
        <v/>
      </c>
      <c r="V40" s="67"/>
      <c r="W40" s="67" t="str">
        <f aca="false">IF($A20="","",W20*V20)</f>
        <v/>
      </c>
      <c r="X40" s="67"/>
      <c r="Y40" s="67" t="str">
        <f aca="false">IF($A20="","",Y20*X20)</f>
        <v/>
      </c>
      <c r="Z40" s="67"/>
      <c r="AA40" s="67" t="str">
        <f aca="false">IF($A20="","",AA20*Z20)</f>
        <v/>
      </c>
      <c r="AB40" s="67"/>
      <c r="AC40" s="67" t="str">
        <f aca="false">IF($A20="","",AC20*AB20)</f>
        <v/>
      </c>
      <c r="AD40" s="67"/>
      <c r="AE40" s="67" t="str">
        <f aca="false">IF($A20="","",AE20*AD20)</f>
        <v/>
      </c>
      <c r="AF40" s="67"/>
      <c r="AG40" s="67" t="str">
        <f aca="false">IF($A20="","",AG20*AF20)</f>
        <v/>
      </c>
      <c r="AH40" s="67"/>
      <c r="AI40" s="67" t="str">
        <f aca="false">IF($A20="","",AI20*AH20)</f>
        <v/>
      </c>
      <c r="AJ40" s="67"/>
      <c r="AK40" s="67" t="str">
        <f aca="false">IF($A20="","",AK20*AJ20)</f>
        <v/>
      </c>
      <c r="AL40" s="67"/>
      <c r="AM40" s="67" t="str">
        <f aca="false">IF($A20="","",AM20*AL20)</f>
        <v/>
      </c>
      <c r="AN40" s="67"/>
      <c r="AO40" s="67" t="str">
        <f aca="false">IF($A20="","",AO20*AN20)</f>
        <v/>
      </c>
      <c r="AP40" s="67"/>
      <c r="AQ40" s="67" t="str">
        <f aca="false">IF($A20="","",AQ20*AP20)</f>
        <v/>
      </c>
      <c r="AR40" s="67"/>
      <c r="AS40" s="67" t="str">
        <f aca="false">IF($A20="","",AS20*AR20)</f>
        <v/>
      </c>
    </row>
    <row r="41" customFormat="false" ht="15" hidden="true" customHeight="true" outlineLevel="0" collapsed="false">
      <c r="I41" s="67" t="str">
        <f aca="false">IF($A21="","",I21*H21)</f>
        <v/>
      </c>
      <c r="J41" s="67"/>
      <c r="K41" s="67" t="str">
        <f aca="false">IF($A21="","",K21*J21)</f>
        <v/>
      </c>
      <c r="L41" s="67"/>
      <c r="M41" s="67" t="str">
        <f aca="false">IF($A21="","",M21*L21)</f>
        <v/>
      </c>
      <c r="N41" s="67"/>
      <c r="O41" s="67" t="str">
        <f aca="false">IF($A21="","",O21*N21)</f>
        <v/>
      </c>
      <c r="P41" s="67"/>
      <c r="Q41" s="67" t="str">
        <f aca="false">IF($A21="","",Q21*P21)</f>
        <v/>
      </c>
      <c r="R41" s="67"/>
      <c r="S41" s="67" t="str">
        <f aca="false">IF($A21="","",S21*R21)</f>
        <v/>
      </c>
      <c r="T41" s="67"/>
      <c r="U41" s="67" t="str">
        <f aca="false">IF($A21="","",U21*T21)</f>
        <v/>
      </c>
      <c r="V41" s="67"/>
      <c r="W41" s="67" t="str">
        <f aca="false">IF($A21="","",W21*V21)</f>
        <v/>
      </c>
      <c r="X41" s="67"/>
      <c r="Y41" s="67" t="str">
        <f aca="false">IF($A21="","",Y21*X21)</f>
        <v/>
      </c>
      <c r="Z41" s="67"/>
      <c r="AA41" s="67" t="str">
        <f aca="false">IF($A21="","",AA21*Z21)</f>
        <v/>
      </c>
      <c r="AB41" s="67"/>
      <c r="AC41" s="67" t="str">
        <f aca="false">IF($A21="","",AC21*AB21)</f>
        <v/>
      </c>
      <c r="AD41" s="67"/>
      <c r="AE41" s="67" t="str">
        <f aca="false">IF($A21="","",AE21*AD21)</f>
        <v/>
      </c>
      <c r="AF41" s="67"/>
      <c r="AG41" s="67" t="str">
        <f aca="false">IF($A21="","",AG21*AF21)</f>
        <v/>
      </c>
      <c r="AH41" s="67"/>
      <c r="AI41" s="67" t="str">
        <f aca="false">IF($A21="","",AI21*AH21)</f>
        <v/>
      </c>
      <c r="AJ41" s="67"/>
      <c r="AK41" s="67" t="str">
        <f aca="false">IF($A21="","",AK21*AJ21)</f>
        <v/>
      </c>
      <c r="AL41" s="67"/>
      <c r="AM41" s="67" t="str">
        <f aca="false">IF($A21="","",AM21*AL21)</f>
        <v/>
      </c>
      <c r="AN41" s="67"/>
      <c r="AO41" s="67" t="str">
        <f aca="false">IF($A21="","",AO21*AN21)</f>
        <v/>
      </c>
      <c r="AP41" s="67"/>
      <c r="AQ41" s="67" t="str">
        <f aca="false">IF($A21="","",AQ21*AP21)</f>
        <v/>
      </c>
      <c r="AR41" s="67"/>
      <c r="AS41" s="67" t="str">
        <f aca="false">IF($A21="","",AS21*AR21)</f>
        <v/>
      </c>
    </row>
    <row r="42" customFormat="false" ht="15" hidden="true" customHeight="true" outlineLevel="0" collapsed="false">
      <c r="I42" s="67" t="str">
        <f aca="false">IF($A22="","",I22*H22)</f>
        <v/>
      </c>
      <c r="J42" s="67"/>
      <c r="K42" s="67" t="str">
        <f aca="false">IF($A22="","",K22*J22)</f>
        <v/>
      </c>
      <c r="L42" s="67"/>
      <c r="M42" s="67" t="str">
        <f aca="false">IF($A22="","",M22*L22)</f>
        <v/>
      </c>
      <c r="N42" s="67"/>
      <c r="O42" s="67" t="str">
        <f aca="false">IF($A22="","",O22*N22)</f>
        <v/>
      </c>
      <c r="P42" s="67"/>
      <c r="Q42" s="67" t="str">
        <f aca="false">IF($A22="","",Q22*P22)</f>
        <v/>
      </c>
      <c r="R42" s="67"/>
      <c r="S42" s="67" t="str">
        <f aca="false">IF($A22="","",S22*R22)</f>
        <v/>
      </c>
      <c r="T42" s="67"/>
      <c r="U42" s="67" t="str">
        <f aca="false">IF($A22="","",U22*T22)</f>
        <v/>
      </c>
      <c r="V42" s="67"/>
      <c r="W42" s="67" t="str">
        <f aca="false">IF($A22="","",W22*V22)</f>
        <v/>
      </c>
      <c r="X42" s="67"/>
      <c r="Y42" s="67" t="str">
        <f aca="false">IF($A22="","",Y22*X22)</f>
        <v/>
      </c>
      <c r="Z42" s="67"/>
      <c r="AA42" s="67" t="str">
        <f aca="false">IF($A22="","",AA22*Z22)</f>
        <v/>
      </c>
      <c r="AB42" s="67"/>
      <c r="AC42" s="67" t="str">
        <f aca="false">IF($A22="","",AC22*AB22)</f>
        <v/>
      </c>
      <c r="AD42" s="67"/>
      <c r="AE42" s="67" t="str">
        <f aca="false">IF($A22="","",AE22*AD22)</f>
        <v/>
      </c>
      <c r="AF42" s="67"/>
      <c r="AG42" s="67" t="str">
        <f aca="false">IF($A22="","",AG22*AF22)</f>
        <v/>
      </c>
      <c r="AH42" s="67"/>
      <c r="AI42" s="67" t="str">
        <f aca="false">IF($A22="","",AI22*AH22)</f>
        <v/>
      </c>
      <c r="AJ42" s="67"/>
      <c r="AK42" s="67" t="str">
        <f aca="false">IF($A22="","",AK22*AJ22)</f>
        <v/>
      </c>
      <c r="AL42" s="67"/>
      <c r="AM42" s="67" t="str">
        <f aca="false">IF($A22="","",AM22*AL22)</f>
        <v/>
      </c>
      <c r="AN42" s="67"/>
      <c r="AO42" s="67" t="str">
        <f aca="false">IF($A22="","",AO22*AN22)</f>
        <v/>
      </c>
      <c r="AP42" s="67"/>
      <c r="AQ42" s="67" t="str">
        <f aca="false">IF($A22="","",AQ22*AP22)</f>
        <v/>
      </c>
      <c r="AR42" s="67"/>
      <c r="AS42" s="67" t="str">
        <f aca="false">IF($A22="","",AS22*AR22)</f>
        <v/>
      </c>
    </row>
    <row r="43" customFormat="false" ht="15" hidden="true" customHeight="true" outlineLevel="0" collapsed="false">
      <c r="I43" s="67" t="str">
        <f aca="false">IF($A23="","",I23*H23)</f>
        <v/>
      </c>
      <c r="J43" s="67"/>
      <c r="K43" s="67" t="str">
        <f aca="false">IF($A23="","",K23*J23)</f>
        <v/>
      </c>
      <c r="L43" s="67"/>
      <c r="M43" s="67" t="str">
        <f aca="false">IF($A23="","",M23*L23)</f>
        <v/>
      </c>
      <c r="N43" s="67"/>
      <c r="O43" s="67" t="str">
        <f aca="false">IF($A23="","",O23*N23)</f>
        <v/>
      </c>
      <c r="P43" s="67"/>
      <c r="Q43" s="67" t="str">
        <f aca="false">IF($A23="","",Q23*P23)</f>
        <v/>
      </c>
      <c r="R43" s="67"/>
      <c r="S43" s="67" t="str">
        <f aca="false">IF($A23="","",S23*R23)</f>
        <v/>
      </c>
      <c r="T43" s="67"/>
      <c r="U43" s="67" t="str">
        <f aca="false">IF($A23="","",U23*T23)</f>
        <v/>
      </c>
      <c r="V43" s="67"/>
      <c r="W43" s="67" t="str">
        <f aca="false">IF($A23="","",W23*V23)</f>
        <v/>
      </c>
      <c r="X43" s="67"/>
      <c r="Y43" s="67" t="str">
        <f aca="false">IF($A23="","",Y23*X23)</f>
        <v/>
      </c>
      <c r="Z43" s="67"/>
      <c r="AA43" s="67" t="str">
        <f aca="false">IF($A23="","",AA23*Z23)</f>
        <v/>
      </c>
      <c r="AB43" s="67"/>
      <c r="AC43" s="67" t="str">
        <f aca="false">IF($A23="","",AC23*AB23)</f>
        <v/>
      </c>
      <c r="AD43" s="67"/>
      <c r="AE43" s="67" t="str">
        <f aca="false">IF($A23="","",AE23*AD23)</f>
        <v/>
      </c>
      <c r="AF43" s="67"/>
      <c r="AG43" s="67" t="str">
        <f aca="false">IF($A23="","",AG23*AF23)</f>
        <v/>
      </c>
      <c r="AH43" s="67"/>
      <c r="AI43" s="67" t="str">
        <f aca="false">IF($A23="","",AI23*AH23)</f>
        <v/>
      </c>
      <c r="AJ43" s="67"/>
      <c r="AK43" s="67" t="str">
        <f aca="false">IF($A23="","",AK23*AJ23)</f>
        <v/>
      </c>
      <c r="AL43" s="67"/>
      <c r="AM43" s="67" t="str">
        <f aca="false">IF($A23="","",AM23*AL23)</f>
        <v/>
      </c>
      <c r="AN43" s="67"/>
      <c r="AO43" s="67" t="str">
        <f aca="false">IF($A23="","",AO23*AN23)</f>
        <v/>
      </c>
      <c r="AP43" s="67"/>
      <c r="AQ43" s="67" t="str">
        <f aca="false">IF($A23="","",AQ23*AP23)</f>
        <v/>
      </c>
      <c r="AR43" s="67"/>
      <c r="AS43" s="67" t="str">
        <f aca="false">IF($A23="","",AS23*AR23)</f>
        <v/>
      </c>
    </row>
    <row r="44" customFormat="false" ht="15" hidden="true" customHeight="true" outlineLevel="0" collapsed="false">
      <c r="I44" s="67" t="str">
        <f aca="false">IF($A24="","",I24*H24)</f>
        <v/>
      </c>
      <c r="J44" s="67"/>
      <c r="K44" s="67" t="str">
        <f aca="false">IF($A24="","",K24*J24)</f>
        <v/>
      </c>
      <c r="L44" s="67"/>
      <c r="M44" s="67" t="str">
        <f aca="false">IF($A24="","",M24*L24)</f>
        <v/>
      </c>
      <c r="N44" s="67"/>
      <c r="O44" s="67" t="str">
        <f aca="false">IF($A24="","",O24*N24)</f>
        <v/>
      </c>
      <c r="P44" s="67"/>
      <c r="Q44" s="67" t="str">
        <f aca="false">IF($A24="","",Q24*P24)</f>
        <v/>
      </c>
      <c r="R44" s="67"/>
      <c r="S44" s="67" t="str">
        <f aca="false">IF($A24="","",S24*R24)</f>
        <v/>
      </c>
      <c r="T44" s="67"/>
      <c r="U44" s="67" t="str">
        <f aca="false">IF($A24="","",U24*T24)</f>
        <v/>
      </c>
      <c r="V44" s="67"/>
      <c r="W44" s="67" t="str">
        <f aca="false">IF($A24="","",W24*V24)</f>
        <v/>
      </c>
      <c r="X44" s="67"/>
      <c r="Y44" s="67" t="str">
        <f aca="false">IF($A24="","",Y24*X24)</f>
        <v/>
      </c>
      <c r="Z44" s="67"/>
      <c r="AA44" s="67" t="str">
        <f aca="false">IF($A24="","",AA24*Z24)</f>
        <v/>
      </c>
      <c r="AB44" s="67"/>
      <c r="AC44" s="67" t="str">
        <f aca="false">IF($A24="","",AC24*AB24)</f>
        <v/>
      </c>
      <c r="AD44" s="67"/>
      <c r="AE44" s="67" t="str">
        <f aca="false">IF($A24="","",AE24*AD24)</f>
        <v/>
      </c>
      <c r="AF44" s="67"/>
      <c r="AG44" s="67" t="str">
        <f aca="false">IF($A24="","",AG24*AF24)</f>
        <v/>
      </c>
      <c r="AH44" s="67"/>
      <c r="AI44" s="67" t="str">
        <f aca="false">IF($A24="","",AI24*AH24)</f>
        <v/>
      </c>
      <c r="AJ44" s="67"/>
      <c r="AK44" s="67" t="str">
        <f aca="false">IF($A24="","",AK24*AJ24)</f>
        <v/>
      </c>
      <c r="AL44" s="67"/>
      <c r="AM44" s="67" t="str">
        <f aca="false">IF($A24="","",AM24*AL24)</f>
        <v/>
      </c>
      <c r="AN44" s="67"/>
      <c r="AO44" s="67" t="str">
        <f aca="false">IF($A24="","",AO24*AN24)</f>
        <v/>
      </c>
      <c r="AP44" s="67"/>
      <c r="AQ44" s="67" t="str">
        <f aca="false">IF($A24="","",AQ24*AP24)</f>
        <v/>
      </c>
      <c r="AR44" s="67"/>
      <c r="AS44" s="67" t="str">
        <f aca="false">IF($A24="","",AS24*AR24)</f>
        <v/>
      </c>
    </row>
    <row r="45" customFormat="false" ht="15" hidden="true" customHeight="true" outlineLevel="0" collapsed="false">
      <c r="I45" s="67" t="str">
        <f aca="false">IF($A25="","",I25*H25)</f>
        <v/>
      </c>
      <c r="J45" s="67"/>
      <c r="K45" s="67" t="str">
        <f aca="false">IF($A25="","",K25*J25)</f>
        <v/>
      </c>
      <c r="L45" s="67"/>
      <c r="M45" s="67" t="str">
        <f aca="false">IF($A25="","",M25*L25)</f>
        <v/>
      </c>
      <c r="N45" s="67"/>
      <c r="O45" s="67" t="str">
        <f aca="false">IF($A25="","",O25*N25)</f>
        <v/>
      </c>
      <c r="P45" s="67"/>
      <c r="Q45" s="67" t="str">
        <f aca="false">IF($A25="","",Q25*P25)</f>
        <v/>
      </c>
      <c r="R45" s="67"/>
      <c r="S45" s="67" t="str">
        <f aca="false">IF($A25="","",S25*R25)</f>
        <v/>
      </c>
      <c r="T45" s="67"/>
      <c r="U45" s="67" t="str">
        <f aca="false">IF($A25="","",U25*T25)</f>
        <v/>
      </c>
      <c r="V45" s="67"/>
      <c r="W45" s="67" t="str">
        <f aca="false">IF($A25="","",W25*V25)</f>
        <v/>
      </c>
      <c r="X45" s="67"/>
      <c r="Y45" s="67" t="str">
        <f aca="false">IF($A25="","",Y25*X25)</f>
        <v/>
      </c>
      <c r="Z45" s="67"/>
      <c r="AA45" s="67" t="str">
        <f aca="false">IF($A25="","",AA25*Z25)</f>
        <v/>
      </c>
      <c r="AB45" s="67"/>
      <c r="AC45" s="67" t="str">
        <f aca="false">IF($A25="","",AC25*AB25)</f>
        <v/>
      </c>
      <c r="AD45" s="67"/>
      <c r="AE45" s="67" t="str">
        <f aca="false">IF($A25="","",AE25*AD25)</f>
        <v/>
      </c>
      <c r="AF45" s="67"/>
      <c r="AG45" s="67" t="str">
        <f aca="false">IF($A25="","",AG25*AF25)</f>
        <v/>
      </c>
      <c r="AH45" s="67"/>
      <c r="AI45" s="67" t="str">
        <f aca="false">IF($A25="","",AI25*AH25)</f>
        <v/>
      </c>
      <c r="AJ45" s="67"/>
      <c r="AK45" s="67" t="str">
        <f aca="false">IF($A25="","",AK25*AJ25)</f>
        <v/>
      </c>
      <c r="AL45" s="67"/>
      <c r="AM45" s="67" t="str">
        <f aca="false">IF($A25="","",AM25*AL25)</f>
        <v/>
      </c>
      <c r="AN45" s="67"/>
      <c r="AO45" s="67" t="str">
        <f aca="false">IF($A25="","",AO25*AN25)</f>
        <v/>
      </c>
      <c r="AP45" s="67"/>
      <c r="AQ45" s="67" t="str">
        <f aca="false">IF($A25="","",AQ25*AP25)</f>
        <v/>
      </c>
      <c r="AR45" s="67"/>
      <c r="AS45" s="67" t="str">
        <f aca="false">IF($A25="","",AS25*AR25)</f>
        <v/>
      </c>
    </row>
    <row r="46" customFormat="false" ht="15" hidden="true" customHeight="true" outlineLevel="0" collapsed="false">
      <c r="I46" s="67" t="str">
        <f aca="false">IF($A26="","",I26*H26)</f>
        <v/>
      </c>
      <c r="J46" s="67"/>
      <c r="K46" s="67" t="str">
        <f aca="false">IF($A26="","",K26*J26)</f>
        <v/>
      </c>
      <c r="L46" s="67"/>
      <c r="M46" s="67" t="str">
        <f aca="false">IF($A26="","",M26*L26)</f>
        <v/>
      </c>
      <c r="N46" s="67"/>
      <c r="O46" s="67" t="str">
        <f aca="false">IF($A26="","",O26*N26)</f>
        <v/>
      </c>
      <c r="P46" s="67"/>
      <c r="Q46" s="67" t="str">
        <f aca="false">IF($A26="","",Q26*P26)</f>
        <v/>
      </c>
      <c r="R46" s="67"/>
      <c r="S46" s="67" t="str">
        <f aca="false">IF($A26="","",S26*R26)</f>
        <v/>
      </c>
      <c r="T46" s="67"/>
      <c r="U46" s="67" t="str">
        <f aca="false">IF($A26="","",U26*T26)</f>
        <v/>
      </c>
      <c r="V46" s="67"/>
      <c r="W46" s="67" t="str">
        <f aca="false">IF($A26="","",W26*V26)</f>
        <v/>
      </c>
      <c r="X46" s="67"/>
      <c r="Y46" s="67" t="str">
        <f aca="false">IF($A26="","",Y26*X26)</f>
        <v/>
      </c>
      <c r="Z46" s="67"/>
      <c r="AA46" s="67" t="str">
        <f aca="false">IF($A26="","",AA26*Z26)</f>
        <v/>
      </c>
      <c r="AB46" s="67"/>
      <c r="AC46" s="67" t="str">
        <f aca="false">IF($A26="","",AC26*AB26)</f>
        <v/>
      </c>
      <c r="AD46" s="67"/>
      <c r="AE46" s="67" t="str">
        <f aca="false">IF($A26="","",AE26*AD26)</f>
        <v/>
      </c>
      <c r="AF46" s="67"/>
      <c r="AG46" s="67" t="str">
        <f aca="false">IF($A26="","",AG26*AF26)</f>
        <v/>
      </c>
      <c r="AH46" s="67"/>
      <c r="AI46" s="67" t="str">
        <f aca="false">IF($A26="","",AI26*AH26)</f>
        <v/>
      </c>
      <c r="AJ46" s="67"/>
      <c r="AK46" s="67" t="str">
        <f aca="false">IF($A26="","",AK26*AJ26)</f>
        <v/>
      </c>
      <c r="AL46" s="67"/>
      <c r="AM46" s="67" t="str">
        <f aca="false">IF($A26="","",AM26*AL26)</f>
        <v/>
      </c>
      <c r="AN46" s="67"/>
      <c r="AO46" s="67" t="str">
        <f aca="false">IF($A26="","",AO26*AN26)</f>
        <v/>
      </c>
      <c r="AP46" s="67"/>
      <c r="AQ46" s="67" t="str">
        <f aca="false">IF($A26="","",AQ26*AP26)</f>
        <v/>
      </c>
      <c r="AR46" s="67"/>
      <c r="AS46" s="67" t="str">
        <f aca="false">IF($A26="","",AS26*AR26)</f>
        <v/>
      </c>
    </row>
    <row r="47" customFormat="false" ht="15" hidden="true" customHeight="true" outlineLevel="0" collapsed="false">
      <c r="I47" s="67" t="str">
        <f aca="false">IF($A27="","",I27*H27)</f>
        <v/>
      </c>
      <c r="J47" s="67"/>
      <c r="K47" s="67" t="str">
        <f aca="false">IF($A27="","",K27*J27)</f>
        <v/>
      </c>
      <c r="L47" s="67"/>
      <c r="M47" s="67" t="str">
        <f aca="false">IF($A27="","",M27*L27)</f>
        <v/>
      </c>
      <c r="N47" s="67"/>
      <c r="O47" s="67" t="str">
        <f aca="false">IF($A27="","",O27*N27)</f>
        <v/>
      </c>
      <c r="P47" s="67"/>
      <c r="Q47" s="67" t="str">
        <f aca="false">IF($A27="","",Q27*P27)</f>
        <v/>
      </c>
      <c r="R47" s="67"/>
      <c r="S47" s="67" t="str">
        <f aca="false">IF($A27="","",S27*R27)</f>
        <v/>
      </c>
      <c r="T47" s="67"/>
      <c r="U47" s="67" t="str">
        <f aca="false">IF($A27="","",U27*T27)</f>
        <v/>
      </c>
      <c r="V47" s="67"/>
      <c r="W47" s="67" t="str">
        <f aca="false">IF($A27="","",W27*V27)</f>
        <v/>
      </c>
      <c r="X47" s="67"/>
      <c r="Y47" s="67" t="str">
        <f aca="false">IF($A27="","",Y27*X27)</f>
        <v/>
      </c>
      <c r="Z47" s="67"/>
      <c r="AA47" s="67" t="str">
        <f aca="false">IF($A27="","",AA27*Z27)</f>
        <v/>
      </c>
      <c r="AB47" s="67"/>
      <c r="AC47" s="67" t="str">
        <f aca="false">IF($A27="","",AC27*AB27)</f>
        <v/>
      </c>
      <c r="AD47" s="67"/>
      <c r="AE47" s="67" t="str">
        <f aca="false">IF($A27="","",AE27*AD27)</f>
        <v/>
      </c>
      <c r="AF47" s="67"/>
      <c r="AG47" s="67" t="str">
        <f aca="false">IF($A27="","",AG27*AF27)</f>
        <v/>
      </c>
      <c r="AH47" s="67"/>
      <c r="AI47" s="67" t="str">
        <f aca="false">IF($A27="","",AI27*AH27)</f>
        <v/>
      </c>
      <c r="AJ47" s="67"/>
      <c r="AK47" s="67" t="str">
        <f aca="false">IF($A27="","",AK27*AJ27)</f>
        <v/>
      </c>
      <c r="AL47" s="67"/>
      <c r="AM47" s="67" t="str">
        <f aca="false">IF($A27="","",AM27*AL27)</f>
        <v/>
      </c>
      <c r="AN47" s="67"/>
      <c r="AO47" s="67" t="str">
        <f aca="false">IF($A27="","",AO27*AN27)</f>
        <v/>
      </c>
      <c r="AP47" s="67"/>
      <c r="AQ47" s="67" t="str">
        <f aca="false">IF($A27="","",AQ27*AP27)</f>
        <v/>
      </c>
      <c r="AR47" s="67"/>
      <c r="AS47" s="67" t="str">
        <f aca="false">IF($A27="","",AS27*AR27)</f>
        <v/>
      </c>
    </row>
    <row r="48" customFormat="false" ht="15" hidden="true" customHeight="true" outlineLevel="0" collapsed="false">
      <c r="I48" s="67" t="str">
        <f aca="false">IF($A28="","",I28*H28)</f>
        <v/>
      </c>
      <c r="J48" s="67"/>
      <c r="K48" s="67" t="str">
        <f aca="false">IF($A28="","",K28*J28)</f>
        <v/>
      </c>
      <c r="L48" s="67"/>
      <c r="M48" s="67" t="str">
        <f aca="false">IF($A28="","",M28*L28)</f>
        <v/>
      </c>
      <c r="N48" s="67"/>
      <c r="O48" s="67" t="str">
        <f aca="false">IF($A28="","",O28*N28)</f>
        <v/>
      </c>
      <c r="P48" s="67"/>
      <c r="Q48" s="67" t="str">
        <f aca="false">IF($A28="","",Q28*P28)</f>
        <v/>
      </c>
      <c r="R48" s="67"/>
      <c r="S48" s="67" t="str">
        <f aca="false">IF($A28="","",S28*R28)</f>
        <v/>
      </c>
      <c r="T48" s="67"/>
      <c r="U48" s="67" t="str">
        <f aca="false">IF($A28="","",U28*T28)</f>
        <v/>
      </c>
      <c r="V48" s="67"/>
      <c r="W48" s="67" t="str">
        <f aca="false">IF($A28="","",W28*V28)</f>
        <v/>
      </c>
      <c r="X48" s="67"/>
      <c r="Y48" s="67" t="str">
        <f aca="false">IF($A28="","",Y28*X28)</f>
        <v/>
      </c>
      <c r="Z48" s="67"/>
      <c r="AA48" s="67" t="str">
        <f aca="false">IF($A28="","",AA28*Z28)</f>
        <v/>
      </c>
      <c r="AB48" s="67"/>
      <c r="AC48" s="67" t="str">
        <f aca="false">IF($A28="","",AC28*AB28)</f>
        <v/>
      </c>
      <c r="AD48" s="67"/>
      <c r="AE48" s="67" t="str">
        <f aca="false">IF($A28="","",AE28*AD28)</f>
        <v/>
      </c>
      <c r="AF48" s="67"/>
      <c r="AG48" s="67" t="str">
        <f aca="false">IF($A28="","",AG28*AF28)</f>
        <v/>
      </c>
      <c r="AH48" s="67"/>
      <c r="AI48" s="67" t="str">
        <f aca="false">IF($A28="","",AI28*AH28)</f>
        <v/>
      </c>
      <c r="AJ48" s="67"/>
      <c r="AK48" s="67" t="str">
        <f aca="false">IF($A28="","",AK28*AJ28)</f>
        <v/>
      </c>
      <c r="AL48" s="67"/>
      <c r="AM48" s="67" t="str">
        <f aca="false">IF($A28="","",AM28*AL28)</f>
        <v/>
      </c>
      <c r="AN48" s="67"/>
      <c r="AO48" s="67" t="str">
        <f aca="false">IF($A28="","",AO28*AN28)</f>
        <v/>
      </c>
      <c r="AP48" s="67"/>
      <c r="AQ48" s="67" t="str">
        <f aca="false">IF($A28="","",AQ28*AP28)</f>
        <v/>
      </c>
      <c r="AR48" s="67"/>
      <c r="AS48" s="67" t="str">
        <f aca="false">IF($A28="","",AS28*AR28)</f>
        <v/>
      </c>
    </row>
    <row r="49" customFormat="false" ht="15" hidden="true" customHeight="true" outlineLevel="0" collapsed="false">
      <c r="I49" s="68" t="n">
        <f aca="false">SUMIF(I31:I48,"&gt;0")</f>
        <v>800</v>
      </c>
      <c r="K49" s="68" t="n">
        <f aca="false">SUMIF(K31:K48,"&gt;0")</f>
        <v>800</v>
      </c>
      <c r="L49" s="68"/>
      <c r="M49" s="68" t="n">
        <f aca="false">SUMIF(M31:M48,"&gt;0")</f>
        <v>430</v>
      </c>
      <c r="N49" s="68"/>
      <c r="O49" s="68" t="n">
        <f aca="false">SUMIF(O31:O48,"&gt;0")</f>
        <v>430</v>
      </c>
      <c r="Q49" s="68" t="n">
        <f aca="false">SUMIF(Q31:Q48,"&gt;0")</f>
        <v>150</v>
      </c>
      <c r="S49" s="68" t="n">
        <f aca="false">SUMIF(S31:S48,"&gt;0")</f>
        <v>800</v>
      </c>
      <c r="U49" s="68" t="n">
        <f aca="false">SUMIF(U31:U48,"&gt;0")</f>
        <v>150</v>
      </c>
      <c r="V49" s="68"/>
      <c r="W49" s="68" t="n">
        <f aca="false">SUMIF(W31:W48,"&gt;0")</f>
        <v>1452</v>
      </c>
      <c r="X49" s="68"/>
      <c r="Y49" s="68" t="n">
        <f aca="false">SUMIF(Y31:Y48,"&gt;0")</f>
        <v>461</v>
      </c>
      <c r="Z49" s="68"/>
      <c r="AA49" s="68" t="n">
        <f aca="false">SUMIF(AA31:AA48,"&gt;0")</f>
        <v>421</v>
      </c>
      <c r="AC49" s="68" t="n">
        <f aca="false">SUMIF(AC31:AC48,"&gt;0")</f>
        <v>652</v>
      </c>
      <c r="AD49" s="68"/>
      <c r="AE49" s="68" t="n">
        <f aca="false">SUMIF(AE31:AE48,"&gt;0")</f>
        <v>141</v>
      </c>
      <c r="AG49" s="68" t="n">
        <f aca="false">SUMIF(AG31:AG48,"&gt;0")</f>
        <v>101</v>
      </c>
      <c r="AI49" s="68" t="n">
        <f aca="false">SUMIF(AI31:AI48,"&gt;0")</f>
        <v>150</v>
      </c>
      <c r="AK49" s="68" t="n">
        <f aca="false">SUMIF(AK31:AK48,"&gt;0")</f>
        <v>2480</v>
      </c>
      <c r="AL49" s="68"/>
      <c r="AM49" s="68" t="n">
        <f aca="false">SUMIF(AM31:AM48,"&gt;0")</f>
        <v>128</v>
      </c>
      <c r="AN49" s="68"/>
      <c r="AO49" s="68" t="n">
        <f aca="false">SUMIF(AO31:AO48,"&gt;0")</f>
        <v>0</v>
      </c>
      <c r="AQ49" s="68" t="n">
        <f aca="false">SUMIF(AQ31:AQ48,"&gt;0")</f>
        <v>0</v>
      </c>
      <c r="AS49" s="68" t="n">
        <f aca="false">SUMIF(AS31:AS48,"&gt;0")</f>
        <v>1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1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146</v>
      </c>
      <c r="C54" s="74" t="s">
        <v>140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/>
    </row>
    <row r="55" customFormat="false" ht="15" hidden="false" customHeight="true" outlineLevel="0" collapsed="false">
      <c r="A55" s="72" t="n">
        <v>2</v>
      </c>
      <c r="B55" s="73" t="s">
        <v>147</v>
      </c>
      <c r="C55" s="74" t="s">
        <v>141</v>
      </c>
      <c r="D55" s="75" t="s">
        <v>6</v>
      </c>
      <c r="E55" s="76"/>
      <c r="F55" s="76"/>
      <c r="G55" s="76"/>
      <c r="H55" s="76"/>
      <c r="I55" s="76"/>
      <c r="J55" s="76"/>
      <c r="K55" s="76"/>
      <c r="L55" s="77"/>
    </row>
    <row r="56" customFormat="false" ht="15" hidden="false" customHeight="true" outlineLevel="0" collapsed="false">
      <c r="A56" s="72" t="n">
        <v>3</v>
      </c>
      <c r="B56" s="73" t="s">
        <v>148</v>
      </c>
      <c r="C56" s="74" t="s">
        <v>14</v>
      </c>
      <c r="D56" s="75" t="s">
        <v>135</v>
      </c>
      <c r="E56" s="77" t="n">
        <v>35</v>
      </c>
      <c r="F56" s="77" t="n">
        <v>35</v>
      </c>
      <c r="G56" s="76"/>
      <c r="H56" s="76"/>
      <c r="I56" s="76"/>
      <c r="J56" s="76"/>
      <c r="K56" s="76"/>
      <c r="L56" s="77"/>
    </row>
    <row r="57" customFormat="false" ht="15" hidden="false" customHeight="true" outlineLevel="0" collapsed="false">
      <c r="A57" s="72" t="n">
        <v>4</v>
      </c>
      <c r="B57" s="73" t="s">
        <v>149</v>
      </c>
      <c r="C57" s="74" t="s">
        <v>15</v>
      </c>
      <c r="D57" s="75" t="s">
        <v>135</v>
      </c>
      <c r="E57" s="76"/>
      <c r="F57" s="76"/>
      <c r="G57" s="76"/>
      <c r="H57" s="76"/>
      <c r="I57" s="76"/>
      <c r="J57" s="76"/>
      <c r="K57" s="76"/>
      <c r="L57" s="77"/>
    </row>
    <row r="58" customFormat="false" ht="15" hidden="false" customHeight="true" outlineLevel="0" collapsed="false">
      <c r="A58" s="72" t="n">
        <v>5</v>
      </c>
      <c r="B58" s="73" t="s">
        <v>150</v>
      </c>
      <c r="C58" s="74" t="s">
        <v>79</v>
      </c>
      <c r="D58" s="75" t="s">
        <v>136</v>
      </c>
      <c r="E58" s="77" t="n">
        <v>25</v>
      </c>
      <c r="F58" s="76"/>
      <c r="G58" s="76"/>
      <c r="H58" s="76"/>
      <c r="I58" s="76"/>
      <c r="J58" s="76"/>
      <c r="K58" s="76"/>
      <c r="L58" s="77"/>
    </row>
    <row r="59" customFormat="false" ht="15" hidden="false" customHeight="true" outlineLevel="0" collapsed="false">
      <c r="A59" s="72" t="n">
        <v>6</v>
      </c>
      <c r="B59" s="73" t="s">
        <v>151</v>
      </c>
      <c r="C59" s="74" t="s">
        <v>142</v>
      </c>
      <c r="D59" s="75" t="s">
        <v>6</v>
      </c>
      <c r="E59" s="76"/>
      <c r="F59" s="76"/>
      <c r="G59" s="76"/>
      <c r="H59" s="76"/>
      <c r="I59" s="76"/>
      <c r="J59" s="76"/>
      <c r="K59" s="76"/>
      <c r="L59" s="77"/>
    </row>
    <row r="60" customFormat="false" ht="15" hidden="false" customHeight="true" outlineLevel="0" collapsed="false">
      <c r="A60" s="72" t="n">
        <v>7</v>
      </c>
      <c r="B60" s="73" t="s">
        <v>152</v>
      </c>
      <c r="C60" s="74" t="s">
        <v>79</v>
      </c>
      <c r="D60" s="75" t="s">
        <v>136</v>
      </c>
      <c r="E60" s="76"/>
      <c r="F60" s="76"/>
      <c r="G60" s="76"/>
      <c r="H60" s="76"/>
      <c r="I60" s="76"/>
      <c r="J60" s="76"/>
      <c r="K60" s="76"/>
      <c r="L60" s="77"/>
    </row>
    <row r="61" customFormat="false" ht="15" hidden="false" customHeight="true" outlineLevel="0" collapsed="false">
      <c r="A61" s="72" t="n">
        <v>8</v>
      </c>
      <c r="B61" s="73" t="s">
        <v>34</v>
      </c>
      <c r="C61" s="74" t="s">
        <v>16</v>
      </c>
      <c r="D61" s="75" t="s">
        <v>8</v>
      </c>
      <c r="E61" s="77" t="n">
        <v>18.5</v>
      </c>
      <c r="F61" s="77" t="n">
        <v>18.5</v>
      </c>
      <c r="G61" s="76"/>
      <c r="H61" s="76"/>
      <c r="I61" s="76"/>
      <c r="J61" s="76"/>
      <c r="K61" s="76"/>
      <c r="L61" s="77"/>
    </row>
    <row r="62" customFormat="false" ht="15" hidden="false" customHeight="true" outlineLevel="0" collapsed="false">
      <c r="A62" s="72" t="n">
        <v>9</v>
      </c>
      <c r="B62" s="73" t="s">
        <v>121</v>
      </c>
      <c r="C62" s="74" t="s">
        <v>79</v>
      </c>
      <c r="D62" s="75" t="s">
        <v>137</v>
      </c>
      <c r="E62" s="77" t="n">
        <v>28.5</v>
      </c>
      <c r="F62" s="77" t="n">
        <v>1</v>
      </c>
      <c r="G62" s="76"/>
      <c r="H62" s="76"/>
      <c r="I62" s="76"/>
      <c r="J62" s="76"/>
      <c r="K62" s="76"/>
      <c r="L62" s="77"/>
    </row>
    <row r="63" customFormat="false" ht="15" hidden="false" customHeight="true" outlineLevel="0" collapsed="false">
      <c r="A63" s="72" t="n">
        <v>10</v>
      </c>
      <c r="B63" s="73" t="s">
        <v>122</v>
      </c>
      <c r="C63" s="74" t="s">
        <v>79</v>
      </c>
      <c r="D63" s="75" t="s">
        <v>138</v>
      </c>
      <c r="E63" s="77" t="n">
        <v>28.5</v>
      </c>
      <c r="F63" s="77" t="n">
        <v>1</v>
      </c>
      <c r="G63" s="76"/>
      <c r="H63" s="76"/>
      <c r="I63" s="76"/>
      <c r="J63" s="76"/>
      <c r="K63" s="76"/>
      <c r="L63" s="77"/>
    </row>
    <row r="64" customFormat="false" ht="15" hidden="false" customHeight="true" outlineLevel="0" collapsed="false">
      <c r="A64" s="72" t="n">
        <v>11</v>
      </c>
      <c r="B64" s="73" t="s">
        <v>36</v>
      </c>
      <c r="C64" s="74" t="s">
        <v>17</v>
      </c>
      <c r="D64" s="75" t="s">
        <v>10</v>
      </c>
      <c r="E64" s="77" t="n">
        <v>100</v>
      </c>
      <c r="F64" s="77" t="n">
        <v>100</v>
      </c>
      <c r="G64" s="76"/>
      <c r="H64" s="76"/>
      <c r="I64" s="76"/>
      <c r="J64" s="76"/>
      <c r="K64" s="76"/>
      <c r="L64" s="77"/>
    </row>
    <row r="65" customFormat="false" ht="15" hidden="false" customHeight="true" outlineLevel="0" collapsed="false">
      <c r="A65" s="72" t="n">
        <v>12</v>
      </c>
      <c r="B65" s="73" t="s">
        <v>123</v>
      </c>
      <c r="C65" s="74" t="s">
        <v>79</v>
      </c>
      <c r="D65" s="75" t="s">
        <v>114</v>
      </c>
      <c r="E65" s="77" t="n">
        <v>80</v>
      </c>
      <c r="F65" s="77" t="n">
        <v>80</v>
      </c>
      <c r="G65" s="76"/>
      <c r="H65" s="76"/>
      <c r="I65" s="76"/>
      <c r="J65" s="76"/>
      <c r="K65" s="76"/>
      <c r="L65" s="77"/>
    </row>
    <row r="66" customFormat="false" ht="15" hidden="false" customHeight="true" outlineLevel="0" collapsed="false">
      <c r="A66" s="72" t="n">
        <v>13</v>
      </c>
      <c r="B66" s="73" t="s">
        <v>124</v>
      </c>
      <c r="C66" s="74" t="s">
        <v>79</v>
      </c>
      <c r="D66" s="75" t="s">
        <v>115</v>
      </c>
      <c r="E66" s="77" t="n">
        <v>80</v>
      </c>
      <c r="F66" s="77" t="n">
        <v>80</v>
      </c>
      <c r="G66" s="76"/>
      <c r="H66" s="76"/>
      <c r="I66" s="76"/>
      <c r="J66" s="76"/>
      <c r="K66" s="76"/>
      <c r="L66" s="77"/>
    </row>
    <row r="67" customFormat="false" ht="15" hidden="false" customHeight="true" outlineLevel="0" collapsed="false">
      <c r="A67" s="72" t="n">
        <v>14</v>
      </c>
      <c r="B67" s="73" t="s">
        <v>153</v>
      </c>
      <c r="C67" s="74" t="s">
        <v>79</v>
      </c>
      <c r="D67" s="75" t="s">
        <v>136</v>
      </c>
      <c r="E67" s="77" t="n">
        <v>25</v>
      </c>
      <c r="F67" s="76"/>
      <c r="G67" s="76"/>
      <c r="H67" s="76"/>
      <c r="I67" s="76"/>
      <c r="J67" s="76"/>
      <c r="K67" s="76"/>
      <c r="L67" s="77"/>
    </row>
    <row r="68" customFormat="false" ht="15" hidden="false" customHeight="true" outlineLevel="0" collapsed="false">
      <c r="A68" s="72" t="n">
        <v>15</v>
      </c>
      <c r="B68" s="73" t="s">
        <v>154</v>
      </c>
      <c r="C68" s="74" t="s">
        <v>79</v>
      </c>
      <c r="D68" s="75" t="s">
        <v>139</v>
      </c>
      <c r="E68" s="77" t="n">
        <v>45</v>
      </c>
      <c r="F68" s="77" t="n">
        <v>45</v>
      </c>
      <c r="G68" s="76"/>
      <c r="H68" s="76"/>
      <c r="I68" s="76"/>
      <c r="J68" s="76"/>
      <c r="K68" s="76"/>
      <c r="L68" s="77"/>
    </row>
    <row r="69" customFormat="false" ht="15" hidden="false" customHeight="true" outlineLevel="0" collapsed="false">
      <c r="A69" s="72" t="n">
        <v>16</v>
      </c>
      <c r="B69" s="73" t="s">
        <v>38</v>
      </c>
      <c r="C69" s="74" t="s">
        <v>18</v>
      </c>
      <c r="D69" s="75" t="s">
        <v>135</v>
      </c>
      <c r="E69" s="76"/>
      <c r="F69" s="76"/>
      <c r="G69" s="76"/>
      <c r="H69" s="76"/>
      <c r="I69" s="76"/>
      <c r="J69" s="76"/>
      <c r="K69" s="76"/>
      <c r="L69" s="77"/>
    </row>
    <row r="70" customFormat="false" ht="15" hidden="false" customHeight="true" outlineLevel="0" collapsed="false">
      <c r="A70" s="72" t="n">
        <v>17</v>
      </c>
      <c r="B70" s="73" t="s">
        <v>38</v>
      </c>
      <c r="C70" s="74" t="s">
        <v>79</v>
      </c>
      <c r="D70" s="75" t="s">
        <v>136</v>
      </c>
      <c r="E70" s="76"/>
      <c r="F70" s="76"/>
      <c r="G70" s="76"/>
      <c r="H70" s="76"/>
      <c r="I70" s="76"/>
      <c r="J70" s="76"/>
      <c r="K70" s="76"/>
      <c r="L70" s="77"/>
    </row>
    <row r="71" customFormat="false" ht="15" hidden="false" customHeight="true" outlineLevel="0" collapsed="false">
      <c r="A71" s="72" t="n">
        <v>18</v>
      </c>
      <c r="B71" s="73" t="s">
        <v>125</v>
      </c>
      <c r="C71" s="74" t="s">
        <v>117</v>
      </c>
      <c r="D71" s="75" t="s">
        <v>116</v>
      </c>
      <c r="E71" s="77" t="n">
        <v>27</v>
      </c>
      <c r="F71" s="77" t="n">
        <v>27</v>
      </c>
      <c r="G71" s="76"/>
      <c r="H71" s="76"/>
      <c r="I71" s="76"/>
      <c r="J71" s="76"/>
      <c r="K71" s="76"/>
      <c r="L71" s="77"/>
    </row>
    <row r="72" customFormat="false" ht="15" hidden="false" customHeight="true" outlineLevel="0" collapsed="false">
      <c r="A72" s="72" t="n">
        <v>19</v>
      </c>
      <c r="B72" s="73" t="s">
        <v>157</v>
      </c>
      <c r="C72" s="74" t="s">
        <v>143</v>
      </c>
      <c r="D72" s="75" t="s">
        <v>136</v>
      </c>
      <c r="E72" s="76"/>
      <c r="F72" s="76"/>
      <c r="G72" s="76"/>
      <c r="H72" s="76"/>
      <c r="I72" s="76"/>
      <c r="J72" s="76"/>
      <c r="K72" s="76"/>
      <c r="L72" s="77"/>
    </row>
    <row r="74" customFormat="false" ht="15" hidden="false" customHeight="true" outlineLevel="0" collapsed="false">
      <c r="A74" s="78" t="s">
        <v>128</v>
      </c>
      <c r="F74" s="79"/>
    </row>
    <row r="75" customFormat="false" ht="15" hidden="false" customHeight="true" outlineLevel="0" collapsed="false">
      <c r="A75" s="80" t="s">
        <v>81</v>
      </c>
      <c r="B75" s="81" t="s">
        <v>82</v>
      </c>
      <c r="F75" s="82"/>
    </row>
    <row r="76" customFormat="false" ht="15" hidden="false" customHeight="true" outlineLevel="0" collapsed="false">
      <c r="A76" s="80" t="s">
        <v>83</v>
      </c>
      <c r="B76" s="81" t="s">
        <v>84</v>
      </c>
      <c r="F76" s="82"/>
    </row>
    <row r="77" customFormat="false" ht="15" hidden="false" customHeight="true" outlineLevel="0" collapsed="false">
      <c r="A77" s="80" t="s">
        <v>85</v>
      </c>
      <c r="B77" s="81" t="s">
        <v>86</v>
      </c>
      <c r="F77" s="82"/>
    </row>
    <row r="78" customFormat="false" ht="15" hidden="false" customHeight="true" outlineLevel="0" collapsed="false">
      <c r="A78" s="80" t="s">
        <v>87</v>
      </c>
      <c r="B78" s="81" t="s">
        <v>88</v>
      </c>
      <c r="F78" s="82"/>
    </row>
    <row r="79" customFormat="false" ht="15" hidden="false" customHeight="true" outlineLevel="0" collapsed="false">
      <c r="A79" s="105" t="s">
        <v>129</v>
      </c>
      <c r="B79" s="81" t="s">
        <v>88</v>
      </c>
    </row>
    <row r="81" customFormat="false" ht="15" hidden="false" customHeight="true" outlineLevel="0" collapsed="false">
      <c r="A81" s="84" t="s">
        <v>89</v>
      </c>
    </row>
    <row r="82" customFormat="false" ht="15" hidden="false" customHeight="true" outlineLevel="0" collapsed="false">
      <c r="A82" s="84" t="s">
        <v>67</v>
      </c>
      <c r="B82" s="84" t="s">
        <v>90</v>
      </c>
      <c r="C82" s="84" t="s">
        <v>91</v>
      </c>
      <c r="D82" s="84" t="s">
        <v>60</v>
      </c>
      <c r="E82" s="84" t="s">
        <v>92</v>
      </c>
      <c r="F82" s="84" t="s">
        <v>93</v>
      </c>
    </row>
    <row r="83" customFormat="false" ht="15" hidden="false" customHeight="true" outlineLevel="0" collapsed="false">
      <c r="A83" s="85" t="n">
        <v>1</v>
      </c>
      <c r="B83" s="85" t="s">
        <v>41</v>
      </c>
      <c r="C83" s="81" t="str">
        <f aca="false">AK8</f>
        <v>JR00489</v>
      </c>
      <c r="D83" s="86" t="n">
        <f aca="false">AK30</f>
        <v>8</v>
      </c>
      <c r="E83" s="85" t="s">
        <v>94</v>
      </c>
      <c r="F83" s="85"/>
    </row>
    <row r="84" customFormat="false" ht="15" hidden="false" customHeight="true" outlineLevel="0" collapsed="false">
      <c r="A84" s="85" t="n">
        <v>2</v>
      </c>
      <c r="B84" s="85" t="s">
        <v>42</v>
      </c>
      <c r="C84" s="81" t="str">
        <f aca="false">AL8</f>
        <v>JR00482</v>
      </c>
      <c r="D84" s="86" t="n">
        <f aca="false">AL30</f>
        <v>8</v>
      </c>
      <c r="E84" s="85" t="s">
        <v>94</v>
      </c>
      <c r="F84" s="85"/>
    </row>
    <row r="85" customFormat="false" ht="15" hidden="false" customHeight="true" outlineLevel="0" collapsed="false">
      <c r="A85" s="85" t="n">
        <v>3</v>
      </c>
      <c r="B85" s="85" t="s">
        <v>43</v>
      </c>
      <c r="C85" s="81" t="str">
        <f aca="false">AM8</f>
        <v>JR00557</v>
      </c>
      <c r="D85" s="86" t="n">
        <f aca="false">AM30</f>
        <v>16</v>
      </c>
      <c r="E85" s="85" t="s">
        <v>94</v>
      </c>
      <c r="F85" s="85"/>
    </row>
    <row r="86" customFormat="false" ht="15" hidden="false" customHeight="true" outlineLevel="0" collapsed="false">
      <c r="A86" s="85" t="n">
        <v>4</v>
      </c>
      <c r="B86" s="85" t="s">
        <v>44</v>
      </c>
      <c r="C86" s="81" t="str">
        <f aca="false">AN8</f>
        <v>JR00315</v>
      </c>
      <c r="D86" s="86" t="n">
        <f aca="false">AN30</f>
        <v>2</v>
      </c>
      <c r="E86" s="85" t="s">
        <v>22</v>
      </c>
      <c r="F86" s="85"/>
    </row>
    <row r="87" customFormat="false" ht="15" hidden="false" customHeight="true" outlineLevel="0" collapsed="false">
      <c r="A87" s="85" t="n">
        <v>5</v>
      </c>
      <c r="B87" s="85" t="s">
        <v>45</v>
      </c>
      <c r="C87" s="81" t="str">
        <f aca="false">AO8</f>
        <v>JR00313</v>
      </c>
      <c r="D87" s="86" t="n">
        <f aca="false">AO30</f>
        <v>0</v>
      </c>
      <c r="E87" s="85" t="s">
        <v>22</v>
      </c>
      <c r="F87" s="85"/>
    </row>
    <row r="88" customFormat="false" ht="15" hidden="false" customHeight="true" outlineLevel="0" collapsed="false">
      <c r="A88" s="85" t="n">
        <v>6</v>
      </c>
      <c r="B88" s="85" t="s">
        <v>95</v>
      </c>
      <c r="C88" s="85"/>
      <c r="D88" s="86" t="n">
        <f aca="false">AP30</f>
        <v>0</v>
      </c>
      <c r="E88" s="85" t="s">
        <v>22</v>
      </c>
      <c r="F88" s="85" t="s">
        <v>96</v>
      </c>
    </row>
    <row r="89" customFormat="false" ht="15" hidden="false" customHeight="true" outlineLevel="0" collapsed="false">
      <c r="A89" s="85" t="n">
        <v>7</v>
      </c>
      <c r="B89" s="85" t="s">
        <v>97</v>
      </c>
      <c r="C89" s="85"/>
      <c r="D89" s="86" t="n">
        <f aca="false">BD30</f>
        <v>0</v>
      </c>
      <c r="E89" s="85" t="s">
        <v>22</v>
      </c>
      <c r="F89" s="85" t="s">
        <v>96</v>
      </c>
    </row>
    <row r="90" customFormat="false" ht="15" hidden="false" customHeight="true" outlineLevel="0" collapsed="false">
      <c r="A90" s="85" t="n">
        <v>8</v>
      </c>
      <c r="B90" s="85" t="s">
        <v>47</v>
      </c>
      <c r="C90" s="81" t="str">
        <f aca="false">AQ8</f>
        <v>JR00551</v>
      </c>
      <c r="D90" s="86" t="n">
        <f aca="false">IF(OR($B$78="Digital lock",$B$78="ไม่ใส่"),0,AQ30)</f>
        <v>1</v>
      </c>
      <c r="E90" s="85" t="s">
        <v>94</v>
      </c>
      <c r="F90" s="85"/>
    </row>
    <row r="91" customFormat="false" ht="15" hidden="false" customHeight="true" outlineLevel="0" collapsed="false">
      <c r="A91" s="85" t="n">
        <v>9</v>
      </c>
      <c r="B91" s="85" t="s">
        <v>48</v>
      </c>
      <c r="C91" s="81" t="str">
        <f aca="false">AR8</f>
        <v>JR00499</v>
      </c>
      <c r="D91" s="86" t="n">
        <f aca="false">IF(OR($B$78="Digital lock",$B$78="ไม่ใส่"),0,AR30)</f>
        <v>1</v>
      </c>
      <c r="E91" s="85" t="s">
        <v>94</v>
      </c>
      <c r="F91" s="85" t="s">
        <v>98</v>
      </c>
    </row>
    <row r="92" customFormat="false" ht="15" hidden="false" customHeight="true" outlineLevel="0" collapsed="false">
      <c r="A92" s="85" t="n">
        <v>10</v>
      </c>
      <c r="B92" s="85" t="s">
        <v>54</v>
      </c>
      <c r="C92" s="81" t="str">
        <f aca="false">AX8</f>
        <v>JR00562</v>
      </c>
      <c r="D92" s="86" t="n">
        <f aca="false">IF(OR($B$78="Digital lock",$B$78="ไม่ใส่"),0,AX30)</f>
        <v>1</v>
      </c>
      <c r="E92" s="85" t="s">
        <v>22</v>
      </c>
      <c r="F92" s="85"/>
    </row>
    <row r="93" customFormat="false" ht="15" hidden="false" customHeight="true" outlineLevel="0" collapsed="false">
      <c r="A93" s="85" t="n">
        <v>11</v>
      </c>
      <c r="B93" s="85" t="s">
        <v>99</v>
      </c>
      <c r="C93" s="81" t="str">
        <f aca="false">AS8</f>
        <v>JR00596</v>
      </c>
      <c r="D93" s="86" t="n">
        <f aca="false">AS30</f>
        <v>1</v>
      </c>
      <c r="E93" s="85" t="s">
        <v>94</v>
      </c>
      <c r="F93" s="85"/>
    </row>
    <row r="94" customFormat="false" ht="15" hidden="false" customHeight="true" outlineLevel="0" collapsed="false">
      <c r="A94" s="85" t="n">
        <v>12</v>
      </c>
      <c r="B94" s="85" t="s">
        <v>50</v>
      </c>
      <c r="C94" s="81" t="str">
        <f aca="false">AT8</f>
        <v>JR00598</v>
      </c>
      <c r="D94" s="86" t="n">
        <f aca="false">AT30</f>
        <v>1</v>
      </c>
      <c r="E94" s="85" t="s">
        <v>94</v>
      </c>
      <c r="F94" s="85"/>
    </row>
    <row r="95" customFormat="false" ht="15" hidden="false" customHeight="true" outlineLevel="0" collapsed="false">
      <c r="A95" s="85" t="n">
        <v>13</v>
      </c>
      <c r="B95" s="85" t="s">
        <v>100</v>
      </c>
      <c r="C95" s="81" t="str">
        <f aca="false">AU8</f>
        <v>JR00864</v>
      </c>
      <c r="D95" s="86" t="n">
        <f aca="false">AU30</f>
        <v>8</v>
      </c>
      <c r="E95" s="85" t="s">
        <v>94</v>
      </c>
      <c r="F95" s="85"/>
    </row>
    <row r="96" customFormat="false" ht="15" hidden="false" customHeight="true" outlineLevel="0" collapsed="false">
      <c r="A96" s="85" t="n">
        <v>14</v>
      </c>
      <c r="B96" s="85" t="s">
        <v>52</v>
      </c>
      <c r="C96" s="81" t="str">
        <f aca="false">AV8</f>
        <v>JR00771</v>
      </c>
      <c r="D96" s="86" t="n">
        <f aca="false">AV30</f>
        <v>2.6</v>
      </c>
      <c r="E96" s="85" t="s">
        <v>101</v>
      </c>
      <c r="F96" s="85"/>
    </row>
    <row r="97" customFormat="false" ht="15" hidden="false" customHeight="true" outlineLevel="0" collapsed="false">
      <c r="A97" s="85" t="n">
        <v>15</v>
      </c>
      <c r="B97" s="85" t="s">
        <v>53</v>
      </c>
      <c r="C97" s="81" t="str">
        <f aca="false">AW8</f>
        <v>JR00771</v>
      </c>
      <c r="D97" s="86" t="n">
        <f aca="false">AW30</f>
        <v>2.2</v>
      </c>
      <c r="E97" s="85" t="s">
        <v>101</v>
      </c>
      <c r="F97" s="85"/>
    </row>
    <row r="98" customFormat="false" ht="15" hidden="false" customHeight="false" outlineLevel="0" collapsed="false">
      <c r="A98" s="85" t="n">
        <v>16</v>
      </c>
      <c r="B98" s="85" t="s">
        <v>102</v>
      </c>
      <c r="C98" s="81"/>
      <c r="D98" s="86" t="n">
        <f aca="false">IF($B$78="Digital lock",1,0)</f>
        <v>0</v>
      </c>
      <c r="E98" s="85" t="s">
        <v>22</v>
      </c>
      <c r="F98" s="85" t="s">
        <v>103</v>
      </c>
    </row>
  </sheetData>
  <mergeCells count="51">
    <mergeCell ref="A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7:G7"/>
    <mergeCell ref="H7:I7"/>
    <mergeCell ref="J7:K7"/>
    <mergeCell ref="L7:M7"/>
    <mergeCell ref="N7:Q7"/>
    <mergeCell ref="R7:U7"/>
    <mergeCell ref="V7:AA7"/>
    <mergeCell ref="A8:A9"/>
    <mergeCell ref="B8:C9"/>
    <mergeCell ref="G8:G9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30:G30"/>
    <mergeCell ref="N30:P30"/>
    <mergeCell ref="R30:T30"/>
    <mergeCell ref="V30:Z30"/>
  </mergeCells>
  <dataValidations count="5">
    <dataValidation allowBlank="true" errorStyle="stop" operator="between" showDropDown="false" showErrorMessage="false" showInputMessage="false" sqref="B75" type="list">
      <formula1>"ขาว,ดำ"</formula1>
      <formula2>0</formula2>
    </dataValidation>
    <dataValidation allowBlank="true" errorStyle="stop" operator="between" showDropDown="false" showErrorMessage="false" showInputMessage="false" sqref="B76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77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78" type="list">
      <formula1>"คิงโบ ล็อค+กุญแจ,คิงโบ ดัมมี่+ดัมมี่,Cmech ล็อค+กุญแจ,Cmech ดัมมี่+ดัมมี่,ไม่ใส่,Digital lock"</formula1>
      <formula2>0</formula2>
    </dataValidation>
    <dataValidation allowBlank="true" errorStyle="stop" operator="between" showDropDown="false" showErrorMessage="false" showInputMessage="false" sqref="B79" type="list">
      <formula1>"คิงโบ ล็อค+กุญแจ,คิงโบ ดัมมี่+ดัมมี่,Cmech ล็อค+กุญแจ,Cmech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8" min="7" style="1" width="12.7"/>
    <col collapsed="false" customWidth="true" hidden="false" outlineLevel="0" max="9" min="9" style="1" width="6.7"/>
    <col collapsed="false" customWidth="true" hidden="false" outlineLevel="0" max="10" min="10" style="1" width="12.7"/>
    <col collapsed="false" customWidth="true" hidden="false" outlineLevel="0" max="11" min="11" style="1" width="6.7"/>
    <col collapsed="false" customWidth="true" hidden="false" outlineLevel="0" max="12" min="12" style="1" width="12.7"/>
    <col collapsed="false" customWidth="true" hidden="false" outlineLevel="0" max="13" min="13" style="1" width="6.7"/>
    <col collapsed="false" customWidth="true" hidden="false" outlineLevel="0" max="14" min="14" style="1" width="12.7"/>
    <col collapsed="false" customWidth="true" hidden="false" outlineLevel="0" max="15" min="15" style="1" width="6.7"/>
    <col collapsed="false" customWidth="true" hidden="false" outlineLevel="0" max="16" min="16" style="1" width="12.7"/>
    <col collapsed="false" customWidth="true" hidden="false" outlineLevel="0" max="17" min="17" style="1" width="6.7"/>
    <col collapsed="false" customWidth="true" hidden="false" outlineLevel="0" max="18" min="18" style="1" width="12.7"/>
    <col collapsed="false" customWidth="true" hidden="false" outlineLevel="0" max="19" min="19" style="1" width="6.7"/>
    <col collapsed="false" customWidth="true" hidden="false" outlineLevel="0" max="20" min="20" style="1" width="12.7"/>
    <col collapsed="false" customWidth="true" hidden="false" outlineLevel="0" max="21" min="21" style="1" width="6.7"/>
    <col collapsed="false" customWidth="true" hidden="false" outlineLevel="0" max="22" min="22" style="1" width="12.7"/>
    <col collapsed="false" customWidth="true" hidden="false" outlineLevel="0" max="23" min="23" style="1" width="6.7"/>
    <col collapsed="false" customWidth="true" hidden="false" outlineLevel="0" max="24" min="24" style="1" width="12.7"/>
    <col collapsed="false" customWidth="true" hidden="false" outlineLevel="0" max="25" min="25" style="1" width="6.7"/>
    <col collapsed="false" customWidth="true" hidden="false" outlineLevel="0" max="26" min="26" style="1" width="12.7"/>
    <col collapsed="false" customWidth="true" hidden="false" outlineLevel="0" max="27" min="27" style="1" width="6.7"/>
    <col collapsed="false" customWidth="true" hidden="false" outlineLevel="0" max="28" min="28" style="1" width="12.7"/>
    <col collapsed="false" customWidth="true" hidden="false" outlineLevel="0" max="29" min="29" style="1" width="6.7"/>
    <col collapsed="false" customWidth="true" hidden="false" outlineLevel="0" max="30" min="30" style="1" width="12.7"/>
    <col collapsed="false" customWidth="true" hidden="false" outlineLevel="0" max="31" min="31" style="1" width="6.7"/>
    <col collapsed="false" customWidth="true" hidden="false" outlineLevel="0" max="32" min="32" style="1" width="12.7"/>
    <col collapsed="false" customWidth="true" hidden="false" outlineLevel="0" max="33" min="33" style="1" width="6.7"/>
    <col collapsed="false" customWidth="true" hidden="false" outlineLevel="0" max="34" min="34" style="1" width="12.7"/>
    <col collapsed="false" customWidth="true" hidden="false" outlineLevel="0" max="35" min="35" style="1" width="6.7"/>
    <col collapsed="false" customWidth="true" hidden="false" outlineLevel="0" max="36" min="36" style="1" width="12.7"/>
    <col collapsed="false" customWidth="true" hidden="false" outlineLevel="0" max="37" min="37" style="1" width="6.7"/>
    <col collapsed="false" customWidth="true" hidden="false" outlineLevel="0" max="38" min="38" style="1" width="12.7"/>
    <col collapsed="false" customWidth="true" hidden="false" outlineLevel="0" max="39" min="39" style="1" width="6.7"/>
    <col collapsed="false" customWidth="true" hidden="false" outlineLevel="0" max="41" min="40" style="1" width="10.71"/>
    <col collapsed="false" customWidth="true" hidden="false" outlineLevel="0" max="44" min="43" style="1" width="10.71"/>
    <col collapsed="false" customWidth="true" hidden="false" outlineLevel="0" max="47" min="46" style="1" width="10.71"/>
    <col collapsed="false" customWidth="true" hidden="false" outlineLevel="0" max="49" min="49" style="1" width="8.9"/>
    <col collapsed="false" customWidth="true" hidden="true" outlineLevel="0" max="56" min="53" style="1" width="13"/>
  </cols>
  <sheetData>
    <row r="1" customFormat="false" ht="39.75" hidden="false" customHeight="true" outlineLevel="0" collapsed="false">
      <c r="A1" s="3" t="s">
        <v>158</v>
      </c>
      <c r="B1" s="4"/>
      <c r="G1" s="5"/>
      <c r="H1" s="6"/>
      <c r="I1" s="5"/>
      <c r="J1" s="8"/>
      <c r="K1" s="8"/>
      <c r="L1" s="7"/>
      <c r="M1" s="7"/>
      <c r="N1" s="8"/>
      <c r="O1" s="8"/>
      <c r="P1" s="8"/>
      <c r="Q1" s="8"/>
      <c r="R1" s="5"/>
      <c r="S1" s="5"/>
      <c r="T1" s="7"/>
      <c r="U1" s="7"/>
      <c r="V1" s="8"/>
      <c r="W1" s="8"/>
      <c r="X1" s="8"/>
      <c r="Y1" s="8"/>
      <c r="Z1" s="5"/>
      <c r="AA1" s="9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BC1" s="40" t="n">
        <f aca="false">COUNTIF($B$75:$B$76,"คิงโบ ล็อค+กุญแจ")</f>
        <v>2</v>
      </c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7"/>
      <c r="H2" s="10"/>
      <c r="I2" s="7"/>
      <c r="J2" s="11"/>
      <c r="K2" s="11"/>
      <c r="L2" s="11"/>
      <c r="M2" s="11"/>
      <c r="N2" s="11"/>
      <c r="O2" s="11"/>
      <c r="P2" s="11"/>
      <c r="Q2" s="11"/>
      <c r="R2" s="7"/>
      <c r="S2" s="7"/>
      <c r="T2" s="7"/>
      <c r="U2" s="7"/>
      <c r="V2" s="11"/>
      <c r="W2" s="11"/>
      <c r="X2" s="11"/>
      <c r="Y2" s="11"/>
      <c r="Z2" s="7"/>
      <c r="AA2" s="7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BC2" s="40" t="n">
        <f aca="false">COUNTIF($B$75:$B$76,"คิงโบ ดัมมี่+ดัมมี่")</f>
        <v>0</v>
      </c>
    </row>
    <row r="3" customFormat="false" ht="39.75" hidden="false" customHeight="true" outlineLevel="0" collapsed="false">
      <c r="A3" s="7"/>
      <c r="B3" s="7"/>
      <c r="C3" s="7"/>
      <c r="D3" s="7"/>
      <c r="E3" s="7"/>
      <c r="F3" s="7"/>
      <c r="G3" s="7"/>
      <c r="H3" s="10"/>
      <c r="I3" s="7"/>
      <c r="J3" s="12"/>
      <c r="K3" s="12"/>
      <c r="N3" s="12"/>
      <c r="O3" s="12"/>
      <c r="P3" s="12"/>
      <c r="Q3" s="12"/>
      <c r="R3" s="7"/>
      <c r="S3" s="7"/>
      <c r="T3" s="7"/>
      <c r="U3" s="7"/>
      <c r="V3" s="12"/>
      <c r="W3" s="12"/>
      <c r="X3" s="12"/>
      <c r="Y3" s="12"/>
      <c r="Z3" s="7"/>
      <c r="AA3" s="7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BC3" s="40" t="n">
        <f aca="false">COUNTIF($B$75:$B$76,"Cmech ล็อค+กุญแจ")</f>
        <v>0</v>
      </c>
    </row>
    <row r="4" customFormat="false" ht="39.75" hidden="false" customHeight="true" outlineLevel="0" collapsed="false">
      <c r="A4" s="7"/>
      <c r="B4" s="7"/>
      <c r="C4" s="7"/>
      <c r="D4" s="7"/>
      <c r="E4" s="7"/>
      <c r="F4" s="7"/>
      <c r="G4" s="7"/>
      <c r="I4" s="7"/>
      <c r="R4" s="7"/>
      <c r="S4" s="7"/>
      <c r="T4" s="7"/>
      <c r="U4" s="7"/>
      <c r="Z4" s="7"/>
      <c r="AA4" s="7"/>
      <c r="BC4" s="1" t="n">
        <f aca="false">COUNTIF($B$75:$B$76,"Cmech ดัมมี่+ดัมมี่")</f>
        <v>0</v>
      </c>
    </row>
    <row r="5" customFormat="false" ht="39.75" hidden="false" customHeight="true" outlineLevel="0" collapsed="false">
      <c r="A5" s="7"/>
      <c r="B5" s="7"/>
      <c r="C5" s="7"/>
      <c r="D5" s="7"/>
      <c r="E5" s="7"/>
      <c r="F5" s="7"/>
      <c r="G5" s="7"/>
      <c r="H5" s="10"/>
      <c r="I5" s="7"/>
      <c r="R5" s="7"/>
      <c r="S5" s="7"/>
      <c r="U5" s="7"/>
      <c r="Z5" s="7"/>
      <c r="AA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6"/>
      <c r="H6" s="17" t="s">
        <v>6</v>
      </c>
      <c r="I6" s="17"/>
      <c r="J6" s="17" t="s">
        <v>6</v>
      </c>
      <c r="K6" s="17"/>
      <c r="L6" s="17" t="s">
        <v>135</v>
      </c>
      <c r="M6" s="17"/>
      <c r="N6" s="17" t="s">
        <v>6</v>
      </c>
      <c r="O6" s="17"/>
      <c r="P6" s="17" t="s">
        <v>136</v>
      </c>
      <c r="Q6" s="17"/>
      <c r="R6" s="17" t="s">
        <v>105</v>
      </c>
      <c r="S6" s="17"/>
      <c r="T6" s="17" t="s">
        <v>137</v>
      </c>
      <c r="U6" s="17"/>
      <c r="V6" s="17" t="s">
        <v>138</v>
      </c>
      <c r="W6" s="17"/>
      <c r="X6" s="17" t="s">
        <v>10</v>
      </c>
      <c r="Y6" s="17"/>
      <c r="Z6" s="17" t="s">
        <v>114</v>
      </c>
      <c r="AA6" s="17"/>
      <c r="AB6" s="17" t="s">
        <v>115</v>
      </c>
      <c r="AC6" s="17"/>
      <c r="AD6" s="17" t="s">
        <v>136</v>
      </c>
      <c r="AE6" s="17"/>
      <c r="AF6" s="17" t="s">
        <v>139</v>
      </c>
      <c r="AH6" s="17" t="s">
        <v>159</v>
      </c>
      <c r="AJ6" s="17" t="s">
        <v>160</v>
      </c>
      <c r="AL6" s="17" t="s">
        <v>161</v>
      </c>
      <c r="AN6" s="18"/>
      <c r="AO6" s="18"/>
      <c r="AP6" s="18"/>
      <c r="AQ6" s="18"/>
      <c r="AR6" s="18"/>
      <c r="AS6" s="18"/>
      <c r="AT6" s="18"/>
      <c r="AU6" s="18"/>
      <c r="AV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19"/>
      <c r="H7" s="106" t="s">
        <v>140</v>
      </c>
      <c r="I7" s="106"/>
      <c r="J7" s="20" t="s">
        <v>141</v>
      </c>
      <c r="K7" s="20"/>
      <c r="L7" s="20" t="s">
        <v>14</v>
      </c>
      <c r="M7" s="20"/>
      <c r="N7" s="22" t="s">
        <v>142</v>
      </c>
      <c r="O7" s="22"/>
      <c r="P7" s="22"/>
      <c r="Q7" s="22"/>
      <c r="R7" s="20" t="s">
        <v>16</v>
      </c>
      <c r="S7" s="20"/>
      <c r="T7" s="20"/>
      <c r="U7" s="20"/>
      <c r="V7" s="20"/>
      <c r="W7" s="20"/>
      <c r="X7" s="20" t="s">
        <v>17</v>
      </c>
      <c r="AH7" s="20" t="s">
        <v>117</v>
      </c>
      <c r="AJ7" s="20" t="s">
        <v>107</v>
      </c>
      <c r="AN7" s="24"/>
      <c r="AO7" s="25"/>
      <c r="AP7" s="107" t="s">
        <v>23</v>
      </c>
      <c r="AQ7" s="107"/>
      <c r="AR7" s="25"/>
      <c r="AS7" s="26"/>
      <c r="AT7" s="107"/>
      <c r="AU7" s="25" t="s">
        <v>144</v>
      </c>
      <c r="AV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6"/>
      <c r="E8" s="96"/>
      <c r="F8" s="96"/>
      <c r="G8" s="27" t="s">
        <v>118</v>
      </c>
      <c r="H8" s="29"/>
      <c r="I8" s="29"/>
      <c r="J8" s="31"/>
      <c r="K8" s="31"/>
      <c r="L8" s="31"/>
      <c r="M8" s="31"/>
      <c r="N8" s="29"/>
      <c r="O8" s="29"/>
      <c r="P8" s="30"/>
      <c r="Q8" s="30"/>
      <c r="R8" s="29"/>
      <c r="S8" s="29"/>
      <c r="T8" s="97"/>
      <c r="U8" s="97"/>
      <c r="V8" s="30"/>
      <c r="W8" s="30"/>
      <c r="X8" s="29"/>
      <c r="Y8" s="29"/>
      <c r="Z8" s="97"/>
      <c r="AA8" s="97"/>
      <c r="AB8" s="97"/>
      <c r="AC8" s="97"/>
      <c r="AD8" s="97"/>
      <c r="AE8" s="97"/>
      <c r="AF8" s="30"/>
      <c r="AH8" s="31"/>
      <c r="AJ8" s="29"/>
      <c r="AK8" s="1" t="str">
        <f aca="false">IF($B$72="ดำ","JR00488","JR00489")</f>
        <v>JR00489</v>
      </c>
      <c r="AL8" s="30" t="s">
        <v>24</v>
      </c>
      <c r="AM8" s="1" t="s">
        <v>25</v>
      </c>
      <c r="AN8" s="32" t="str">
        <f aca="false">IF($B$72="ดำ","JR00314","JR00315")</f>
        <v>JR00315</v>
      </c>
      <c r="AO8" s="33" t="str">
        <f aca="false">IF($B$72="ดำ","JR00312","JR00313")</f>
        <v>JR00313</v>
      </c>
      <c r="AP8" s="34"/>
      <c r="AQ8" s="32" t="str">
        <f aca="false">IF($B$73="มัลติพ้อยล็อค","JR00553","JR00551")</f>
        <v>JR00551</v>
      </c>
      <c r="AR8" s="33" t="str">
        <f aca="false">IF($B$74="เปิดเข้า","JR00498","JR00499")</f>
        <v>JR00499</v>
      </c>
      <c r="AS8" s="34" t="s">
        <v>26</v>
      </c>
      <c r="AT8" s="32" t="s">
        <v>27</v>
      </c>
      <c r="AU8" s="33" t="s">
        <v>28</v>
      </c>
      <c r="AV8" s="34" t="s">
        <v>29</v>
      </c>
      <c r="AW8" s="1" t="s">
        <v>29</v>
      </c>
      <c r="AX8" s="1" t="s">
        <v>30</v>
      </c>
    </row>
    <row r="9" customFormat="false" ht="39.75" hidden="false" customHeight="true" outlineLevel="0" collapsed="false">
      <c r="A9" s="27"/>
      <c r="B9" s="28"/>
      <c r="C9" s="28"/>
      <c r="D9" s="98"/>
      <c r="E9" s="98"/>
      <c r="F9" s="98"/>
      <c r="G9" s="27"/>
      <c r="H9" s="35" t="s">
        <v>146</v>
      </c>
      <c r="I9" s="35"/>
      <c r="J9" s="35" t="s">
        <v>147</v>
      </c>
      <c r="K9" s="35"/>
      <c r="L9" s="35" t="s">
        <v>148</v>
      </c>
      <c r="M9" s="35"/>
      <c r="N9" s="35" t="s">
        <v>151</v>
      </c>
      <c r="O9" s="35"/>
      <c r="P9" s="35" t="s">
        <v>152</v>
      </c>
      <c r="Q9" s="35"/>
      <c r="R9" s="35" t="s">
        <v>34</v>
      </c>
      <c r="S9" s="35"/>
      <c r="T9" s="35" t="s">
        <v>121</v>
      </c>
      <c r="U9" s="35"/>
      <c r="V9" s="35" t="s">
        <v>122</v>
      </c>
      <c r="W9" s="35"/>
      <c r="X9" s="35" t="s">
        <v>36</v>
      </c>
      <c r="Y9" s="35"/>
      <c r="Z9" s="35" t="s">
        <v>123</v>
      </c>
      <c r="AA9" s="35"/>
      <c r="AB9" s="35" t="s">
        <v>124</v>
      </c>
      <c r="AC9" s="35"/>
      <c r="AD9" s="35" t="s">
        <v>153</v>
      </c>
      <c r="AE9" s="35"/>
      <c r="AF9" s="35" t="s">
        <v>154</v>
      </c>
      <c r="AH9" s="35" t="s">
        <v>125</v>
      </c>
      <c r="AJ9" s="35" t="s">
        <v>162</v>
      </c>
      <c r="AK9" s="40" t="s">
        <v>41</v>
      </c>
      <c r="AL9" s="35" t="s">
        <v>42</v>
      </c>
      <c r="AM9" s="40" t="s">
        <v>43</v>
      </c>
      <c r="AN9" s="37" t="s">
        <v>44</v>
      </c>
      <c r="AO9" s="38" t="s">
        <v>45</v>
      </c>
      <c r="AP9" s="39" t="s">
        <v>46</v>
      </c>
      <c r="AQ9" s="37" t="s">
        <v>47</v>
      </c>
      <c r="AR9" s="38" t="s">
        <v>48</v>
      </c>
      <c r="AS9" s="39" t="s">
        <v>163</v>
      </c>
      <c r="AT9" s="37" t="s">
        <v>50</v>
      </c>
      <c r="AU9" s="38" t="s">
        <v>51</v>
      </c>
      <c r="AV9" s="39" t="s">
        <v>52</v>
      </c>
      <c r="AW9" s="40" t="s">
        <v>53</v>
      </c>
      <c r="AX9" s="40" t="s">
        <v>54</v>
      </c>
      <c r="AY9" s="41" t="s">
        <v>55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109" t="s">
        <v>57</v>
      </c>
      <c r="D10" s="109" t="s">
        <v>119</v>
      </c>
      <c r="E10" s="109" t="s">
        <v>120</v>
      </c>
      <c r="F10" s="110" t="s">
        <v>145</v>
      </c>
      <c r="G10" s="44" t="s">
        <v>58</v>
      </c>
      <c r="H10" s="46" t="s">
        <v>59</v>
      </c>
      <c r="I10" s="47" t="s">
        <v>60</v>
      </c>
      <c r="J10" s="46" t="s">
        <v>59</v>
      </c>
      <c r="K10" s="48" t="s">
        <v>60</v>
      </c>
      <c r="L10" s="46" t="s">
        <v>59</v>
      </c>
      <c r="M10" s="47" t="s">
        <v>60</v>
      </c>
      <c r="N10" s="46" t="s">
        <v>59</v>
      </c>
      <c r="O10" s="48" t="s">
        <v>60</v>
      </c>
      <c r="P10" s="46" t="s">
        <v>59</v>
      </c>
      <c r="Q10" s="48" t="s">
        <v>60</v>
      </c>
      <c r="R10" s="46" t="s">
        <v>59</v>
      </c>
      <c r="S10" s="48" t="s">
        <v>60</v>
      </c>
      <c r="T10" s="46" t="s">
        <v>59</v>
      </c>
      <c r="U10" s="48" t="s">
        <v>60</v>
      </c>
      <c r="V10" s="46" t="s">
        <v>59</v>
      </c>
      <c r="W10" s="48" t="s">
        <v>60</v>
      </c>
      <c r="X10" s="46" t="s">
        <v>59</v>
      </c>
      <c r="Y10" s="48" t="s">
        <v>60</v>
      </c>
      <c r="Z10" s="46" t="s">
        <v>59</v>
      </c>
      <c r="AA10" s="48" t="s">
        <v>60</v>
      </c>
      <c r="AB10" s="46" t="s">
        <v>59</v>
      </c>
      <c r="AC10" s="48" t="s">
        <v>60</v>
      </c>
      <c r="AD10" s="46" t="s">
        <v>59</v>
      </c>
      <c r="AE10" s="48" t="s">
        <v>60</v>
      </c>
      <c r="AF10" s="46" t="s">
        <v>59</v>
      </c>
      <c r="AG10" s="48" t="s">
        <v>60</v>
      </c>
      <c r="AH10" s="46" t="s">
        <v>59</v>
      </c>
      <c r="AI10" s="47" t="s">
        <v>60</v>
      </c>
      <c r="AJ10" s="46" t="s">
        <v>59</v>
      </c>
      <c r="AK10" s="48" t="s">
        <v>60</v>
      </c>
      <c r="AL10" s="46" t="s">
        <v>60</v>
      </c>
      <c r="AM10" s="48" t="s">
        <v>60</v>
      </c>
      <c r="AN10" s="49" t="s">
        <v>60</v>
      </c>
      <c r="AO10" s="50" t="s">
        <v>60</v>
      </c>
      <c r="AP10" s="51" t="s">
        <v>60</v>
      </c>
      <c r="AQ10" s="49" t="s">
        <v>60</v>
      </c>
      <c r="AR10" s="50" t="s">
        <v>60</v>
      </c>
      <c r="AS10" s="51" t="s">
        <v>60</v>
      </c>
      <c r="AT10" s="49" t="s">
        <v>60</v>
      </c>
      <c r="AU10" s="50" t="s">
        <v>60</v>
      </c>
      <c r="AV10" s="51" t="s">
        <v>60</v>
      </c>
      <c r="AW10" s="40" t="s">
        <v>60</v>
      </c>
      <c r="AX10" s="40" t="s">
        <v>60</v>
      </c>
    </row>
    <row r="11" customFormat="false" ht="39.75" hidden="false" customHeight="true" outlineLevel="0" collapsed="false">
      <c r="A11" s="111" t="s">
        <v>63</v>
      </c>
      <c r="B11" s="112" t="n">
        <v>2500</v>
      </c>
      <c r="C11" s="112" t="n">
        <v>3000</v>
      </c>
      <c r="D11" s="112" t="n">
        <v>800</v>
      </c>
      <c r="E11" s="112" t="n">
        <v>800</v>
      </c>
      <c r="F11" s="113" t="n">
        <f aca="false">IF($A11="","",(($C11-$D11-$E11)/2))</f>
        <v>700</v>
      </c>
      <c r="G11" s="114" t="n">
        <v>1</v>
      </c>
      <c r="H11" s="115" t="n">
        <f aca="false">IF($A11="","",$B11)</f>
        <v>2500</v>
      </c>
      <c r="I11" s="114" t="n">
        <f aca="false">IF($A11="","",2*$G11)</f>
        <v>2</v>
      </c>
      <c r="J11" s="115" t="n">
        <f aca="false">IF($A11="","",$H11)</f>
        <v>2500</v>
      </c>
      <c r="K11" s="114" t="n">
        <f aca="false">IF($A11="","",2*$G11)</f>
        <v>2</v>
      </c>
      <c r="L11" s="115" t="n">
        <f aca="false">IF($A11="","",$C11-$F11-$F11-$E$56-$F$56)</f>
        <v>1530</v>
      </c>
      <c r="M11" s="114" t="n">
        <f aca="false">IF($A11="","",1*$G11)</f>
        <v>1</v>
      </c>
      <c r="N11" s="115" t="n">
        <f aca="false">IF($A11="","",$H11)</f>
        <v>2500</v>
      </c>
      <c r="O11" s="114" t="n">
        <f aca="false">IF($A11="","",2*$G11)</f>
        <v>2</v>
      </c>
      <c r="P11" s="115" t="n">
        <f aca="false">IF($A11="","",$F11-$E$58)</f>
        <v>675</v>
      </c>
      <c r="Q11" s="114" t="n">
        <f aca="false">IF($A11="","",4*$G11)</f>
        <v>4</v>
      </c>
      <c r="R11" s="115" t="n">
        <f aca="false">IF($A11="","",$B11-$E$59-$F$59)</f>
        <v>2474.5</v>
      </c>
      <c r="S11" s="114" t="n">
        <f aca="false">IF($A11="","",4*$G11)</f>
        <v>4</v>
      </c>
      <c r="T11" s="115" t="n">
        <f aca="false">IF($A11="","",$D11-$E$60-$F$60)</f>
        <v>770.5</v>
      </c>
      <c r="U11" s="114" t="n">
        <f aca="false">IF($A11="","",2*$G11)</f>
        <v>2</v>
      </c>
      <c r="V11" s="115" t="n">
        <f aca="false">IF($A11="","",$E11-$E$61-$F$61)</f>
        <v>770.5</v>
      </c>
      <c r="W11" s="114" t="n">
        <f aca="false">IF($A11="","",2*$G11)</f>
        <v>2</v>
      </c>
      <c r="X11" s="115" t="n">
        <f aca="false">IF($A11="","",$R11-$E$62-$F$62)</f>
        <v>2274.5</v>
      </c>
      <c r="Y11" s="114" t="n">
        <f aca="false">IF($A11="","",4*$G11)</f>
        <v>4</v>
      </c>
      <c r="Z11" s="115" t="n">
        <f aca="false">IF($A11="","",$T11-$E$63-$F$63)</f>
        <v>610.5</v>
      </c>
      <c r="AA11" s="114" t="n">
        <f aca="false">IF($A11="","",2*$G11)</f>
        <v>2</v>
      </c>
      <c r="AB11" s="115" t="n">
        <f aca="false">IF($A11="","",$V11-$E$64-$F$64)</f>
        <v>610.5</v>
      </c>
      <c r="AC11" s="114" t="n">
        <f aca="false">IF($A11="","",2*$G11)</f>
        <v>2</v>
      </c>
      <c r="AD11" s="115" t="n">
        <f aca="false">IF($A11="","",$F11-$E$65)</f>
        <v>675</v>
      </c>
      <c r="AE11" s="114" t="n">
        <f aca="false">IF($A11="","",4*$G11)</f>
        <v>4</v>
      </c>
      <c r="AF11" s="115" t="n">
        <f aca="false">IF($A11="","",$B11-$E$66-$F$66)</f>
        <v>2410</v>
      </c>
      <c r="AG11" s="114" t="n">
        <f aca="false">IF($A11="","",4*$G11)</f>
        <v>4</v>
      </c>
      <c r="AH11" s="115" t="n">
        <f aca="false">IF($A11="","",$B11-$E$67-$F$67)</f>
        <v>2466</v>
      </c>
      <c r="AI11" s="114" t="n">
        <f aca="false">IF($A11="","",1*$G11)</f>
        <v>1</v>
      </c>
      <c r="AJ11" s="115" t="n">
        <f aca="false">IF($A11="","",$T11)</f>
        <v>770.5</v>
      </c>
      <c r="AK11" s="114" t="n">
        <f aca="false">IF($A11="","",(IF(OR($B11&gt;3000,$D11&gt;1200),5,4)+IF(OR($B11&gt;3000,$E11&gt;1200),5,4))*$G11)</f>
        <v>8</v>
      </c>
      <c r="AL11" s="115" t="n">
        <f aca="false">IF($A11="","",4*2*$G11)</f>
        <v>8</v>
      </c>
      <c r="AM11" s="114" t="n">
        <f aca="false">IF($A11="","",8*2*$G11)</f>
        <v>16</v>
      </c>
      <c r="AN11" s="127" t="n">
        <f aca="false">IF($A11="","",$BC$1*$G11)</f>
        <v>2</v>
      </c>
      <c r="AO11" s="117" t="n">
        <f aca="false">IF($A11="","",$BC$2*$G11)</f>
        <v>0</v>
      </c>
      <c r="AP11" s="118" t="n">
        <f aca="false">IF($A11="","",$BC$3*$G11)</f>
        <v>0</v>
      </c>
      <c r="AQ11" s="127" t="n">
        <f aca="false">IF($A11="","",1*$G11)</f>
        <v>1</v>
      </c>
      <c r="AR11" s="117" t="n">
        <f aca="false">IF($A11="","",1*$G11)</f>
        <v>1</v>
      </c>
      <c r="AS11" s="118" t="n">
        <f aca="false">IF($A11="","",1*$G11)</f>
        <v>1</v>
      </c>
      <c r="AT11" s="116" t="n">
        <f aca="false">IF($A11="","",1*$G11)</f>
        <v>1</v>
      </c>
      <c r="AU11" s="119" t="n">
        <f aca="false">IF($A11="","",6*$G11)</f>
        <v>6</v>
      </c>
      <c r="AV11" s="118" t="n">
        <f aca="false">IF($A11="","",ROUND((2*($D11+$B11)+2*($E11+$B11))*$G11/1000,1))</f>
        <v>13.2</v>
      </c>
      <c r="AW11" s="40" t="n">
        <f aca="false">IF($A11="","",ROUND(($C11+2*$B11)*$G11/1000,1))</f>
        <v>8</v>
      </c>
      <c r="AX11" s="40" t="n">
        <f aca="false">IF($A11="","",1*$G11)</f>
        <v>1</v>
      </c>
      <c r="AY11" s="41" t="n">
        <f aca="false">IF($A11="","",$BC$4*$G11)</f>
        <v>0</v>
      </c>
    </row>
    <row r="12" customFormat="false" ht="39.75" hidden="false" customHeight="true" outlineLevel="0" collapsed="false">
      <c r="A12" s="111"/>
      <c r="B12" s="112"/>
      <c r="C12" s="112" t="str">
        <f aca="false">IF($A12="","",$D12+$E12)</f>
        <v/>
      </c>
      <c r="D12" s="112"/>
      <c r="E12" s="112"/>
      <c r="F12" s="113" t="str">
        <f aca="false">IF($A12="","",(($C12-$D12-$E12)/2))</f>
        <v/>
      </c>
      <c r="G12" s="114"/>
      <c r="H12" s="120" t="str">
        <f aca="false">IF($A12="","",$B12)</f>
        <v/>
      </c>
      <c r="I12" s="121" t="str">
        <f aca="false">IF($A12="","",2*$G12)</f>
        <v/>
      </c>
      <c r="J12" s="120" t="str">
        <f aca="false">IF($A12="","",$H12)</f>
        <v/>
      </c>
      <c r="K12" s="121" t="str">
        <f aca="false">IF($A12="","",2*$G12)</f>
        <v/>
      </c>
      <c r="L12" s="120" t="str">
        <f aca="false">IF($A12="","",$C12-$F12-$F12-$E$56-$F$56)</f>
        <v/>
      </c>
      <c r="M12" s="121" t="str">
        <f aca="false">IF($A12="","",1*$G12)</f>
        <v/>
      </c>
      <c r="N12" s="120" t="str">
        <f aca="false">IF($A12="","",$H12)</f>
        <v/>
      </c>
      <c r="O12" s="121" t="str">
        <f aca="false">IF($A12="","",2*$G12)</f>
        <v/>
      </c>
      <c r="P12" s="120" t="str">
        <f aca="false">IF($A12="","",$F12-$E$58)</f>
        <v/>
      </c>
      <c r="Q12" s="121" t="str">
        <f aca="false">IF($A12="","",4*$G12)</f>
        <v/>
      </c>
      <c r="R12" s="120" t="str">
        <f aca="false">IF($A12="","",$B12-$E$59-$F$59)</f>
        <v/>
      </c>
      <c r="S12" s="121" t="str">
        <f aca="false">IF($A12="","",4*$G12)</f>
        <v/>
      </c>
      <c r="T12" s="120" t="str">
        <f aca="false">IF($A12="","",$D12-$E$60-$F$60)</f>
        <v/>
      </c>
      <c r="U12" s="121" t="str">
        <f aca="false">IF($A12="","",2*$G12)</f>
        <v/>
      </c>
      <c r="V12" s="120" t="str">
        <f aca="false">IF($A12="","",$E12-$E$61-$F$61)</f>
        <v/>
      </c>
      <c r="W12" s="121" t="str">
        <f aca="false">IF($A12="","",2*$G12)</f>
        <v/>
      </c>
      <c r="X12" s="120" t="str">
        <f aca="false">IF($A12="","",$R12-$E$62-$F$62)</f>
        <v/>
      </c>
      <c r="Y12" s="121" t="str">
        <f aca="false">IF($A12="","",4*$G12)</f>
        <v/>
      </c>
      <c r="Z12" s="120" t="str">
        <f aca="false">IF($A12="","",$T12-$E$63-$F$63)</f>
        <v/>
      </c>
      <c r="AA12" s="121" t="str">
        <f aca="false">IF($A12="","",2*$G12)</f>
        <v/>
      </c>
      <c r="AB12" s="120" t="str">
        <f aca="false">IF($A12="","",$V12-$E$64-$F$64)</f>
        <v/>
      </c>
      <c r="AC12" s="121" t="str">
        <f aca="false">IF($A12="","",2*$G12)</f>
        <v/>
      </c>
      <c r="AD12" s="120" t="str">
        <f aca="false">IF($A12="","",$F12-$E$65)</f>
        <v/>
      </c>
      <c r="AE12" s="121" t="str">
        <f aca="false">IF($A12="","",4*$G12)</f>
        <v/>
      </c>
      <c r="AF12" s="120" t="str">
        <f aca="false">IF($A12="","",$B12-$E$66-$F$66)</f>
        <v/>
      </c>
      <c r="AG12" s="121" t="str">
        <f aca="false">IF($A12="","",4*$G12)</f>
        <v/>
      </c>
      <c r="AH12" s="120" t="str">
        <f aca="false">IF($A12="","",$B12-$E$67-$F$67)</f>
        <v/>
      </c>
      <c r="AI12" s="121" t="str">
        <f aca="false">IF($A12="","",1*$G12)</f>
        <v/>
      </c>
      <c r="AJ12" s="120" t="str">
        <f aca="false">IF($A12="","",$T12)</f>
        <v/>
      </c>
      <c r="AK12" s="121" t="str">
        <f aca="false">IF($A12="","",(IF(OR($B12&gt;3000,$D12&gt;1200),5,4)+IF(OR($B12&gt;3000,$E12&gt;1200),5,4))*$G12)</f>
        <v/>
      </c>
      <c r="AL12" s="120" t="str">
        <f aca="false">IF($A12="","",4*2*$G12)</f>
        <v/>
      </c>
      <c r="AM12" s="121" t="str">
        <f aca="false">IF($A12="","",8*2*$G12)</f>
        <v/>
      </c>
      <c r="AN12" s="116" t="str">
        <f aca="false">IF($A12="","",$BC$1*$G12)</f>
        <v/>
      </c>
      <c r="AO12" s="119" t="str">
        <f aca="false">IF($A12="","",$BC$2*$G12)</f>
        <v/>
      </c>
      <c r="AP12" s="118" t="str">
        <f aca="false">IF($A12="","",$BC$3*$G12)</f>
        <v/>
      </c>
      <c r="AQ12" s="116" t="str">
        <f aca="false">IF($A12="","",1*$G12)</f>
        <v/>
      </c>
      <c r="AR12" s="119" t="str">
        <f aca="false">IF($A12="","",1*$G12)</f>
        <v/>
      </c>
      <c r="AS12" s="118" t="str">
        <f aca="false">IF($A12="","",1*$G12)</f>
        <v/>
      </c>
      <c r="AT12" s="116" t="str">
        <f aca="false">IF($A12="","",1*$G12)</f>
        <v/>
      </c>
      <c r="AU12" s="119" t="str">
        <f aca="false">IF($A12="","",6*$G12)</f>
        <v/>
      </c>
      <c r="AV12" s="118" t="str">
        <f aca="false">IF($A12="","",ROUND((2*($D12+$B12)+2*($E12+$B12))*$G12/1000,1))</f>
        <v/>
      </c>
      <c r="AW12" s="1" t="str">
        <f aca="false">IF($A12="","",ROUND(($C12+2*$B12)*$G12/1000,1))</f>
        <v/>
      </c>
      <c r="AX12" s="1" t="str">
        <f aca="false">IF($A12="","",1*$G12)</f>
        <v/>
      </c>
      <c r="AY12" s="0" t="str">
        <f aca="false">IF($A12="","",$BC$4*$G12)</f>
        <v/>
      </c>
    </row>
    <row r="13" customFormat="false" ht="39.75" hidden="false" customHeight="true" outlineLevel="0" collapsed="false">
      <c r="A13" s="111"/>
      <c r="B13" s="112"/>
      <c r="C13" s="112" t="str">
        <f aca="false">IF($A13="","",$D13+$E13)</f>
        <v/>
      </c>
      <c r="D13" s="112"/>
      <c r="E13" s="112"/>
      <c r="F13" s="113" t="str">
        <f aca="false">IF($A13="","",(($C13-$D13-$E13)/2))</f>
        <v/>
      </c>
      <c r="G13" s="114"/>
      <c r="H13" s="115" t="str">
        <f aca="false">IF($A13="","",$B13)</f>
        <v/>
      </c>
      <c r="I13" s="114" t="str">
        <f aca="false">IF($A13="","",2*$G13)</f>
        <v/>
      </c>
      <c r="J13" s="115" t="str">
        <f aca="false">IF($A13="","",$H13)</f>
        <v/>
      </c>
      <c r="K13" s="114" t="str">
        <f aca="false">IF($A13="","",2*$G13)</f>
        <v/>
      </c>
      <c r="L13" s="115" t="str">
        <f aca="false">IF($A13="","",$C13-$F13-$F13-$E$56-$F$56)</f>
        <v/>
      </c>
      <c r="M13" s="114" t="str">
        <f aca="false">IF($A13="","",1*$G13)</f>
        <v/>
      </c>
      <c r="N13" s="115" t="str">
        <f aca="false">IF($A13="","",$H13)</f>
        <v/>
      </c>
      <c r="O13" s="114" t="str">
        <f aca="false">IF($A13="","",2*$G13)</f>
        <v/>
      </c>
      <c r="P13" s="115" t="str">
        <f aca="false">IF($A13="","",$F13-$E$58)</f>
        <v/>
      </c>
      <c r="Q13" s="114" t="str">
        <f aca="false">IF($A13="","",4*$G13)</f>
        <v/>
      </c>
      <c r="R13" s="115" t="str">
        <f aca="false">IF($A13="","",$B13-$E$59-$F$59)</f>
        <v/>
      </c>
      <c r="S13" s="114" t="str">
        <f aca="false">IF($A13="","",4*$G13)</f>
        <v/>
      </c>
      <c r="T13" s="115" t="str">
        <f aca="false">IF($A13="","",$D13-$E$60-$F$60)</f>
        <v/>
      </c>
      <c r="U13" s="114" t="str">
        <f aca="false">IF($A13="","",2*$G13)</f>
        <v/>
      </c>
      <c r="V13" s="115" t="str">
        <f aca="false">IF($A13="","",$E13-$E$61-$F$61)</f>
        <v/>
      </c>
      <c r="W13" s="114" t="str">
        <f aca="false">IF($A13="","",2*$G13)</f>
        <v/>
      </c>
      <c r="X13" s="115" t="str">
        <f aca="false">IF($A13="","",$R13-$E$62-$F$62)</f>
        <v/>
      </c>
      <c r="Y13" s="114" t="str">
        <f aca="false">IF($A13="","",4*$G13)</f>
        <v/>
      </c>
      <c r="Z13" s="115" t="str">
        <f aca="false">IF($A13="","",$T13-$E$63-$F$63)</f>
        <v/>
      </c>
      <c r="AA13" s="114" t="str">
        <f aca="false">IF($A13="","",2*$G13)</f>
        <v/>
      </c>
      <c r="AB13" s="115" t="str">
        <f aca="false">IF($A13="","",$V13-$E$64-$F$64)</f>
        <v/>
      </c>
      <c r="AC13" s="114" t="str">
        <f aca="false">IF($A13="","",2*$G13)</f>
        <v/>
      </c>
      <c r="AD13" s="115" t="str">
        <f aca="false">IF($A13="","",$F13-$E$65)</f>
        <v/>
      </c>
      <c r="AE13" s="114" t="str">
        <f aca="false">IF($A13="","",4*$G13)</f>
        <v/>
      </c>
      <c r="AF13" s="115" t="str">
        <f aca="false">IF($A13="","",$B13-$E$66-$F$66)</f>
        <v/>
      </c>
      <c r="AG13" s="114" t="str">
        <f aca="false">IF($A13="","",4*$G13)</f>
        <v/>
      </c>
      <c r="AH13" s="115" t="str">
        <f aca="false">IF($A13="","",$B13-$E$67-$F$67)</f>
        <v/>
      </c>
      <c r="AI13" s="114" t="str">
        <f aca="false">IF($A13="","",1*$G13)</f>
        <v/>
      </c>
      <c r="AJ13" s="115" t="str">
        <f aca="false">IF($A13="","",$T13)</f>
        <v/>
      </c>
      <c r="AK13" s="114" t="str">
        <f aca="false">IF($A13="","",(IF(OR($B13&gt;3000,$D13&gt;1200),5,4)+IF(OR($B13&gt;3000,$E13&gt;1200),5,4))*$G13)</f>
        <v/>
      </c>
      <c r="AL13" s="115" t="str">
        <f aca="false">IF($A13="","",4*2*$G13)</f>
        <v/>
      </c>
      <c r="AM13" s="114" t="str">
        <f aca="false">IF($A13="","",8*2*$G13)</f>
        <v/>
      </c>
      <c r="AN13" s="116" t="str">
        <f aca="false">IF($A13="","",$BC$1*$G13)</f>
        <v/>
      </c>
      <c r="AO13" s="119" t="str">
        <f aca="false">IF($A13="","",$BC$2*$G13)</f>
        <v/>
      </c>
      <c r="AP13" s="118" t="str">
        <f aca="false">IF($A13="","",$BC$3*$G13)</f>
        <v/>
      </c>
      <c r="AQ13" s="116" t="str">
        <f aca="false">IF($A13="","",1*$G13)</f>
        <v/>
      </c>
      <c r="AR13" s="119" t="str">
        <f aca="false">IF($A13="","",1*$G13)</f>
        <v/>
      </c>
      <c r="AS13" s="118" t="str">
        <f aca="false">IF($A13="","",1*$G13)</f>
        <v/>
      </c>
      <c r="AT13" s="116" t="str">
        <f aca="false">IF($A13="","",1*$G13)</f>
        <v/>
      </c>
      <c r="AU13" s="119" t="str">
        <f aca="false">IF($A13="","",6*$G13)</f>
        <v/>
      </c>
      <c r="AV13" s="118" t="str">
        <f aca="false">IF($A13="","",ROUND((2*($D13+$B13)+2*($E13+$B13))*$G13/1000,1))</f>
        <v/>
      </c>
      <c r="AW13" s="1" t="str">
        <f aca="false">IF($A13="","",ROUND(($C13+2*$B13)*$G13/1000,1))</f>
        <v/>
      </c>
      <c r="AX13" s="1" t="str">
        <f aca="false">IF($A13="","",1*$G13)</f>
        <v/>
      </c>
      <c r="AY13" s="0" t="str">
        <f aca="false">IF($A13="","",$BC$4*$G13)</f>
        <v/>
      </c>
    </row>
    <row r="14" customFormat="false" ht="39.75" hidden="false" customHeight="true" outlineLevel="0" collapsed="false">
      <c r="A14" s="111"/>
      <c r="B14" s="112"/>
      <c r="C14" s="112" t="str">
        <f aca="false">IF($A14="","",$D14+$E14)</f>
        <v/>
      </c>
      <c r="D14" s="112"/>
      <c r="E14" s="112"/>
      <c r="F14" s="113" t="str">
        <f aca="false">IF($A14="","",(($C14-$D14-$E14)/2))</f>
        <v/>
      </c>
      <c r="G14" s="114"/>
      <c r="H14" s="120" t="str">
        <f aca="false">IF($A14="","",$B14)</f>
        <v/>
      </c>
      <c r="I14" s="121" t="str">
        <f aca="false">IF($A14="","",2*$G14)</f>
        <v/>
      </c>
      <c r="J14" s="120" t="str">
        <f aca="false">IF($A14="","",$H14)</f>
        <v/>
      </c>
      <c r="K14" s="121" t="str">
        <f aca="false">IF($A14="","",2*$G14)</f>
        <v/>
      </c>
      <c r="L14" s="120" t="str">
        <f aca="false">IF($A14="","",$C14-$F14-$F14-$E$56-$F$56)</f>
        <v/>
      </c>
      <c r="M14" s="121" t="str">
        <f aca="false">IF($A14="","",1*$G14)</f>
        <v/>
      </c>
      <c r="N14" s="120" t="str">
        <f aca="false">IF($A14="","",$H14)</f>
        <v/>
      </c>
      <c r="O14" s="121" t="str">
        <f aca="false">IF($A14="","",2*$G14)</f>
        <v/>
      </c>
      <c r="P14" s="120" t="str">
        <f aca="false">IF($A14="","",$F14-$E$58)</f>
        <v/>
      </c>
      <c r="Q14" s="121" t="str">
        <f aca="false">IF($A14="","",4*$G14)</f>
        <v/>
      </c>
      <c r="R14" s="120" t="str">
        <f aca="false">IF($A14="","",$B14-$E$59-$F$59)</f>
        <v/>
      </c>
      <c r="S14" s="121" t="str">
        <f aca="false">IF($A14="","",4*$G14)</f>
        <v/>
      </c>
      <c r="T14" s="120" t="str">
        <f aca="false">IF($A14="","",$D14-$E$60-$F$60)</f>
        <v/>
      </c>
      <c r="U14" s="121" t="str">
        <f aca="false">IF($A14="","",2*$G14)</f>
        <v/>
      </c>
      <c r="V14" s="120" t="str">
        <f aca="false">IF($A14="","",$E14-$E$61-$F$61)</f>
        <v/>
      </c>
      <c r="W14" s="121" t="str">
        <f aca="false">IF($A14="","",2*$G14)</f>
        <v/>
      </c>
      <c r="X14" s="120" t="str">
        <f aca="false">IF($A14="","",$R14-$E$62-$F$62)</f>
        <v/>
      </c>
      <c r="Y14" s="121" t="str">
        <f aca="false">IF($A14="","",4*$G14)</f>
        <v/>
      </c>
      <c r="Z14" s="120" t="str">
        <f aca="false">IF($A14="","",$T14-$E$63-$F$63)</f>
        <v/>
      </c>
      <c r="AA14" s="121" t="str">
        <f aca="false">IF($A14="","",2*$G14)</f>
        <v/>
      </c>
      <c r="AB14" s="120" t="str">
        <f aca="false">IF($A14="","",$V14-$E$64-$F$64)</f>
        <v/>
      </c>
      <c r="AC14" s="121" t="str">
        <f aca="false">IF($A14="","",2*$G14)</f>
        <v/>
      </c>
      <c r="AD14" s="120" t="str">
        <f aca="false">IF($A14="","",$F14-$E$65)</f>
        <v/>
      </c>
      <c r="AE14" s="121" t="str">
        <f aca="false">IF($A14="","",4*$G14)</f>
        <v/>
      </c>
      <c r="AF14" s="120" t="str">
        <f aca="false">IF($A14="","",$B14-$E$66-$F$66)</f>
        <v/>
      </c>
      <c r="AG14" s="121" t="str">
        <f aca="false">IF($A14="","",4*$G14)</f>
        <v/>
      </c>
      <c r="AH14" s="120" t="str">
        <f aca="false">IF($A14="","",$B14-$E$67-$F$67)</f>
        <v/>
      </c>
      <c r="AI14" s="121" t="str">
        <f aca="false">IF($A14="","",1*$G14)</f>
        <v/>
      </c>
      <c r="AJ14" s="120" t="str">
        <f aca="false">IF($A14="","",$T14)</f>
        <v/>
      </c>
      <c r="AK14" s="121" t="str">
        <f aca="false">IF($A14="","",(IF(OR($B14&gt;3000,$D14&gt;1200),5,4)+IF(OR($B14&gt;3000,$E14&gt;1200),5,4))*$G14)</f>
        <v/>
      </c>
      <c r="AL14" s="120" t="str">
        <f aca="false">IF($A14="","",4*2*$G14)</f>
        <v/>
      </c>
      <c r="AM14" s="121" t="str">
        <f aca="false">IF($A14="","",8*2*$G14)</f>
        <v/>
      </c>
      <c r="AN14" s="116" t="str">
        <f aca="false">IF($A14="","",$BC$1*$G14)</f>
        <v/>
      </c>
      <c r="AO14" s="119" t="str">
        <f aca="false">IF($A14="","",$BC$2*$G14)</f>
        <v/>
      </c>
      <c r="AP14" s="118" t="str">
        <f aca="false">IF($A14="","",$BC$3*$G14)</f>
        <v/>
      </c>
      <c r="AQ14" s="116" t="str">
        <f aca="false">IF($A14="","",1*$G14)</f>
        <v/>
      </c>
      <c r="AR14" s="119" t="str">
        <f aca="false">IF($A14="","",1*$G14)</f>
        <v/>
      </c>
      <c r="AS14" s="118" t="str">
        <f aca="false">IF($A14="","",1*$G14)</f>
        <v/>
      </c>
      <c r="AT14" s="116" t="str">
        <f aca="false">IF($A14="","",1*$G14)</f>
        <v/>
      </c>
      <c r="AU14" s="119" t="str">
        <f aca="false">IF($A14="","",6*$G14)</f>
        <v/>
      </c>
      <c r="AV14" s="118" t="str">
        <f aca="false">IF($A14="","",ROUND((2*($D14+$B14)+2*($E14+$B14))*$G14/1000,1))</f>
        <v/>
      </c>
      <c r="AW14" s="1" t="str">
        <f aca="false">IF($A14="","",ROUND(($C14+2*$B14)*$G14/1000,1))</f>
        <v/>
      </c>
      <c r="AX14" s="1" t="str">
        <f aca="false">IF($A14="","",1*$G14)</f>
        <v/>
      </c>
      <c r="AY14" s="0" t="str">
        <f aca="false">IF($A14="","",$BC$4*$G14)</f>
        <v/>
      </c>
    </row>
    <row r="15" customFormat="false" ht="39.75" hidden="false" customHeight="true" outlineLevel="0" collapsed="false">
      <c r="A15" s="111"/>
      <c r="B15" s="112"/>
      <c r="C15" s="112" t="str">
        <f aca="false">IF($A15="","",$D15+$E15)</f>
        <v/>
      </c>
      <c r="D15" s="112"/>
      <c r="E15" s="112"/>
      <c r="F15" s="113" t="str">
        <f aca="false">IF($A15="","",(($C15-$D15-$E15)/2))</f>
        <v/>
      </c>
      <c r="G15" s="114"/>
      <c r="H15" s="115" t="str">
        <f aca="false">IF($A15="","",$B15)</f>
        <v/>
      </c>
      <c r="I15" s="114" t="str">
        <f aca="false">IF($A15="","",2*$G15)</f>
        <v/>
      </c>
      <c r="J15" s="115" t="str">
        <f aca="false">IF($A15="","",$H15)</f>
        <v/>
      </c>
      <c r="K15" s="114" t="str">
        <f aca="false">IF($A15="","",2*$G15)</f>
        <v/>
      </c>
      <c r="L15" s="115" t="str">
        <f aca="false">IF($A15="","",$C15-$F15-$F15-$E$56-$F$56)</f>
        <v/>
      </c>
      <c r="M15" s="114" t="str">
        <f aca="false">IF($A15="","",1*$G15)</f>
        <v/>
      </c>
      <c r="N15" s="115" t="str">
        <f aca="false">IF($A15="","",$H15)</f>
        <v/>
      </c>
      <c r="O15" s="114" t="str">
        <f aca="false">IF($A15="","",2*$G15)</f>
        <v/>
      </c>
      <c r="P15" s="115" t="str">
        <f aca="false">IF($A15="","",$F15-$E$58)</f>
        <v/>
      </c>
      <c r="Q15" s="114" t="str">
        <f aca="false">IF($A15="","",4*$G15)</f>
        <v/>
      </c>
      <c r="R15" s="115" t="str">
        <f aca="false">IF($A15="","",$B15-$E$59-$F$59)</f>
        <v/>
      </c>
      <c r="S15" s="114" t="str">
        <f aca="false">IF($A15="","",4*$G15)</f>
        <v/>
      </c>
      <c r="T15" s="115" t="str">
        <f aca="false">IF($A15="","",$D15-$E$60-$F$60)</f>
        <v/>
      </c>
      <c r="U15" s="114" t="str">
        <f aca="false">IF($A15="","",2*$G15)</f>
        <v/>
      </c>
      <c r="V15" s="115" t="str">
        <f aca="false">IF($A15="","",$E15-$E$61-$F$61)</f>
        <v/>
      </c>
      <c r="W15" s="114" t="str">
        <f aca="false">IF($A15="","",2*$G15)</f>
        <v/>
      </c>
      <c r="X15" s="115" t="str">
        <f aca="false">IF($A15="","",$R15-$E$62-$F$62)</f>
        <v/>
      </c>
      <c r="Y15" s="114" t="str">
        <f aca="false">IF($A15="","",4*$G15)</f>
        <v/>
      </c>
      <c r="Z15" s="115" t="str">
        <f aca="false">IF($A15="","",$T15-$E$63-$F$63)</f>
        <v/>
      </c>
      <c r="AA15" s="114" t="str">
        <f aca="false">IF($A15="","",2*$G15)</f>
        <v/>
      </c>
      <c r="AB15" s="115" t="str">
        <f aca="false">IF($A15="","",$V15-$E$64-$F$64)</f>
        <v/>
      </c>
      <c r="AC15" s="114" t="str">
        <f aca="false">IF($A15="","",2*$G15)</f>
        <v/>
      </c>
      <c r="AD15" s="115" t="str">
        <f aca="false">IF($A15="","",$F15-$E$65)</f>
        <v/>
      </c>
      <c r="AE15" s="114" t="str">
        <f aca="false">IF($A15="","",4*$G15)</f>
        <v/>
      </c>
      <c r="AF15" s="115" t="str">
        <f aca="false">IF($A15="","",$B15-$E$66-$F$66)</f>
        <v/>
      </c>
      <c r="AG15" s="114" t="str">
        <f aca="false">IF($A15="","",4*$G15)</f>
        <v/>
      </c>
      <c r="AH15" s="115" t="str">
        <f aca="false">IF($A15="","",$B15-$E$67-$F$67)</f>
        <v/>
      </c>
      <c r="AI15" s="114" t="str">
        <f aca="false">IF($A15="","",1*$G15)</f>
        <v/>
      </c>
      <c r="AJ15" s="115" t="str">
        <f aca="false">IF($A15="","",$T15)</f>
        <v/>
      </c>
      <c r="AK15" s="114" t="str">
        <f aca="false">IF($A15="","",(IF(OR($B15&gt;3000,$D15&gt;1200),5,4)+IF(OR($B15&gt;3000,$E15&gt;1200),5,4))*$G15)</f>
        <v/>
      </c>
      <c r="AL15" s="115" t="str">
        <f aca="false">IF($A15="","",4*2*$G15)</f>
        <v/>
      </c>
      <c r="AM15" s="114" t="str">
        <f aca="false">IF($A15="","",8*2*$G15)</f>
        <v/>
      </c>
      <c r="AN15" s="116" t="str">
        <f aca="false">IF($A15="","",$BC$1*$G15)</f>
        <v/>
      </c>
      <c r="AO15" s="119" t="str">
        <f aca="false">IF($A15="","",$BC$2*$G15)</f>
        <v/>
      </c>
      <c r="AP15" s="118" t="str">
        <f aca="false">IF($A15="","",$BC$3*$G15)</f>
        <v/>
      </c>
      <c r="AQ15" s="116" t="str">
        <f aca="false">IF($A15="","",1*$G15)</f>
        <v/>
      </c>
      <c r="AR15" s="119" t="str">
        <f aca="false">IF($A15="","",1*$G15)</f>
        <v/>
      </c>
      <c r="AS15" s="118" t="str">
        <f aca="false">IF($A15="","",1*$G15)</f>
        <v/>
      </c>
      <c r="AT15" s="116" t="str">
        <f aca="false">IF($A15="","",1*$G15)</f>
        <v/>
      </c>
      <c r="AU15" s="119" t="str">
        <f aca="false">IF($A15="","",6*$G15)</f>
        <v/>
      </c>
      <c r="AV15" s="118" t="str">
        <f aca="false">IF($A15="","",ROUND((2*($D15+$B15)+2*($E15+$B15))*$G15/1000,1))</f>
        <v/>
      </c>
      <c r="AW15" s="1" t="str">
        <f aca="false">IF($A15="","",ROUND(($C15+2*$B15)*$G15/1000,1))</f>
        <v/>
      </c>
      <c r="AX15" s="1" t="str">
        <f aca="false">IF($A15="","",1*$G15)</f>
        <v/>
      </c>
      <c r="AY15" s="0" t="str">
        <f aca="false">IF($A15="","",$BC$4*$G15)</f>
        <v/>
      </c>
    </row>
    <row r="16" customFormat="false" ht="39.75" hidden="false" customHeight="true" outlineLevel="0" collapsed="false">
      <c r="A16" s="111"/>
      <c r="B16" s="112"/>
      <c r="C16" s="112" t="str">
        <f aca="false">IF($A16="","",$D16+$E16)</f>
        <v/>
      </c>
      <c r="D16" s="112"/>
      <c r="E16" s="112"/>
      <c r="F16" s="113" t="str">
        <f aca="false">IF($A16="","",(($C16-$D16-$E16)/2))</f>
        <v/>
      </c>
      <c r="G16" s="114"/>
      <c r="H16" s="120" t="str">
        <f aca="false">IF($A16="","",$B16)</f>
        <v/>
      </c>
      <c r="I16" s="121" t="str">
        <f aca="false">IF($A16="","",2*$G16)</f>
        <v/>
      </c>
      <c r="J16" s="120" t="str">
        <f aca="false">IF($A16="","",$H16)</f>
        <v/>
      </c>
      <c r="K16" s="121" t="str">
        <f aca="false">IF($A16="","",2*$G16)</f>
        <v/>
      </c>
      <c r="L16" s="120" t="str">
        <f aca="false">IF($A16="","",$C16-$F16-$F16-$E$56-$F$56)</f>
        <v/>
      </c>
      <c r="M16" s="121" t="str">
        <f aca="false">IF($A16="","",1*$G16)</f>
        <v/>
      </c>
      <c r="N16" s="120" t="str">
        <f aca="false">IF($A16="","",$H16)</f>
        <v/>
      </c>
      <c r="O16" s="121" t="str">
        <f aca="false">IF($A16="","",2*$G16)</f>
        <v/>
      </c>
      <c r="P16" s="120" t="str">
        <f aca="false">IF($A16="","",$F16-$E$58)</f>
        <v/>
      </c>
      <c r="Q16" s="121" t="str">
        <f aca="false">IF($A16="","",4*$G16)</f>
        <v/>
      </c>
      <c r="R16" s="120" t="str">
        <f aca="false">IF($A16="","",$B16-$E$59-$F$59)</f>
        <v/>
      </c>
      <c r="S16" s="121" t="str">
        <f aca="false">IF($A16="","",4*$G16)</f>
        <v/>
      </c>
      <c r="T16" s="120" t="str">
        <f aca="false">IF($A16="","",$D16-$E$60-$F$60)</f>
        <v/>
      </c>
      <c r="U16" s="121" t="str">
        <f aca="false">IF($A16="","",2*$G16)</f>
        <v/>
      </c>
      <c r="V16" s="120" t="str">
        <f aca="false">IF($A16="","",$E16-$E$61-$F$61)</f>
        <v/>
      </c>
      <c r="W16" s="121" t="str">
        <f aca="false">IF($A16="","",2*$G16)</f>
        <v/>
      </c>
      <c r="X16" s="120" t="str">
        <f aca="false">IF($A16="","",$R16-$E$62-$F$62)</f>
        <v/>
      </c>
      <c r="Y16" s="121" t="str">
        <f aca="false">IF($A16="","",4*$G16)</f>
        <v/>
      </c>
      <c r="Z16" s="120" t="str">
        <f aca="false">IF($A16="","",$T16-$E$63-$F$63)</f>
        <v/>
      </c>
      <c r="AA16" s="121" t="str">
        <f aca="false">IF($A16="","",2*$G16)</f>
        <v/>
      </c>
      <c r="AB16" s="120" t="str">
        <f aca="false">IF($A16="","",$V16-$E$64-$F$64)</f>
        <v/>
      </c>
      <c r="AC16" s="121" t="str">
        <f aca="false">IF($A16="","",2*$G16)</f>
        <v/>
      </c>
      <c r="AD16" s="120" t="str">
        <f aca="false">IF($A16="","",$F16-$E$65)</f>
        <v/>
      </c>
      <c r="AE16" s="121" t="str">
        <f aca="false">IF($A16="","",4*$G16)</f>
        <v/>
      </c>
      <c r="AF16" s="120" t="str">
        <f aca="false">IF($A16="","",$B16-$E$66-$F$66)</f>
        <v/>
      </c>
      <c r="AG16" s="121" t="str">
        <f aca="false">IF($A16="","",4*$G16)</f>
        <v/>
      </c>
      <c r="AH16" s="120" t="str">
        <f aca="false">IF($A16="","",$B16-$E$67-$F$67)</f>
        <v/>
      </c>
      <c r="AI16" s="121" t="str">
        <f aca="false">IF($A16="","",1*$G16)</f>
        <v/>
      </c>
      <c r="AJ16" s="120" t="str">
        <f aca="false">IF($A16="","",$T16)</f>
        <v/>
      </c>
      <c r="AK16" s="121" t="str">
        <f aca="false">IF($A16="","",(IF(OR($B16&gt;3000,$D16&gt;1200),5,4)+IF(OR($B16&gt;3000,$E16&gt;1200),5,4))*$G16)</f>
        <v/>
      </c>
      <c r="AL16" s="120" t="str">
        <f aca="false">IF($A16="","",4*2*$G16)</f>
        <v/>
      </c>
      <c r="AM16" s="121" t="str">
        <f aca="false">IF($A16="","",8*2*$G16)</f>
        <v/>
      </c>
      <c r="AN16" s="116" t="str">
        <f aca="false">IF($A16="","",$BC$1*$G16)</f>
        <v/>
      </c>
      <c r="AO16" s="119" t="str">
        <f aca="false">IF($A16="","",$BC$2*$G16)</f>
        <v/>
      </c>
      <c r="AP16" s="118" t="str">
        <f aca="false">IF($A16="","",$BC$3*$G16)</f>
        <v/>
      </c>
      <c r="AQ16" s="116" t="str">
        <f aca="false">IF($A16="","",1*$G16)</f>
        <v/>
      </c>
      <c r="AR16" s="119" t="str">
        <f aca="false">IF($A16="","",1*$G16)</f>
        <v/>
      </c>
      <c r="AS16" s="118" t="str">
        <f aca="false">IF($A16="","",1*$G16)</f>
        <v/>
      </c>
      <c r="AT16" s="116" t="str">
        <f aca="false">IF($A16="","",1*$G16)</f>
        <v/>
      </c>
      <c r="AU16" s="119" t="str">
        <f aca="false">IF($A16="","",6*$G16)</f>
        <v/>
      </c>
      <c r="AV16" s="118" t="str">
        <f aca="false">IF($A16="","",ROUND((2*($D16+$B16)+2*($E16+$B16))*$G16/1000,1))</f>
        <v/>
      </c>
      <c r="AW16" s="1" t="str">
        <f aca="false">IF($A16="","",ROUND(($C16+2*$B16)*$G16/1000,1))</f>
        <v/>
      </c>
      <c r="AX16" s="1" t="str">
        <f aca="false">IF($A16="","",1*$G16)</f>
        <v/>
      </c>
      <c r="AY16" s="0" t="str">
        <f aca="false">IF($A16="","",$BC$4*$G16)</f>
        <v/>
      </c>
    </row>
    <row r="17" customFormat="false" ht="39.75" hidden="false" customHeight="true" outlineLevel="0" collapsed="false">
      <c r="A17" s="111"/>
      <c r="B17" s="112"/>
      <c r="C17" s="112" t="str">
        <f aca="false">IF($A17="","",$D17+$E17)</f>
        <v/>
      </c>
      <c r="D17" s="112"/>
      <c r="E17" s="112"/>
      <c r="F17" s="113" t="str">
        <f aca="false">IF($A17="","",(($C17-$D17-$E17)/2))</f>
        <v/>
      </c>
      <c r="G17" s="114"/>
      <c r="H17" s="115" t="str">
        <f aca="false">IF($A17="","",$B17)</f>
        <v/>
      </c>
      <c r="I17" s="114" t="str">
        <f aca="false">IF($A17="","",2*$G17)</f>
        <v/>
      </c>
      <c r="J17" s="115" t="str">
        <f aca="false">IF($A17="","",$H17)</f>
        <v/>
      </c>
      <c r="K17" s="114" t="str">
        <f aca="false">IF($A17="","",2*$G17)</f>
        <v/>
      </c>
      <c r="L17" s="115" t="str">
        <f aca="false">IF($A17="","",$C17-$F17-$F17-$E$56-$F$56)</f>
        <v/>
      </c>
      <c r="M17" s="114" t="str">
        <f aca="false">IF($A17="","",1*$G17)</f>
        <v/>
      </c>
      <c r="N17" s="115" t="str">
        <f aca="false">IF($A17="","",$H17)</f>
        <v/>
      </c>
      <c r="O17" s="114" t="str">
        <f aca="false">IF($A17="","",2*$G17)</f>
        <v/>
      </c>
      <c r="P17" s="115" t="str">
        <f aca="false">IF($A17="","",$F17-$E$58)</f>
        <v/>
      </c>
      <c r="Q17" s="114" t="str">
        <f aca="false">IF($A17="","",4*$G17)</f>
        <v/>
      </c>
      <c r="R17" s="115" t="str">
        <f aca="false">IF($A17="","",$B17-$E$59-$F$59)</f>
        <v/>
      </c>
      <c r="S17" s="114" t="str">
        <f aca="false">IF($A17="","",4*$G17)</f>
        <v/>
      </c>
      <c r="T17" s="115" t="str">
        <f aca="false">IF($A17="","",$D17-$E$60-$F$60)</f>
        <v/>
      </c>
      <c r="U17" s="114" t="str">
        <f aca="false">IF($A17="","",2*$G17)</f>
        <v/>
      </c>
      <c r="V17" s="115" t="str">
        <f aca="false">IF($A17="","",$E17-$E$61-$F$61)</f>
        <v/>
      </c>
      <c r="W17" s="114" t="str">
        <f aca="false">IF($A17="","",2*$G17)</f>
        <v/>
      </c>
      <c r="X17" s="115" t="str">
        <f aca="false">IF($A17="","",$R17-$E$62-$F$62)</f>
        <v/>
      </c>
      <c r="Y17" s="114" t="str">
        <f aca="false">IF($A17="","",4*$G17)</f>
        <v/>
      </c>
      <c r="Z17" s="115" t="str">
        <f aca="false">IF($A17="","",$T17-$E$63-$F$63)</f>
        <v/>
      </c>
      <c r="AA17" s="114" t="str">
        <f aca="false">IF($A17="","",2*$G17)</f>
        <v/>
      </c>
      <c r="AB17" s="115" t="str">
        <f aca="false">IF($A17="","",$V17-$E$64-$F$64)</f>
        <v/>
      </c>
      <c r="AC17" s="114" t="str">
        <f aca="false">IF($A17="","",2*$G17)</f>
        <v/>
      </c>
      <c r="AD17" s="115" t="str">
        <f aca="false">IF($A17="","",$F17-$E$65)</f>
        <v/>
      </c>
      <c r="AE17" s="114" t="str">
        <f aca="false">IF($A17="","",4*$G17)</f>
        <v/>
      </c>
      <c r="AF17" s="115" t="str">
        <f aca="false">IF($A17="","",$B17-$E$66-$F$66)</f>
        <v/>
      </c>
      <c r="AG17" s="114" t="str">
        <f aca="false">IF($A17="","",4*$G17)</f>
        <v/>
      </c>
      <c r="AH17" s="115" t="str">
        <f aca="false">IF($A17="","",$B17-$E$67-$F$67)</f>
        <v/>
      </c>
      <c r="AI17" s="114" t="str">
        <f aca="false">IF($A17="","",1*$G17)</f>
        <v/>
      </c>
      <c r="AJ17" s="115" t="str">
        <f aca="false">IF($A17="","",$T17)</f>
        <v/>
      </c>
      <c r="AK17" s="114" t="str">
        <f aca="false">IF($A17="","",(IF(OR($B17&gt;3000,$D17&gt;1200),5,4)+IF(OR($B17&gt;3000,$E17&gt;1200),5,4))*$G17)</f>
        <v/>
      </c>
      <c r="AL17" s="115" t="str">
        <f aca="false">IF($A17="","",4*2*$G17)</f>
        <v/>
      </c>
      <c r="AM17" s="114" t="str">
        <f aca="false">IF($A17="","",8*2*$G17)</f>
        <v/>
      </c>
      <c r="AN17" s="116" t="str">
        <f aca="false">IF($A17="","",$BC$1*$G17)</f>
        <v/>
      </c>
      <c r="AO17" s="119" t="str">
        <f aca="false">IF($A17="","",$BC$2*$G17)</f>
        <v/>
      </c>
      <c r="AP17" s="118" t="str">
        <f aca="false">IF($A17="","",$BC$3*$G17)</f>
        <v/>
      </c>
      <c r="AQ17" s="116" t="str">
        <f aca="false">IF($A17="","",1*$G17)</f>
        <v/>
      </c>
      <c r="AR17" s="119" t="str">
        <f aca="false">IF($A17="","",1*$G17)</f>
        <v/>
      </c>
      <c r="AS17" s="118" t="str">
        <f aca="false">IF($A17="","",1*$G17)</f>
        <v/>
      </c>
      <c r="AT17" s="116" t="str">
        <f aca="false">IF($A17="","",1*$G17)</f>
        <v/>
      </c>
      <c r="AU17" s="119" t="str">
        <f aca="false">IF($A17="","",6*$G17)</f>
        <v/>
      </c>
      <c r="AV17" s="118" t="str">
        <f aca="false">IF($A17="","",ROUND((2*($D17+$B17)+2*($E17+$B17))*$G17/1000,1))</f>
        <v/>
      </c>
      <c r="AW17" s="1" t="str">
        <f aca="false">IF($A17="","",ROUND(($C17+2*$B17)*$G17/1000,1))</f>
        <v/>
      </c>
      <c r="AX17" s="1" t="str">
        <f aca="false">IF($A17="","",1*$G17)</f>
        <v/>
      </c>
      <c r="AY17" s="0" t="str">
        <f aca="false">IF($A17="","",$BC$4*$G17)</f>
        <v/>
      </c>
    </row>
    <row r="18" customFormat="false" ht="39.75" hidden="false" customHeight="true" outlineLevel="0" collapsed="false">
      <c r="A18" s="111"/>
      <c r="B18" s="112"/>
      <c r="C18" s="112" t="str">
        <f aca="false">IF($A18="","",$D18+$E18)</f>
        <v/>
      </c>
      <c r="D18" s="112"/>
      <c r="E18" s="112"/>
      <c r="F18" s="113" t="str">
        <f aca="false">IF($A18="","",(($C18-$D18-$E18)/2))</f>
        <v/>
      </c>
      <c r="G18" s="114"/>
      <c r="H18" s="120" t="str">
        <f aca="false">IF($A18="","",$B18)</f>
        <v/>
      </c>
      <c r="I18" s="121" t="str">
        <f aca="false">IF($A18="","",2*$G18)</f>
        <v/>
      </c>
      <c r="J18" s="120" t="str">
        <f aca="false">IF($A18="","",$H18)</f>
        <v/>
      </c>
      <c r="K18" s="121" t="str">
        <f aca="false">IF($A18="","",2*$G18)</f>
        <v/>
      </c>
      <c r="L18" s="120" t="str">
        <f aca="false">IF($A18="","",$C18-$F18-$F18-$E$56-$F$56)</f>
        <v/>
      </c>
      <c r="M18" s="121" t="str">
        <f aca="false">IF($A18="","",1*$G18)</f>
        <v/>
      </c>
      <c r="N18" s="120" t="str">
        <f aca="false">IF($A18="","",$H18)</f>
        <v/>
      </c>
      <c r="O18" s="121" t="str">
        <f aca="false">IF($A18="","",2*$G18)</f>
        <v/>
      </c>
      <c r="P18" s="120" t="str">
        <f aca="false">IF($A18="","",$F18-$E$58)</f>
        <v/>
      </c>
      <c r="Q18" s="121" t="str">
        <f aca="false">IF($A18="","",4*$G18)</f>
        <v/>
      </c>
      <c r="R18" s="120" t="str">
        <f aca="false">IF($A18="","",$B18-$E$59-$F$59)</f>
        <v/>
      </c>
      <c r="S18" s="121" t="str">
        <f aca="false">IF($A18="","",4*$G18)</f>
        <v/>
      </c>
      <c r="T18" s="120" t="str">
        <f aca="false">IF($A18="","",$D18-$E$60-$F$60)</f>
        <v/>
      </c>
      <c r="U18" s="121" t="str">
        <f aca="false">IF($A18="","",2*$G18)</f>
        <v/>
      </c>
      <c r="V18" s="120" t="str">
        <f aca="false">IF($A18="","",$E18-$E$61-$F$61)</f>
        <v/>
      </c>
      <c r="W18" s="121" t="str">
        <f aca="false">IF($A18="","",2*$G18)</f>
        <v/>
      </c>
      <c r="X18" s="120" t="str">
        <f aca="false">IF($A18="","",$R18-$E$62-$F$62)</f>
        <v/>
      </c>
      <c r="Y18" s="121" t="str">
        <f aca="false">IF($A18="","",4*$G18)</f>
        <v/>
      </c>
      <c r="Z18" s="120" t="str">
        <f aca="false">IF($A18="","",$T18-$E$63-$F$63)</f>
        <v/>
      </c>
      <c r="AA18" s="121" t="str">
        <f aca="false">IF($A18="","",2*$G18)</f>
        <v/>
      </c>
      <c r="AB18" s="120" t="str">
        <f aca="false">IF($A18="","",$V18-$E$64-$F$64)</f>
        <v/>
      </c>
      <c r="AC18" s="121" t="str">
        <f aca="false">IF($A18="","",2*$G18)</f>
        <v/>
      </c>
      <c r="AD18" s="120" t="str">
        <f aca="false">IF($A18="","",$F18-$E$65)</f>
        <v/>
      </c>
      <c r="AE18" s="121" t="str">
        <f aca="false">IF($A18="","",4*$G18)</f>
        <v/>
      </c>
      <c r="AF18" s="120" t="str">
        <f aca="false">IF($A18="","",$B18-$E$66-$F$66)</f>
        <v/>
      </c>
      <c r="AG18" s="121" t="str">
        <f aca="false">IF($A18="","",4*$G18)</f>
        <v/>
      </c>
      <c r="AH18" s="120" t="str">
        <f aca="false">IF($A18="","",$B18-$E$67-$F$67)</f>
        <v/>
      </c>
      <c r="AI18" s="121" t="str">
        <f aca="false">IF($A18="","",1*$G18)</f>
        <v/>
      </c>
      <c r="AJ18" s="120" t="str">
        <f aca="false">IF($A18="","",$T18)</f>
        <v/>
      </c>
      <c r="AK18" s="121" t="str">
        <f aca="false">IF($A18="","",(IF(OR($B18&gt;3000,$D18&gt;1200),5,4)+IF(OR($B18&gt;3000,$E18&gt;1200),5,4))*$G18)</f>
        <v/>
      </c>
      <c r="AL18" s="120" t="str">
        <f aca="false">IF($A18="","",4*2*$G18)</f>
        <v/>
      </c>
      <c r="AM18" s="121" t="str">
        <f aca="false">IF($A18="","",8*2*$G18)</f>
        <v/>
      </c>
      <c r="AN18" s="116" t="str">
        <f aca="false">IF($A18="","",$BC$1*$G18)</f>
        <v/>
      </c>
      <c r="AO18" s="119" t="str">
        <f aca="false">IF($A18="","",$BC$2*$G18)</f>
        <v/>
      </c>
      <c r="AP18" s="118" t="str">
        <f aca="false">IF($A18="","",$BC$3*$G18)</f>
        <v/>
      </c>
      <c r="AQ18" s="116" t="str">
        <f aca="false">IF($A18="","",1*$G18)</f>
        <v/>
      </c>
      <c r="AR18" s="119" t="str">
        <f aca="false">IF($A18="","",1*$G18)</f>
        <v/>
      </c>
      <c r="AS18" s="118" t="str">
        <f aca="false">IF($A18="","",1*$G18)</f>
        <v/>
      </c>
      <c r="AT18" s="116" t="str">
        <f aca="false">IF($A18="","",1*$G18)</f>
        <v/>
      </c>
      <c r="AU18" s="119" t="str">
        <f aca="false">IF($A18="","",6*$G18)</f>
        <v/>
      </c>
      <c r="AV18" s="118" t="str">
        <f aca="false">IF($A18="","",ROUND((2*($D18+$B18)+2*($E18+$B18))*$G18/1000,1))</f>
        <v/>
      </c>
      <c r="AW18" s="1" t="str">
        <f aca="false">IF($A18="","",ROUND(($C18+2*$B18)*$G18/1000,1))</f>
        <v/>
      </c>
      <c r="AX18" s="1" t="str">
        <f aca="false">IF($A18="","",1*$G18)</f>
        <v/>
      </c>
      <c r="AY18" s="0" t="str">
        <f aca="false">IF($A18="","",$BC$4*$G18)</f>
        <v/>
      </c>
    </row>
    <row r="19" customFormat="false" ht="39.75" hidden="false" customHeight="true" outlineLevel="0" collapsed="false">
      <c r="A19" s="111"/>
      <c r="B19" s="112"/>
      <c r="C19" s="112" t="str">
        <f aca="false">IF($A19="","",$D19+$E19)</f>
        <v/>
      </c>
      <c r="D19" s="112"/>
      <c r="E19" s="112"/>
      <c r="F19" s="113" t="str">
        <f aca="false">IF($A19="","",(($C19-$D19-$E19)/2))</f>
        <v/>
      </c>
      <c r="G19" s="114"/>
      <c r="H19" s="115" t="str">
        <f aca="false">IF($A19="","",$B19)</f>
        <v/>
      </c>
      <c r="I19" s="114" t="str">
        <f aca="false">IF($A19="","",2*$G19)</f>
        <v/>
      </c>
      <c r="J19" s="115" t="str">
        <f aca="false">IF($A19="","",$H19)</f>
        <v/>
      </c>
      <c r="K19" s="114" t="str">
        <f aca="false">IF($A19="","",2*$G19)</f>
        <v/>
      </c>
      <c r="L19" s="115" t="str">
        <f aca="false">IF($A19="","",$C19-$F19-$F19-$E$56-$F$56)</f>
        <v/>
      </c>
      <c r="M19" s="114" t="str">
        <f aca="false">IF($A19="","",1*$G19)</f>
        <v/>
      </c>
      <c r="N19" s="115" t="str">
        <f aca="false">IF($A19="","",$H19)</f>
        <v/>
      </c>
      <c r="O19" s="114" t="str">
        <f aca="false">IF($A19="","",2*$G19)</f>
        <v/>
      </c>
      <c r="P19" s="115" t="str">
        <f aca="false">IF($A19="","",$F19-$E$58)</f>
        <v/>
      </c>
      <c r="Q19" s="114" t="str">
        <f aca="false">IF($A19="","",4*$G19)</f>
        <v/>
      </c>
      <c r="R19" s="115" t="str">
        <f aca="false">IF($A19="","",$B19-$E$59-$F$59)</f>
        <v/>
      </c>
      <c r="S19" s="114" t="str">
        <f aca="false">IF($A19="","",4*$G19)</f>
        <v/>
      </c>
      <c r="T19" s="115" t="str">
        <f aca="false">IF($A19="","",$D19-$E$60-$F$60)</f>
        <v/>
      </c>
      <c r="U19" s="114" t="str">
        <f aca="false">IF($A19="","",2*$G19)</f>
        <v/>
      </c>
      <c r="V19" s="115" t="str">
        <f aca="false">IF($A19="","",$E19-$E$61-$F$61)</f>
        <v/>
      </c>
      <c r="W19" s="114" t="str">
        <f aca="false">IF($A19="","",2*$G19)</f>
        <v/>
      </c>
      <c r="X19" s="115" t="str">
        <f aca="false">IF($A19="","",$R19-$E$62-$F$62)</f>
        <v/>
      </c>
      <c r="Y19" s="114" t="str">
        <f aca="false">IF($A19="","",4*$G19)</f>
        <v/>
      </c>
      <c r="Z19" s="115" t="str">
        <f aca="false">IF($A19="","",$T19-$E$63-$F$63)</f>
        <v/>
      </c>
      <c r="AA19" s="114" t="str">
        <f aca="false">IF($A19="","",2*$G19)</f>
        <v/>
      </c>
      <c r="AB19" s="115" t="str">
        <f aca="false">IF($A19="","",$V19-$E$64-$F$64)</f>
        <v/>
      </c>
      <c r="AC19" s="114" t="str">
        <f aca="false">IF($A19="","",2*$G19)</f>
        <v/>
      </c>
      <c r="AD19" s="115" t="str">
        <f aca="false">IF($A19="","",$F19-$E$65)</f>
        <v/>
      </c>
      <c r="AE19" s="114" t="str">
        <f aca="false">IF($A19="","",4*$G19)</f>
        <v/>
      </c>
      <c r="AF19" s="115" t="str">
        <f aca="false">IF($A19="","",$B19-$E$66-$F$66)</f>
        <v/>
      </c>
      <c r="AG19" s="114" t="str">
        <f aca="false">IF($A19="","",4*$G19)</f>
        <v/>
      </c>
      <c r="AH19" s="115" t="str">
        <f aca="false">IF($A19="","",$B19-$E$67-$F$67)</f>
        <v/>
      </c>
      <c r="AI19" s="114" t="str">
        <f aca="false">IF($A19="","",1*$G19)</f>
        <v/>
      </c>
      <c r="AJ19" s="115" t="str">
        <f aca="false">IF($A19="","",$T19)</f>
        <v/>
      </c>
      <c r="AK19" s="114" t="str">
        <f aca="false">IF($A19="","",(IF(OR($B19&gt;3000,$D19&gt;1200),5,4)+IF(OR($B19&gt;3000,$E19&gt;1200),5,4))*$G19)</f>
        <v/>
      </c>
      <c r="AL19" s="115" t="str">
        <f aca="false">IF($A19="","",4*2*$G19)</f>
        <v/>
      </c>
      <c r="AM19" s="114" t="str">
        <f aca="false">IF($A19="","",8*2*$G19)</f>
        <v/>
      </c>
      <c r="AN19" s="116" t="str">
        <f aca="false">IF($A19="","",$BC$1*$G19)</f>
        <v/>
      </c>
      <c r="AO19" s="119" t="str">
        <f aca="false">IF($A19="","",$BC$2*$G19)</f>
        <v/>
      </c>
      <c r="AP19" s="118" t="str">
        <f aca="false">IF($A19="","",$BC$3*$G19)</f>
        <v/>
      </c>
      <c r="AQ19" s="116" t="str">
        <f aca="false">IF($A19="","",1*$G19)</f>
        <v/>
      </c>
      <c r="AR19" s="119" t="str">
        <f aca="false">IF($A19="","",1*$G19)</f>
        <v/>
      </c>
      <c r="AS19" s="118" t="str">
        <f aca="false">IF($A19="","",1*$G19)</f>
        <v/>
      </c>
      <c r="AT19" s="116" t="str">
        <f aca="false">IF($A19="","",1*$G19)</f>
        <v/>
      </c>
      <c r="AU19" s="119" t="str">
        <f aca="false">IF($A19="","",6*$G19)</f>
        <v/>
      </c>
      <c r="AV19" s="118" t="str">
        <f aca="false">IF($A19="","",ROUND((2*($D19+$B19)+2*($E19+$B19))*$G19/1000,1))</f>
        <v/>
      </c>
      <c r="AW19" s="1" t="str">
        <f aca="false">IF($A19="","",ROUND(($C19+2*$B19)*$G19/1000,1))</f>
        <v/>
      </c>
      <c r="AX19" s="1" t="str">
        <f aca="false">IF($A19="","",1*$G19)</f>
        <v/>
      </c>
      <c r="AY19" s="0" t="str">
        <f aca="false">IF($A19="","",$BC$4*$G19)</f>
        <v/>
      </c>
    </row>
    <row r="20" customFormat="false" ht="39.75" hidden="false" customHeight="true" outlineLevel="0" collapsed="false">
      <c r="A20" s="111"/>
      <c r="B20" s="112"/>
      <c r="C20" s="112" t="str">
        <f aca="false">IF($A20="","",$D20+$E20)</f>
        <v/>
      </c>
      <c r="D20" s="112"/>
      <c r="E20" s="112"/>
      <c r="F20" s="113" t="str">
        <f aca="false">IF($A20="","",(($C20-$D20-$E20)/2))</f>
        <v/>
      </c>
      <c r="G20" s="114"/>
      <c r="H20" s="120" t="str">
        <f aca="false">IF($A20="","",$B20)</f>
        <v/>
      </c>
      <c r="I20" s="121" t="str">
        <f aca="false">IF($A20="","",2*$G20)</f>
        <v/>
      </c>
      <c r="J20" s="120" t="str">
        <f aca="false">IF($A20="","",$H20)</f>
        <v/>
      </c>
      <c r="K20" s="121" t="str">
        <f aca="false">IF($A20="","",2*$G20)</f>
        <v/>
      </c>
      <c r="L20" s="120" t="str">
        <f aca="false">IF($A20="","",$C20-$F20-$F20-$E$56-$F$56)</f>
        <v/>
      </c>
      <c r="M20" s="121" t="str">
        <f aca="false">IF($A20="","",1*$G20)</f>
        <v/>
      </c>
      <c r="N20" s="120" t="str">
        <f aca="false">IF($A20="","",$H20)</f>
        <v/>
      </c>
      <c r="O20" s="121" t="str">
        <f aca="false">IF($A20="","",2*$G20)</f>
        <v/>
      </c>
      <c r="P20" s="120" t="str">
        <f aca="false">IF($A20="","",$F20-$E$58)</f>
        <v/>
      </c>
      <c r="Q20" s="121" t="str">
        <f aca="false">IF($A20="","",4*$G20)</f>
        <v/>
      </c>
      <c r="R20" s="120" t="str">
        <f aca="false">IF($A20="","",$B20-$E$59-$F$59)</f>
        <v/>
      </c>
      <c r="S20" s="121" t="str">
        <f aca="false">IF($A20="","",4*$G20)</f>
        <v/>
      </c>
      <c r="T20" s="120" t="str">
        <f aca="false">IF($A20="","",$D20-$E$60-$F$60)</f>
        <v/>
      </c>
      <c r="U20" s="121" t="str">
        <f aca="false">IF($A20="","",2*$G20)</f>
        <v/>
      </c>
      <c r="V20" s="120" t="str">
        <f aca="false">IF($A20="","",$E20-$E$61-$F$61)</f>
        <v/>
      </c>
      <c r="W20" s="121" t="str">
        <f aca="false">IF($A20="","",2*$G20)</f>
        <v/>
      </c>
      <c r="X20" s="120" t="str">
        <f aca="false">IF($A20="","",$R20-$E$62-$F$62)</f>
        <v/>
      </c>
      <c r="Y20" s="121" t="str">
        <f aca="false">IF($A20="","",4*$G20)</f>
        <v/>
      </c>
      <c r="Z20" s="120" t="str">
        <f aca="false">IF($A20="","",$T20-$E$63-$F$63)</f>
        <v/>
      </c>
      <c r="AA20" s="121" t="str">
        <f aca="false">IF($A20="","",2*$G20)</f>
        <v/>
      </c>
      <c r="AB20" s="120" t="str">
        <f aca="false">IF($A20="","",$V20-$E$64-$F$64)</f>
        <v/>
      </c>
      <c r="AC20" s="121" t="str">
        <f aca="false">IF($A20="","",2*$G20)</f>
        <v/>
      </c>
      <c r="AD20" s="120" t="str">
        <f aca="false">IF($A20="","",$F20-$E$65)</f>
        <v/>
      </c>
      <c r="AE20" s="121" t="str">
        <f aca="false">IF($A20="","",4*$G20)</f>
        <v/>
      </c>
      <c r="AF20" s="120" t="str">
        <f aca="false">IF($A20="","",$B20-$E$66-$F$66)</f>
        <v/>
      </c>
      <c r="AG20" s="121" t="str">
        <f aca="false">IF($A20="","",4*$G20)</f>
        <v/>
      </c>
      <c r="AH20" s="120" t="str">
        <f aca="false">IF($A20="","",$B20-$E$67-$F$67)</f>
        <v/>
      </c>
      <c r="AI20" s="121" t="str">
        <f aca="false">IF($A20="","",1*$G20)</f>
        <v/>
      </c>
      <c r="AJ20" s="120" t="str">
        <f aca="false">IF($A20="","",$T20)</f>
        <v/>
      </c>
      <c r="AK20" s="121" t="str">
        <f aca="false">IF($A20="","",(IF(OR($B20&gt;3000,$D20&gt;1200),5,4)+IF(OR($B20&gt;3000,$E20&gt;1200),5,4))*$G20)</f>
        <v/>
      </c>
      <c r="AL20" s="120" t="str">
        <f aca="false">IF($A20="","",4*2*$G20)</f>
        <v/>
      </c>
      <c r="AM20" s="121" t="str">
        <f aca="false">IF($A20="","",8*2*$G20)</f>
        <v/>
      </c>
      <c r="AN20" s="116" t="str">
        <f aca="false">IF($A20="","",$BC$1*$G20)</f>
        <v/>
      </c>
      <c r="AO20" s="119" t="str">
        <f aca="false">IF($A20="","",$BC$2*$G20)</f>
        <v/>
      </c>
      <c r="AP20" s="118" t="str">
        <f aca="false">IF($A20="","",$BC$3*$G20)</f>
        <v/>
      </c>
      <c r="AQ20" s="116" t="str">
        <f aca="false">IF($A20="","",1*$G20)</f>
        <v/>
      </c>
      <c r="AR20" s="119" t="str">
        <f aca="false">IF($A20="","",1*$G20)</f>
        <v/>
      </c>
      <c r="AS20" s="118" t="str">
        <f aca="false">IF($A20="","",1*$G20)</f>
        <v/>
      </c>
      <c r="AT20" s="116" t="str">
        <f aca="false">IF($A20="","",1*$G20)</f>
        <v/>
      </c>
      <c r="AU20" s="119" t="str">
        <f aca="false">IF($A20="","",6*$G20)</f>
        <v/>
      </c>
      <c r="AV20" s="118" t="str">
        <f aca="false">IF($A20="","",ROUND((2*($D20+$B20)+2*($E20+$B20))*$G20/1000,1))</f>
        <v/>
      </c>
      <c r="AW20" s="1" t="str">
        <f aca="false">IF($A20="","",ROUND(($C20+2*$B20)*$G20/1000,1))</f>
        <v/>
      </c>
      <c r="AX20" s="1" t="str">
        <f aca="false">IF($A20="","",1*$G20)</f>
        <v/>
      </c>
      <c r="AY20" s="0" t="str">
        <f aca="false">IF($A20="","",$BC$4*$G20)</f>
        <v/>
      </c>
    </row>
    <row r="21" customFormat="false" ht="39.75" hidden="false" customHeight="true" outlineLevel="0" collapsed="false">
      <c r="A21" s="111"/>
      <c r="B21" s="112"/>
      <c r="C21" s="112" t="str">
        <f aca="false">IF($A21="","",$D21+$E21)</f>
        <v/>
      </c>
      <c r="D21" s="112"/>
      <c r="E21" s="112"/>
      <c r="F21" s="113" t="str">
        <f aca="false">IF($A21="","",(($C21-$D21-$E21)/2))</f>
        <v/>
      </c>
      <c r="G21" s="114"/>
      <c r="H21" s="115" t="str">
        <f aca="false">IF($A21="","",$B21)</f>
        <v/>
      </c>
      <c r="I21" s="114" t="str">
        <f aca="false">IF($A21="","",2*$G21)</f>
        <v/>
      </c>
      <c r="J21" s="115" t="str">
        <f aca="false">IF($A21="","",$H21)</f>
        <v/>
      </c>
      <c r="K21" s="114" t="str">
        <f aca="false">IF($A21="","",2*$G21)</f>
        <v/>
      </c>
      <c r="L21" s="115" t="str">
        <f aca="false">IF($A21="","",$C21-$F21-$F21-$E$56-$F$56)</f>
        <v/>
      </c>
      <c r="M21" s="114" t="str">
        <f aca="false">IF($A21="","",1*$G21)</f>
        <v/>
      </c>
      <c r="N21" s="115" t="str">
        <f aca="false">IF($A21="","",$H21)</f>
        <v/>
      </c>
      <c r="O21" s="114" t="str">
        <f aca="false">IF($A21="","",2*$G21)</f>
        <v/>
      </c>
      <c r="P21" s="115" t="str">
        <f aca="false">IF($A21="","",$F21-$E$58)</f>
        <v/>
      </c>
      <c r="Q21" s="114" t="str">
        <f aca="false">IF($A21="","",4*$G21)</f>
        <v/>
      </c>
      <c r="R21" s="115" t="str">
        <f aca="false">IF($A21="","",$B21-$E$59-$F$59)</f>
        <v/>
      </c>
      <c r="S21" s="114" t="str">
        <f aca="false">IF($A21="","",4*$G21)</f>
        <v/>
      </c>
      <c r="T21" s="115" t="str">
        <f aca="false">IF($A21="","",$D21-$E$60-$F$60)</f>
        <v/>
      </c>
      <c r="U21" s="114" t="str">
        <f aca="false">IF($A21="","",2*$G21)</f>
        <v/>
      </c>
      <c r="V21" s="115" t="str">
        <f aca="false">IF($A21="","",$E21-$E$61-$F$61)</f>
        <v/>
      </c>
      <c r="W21" s="114" t="str">
        <f aca="false">IF($A21="","",2*$G21)</f>
        <v/>
      </c>
      <c r="X21" s="115" t="str">
        <f aca="false">IF($A21="","",$R21-$E$62-$F$62)</f>
        <v/>
      </c>
      <c r="Y21" s="114" t="str">
        <f aca="false">IF($A21="","",4*$G21)</f>
        <v/>
      </c>
      <c r="Z21" s="115" t="str">
        <f aca="false">IF($A21="","",$T21-$E$63-$F$63)</f>
        <v/>
      </c>
      <c r="AA21" s="114" t="str">
        <f aca="false">IF($A21="","",2*$G21)</f>
        <v/>
      </c>
      <c r="AB21" s="115" t="str">
        <f aca="false">IF($A21="","",$V21-$E$64-$F$64)</f>
        <v/>
      </c>
      <c r="AC21" s="114" t="str">
        <f aca="false">IF($A21="","",2*$G21)</f>
        <v/>
      </c>
      <c r="AD21" s="115" t="str">
        <f aca="false">IF($A21="","",$F21-$E$65)</f>
        <v/>
      </c>
      <c r="AE21" s="114" t="str">
        <f aca="false">IF($A21="","",4*$G21)</f>
        <v/>
      </c>
      <c r="AF21" s="115" t="str">
        <f aca="false">IF($A21="","",$B21-$E$66-$F$66)</f>
        <v/>
      </c>
      <c r="AG21" s="114" t="str">
        <f aca="false">IF($A21="","",4*$G21)</f>
        <v/>
      </c>
      <c r="AH21" s="115" t="str">
        <f aca="false">IF($A21="","",$B21-$E$67-$F$67)</f>
        <v/>
      </c>
      <c r="AI21" s="114" t="str">
        <f aca="false">IF($A21="","",1*$G21)</f>
        <v/>
      </c>
      <c r="AJ21" s="115" t="str">
        <f aca="false">IF($A21="","",$T21)</f>
        <v/>
      </c>
      <c r="AK21" s="114" t="str">
        <f aca="false">IF($A21="","",(IF(OR($B21&gt;3000,$D21&gt;1200),5,4)+IF(OR($B21&gt;3000,$E21&gt;1200),5,4))*$G21)</f>
        <v/>
      </c>
      <c r="AL21" s="115" t="str">
        <f aca="false">IF($A21="","",4*2*$G21)</f>
        <v/>
      </c>
      <c r="AM21" s="114" t="str">
        <f aca="false">IF($A21="","",8*2*$G21)</f>
        <v/>
      </c>
      <c r="AN21" s="116" t="str">
        <f aca="false">IF($A21="","",$BC$1*$G21)</f>
        <v/>
      </c>
      <c r="AO21" s="119" t="str">
        <f aca="false">IF($A21="","",$BC$2*$G21)</f>
        <v/>
      </c>
      <c r="AP21" s="118" t="str">
        <f aca="false">IF($A21="","",$BC$3*$G21)</f>
        <v/>
      </c>
      <c r="AQ21" s="116" t="str">
        <f aca="false">IF($A21="","",1*$G21)</f>
        <v/>
      </c>
      <c r="AR21" s="119" t="str">
        <f aca="false">IF($A21="","",1*$G21)</f>
        <v/>
      </c>
      <c r="AS21" s="118" t="str">
        <f aca="false">IF($A21="","",1*$G21)</f>
        <v/>
      </c>
      <c r="AT21" s="116" t="str">
        <f aca="false">IF($A21="","",1*$G21)</f>
        <v/>
      </c>
      <c r="AU21" s="119" t="str">
        <f aca="false">IF($A21="","",6*$G21)</f>
        <v/>
      </c>
      <c r="AV21" s="118" t="str">
        <f aca="false">IF($A21="","",ROUND((2*($D21+$B21)+2*($E21+$B21))*$G21/1000,1))</f>
        <v/>
      </c>
      <c r="AW21" s="1" t="str">
        <f aca="false">IF($A21="","",ROUND(($C21+2*$B21)*$G21/1000,1))</f>
        <v/>
      </c>
      <c r="AX21" s="1" t="str">
        <f aca="false">IF($A21="","",1*$G21)</f>
        <v/>
      </c>
      <c r="AY21" s="0" t="str">
        <f aca="false">IF($A21="","",$BC$4*$G21)</f>
        <v/>
      </c>
    </row>
    <row r="22" customFormat="false" ht="39.75" hidden="false" customHeight="true" outlineLevel="0" collapsed="false">
      <c r="A22" s="111"/>
      <c r="B22" s="112"/>
      <c r="C22" s="112" t="str">
        <f aca="false">IF($A22="","",$D22+$E22)</f>
        <v/>
      </c>
      <c r="D22" s="112"/>
      <c r="E22" s="112"/>
      <c r="F22" s="113" t="str">
        <f aca="false">IF($A22="","",(($C22-$D22-$E22)/2))</f>
        <v/>
      </c>
      <c r="G22" s="114"/>
      <c r="H22" s="120" t="str">
        <f aca="false">IF($A22="","",$B22)</f>
        <v/>
      </c>
      <c r="I22" s="121" t="str">
        <f aca="false">IF($A22="","",2*$G22)</f>
        <v/>
      </c>
      <c r="J22" s="120" t="str">
        <f aca="false">IF($A22="","",$H22)</f>
        <v/>
      </c>
      <c r="K22" s="121" t="str">
        <f aca="false">IF($A22="","",2*$G22)</f>
        <v/>
      </c>
      <c r="L22" s="120" t="str">
        <f aca="false">IF($A22="","",$C22-$F22-$F22-$E$56-$F$56)</f>
        <v/>
      </c>
      <c r="M22" s="121" t="str">
        <f aca="false">IF($A22="","",1*$G22)</f>
        <v/>
      </c>
      <c r="N22" s="120" t="str">
        <f aca="false">IF($A22="","",$H22)</f>
        <v/>
      </c>
      <c r="O22" s="121" t="str">
        <f aca="false">IF($A22="","",2*$G22)</f>
        <v/>
      </c>
      <c r="P22" s="120" t="str">
        <f aca="false">IF($A22="","",$F22-$E$58)</f>
        <v/>
      </c>
      <c r="Q22" s="121" t="str">
        <f aca="false">IF($A22="","",4*$G22)</f>
        <v/>
      </c>
      <c r="R22" s="120" t="str">
        <f aca="false">IF($A22="","",$B22-$E$59-$F$59)</f>
        <v/>
      </c>
      <c r="S22" s="121" t="str">
        <f aca="false">IF($A22="","",4*$G22)</f>
        <v/>
      </c>
      <c r="T22" s="120" t="str">
        <f aca="false">IF($A22="","",$D22-$E$60-$F$60)</f>
        <v/>
      </c>
      <c r="U22" s="121" t="str">
        <f aca="false">IF($A22="","",2*$G22)</f>
        <v/>
      </c>
      <c r="V22" s="120" t="str">
        <f aca="false">IF($A22="","",$E22-$E$61-$F$61)</f>
        <v/>
      </c>
      <c r="W22" s="121" t="str">
        <f aca="false">IF($A22="","",2*$G22)</f>
        <v/>
      </c>
      <c r="X22" s="120" t="str">
        <f aca="false">IF($A22="","",$R22-$E$62-$F$62)</f>
        <v/>
      </c>
      <c r="Y22" s="121" t="str">
        <f aca="false">IF($A22="","",4*$G22)</f>
        <v/>
      </c>
      <c r="Z22" s="120" t="str">
        <f aca="false">IF($A22="","",$T22-$E$63-$F$63)</f>
        <v/>
      </c>
      <c r="AA22" s="121" t="str">
        <f aca="false">IF($A22="","",2*$G22)</f>
        <v/>
      </c>
      <c r="AB22" s="120" t="str">
        <f aca="false">IF($A22="","",$V22-$E$64-$F$64)</f>
        <v/>
      </c>
      <c r="AC22" s="121" t="str">
        <f aca="false">IF($A22="","",2*$G22)</f>
        <v/>
      </c>
      <c r="AD22" s="120" t="str">
        <f aca="false">IF($A22="","",$F22-$E$65)</f>
        <v/>
      </c>
      <c r="AE22" s="121" t="str">
        <f aca="false">IF($A22="","",4*$G22)</f>
        <v/>
      </c>
      <c r="AF22" s="120" t="str">
        <f aca="false">IF($A22="","",$B22-$E$66-$F$66)</f>
        <v/>
      </c>
      <c r="AG22" s="121" t="str">
        <f aca="false">IF($A22="","",4*$G22)</f>
        <v/>
      </c>
      <c r="AH22" s="120" t="str">
        <f aca="false">IF($A22="","",$B22-$E$67-$F$67)</f>
        <v/>
      </c>
      <c r="AI22" s="121" t="str">
        <f aca="false">IF($A22="","",1*$G22)</f>
        <v/>
      </c>
      <c r="AJ22" s="120" t="str">
        <f aca="false">IF($A22="","",$T22)</f>
        <v/>
      </c>
      <c r="AK22" s="121" t="str">
        <f aca="false">IF($A22="","",(IF(OR($B22&gt;3000,$D22&gt;1200),5,4)+IF(OR($B22&gt;3000,$E22&gt;1200),5,4))*$G22)</f>
        <v/>
      </c>
      <c r="AL22" s="120" t="str">
        <f aca="false">IF($A22="","",4*2*$G22)</f>
        <v/>
      </c>
      <c r="AM22" s="121" t="str">
        <f aca="false">IF($A22="","",8*2*$G22)</f>
        <v/>
      </c>
      <c r="AN22" s="116" t="str">
        <f aca="false">IF($A22="","",$BC$1*$G22)</f>
        <v/>
      </c>
      <c r="AO22" s="119" t="str">
        <f aca="false">IF($A22="","",$BC$2*$G22)</f>
        <v/>
      </c>
      <c r="AP22" s="118" t="str">
        <f aca="false">IF($A22="","",$BC$3*$G22)</f>
        <v/>
      </c>
      <c r="AQ22" s="116" t="str">
        <f aca="false">IF($A22="","",1*$G22)</f>
        <v/>
      </c>
      <c r="AR22" s="119" t="str">
        <f aca="false">IF($A22="","",1*$G22)</f>
        <v/>
      </c>
      <c r="AS22" s="118" t="str">
        <f aca="false">IF($A22="","",1*$G22)</f>
        <v/>
      </c>
      <c r="AT22" s="116" t="str">
        <f aca="false">IF($A22="","",1*$G22)</f>
        <v/>
      </c>
      <c r="AU22" s="119" t="str">
        <f aca="false">IF($A22="","",6*$G22)</f>
        <v/>
      </c>
      <c r="AV22" s="118" t="str">
        <f aca="false">IF($A22="","",ROUND((2*($D22+$B22)+2*($E22+$B22))*$G22/1000,1))</f>
        <v/>
      </c>
      <c r="AW22" s="1" t="str">
        <f aca="false">IF($A22="","",ROUND(($C22+2*$B22)*$G22/1000,1))</f>
        <v/>
      </c>
      <c r="AX22" s="1" t="str">
        <f aca="false">IF($A22="","",1*$G22)</f>
        <v/>
      </c>
      <c r="AY22" s="0" t="str">
        <f aca="false">IF($A22="","",$BC$4*$G22)</f>
        <v/>
      </c>
    </row>
    <row r="23" customFormat="false" ht="39.75" hidden="false" customHeight="true" outlineLevel="0" collapsed="false">
      <c r="A23" s="111"/>
      <c r="B23" s="112"/>
      <c r="C23" s="112" t="str">
        <f aca="false">IF($A23="","",$D23+$E23)</f>
        <v/>
      </c>
      <c r="D23" s="112"/>
      <c r="E23" s="112"/>
      <c r="F23" s="113" t="str">
        <f aca="false">IF($A23="","",(($C23-$D23-$E23)/2))</f>
        <v/>
      </c>
      <c r="G23" s="114"/>
      <c r="H23" s="115" t="str">
        <f aca="false">IF($A23="","",$B23)</f>
        <v/>
      </c>
      <c r="I23" s="114" t="str">
        <f aca="false">IF($A23="","",2*$G23)</f>
        <v/>
      </c>
      <c r="J23" s="115" t="str">
        <f aca="false">IF($A23="","",$H23)</f>
        <v/>
      </c>
      <c r="K23" s="114" t="str">
        <f aca="false">IF($A23="","",2*$G23)</f>
        <v/>
      </c>
      <c r="L23" s="115" t="str">
        <f aca="false">IF($A23="","",$C23-$F23-$F23-$E$56-$F$56)</f>
        <v/>
      </c>
      <c r="M23" s="114" t="str">
        <f aca="false">IF($A23="","",1*$G23)</f>
        <v/>
      </c>
      <c r="N23" s="115" t="str">
        <f aca="false">IF($A23="","",$H23)</f>
        <v/>
      </c>
      <c r="O23" s="114" t="str">
        <f aca="false">IF($A23="","",2*$G23)</f>
        <v/>
      </c>
      <c r="P23" s="115" t="str">
        <f aca="false">IF($A23="","",$F23-$E$58)</f>
        <v/>
      </c>
      <c r="Q23" s="114" t="str">
        <f aca="false">IF($A23="","",4*$G23)</f>
        <v/>
      </c>
      <c r="R23" s="115" t="str">
        <f aca="false">IF($A23="","",$B23-$E$59-$F$59)</f>
        <v/>
      </c>
      <c r="S23" s="114" t="str">
        <f aca="false">IF($A23="","",4*$G23)</f>
        <v/>
      </c>
      <c r="T23" s="115" t="str">
        <f aca="false">IF($A23="","",$D23-$E$60-$F$60)</f>
        <v/>
      </c>
      <c r="U23" s="114" t="str">
        <f aca="false">IF($A23="","",2*$G23)</f>
        <v/>
      </c>
      <c r="V23" s="115" t="str">
        <f aca="false">IF($A23="","",$E23-$E$61-$F$61)</f>
        <v/>
      </c>
      <c r="W23" s="114" t="str">
        <f aca="false">IF($A23="","",2*$G23)</f>
        <v/>
      </c>
      <c r="X23" s="115" t="str">
        <f aca="false">IF($A23="","",$R23-$E$62-$F$62)</f>
        <v/>
      </c>
      <c r="Y23" s="114" t="str">
        <f aca="false">IF($A23="","",4*$G23)</f>
        <v/>
      </c>
      <c r="Z23" s="115" t="str">
        <f aca="false">IF($A23="","",$T23-$E$63-$F$63)</f>
        <v/>
      </c>
      <c r="AA23" s="114" t="str">
        <f aca="false">IF($A23="","",2*$G23)</f>
        <v/>
      </c>
      <c r="AB23" s="115" t="str">
        <f aca="false">IF($A23="","",$V23-$E$64-$F$64)</f>
        <v/>
      </c>
      <c r="AC23" s="114" t="str">
        <f aca="false">IF($A23="","",2*$G23)</f>
        <v/>
      </c>
      <c r="AD23" s="115" t="str">
        <f aca="false">IF($A23="","",$F23-$E$65)</f>
        <v/>
      </c>
      <c r="AE23" s="114" t="str">
        <f aca="false">IF($A23="","",4*$G23)</f>
        <v/>
      </c>
      <c r="AF23" s="115" t="str">
        <f aca="false">IF($A23="","",$B23-$E$66-$F$66)</f>
        <v/>
      </c>
      <c r="AG23" s="114" t="str">
        <f aca="false">IF($A23="","",4*$G23)</f>
        <v/>
      </c>
      <c r="AH23" s="115" t="str">
        <f aca="false">IF($A23="","",$B23-$E$67-$F$67)</f>
        <v/>
      </c>
      <c r="AI23" s="114" t="str">
        <f aca="false">IF($A23="","",1*$G23)</f>
        <v/>
      </c>
      <c r="AJ23" s="115" t="str">
        <f aca="false">IF($A23="","",$T23)</f>
        <v/>
      </c>
      <c r="AK23" s="114" t="str">
        <f aca="false">IF($A23="","",(IF(OR($B23&gt;3000,$D23&gt;1200),5,4)+IF(OR($B23&gt;3000,$E23&gt;1200),5,4))*$G23)</f>
        <v/>
      </c>
      <c r="AL23" s="115" t="str">
        <f aca="false">IF($A23="","",4*2*$G23)</f>
        <v/>
      </c>
      <c r="AM23" s="114" t="str">
        <f aca="false">IF($A23="","",8*2*$G23)</f>
        <v/>
      </c>
      <c r="AN23" s="116" t="str">
        <f aca="false">IF($A23="","",$BC$1*$G23)</f>
        <v/>
      </c>
      <c r="AO23" s="119" t="str">
        <f aca="false">IF($A23="","",$BC$2*$G23)</f>
        <v/>
      </c>
      <c r="AP23" s="118" t="str">
        <f aca="false">IF($A23="","",$BC$3*$G23)</f>
        <v/>
      </c>
      <c r="AQ23" s="116" t="str">
        <f aca="false">IF($A23="","",1*$G23)</f>
        <v/>
      </c>
      <c r="AR23" s="119" t="str">
        <f aca="false">IF($A23="","",1*$G23)</f>
        <v/>
      </c>
      <c r="AS23" s="118" t="str">
        <f aca="false">IF($A23="","",1*$G23)</f>
        <v/>
      </c>
      <c r="AT23" s="116" t="str">
        <f aca="false">IF($A23="","",1*$G23)</f>
        <v/>
      </c>
      <c r="AU23" s="119" t="str">
        <f aca="false">IF($A23="","",6*$G23)</f>
        <v/>
      </c>
      <c r="AV23" s="118" t="str">
        <f aca="false">IF($A23="","",ROUND((2*($D23+$B23)+2*($E23+$B23))*$G23/1000,1))</f>
        <v/>
      </c>
      <c r="AW23" s="1" t="str">
        <f aca="false">IF($A23="","",ROUND(($C23+2*$B23)*$G23/1000,1))</f>
        <v/>
      </c>
      <c r="AX23" s="1" t="str">
        <f aca="false">IF($A23="","",1*$G23)</f>
        <v/>
      </c>
      <c r="AY23" s="0" t="str">
        <f aca="false">IF($A23="","",$BC$4*$G23)</f>
        <v/>
      </c>
    </row>
    <row r="24" customFormat="false" ht="39.75" hidden="false" customHeight="true" outlineLevel="0" collapsed="false">
      <c r="A24" s="111"/>
      <c r="B24" s="112"/>
      <c r="C24" s="112" t="str">
        <f aca="false">IF($A24="","",$D24+$E24)</f>
        <v/>
      </c>
      <c r="D24" s="112"/>
      <c r="E24" s="112"/>
      <c r="F24" s="113" t="str">
        <f aca="false">IF($A24="","",(($C24-$D24-$E24)/2))</f>
        <v/>
      </c>
      <c r="G24" s="114"/>
      <c r="H24" s="120" t="str">
        <f aca="false">IF($A24="","",$B24)</f>
        <v/>
      </c>
      <c r="I24" s="121" t="str">
        <f aca="false">IF($A24="","",2*$G24)</f>
        <v/>
      </c>
      <c r="J24" s="120" t="str">
        <f aca="false">IF($A24="","",$H24)</f>
        <v/>
      </c>
      <c r="K24" s="121" t="str">
        <f aca="false">IF($A24="","",2*$G24)</f>
        <v/>
      </c>
      <c r="L24" s="120" t="str">
        <f aca="false">IF($A24="","",$C24-$F24-$F24-$E$56-$F$56)</f>
        <v/>
      </c>
      <c r="M24" s="121" t="str">
        <f aca="false">IF($A24="","",1*$G24)</f>
        <v/>
      </c>
      <c r="N24" s="120" t="str">
        <f aca="false">IF($A24="","",$H24)</f>
        <v/>
      </c>
      <c r="O24" s="121" t="str">
        <f aca="false">IF($A24="","",2*$G24)</f>
        <v/>
      </c>
      <c r="P24" s="120" t="str">
        <f aca="false">IF($A24="","",$F24-$E$58)</f>
        <v/>
      </c>
      <c r="Q24" s="121" t="str">
        <f aca="false">IF($A24="","",4*$G24)</f>
        <v/>
      </c>
      <c r="R24" s="120" t="str">
        <f aca="false">IF($A24="","",$B24-$E$59-$F$59)</f>
        <v/>
      </c>
      <c r="S24" s="121" t="str">
        <f aca="false">IF($A24="","",4*$G24)</f>
        <v/>
      </c>
      <c r="T24" s="120" t="str">
        <f aca="false">IF($A24="","",$D24-$E$60-$F$60)</f>
        <v/>
      </c>
      <c r="U24" s="121" t="str">
        <f aca="false">IF($A24="","",2*$G24)</f>
        <v/>
      </c>
      <c r="V24" s="120" t="str">
        <f aca="false">IF($A24="","",$E24-$E$61-$F$61)</f>
        <v/>
      </c>
      <c r="W24" s="121" t="str">
        <f aca="false">IF($A24="","",2*$G24)</f>
        <v/>
      </c>
      <c r="X24" s="120" t="str">
        <f aca="false">IF($A24="","",$R24-$E$62-$F$62)</f>
        <v/>
      </c>
      <c r="Y24" s="121" t="str">
        <f aca="false">IF($A24="","",4*$G24)</f>
        <v/>
      </c>
      <c r="Z24" s="120" t="str">
        <f aca="false">IF($A24="","",$T24-$E$63-$F$63)</f>
        <v/>
      </c>
      <c r="AA24" s="121" t="str">
        <f aca="false">IF($A24="","",2*$G24)</f>
        <v/>
      </c>
      <c r="AB24" s="120" t="str">
        <f aca="false">IF($A24="","",$V24-$E$64-$F$64)</f>
        <v/>
      </c>
      <c r="AC24" s="121" t="str">
        <f aca="false">IF($A24="","",2*$G24)</f>
        <v/>
      </c>
      <c r="AD24" s="120" t="str">
        <f aca="false">IF($A24="","",$F24-$E$65)</f>
        <v/>
      </c>
      <c r="AE24" s="121" t="str">
        <f aca="false">IF($A24="","",4*$G24)</f>
        <v/>
      </c>
      <c r="AF24" s="120" t="str">
        <f aca="false">IF($A24="","",$B24-$E$66-$F$66)</f>
        <v/>
      </c>
      <c r="AG24" s="121" t="str">
        <f aca="false">IF($A24="","",4*$G24)</f>
        <v/>
      </c>
      <c r="AH24" s="120" t="str">
        <f aca="false">IF($A24="","",$B24-$E$67-$F$67)</f>
        <v/>
      </c>
      <c r="AI24" s="121" t="str">
        <f aca="false">IF($A24="","",1*$G24)</f>
        <v/>
      </c>
      <c r="AJ24" s="120" t="str">
        <f aca="false">IF($A24="","",$T24)</f>
        <v/>
      </c>
      <c r="AK24" s="121" t="str">
        <f aca="false">IF($A24="","",(IF(OR($B24&gt;3000,$D24&gt;1200),5,4)+IF(OR($B24&gt;3000,$E24&gt;1200),5,4))*$G24)</f>
        <v/>
      </c>
      <c r="AL24" s="120" t="str">
        <f aca="false">IF($A24="","",4*2*$G24)</f>
        <v/>
      </c>
      <c r="AM24" s="121" t="str">
        <f aca="false">IF($A24="","",8*2*$G24)</f>
        <v/>
      </c>
      <c r="AN24" s="116" t="str">
        <f aca="false">IF($A24="","",$BC$1*$G24)</f>
        <v/>
      </c>
      <c r="AO24" s="119" t="str">
        <f aca="false">IF($A24="","",$BC$2*$G24)</f>
        <v/>
      </c>
      <c r="AP24" s="118" t="str">
        <f aca="false">IF($A24="","",$BC$3*$G24)</f>
        <v/>
      </c>
      <c r="AQ24" s="116" t="str">
        <f aca="false">IF($A24="","",1*$G24)</f>
        <v/>
      </c>
      <c r="AR24" s="119" t="str">
        <f aca="false">IF($A24="","",1*$G24)</f>
        <v/>
      </c>
      <c r="AS24" s="118" t="str">
        <f aca="false">IF($A24="","",1*$G24)</f>
        <v/>
      </c>
      <c r="AT24" s="116" t="str">
        <f aca="false">IF($A24="","",1*$G24)</f>
        <v/>
      </c>
      <c r="AU24" s="119" t="str">
        <f aca="false">IF($A24="","",6*$G24)</f>
        <v/>
      </c>
      <c r="AV24" s="118" t="str">
        <f aca="false">IF($A24="","",ROUND((2*($D24+$B24)+2*($E24+$B24))*$G24/1000,1))</f>
        <v/>
      </c>
      <c r="AW24" s="1" t="str">
        <f aca="false">IF($A24="","",ROUND(($C24+2*$B24)*$G24/1000,1))</f>
        <v/>
      </c>
      <c r="AX24" s="1" t="str">
        <f aca="false">IF($A24="","",1*$G24)</f>
        <v/>
      </c>
      <c r="AY24" s="0" t="str">
        <f aca="false">IF($A24="","",$BC$4*$G24)</f>
        <v/>
      </c>
    </row>
    <row r="25" customFormat="false" ht="39.75" hidden="false" customHeight="true" outlineLevel="0" collapsed="false">
      <c r="A25" s="111"/>
      <c r="B25" s="112"/>
      <c r="C25" s="112" t="str">
        <f aca="false">IF($A25="","",$D25+$E25)</f>
        <v/>
      </c>
      <c r="D25" s="112"/>
      <c r="E25" s="112"/>
      <c r="F25" s="113" t="str">
        <f aca="false">IF($A25="","",(($C25-$D25-$E25)/2))</f>
        <v/>
      </c>
      <c r="G25" s="114"/>
      <c r="H25" s="115" t="str">
        <f aca="false">IF($A25="","",$B25)</f>
        <v/>
      </c>
      <c r="I25" s="114" t="str">
        <f aca="false">IF($A25="","",2*$G25)</f>
        <v/>
      </c>
      <c r="J25" s="115" t="str">
        <f aca="false">IF($A25="","",$H25)</f>
        <v/>
      </c>
      <c r="K25" s="114" t="str">
        <f aca="false">IF($A25="","",2*$G25)</f>
        <v/>
      </c>
      <c r="L25" s="115" t="str">
        <f aca="false">IF($A25="","",$C25-$F25-$F25-$E$56-$F$56)</f>
        <v/>
      </c>
      <c r="M25" s="114" t="str">
        <f aca="false">IF($A25="","",1*$G25)</f>
        <v/>
      </c>
      <c r="N25" s="115" t="str">
        <f aca="false">IF($A25="","",$H25)</f>
        <v/>
      </c>
      <c r="O25" s="114" t="str">
        <f aca="false">IF($A25="","",2*$G25)</f>
        <v/>
      </c>
      <c r="P25" s="115" t="str">
        <f aca="false">IF($A25="","",$F25-$E$58)</f>
        <v/>
      </c>
      <c r="Q25" s="114" t="str">
        <f aca="false">IF($A25="","",4*$G25)</f>
        <v/>
      </c>
      <c r="R25" s="115" t="str">
        <f aca="false">IF($A25="","",$B25-$E$59-$F$59)</f>
        <v/>
      </c>
      <c r="S25" s="114" t="str">
        <f aca="false">IF($A25="","",4*$G25)</f>
        <v/>
      </c>
      <c r="T25" s="115" t="str">
        <f aca="false">IF($A25="","",$D25-$E$60-$F$60)</f>
        <v/>
      </c>
      <c r="U25" s="114" t="str">
        <f aca="false">IF($A25="","",2*$G25)</f>
        <v/>
      </c>
      <c r="V25" s="115" t="str">
        <f aca="false">IF($A25="","",$E25-$E$61-$F$61)</f>
        <v/>
      </c>
      <c r="W25" s="114" t="str">
        <f aca="false">IF($A25="","",2*$G25)</f>
        <v/>
      </c>
      <c r="X25" s="115" t="str">
        <f aca="false">IF($A25="","",$R25-$E$62-$F$62)</f>
        <v/>
      </c>
      <c r="Y25" s="114" t="str">
        <f aca="false">IF($A25="","",4*$G25)</f>
        <v/>
      </c>
      <c r="Z25" s="115" t="str">
        <f aca="false">IF($A25="","",$T25-$E$63-$F$63)</f>
        <v/>
      </c>
      <c r="AA25" s="114" t="str">
        <f aca="false">IF($A25="","",2*$G25)</f>
        <v/>
      </c>
      <c r="AB25" s="115" t="str">
        <f aca="false">IF($A25="","",$V25-$E$64-$F$64)</f>
        <v/>
      </c>
      <c r="AC25" s="114" t="str">
        <f aca="false">IF($A25="","",2*$G25)</f>
        <v/>
      </c>
      <c r="AD25" s="115" t="str">
        <f aca="false">IF($A25="","",$F25-$E$65)</f>
        <v/>
      </c>
      <c r="AE25" s="114" t="str">
        <f aca="false">IF($A25="","",4*$G25)</f>
        <v/>
      </c>
      <c r="AF25" s="115" t="str">
        <f aca="false">IF($A25="","",$B25-$E$66-$F$66)</f>
        <v/>
      </c>
      <c r="AG25" s="114" t="str">
        <f aca="false">IF($A25="","",4*$G25)</f>
        <v/>
      </c>
      <c r="AH25" s="115" t="str">
        <f aca="false">IF($A25="","",$B25-$E$67-$F$67)</f>
        <v/>
      </c>
      <c r="AI25" s="114" t="str">
        <f aca="false">IF($A25="","",1*$G25)</f>
        <v/>
      </c>
      <c r="AJ25" s="115" t="str">
        <f aca="false">IF($A25="","",$T25)</f>
        <v/>
      </c>
      <c r="AK25" s="114" t="str">
        <f aca="false">IF($A25="","",(IF(OR($B25&gt;3000,$D25&gt;1200),5,4)+IF(OR($B25&gt;3000,$E25&gt;1200),5,4))*$G25)</f>
        <v/>
      </c>
      <c r="AL25" s="115" t="str">
        <f aca="false">IF($A25="","",4*2*$G25)</f>
        <v/>
      </c>
      <c r="AM25" s="114" t="str">
        <f aca="false">IF($A25="","",8*2*$G25)</f>
        <v/>
      </c>
      <c r="AN25" s="116" t="str">
        <f aca="false">IF($A25="","",$BC$1*$G25)</f>
        <v/>
      </c>
      <c r="AO25" s="119" t="str">
        <f aca="false">IF($A25="","",$BC$2*$G25)</f>
        <v/>
      </c>
      <c r="AP25" s="118" t="str">
        <f aca="false">IF($A25="","",$BC$3*$G25)</f>
        <v/>
      </c>
      <c r="AQ25" s="116" t="str">
        <f aca="false">IF($A25="","",1*$G25)</f>
        <v/>
      </c>
      <c r="AR25" s="119" t="str">
        <f aca="false">IF($A25="","",1*$G25)</f>
        <v/>
      </c>
      <c r="AS25" s="118" t="str">
        <f aca="false">IF($A25="","",1*$G25)</f>
        <v/>
      </c>
      <c r="AT25" s="116" t="str">
        <f aca="false">IF($A25="","",1*$G25)</f>
        <v/>
      </c>
      <c r="AU25" s="119" t="str">
        <f aca="false">IF($A25="","",6*$G25)</f>
        <v/>
      </c>
      <c r="AV25" s="118" t="str">
        <f aca="false">IF($A25="","",ROUND((2*($D25+$B25)+2*($E25+$B25))*$G25/1000,1))</f>
        <v/>
      </c>
      <c r="AW25" s="1" t="str">
        <f aca="false">IF($A25="","",ROUND(($C25+2*$B25)*$G25/1000,1))</f>
        <v/>
      </c>
      <c r="AX25" s="1" t="str">
        <f aca="false">IF($A25="","",1*$G25)</f>
        <v/>
      </c>
      <c r="AY25" s="0" t="str">
        <f aca="false">IF($A25="","",$BC$4*$G25)</f>
        <v/>
      </c>
    </row>
    <row r="26" customFormat="false" ht="39.75" hidden="false" customHeight="true" outlineLevel="0" collapsed="false">
      <c r="A26" s="111"/>
      <c r="B26" s="112"/>
      <c r="C26" s="112" t="str">
        <f aca="false">IF($A26="","",$D26+$E26)</f>
        <v/>
      </c>
      <c r="D26" s="112"/>
      <c r="E26" s="112"/>
      <c r="F26" s="113" t="str">
        <f aca="false">IF($A26="","",(($C26-$D26-$E26)/2))</f>
        <v/>
      </c>
      <c r="G26" s="114"/>
      <c r="H26" s="120" t="str">
        <f aca="false">IF($A26="","",$B26)</f>
        <v/>
      </c>
      <c r="I26" s="121" t="str">
        <f aca="false">IF($A26="","",2*$G26)</f>
        <v/>
      </c>
      <c r="J26" s="120" t="str">
        <f aca="false">IF($A26="","",$H26)</f>
        <v/>
      </c>
      <c r="K26" s="121" t="str">
        <f aca="false">IF($A26="","",2*$G26)</f>
        <v/>
      </c>
      <c r="L26" s="120" t="str">
        <f aca="false">IF($A26="","",$C26-$F26-$F26-$E$56-$F$56)</f>
        <v/>
      </c>
      <c r="M26" s="121" t="str">
        <f aca="false">IF($A26="","",1*$G26)</f>
        <v/>
      </c>
      <c r="N26" s="120" t="str">
        <f aca="false">IF($A26="","",$H26)</f>
        <v/>
      </c>
      <c r="O26" s="121" t="str">
        <f aca="false">IF($A26="","",2*$G26)</f>
        <v/>
      </c>
      <c r="P26" s="120" t="str">
        <f aca="false">IF($A26="","",$F26-$E$58)</f>
        <v/>
      </c>
      <c r="Q26" s="121" t="str">
        <f aca="false">IF($A26="","",4*$G26)</f>
        <v/>
      </c>
      <c r="R26" s="120" t="str">
        <f aca="false">IF($A26="","",$B26-$E$59-$F$59)</f>
        <v/>
      </c>
      <c r="S26" s="121" t="str">
        <f aca="false">IF($A26="","",4*$G26)</f>
        <v/>
      </c>
      <c r="T26" s="120" t="str">
        <f aca="false">IF($A26="","",$D26-$E$60-$F$60)</f>
        <v/>
      </c>
      <c r="U26" s="121" t="str">
        <f aca="false">IF($A26="","",2*$G26)</f>
        <v/>
      </c>
      <c r="V26" s="120" t="str">
        <f aca="false">IF($A26="","",$E26-$E$61-$F$61)</f>
        <v/>
      </c>
      <c r="W26" s="121" t="str">
        <f aca="false">IF($A26="","",2*$G26)</f>
        <v/>
      </c>
      <c r="X26" s="120" t="str">
        <f aca="false">IF($A26="","",$R26-$E$62-$F$62)</f>
        <v/>
      </c>
      <c r="Y26" s="121" t="str">
        <f aca="false">IF($A26="","",4*$G26)</f>
        <v/>
      </c>
      <c r="Z26" s="120" t="str">
        <f aca="false">IF($A26="","",$T26-$E$63-$F$63)</f>
        <v/>
      </c>
      <c r="AA26" s="121" t="str">
        <f aca="false">IF($A26="","",2*$G26)</f>
        <v/>
      </c>
      <c r="AB26" s="120" t="str">
        <f aca="false">IF($A26="","",$V26-$E$64-$F$64)</f>
        <v/>
      </c>
      <c r="AC26" s="121" t="str">
        <f aca="false">IF($A26="","",2*$G26)</f>
        <v/>
      </c>
      <c r="AD26" s="120" t="str">
        <f aca="false">IF($A26="","",$F26-$E$65)</f>
        <v/>
      </c>
      <c r="AE26" s="121" t="str">
        <f aca="false">IF($A26="","",4*$G26)</f>
        <v/>
      </c>
      <c r="AF26" s="120" t="str">
        <f aca="false">IF($A26="","",$B26-$E$66-$F$66)</f>
        <v/>
      </c>
      <c r="AG26" s="121" t="str">
        <f aca="false">IF($A26="","",4*$G26)</f>
        <v/>
      </c>
      <c r="AH26" s="120" t="str">
        <f aca="false">IF($A26="","",$B26-$E$67-$F$67)</f>
        <v/>
      </c>
      <c r="AI26" s="121" t="str">
        <f aca="false">IF($A26="","",1*$G26)</f>
        <v/>
      </c>
      <c r="AJ26" s="120" t="str">
        <f aca="false">IF($A26="","",$T26)</f>
        <v/>
      </c>
      <c r="AK26" s="121" t="str">
        <f aca="false">IF($A26="","",(IF(OR($B26&gt;3000,$D26&gt;1200),5,4)+IF(OR($B26&gt;3000,$E26&gt;1200),5,4))*$G26)</f>
        <v/>
      </c>
      <c r="AL26" s="120" t="str">
        <f aca="false">IF($A26="","",4*2*$G26)</f>
        <v/>
      </c>
      <c r="AM26" s="121" t="str">
        <f aca="false">IF($A26="","",8*2*$G26)</f>
        <v/>
      </c>
      <c r="AN26" s="116" t="str">
        <f aca="false">IF($A26="","",$BC$1*$G26)</f>
        <v/>
      </c>
      <c r="AO26" s="119" t="str">
        <f aca="false">IF($A26="","",$BC$2*$G26)</f>
        <v/>
      </c>
      <c r="AP26" s="118" t="str">
        <f aca="false">IF($A26="","",$BC$3*$G26)</f>
        <v/>
      </c>
      <c r="AQ26" s="116" t="str">
        <f aca="false">IF($A26="","",1*$G26)</f>
        <v/>
      </c>
      <c r="AR26" s="119" t="str">
        <f aca="false">IF($A26="","",1*$G26)</f>
        <v/>
      </c>
      <c r="AS26" s="118" t="str">
        <f aca="false">IF($A26="","",1*$G26)</f>
        <v/>
      </c>
      <c r="AT26" s="116" t="str">
        <f aca="false">IF($A26="","",1*$G26)</f>
        <v/>
      </c>
      <c r="AU26" s="119" t="str">
        <f aca="false">IF($A26="","",6*$G26)</f>
        <v/>
      </c>
      <c r="AV26" s="118" t="str">
        <f aca="false">IF($A26="","",ROUND((2*($D26+$B26)+2*($E26+$B26))*$G26/1000,1))</f>
        <v/>
      </c>
      <c r="AW26" s="1" t="str">
        <f aca="false">IF($A26="","",ROUND(($C26+2*$B26)*$G26/1000,1))</f>
        <v/>
      </c>
      <c r="AX26" s="1" t="str">
        <f aca="false">IF($A26="","",1*$G26)</f>
        <v/>
      </c>
      <c r="AY26" s="0" t="str">
        <f aca="false">IF($A26="","",$BC$4*$G26)</f>
        <v/>
      </c>
    </row>
    <row r="27" customFormat="false" ht="39.75" hidden="false" customHeight="true" outlineLevel="0" collapsed="false">
      <c r="A27" s="111"/>
      <c r="B27" s="112"/>
      <c r="C27" s="112" t="str">
        <f aca="false">IF($A27="","",$D27+$E27)</f>
        <v/>
      </c>
      <c r="D27" s="112"/>
      <c r="E27" s="112"/>
      <c r="F27" s="113" t="str">
        <f aca="false">IF($A27="","",(($C27-$D27-$E27)/2))</f>
        <v/>
      </c>
      <c r="G27" s="114"/>
      <c r="H27" s="115" t="str">
        <f aca="false">IF($A27="","",$B27)</f>
        <v/>
      </c>
      <c r="I27" s="114" t="str">
        <f aca="false">IF($A27="","",2*$G27)</f>
        <v/>
      </c>
      <c r="J27" s="115" t="str">
        <f aca="false">IF($A27="","",$H27)</f>
        <v/>
      </c>
      <c r="K27" s="114" t="str">
        <f aca="false">IF($A27="","",2*$G27)</f>
        <v/>
      </c>
      <c r="L27" s="115" t="str">
        <f aca="false">IF($A27="","",$C27-$F27-$F27-$E$56-$F$56)</f>
        <v/>
      </c>
      <c r="M27" s="114" t="str">
        <f aca="false">IF($A27="","",1*$G27)</f>
        <v/>
      </c>
      <c r="N27" s="115" t="str">
        <f aca="false">IF($A27="","",$H27)</f>
        <v/>
      </c>
      <c r="O27" s="114" t="str">
        <f aca="false">IF($A27="","",2*$G27)</f>
        <v/>
      </c>
      <c r="P27" s="115" t="str">
        <f aca="false">IF($A27="","",$F27-$E$58)</f>
        <v/>
      </c>
      <c r="Q27" s="114" t="str">
        <f aca="false">IF($A27="","",4*$G27)</f>
        <v/>
      </c>
      <c r="R27" s="115" t="str">
        <f aca="false">IF($A27="","",$B27-$E$59-$F$59)</f>
        <v/>
      </c>
      <c r="S27" s="114" t="str">
        <f aca="false">IF($A27="","",4*$G27)</f>
        <v/>
      </c>
      <c r="T27" s="115" t="str">
        <f aca="false">IF($A27="","",$D27-$E$60-$F$60)</f>
        <v/>
      </c>
      <c r="U27" s="114" t="str">
        <f aca="false">IF($A27="","",2*$G27)</f>
        <v/>
      </c>
      <c r="V27" s="115" t="str">
        <f aca="false">IF($A27="","",$E27-$E$61-$F$61)</f>
        <v/>
      </c>
      <c r="W27" s="114" t="str">
        <f aca="false">IF($A27="","",2*$G27)</f>
        <v/>
      </c>
      <c r="X27" s="115" t="str">
        <f aca="false">IF($A27="","",$R27-$E$62-$F$62)</f>
        <v/>
      </c>
      <c r="Y27" s="114" t="str">
        <f aca="false">IF($A27="","",4*$G27)</f>
        <v/>
      </c>
      <c r="Z27" s="115" t="str">
        <f aca="false">IF($A27="","",$T27-$E$63-$F$63)</f>
        <v/>
      </c>
      <c r="AA27" s="114" t="str">
        <f aca="false">IF($A27="","",2*$G27)</f>
        <v/>
      </c>
      <c r="AB27" s="115" t="str">
        <f aca="false">IF($A27="","",$V27-$E$64-$F$64)</f>
        <v/>
      </c>
      <c r="AC27" s="114" t="str">
        <f aca="false">IF($A27="","",2*$G27)</f>
        <v/>
      </c>
      <c r="AD27" s="115" t="str">
        <f aca="false">IF($A27="","",$F27-$E$65)</f>
        <v/>
      </c>
      <c r="AE27" s="114" t="str">
        <f aca="false">IF($A27="","",4*$G27)</f>
        <v/>
      </c>
      <c r="AF27" s="115" t="str">
        <f aca="false">IF($A27="","",$B27-$E$66-$F$66)</f>
        <v/>
      </c>
      <c r="AG27" s="114" t="str">
        <f aca="false">IF($A27="","",4*$G27)</f>
        <v/>
      </c>
      <c r="AH27" s="115" t="str">
        <f aca="false">IF($A27="","",$B27-$E$67-$F$67)</f>
        <v/>
      </c>
      <c r="AI27" s="114" t="str">
        <f aca="false">IF($A27="","",1*$G27)</f>
        <v/>
      </c>
      <c r="AJ27" s="115" t="str">
        <f aca="false">IF($A27="","",$T27)</f>
        <v/>
      </c>
      <c r="AK27" s="114" t="str">
        <f aca="false">IF($A27="","",(IF(OR($B27&gt;3000,$D27&gt;1200),5,4)+IF(OR($B27&gt;3000,$E27&gt;1200),5,4))*$G27)</f>
        <v/>
      </c>
      <c r="AL27" s="115" t="str">
        <f aca="false">IF($A27="","",4*2*$G27)</f>
        <v/>
      </c>
      <c r="AM27" s="114" t="str">
        <f aca="false">IF($A27="","",8*2*$G27)</f>
        <v/>
      </c>
      <c r="AN27" s="116" t="str">
        <f aca="false">IF($A27="","",$BC$1*$G27)</f>
        <v/>
      </c>
      <c r="AO27" s="119" t="str">
        <f aca="false">IF($A27="","",$BC$2*$G27)</f>
        <v/>
      </c>
      <c r="AP27" s="118" t="str">
        <f aca="false">IF($A27="","",$BC$3*$G27)</f>
        <v/>
      </c>
      <c r="AQ27" s="116" t="str">
        <f aca="false">IF($A27="","",1*$G27)</f>
        <v/>
      </c>
      <c r="AR27" s="119" t="str">
        <f aca="false">IF($A27="","",1*$G27)</f>
        <v/>
      </c>
      <c r="AS27" s="118" t="str">
        <f aca="false">IF($A27="","",1*$G27)</f>
        <v/>
      </c>
      <c r="AT27" s="116" t="str">
        <f aca="false">IF($A27="","",1*$G27)</f>
        <v/>
      </c>
      <c r="AU27" s="119" t="str">
        <f aca="false">IF($A27="","",6*$G27)</f>
        <v/>
      </c>
      <c r="AV27" s="118" t="str">
        <f aca="false">IF($A27="","",ROUND((2*($D27+$B27)+2*($E27+$B27))*$G27/1000,1))</f>
        <v/>
      </c>
      <c r="AW27" s="1" t="str">
        <f aca="false">IF($A27="","",ROUND(($C27+2*$B27)*$G27/1000,1))</f>
        <v/>
      </c>
      <c r="AX27" s="1" t="str">
        <f aca="false">IF($A27="","",1*$G27)</f>
        <v/>
      </c>
      <c r="AY27" s="0" t="str">
        <f aca="false">IF($A27="","",$BC$4*$G27)</f>
        <v/>
      </c>
    </row>
    <row r="28" customFormat="false" ht="39.75" hidden="false" customHeight="true" outlineLevel="0" collapsed="false">
      <c r="A28" s="111"/>
      <c r="B28" s="112"/>
      <c r="C28" s="112" t="str">
        <f aca="false">IF($A28="","",$D28+$E28)</f>
        <v/>
      </c>
      <c r="D28" s="112"/>
      <c r="E28" s="112"/>
      <c r="F28" s="113" t="str">
        <f aca="false">IF($A28="","",(($C28-$D28-$E28)/2))</f>
        <v/>
      </c>
      <c r="G28" s="114"/>
      <c r="H28" s="120" t="str">
        <f aca="false">IF($A28="","",$B28)</f>
        <v/>
      </c>
      <c r="I28" s="121" t="str">
        <f aca="false">IF($A28="","",2*$G28)</f>
        <v/>
      </c>
      <c r="J28" s="120" t="str">
        <f aca="false">IF($A28="","",$H28)</f>
        <v/>
      </c>
      <c r="K28" s="121" t="str">
        <f aca="false">IF($A28="","",2*$G28)</f>
        <v/>
      </c>
      <c r="L28" s="120" t="str">
        <f aca="false">IF($A28="","",$C28-$F28-$F28-$E$56-$F$56)</f>
        <v/>
      </c>
      <c r="M28" s="121" t="str">
        <f aca="false">IF($A28="","",1*$G28)</f>
        <v/>
      </c>
      <c r="N28" s="120" t="str">
        <f aca="false">IF($A28="","",$H28)</f>
        <v/>
      </c>
      <c r="O28" s="121" t="str">
        <f aca="false">IF($A28="","",2*$G28)</f>
        <v/>
      </c>
      <c r="P28" s="120" t="str">
        <f aca="false">IF($A28="","",$F28-$E$58)</f>
        <v/>
      </c>
      <c r="Q28" s="121" t="str">
        <f aca="false">IF($A28="","",4*$G28)</f>
        <v/>
      </c>
      <c r="R28" s="120" t="str">
        <f aca="false">IF($A28="","",$B28-$E$59-$F$59)</f>
        <v/>
      </c>
      <c r="S28" s="121" t="str">
        <f aca="false">IF($A28="","",4*$G28)</f>
        <v/>
      </c>
      <c r="T28" s="120" t="str">
        <f aca="false">IF($A28="","",$D28-$E$60-$F$60)</f>
        <v/>
      </c>
      <c r="U28" s="121" t="str">
        <f aca="false">IF($A28="","",2*$G28)</f>
        <v/>
      </c>
      <c r="V28" s="120" t="str">
        <f aca="false">IF($A28="","",$E28-$E$61-$F$61)</f>
        <v/>
      </c>
      <c r="W28" s="121" t="str">
        <f aca="false">IF($A28="","",2*$G28)</f>
        <v/>
      </c>
      <c r="X28" s="120" t="str">
        <f aca="false">IF($A28="","",$R28-$E$62-$F$62)</f>
        <v/>
      </c>
      <c r="Y28" s="121" t="str">
        <f aca="false">IF($A28="","",4*$G28)</f>
        <v/>
      </c>
      <c r="Z28" s="120" t="str">
        <f aca="false">IF($A28="","",$T28-$E$63-$F$63)</f>
        <v/>
      </c>
      <c r="AA28" s="121" t="str">
        <f aca="false">IF($A28="","",2*$G28)</f>
        <v/>
      </c>
      <c r="AB28" s="120" t="str">
        <f aca="false">IF($A28="","",$V28-$E$64-$F$64)</f>
        <v/>
      </c>
      <c r="AC28" s="121" t="str">
        <f aca="false">IF($A28="","",2*$G28)</f>
        <v/>
      </c>
      <c r="AD28" s="120" t="str">
        <f aca="false">IF($A28="","",$F28-$E$65)</f>
        <v/>
      </c>
      <c r="AE28" s="121" t="str">
        <f aca="false">IF($A28="","",4*$G28)</f>
        <v/>
      </c>
      <c r="AF28" s="120" t="str">
        <f aca="false">IF($A28="","",$B28-$E$66-$F$66)</f>
        <v/>
      </c>
      <c r="AG28" s="121" t="str">
        <f aca="false">IF($A28="","",4*$G28)</f>
        <v/>
      </c>
      <c r="AH28" s="120" t="str">
        <f aca="false">IF($A28="","",$B28-$E$67-$F$67)</f>
        <v/>
      </c>
      <c r="AI28" s="121" t="str">
        <f aca="false">IF($A28="","",1*$G28)</f>
        <v/>
      </c>
      <c r="AJ28" s="120" t="str">
        <f aca="false">IF($A28="","",$T28)</f>
        <v/>
      </c>
      <c r="AK28" s="121" t="str">
        <f aca="false">IF($A28="","",(IF(OR($B28&gt;3000,$D28&gt;1200),5,4)+IF(OR($B28&gt;3000,$E28&gt;1200),5,4))*$G28)</f>
        <v/>
      </c>
      <c r="AL28" s="120" t="str">
        <f aca="false">IF($A28="","",4*2*$G28)</f>
        <v/>
      </c>
      <c r="AM28" s="121" t="str">
        <f aca="false">IF($A28="","",8*2*$G28)</f>
        <v/>
      </c>
      <c r="AN28" s="116" t="str">
        <f aca="false">IF($A28="","",$BC$1*$G28)</f>
        <v/>
      </c>
      <c r="AO28" s="119" t="str">
        <f aca="false">IF($A28="","",$BC$2*$G28)</f>
        <v/>
      </c>
      <c r="AP28" s="118" t="str">
        <f aca="false">IF($A28="","",$BC$3*$G28)</f>
        <v/>
      </c>
      <c r="AQ28" s="116" t="str">
        <f aca="false">IF($A28="","",1*$G28)</f>
        <v/>
      </c>
      <c r="AR28" s="119" t="str">
        <f aca="false">IF($A28="","",1*$G28)</f>
        <v/>
      </c>
      <c r="AS28" s="118" t="str">
        <f aca="false">IF($A28="","",1*$G28)</f>
        <v/>
      </c>
      <c r="AT28" s="116" t="str">
        <f aca="false">IF($A28="","",1*$G28)</f>
        <v/>
      </c>
      <c r="AU28" s="119" t="str">
        <f aca="false">IF($A28="","",6*$G28)</f>
        <v/>
      </c>
      <c r="AV28" s="118" t="str">
        <f aca="false">IF($A28="","",ROUND((2*($D28+$B28)+2*($E28+$B28))*$G28/1000,1))</f>
        <v/>
      </c>
      <c r="AW28" s="1" t="str">
        <f aca="false">IF($A28="","",ROUND(($C28+2*$B28)*$G28/1000,1))</f>
        <v/>
      </c>
      <c r="AX28" s="1" t="str">
        <f aca="false">IF($A28="","",1*$G28)</f>
        <v/>
      </c>
      <c r="AY28" s="0" t="str">
        <f aca="false">IF($A28="","",$BC$4*$G28)</f>
        <v/>
      </c>
    </row>
    <row r="29" customFormat="false" ht="39.75" hidden="false" customHeight="true" outlineLevel="0" collapsed="false">
      <c r="A29" s="122"/>
      <c r="B29" s="122"/>
      <c r="C29" s="122"/>
      <c r="D29" s="122"/>
      <c r="E29" s="122"/>
      <c r="F29" s="122"/>
      <c r="G29" s="122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4"/>
      <c r="AO29" s="122"/>
      <c r="AP29" s="122"/>
      <c r="AQ29" s="124"/>
      <c r="AR29" s="122"/>
      <c r="AS29" s="122"/>
      <c r="AT29" s="124"/>
      <c r="AU29" s="122"/>
      <c r="AV29" s="122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64"/>
      <c r="F30" s="64"/>
      <c r="G30" s="64"/>
      <c r="H30" s="125" t="str">
        <f aca="false">H$7</f>
        <v>F7854</v>
      </c>
      <c r="I30" s="125" t="n">
        <f aca="false">(ROUNDUP(I49/6400,0))</f>
        <v>1</v>
      </c>
      <c r="J30" s="125" t="str">
        <f aca="false">J$7</f>
        <v>F7852</v>
      </c>
      <c r="K30" s="125" t="n">
        <f aca="false">(ROUNDUP(K49/6400,0))</f>
        <v>1</v>
      </c>
      <c r="L30" s="125" t="str">
        <f aca="false">L$7</f>
        <v>F7859</v>
      </c>
      <c r="M30" s="125" t="n">
        <f aca="false">(ROUNDUP(M49/6400,0))</f>
        <v>1</v>
      </c>
      <c r="N30" s="125" t="str">
        <f aca="false">N$7</f>
        <v>F7937</v>
      </c>
      <c r="O30" s="125"/>
      <c r="P30" s="125"/>
      <c r="Q30" s="125" t="n">
        <f aca="false">(ROUNDUP(SUM(O49:Q49)/6400,0))</f>
        <v>2</v>
      </c>
      <c r="R30" s="125" t="str">
        <f aca="false">R$7</f>
        <v>F7864</v>
      </c>
      <c r="S30" s="125"/>
      <c r="T30" s="125"/>
      <c r="U30" s="125"/>
      <c r="V30" s="125"/>
      <c r="W30" s="125" t="n">
        <f aca="false">(ROUNDUP(SUM(S49:W49)/6400,0))</f>
        <v>3</v>
      </c>
      <c r="X30" s="125" t="str">
        <f aca="false">X$7</f>
        <v>F7935</v>
      </c>
      <c r="Y30" s="125"/>
      <c r="Z30" s="125"/>
      <c r="AA30" s="125"/>
      <c r="AB30" s="125"/>
      <c r="AC30" s="125"/>
      <c r="AD30" s="125"/>
      <c r="AE30" s="125"/>
      <c r="AF30" s="125"/>
      <c r="AG30" s="125" t="n">
        <f aca="false">(ROUNDUP(SUM(Y49:AG49)/6400,0))</f>
        <v>4</v>
      </c>
      <c r="AH30" s="125" t="str">
        <f aca="false">AH$7</f>
        <v>F7945</v>
      </c>
      <c r="AI30" s="125" t="n">
        <f aca="false">(ROUNDUP(AI49/6400,0))</f>
        <v>1</v>
      </c>
      <c r="AJ30" s="125" t="s">
        <v>65</v>
      </c>
      <c r="AK30" s="40" t="n">
        <f aca="false">SUM(AK11:AK28)</f>
        <v>8</v>
      </c>
      <c r="AL30" s="40" t="n">
        <f aca="false">SUM(AL11:AL28)</f>
        <v>8</v>
      </c>
      <c r="AM30" s="125" t="n">
        <f aca="false">SUM(AM11:AM28)</f>
        <v>16</v>
      </c>
      <c r="AN30" s="126" t="n">
        <f aca="false">SUM(AN11:AN28)</f>
        <v>2</v>
      </c>
      <c r="AO30" s="126" t="n">
        <f aca="false">SUM(AO11:AO28)</f>
        <v>0</v>
      </c>
      <c r="AP30" s="126" t="n">
        <f aca="false">SUM(AP11:AP28)</f>
        <v>0</v>
      </c>
      <c r="AQ30" s="126" t="n">
        <f aca="false">SUM(AQ11:AQ28)</f>
        <v>1</v>
      </c>
      <c r="AR30" s="126" t="n">
        <f aca="false">SUM(AR11:AR28)</f>
        <v>1</v>
      </c>
      <c r="AS30" s="126" t="n">
        <f aca="false">SUM(AS11:AS28)</f>
        <v>1</v>
      </c>
      <c r="AT30" s="126" t="n">
        <f aca="false">SUM(AT11:AT28)</f>
        <v>1</v>
      </c>
      <c r="AU30" s="126" t="n">
        <f aca="false">SUM(AU11:AU28)</f>
        <v>6</v>
      </c>
      <c r="AV30" s="126" t="n">
        <f aca="false">SUM(AV11:AV28)</f>
        <v>13.2</v>
      </c>
      <c r="AW30" s="40" t="n">
        <f aca="false">SUM(AW11:AW28)</f>
        <v>8</v>
      </c>
      <c r="AX30" s="40" t="n">
        <f aca="false">SUM(AX11:AX28)</f>
        <v>1</v>
      </c>
      <c r="AY30" s="41" t="n">
        <f aca="false">SUM(AY11:AY28)</f>
        <v>0</v>
      </c>
    </row>
    <row r="31" customFormat="false" ht="39.75" hidden="true" customHeight="true" outlineLevel="0" collapsed="false">
      <c r="I31" s="67" t="n">
        <f aca="false">IF($A11="","",I11*H11)</f>
        <v>5000</v>
      </c>
      <c r="J31" s="67"/>
      <c r="K31" s="67" t="n">
        <f aca="false">IF($A11="","",K11*J11)</f>
        <v>5000</v>
      </c>
      <c r="L31" s="67"/>
      <c r="M31" s="67" t="n">
        <f aca="false">IF($A11="","",M11*L11)</f>
        <v>1530</v>
      </c>
      <c r="N31" s="67"/>
      <c r="O31" s="67" t="n">
        <f aca="false">IF($A11="","",O11*N11)</f>
        <v>5000</v>
      </c>
      <c r="P31" s="67"/>
      <c r="Q31" s="67" t="n">
        <f aca="false">IF($A11="","",Q11*P11)</f>
        <v>2700</v>
      </c>
      <c r="R31" s="67"/>
      <c r="S31" s="67" t="n">
        <f aca="false">IF($A11="","",S11*R11)</f>
        <v>9898</v>
      </c>
      <c r="T31" s="67"/>
      <c r="U31" s="67" t="n">
        <f aca="false">IF($A11="","",U11*T11)</f>
        <v>1541</v>
      </c>
      <c r="V31" s="67"/>
      <c r="W31" s="67" t="n">
        <f aca="false">IF($A11="","",W11*V11)</f>
        <v>1541</v>
      </c>
      <c r="X31" s="67"/>
      <c r="Y31" s="67" t="n">
        <f aca="false">IF($A11="","",Y11*X11)</f>
        <v>9098</v>
      </c>
      <c r="Z31" s="67"/>
      <c r="AA31" s="67" t="n">
        <f aca="false">IF($A11="","",AA11*Z11)</f>
        <v>1221</v>
      </c>
      <c r="AB31" s="67"/>
      <c r="AC31" s="67" t="n">
        <f aca="false">IF($A11="","",AC11*AB11)</f>
        <v>1221</v>
      </c>
      <c r="AD31" s="67"/>
      <c r="AE31" s="67" t="n">
        <f aca="false">IF($A11="","",AE11*AD11)</f>
        <v>2700</v>
      </c>
      <c r="AF31" s="67"/>
      <c r="AG31" s="67" t="n">
        <f aca="false">IF($A11="","",AG11*AF11)</f>
        <v>9640</v>
      </c>
      <c r="AH31" s="67"/>
      <c r="AI31" s="67" t="n">
        <f aca="false">IF($A11="","",AI11*AH11)</f>
        <v>2466</v>
      </c>
      <c r="AJ31" s="67"/>
      <c r="AK31" s="67" t="n">
        <f aca="false">IF($A11="","",AK11*AJ11)</f>
        <v>6164</v>
      </c>
      <c r="AL31" s="67"/>
      <c r="AM31" s="67" t="n">
        <f aca="false">IF($A11="","",AM11*AL11)</f>
        <v>128</v>
      </c>
    </row>
    <row r="32" customFormat="false" ht="39.75" hidden="true" customHeight="true" outlineLevel="0" collapsed="false">
      <c r="I32" s="67" t="str">
        <f aca="false">IF($A12="","",I12*H12)</f>
        <v/>
      </c>
      <c r="J32" s="67"/>
      <c r="K32" s="67" t="str">
        <f aca="false">IF($A12="","",K12*J12)</f>
        <v/>
      </c>
      <c r="L32" s="67"/>
      <c r="M32" s="67" t="str">
        <f aca="false">IF($A12="","",M12*L12)</f>
        <v/>
      </c>
      <c r="N32" s="67"/>
      <c r="O32" s="67" t="str">
        <f aca="false">IF($A12="","",O12*N12)</f>
        <v/>
      </c>
      <c r="P32" s="67"/>
      <c r="Q32" s="67" t="str">
        <f aca="false">IF($A12="","",Q12*P12)</f>
        <v/>
      </c>
      <c r="R32" s="67"/>
      <c r="S32" s="67" t="str">
        <f aca="false">IF($A12="","",S12*R12)</f>
        <v/>
      </c>
      <c r="T32" s="67"/>
      <c r="U32" s="67" t="str">
        <f aca="false">IF($A12="","",U12*T12)</f>
        <v/>
      </c>
      <c r="V32" s="67"/>
      <c r="W32" s="67" t="str">
        <f aca="false">IF($A12="","",W12*V12)</f>
        <v/>
      </c>
      <c r="X32" s="67"/>
      <c r="Y32" s="67" t="str">
        <f aca="false">IF($A12="","",Y12*X12)</f>
        <v/>
      </c>
      <c r="Z32" s="67"/>
      <c r="AA32" s="67" t="str">
        <f aca="false">IF($A12="","",AA12*Z12)</f>
        <v/>
      </c>
      <c r="AB32" s="67"/>
      <c r="AC32" s="67" t="str">
        <f aca="false">IF($A12="","",AC12*AB12)</f>
        <v/>
      </c>
      <c r="AD32" s="67"/>
      <c r="AE32" s="67" t="str">
        <f aca="false">IF($A12="","",AE12*AD12)</f>
        <v/>
      </c>
      <c r="AF32" s="67"/>
      <c r="AG32" s="67" t="str">
        <f aca="false">IF($A12="","",AG12*AF12)</f>
        <v/>
      </c>
      <c r="AH32" s="67"/>
      <c r="AI32" s="67" t="str">
        <f aca="false">IF($A12="","",AI12*AH12)</f>
        <v/>
      </c>
      <c r="AJ32" s="67"/>
      <c r="AK32" s="67" t="str">
        <f aca="false">IF($A12="","",AK12*AJ12)</f>
        <v/>
      </c>
      <c r="AL32" s="67"/>
      <c r="AM32" s="67" t="str">
        <f aca="false">IF($A12="","",AM12*AL12)</f>
        <v/>
      </c>
    </row>
    <row r="33" customFormat="false" ht="39.75" hidden="true" customHeight="true" outlineLevel="0" collapsed="false">
      <c r="I33" s="67" t="str">
        <f aca="false">IF($A13="","",I13*H13)</f>
        <v/>
      </c>
      <c r="J33" s="67"/>
      <c r="K33" s="67" t="str">
        <f aca="false">IF($A13="","",K13*J13)</f>
        <v/>
      </c>
      <c r="L33" s="67"/>
      <c r="M33" s="67" t="str">
        <f aca="false">IF($A13="","",M13*L13)</f>
        <v/>
      </c>
      <c r="N33" s="67"/>
      <c r="O33" s="67" t="str">
        <f aca="false">IF($A13="","",O13*N13)</f>
        <v/>
      </c>
      <c r="P33" s="67"/>
      <c r="Q33" s="67" t="str">
        <f aca="false">IF($A13="","",Q13*P13)</f>
        <v/>
      </c>
      <c r="R33" s="67"/>
      <c r="S33" s="67" t="str">
        <f aca="false">IF($A13="","",S13*R13)</f>
        <v/>
      </c>
      <c r="T33" s="67"/>
      <c r="U33" s="67" t="str">
        <f aca="false">IF($A13="","",U13*T13)</f>
        <v/>
      </c>
      <c r="V33" s="67"/>
      <c r="W33" s="67" t="str">
        <f aca="false">IF($A13="","",W13*V13)</f>
        <v/>
      </c>
      <c r="X33" s="67"/>
      <c r="Y33" s="67" t="str">
        <f aca="false">IF($A13="","",Y13*X13)</f>
        <v/>
      </c>
      <c r="Z33" s="67"/>
      <c r="AA33" s="67" t="str">
        <f aca="false">IF($A13="","",AA13*Z13)</f>
        <v/>
      </c>
      <c r="AB33" s="67"/>
      <c r="AC33" s="67" t="str">
        <f aca="false">IF($A13="","",AC13*AB13)</f>
        <v/>
      </c>
      <c r="AD33" s="67"/>
      <c r="AE33" s="67" t="str">
        <f aca="false">IF($A13="","",AE13*AD13)</f>
        <v/>
      </c>
      <c r="AF33" s="67"/>
      <c r="AG33" s="67" t="str">
        <f aca="false">IF($A13="","",AG13*AF13)</f>
        <v/>
      </c>
      <c r="AH33" s="67"/>
      <c r="AI33" s="67" t="str">
        <f aca="false">IF($A13="","",AI13*AH13)</f>
        <v/>
      </c>
      <c r="AJ33" s="67"/>
      <c r="AK33" s="67" t="str">
        <f aca="false">IF($A13="","",AK13*AJ13)</f>
        <v/>
      </c>
      <c r="AL33" s="67"/>
      <c r="AM33" s="67" t="str">
        <f aca="false">IF($A13="","",AM13*AL13)</f>
        <v/>
      </c>
    </row>
    <row r="34" customFormat="false" ht="39.75" hidden="true" customHeight="true" outlineLevel="0" collapsed="false">
      <c r="I34" s="67" t="str">
        <f aca="false">IF($A14="","",I14*H14)</f>
        <v/>
      </c>
      <c r="J34" s="67"/>
      <c r="K34" s="67" t="str">
        <f aca="false">IF($A14="","",K14*J14)</f>
        <v/>
      </c>
      <c r="L34" s="67"/>
      <c r="M34" s="67" t="str">
        <f aca="false">IF($A14="","",M14*L14)</f>
        <v/>
      </c>
      <c r="N34" s="67"/>
      <c r="O34" s="67" t="str">
        <f aca="false">IF($A14="","",O14*N14)</f>
        <v/>
      </c>
      <c r="P34" s="67"/>
      <c r="Q34" s="67" t="str">
        <f aca="false">IF($A14="","",Q14*P14)</f>
        <v/>
      </c>
      <c r="R34" s="67"/>
      <c r="S34" s="67" t="str">
        <f aca="false">IF($A14="","",S14*R14)</f>
        <v/>
      </c>
      <c r="T34" s="67"/>
      <c r="U34" s="67" t="str">
        <f aca="false">IF($A14="","",U14*T14)</f>
        <v/>
      </c>
      <c r="V34" s="67"/>
      <c r="W34" s="67" t="str">
        <f aca="false">IF($A14="","",W14*V14)</f>
        <v/>
      </c>
      <c r="X34" s="67"/>
      <c r="Y34" s="67" t="str">
        <f aca="false">IF($A14="","",Y14*X14)</f>
        <v/>
      </c>
      <c r="Z34" s="67"/>
      <c r="AA34" s="67" t="str">
        <f aca="false">IF($A14="","",AA14*Z14)</f>
        <v/>
      </c>
      <c r="AB34" s="67"/>
      <c r="AC34" s="67" t="str">
        <f aca="false">IF($A14="","",AC14*AB14)</f>
        <v/>
      </c>
      <c r="AD34" s="67"/>
      <c r="AE34" s="67" t="str">
        <f aca="false">IF($A14="","",AE14*AD14)</f>
        <v/>
      </c>
      <c r="AF34" s="67"/>
      <c r="AG34" s="67" t="str">
        <f aca="false">IF($A14="","",AG14*AF14)</f>
        <v/>
      </c>
      <c r="AH34" s="67"/>
      <c r="AI34" s="67" t="str">
        <f aca="false">IF($A14="","",AI14*AH14)</f>
        <v/>
      </c>
      <c r="AJ34" s="67"/>
      <c r="AK34" s="67" t="str">
        <f aca="false">IF($A14="","",AK14*AJ14)</f>
        <v/>
      </c>
      <c r="AL34" s="67"/>
      <c r="AM34" s="67" t="str">
        <f aca="false">IF($A14="","",AM14*AL14)</f>
        <v/>
      </c>
    </row>
    <row r="35" customFormat="false" ht="39.75" hidden="true" customHeight="true" outlineLevel="0" collapsed="false">
      <c r="I35" s="67" t="str">
        <f aca="false">IF($A15="","",I15*H15)</f>
        <v/>
      </c>
      <c r="J35" s="67"/>
      <c r="K35" s="67" t="str">
        <f aca="false">IF($A15="","",K15*J15)</f>
        <v/>
      </c>
      <c r="L35" s="67"/>
      <c r="M35" s="67" t="str">
        <f aca="false">IF($A15="","",M15*L15)</f>
        <v/>
      </c>
      <c r="N35" s="67"/>
      <c r="O35" s="67" t="str">
        <f aca="false">IF($A15="","",O15*N15)</f>
        <v/>
      </c>
      <c r="P35" s="67"/>
      <c r="Q35" s="67" t="str">
        <f aca="false">IF($A15="","",Q15*P15)</f>
        <v/>
      </c>
      <c r="R35" s="67"/>
      <c r="S35" s="67" t="str">
        <f aca="false">IF($A15="","",S15*R15)</f>
        <v/>
      </c>
      <c r="T35" s="67"/>
      <c r="U35" s="67" t="str">
        <f aca="false">IF($A15="","",U15*T15)</f>
        <v/>
      </c>
      <c r="V35" s="67"/>
      <c r="W35" s="67" t="str">
        <f aca="false">IF($A15="","",W15*V15)</f>
        <v/>
      </c>
      <c r="X35" s="67"/>
      <c r="Y35" s="67" t="str">
        <f aca="false">IF($A15="","",Y15*X15)</f>
        <v/>
      </c>
      <c r="Z35" s="67"/>
      <c r="AA35" s="67" t="str">
        <f aca="false">IF($A15="","",AA15*Z15)</f>
        <v/>
      </c>
      <c r="AB35" s="67"/>
      <c r="AC35" s="67" t="str">
        <f aca="false">IF($A15="","",AC15*AB15)</f>
        <v/>
      </c>
      <c r="AD35" s="67"/>
      <c r="AE35" s="67" t="str">
        <f aca="false">IF($A15="","",AE15*AD15)</f>
        <v/>
      </c>
      <c r="AF35" s="67"/>
      <c r="AG35" s="67" t="str">
        <f aca="false">IF($A15="","",AG15*AF15)</f>
        <v/>
      </c>
      <c r="AH35" s="67"/>
      <c r="AI35" s="67" t="str">
        <f aca="false">IF($A15="","",AI15*AH15)</f>
        <v/>
      </c>
      <c r="AJ35" s="67"/>
      <c r="AK35" s="67" t="str">
        <f aca="false">IF($A15="","",AK15*AJ15)</f>
        <v/>
      </c>
      <c r="AL35" s="67"/>
      <c r="AM35" s="67" t="str">
        <f aca="false">IF($A15="","",AM15*AL15)</f>
        <v/>
      </c>
    </row>
    <row r="36" customFormat="false" ht="15" hidden="true" customHeight="true" outlineLevel="0" collapsed="false">
      <c r="I36" s="67" t="str">
        <f aca="false">IF($A16="","",I16*H16)</f>
        <v/>
      </c>
      <c r="J36" s="67"/>
      <c r="K36" s="67" t="str">
        <f aca="false">IF($A16="","",K16*J16)</f>
        <v/>
      </c>
      <c r="L36" s="67"/>
      <c r="M36" s="67" t="str">
        <f aca="false">IF($A16="","",M16*L16)</f>
        <v/>
      </c>
      <c r="N36" s="67"/>
      <c r="O36" s="67" t="str">
        <f aca="false">IF($A16="","",O16*N16)</f>
        <v/>
      </c>
      <c r="P36" s="67"/>
      <c r="Q36" s="67" t="str">
        <f aca="false">IF($A16="","",Q16*P16)</f>
        <v/>
      </c>
      <c r="R36" s="67"/>
      <c r="S36" s="67" t="str">
        <f aca="false">IF($A16="","",S16*R16)</f>
        <v/>
      </c>
      <c r="T36" s="67"/>
      <c r="U36" s="67" t="str">
        <f aca="false">IF($A16="","",U16*T16)</f>
        <v/>
      </c>
      <c r="V36" s="67"/>
      <c r="W36" s="67" t="str">
        <f aca="false">IF($A16="","",W16*V16)</f>
        <v/>
      </c>
      <c r="X36" s="67"/>
      <c r="Y36" s="67" t="str">
        <f aca="false">IF($A16="","",Y16*X16)</f>
        <v/>
      </c>
      <c r="Z36" s="67"/>
      <c r="AA36" s="67" t="str">
        <f aca="false">IF($A16="","",AA16*Z16)</f>
        <v/>
      </c>
      <c r="AB36" s="67"/>
      <c r="AC36" s="67" t="str">
        <f aca="false">IF($A16="","",AC16*AB16)</f>
        <v/>
      </c>
      <c r="AD36" s="67"/>
      <c r="AE36" s="67" t="str">
        <f aca="false">IF($A16="","",AE16*AD16)</f>
        <v/>
      </c>
      <c r="AF36" s="67"/>
      <c r="AG36" s="67" t="str">
        <f aca="false">IF($A16="","",AG16*AF16)</f>
        <v/>
      </c>
      <c r="AH36" s="67"/>
      <c r="AI36" s="67" t="str">
        <f aca="false">IF($A16="","",AI16*AH16)</f>
        <v/>
      </c>
      <c r="AJ36" s="67"/>
      <c r="AK36" s="67" t="str">
        <f aca="false">IF($A16="","",AK16*AJ16)</f>
        <v/>
      </c>
      <c r="AL36" s="67"/>
      <c r="AM36" s="67" t="str">
        <f aca="false">IF($A16="","",AM16*AL16)</f>
        <v/>
      </c>
    </row>
    <row r="37" customFormat="false" ht="15" hidden="true" customHeight="true" outlineLevel="0" collapsed="false">
      <c r="I37" s="67" t="str">
        <f aca="false">IF($A17="","",I17*H17)</f>
        <v/>
      </c>
      <c r="J37" s="67"/>
      <c r="K37" s="67" t="str">
        <f aca="false">IF($A17="","",K17*J17)</f>
        <v/>
      </c>
      <c r="L37" s="67"/>
      <c r="M37" s="67" t="str">
        <f aca="false">IF($A17="","",M17*L17)</f>
        <v/>
      </c>
      <c r="N37" s="67"/>
      <c r="O37" s="67" t="str">
        <f aca="false">IF($A17="","",O17*N17)</f>
        <v/>
      </c>
      <c r="P37" s="67"/>
      <c r="Q37" s="67" t="str">
        <f aca="false">IF($A17="","",Q17*P17)</f>
        <v/>
      </c>
      <c r="R37" s="67"/>
      <c r="S37" s="67" t="str">
        <f aca="false">IF($A17="","",S17*R17)</f>
        <v/>
      </c>
      <c r="T37" s="67"/>
      <c r="U37" s="67" t="str">
        <f aca="false">IF($A17="","",U17*T17)</f>
        <v/>
      </c>
      <c r="V37" s="67"/>
      <c r="W37" s="67" t="str">
        <f aca="false">IF($A17="","",W17*V17)</f>
        <v/>
      </c>
      <c r="X37" s="67"/>
      <c r="Y37" s="67" t="str">
        <f aca="false">IF($A17="","",Y17*X17)</f>
        <v/>
      </c>
      <c r="Z37" s="67"/>
      <c r="AA37" s="67" t="str">
        <f aca="false">IF($A17="","",AA17*Z17)</f>
        <v/>
      </c>
      <c r="AB37" s="67"/>
      <c r="AC37" s="67" t="str">
        <f aca="false">IF($A17="","",AC17*AB17)</f>
        <v/>
      </c>
      <c r="AD37" s="67"/>
      <c r="AE37" s="67" t="str">
        <f aca="false">IF($A17="","",AE17*AD17)</f>
        <v/>
      </c>
      <c r="AF37" s="67"/>
      <c r="AG37" s="67" t="str">
        <f aca="false">IF($A17="","",AG17*AF17)</f>
        <v/>
      </c>
      <c r="AH37" s="67"/>
      <c r="AI37" s="67" t="str">
        <f aca="false">IF($A17="","",AI17*AH17)</f>
        <v/>
      </c>
      <c r="AJ37" s="67"/>
      <c r="AK37" s="67" t="str">
        <f aca="false">IF($A17="","",AK17*AJ17)</f>
        <v/>
      </c>
      <c r="AL37" s="67"/>
      <c r="AM37" s="67" t="str">
        <f aca="false">IF($A17="","",AM17*AL17)</f>
        <v/>
      </c>
    </row>
    <row r="38" customFormat="false" ht="15" hidden="true" customHeight="true" outlineLevel="0" collapsed="false">
      <c r="I38" s="67" t="str">
        <f aca="false">IF($A18="","",I18*H18)</f>
        <v/>
      </c>
      <c r="J38" s="67"/>
      <c r="K38" s="67" t="str">
        <f aca="false">IF($A18="","",K18*J18)</f>
        <v/>
      </c>
      <c r="L38" s="67"/>
      <c r="M38" s="67" t="str">
        <f aca="false">IF($A18="","",M18*L18)</f>
        <v/>
      </c>
      <c r="N38" s="67"/>
      <c r="O38" s="67" t="str">
        <f aca="false">IF($A18="","",O18*N18)</f>
        <v/>
      </c>
      <c r="P38" s="67"/>
      <c r="Q38" s="67" t="str">
        <f aca="false">IF($A18="","",Q18*P18)</f>
        <v/>
      </c>
      <c r="R38" s="67"/>
      <c r="S38" s="67" t="str">
        <f aca="false">IF($A18="","",S18*R18)</f>
        <v/>
      </c>
      <c r="T38" s="67"/>
      <c r="U38" s="67" t="str">
        <f aca="false">IF($A18="","",U18*T18)</f>
        <v/>
      </c>
      <c r="V38" s="67"/>
      <c r="W38" s="67" t="str">
        <f aca="false">IF($A18="","",W18*V18)</f>
        <v/>
      </c>
      <c r="X38" s="67"/>
      <c r="Y38" s="67" t="str">
        <f aca="false">IF($A18="","",Y18*X18)</f>
        <v/>
      </c>
      <c r="Z38" s="67"/>
      <c r="AA38" s="67" t="str">
        <f aca="false">IF($A18="","",AA18*Z18)</f>
        <v/>
      </c>
      <c r="AB38" s="67"/>
      <c r="AC38" s="67" t="str">
        <f aca="false">IF($A18="","",AC18*AB18)</f>
        <v/>
      </c>
      <c r="AD38" s="67"/>
      <c r="AE38" s="67" t="str">
        <f aca="false">IF($A18="","",AE18*AD18)</f>
        <v/>
      </c>
      <c r="AF38" s="67"/>
      <c r="AG38" s="67" t="str">
        <f aca="false">IF($A18="","",AG18*AF18)</f>
        <v/>
      </c>
      <c r="AH38" s="67"/>
      <c r="AI38" s="67" t="str">
        <f aca="false">IF($A18="","",AI18*AH18)</f>
        <v/>
      </c>
      <c r="AJ38" s="67"/>
      <c r="AK38" s="67" t="str">
        <f aca="false">IF($A18="","",AK18*AJ18)</f>
        <v/>
      </c>
      <c r="AL38" s="67"/>
      <c r="AM38" s="67" t="str">
        <f aca="false">IF($A18="","",AM18*AL18)</f>
        <v/>
      </c>
    </row>
    <row r="39" customFormat="false" ht="15" hidden="true" customHeight="true" outlineLevel="0" collapsed="false">
      <c r="I39" s="67" t="str">
        <f aca="false">IF($A19="","",I19*H19)</f>
        <v/>
      </c>
      <c r="J39" s="67"/>
      <c r="K39" s="67" t="str">
        <f aca="false">IF($A19="","",K19*J19)</f>
        <v/>
      </c>
      <c r="L39" s="67"/>
      <c r="M39" s="67" t="str">
        <f aca="false">IF($A19="","",M19*L19)</f>
        <v/>
      </c>
      <c r="N39" s="67"/>
      <c r="O39" s="67" t="str">
        <f aca="false">IF($A19="","",O19*N19)</f>
        <v/>
      </c>
      <c r="P39" s="67"/>
      <c r="Q39" s="67" t="str">
        <f aca="false">IF($A19="","",Q19*P19)</f>
        <v/>
      </c>
      <c r="R39" s="67"/>
      <c r="S39" s="67" t="str">
        <f aca="false">IF($A19="","",S19*R19)</f>
        <v/>
      </c>
      <c r="T39" s="67"/>
      <c r="U39" s="67" t="str">
        <f aca="false">IF($A19="","",U19*T19)</f>
        <v/>
      </c>
      <c r="V39" s="67"/>
      <c r="W39" s="67" t="str">
        <f aca="false">IF($A19="","",W19*V19)</f>
        <v/>
      </c>
      <c r="X39" s="67"/>
      <c r="Y39" s="67" t="str">
        <f aca="false">IF($A19="","",Y19*X19)</f>
        <v/>
      </c>
      <c r="Z39" s="67"/>
      <c r="AA39" s="67" t="str">
        <f aca="false">IF($A19="","",AA19*Z19)</f>
        <v/>
      </c>
      <c r="AB39" s="67"/>
      <c r="AC39" s="67" t="str">
        <f aca="false">IF($A19="","",AC19*AB19)</f>
        <v/>
      </c>
      <c r="AD39" s="67"/>
      <c r="AE39" s="67" t="str">
        <f aca="false">IF($A19="","",AE19*AD19)</f>
        <v/>
      </c>
      <c r="AF39" s="67"/>
      <c r="AG39" s="67" t="str">
        <f aca="false">IF($A19="","",AG19*AF19)</f>
        <v/>
      </c>
      <c r="AH39" s="67"/>
      <c r="AI39" s="67" t="str">
        <f aca="false">IF($A19="","",AI19*AH19)</f>
        <v/>
      </c>
      <c r="AJ39" s="67"/>
      <c r="AK39" s="67" t="str">
        <f aca="false">IF($A19="","",AK19*AJ19)</f>
        <v/>
      </c>
      <c r="AL39" s="67"/>
      <c r="AM39" s="67" t="str">
        <f aca="false">IF($A19="","",AM19*AL19)</f>
        <v/>
      </c>
    </row>
    <row r="40" customFormat="false" ht="15" hidden="true" customHeight="true" outlineLevel="0" collapsed="false">
      <c r="I40" s="67" t="str">
        <f aca="false">IF($A20="","",I20*H20)</f>
        <v/>
      </c>
      <c r="J40" s="67"/>
      <c r="K40" s="67" t="str">
        <f aca="false">IF($A20="","",K20*J20)</f>
        <v/>
      </c>
      <c r="L40" s="67"/>
      <c r="M40" s="67" t="str">
        <f aca="false">IF($A20="","",M20*L20)</f>
        <v/>
      </c>
      <c r="N40" s="67"/>
      <c r="O40" s="67" t="str">
        <f aca="false">IF($A20="","",O20*N20)</f>
        <v/>
      </c>
      <c r="P40" s="67"/>
      <c r="Q40" s="67" t="str">
        <f aca="false">IF($A20="","",Q20*P20)</f>
        <v/>
      </c>
      <c r="R40" s="67"/>
      <c r="S40" s="67" t="str">
        <f aca="false">IF($A20="","",S20*R20)</f>
        <v/>
      </c>
      <c r="T40" s="67"/>
      <c r="U40" s="67" t="str">
        <f aca="false">IF($A20="","",U20*T20)</f>
        <v/>
      </c>
      <c r="V40" s="67"/>
      <c r="W40" s="67" t="str">
        <f aca="false">IF($A20="","",W20*V20)</f>
        <v/>
      </c>
      <c r="X40" s="67"/>
      <c r="Y40" s="67" t="str">
        <f aca="false">IF($A20="","",Y20*X20)</f>
        <v/>
      </c>
      <c r="Z40" s="67"/>
      <c r="AA40" s="67" t="str">
        <f aca="false">IF($A20="","",AA20*Z20)</f>
        <v/>
      </c>
      <c r="AB40" s="67"/>
      <c r="AC40" s="67" t="str">
        <f aca="false">IF($A20="","",AC20*AB20)</f>
        <v/>
      </c>
      <c r="AD40" s="67"/>
      <c r="AE40" s="67" t="str">
        <f aca="false">IF($A20="","",AE20*AD20)</f>
        <v/>
      </c>
      <c r="AF40" s="67"/>
      <c r="AG40" s="67" t="str">
        <f aca="false">IF($A20="","",AG20*AF20)</f>
        <v/>
      </c>
      <c r="AH40" s="67"/>
      <c r="AI40" s="67" t="str">
        <f aca="false">IF($A20="","",AI20*AH20)</f>
        <v/>
      </c>
      <c r="AJ40" s="67"/>
      <c r="AK40" s="67" t="str">
        <f aca="false">IF($A20="","",AK20*AJ20)</f>
        <v/>
      </c>
      <c r="AL40" s="67"/>
      <c r="AM40" s="67" t="str">
        <f aca="false">IF($A20="","",AM20*AL20)</f>
        <v/>
      </c>
    </row>
    <row r="41" customFormat="false" ht="15" hidden="true" customHeight="true" outlineLevel="0" collapsed="false">
      <c r="I41" s="67" t="str">
        <f aca="false">IF($A21="","",I21*H21)</f>
        <v/>
      </c>
      <c r="J41" s="67"/>
      <c r="K41" s="67" t="str">
        <f aca="false">IF($A21="","",K21*J21)</f>
        <v/>
      </c>
      <c r="L41" s="67"/>
      <c r="M41" s="67" t="str">
        <f aca="false">IF($A21="","",M21*L21)</f>
        <v/>
      </c>
      <c r="N41" s="67"/>
      <c r="O41" s="67" t="str">
        <f aca="false">IF($A21="","",O21*N21)</f>
        <v/>
      </c>
      <c r="P41" s="67"/>
      <c r="Q41" s="67" t="str">
        <f aca="false">IF($A21="","",Q21*P21)</f>
        <v/>
      </c>
      <c r="R41" s="67"/>
      <c r="S41" s="67" t="str">
        <f aca="false">IF($A21="","",S21*R21)</f>
        <v/>
      </c>
      <c r="T41" s="67"/>
      <c r="U41" s="67" t="str">
        <f aca="false">IF($A21="","",U21*T21)</f>
        <v/>
      </c>
      <c r="V41" s="67"/>
      <c r="W41" s="67" t="str">
        <f aca="false">IF($A21="","",W21*V21)</f>
        <v/>
      </c>
      <c r="X41" s="67"/>
      <c r="Y41" s="67" t="str">
        <f aca="false">IF($A21="","",Y21*X21)</f>
        <v/>
      </c>
      <c r="Z41" s="67"/>
      <c r="AA41" s="67" t="str">
        <f aca="false">IF($A21="","",AA21*Z21)</f>
        <v/>
      </c>
      <c r="AB41" s="67"/>
      <c r="AC41" s="67" t="str">
        <f aca="false">IF($A21="","",AC21*AB21)</f>
        <v/>
      </c>
      <c r="AD41" s="67"/>
      <c r="AE41" s="67" t="str">
        <f aca="false">IF($A21="","",AE21*AD21)</f>
        <v/>
      </c>
      <c r="AF41" s="67"/>
      <c r="AG41" s="67" t="str">
        <f aca="false">IF($A21="","",AG21*AF21)</f>
        <v/>
      </c>
      <c r="AH41" s="67"/>
      <c r="AI41" s="67" t="str">
        <f aca="false">IF($A21="","",AI21*AH21)</f>
        <v/>
      </c>
      <c r="AJ41" s="67"/>
      <c r="AK41" s="67" t="str">
        <f aca="false">IF($A21="","",AK21*AJ21)</f>
        <v/>
      </c>
      <c r="AL41" s="67"/>
      <c r="AM41" s="67" t="str">
        <f aca="false">IF($A21="","",AM21*AL21)</f>
        <v/>
      </c>
    </row>
    <row r="42" customFormat="false" ht="15" hidden="true" customHeight="true" outlineLevel="0" collapsed="false">
      <c r="I42" s="67" t="str">
        <f aca="false">IF($A22="","",I22*H22)</f>
        <v/>
      </c>
      <c r="J42" s="67"/>
      <c r="K42" s="67" t="str">
        <f aca="false">IF($A22="","",K22*J22)</f>
        <v/>
      </c>
      <c r="L42" s="67"/>
      <c r="M42" s="67" t="str">
        <f aca="false">IF($A22="","",M22*L22)</f>
        <v/>
      </c>
      <c r="N42" s="67"/>
      <c r="O42" s="67" t="str">
        <f aca="false">IF($A22="","",O22*N22)</f>
        <v/>
      </c>
      <c r="P42" s="67"/>
      <c r="Q42" s="67" t="str">
        <f aca="false">IF($A22="","",Q22*P22)</f>
        <v/>
      </c>
      <c r="R42" s="67"/>
      <c r="S42" s="67" t="str">
        <f aca="false">IF($A22="","",S22*R22)</f>
        <v/>
      </c>
      <c r="T42" s="67"/>
      <c r="U42" s="67" t="str">
        <f aca="false">IF($A22="","",U22*T22)</f>
        <v/>
      </c>
      <c r="V42" s="67"/>
      <c r="W42" s="67" t="str">
        <f aca="false">IF($A22="","",W22*V22)</f>
        <v/>
      </c>
      <c r="X42" s="67"/>
      <c r="Y42" s="67" t="str">
        <f aca="false">IF($A22="","",Y22*X22)</f>
        <v/>
      </c>
      <c r="Z42" s="67"/>
      <c r="AA42" s="67" t="str">
        <f aca="false">IF($A22="","",AA22*Z22)</f>
        <v/>
      </c>
      <c r="AB42" s="67"/>
      <c r="AC42" s="67" t="str">
        <f aca="false">IF($A22="","",AC22*AB22)</f>
        <v/>
      </c>
      <c r="AD42" s="67"/>
      <c r="AE42" s="67" t="str">
        <f aca="false">IF($A22="","",AE22*AD22)</f>
        <v/>
      </c>
      <c r="AF42" s="67"/>
      <c r="AG42" s="67" t="str">
        <f aca="false">IF($A22="","",AG22*AF22)</f>
        <v/>
      </c>
      <c r="AH42" s="67"/>
      <c r="AI42" s="67" t="str">
        <f aca="false">IF($A22="","",AI22*AH22)</f>
        <v/>
      </c>
      <c r="AJ42" s="67"/>
      <c r="AK42" s="67" t="str">
        <f aca="false">IF($A22="","",AK22*AJ22)</f>
        <v/>
      </c>
      <c r="AL42" s="67"/>
      <c r="AM42" s="67" t="str">
        <f aca="false">IF($A22="","",AM22*AL22)</f>
        <v/>
      </c>
    </row>
    <row r="43" customFormat="false" ht="15" hidden="true" customHeight="true" outlineLevel="0" collapsed="false">
      <c r="I43" s="67" t="str">
        <f aca="false">IF($A23="","",I23*H23)</f>
        <v/>
      </c>
      <c r="J43" s="67"/>
      <c r="K43" s="67" t="str">
        <f aca="false">IF($A23="","",K23*J23)</f>
        <v/>
      </c>
      <c r="L43" s="67"/>
      <c r="M43" s="67" t="str">
        <f aca="false">IF($A23="","",M23*L23)</f>
        <v/>
      </c>
      <c r="N43" s="67"/>
      <c r="O43" s="67" t="str">
        <f aca="false">IF($A23="","",O23*N23)</f>
        <v/>
      </c>
      <c r="P43" s="67"/>
      <c r="Q43" s="67" t="str">
        <f aca="false">IF($A23="","",Q23*P23)</f>
        <v/>
      </c>
      <c r="R43" s="67"/>
      <c r="S43" s="67" t="str">
        <f aca="false">IF($A23="","",S23*R23)</f>
        <v/>
      </c>
      <c r="T43" s="67"/>
      <c r="U43" s="67" t="str">
        <f aca="false">IF($A23="","",U23*T23)</f>
        <v/>
      </c>
      <c r="V43" s="67"/>
      <c r="W43" s="67" t="str">
        <f aca="false">IF($A23="","",W23*V23)</f>
        <v/>
      </c>
      <c r="X43" s="67"/>
      <c r="Y43" s="67" t="str">
        <f aca="false">IF($A23="","",Y23*X23)</f>
        <v/>
      </c>
      <c r="Z43" s="67"/>
      <c r="AA43" s="67" t="str">
        <f aca="false">IF($A23="","",AA23*Z23)</f>
        <v/>
      </c>
      <c r="AB43" s="67"/>
      <c r="AC43" s="67" t="str">
        <f aca="false">IF($A23="","",AC23*AB23)</f>
        <v/>
      </c>
      <c r="AD43" s="67"/>
      <c r="AE43" s="67" t="str">
        <f aca="false">IF($A23="","",AE23*AD23)</f>
        <v/>
      </c>
      <c r="AF43" s="67"/>
      <c r="AG43" s="67" t="str">
        <f aca="false">IF($A23="","",AG23*AF23)</f>
        <v/>
      </c>
      <c r="AH43" s="67"/>
      <c r="AI43" s="67" t="str">
        <f aca="false">IF($A23="","",AI23*AH23)</f>
        <v/>
      </c>
      <c r="AJ43" s="67"/>
      <c r="AK43" s="67" t="str">
        <f aca="false">IF($A23="","",AK23*AJ23)</f>
        <v/>
      </c>
      <c r="AL43" s="67"/>
      <c r="AM43" s="67" t="str">
        <f aca="false">IF($A23="","",AM23*AL23)</f>
        <v/>
      </c>
    </row>
    <row r="44" customFormat="false" ht="15" hidden="true" customHeight="true" outlineLevel="0" collapsed="false">
      <c r="I44" s="67" t="str">
        <f aca="false">IF($A24="","",I24*H24)</f>
        <v/>
      </c>
      <c r="J44" s="67"/>
      <c r="K44" s="67" t="str">
        <f aca="false">IF($A24="","",K24*J24)</f>
        <v/>
      </c>
      <c r="L44" s="67"/>
      <c r="M44" s="67" t="str">
        <f aca="false">IF($A24="","",M24*L24)</f>
        <v/>
      </c>
      <c r="N44" s="67"/>
      <c r="O44" s="67" t="str">
        <f aca="false">IF($A24="","",O24*N24)</f>
        <v/>
      </c>
      <c r="P44" s="67"/>
      <c r="Q44" s="67" t="str">
        <f aca="false">IF($A24="","",Q24*P24)</f>
        <v/>
      </c>
      <c r="R44" s="67"/>
      <c r="S44" s="67" t="str">
        <f aca="false">IF($A24="","",S24*R24)</f>
        <v/>
      </c>
      <c r="T44" s="67"/>
      <c r="U44" s="67" t="str">
        <f aca="false">IF($A24="","",U24*T24)</f>
        <v/>
      </c>
      <c r="V44" s="67"/>
      <c r="W44" s="67" t="str">
        <f aca="false">IF($A24="","",W24*V24)</f>
        <v/>
      </c>
      <c r="X44" s="67"/>
      <c r="Y44" s="67" t="str">
        <f aca="false">IF($A24="","",Y24*X24)</f>
        <v/>
      </c>
      <c r="Z44" s="67"/>
      <c r="AA44" s="67" t="str">
        <f aca="false">IF($A24="","",AA24*Z24)</f>
        <v/>
      </c>
      <c r="AB44" s="67"/>
      <c r="AC44" s="67" t="str">
        <f aca="false">IF($A24="","",AC24*AB24)</f>
        <v/>
      </c>
      <c r="AD44" s="67"/>
      <c r="AE44" s="67" t="str">
        <f aca="false">IF($A24="","",AE24*AD24)</f>
        <v/>
      </c>
      <c r="AF44" s="67"/>
      <c r="AG44" s="67" t="str">
        <f aca="false">IF($A24="","",AG24*AF24)</f>
        <v/>
      </c>
      <c r="AH44" s="67"/>
      <c r="AI44" s="67" t="str">
        <f aca="false">IF($A24="","",AI24*AH24)</f>
        <v/>
      </c>
      <c r="AJ44" s="67"/>
      <c r="AK44" s="67" t="str">
        <f aca="false">IF($A24="","",AK24*AJ24)</f>
        <v/>
      </c>
      <c r="AL44" s="67"/>
      <c r="AM44" s="67" t="str">
        <f aca="false">IF($A24="","",AM24*AL24)</f>
        <v/>
      </c>
    </row>
    <row r="45" customFormat="false" ht="15" hidden="true" customHeight="true" outlineLevel="0" collapsed="false">
      <c r="I45" s="67" t="str">
        <f aca="false">IF($A25="","",I25*H25)</f>
        <v/>
      </c>
      <c r="J45" s="67"/>
      <c r="K45" s="67" t="str">
        <f aca="false">IF($A25="","",K25*J25)</f>
        <v/>
      </c>
      <c r="L45" s="67"/>
      <c r="M45" s="67" t="str">
        <f aca="false">IF($A25="","",M25*L25)</f>
        <v/>
      </c>
      <c r="N45" s="67"/>
      <c r="O45" s="67" t="str">
        <f aca="false">IF($A25="","",O25*N25)</f>
        <v/>
      </c>
      <c r="P45" s="67"/>
      <c r="Q45" s="67" t="str">
        <f aca="false">IF($A25="","",Q25*P25)</f>
        <v/>
      </c>
      <c r="R45" s="67"/>
      <c r="S45" s="67" t="str">
        <f aca="false">IF($A25="","",S25*R25)</f>
        <v/>
      </c>
      <c r="T45" s="67"/>
      <c r="U45" s="67" t="str">
        <f aca="false">IF($A25="","",U25*T25)</f>
        <v/>
      </c>
      <c r="V45" s="67"/>
      <c r="W45" s="67" t="str">
        <f aca="false">IF($A25="","",W25*V25)</f>
        <v/>
      </c>
      <c r="X45" s="67"/>
      <c r="Y45" s="67" t="str">
        <f aca="false">IF($A25="","",Y25*X25)</f>
        <v/>
      </c>
      <c r="Z45" s="67"/>
      <c r="AA45" s="67" t="str">
        <f aca="false">IF($A25="","",AA25*Z25)</f>
        <v/>
      </c>
      <c r="AB45" s="67"/>
      <c r="AC45" s="67" t="str">
        <f aca="false">IF($A25="","",AC25*AB25)</f>
        <v/>
      </c>
      <c r="AD45" s="67"/>
      <c r="AE45" s="67" t="str">
        <f aca="false">IF($A25="","",AE25*AD25)</f>
        <v/>
      </c>
      <c r="AF45" s="67"/>
      <c r="AG45" s="67" t="str">
        <f aca="false">IF($A25="","",AG25*AF25)</f>
        <v/>
      </c>
      <c r="AH45" s="67"/>
      <c r="AI45" s="67" t="str">
        <f aca="false">IF($A25="","",AI25*AH25)</f>
        <v/>
      </c>
      <c r="AJ45" s="67"/>
      <c r="AK45" s="67" t="str">
        <f aca="false">IF($A25="","",AK25*AJ25)</f>
        <v/>
      </c>
      <c r="AL45" s="67"/>
      <c r="AM45" s="67" t="str">
        <f aca="false">IF($A25="","",AM25*AL25)</f>
        <v/>
      </c>
    </row>
    <row r="46" customFormat="false" ht="15" hidden="true" customHeight="true" outlineLevel="0" collapsed="false">
      <c r="I46" s="67" t="str">
        <f aca="false">IF($A26="","",I26*H26)</f>
        <v/>
      </c>
      <c r="J46" s="67"/>
      <c r="K46" s="67" t="str">
        <f aca="false">IF($A26="","",K26*J26)</f>
        <v/>
      </c>
      <c r="L46" s="67"/>
      <c r="M46" s="67" t="str">
        <f aca="false">IF($A26="","",M26*L26)</f>
        <v/>
      </c>
      <c r="N46" s="67"/>
      <c r="O46" s="67" t="str">
        <f aca="false">IF($A26="","",O26*N26)</f>
        <v/>
      </c>
      <c r="P46" s="67"/>
      <c r="Q46" s="67" t="str">
        <f aca="false">IF($A26="","",Q26*P26)</f>
        <v/>
      </c>
      <c r="R46" s="67"/>
      <c r="S46" s="67" t="str">
        <f aca="false">IF($A26="","",S26*R26)</f>
        <v/>
      </c>
      <c r="T46" s="67"/>
      <c r="U46" s="67" t="str">
        <f aca="false">IF($A26="","",U26*T26)</f>
        <v/>
      </c>
      <c r="V46" s="67"/>
      <c r="W46" s="67" t="str">
        <f aca="false">IF($A26="","",W26*V26)</f>
        <v/>
      </c>
      <c r="X46" s="67"/>
      <c r="Y46" s="67" t="str">
        <f aca="false">IF($A26="","",Y26*X26)</f>
        <v/>
      </c>
      <c r="Z46" s="67"/>
      <c r="AA46" s="67" t="str">
        <f aca="false">IF($A26="","",AA26*Z26)</f>
        <v/>
      </c>
      <c r="AB46" s="67"/>
      <c r="AC46" s="67" t="str">
        <f aca="false">IF($A26="","",AC26*AB26)</f>
        <v/>
      </c>
      <c r="AD46" s="67"/>
      <c r="AE46" s="67" t="str">
        <f aca="false">IF($A26="","",AE26*AD26)</f>
        <v/>
      </c>
      <c r="AF46" s="67"/>
      <c r="AG46" s="67" t="str">
        <f aca="false">IF($A26="","",AG26*AF26)</f>
        <v/>
      </c>
      <c r="AH46" s="67"/>
      <c r="AI46" s="67" t="str">
        <f aca="false">IF($A26="","",AI26*AH26)</f>
        <v/>
      </c>
      <c r="AJ46" s="67"/>
      <c r="AK46" s="67" t="str">
        <f aca="false">IF($A26="","",AK26*AJ26)</f>
        <v/>
      </c>
      <c r="AL46" s="67"/>
      <c r="AM46" s="67" t="str">
        <f aca="false">IF($A26="","",AM26*AL26)</f>
        <v/>
      </c>
    </row>
    <row r="47" customFormat="false" ht="15" hidden="true" customHeight="true" outlineLevel="0" collapsed="false">
      <c r="I47" s="67" t="str">
        <f aca="false">IF($A27="","",I27*H27)</f>
        <v/>
      </c>
      <c r="J47" s="67"/>
      <c r="K47" s="67" t="str">
        <f aca="false">IF($A27="","",K27*J27)</f>
        <v/>
      </c>
      <c r="L47" s="67"/>
      <c r="M47" s="67" t="str">
        <f aca="false">IF($A27="","",M27*L27)</f>
        <v/>
      </c>
      <c r="N47" s="67"/>
      <c r="O47" s="67" t="str">
        <f aca="false">IF($A27="","",O27*N27)</f>
        <v/>
      </c>
      <c r="P47" s="67"/>
      <c r="Q47" s="67" t="str">
        <f aca="false">IF($A27="","",Q27*P27)</f>
        <v/>
      </c>
      <c r="R47" s="67"/>
      <c r="S47" s="67" t="str">
        <f aca="false">IF($A27="","",S27*R27)</f>
        <v/>
      </c>
      <c r="T47" s="67"/>
      <c r="U47" s="67" t="str">
        <f aca="false">IF($A27="","",U27*T27)</f>
        <v/>
      </c>
      <c r="V47" s="67"/>
      <c r="W47" s="67" t="str">
        <f aca="false">IF($A27="","",W27*V27)</f>
        <v/>
      </c>
      <c r="X47" s="67"/>
      <c r="Y47" s="67" t="str">
        <f aca="false">IF($A27="","",Y27*X27)</f>
        <v/>
      </c>
      <c r="Z47" s="67"/>
      <c r="AA47" s="67" t="str">
        <f aca="false">IF($A27="","",AA27*Z27)</f>
        <v/>
      </c>
      <c r="AB47" s="67"/>
      <c r="AC47" s="67" t="str">
        <f aca="false">IF($A27="","",AC27*AB27)</f>
        <v/>
      </c>
      <c r="AD47" s="67"/>
      <c r="AE47" s="67" t="str">
        <f aca="false">IF($A27="","",AE27*AD27)</f>
        <v/>
      </c>
      <c r="AF47" s="67"/>
      <c r="AG47" s="67" t="str">
        <f aca="false">IF($A27="","",AG27*AF27)</f>
        <v/>
      </c>
      <c r="AH47" s="67"/>
      <c r="AI47" s="67" t="str">
        <f aca="false">IF($A27="","",AI27*AH27)</f>
        <v/>
      </c>
      <c r="AJ47" s="67"/>
      <c r="AK47" s="67" t="str">
        <f aca="false">IF($A27="","",AK27*AJ27)</f>
        <v/>
      </c>
      <c r="AL47" s="67"/>
      <c r="AM47" s="67" t="str">
        <f aca="false">IF($A27="","",AM27*AL27)</f>
        <v/>
      </c>
    </row>
    <row r="48" customFormat="false" ht="15" hidden="true" customHeight="true" outlineLevel="0" collapsed="false">
      <c r="I48" s="67" t="str">
        <f aca="false">IF($A28="","",I28*H28)</f>
        <v/>
      </c>
      <c r="J48" s="67"/>
      <c r="K48" s="67" t="str">
        <f aca="false">IF($A28="","",K28*J28)</f>
        <v/>
      </c>
      <c r="L48" s="67"/>
      <c r="M48" s="67" t="str">
        <f aca="false">IF($A28="","",M28*L28)</f>
        <v/>
      </c>
      <c r="N48" s="67"/>
      <c r="O48" s="67" t="str">
        <f aca="false">IF($A28="","",O28*N28)</f>
        <v/>
      </c>
      <c r="P48" s="67"/>
      <c r="Q48" s="67" t="str">
        <f aca="false">IF($A28="","",Q28*P28)</f>
        <v/>
      </c>
      <c r="R48" s="67"/>
      <c r="S48" s="67" t="str">
        <f aca="false">IF($A28="","",S28*R28)</f>
        <v/>
      </c>
      <c r="T48" s="67"/>
      <c r="U48" s="67" t="str">
        <f aca="false">IF($A28="","",U28*T28)</f>
        <v/>
      </c>
      <c r="V48" s="67"/>
      <c r="W48" s="67" t="str">
        <f aca="false">IF($A28="","",W28*V28)</f>
        <v/>
      </c>
      <c r="X48" s="67"/>
      <c r="Y48" s="67" t="str">
        <f aca="false">IF($A28="","",Y28*X28)</f>
        <v/>
      </c>
      <c r="Z48" s="67"/>
      <c r="AA48" s="67" t="str">
        <f aca="false">IF($A28="","",AA28*Z28)</f>
        <v/>
      </c>
      <c r="AB48" s="67"/>
      <c r="AC48" s="67" t="str">
        <f aca="false">IF($A28="","",AC28*AB28)</f>
        <v/>
      </c>
      <c r="AD48" s="67"/>
      <c r="AE48" s="67" t="str">
        <f aca="false">IF($A28="","",AE28*AD28)</f>
        <v/>
      </c>
      <c r="AF48" s="67"/>
      <c r="AG48" s="67" t="str">
        <f aca="false">IF($A28="","",AG28*AF28)</f>
        <v/>
      </c>
      <c r="AH48" s="67"/>
      <c r="AI48" s="67" t="str">
        <f aca="false">IF($A28="","",AI28*AH28)</f>
        <v/>
      </c>
      <c r="AJ48" s="67"/>
      <c r="AK48" s="67" t="str">
        <f aca="false">IF($A28="","",AK28*AJ28)</f>
        <v/>
      </c>
      <c r="AL48" s="67"/>
      <c r="AM48" s="67" t="str">
        <f aca="false">IF($A28="","",AM28*AL28)</f>
        <v/>
      </c>
    </row>
    <row r="49" customFormat="false" ht="15" hidden="true" customHeight="true" outlineLevel="0" collapsed="false">
      <c r="I49" s="68" t="n">
        <f aca="false">SUMIF(I31:I48,"&gt;0")</f>
        <v>5000</v>
      </c>
      <c r="K49" s="68" t="n">
        <f aca="false">SUMIF(K31:K48,"&gt;0")</f>
        <v>5000</v>
      </c>
      <c r="L49" s="68"/>
      <c r="M49" s="68" t="n">
        <f aca="false">SUMIF(M31:M48,"&gt;0")</f>
        <v>1530</v>
      </c>
      <c r="O49" s="68" t="n">
        <f aca="false">SUMIF(O31:O48,"&gt;0")</f>
        <v>5000</v>
      </c>
      <c r="Q49" s="68" t="n">
        <f aca="false">SUMIF(Q31:Q48,"&gt;0")</f>
        <v>2700</v>
      </c>
      <c r="R49" s="68"/>
      <c r="S49" s="68" t="n">
        <f aca="false">SUMIF(S31:S48,"&gt;0")</f>
        <v>9898</v>
      </c>
      <c r="T49" s="68"/>
      <c r="U49" s="68" t="n">
        <f aca="false">SUMIF(U31:U48,"&gt;0")</f>
        <v>1541</v>
      </c>
      <c r="V49" s="68"/>
      <c r="W49" s="68" t="n">
        <f aca="false">SUMIF(W31:W48,"&gt;0")</f>
        <v>1541</v>
      </c>
      <c r="Y49" s="68" t="n">
        <f aca="false">SUMIF(Y31:Y48,"&gt;0")</f>
        <v>9098</v>
      </c>
      <c r="Z49" s="68"/>
      <c r="AA49" s="68" t="n">
        <f aca="false">SUMIF(AA31:AA48,"&gt;0")</f>
        <v>1221</v>
      </c>
      <c r="AC49" s="68" t="n">
        <f aca="false">SUMIF(AC31:AC48,"&gt;0")</f>
        <v>1221</v>
      </c>
      <c r="AE49" s="68" t="n">
        <f aca="false">SUMIF(AE31:AE48,"&gt;0")</f>
        <v>2700</v>
      </c>
      <c r="AG49" s="68" t="n">
        <f aca="false">SUMIF(AG31:AG48,"&gt;0")</f>
        <v>9640</v>
      </c>
      <c r="AI49" s="68" t="n">
        <f aca="false">SUMIF(AI31:AI48,"&gt;0")</f>
        <v>2466</v>
      </c>
      <c r="AK49" s="68" t="n">
        <f aca="false">SUMIF(AK31:AK48,"&gt;0")</f>
        <v>6164</v>
      </c>
      <c r="AM49" s="68" t="n">
        <f aca="false">SUMIF(AM31:AM48,"&gt;0")</f>
        <v>128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1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146</v>
      </c>
      <c r="C54" s="74" t="s">
        <v>140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/>
    </row>
    <row r="55" customFormat="false" ht="15" hidden="false" customHeight="true" outlineLevel="0" collapsed="false">
      <c r="A55" s="72" t="n">
        <v>2</v>
      </c>
      <c r="B55" s="73" t="s">
        <v>147</v>
      </c>
      <c r="C55" s="74" t="s">
        <v>141</v>
      </c>
      <c r="D55" s="75" t="s">
        <v>6</v>
      </c>
      <c r="E55" s="76"/>
      <c r="F55" s="76"/>
      <c r="G55" s="76"/>
      <c r="H55" s="76"/>
      <c r="I55" s="76"/>
      <c r="J55" s="76"/>
      <c r="K55" s="76"/>
      <c r="L55" s="77"/>
    </row>
    <row r="56" customFormat="false" ht="15" hidden="false" customHeight="true" outlineLevel="0" collapsed="false">
      <c r="A56" s="72" t="n">
        <v>3</v>
      </c>
      <c r="B56" s="73" t="s">
        <v>148</v>
      </c>
      <c r="C56" s="74" t="s">
        <v>14</v>
      </c>
      <c r="D56" s="75" t="s">
        <v>135</v>
      </c>
      <c r="E56" s="77" t="n">
        <v>35</v>
      </c>
      <c r="F56" s="77" t="n">
        <v>35</v>
      </c>
      <c r="G56" s="76"/>
      <c r="H56" s="76"/>
      <c r="I56" s="76"/>
      <c r="J56" s="76"/>
      <c r="K56" s="76"/>
      <c r="L56" s="77"/>
    </row>
    <row r="57" customFormat="false" ht="15" hidden="false" customHeight="true" outlineLevel="0" collapsed="false">
      <c r="A57" s="72" t="n">
        <v>4</v>
      </c>
      <c r="B57" s="73" t="s">
        <v>151</v>
      </c>
      <c r="C57" s="74" t="s">
        <v>142</v>
      </c>
      <c r="D57" s="75" t="s">
        <v>6</v>
      </c>
      <c r="E57" s="76"/>
      <c r="F57" s="76"/>
      <c r="G57" s="76"/>
      <c r="H57" s="76"/>
      <c r="I57" s="76"/>
      <c r="J57" s="76"/>
      <c r="K57" s="76"/>
      <c r="L57" s="77"/>
    </row>
    <row r="58" customFormat="false" ht="15" hidden="false" customHeight="true" outlineLevel="0" collapsed="false">
      <c r="A58" s="72" t="n">
        <v>5</v>
      </c>
      <c r="B58" s="73" t="s">
        <v>152</v>
      </c>
      <c r="C58" s="74" t="s">
        <v>79</v>
      </c>
      <c r="D58" s="75" t="s">
        <v>136</v>
      </c>
      <c r="E58" s="77" t="n">
        <v>25</v>
      </c>
      <c r="F58" s="76"/>
      <c r="G58" s="76"/>
      <c r="H58" s="76"/>
      <c r="I58" s="76"/>
      <c r="J58" s="76"/>
      <c r="K58" s="76"/>
      <c r="L58" s="77"/>
    </row>
    <row r="59" customFormat="false" ht="15" hidden="false" customHeight="true" outlineLevel="0" collapsed="false">
      <c r="A59" s="72" t="n">
        <v>6</v>
      </c>
      <c r="B59" s="73" t="s">
        <v>34</v>
      </c>
      <c r="C59" s="74" t="s">
        <v>16</v>
      </c>
      <c r="D59" s="75" t="s">
        <v>105</v>
      </c>
      <c r="E59" s="77" t="n">
        <v>18.5</v>
      </c>
      <c r="F59" s="77" t="n">
        <v>7</v>
      </c>
      <c r="G59" s="76"/>
      <c r="H59" s="76"/>
      <c r="I59" s="76"/>
      <c r="J59" s="76"/>
      <c r="K59" s="76"/>
      <c r="L59" s="77"/>
    </row>
    <row r="60" customFormat="false" ht="15" hidden="false" customHeight="true" outlineLevel="0" collapsed="false">
      <c r="A60" s="72" t="n">
        <v>7</v>
      </c>
      <c r="B60" s="73" t="s">
        <v>121</v>
      </c>
      <c r="C60" s="74" t="s">
        <v>79</v>
      </c>
      <c r="D60" s="75" t="s">
        <v>137</v>
      </c>
      <c r="E60" s="77" t="n">
        <v>28.5</v>
      </c>
      <c r="F60" s="77" t="n">
        <v>1</v>
      </c>
      <c r="G60" s="76"/>
      <c r="H60" s="76"/>
      <c r="I60" s="76"/>
      <c r="J60" s="76"/>
      <c r="K60" s="76"/>
      <c r="L60" s="77"/>
    </row>
    <row r="61" customFormat="false" ht="15" hidden="false" customHeight="true" outlineLevel="0" collapsed="false">
      <c r="A61" s="72" t="n">
        <v>8</v>
      </c>
      <c r="B61" s="73" t="s">
        <v>122</v>
      </c>
      <c r="C61" s="74" t="s">
        <v>79</v>
      </c>
      <c r="D61" s="75" t="s">
        <v>138</v>
      </c>
      <c r="E61" s="77" t="n">
        <v>28.5</v>
      </c>
      <c r="F61" s="77" t="n">
        <v>1</v>
      </c>
      <c r="G61" s="76"/>
      <c r="H61" s="76"/>
      <c r="I61" s="76"/>
      <c r="J61" s="76"/>
      <c r="K61" s="76"/>
      <c r="L61" s="77"/>
    </row>
    <row r="62" customFormat="false" ht="15" hidden="false" customHeight="true" outlineLevel="0" collapsed="false">
      <c r="A62" s="72" t="n">
        <v>9</v>
      </c>
      <c r="B62" s="73" t="s">
        <v>36</v>
      </c>
      <c r="C62" s="74" t="s">
        <v>17</v>
      </c>
      <c r="D62" s="75" t="s">
        <v>10</v>
      </c>
      <c r="E62" s="77" t="n">
        <v>100</v>
      </c>
      <c r="F62" s="77" t="n">
        <v>100</v>
      </c>
      <c r="G62" s="76"/>
      <c r="H62" s="76"/>
      <c r="I62" s="76"/>
      <c r="J62" s="76"/>
      <c r="K62" s="76"/>
      <c r="L62" s="77"/>
    </row>
    <row r="63" customFormat="false" ht="15" hidden="false" customHeight="true" outlineLevel="0" collapsed="false">
      <c r="A63" s="72" t="n">
        <v>10</v>
      </c>
      <c r="B63" s="73" t="s">
        <v>123</v>
      </c>
      <c r="C63" s="74" t="s">
        <v>79</v>
      </c>
      <c r="D63" s="75" t="s">
        <v>114</v>
      </c>
      <c r="E63" s="77" t="n">
        <v>80</v>
      </c>
      <c r="F63" s="77" t="n">
        <v>80</v>
      </c>
      <c r="G63" s="76"/>
      <c r="H63" s="76"/>
      <c r="I63" s="76"/>
      <c r="J63" s="76"/>
      <c r="K63" s="76"/>
      <c r="L63" s="77"/>
    </row>
    <row r="64" customFormat="false" ht="15" hidden="false" customHeight="true" outlineLevel="0" collapsed="false">
      <c r="A64" s="72" t="n">
        <v>11</v>
      </c>
      <c r="B64" s="73" t="s">
        <v>124</v>
      </c>
      <c r="C64" s="74" t="s">
        <v>79</v>
      </c>
      <c r="D64" s="75" t="s">
        <v>115</v>
      </c>
      <c r="E64" s="77" t="n">
        <v>80</v>
      </c>
      <c r="F64" s="77" t="n">
        <v>80</v>
      </c>
      <c r="G64" s="76"/>
      <c r="H64" s="76"/>
      <c r="I64" s="76"/>
      <c r="J64" s="76"/>
      <c r="K64" s="76"/>
      <c r="L64" s="77"/>
    </row>
    <row r="65" customFormat="false" ht="15" hidden="false" customHeight="true" outlineLevel="0" collapsed="false">
      <c r="A65" s="72" t="n">
        <v>12</v>
      </c>
      <c r="B65" s="73" t="s">
        <v>153</v>
      </c>
      <c r="C65" s="74" t="s">
        <v>79</v>
      </c>
      <c r="D65" s="75" t="s">
        <v>136</v>
      </c>
      <c r="E65" s="77" t="n">
        <v>25</v>
      </c>
      <c r="F65" s="76"/>
      <c r="G65" s="76"/>
      <c r="H65" s="76"/>
      <c r="I65" s="76"/>
      <c r="J65" s="76"/>
      <c r="K65" s="76"/>
      <c r="L65" s="77"/>
    </row>
    <row r="66" customFormat="false" ht="15" hidden="false" customHeight="true" outlineLevel="0" collapsed="false">
      <c r="A66" s="72" t="n">
        <v>13</v>
      </c>
      <c r="B66" s="73" t="s">
        <v>154</v>
      </c>
      <c r="C66" s="74" t="s">
        <v>79</v>
      </c>
      <c r="D66" s="75" t="s">
        <v>139</v>
      </c>
      <c r="E66" s="77" t="n">
        <v>45</v>
      </c>
      <c r="F66" s="77" t="n">
        <v>45</v>
      </c>
      <c r="G66" s="76"/>
      <c r="H66" s="76"/>
      <c r="I66" s="76"/>
      <c r="J66" s="76"/>
      <c r="K66" s="76"/>
      <c r="L66" s="77"/>
    </row>
    <row r="67" customFormat="false" ht="15" hidden="false" customHeight="true" outlineLevel="0" collapsed="false">
      <c r="A67" s="72" t="n">
        <v>14</v>
      </c>
      <c r="B67" s="73" t="s">
        <v>125</v>
      </c>
      <c r="C67" s="74" t="s">
        <v>117</v>
      </c>
      <c r="D67" s="75" t="s">
        <v>159</v>
      </c>
      <c r="E67" s="77" t="n">
        <v>27</v>
      </c>
      <c r="F67" s="77" t="n">
        <v>7</v>
      </c>
      <c r="G67" s="76"/>
      <c r="H67" s="76"/>
      <c r="I67" s="76"/>
      <c r="J67" s="76"/>
      <c r="K67" s="76"/>
      <c r="L67" s="77"/>
    </row>
    <row r="68" customFormat="false" ht="15" hidden="false" customHeight="true" outlineLevel="0" collapsed="false">
      <c r="A68" s="72" t="n">
        <v>15</v>
      </c>
      <c r="B68" s="73" t="s">
        <v>162</v>
      </c>
      <c r="C68" s="74" t="s">
        <v>107</v>
      </c>
      <c r="D68" s="75" t="s">
        <v>160</v>
      </c>
      <c r="E68" s="76"/>
      <c r="F68" s="76"/>
      <c r="G68" s="76"/>
      <c r="H68" s="76"/>
      <c r="I68" s="76"/>
      <c r="J68" s="76"/>
      <c r="K68" s="76"/>
      <c r="L68" s="77"/>
    </row>
    <row r="69" customFormat="false" ht="15" hidden="false" customHeight="true" outlineLevel="0" collapsed="false">
      <c r="A69" s="72" t="n">
        <v>16</v>
      </c>
      <c r="B69" s="73" t="s">
        <v>164</v>
      </c>
      <c r="C69" s="74" t="s">
        <v>79</v>
      </c>
      <c r="D69" s="75" t="s">
        <v>161</v>
      </c>
      <c r="E69" s="76"/>
      <c r="F69" s="76"/>
      <c r="G69" s="76"/>
      <c r="H69" s="76"/>
      <c r="I69" s="76"/>
      <c r="J69" s="76"/>
      <c r="K69" s="76"/>
      <c r="L69" s="77"/>
    </row>
    <row r="71" customFormat="false" ht="15" hidden="false" customHeight="true" outlineLevel="0" collapsed="false">
      <c r="A71" s="78" t="s">
        <v>128</v>
      </c>
      <c r="F71" s="79"/>
    </row>
    <row r="72" customFormat="false" ht="15" hidden="false" customHeight="true" outlineLevel="0" collapsed="false">
      <c r="A72" s="80" t="s">
        <v>81</v>
      </c>
      <c r="B72" s="81" t="s">
        <v>82</v>
      </c>
      <c r="F72" s="82"/>
    </row>
    <row r="73" customFormat="false" ht="15" hidden="false" customHeight="true" outlineLevel="0" collapsed="false">
      <c r="A73" s="80" t="s">
        <v>83</v>
      </c>
      <c r="B73" s="81" t="s">
        <v>84</v>
      </c>
      <c r="F73" s="82"/>
    </row>
    <row r="74" customFormat="false" ht="15" hidden="false" customHeight="true" outlineLevel="0" collapsed="false">
      <c r="A74" s="80" t="s">
        <v>85</v>
      </c>
      <c r="B74" s="81" t="s">
        <v>86</v>
      </c>
      <c r="F74" s="82"/>
    </row>
    <row r="75" customFormat="false" ht="15" hidden="false" customHeight="true" outlineLevel="0" collapsed="false">
      <c r="A75" s="80" t="s">
        <v>87</v>
      </c>
      <c r="B75" s="81" t="s">
        <v>88</v>
      </c>
      <c r="F75" s="82"/>
    </row>
    <row r="76" customFormat="false" ht="15" hidden="false" customHeight="true" outlineLevel="0" collapsed="false">
      <c r="A76" s="105" t="s">
        <v>129</v>
      </c>
      <c r="B76" s="81" t="s">
        <v>88</v>
      </c>
    </row>
    <row r="78" customFormat="false" ht="15" hidden="false" customHeight="true" outlineLevel="0" collapsed="false">
      <c r="A78" s="84" t="s">
        <v>89</v>
      </c>
    </row>
    <row r="79" customFormat="false" ht="15" hidden="false" customHeight="true" outlineLevel="0" collapsed="false">
      <c r="A79" s="84" t="s">
        <v>67</v>
      </c>
      <c r="B79" s="84" t="s">
        <v>90</v>
      </c>
      <c r="C79" s="84" t="s">
        <v>91</v>
      </c>
      <c r="D79" s="84" t="s">
        <v>60</v>
      </c>
      <c r="E79" s="84" t="s">
        <v>92</v>
      </c>
      <c r="F79" s="84" t="s">
        <v>93</v>
      </c>
    </row>
    <row r="80" customFormat="false" ht="15" hidden="false" customHeight="true" outlineLevel="0" collapsed="false">
      <c r="A80" s="85" t="n">
        <v>1</v>
      </c>
      <c r="B80" s="85" t="s">
        <v>41</v>
      </c>
      <c r="C80" s="81" t="str">
        <f aca="false">AK8</f>
        <v>JR00489</v>
      </c>
      <c r="D80" s="86" t="n">
        <f aca="false">AK30</f>
        <v>8</v>
      </c>
      <c r="E80" s="85" t="s">
        <v>94</v>
      </c>
      <c r="F80" s="85"/>
    </row>
    <row r="81" customFormat="false" ht="15" hidden="false" customHeight="true" outlineLevel="0" collapsed="false">
      <c r="A81" s="85" t="n">
        <v>2</v>
      </c>
      <c r="B81" s="85" t="s">
        <v>42</v>
      </c>
      <c r="C81" s="81" t="str">
        <f aca="false">AL8</f>
        <v>JR00482</v>
      </c>
      <c r="D81" s="86" t="n">
        <f aca="false">AL30</f>
        <v>8</v>
      </c>
      <c r="E81" s="85" t="s">
        <v>94</v>
      </c>
      <c r="F81" s="85"/>
    </row>
    <row r="82" customFormat="false" ht="15" hidden="false" customHeight="true" outlineLevel="0" collapsed="false">
      <c r="A82" s="85" t="n">
        <v>3</v>
      </c>
      <c r="B82" s="85" t="s">
        <v>43</v>
      </c>
      <c r="C82" s="81" t="str">
        <f aca="false">AM8</f>
        <v>JR00557</v>
      </c>
      <c r="D82" s="86" t="n">
        <f aca="false">AM30</f>
        <v>16</v>
      </c>
      <c r="E82" s="85" t="s">
        <v>94</v>
      </c>
      <c r="F82" s="85"/>
    </row>
    <row r="83" customFormat="false" ht="15" hidden="false" customHeight="true" outlineLevel="0" collapsed="false">
      <c r="A83" s="85" t="n">
        <v>4</v>
      </c>
      <c r="B83" s="85" t="s">
        <v>44</v>
      </c>
      <c r="C83" s="81" t="str">
        <f aca="false">AN8</f>
        <v>JR00315</v>
      </c>
      <c r="D83" s="86" t="n">
        <f aca="false">AN30</f>
        <v>2</v>
      </c>
      <c r="E83" s="85" t="s">
        <v>22</v>
      </c>
      <c r="F83" s="85"/>
    </row>
    <row r="84" customFormat="false" ht="15" hidden="false" customHeight="true" outlineLevel="0" collapsed="false">
      <c r="A84" s="85" t="n">
        <v>5</v>
      </c>
      <c r="B84" s="85" t="s">
        <v>45</v>
      </c>
      <c r="C84" s="81" t="str">
        <f aca="false">AO8</f>
        <v>JR00313</v>
      </c>
      <c r="D84" s="86" t="n">
        <f aca="false">AO30</f>
        <v>0</v>
      </c>
      <c r="E84" s="85" t="s">
        <v>22</v>
      </c>
      <c r="F84" s="85"/>
    </row>
    <row r="85" customFormat="false" ht="15" hidden="false" customHeight="true" outlineLevel="0" collapsed="false">
      <c r="A85" s="85" t="n">
        <v>6</v>
      </c>
      <c r="B85" s="85" t="s">
        <v>95</v>
      </c>
      <c r="C85" s="85"/>
      <c r="D85" s="86" t="n">
        <f aca="false">AP30</f>
        <v>0</v>
      </c>
      <c r="E85" s="85" t="s">
        <v>22</v>
      </c>
      <c r="F85" s="85" t="s">
        <v>96</v>
      </c>
    </row>
    <row r="86" customFormat="false" ht="15" hidden="false" customHeight="true" outlineLevel="0" collapsed="false">
      <c r="A86" s="85" t="n">
        <v>7</v>
      </c>
      <c r="B86" s="85" t="s">
        <v>97</v>
      </c>
      <c r="C86" s="85"/>
      <c r="D86" s="86" t="n">
        <f aca="false">AY30</f>
        <v>0</v>
      </c>
      <c r="E86" s="85" t="s">
        <v>22</v>
      </c>
      <c r="F86" s="85" t="s">
        <v>96</v>
      </c>
    </row>
    <row r="87" customFormat="false" ht="15" hidden="false" customHeight="true" outlineLevel="0" collapsed="false">
      <c r="A87" s="85" t="n">
        <v>8</v>
      </c>
      <c r="B87" s="85" t="s">
        <v>47</v>
      </c>
      <c r="C87" s="81" t="str">
        <f aca="false">AQ8</f>
        <v>JR00551</v>
      </c>
      <c r="D87" s="86" t="n">
        <f aca="false">IF(OR($B$75="Digital lock",$B$75="ไม่ใส่"),0,AQ30)</f>
        <v>1</v>
      </c>
      <c r="E87" s="85" t="s">
        <v>94</v>
      </c>
      <c r="F87" s="85"/>
    </row>
    <row r="88" customFormat="false" ht="15" hidden="false" customHeight="true" outlineLevel="0" collapsed="false">
      <c r="A88" s="85" t="n">
        <v>9</v>
      </c>
      <c r="B88" s="85" t="s">
        <v>48</v>
      </c>
      <c r="C88" s="81" t="str">
        <f aca="false">AR8</f>
        <v>JR00499</v>
      </c>
      <c r="D88" s="86" t="n">
        <f aca="false">IF(OR($B$75="Digital lock",$B$75="ไม่ใส่"),0,AR30)</f>
        <v>1</v>
      </c>
      <c r="E88" s="85" t="s">
        <v>94</v>
      </c>
      <c r="F88" s="85" t="s">
        <v>98</v>
      </c>
    </row>
    <row r="89" customFormat="false" ht="15" hidden="false" customHeight="true" outlineLevel="0" collapsed="false">
      <c r="A89" s="85" t="n">
        <v>10</v>
      </c>
      <c r="B89" s="85" t="s">
        <v>54</v>
      </c>
      <c r="C89" s="81" t="str">
        <f aca="false">AX8</f>
        <v>JR00562</v>
      </c>
      <c r="D89" s="86" t="n">
        <f aca="false">IF(OR($B$75="Digital lock",$B$75="ไม่ใส่"),0,AX30)</f>
        <v>1</v>
      </c>
      <c r="E89" s="85" t="s">
        <v>22</v>
      </c>
      <c r="F89" s="85"/>
    </row>
    <row r="90" customFormat="false" ht="15" hidden="false" customHeight="true" outlineLevel="0" collapsed="false">
      <c r="A90" s="85" t="n">
        <v>11</v>
      </c>
      <c r="B90" s="85" t="s">
        <v>99</v>
      </c>
      <c r="C90" s="81" t="str">
        <f aca="false">AS8</f>
        <v>JR00596</v>
      </c>
      <c r="D90" s="86" t="n">
        <f aca="false">AS30</f>
        <v>1</v>
      </c>
      <c r="E90" s="85" t="s">
        <v>94</v>
      </c>
      <c r="F90" s="85"/>
    </row>
    <row r="91" customFormat="false" ht="15" hidden="false" customHeight="true" outlineLevel="0" collapsed="false">
      <c r="A91" s="85" t="n">
        <v>12</v>
      </c>
      <c r="B91" s="85" t="s">
        <v>50</v>
      </c>
      <c r="C91" s="81" t="str">
        <f aca="false">AT8</f>
        <v>JR00598</v>
      </c>
      <c r="D91" s="86" t="n">
        <f aca="false">AT30</f>
        <v>1</v>
      </c>
      <c r="E91" s="85" t="s">
        <v>94</v>
      </c>
      <c r="F91" s="85"/>
    </row>
    <row r="92" customFormat="false" ht="15" hidden="false" customHeight="true" outlineLevel="0" collapsed="false">
      <c r="A92" s="85" t="n">
        <v>13</v>
      </c>
      <c r="B92" s="85" t="s">
        <v>100</v>
      </c>
      <c r="C92" s="81" t="str">
        <f aca="false">AU8</f>
        <v>JR00864</v>
      </c>
      <c r="D92" s="86" t="n">
        <f aca="false">AU30</f>
        <v>6</v>
      </c>
      <c r="E92" s="85" t="s">
        <v>94</v>
      </c>
      <c r="F92" s="85"/>
    </row>
    <row r="93" customFormat="false" ht="15" hidden="false" customHeight="true" outlineLevel="0" collapsed="false">
      <c r="A93" s="85" t="n">
        <v>14</v>
      </c>
      <c r="B93" s="85" t="s">
        <v>52</v>
      </c>
      <c r="C93" s="81" t="str">
        <f aca="false">AV8</f>
        <v>JR00771</v>
      </c>
      <c r="D93" s="86" t="n">
        <f aca="false">AV30</f>
        <v>13.2</v>
      </c>
      <c r="E93" s="85" t="s">
        <v>101</v>
      </c>
      <c r="F93" s="85"/>
    </row>
    <row r="94" customFormat="false" ht="15" hidden="false" customHeight="true" outlineLevel="0" collapsed="false">
      <c r="A94" s="85" t="n">
        <v>15</v>
      </c>
      <c r="B94" s="85" t="s">
        <v>53</v>
      </c>
      <c r="C94" s="81" t="str">
        <f aca="false">AW8</f>
        <v>JR00771</v>
      </c>
      <c r="D94" s="86" t="n">
        <f aca="false">AW30</f>
        <v>8</v>
      </c>
      <c r="E94" s="85" t="s">
        <v>101</v>
      </c>
      <c r="F94" s="85"/>
    </row>
    <row r="95" customFormat="false" ht="15" hidden="false" customHeight="false" outlineLevel="0" collapsed="false">
      <c r="A95" s="85" t="n">
        <v>16</v>
      </c>
      <c r="B95" s="85" t="s">
        <v>102</v>
      </c>
      <c r="C95" s="81"/>
      <c r="D95" s="86" t="n">
        <f aca="false">IF($B$75="Digital lock",1,0)</f>
        <v>0</v>
      </c>
      <c r="E95" s="85" t="s">
        <v>22</v>
      </c>
      <c r="F95" s="85" t="s">
        <v>103</v>
      </c>
    </row>
  </sheetData>
  <mergeCells count="50">
    <mergeCell ref="A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7:G7"/>
    <mergeCell ref="H7:I7"/>
    <mergeCell ref="J7:K7"/>
    <mergeCell ref="L7:M7"/>
    <mergeCell ref="N7:Q7"/>
    <mergeCell ref="R7:W7"/>
    <mergeCell ref="A8:A9"/>
    <mergeCell ref="B8:C9"/>
    <mergeCell ref="G8:G9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30:G30"/>
    <mergeCell ref="N30:P30"/>
    <mergeCell ref="R30:V30"/>
    <mergeCell ref="X30:AF30"/>
  </mergeCells>
  <dataValidations count="5">
    <dataValidation allowBlank="true" errorStyle="stop" operator="between" showDropDown="false" showErrorMessage="false" showInputMessage="false" sqref="B72" type="list">
      <formula1>"ขาว,ดำ"</formula1>
      <formula2>0</formula2>
    </dataValidation>
    <dataValidation allowBlank="true" errorStyle="stop" operator="between" showDropDown="false" showErrorMessage="false" showInputMessage="false" sqref="B73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74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75" type="list">
      <formula1>"คิงโบ ล็อค+กุญแจ,คิงโบ ดัมมี่+ดัมมี่,Cmech ล็อค+กุญแจ,Cmech ดัมมี่+ดัมมี่,ไม่ใส่,Digital lock"</formula1>
      <formula2>0</formula2>
    </dataValidation>
    <dataValidation allowBlank="true" errorStyle="stop" operator="between" showDropDown="false" showErrorMessage="false" showInputMessage="false" sqref="B76" type="list">
      <formula1>"คิงโบ ล็อค+กุญแจ,คิงโบ ดัมมี่+ดัมมี่,Cmech ล็อค+กุญแจ,Cmech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30" min="29" style="1" width="12.7"/>
    <col collapsed="false" customWidth="true" hidden="false" outlineLevel="0" max="32" min="32" style="1" width="8.9"/>
    <col collapsed="false" customWidth="true" hidden="true" outlineLevel="0" max="54" min="53" style="1" width="13"/>
  </cols>
  <sheetData>
    <row r="1" customFormat="false" ht="39.75" hidden="false" customHeight="true" outlineLevel="0" collapsed="false">
      <c r="A1" s="3" t="s">
        <v>165</v>
      </c>
      <c r="B1" s="4"/>
      <c r="D1" s="5"/>
      <c r="E1" s="6"/>
      <c r="F1" s="5"/>
      <c r="G1" s="7"/>
      <c r="H1" s="7"/>
      <c r="I1" s="5"/>
      <c r="J1" s="5"/>
      <c r="K1" s="5"/>
      <c r="L1" s="5"/>
      <c r="M1" s="7"/>
      <c r="N1" s="7"/>
      <c r="O1" s="8"/>
      <c r="P1" s="8"/>
      <c r="Q1" s="5"/>
      <c r="R1" s="9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BA1" s="40" t="s">
        <v>166</v>
      </c>
      <c r="BB1" s="1" t="s">
        <v>167</v>
      </c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11"/>
      <c r="H2" s="11"/>
      <c r="I2" s="7"/>
      <c r="J2" s="7"/>
      <c r="K2" s="7"/>
      <c r="L2" s="7"/>
      <c r="M2" s="7"/>
      <c r="N2" s="7"/>
      <c r="O2" s="11"/>
      <c r="P2" s="11"/>
      <c r="Q2" s="7"/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A2" s="40" t="s">
        <v>168</v>
      </c>
      <c r="BB2" s="1" t="s">
        <v>169</v>
      </c>
    </row>
    <row r="3" customFormat="false" ht="39.75" hidden="false" customHeight="true" outlineLevel="0" collapsed="false">
      <c r="A3" s="7"/>
      <c r="B3" s="7"/>
      <c r="C3" s="7"/>
      <c r="D3" s="7"/>
      <c r="E3" s="10"/>
      <c r="F3" s="7"/>
      <c r="I3" s="7"/>
      <c r="J3" s="7"/>
      <c r="K3" s="7"/>
      <c r="L3" s="7"/>
      <c r="M3" s="7"/>
      <c r="N3" s="7"/>
      <c r="O3" s="12"/>
      <c r="P3" s="12"/>
      <c r="Q3" s="7"/>
      <c r="R3" s="7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A3" s="40" t="s">
        <v>170</v>
      </c>
      <c r="BB3" s="1" t="s">
        <v>171</v>
      </c>
    </row>
    <row r="4" customFormat="false" ht="39.75" hidden="false" customHeight="true" outlineLevel="0" collapsed="false">
      <c r="A4" s="7"/>
      <c r="B4" s="7"/>
      <c r="C4" s="7"/>
      <c r="D4" s="7"/>
      <c r="F4" s="7"/>
      <c r="I4" s="7"/>
      <c r="J4" s="7"/>
      <c r="K4" s="7"/>
      <c r="L4" s="128"/>
      <c r="M4" s="7"/>
      <c r="N4" s="7"/>
      <c r="Q4" s="129"/>
      <c r="R4" s="7"/>
      <c r="BA4" s="40" t="s">
        <v>172</v>
      </c>
      <c r="BB4" s="1" t="s">
        <v>173</v>
      </c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I5" s="7"/>
      <c r="J5" s="7"/>
      <c r="K5" s="7"/>
      <c r="L5" s="7"/>
      <c r="N5" s="7"/>
      <c r="Q5" s="7"/>
      <c r="R5" s="7"/>
      <c r="BA5" s="40" t="s">
        <v>174</v>
      </c>
      <c r="BB5" s="1" t="s">
        <v>175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8</v>
      </c>
      <c r="L6" s="17"/>
      <c r="M6" s="17" t="s">
        <v>9</v>
      </c>
      <c r="N6" s="17"/>
      <c r="O6" s="17" t="s">
        <v>176</v>
      </c>
      <c r="P6" s="17"/>
      <c r="Q6" s="17" t="s">
        <v>177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  <c r="BA6" s="40" t="s">
        <v>178</v>
      </c>
      <c r="BB6" s="1" t="s">
        <v>179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1" t="s">
        <v>180</v>
      </c>
      <c r="J7" s="21"/>
      <c r="K7" s="20" t="s">
        <v>181</v>
      </c>
      <c r="L7" s="20"/>
      <c r="M7" s="20"/>
      <c r="N7" s="20"/>
      <c r="O7" s="20" t="s">
        <v>17</v>
      </c>
      <c r="P7" s="20"/>
      <c r="Q7" s="20"/>
      <c r="R7" s="20"/>
      <c r="S7" s="22"/>
      <c r="T7" s="22"/>
      <c r="U7" s="22"/>
      <c r="V7" s="22"/>
      <c r="W7" s="20"/>
      <c r="X7" s="20"/>
      <c r="Y7" s="22"/>
      <c r="Z7" s="22"/>
      <c r="AA7" s="23"/>
      <c r="AB7" s="23"/>
      <c r="AC7" s="24"/>
      <c r="AD7" s="25" t="s">
        <v>19</v>
      </c>
      <c r="AE7" s="26"/>
      <c r="BA7" s="40" t="s">
        <v>182</v>
      </c>
      <c r="BB7" s="1" t="s">
        <v>183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0"/>
      <c r="J8" s="30"/>
      <c r="K8" s="29"/>
      <c r="L8" s="29"/>
      <c r="M8" s="30"/>
      <c r="N8" s="30"/>
      <c r="O8" s="29"/>
      <c r="P8" s="29"/>
      <c r="Q8" s="30"/>
      <c r="R8" s="30"/>
      <c r="S8" s="29"/>
      <c r="T8" s="29"/>
      <c r="U8" s="30"/>
      <c r="V8" s="30"/>
      <c r="W8" s="31"/>
      <c r="X8" s="31"/>
      <c r="Y8" s="31"/>
      <c r="Z8" s="31"/>
      <c r="AA8" s="30"/>
      <c r="AB8" s="30"/>
      <c r="AC8" s="32"/>
      <c r="AD8" s="33" t="s">
        <v>23</v>
      </c>
      <c r="AE8" s="34"/>
      <c r="AK8" s="1" t="str">
        <f aca="false">VLOOKUP($B$63&amp;$B$65&amp;$B$64,$BA$1:$BB$12,2,0)</f>
        <v>JR00304</v>
      </c>
      <c r="AM8" s="1" t="s">
        <v>184</v>
      </c>
      <c r="AN8" s="1" t="s">
        <v>185</v>
      </c>
      <c r="AO8" s="1" t="s">
        <v>186</v>
      </c>
      <c r="AP8" s="1" t="s">
        <v>187</v>
      </c>
      <c r="AQ8" s="1" t="s">
        <v>24</v>
      </c>
      <c r="AR8" s="1" t="s">
        <v>25</v>
      </c>
      <c r="AS8" s="1" t="s">
        <v>28</v>
      </c>
      <c r="AT8" s="1" t="s">
        <v>188</v>
      </c>
      <c r="AU8" s="1" t="s">
        <v>188</v>
      </c>
      <c r="BA8" s="40" t="s">
        <v>189</v>
      </c>
      <c r="BB8" s="1" t="s">
        <v>190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33</v>
      </c>
      <c r="J9" s="35"/>
      <c r="K9" s="35" t="s">
        <v>34</v>
      </c>
      <c r="L9" s="35"/>
      <c r="M9" s="35" t="s">
        <v>35</v>
      </c>
      <c r="N9" s="35"/>
      <c r="O9" s="35" t="s">
        <v>36</v>
      </c>
      <c r="P9" s="35"/>
      <c r="Q9" s="35" t="s">
        <v>37</v>
      </c>
      <c r="R9" s="35"/>
      <c r="S9" s="35"/>
      <c r="T9" s="35"/>
      <c r="U9" s="35"/>
      <c r="V9" s="35"/>
      <c r="W9" s="35"/>
      <c r="X9" s="35"/>
      <c r="Y9" s="36"/>
      <c r="Z9" s="36"/>
      <c r="AA9" s="35"/>
      <c r="AB9" s="35"/>
      <c r="AC9" s="37" t="s">
        <v>191</v>
      </c>
      <c r="AD9" s="38" t="s">
        <v>109</v>
      </c>
      <c r="AE9" s="39"/>
      <c r="AK9" s="40" t="s">
        <v>192</v>
      </c>
      <c r="AM9" s="1" t="s">
        <v>193</v>
      </c>
      <c r="AN9" s="40" t="s">
        <v>194</v>
      </c>
      <c r="AO9" s="40" t="s">
        <v>195</v>
      </c>
      <c r="AP9" s="40" t="s">
        <v>196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1" t="s">
        <v>197</v>
      </c>
      <c r="BB9" s="1" t="s">
        <v>198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44" t="s">
        <v>57</v>
      </c>
      <c r="D10" s="45" t="s">
        <v>58</v>
      </c>
      <c r="E10" s="46" t="s">
        <v>59</v>
      </c>
      <c r="F10" s="47" t="s">
        <v>60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8" t="s">
        <v>60</v>
      </c>
      <c r="U10" s="46" t="s">
        <v>59</v>
      </c>
      <c r="V10" s="48" t="s">
        <v>60</v>
      </c>
      <c r="W10" s="46" t="s">
        <v>59</v>
      </c>
      <c r="X10" s="47" t="s">
        <v>60</v>
      </c>
      <c r="Y10" s="46" t="s">
        <v>59</v>
      </c>
      <c r="Z10" s="48" t="s">
        <v>60</v>
      </c>
      <c r="AA10" s="46" t="s">
        <v>59</v>
      </c>
      <c r="AB10" s="48" t="s">
        <v>60</v>
      </c>
      <c r="AC10" s="49" t="s">
        <v>61</v>
      </c>
      <c r="AD10" s="50" t="s">
        <v>62</v>
      </c>
      <c r="AE10" s="51" t="s">
        <v>60</v>
      </c>
      <c r="AK10" s="40" t="s">
        <v>60</v>
      </c>
      <c r="AM10" s="40" t="s">
        <v>60</v>
      </c>
      <c r="AN10" s="40" t="s">
        <v>60</v>
      </c>
      <c r="AO10" s="40" t="s">
        <v>60</v>
      </c>
      <c r="AP10" s="40" t="s">
        <v>60</v>
      </c>
      <c r="AQ10" s="40" t="s">
        <v>60</v>
      </c>
      <c r="AR10" s="40" t="s">
        <v>60</v>
      </c>
      <c r="AS10" s="40" t="s">
        <v>60</v>
      </c>
      <c r="AT10" s="40" t="s">
        <v>60</v>
      </c>
      <c r="AU10" s="40" t="s">
        <v>60</v>
      </c>
      <c r="BA10" s="1" t="s">
        <v>199</v>
      </c>
      <c r="BB10" s="1" t="s">
        <v>200</v>
      </c>
    </row>
    <row r="11" customFormat="false" ht="39.75" hidden="false" customHeight="true" outlineLevel="0" collapsed="false">
      <c r="A11" s="52" t="s">
        <v>119</v>
      </c>
      <c r="B11" s="53" t="n">
        <v>400</v>
      </c>
      <c r="C11" s="54" t="n">
        <v>600</v>
      </c>
      <c r="D11" s="55" t="n">
        <v>1</v>
      </c>
      <c r="E11" s="56" t="n">
        <f aca="false">IF($A11="","",$B11)</f>
        <v>400</v>
      </c>
      <c r="F11" s="54" t="n">
        <f aca="false">IF($A11="","",$L$54*$D11)</f>
        <v>2</v>
      </c>
      <c r="G11" s="56" t="n">
        <f aca="false">IF($A11="","",$C11-$E$55-$F$55)</f>
        <v>550</v>
      </c>
      <c r="H11" s="54" t="n">
        <f aca="false">IF($A11="","",$L$55*$D11)</f>
        <v>1</v>
      </c>
      <c r="I11" s="56" t="n">
        <f aca="false">IF($A11="","",$C11-$E$56-$F$56)</f>
        <v>550</v>
      </c>
      <c r="J11" s="54" t="n">
        <f aca="false">IF($A11="","",$L$56*$D11)</f>
        <v>1</v>
      </c>
      <c r="K11" s="56" t="n">
        <f aca="false">IF($A11="","",$B11-$E$57-$F$57)</f>
        <v>363</v>
      </c>
      <c r="L11" s="54" t="n">
        <f aca="false">IF($A11="","",$L$57*$D11)</f>
        <v>2</v>
      </c>
      <c r="M11" s="56" t="n">
        <f aca="false">IF($A11="","",(($C11-$E$58-$F$58)))</f>
        <v>563</v>
      </c>
      <c r="N11" s="54" t="n">
        <f aca="false">IF($A11="","",$L$58*$D11)</f>
        <v>2</v>
      </c>
      <c r="O11" s="56" t="n">
        <f aca="false">IF($A11="","",$K11-$E$59-$F$59)</f>
        <v>203</v>
      </c>
      <c r="P11" s="54" t="n">
        <f aca="false">IF($A11="","",$L$59*$D11)</f>
        <v>2</v>
      </c>
      <c r="Q11" s="56" t="n">
        <f aca="false">IF($A11="","",$M11-$E$60-$F$60)</f>
        <v>443</v>
      </c>
      <c r="R11" s="54" t="n">
        <f aca="false">IF($A11="","",$L$60*$D11)</f>
        <v>2</v>
      </c>
      <c r="S11" s="56"/>
      <c r="T11" s="54"/>
      <c r="U11" s="56"/>
      <c r="V11" s="54"/>
      <c r="W11" s="56"/>
      <c r="X11" s="54"/>
      <c r="Y11" s="56"/>
      <c r="Z11" s="54"/>
      <c r="AA11" s="56"/>
      <c r="AB11" s="54"/>
      <c r="AC11" s="57" t="n">
        <f aca="false">IF($A11="","",$K11-67-67)</f>
        <v>229</v>
      </c>
      <c r="AD11" s="58" t="n">
        <f aca="false">IF($A11="","",$M11-67-67)</f>
        <v>429</v>
      </c>
      <c r="AE11" s="59" t="n">
        <f aca="false">IF($A11="","",1*$D11)</f>
        <v>1</v>
      </c>
      <c r="AK11" s="40" t="n">
        <f aca="false">IF($A11="","",1*$D11)</f>
        <v>1</v>
      </c>
      <c r="AM11" s="40" t="n">
        <f aca="false">IF($A11="","",1*$D11)</f>
        <v>1</v>
      </c>
      <c r="AN11" s="40" t="n">
        <f aca="false">IF($A11="","",2*1*$D11)</f>
        <v>2</v>
      </c>
      <c r="AO11" s="40" t="n">
        <f aca="false">IF($A11="","",(2+IF($B11&gt;1800,ROUNDUP(($B11-1800)/500,0),0))*1*$D11)</f>
        <v>2</v>
      </c>
      <c r="AP11" s="40" t="n">
        <f aca="false">IF($A11="","",(2+IF($B11&gt;1800,ROUNDUP(($B11-1800)/500,0),0))*1*$D11)</f>
        <v>2</v>
      </c>
      <c r="AQ11" s="40" t="n">
        <f aca="false">IF($A11="","",4*1*$D11)</f>
        <v>4</v>
      </c>
      <c r="AR11" s="40" t="n">
        <f aca="false">IF($A11="","",8*1*$D11)</f>
        <v>8</v>
      </c>
      <c r="AS11" s="40" t="n">
        <f aca="false">IF($A11="","",8*$D11)</f>
        <v>8</v>
      </c>
      <c r="AT11" s="40" t="n">
        <f aca="false">IF($A11="","",ROUND((2*($C11+$B11))*1*$D11/1000,1))</f>
        <v>2</v>
      </c>
      <c r="AU11" s="40" t="n">
        <f aca="false">IF($A11="","",ROUND((2*($C11+$B11))*$D11/1000,1))</f>
        <v>2</v>
      </c>
      <c r="BA11" s="1" t="s">
        <v>201</v>
      </c>
      <c r="BB11" s="1" t="s">
        <v>202</v>
      </c>
    </row>
    <row r="12" customFormat="false" ht="39.75" hidden="false" customHeight="true" outlineLevel="0" collapsed="false">
      <c r="A12" s="52" t="s">
        <v>120</v>
      </c>
      <c r="B12" s="53" t="n">
        <v>400</v>
      </c>
      <c r="C12" s="54" t="n">
        <v>600</v>
      </c>
      <c r="D12" s="55" t="n">
        <v>1</v>
      </c>
      <c r="E12" s="60" t="n">
        <f aca="false">IF($A12="","",$B12)</f>
        <v>400</v>
      </c>
      <c r="F12" s="61" t="n">
        <f aca="false">IF($A12="","",$L$54*$D12)</f>
        <v>2</v>
      </c>
      <c r="G12" s="60" t="n">
        <f aca="false">IF($A12="","",$C12-$E$55-$F$55)</f>
        <v>550</v>
      </c>
      <c r="H12" s="61" t="n">
        <f aca="false">IF($A12="","",$L$55*$D12)</f>
        <v>1</v>
      </c>
      <c r="I12" s="60" t="n">
        <f aca="false">IF($A12="","",$C12-$E$56-$F$56)</f>
        <v>550</v>
      </c>
      <c r="J12" s="61" t="n">
        <f aca="false">IF($A12="","",$L$56*$D12)</f>
        <v>1</v>
      </c>
      <c r="K12" s="60" t="n">
        <f aca="false">IF($A12="","",$B12-$E$57-$F$57)</f>
        <v>363</v>
      </c>
      <c r="L12" s="61" t="n">
        <f aca="false">IF($A12="","",$L$57*$D12)</f>
        <v>2</v>
      </c>
      <c r="M12" s="60" t="n">
        <f aca="false">IF($A12="","",(($C12-$E$58-$F$58)))</f>
        <v>563</v>
      </c>
      <c r="N12" s="61" t="n">
        <f aca="false">IF($A12="","",$L$58*$D12)</f>
        <v>2</v>
      </c>
      <c r="O12" s="60" t="n">
        <f aca="false">IF($A12="","",$K12-$E$59-$F$59)</f>
        <v>203</v>
      </c>
      <c r="P12" s="61" t="n">
        <f aca="false">IF($A12="","",$L$59*$D12)</f>
        <v>2</v>
      </c>
      <c r="Q12" s="60" t="n">
        <f aca="false">IF($A12="","",$M12-$E$60-$F$60)</f>
        <v>443</v>
      </c>
      <c r="R12" s="61" t="n">
        <f aca="false">IF($A12="","",$L$60*$D12)</f>
        <v>2</v>
      </c>
      <c r="S12" s="60"/>
      <c r="T12" s="61"/>
      <c r="U12" s="60"/>
      <c r="V12" s="61"/>
      <c r="W12" s="60"/>
      <c r="X12" s="61"/>
      <c r="Y12" s="60"/>
      <c r="Z12" s="61"/>
      <c r="AA12" s="60"/>
      <c r="AB12" s="61"/>
      <c r="AC12" s="57" t="n">
        <f aca="false">IF($A12="","",$K12-67-67)</f>
        <v>229</v>
      </c>
      <c r="AD12" s="58" t="n">
        <f aca="false">IF($A12="","",$M12-67-67)</f>
        <v>429</v>
      </c>
      <c r="AE12" s="59" t="n">
        <f aca="false">IF($A12="","",1*$D12)</f>
        <v>1</v>
      </c>
      <c r="AK12" s="40" t="n">
        <f aca="false">IF($A12="","",1*$D12)</f>
        <v>1</v>
      </c>
      <c r="AM12" s="40" t="n">
        <f aca="false">IF($A12="","",1*$D12)</f>
        <v>1</v>
      </c>
      <c r="AN12" s="40" t="n">
        <f aca="false">IF($A12="","",2*1*$D12)</f>
        <v>2</v>
      </c>
      <c r="AO12" s="40" t="n">
        <f aca="false">IF($A12="","",(2+IF($B12&gt;1800,ROUNDUP(($B12-1800)/500,0),0))*1*$D12)</f>
        <v>2</v>
      </c>
      <c r="AP12" s="40" t="n">
        <f aca="false">IF($A12="","",(2+IF($B12&gt;1800,ROUNDUP(($B12-1800)/500,0),0))*1*$D12)</f>
        <v>2</v>
      </c>
      <c r="AQ12" s="40" t="n">
        <f aca="false">IF($A12="","",4*1*$D12)</f>
        <v>4</v>
      </c>
      <c r="AR12" s="40" t="n">
        <f aca="false">IF($A12="","",8*1*$D12)</f>
        <v>8</v>
      </c>
      <c r="AS12" s="40" t="n">
        <f aca="false">IF($A12="","",8*$D12)</f>
        <v>8</v>
      </c>
      <c r="AT12" s="40" t="n">
        <f aca="false">IF($A12="","",ROUND((2*($C12+$B12))*1*$D12/1000,1))</f>
        <v>2</v>
      </c>
      <c r="AU12" s="40" t="n">
        <f aca="false">IF($A12="","",ROUND((2*($C12+$B12))*$D12/1000,1))</f>
        <v>2</v>
      </c>
      <c r="BA12" s="1" t="s">
        <v>203</v>
      </c>
      <c r="BB12" s="1" t="s">
        <v>204</v>
      </c>
    </row>
    <row r="13" customFormat="false" ht="39.75" hidden="false" customHeight="true" outlineLevel="0" collapsed="false">
      <c r="A13" s="130" t="s">
        <v>145</v>
      </c>
      <c r="B13" s="53" t="n">
        <v>1600</v>
      </c>
      <c r="C13" s="54" t="n">
        <v>600</v>
      </c>
      <c r="D13" s="55" t="n">
        <v>1</v>
      </c>
      <c r="E13" s="56" t="n">
        <f aca="false">IF($A13="","",$B13)</f>
        <v>1600</v>
      </c>
      <c r="F13" s="54" t="n">
        <f aca="false">IF($A13="","",$L$54*$D13)</f>
        <v>2</v>
      </c>
      <c r="G13" s="56" t="n">
        <f aca="false">IF($A13="","",$C13-$E$55-$F$55)</f>
        <v>550</v>
      </c>
      <c r="H13" s="54" t="n">
        <f aca="false">IF($A13="","",$L$55*$D13)</f>
        <v>1</v>
      </c>
      <c r="I13" s="56" t="n">
        <f aca="false">IF($A13="","",$C13-$E$56-$F$56)</f>
        <v>550</v>
      </c>
      <c r="J13" s="54" t="n">
        <f aca="false">IF($A13="","",$L$56*$D13)</f>
        <v>1</v>
      </c>
      <c r="K13" s="56" t="n">
        <f aca="false">IF($A13="","",$B13-$E$57-$F$57)</f>
        <v>1563</v>
      </c>
      <c r="L13" s="54" t="n">
        <f aca="false">IF($A13="","",$L$57*$D13)</f>
        <v>2</v>
      </c>
      <c r="M13" s="56" t="n">
        <f aca="false">IF($A13="","",(($C13-$E$58-$F$58)))</f>
        <v>563</v>
      </c>
      <c r="N13" s="54" t="n">
        <f aca="false">IF($A13="","",$L$58*$D13)</f>
        <v>2</v>
      </c>
      <c r="O13" s="56" t="n">
        <f aca="false">IF($A13="","",$K13-$E$59-$F$59)</f>
        <v>1403</v>
      </c>
      <c r="P13" s="54" t="n">
        <f aca="false">IF($A13="","",$L$59*$D13)</f>
        <v>2</v>
      </c>
      <c r="Q13" s="56" t="n">
        <f aca="false">IF($A13="","",$M13-$E$60-$F$60)</f>
        <v>443</v>
      </c>
      <c r="R13" s="54" t="n">
        <f aca="false">IF($A13="","",$L$60*$D13)</f>
        <v>2</v>
      </c>
      <c r="S13" s="56"/>
      <c r="T13" s="54"/>
      <c r="U13" s="56"/>
      <c r="V13" s="54"/>
      <c r="W13" s="56"/>
      <c r="X13" s="54"/>
      <c r="Y13" s="56"/>
      <c r="Z13" s="54"/>
      <c r="AA13" s="56"/>
      <c r="AB13" s="54"/>
      <c r="AC13" s="57" t="n">
        <f aca="false">IF($A13="","",$K13-67-67)</f>
        <v>1429</v>
      </c>
      <c r="AD13" s="58" t="n">
        <f aca="false">IF($A13="","",$M13-67-67)</f>
        <v>429</v>
      </c>
      <c r="AE13" s="59" t="n">
        <f aca="false">IF($A13="","",1*$D13)</f>
        <v>1</v>
      </c>
      <c r="AK13" s="40" t="n">
        <f aca="false">IF($A13="","",1*$D13)</f>
        <v>1</v>
      </c>
      <c r="AM13" s="40" t="n">
        <f aca="false">IF($A13="","",1*$D13)</f>
        <v>1</v>
      </c>
      <c r="AN13" s="40" t="n">
        <f aca="false">IF($A13="","",2*1*$D13)</f>
        <v>2</v>
      </c>
      <c r="AO13" s="40" t="n">
        <f aca="false">IF($A13="","",(2+IF($B13&gt;1800,ROUNDUP(($B13-1800)/500,0),0))*1*$D13)</f>
        <v>2</v>
      </c>
      <c r="AP13" s="40" t="n">
        <f aca="false">IF($A13="","",(2+IF($B13&gt;1800,ROUNDUP(($B13-1800)/500,0),0))*1*$D13)</f>
        <v>2</v>
      </c>
      <c r="AQ13" s="40" t="n">
        <f aca="false">IF($A13="","",4*1*$D13)</f>
        <v>4</v>
      </c>
      <c r="AR13" s="40" t="n">
        <f aca="false">IF($A13="","",8*1*$D13)</f>
        <v>8</v>
      </c>
      <c r="AS13" s="40" t="n">
        <f aca="false">IF($A13="","",8*$D13)</f>
        <v>8</v>
      </c>
      <c r="AT13" s="40" t="n">
        <f aca="false">IF($A13="","",ROUND((2*($C13+$B13))*1*$D13/1000,1))</f>
        <v>4.4</v>
      </c>
      <c r="AU13" s="40" t="n">
        <f aca="false">IF($A13="","",ROUND((2*($C13+$B13))*$D13/1000,1))</f>
        <v>4.4</v>
      </c>
    </row>
    <row r="14" customFormat="false" ht="39.75" hidden="false" customHeight="true" outlineLevel="0" collapsed="false">
      <c r="A14" s="52" t="s">
        <v>205</v>
      </c>
      <c r="B14" s="53" t="n">
        <v>1600</v>
      </c>
      <c r="C14" s="54" t="n">
        <v>600</v>
      </c>
      <c r="D14" s="55" t="n">
        <v>1</v>
      </c>
      <c r="E14" s="60" t="n">
        <f aca="false">IF($A14="","",$B14)</f>
        <v>1600</v>
      </c>
      <c r="F14" s="61" t="n">
        <f aca="false">IF($A14="","",$L$54*$D14)</f>
        <v>2</v>
      </c>
      <c r="G14" s="60" t="n">
        <f aca="false">IF($A14="","",$C14-$E$55-$F$55)</f>
        <v>550</v>
      </c>
      <c r="H14" s="61" t="n">
        <f aca="false">IF($A14="","",$L$55*$D14)</f>
        <v>1</v>
      </c>
      <c r="I14" s="60" t="n">
        <f aca="false">IF($A14="","",$C14-$E$56-$F$56)</f>
        <v>550</v>
      </c>
      <c r="J14" s="61" t="n">
        <f aca="false">IF($A14="","",$L$56*$D14)</f>
        <v>1</v>
      </c>
      <c r="K14" s="60" t="n">
        <f aca="false">IF($A14="","",$B14-$E$57-$F$57)</f>
        <v>1563</v>
      </c>
      <c r="L14" s="61" t="n">
        <f aca="false">IF($A14="","",$L$57*$D14)</f>
        <v>2</v>
      </c>
      <c r="M14" s="60" t="n">
        <f aca="false">IF($A14="","",(($C14-$E$58-$F$58)))</f>
        <v>563</v>
      </c>
      <c r="N14" s="61" t="n">
        <f aca="false">IF($A14="","",$L$58*$D14)</f>
        <v>2</v>
      </c>
      <c r="O14" s="60" t="n">
        <f aca="false">IF($A14="","",$K14-$E$59-$F$59)</f>
        <v>1403</v>
      </c>
      <c r="P14" s="61" t="n">
        <f aca="false">IF($A14="","",$L$59*$D14)</f>
        <v>2</v>
      </c>
      <c r="Q14" s="60" t="n">
        <f aca="false">IF($A14="","",$M14-$E$60-$F$60)</f>
        <v>443</v>
      </c>
      <c r="R14" s="61" t="n">
        <f aca="false">IF($A14="","",$L$60*$D14)</f>
        <v>2</v>
      </c>
      <c r="S14" s="60"/>
      <c r="T14" s="61"/>
      <c r="U14" s="60"/>
      <c r="V14" s="61"/>
      <c r="W14" s="60"/>
      <c r="X14" s="61"/>
      <c r="Y14" s="60"/>
      <c r="Z14" s="61"/>
      <c r="AA14" s="60"/>
      <c r="AB14" s="61"/>
      <c r="AC14" s="57" t="n">
        <f aca="false">IF($A14="","",$K14-67-67)</f>
        <v>1429</v>
      </c>
      <c r="AD14" s="58" t="n">
        <f aca="false">IF($A14="","",$M14-67-67)</f>
        <v>429</v>
      </c>
      <c r="AE14" s="59" t="n">
        <f aca="false">IF($A14="","",1*$D14)</f>
        <v>1</v>
      </c>
      <c r="AK14" s="40" t="n">
        <f aca="false">IF($A14="","",1*$D14)</f>
        <v>1</v>
      </c>
      <c r="AM14" s="40" t="n">
        <f aca="false">IF($A14="","",1*$D14)</f>
        <v>1</v>
      </c>
      <c r="AN14" s="40" t="n">
        <f aca="false">IF($A14="","",2*1*$D14)</f>
        <v>2</v>
      </c>
      <c r="AO14" s="40" t="n">
        <f aca="false">IF($A14="","",(2+IF($B14&gt;1800,ROUNDUP(($B14-1800)/500,0),0))*1*$D14)</f>
        <v>2</v>
      </c>
      <c r="AP14" s="40" t="n">
        <f aca="false">IF($A14="","",(2+IF($B14&gt;1800,ROUNDUP(($B14-1800)/500,0),0))*1*$D14)</f>
        <v>2</v>
      </c>
      <c r="AQ14" s="40" t="n">
        <f aca="false">IF($A14="","",4*1*$D14)</f>
        <v>4</v>
      </c>
      <c r="AR14" s="40" t="n">
        <f aca="false">IF($A14="","",8*1*$D14)</f>
        <v>8</v>
      </c>
      <c r="AS14" s="40" t="n">
        <f aca="false">IF($A14="","",8*$D14)</f>
        <v>8</v>
      </c>
      <c r="AT14" s="40" t="n">
        <f aca="false">IF($A14="","",ROUND((2*($C14+$B14))*1*$D14/1000,1))</f>
        <v>4.4</v>
      </c>
      <c r="AU14" s="40" t="n">
        <f aca="false">IF($A14="","",ROUND((2*($C14+$B14))*$D14/1000,1))</f>
        <v>4.4</v>
      </c>
    </row>
    <row r="15" customFormat="false" ht="39.75" hidden="false" customHeight="true" outlineLevel="0" collapsed="false">
      <c r="A15" s="131" t="s">
        <v>206</v>
      </c>
      <c r="B15" s="53" t="n">
        <v>1600</v>
      </c>
      <c r="C15" s="54" t="n">
        <v>600</v>
      </c>
      <c r="D15" s="55" t="n">
        <v>1</v>
      </c>
      <c r="E15" s="56" t="n">
        <f aca="false">IF($A15="","",$B15)</f>
        <v>1600</v>
      </c>
      <c r="F15" s="54" t="n">
        <f aca="false">IF($A15="","",$L$54*$D15)</f>
        <v>2</v>
      </c>
      <c r="G15" s="56" t="n">
        <f aca="false">IF($A15="","",$C15-$E$55-$F$55)</f>
        <v>550</v>
      </c>
      <c r="H15" s="54" t="n">
        <f aca="false">IF($A15="","",$L$55*$D15)</f>
        <v>1</v>
      </c>
      <c r="I15" s="56" t="n">
        <f aca="false">IF($A15="","",$C15-$E$56-$F$56)</f>
        <v>550</v>
      </c>
      <c r="J15" s="54" t="n">
        <f aca="false">IF($A15="","",$L$56*$D15)</f>
        <v>1</v>
      </c>
      <c r="K15" s="56" t="n">
        <f aca="false">IF($A15="","",$B15-$E$57-$F$57)</f>
        <v>1563</v>
      </c>
      <c r="L15" s="54" t="n">
        <f aca="false">IF($A15="","",$L$57*$D15)</f>
        <v>2</v>
      </c>
      <c r="M15" s="56" t="n">
        <f aca="false">IF($A15="","",(($C15-$E$58-$F$58)))</f>
        <v>563</v>
      </c>
      <c r="N15" s="54" t="n">
        <f aca="false">IF($A15="","",$L$58*$D15)</f>
        <v>2</v>
      </c>
      <c r="O15" s="56" t="n">
        <f aca="false">IF($A15="","",$K15-$E$59-$F$59)</f>
        <v>1403</v>
      </c>
      <c r="P15" s="54" t="n">
        <f aca="false">IF($A15="","",$L$59*$D15)</f>
        <v>2</v>
      </c>
      <c r="Q15" s="56" t="n">
        <f aca="false">IF($A15="","",$M15-$E$60-$F$60)</f>
        <v>443</v>
      </c>
      <c r="R15" s="54" t="n">
        <f aca="false">IF($A15="","",$L$60*$D15)</f>
        <v>2</v>
      </c>
      <c r="S15" s="56"/>
      <c r="T15" s="54"/>
      <c r="U15" s="56"/>
      <c r="V15" s="54"/>
      <c r="W15" s="56"/>
      <c r="X15" s="54"/>
      <c r="Y15" s="56"/>
      <c r="Z15" s="54"/>
      <c r="AA15" s="56"/>
      <c r="AB15" s="54"/>
      <c r="AC15" s="57" t="n">
        <f aca="false">IF($A15="","",$K15-67-67)</f>
        <v>1429</v>
      </c>
      <c r="AD15" s="58" t="n">
        <f aca="false">IF($A15="","",$M15-67-67)</f>
        <v>429</v>
      </c>
      <c r="AE15" s="59" t="n">
        <f aca="false">IF($A15="","",1*$D15)</f>
        <v>1</v>
      </c>
      <c r="AK15" s="40" t="n">
        <f aca="false">IF($A15="","",1*$D15)</f>
        <v>1</v>
      </c>
      <c r="AM15" s="40" t="n">
        <f aca="false">IF($A15="","",1*$D15)</f>
        <v>1</v>
      </c>
      <c r="AN15" s="40" t="n">
        <f aca="false">IF($A15="","",2*1*$D15)</f>
        <v>2</v>
      </c>
      <c r="AO15" s="40" t="n">
        <f aca="false">IF($A15="","",(2+IF($B15&gt;1800,ROUNDUP(($B15-1800)/500,0),0))*1*$D15)</f>
        <v>2</v>
      </c>
      <c r="AP15" s="40" t="n">
        <f aca="false">IF($A15="","",(2+IF($B15&gt;1800,ROUNDUP(($B15-1800)/500,0),0))*1*$D15)</f>
        <v>2</v>
      </c>
      <c r="AQ15" s="40" t="n">
        <f aca="false">IF($A15="","",4*1*$D15)</f>
        <v>4</v>
      </c>
      <c r="AR15" s="40" t="n">
        <f aca="false">IF($A15="","",8*1*$D15)</f>
        <v>8</v>
      </c>
      <c r="AS15" s="40" t="n">
        <f aca="false">IF($A15="","",8*$D15)</f>
        <v>8</v>
      </c>
      <c r="AT15" s="40" t="n">
        <f aca="false">IF($A15="","",ROUND((2*($C15+$B15))*1*$D15/1000,1))</f>
        <v>4.4</v>
      </c>
      <c r="AU15" s="40" t="n">
        <f aca="false">IF($A15="","",ROUND((2*($C15+$B15))*$D15/1000,1))</f>
        <v>4.4</v>
      </c>
    </row>
    <row r="16" customFormat="false" ht="39.75" hidden="false" customHeight="true" outlineLevel="0" collapsed="false">
      <c r="A16" s="131" t="s">
        <v>207</v>
      </c>
      <c r="B16" s="53" t="n">
        <v>1600</v>
      </c>
      <c r="C16" s="54" t="n">
        <v>600</v>
      </c>
      <c r="D16" s="55" t="n">
        <v>1</v>
      </c>
      <c r="E16" s="60" t="n">
        <f aca="false">IF($A16="","",$B16)</f>
        <v>1600</v>
      </c>
      <c r="F16" s="61" t="n">
        <f aca="false">IF($A16="","",$L$54*$D16)</f>
        <v>2</v>
      </c>
      <c r="G16" s="60" t="n">
        <f aca="false">IF($A16="","",$C16-$E$55-$F$55)</f>
        <v>550</v>
      </c>
      <c r="H16" s="61" t="n">
        <f aca="false">IF($A16="","",$L$55*$D16)</f>
        <v>1</v>
      </c>
      <c r="I16" s="60" t="n">
        <f aca="false">IF($A16="","",$C16-$E$56-$F$56)</f>
        <v>550</v>
      </c>
      <c r="J16" s="61" t="n">
        <f aca="false">IF($A16="","",$L$56*$D16)</f>
        <v>1</v>
      </c>
      <c r="K16" s="60" t="n">
        <f aca="false">IF($A16="","",$B16-$E$57-$F$57)</f>
        <v>1563</v>
      </c>
      <c r="L16" s="61" t="n">
        <f aca="false">IF($A16="","",$L$57*$D16)</f>
        <v>2</v>
      </c>
      <c r="M16" s="60" t="n">
        <f aca="false">IF($A16="","",(($C16-$E$58-$F$58)))</f>
        <v>563</v>
      </c>
      <c r="N16" s="61" t="n">
        <f aca="false">IF($A16="","",$L$58*$D16)</f>
        <v>2</v>
      </c>
      <c r="O16" s="60" t="n">
        <f aca="false">IF($A16="","",$K16-$E$59-$F$59)</f>
        <v>1403</v>
      </c>
      <c r="P16" s="61" t="n">
        <f aca="false">IF($A16="","",$L$59*$D16)</f>
        <v>2</v>
      </c>
      <c r="Q16" s="60" t="n">
        <f aca="false">IF($A16="","",$M16-$E$60-$F$60)</f>
        <v>443</v>
      </c>
      <c r="R16" s="61" t="n">
        <f aca="false">IF($A16="","",$L$60*$D16)</f>
        <v>2</v>
      </c>
      <c r="S16" s="60"/>
      <c r="T16" s="61"/>
      <c r="U16" s="60"/>
      <c r="V16" s="61"/>
      <c r="W16" s="60"/>
      <c r="X16" s="61"/>
      <c r="Y16" s="60"/>
      <c r="Z16" s="61"/>
      <c r="AA16" s="60"/>
      <c r="AB16" s="61"/>
      <c r="AC16" s="57" t="n">
        <f aca="false">IF($A16="","",$K16-67-67)</f>
        <v>1429</v>
      </c>
      <c r="AD16" s="58" t="n">
        <f aca="false">IF($A16="","",$M16-67-67)</f>
        <v>429</v>
      </c>
      <c r="AE16" s="59" t="n">
        <f aca="false">IF($A16="","",1*$D16)</f>
        <v>1</v>
      </c>
      <c r="AK16" s="40" t="n">
        <f aca="false">IF($A16="","",1*$D16)</f>
        <v>1</v>
      </c>
      <c r="AM16" s="40" t="n">
        <f aca="false">IF($A16="","",1*$D16)</f>
        <v>1</v>
      </c>
      <c r="AN16" s="40" t="n">
        <f aca="false">IF($A16="","",2*1*$D16)</f>
        <v>2</v>
      </c>
      <c r="AO16" s="40" t="n">
        <f aca="false">IF($A16="","",(2+IF($B16&gt;1800,ROUNDUP(($B16-1800)/500,0),0))*1*$D16)</f>
        <v>2</v>
      </c>
      <c r="AP16" s="40" t="n">
        <f aca="false">IF($A16="","",(2+IF($B16&gt;1800,ROUNDUP(($B16-1800)/500,0),0))*1*$D16)</f>
        <v>2</v>
      </c>
      <c r="AQ16" s="40" t="n">
        <f aca="false">IF($A16="","",4*1*$D16)</f>
        <v>4</v>
      </c>
      <c r="AR16" s="40" t="n">
        <f aca="false">IF($A16="","",8*1*$D16)</f>
        <v>8</v>
      </c>
      <c r="AS16" s="40" t="n">
        <f aca="false">IF($A16="","",8*$D16)</f>
        <v>8</v>
      </c>
      <c r="AT16" s="40" t="n">
        <f aca="false">IF($A16="","",ROUND((2*($C16+$B16))*1*$D16/1000,1))</f>
        <v>4.4</v>
      </c>
      <c r="AU16" s="40" t="n">
        <f aca="false">IF($A16="","",ROUND((2*($C16+$B16))*$D16/1000,1))</f>
        <v>4.4</v>
      </c>
    </row>
    <row r="17" customFormat="false" ht="39.75" hidden="false" customHeight="true" outlineLevel="0" collapsed="false">
      <c r="A17" s="52" t="s">
        <v>208</v>
      </c>
      <c r="B17" s="53" t="n">
        <v>1600</v>
      </c>
      <c r="C17" s="54" t="n">
        <v>600</v>
      </c>
      <c r="D17" s="55" t="n">
        <v>1</v>
      </c>
      <c r="E17" s="56" t="n">
        <f aca="false">IF($A17="","",$B17)</f>
        <v>1600</v>
      </c>
      <c r="F17" s="54" t="n">
        <f aca="false">IF($A17="","",$L$54*$D17)</f>
        <v>2</v>
      </c>
      <c r="G17" s="56" t="n">
        <f aca="false">IF($A17="","",$C17-$E$55-$F$55)</f>
        <v>550</v>
      </c>
      <c r="H17" s="54" t="n">
        <f aca="false">IF($A17="","",$L$55*$D17)</f>
        <v>1</v>
      </c>
      <c r="I17" s="56" t="n">
        <f aca="false">IF($A17="","",$C17-$E$56-$F$56)</f>
        <v>550</v>
      </c>
      <c r="J17" s="54" t="n">
        <f aca="false">IF($A17="","",$L$56*$D17)</f>
        <v>1</v>
      </c>
      <c r="K17" s="56" t="n">
        <f aca="false">IF($A17="","",$B17-$E$57-$F$57)</f>
        <v>1563</v>
      </c>
      <c r="L17" s="54" t="n">
        <f aca="false">IF($A17="","",$L$57*$D17)</f>
        <v>2</v>
      </c>
      <c r="M17" s="56" t="n">
        <f aca="false">IF($A17="","",(($C17-$E$58-$F$58)))</f>
        <v>563</v>
      </c>
      <c r="N17" s="54" t="n">
        <f aca="false">IF($A17="","",$L$58*$D17)</f>
        <v>2</v>
      </c>
      <c r="O17" s="56" t="n">
        <f aca="false">IF($A17="","",$K17-$E$59-$F$59)</f>
        <v>1403</v>
      </c>
      <c r="P17" s="54" t="n">
        <f aca="false">IF($A17="","",$L$59*$D17)</f>
        <v>2</v>
      </c>
      <c r="Q17" s="56" t="n">
        <f aca="false">IF($A17="","",$M17-$E$60-$F$60)</f>
        <v>443</v>
      </c>
      <c r="R17" s="54" t="n">
        <f aca="false">IF($A17="","",$L$60*$D17)</f>
        <v>2</v>
      </c>
      <c r="S17" s="56"/>
      <c r="T17" s="54"/>
      <c r="U17" s="56"/>
      <c r="V17" s="54"/>
      <c r="W17" s="56"/>
      <c r="X17" s="54"/>
      <c r="Y17" s="56"/>
      <c r="Z17" s="54"/>
      <c r="AA17" s="56"/>
      <c r="AB17" s="54"/>
      <c r="AC17" s="57" t="n">
        <f aca="false">IF($A17="","",$K17-67-67)</f>
        <v>1429</v>
      </c>
      <c r="AD17" s="58" t="n">
        <f aca="false">IF($A17="","",$M17-67-67)</f>
        <v>429</v>
      </c>
      <c r="AE17" s="59" t="n">
        <f aca="false">IF($A17="","",1*$D17)</f>
        <v>1</v>
      </c>
      <c r="AK17" s="40" t="n">
        <f aca="false">IF($A17="","",1*$D17)</f>
        <v>1</v>
      </c>
      <c r="AM17" s="40" t="n">
        <f aca="false">IF($A17="","",1*$D17)</f>
        <v>1</v>
      </c>
      <c r="AN17" s="40" t="n">
        <f aca="false">IF($A17="","",2*1*$D17)</f>
        <v>2</v>
      </c>
      <c r="AO17" s="40" t="n">
        <f aca="false">IF($A17="","",(2+IF($B17&gt;1800,ROUNDUP(($B17-1800)/500,0),0))*1*$D17)</f>
        <v>2</v>
      </c>
      <c r="AP17" s="40" t="n">
        <f aca="false">IF($A17="","",(2+IF($B17&gt;1800,ROUNDUP(($B17-1800)/500,0),0))*1*$D17)</f>
        <v>2</v>
      </c>
      <c r="AQ17" s="40" t="n">
        <f aca="false">IF($A17="","",4*1*$D17)</f>
        <v>4</v>
      </c>
      <c r="AR17" s="40" t="n">
        <f aca="false">IF($A17="","",8*1*$D17)</f>
        <v>8</v>
      </c>
      <c r="AS17" s="40" t="n">
        <f aca="false">IF($A17="","",8*$D17)</f>
        <v>8</v>
      </c>
      <c r="AT17" s="40" t="n">
        <f aca="false">IF($A17="","",ROUND((2*($C17+$B17))*1*$D17/1000,1))</f>
        <v>4.4</v>
      </c>
      <c r="AU17" s="40" t="n">
        <f aca="false">IF($A17="","",ROUND((2*($C17+$B17))*$D17/1000,1))</f>
        <v>4.4</v>
      </c>
    </row>
    <row r="18" customFormat="false" ht="39.75" hidden="false" customHeight="true" outlineLevel="0" collapsed="false">
      <c r="A18" s="52"/>
      <c r="B18" s="53"/>
      <c r="C18" s="54"/>
      <c r="D18" s="55"/>
      <c r="E18" s="60" t="str">
        <f aca="false">IF($A18="","",$B18)</f>
        <v/>
      </c>
      <c r="F18" s="61" t="str">
        <f aca="false">IF($A18="","",$L$54*$D18)</f>
        <v/>
      </c>
      <c r="G18" s="60" t="str">
        <f aca="false">IF($A18="","",$C18-$E$55-$F$55)</f>
        <v/>
      </c>
      <c r="H18" s="61" t="str">
        <f aca="false">IF($A18="","",$L$55*$D18)</f>
        <v/>
      </c>
      <c r="I18" s="60" t="str">
        <f aca="false">IF($A18="","",$C18-$E$56-$F$56)</f>
        <v/>
      </c>
      <c r="J18" s="61" t="str">
        <f aca="false">IF($A18="","",$L$56*$D18)</f>
        <v/>
      </c>
      <c r="K18" s="60" t="str">
        <f aca="false">IF($A18="","",$B18-$E$57-$F$57)</f>
        <v/>
      </c>
      <c r="L18" s="61" t="str">
        <f aca="false">IF($A18="","",$L$57*$D18)</f>
        <v/>
      </c>
      <c r="M18" s="60" t="str">
        <f aca="false">IF($A18="","",(($C18-$E$58-$F$58)))</f>
        <v/>
      </c>
      <c r="N18" s="61" t="str">
        <f aca="false">IF($A18="","",$L$58*$D18)</f>
        <v/>
      </c>
      <c r="O18" s="60" t="str">
        <f aca="false">IF($A18="","",$K18-$E$59-$F$59)</f>
        <v/>
      </c>
      <c r="P18" s="61" t="str">
        <f aca="false">IF($A18="","",$L$59*$D18)</f>
        <v/>
      </c>
      <c r="Q18" s="60" t="str">
        <f aca="false">IF($A18="","",$M18-$E$60-$F$60)</f>
        <v/>
      </c>
      <c r="R18" s="61" t="str">
        <f aca="false">IF($A18="","",$L$60*$D18)</f>
        <v/>
      </c>
      <c r="S18" s="60"/>
      <c r="T18" s="61"/>
      <c r="U18" s="60"/>
      <c r="V18" s="61"/>
      <c r="W18" s="60"/>
      <c r="X18" s="61"/>
      <c r="Y18" s="60"/>
      <c r="Z18" s="61"/>
      <c r="AA18" s="60"/>
      <c r="AB18" s="61"/>
      <c r="AC18" s="57" t="str">
        <f aca="false">IF($A18="","",$K18-67-67)</f>
        <v/>
      </c>
      <c r="AD18" s="58" t="str">
        <f aca="false">IF($A18="","",$M18-67-67)</f>
        <v/>
      </c>
      <c r="AE18" s="59" t="str">
        <f aca="false">IF($A18="","",1*$D18)</f>
        <v/>
      </c>
      <c r="AK18" s="1" t="str">
        <f aca="false">IF($A18="","",1*$D18)</f>
        <v/>
      </c>
      <c r="AM18" s="1" t="str">
        <f aca="false">IF($A18="","",1*$D18)</f>
        <v/>
      </c>
      <c r="AN18" s="1" t="str">
        <f aca="false">IF($A18="","",2*1*$D18)</f>
        <v/>
      </c>
      <c r="AO18" s="1" t="str">
        <f aca="false">IF($A18="","",(2+IF($B18&gt;1800,ROUNDUP(($B18-1800)/500,0),0))*1*$D18)</f>
        <v/>
      </c>
      <c r="AP18" s="1" t="str">
        <f aca="false">IF($A18="","",(2+IF($B18&gt;1800,ROUNDUP(($B18-1800)/500,0),0))*1*$D18)</f>
        <v/>
      </c>
      <c r="AQ18" s="1" t="str">
        <f aca="false">IF($A18="","",4*1*$D18)</f>
        <v/>
      </c>
      <c r="AR18" s="1" t="str">
        <f aca="false">IF($A18="","",8*1*$D18)</f>
        <v/>
      </c>
      <c r="AS18" s="1" t="str">
        <f aca="false">IF($A18="","",8*$D18)</f>
        <v/>
      </c>
      <c r="AT18" s="1" t="str">
        <f aca="false">IF($A18="","",ROUND((2*($C18+$B18))*1*$D18/1000,1))</f>
        <v/>
      </c>
      <c r="AU18" s="1" t="str">
        <f aca="false">IF($A18="","",ROUND((2*($C18+$B18))*$D18/1000,1))</f>
        <v/>
      </c>
    </row>
    <row r="19" customFormat="false" ht="39.75" hidden="false" customHeight="true" outlineLevel="0" collapsed="false">
      <c r="A19" s="88"/>
      <c r="B19" s="89"/>
      <c r="C19" s="90"/>
      <c r="D19" s="91"/>
      <c r="E19" s="56" t="str">
        <f aca="false">IF($A19="","",$B19)</f>
        <v/>
      </c>
      <c r="F19" s="54" t="str">
        <f aca="false">IF($A19="","",$L$54*$D19)</f>
        <v/>
      </c>
      <c r="G19" s="56" t="str">
        <f aca="false">IF($A19="","",$C19-$E$55-$F$55)</f>
        <v/>
      </c>
      <c r="H19" s="54" t="str">
        <f aca="false">IF($A19="","",$L$55*$D19)</f>
        <v/>
      </c>
      <c r="I19" s="56" t="str">
        <f aca="false">IF($A19="","",$C19-$E$56-$F$56)</f>
        <v/>
      </c>
      <c r="J19" s="54" t="str">
        <f aca="false">IF($A19="","",$L$56*$D19)</f>
        <v/>
      </c>
      <c r="K19" s="56" t="str">
        <f aca="false">IF($A19="","",$B19-$E$57-$F$57)</f>
        <v/>
      </c>
      <c r="L19" s="54" t="str">
        <f aca="false">IF($A19="","",$L$57*$D19)</f>
        <v/>
      </c>
      <c r="M19" s="56" t="str">
        <f aca="false">IF($A19="","",(($C19-$E$58-$F$58)))</f>
        <v/>
      </c>
      <c r="N19" s="54" t="str">
        <f aca="false">IF($A19="","",$L$58*$D19)</f>
        <v/>
      </c>
      <c r="O19" s="56" t="str">
        <f aca="false">IF($A19="","",$K19-$E$59-$F$59)</f>
        <v/>
      </c>
      <c r="P19" s="54" t="str">
        <f aca="false">IF($A19="","",$L$59*$D19)</f>
        <v/>
      </c>
      <c r="Q19" s="56" t="str">
        <f aca="false">IF($A19="","",$M19-$E$60-$F$60)</f>
        <v/>
      </c>
      <c r="R19" s="54" t="str">
        <f aca="false">IF($A19="","",$L$60*$D19)</f>
        <v/>
      </c>
      <c r="S19" s="56"/>
      <c r="T19" s="54"/>
      <c r="U19" s="56"/>
      <c r="V19" s="54"/>
      <c r="W19" s="56"/>
      <c r="X19" s="54"/>
      <c r="Y19" s="56"/>
      <c r="Z19" s="54"/>
      <c r="AA19" s="56"/>
      <c r="AB19" s="54"/>
      <c r="AC19" s="57" t="str">
        <f aca="false">IF($A19="","",$K19-67-67)</f>
        <v/>
      </c>
      <c r="AD19" s="58" t="str">
        <f aca="false">IF($A19="","",$M19-67-67)</f>
        <v/>
      </c>
      <c r="AE19" s="59" t="str">
        <f aca="false">IF($A19="","",1*$D19)</f>
        <v/>
      </c>
      <c r="AK19" s="1" t="str">
        <f aca="false">IF($A19="","",1*$D19)</f>
        <v/>
      </c>
      <c r="AM19" s="1" t="str">
        <f aca="false">IF($A19="","",1*$D19)</f>
        <v/>
      </c>
      <c r="AN19" s="1" t="str">
        <f aca="false">IF($A19="","",2*1*$D19)</f>
        <v/>
      </c>
      <c r="AO19" s="1" t="str">
        <f aca="false">IF($A19="","",(2+IF($B19&gt;1800,ROUNDUP(($B19-1800)/500,0),0))*1*$D19)</f>
        <v/>
      </c>
      <c r="AP19" s="1" t="str">
        <f aca="false">IF($A19="","",(2+IF($B19&gt;1800,ROUNDUP(($B19-1800)/500,0),0))*1*$D19)</f>
        <v/>
      </c>
      <c r="AQ19" s="1" t="str">
        <f aca="false">IF($A19="","",4*1*$D19)</f>
        <v/>
      </c>
      <c r="AR19" s="1" t="str">
        <f aca="false">IF($A19="","",8*1*$D19)</f>
        <v/>
      </c>
      <c r="AS19" s="1" t="str">
        <f aca="false">IF($A19="","",8*$D19)</f>
        <v/>
      </c>
      <c r="AT19" s="1" t="str">
        <f aca="false">IF($A19="","",ROUND((2*($C19+$B19))*1*$D19/1000,1))</f>
        <v/>
      </c>
      <c r="AU19" s="1" t="str">
        <f aca="false">IF($A19="","",ROUND((2*($C19+$B19))*$D19/1000,1))</f>
        <v/>
      </c>
    </row>
    <row r="20" customFormat="false" ht="39.75" hidden="false" customHeight="true" outlineLevel="0" collapsed="false">
      <c r="A20" s="88"/>
      <c r="B20" s="89"/>
      <c r="C20" s="90"/>
      <c r="D20" s="91"/>
      <c r="E20" s="60" t="str">
        <f aca="false">IF($A20="","",$B20)</f>
        <v/>
      </c>
      <c r="F20" s="61" t="str">
        <f aca="false">IF($A20="","",$L$54*$D20)</f>
        <v/>
      </c>
      <c r="G20" s="60" t="str">
        <f aca="false">IF($A20="","",$C20-$E$55-$F$55)</f>
        <v/>
      </c>
      <c r="H20" s="61" t="str">
        <f aca="false">IF($A20="","",$L$55*$D20)</f>
        <v/>
      </c>
      <c r="I20" s="60" t="str">
        <f aca="false">IF($A20="","",$C20-$E$56-$F$56)</f>
        <v/>
      </c>
      <c r="J20" s="61" t="str">
        <f aca="false">IF($A20="","",$L$56*$D20)</f>
        <v/>
      </c>
      <c r="K20" s="60" t="str">
        <f aca="false">IF($A20="","",$B20-$E$57-$F$57)</f>
        <v/>
      </c>
      <c r="L20" s="61" t="str">
        <f aca="false">IF($A20="","",$L$57*$D20)</f>
        <v/>
      </c>
      <c r="M20" s="60" t="str">
        <f aca="false">IF($A20="","",(($C20-$E$58-$F$58)))</f>
        <v/>
      </c>
      <c r="N20" s="61" t="str">
        <f aca="false">IF($A20="","",$L$58*$D20)</f>
        <v/>
      </c>
      <c r="O20" s="60" t="str">
        <f aca="false">IF($A20="","",$K20-$E$59-$F$59)</f>
        <v/>
      </c>
      <c r="P20" s="61" t="str">
        <f aca="false">IF($A20="","",$L$59*$D20)</f>
        <v/>
      </c>
      <c r="Q20" s="60" t="str">
        <f aca="false">IF($A20="","",$M20-$E$60-$F$60)</f>
        <v/>
      </c>
      <c r="R20" s="61" t="str">
        <f aca="false">IF($A20="","",$L$60*$D20)</f>
        <v/>
      </c>
      <c r="S20" s="60"/>
      <c r="T20" s="61"/>
      <c r="U20" s="60"/>
      <c r="V20" s="61"/>
      <c r="W20" s="60"/>
      <c r="X20" s="61"/>
      <c r="Y20" s="60"/>
      <c r="Z20" s="61"/>
      <c r="AA20" s="60"/>
      <c r="AB20" s="61"/>
      <c r="AC20" s="57" t="str">
        <f aca="false">IF($A20="","",$K20-67-67)</f>
        <v/>
      </c>
      <c r="AD20" s="58" t="str">
        <f aca="false">IF($A20="","",$M20-67-67)</f>
        <v/>
      </c>
      <c r="AE20" s="59" t="str">
        <f aca="false">IF($A20="","",1*$D20)</f>
        <v/>
      </c>
      <c r="AK20" s="1" t="str">
        <f aca="false">IF($A20="","",1*$D20)</f>
        <v/>
      </c>
      <c r="AM20" s="1" t="str">
        <f aca="false">IF($A20="","",1*$D20)</f>
        <v/>
      </c>
      <c r="AN20" s="1" t="str">
        <f aca="false">IF($A20="","",2*1*$D20)</f>
        <v/>
      </c>
      <c r="AO20" s="1" t="str">
        <f aca="false">IF($A20="","",(2+IF($B20&gt;1800,ROUNDUP(($B20-1800)/500,0),0))*1*$D20)</f>
        <v/>
      </c>
      <c r="AP20" s="1" t="str">
        <f aca="false">IF($A20="","",(2+IF($B20&gt;1800,ROUNDUP(($B20-1800)/500,0),0))*1*$D20)</f>
        <v/>
      </c>
      <c r="AQ20" s="1" t="str">
        <f aca="false">IF($A20="","",4*1*$D20)</f>
        <v/>
      </c>
      <c r="AR20" s="1" t="str">
        <f aca="false">IF($A20="","",8*1*$D20)</f>
        <v/>
      </c>
      <c r="AS20" s="1" t="str">
        <f aca="false">IF($A20="","",8*$D20)</f>
        <v/>
      </c>
      <c r="AT20" s="1" t="str">
        <f aca="false">IF($A20="","",ROUND((2*($C20+$B20))*1*$D20/1000,1))</f>
        <v/>
      </c>
      <c r="AU20" s="1" t="str">
        <f aca="false">IF($A20="","",ROUND((2*($C20+$B20))*$D20/1000,1))</f>
        <v/>
      </c>
    </row>
    <row r="21" customFormat="false" ht="39.75" hidden="false" customHeight="true" outlineLevel="0" collapsed="false">
      <c r="A21" s="88"/>
      <c r="B21" s="89"/>
      <c r="C21" s="90"/>
      <c r="D21" s="91"/>
      <c r="E21" s="56" t="str">
        <f aca="false">IF($A21="","",$B21)</f>
        <v/>
      </c>
      <c r="F21" s="54" t="str">
        <f aca="false">IF($A21="","",$L$54*$D21)</f>
        <v/>
      </c>
      <c r="G21" s="56" t="str">
        <f aca="false">IF($A21="","",$C21-$E$55-$F$55)</f>
        <v/>
      </c>
      <c r="H21" s="54" t="str">
        <f aca="false">IF($A21="","",$L$55*$D21)</f>
        <v/>
      </c>
      <c r="I21" s="56" t="str">
        <f aca="false">IF($A21="","",$C21-$E$56-$F$56)</f>
        <v/>
      </c>
      <c r="J21" s="54" t="str">
        <f aca="false">IF($A21="","",$L$56*$D21)</f>
        <v/>
      </c>
      <c r="K21" s="56" t="str">
        <f aca="false">IF($A21="","",$B21-$E$57-$F$57)</f>
        <v/>
      </c>
      <c r="L21" s="54" t="str">
        <f aca="false">IF($A21="","",$L$57*$D21)</f>
        <v/>
      </c>
      <c r="M21" s="56" t="str">
        <f aca="false">IF($A21="","",(($C21-$E$58-$F$58)))</f>
        <v/>
      </c>
      <c r="N21" s="54" t="str">
        <f aca="false">IF($A21="","",$L$58*$D21)</f>
        <v/>
      </c>
      <c r="O21" s="56" t="str">
        <f aca="false">IF($A21="","",$K21-$E$59-$F$59)</f>
        <v/>
      </c>
      <c r="P21" s="54" t="str">
        <f aca="false">IF($A21="","",$L$59*$D21)</f>
        <v/>
      </c>
      <c r="Q21" s="56" t="str">
        <f aca="false">IF($A21="","",$M21-$E$60-$F$60)</f>
        <v/>
      </c>
      <c r="R21" s="54" t="str">
        <f aca="false">IF($A21="","",$L$60*$D21)</f>
        <v/>
      </c>
      <c r="S21" s="56"/>
      <c r="T21" s="54"/>
      <c r="U21" s="56"/>
      <c r="V21" s="54"/>
      <c r="W21" s="56"/>
      <c r="X21" s="54"/>
      <c r="Y21" s="56"/>
      <c r="Z21" s="54"/>
      <c r="AA21" s="56"/>
      <c r="AB21" s="54"/>
      <c r="AC21" s="57" t="str">
        <f aca="false">IF($A21="","",$K21-67-67)</f>
        <v/>
      </c>
      <c r="AD21" s="58" t="str">
        <f aca="false">IF($A21="","",$M21-67-67)</f>
        <v/>
      </c>
      <c r="AE21" s="59" t="str">
        <f aca="false">IF($A21="","",1*$D21)</f>
        <v/>
      </c>
      <c r="AK21" s="1" t="str">
        <f aca="false">IF($A21="","",1*$D21)</f>
        <v/>
      </c>
      <c r="AM21" s="1" t="str">
        <f aca="false">IF($A21="","",1*$D21)</f>
        <v/>
      </c>
      <c r="AN21" s="1" t="str">
        <f aca="false">IF($A21="","",2*1*$D21)</f>
        <v/>
      </c>
      <c r="AO21" s="1" t="str">
        <f aca="false">IF($A21="","",(2+IF($B21&gt;1800,ROUNDUP(($B21-1800)/500,0),0))*1*$D21)</f>
        <v/>
      </c>
      <c r="AP21" s="1" t="str">
        <f aca="false">IF($A21="","",(2+IF($B21&gt;1800,ROUNDUP(($B21-1800)/500,0),0))*1*$D21)</f>
        <v/>
      </c>
      <c r="AQ21" s="1" t="str">
        <f aca="false">IF($A21="","",4*1*$D21)</f>
        <v/>
      </c>
      <c r="AR21" s="1" t="str">
        <f aca="false">IF($A21="","",8*1*$D21)</f>
        <v/>
      </c>
      <c r="AS21" s="1" t="str">
        <f aca="false">IF($A21="","",8*$D21)</f>
        <v/>
      </c>
      <c r="AT21" s="1" t="str">
        <f aca="false">IF($A21="","",ROUND((2*($C21+$B21))*1*$D21/1000,1))</f>
        <v/>
      </c>
      <c r="AU21" s="1" t="str">
        <f aca="false">IF($A21="","",ROUND((2*($C21+$B21))*$D21/1000,1))</f>
        <v/>
      </c>
    </row>
    <row r="22" customFormat="false" ht="39.75" hidden="false" customHeight="true" outlineLevel="0" collapsed="false">
      <c r="A22" s="88"/>
      <c r="B22" s="89"/>
      <c r="C22" s="90"/>
      <c r="D22" s="91"/>
      <c r="E22" s="60" t="str">
        <f aca="false">IF($A22="","",$B22)</f>
        <v/>
      </c>
      <c r="F22" s="61" t="str">
        <f aca="false">IF($A22="","",$L$54*$D22)</f>
        <v/>
      </c>
      <c r="G22" s="60" t="str">
        <f aca="false">IF($A22="","",$C22-$E$55-$F$55)</f>
        <v/>
      </c>
      <c r="H22" s="61" t="str">
        <f aca="false">IF($A22="","",$L$55*$D22)</f>
        <v/>
      </c>
      <c r="I22" s="60" t="str">
        <f aca="false">IF($A22="","",$C22-$E$56-$F$56)</f>
        <v/>
      </c>
      <c r="J22" s="61" t="str">
        <f aca="false">IF($A22="","",$L$56*$D22)</f>
        <v/>
      </c>
      <c r="K22" s="60" t="str">
        <f aca="false">IF($A22="","",$B22-$E$57-$F$57)</f>
        <v/>
      </c>
      <c r="L22" s="61" t="str">
        <f aca="false">IF($A22="","",$L$57*$D22)</f>
        <v/>
      </c>
      <c r="M22" s="60" t="str">
        <f aca="false">IF($A22="","",(($C22-$E$58-$F$58)))</f>
        <v/>
      </c>
      <c r="N22" s="61" t="str">
        <f aca="false">IF($A22="","",$L$58*$D22)</f>
        <v/>
      </c>
      <c r="O22" s="60" t="str">
        <f aca="false">IF($A22="","",$K22-$E$59-$F$59)</f>
        <v/>
      </c>
      <c r="P22" s="61" t="str">
        <f aca="false">IF($A22="","",$L$59*$D22)</f>
        <v/>
      </c>
      <c r="Q22" s="60" t="str">
        <f aca="false">IF($A22="","",$M22-$E$60-$F$60)</f>
        <v/>
      </c>
      <c r="R22" s="61" t="str">
        <f aca="false">IF($A22="","",$L$60*$D22)</f>
        <v/>
      </c>
      <c r="S22" s="60"/>
      <c r="T22" s="61"/>
      <c r="U22" s="60"/>
      <c r="V22" s="61"/>
      <c r="W22" s="60"/>
      <c r="X22" s="61"/>
      <c r="Y22" s="60"/>
      <c r="Z22" s="61"/>
      <c r="AA22" s="60"/>
      <c r="AB22" s="61"/>
      <c r="AC22" s="57" t="str">
        <f aca="false">IF($A22="","",$K22-67-67)</f>
        <v/>
      </c>
      <c r="AD22" s="58" t="str">
        <f aca="false">IF($A22="","",$M22-67-67)</f>
        <v/>
      </c>
      <c r="AE22" s="59" t="str">
        <f aca="false">IF($A22="","",1*$D22)</f>
        <v/>
      </c>
      <c r="AK22" s="1" t="str">
        <f aca="false">IF($A22="","",1*$D22)</f>
        <v/>
      </c>
      <c r="AM22" s="1" t="str">
        <f aca="false">IF($A22="","",1*$D22)</f>
        <v/>
      </c>
      <c r="AN22" s="1" t="str">
        <f aca="false">IF($A22="","",2*1*$D22)</f>
        <v/>
      </c>
      <c r="AO22" s="1" t="str">
        <f aca="false">IF($A22="","",(2+IF($B22&gt;1800,ROUNDUP(($B22-1800)/500,0),0))*1*$D22)</f>
        <v/>
      </c>
      <c r="AP22" s="1" t="str">
        <f aca="false">IF($A22="","",(2+IF($B22&gt;1800,ROUNDUP(($B22-1800)/500,0),0))*1*$D22)</f>
        <v/>
      </c>
      <c r="AQ22" s="1" t="str">
        <f aca="false">IF($A22="","",4*1*$D22)</f>
        <v/>
      </c>
      <c r="AR22" s="1" t="str">
        <f aca="false">IF($A22="","",8*1*$D22)</f>
        <v/>
      </c>
      <c r="AS22" s="1" t="str">
        <f aca="false">IF($A22="","",8*$D22)</f>
        <v/>
      </c>
      <c r="AT22" s="1" t="str">
        <f aca="false">IF($A22="","",ROUND((2*($C22+$B22))*1*$D22/1000,1))</f>
        <v/>
      </c>
      <c r="AU22" s="1" t="str">
        <f aca="false">IF($A22="","",ROUND((2*($C22+$B22))*$D22/1000,1))</f>
        <v/>
      </c>
    </row>
    <row r="23" customFormat="false" ht="39.75" hidden="false" customHeight="true" outlineLevel="0" collapsed="false">
      <c r="A23" s="88"/>
      <c r="B23" s="89"/>
      <c r="C23" s="90"/>
      <c r="D23" s="91"/>
      <c r="E23" s="56" t="str">
        <f aca="false">IF($A23="","",$B23)</f>
        <v/>
      </c>
      <c r="F23" s="54" t="str">
        <f aca="false">IF($A23="","",$L$54*$D23)</f>
        <v/>
      </c>
      <c r="G23" s="56" t="str">
        <f aca="false">IF($A23="","",$C23-$E$55-$F$55)</f>
        <v/>
      </c>
      <c r="H23" s="54" t="str">
        <f aca="false">IF($A23="","",$L$55*$D23)</f>
        <v/>
      </c>
      <c r="I23" s="56" t="str">
        <f aca="false">IF($A23="","",$C23-$E$56-$F$56)</f>
        <v/>
      </c>
      <c r="J23" s="54" t="str">
        <f aca="false">IF($A23="","",$L$56*$D23)</f>
        <v/>
      </c>
      <c r="K23" s="56" t="str">
        <f aca="false">IF($A23="","",$B23-$E$57-$F$57)</f>
        <v/>
      </c>
      <c r="L23" s="54" t="str">
        <f aca="false">IF($A23="","",$L$57*$D23)</f>
        <v/>
      </c>
      <c r="M23" s="56" t="str">
        <f aca="false">IF($A23="","",(($C23-$E$58-$F$58)))</f>
        <v/>
      </c>
      <c r="N23" s="54" t="str">
        <f aca="false">IF($A23="","",$L$58*$D23)</f>
        <v/>
      </c>
      <c r="O23" s="56" t="str">
        <f aca="false">IF($A23="","",$K23-$E$59-$F$59)</f>
        <v/>
      </c>
      <c r="P23" s="54" t="str">
        <f aca="false">IF($A23="","",$L$59*$D23)</f>
        <v/>
      </c>
      <c r="Q23" s="56" t="str">
        <f aca="false">IF($A23="","",$M23-$E$60-$F$60)</f>
        <v/>
      </c>
      <c r="R23" s="54" t="str">
        <f aca="false">IF($A23="","",$L$60*$D23)</f>
        <v/>
      </c>
      <c r="S23" s="56"/>
      <c r="T23" s="54"/>
      <c r="U23" s="56"/>
      <c r="V23" s="54"/>
      <c r="W23" s="56"/>
      <c r="X23" s="54"/>
      <c r="Y23" s="56"/>
      <c r="Z23" s="54"/>
      <c r="AA23" s="56"/>
      <c r="AB23" s="54"/>
      <c r="AC23" s="57" t="str">
        <f aca="false">IF($A23="","",$K23-67-67)</f>
        <v/>
      </c>
      <c r="AD23" s="58" t="str">
        <f aca="false">IF($A23="","",$M23-67-67)</f>
        <v/>
      </c>
      <c r="AE23" s="59" t="str">
        <f aca="false">IF($A23="","",1*$D23)</f>
        <v/>
      </c>
      <c r="AK23" s="1" t="str">
        <f aca="false">IF($A23="","",1*$D23)</f>
        <v/>
      </c>
      <c r="AM23" s="1" t="str">
        <f aca="false">IF($A23="","",1*$D23)</f>
        <v/>
      </c>
      <c r="AN23" s="1" t="str">
        <f aca="false">IF($A23="","",2*1*$D23)</f>
        <v/>
      </c>
      <c r="AO23" s="1" t="str">
        <f aca="false">IF($A23="","",(2+IF($B23&gt;1800,ROUNDUP(($B23-1800)/500,0),0))*1*$D23)</f>
        <v/>
      </c>
      <c r="AP23" s="1" t="str">
        <f aca="false">IF($A23="","",(2+IF($B23&gt;1800,ROUNDUP(($B23-1800)/500,0),0))*1*$D23)</f>
        <v/>
      </c>
      <c r="AQ23" s="1" t="str">
        <f aca="false">IF($A23="","",4*1*$D23)</f>
        <v/>
      </c>
      <c r="AR23" s="1" t="str">
        <f aca="false">IF($A23="","",8*1*$D23)</f>
        <v/>
      </c>
      <c r="AS23" s="1" t="str">
        <f aca="false">IF($A23="","",8*$D23)</f>
        <v/>
      </c>
      <c r="AT23" s="1" t="str">
        <f aca="false">IF($A23="","",ROUND((2*($C23+$B23))*1*$D23/1000,1))</f>
        <v/>
      </c>
      <c r="AU23" s="1" t="str">
        <f aca="false">IF($A23="","",ROUND((2*($C23+$B23))*$D23/1000,1))</f>
        <v/>
      </c>
    </row>
    <row r="24" customFormat="false" ht="39.75" hidden="false" customHeight="true" outlineLevel="0" collapsed="false">
      <c r="A24" s="88"/>
      <c r="B24" s="89"/>
      <c r="C24" s="90"/>
      <c r="D24" s="91"/>
      <c r="E24" s="60" t="str">
        <f aca="false">IF($A24="","",$B24)</f>
        <v/>
      </c>
      <c r="F24" s="61" t="str">
        <f aca="false">IF($A24="","",$L$54*$D24)</f>
        <v/>
      </c>
      <c r="G24" s="60" t="str">
        <f aca="false">IF($A24="","",$C24-$E$55-$F$55)</f>
        <v/>
      </c>
      <c r="H24" s="61" t="str">
        <f aca="false">IF($A24="","",$L$55*$D24)</f>
        <v/>
      </c>
      <c r="I24" s="60" t="str">
        <f aca="false">IF($A24="","",$C24-$E$56-$F$56)</f>
        <v/>
      </c>
      <c r="J24" s="61" t="str">
        <f aca="false">IF($A24="","",$L$56*$D24)</f>
        <v/>
      </c>
      <c r="K24" s="60" t="str">
        <f aca="false">IF($A24="","",$B24-$E$57-$F$57)</f>
        <v/>
      </c>
      <c r="L24" s="61" t="str">
        <f aca="false">IF($A24="","",$L$57*$D24)</f>
        <v/>
      </c>
      <c r="M24" s="60" t="str">
        <f aca="false">IF($A24="","",(($C24-$E$58-$F$58)))</f>
        <v/>
      </c>
      <c r="N24" s="61" t="str">
        <f aca="false">IF($A24="","",$L$58*$D24)</f>
        <v/>
      </c>
      <c r="O24" s="60" t="str">
        <f aca="false">IF($A24="","",$K24-$E$59-$F$59)</f>
        <v/>
      </c>
      <c r="P24" s="61" t="str">
        <f aca="false">IF($A24="","",$L$59*$D24)</f>
        <v/>
      </c>
      <c r="Q24" s="60" t="str">
        <f aca="false">IF($A24="","",$M24-$E$60-$F$60)</f>
        <v/>
      </c>
      <c r="R24" s="61" t="str">
        <f aca="false">IF($A24="","",$L$60*$D24)</f>
        <v/>
      </c>
      <c r="S24" s="60"/>
      <c r="T24" s="61"/>
      <c r="U24" s="60"/>
      <c r="V24" s="61"/>
      <c r="W24" s="60"/>
      <c r="X24" s="61"/>
      <c r="Y24" s="60"/>
      <c r="Z24" s="61"/>
      <c r="AA24" s="60"/>
      <c r="AB24" s="61"/>
      <c r="AC24" s="57" t="str">
        <f aca="false">IF($A24="","",$K24-67-67)</f>
        <v/>
      </c>
      <c r="AD24" s="58" t="str">
        <f aca="false">IF($A24="","",$M24-67-67)</f>
        <v/>
      </c>
      <c r="AE24" s="59" t="str">
        <f aca="false">IF($A24="","",1*$D24)</f>
        <v/>
      </c>
      <c r="AK24" s="1" t="str">
        <f aca="false">IF($A24="","",1*$D24)</f>
        <v/>
      </c>
      <c r="AM24" s="1" t="str">
        <f aca="false">IF($A24="","",1*$D24)</f>
        <v/>
      </c>
      <c r="AN24" s="1" t="str">
        <f aca="false">IF($A24="","",2*1*$D24)</f>
        <v/>
      </c>
      <c r="AO24" s="1" t="str">
        <f aca="false">IF($A24="","",(2+IF($B24&gt;1800,ROUNDUP(($B24-1800)/500,0),0))*1*$D24)</f>
        <v/>
      </c>
      <c r="AP24" s="1" t="str">
        <f aca="false">IF($A24="","",(2+IF($B24&gt;1800,ROUNDUP(($B24-1800)/500,0),0))*1*$D24)</f>
        <v/>
      </c>
      <c r="AQ24" s="1" t="str">
        <f aca="false">IF($A24="","",4*1*$D24)</f>
        <v/>
      </c>
      <c r="AR24" s="1" t="str">
        <f aca="false">IF($A24="","",8*1*$D24)</f>
        <v/>
      </c>
      <c r="AS24" s="1" t="str">
        <f aca="false">IF($A24="","",8*$D24)</f>
        <v/>
      </c>
      <c r="AT24" s="1" t="str">
        <f aca="false">IF($A24="","",ROUND((2*($C24+$B24))*1*$D24/1000,1))</f>
        <v/>
      </c>
      <c r="AU24" s="1" t="str">
        <f aca="false">IF($A24="","",ROUND((2*($C24+$B24))*$D24/1000,1))</f>
        <v/>
      </c>
    </row>
    <row r="25" customFormat="false" ht="39.75" hidden="false" customHeight="true" outlineLevel="0" collapsed="false">
      <c r="A25" s="88"/>
      <c r="B25" s="89"/>
      <c r="C25" s="90"/>
      <c r="D25" s="91"/>
      <c r="E25" s="56" t="str">
        <f aca="false">IF($A25="","",$B25)</f>
        <v/>
      </c>
      <c r="F25" s="54" t="str">
        <f aca="false">IF($A25="","",$L$54*$D25)</f>
        <v/>
      </c>
      <c r="G25" s="56" t="str">
        <f aca="false">IF($A25="","",$C25-$E$55-$F$55)</f>
        <v/>
      </c>
      <c r="H25" s="54" t="str">
        <f aca="false">IF($A25="","",$L$55*$D25)</f>
        <v/>
      </c>
      <c r="I25" s="56" t="str">
        <f aca="false">IF($A25="","",$C25-$E$56-$F$56)</f>
        <v/>
      </c>
      <c r="J25" s="54" t="str">
        <f aca="false">IF($A25="","",$L$56*$D25)</f>
        <v/>
      </c>
      <c r="K25" s="56" t="str">
        <f aca="false">IF($A25="","",$B25-$E$57-$F$57)</f>
        <v/>
      </c>
      <c r="L25" s="54" t="str">
        <f aca="false">IF($A25="","",$L$57*$D25)</f>
        <v/>
      </c>
      <c r="M25" s="56" t="str">
        <f aca="false">IF($A25="","",(($C25-$E$58-$F$58)))</f>
        <v/>
      </c>
      <c r="N25" s="54" t="str">
        <f aca="false">IF($A25="","",$L$58*$D25)</f>
        <v/>
      </c>
      <c r="O25" s="56" t="str">
        <f aca="false">IF($A25="","",$K25-$E$59-$F$59)</f>
        <v/>
      </c>
      <c r="P25" s="54" t="str">
        <f aca="false">IF($A25="","",$L$59*$D25)</f>
        <v/>
      </c>
      <c r="Q25" s="56" t="str">
        <f aca="false">IF($A25="","",$M25-$E$60-$F$60)</f>
        <v/>
      </c>
      <c r="R25" s="54" t="str">
        <f aca="false">IF($A25="","",$L$60*$D25)</f>
        <v/>
      </c>
      <c r="S25" s="56"/>
      <c r="T25" s="54"/>
      <c r="U25" s="56"/>
      <c r="V25" s="54"/>
      <c r="W25" s="56"/>
      <c r="X25" s="54"/>
      <c r="Y25" s="56"/>
      <c r="Z25" s="54"/>
      <c r="AA25" s="56"/>
      <c r="AB25" s="54"/>
      <c r="AC25" s="57" t="str">
        <f aca="false">IF($A25="","",$K25-67-67)</f>
        <v/>
      </c>
      <c r="AD25" s="58" t="str">
        <f aca="false">IF($A25="","",$M25-67-67)</f>
        <v/>
      </c>
      <c r="AE25" s="59" t="str">
        <f aca="false">IF($A25="","",1*$D25)</f>
        <v/>
      </c>
      <c r="AK25" s="1" t="str">
        <f aca="false">IF($A25="","",1*$D25)</f>
        <v/>
      </c>
      <c r="AM25" s="1" t="str">
        <f aca="false">IF($A25="","",1*$D25)</f>
        <v/>
      </c>
      <c r="AN25" s="1" t="str">
        <f aca="false">IF($A25="","",2*1*$D25)</f>
        <v/>
      </c>
      <c r="AO25" s="1" t="str">
        <f aca="false">IF($A25="","",(2+IF($B25&gt;1800,ROUNDUP(($B25-1800)/500,0),0))*1*$D25)</f>
        <v/>
      </c>
      <c r="AP25" s="1" t="str">
        <f aca="false">IF($A25="","",(2+IF($B25&gt;1800,ROUNDUP(($B25-1800)/500,0),0))*1*$D25)</f>
        <v/>
      </c>
      <c r="AQ25" s="1" t="str">
        <f aca="false">IF($A25="","",4*1*$D25)</f>
        <v/>
      </c>
      <c r="AR25" s="1" t="str">
        <f aca="false">IF($A25="","",8*1*$D25)</f>
        <v/>
      </c>
      <c r="AS25" s="1" t="str">
        <f aca="false">IF($A25="","",8*$D25)</f>
        <v/>
      </c>
      <c r="AT25" s="1" t="str">
        <f aca="false">IF($A25="","",ROUND((2*($C25+$B25))*1*$D25/1000,1))</f>
        <v/>
      </c>
      <c r="AU25" s="1" t="str">
        <f aca="false">IF($A25="","",ROUND((2*($C25+$B25))*$D25/1000,1))</f>
        <v/>
      </c>
    </row>
    <row r="26" customFormat="false" ht="39.75" hidden="false" customHeight="true" outlineLevel="0" collapsed="false">
      <c r="A26" s="88"/>
      <c r="B26" s="89"/>
      <c r="C26" s="90"/>
      <c r="D26" s="91"/>
      <c r="E26" s="60" t="str">
        <f aca="false">IF($A26="","",$B26)</f>
        <v/>
      </c>
      <c r="F26" s="61" t="str">
        <f aca="false">IF($A26="","",$L$54*$D26)</f>
        <v/>
      </c>
      <c r="G26" s="60" t="str">
        <f aca="false">IF($A26="","",$C26-$E$55-$F$55)</f>
        <v/>
      </c>
      <c r="H26" s="61" t="str">
        <f aca="false">IF($A26="","",$L$55*$D26)</f>
        <v/>
      </c>
      <c r="I26" s="60" t="str">
        <f aca="false">IF($A26="","",$C26-$E$56-$F$56)</f>
        <v/>
      </c>
      <c r="J26" s="61" t="str">
        <f aca="false">IF($A26="","",$L$56*$D26)</f>
        <v/>
      </c>
      <c r="K26" s="60" t="str">
        <f aca="false">IF($A26="","",$B26-$E$57-$F$57)</f>
        <v/>
      </c>
      <c r="L26" s="61" t="str">
        <f aca="false">IF($A26="","",$L$57*$D26)</f>
        <v/>
      </c>
      <c r="M26" s="60" t="str">
        <f aca="false">IF($A26="","",(($C26-$E$58-$F$58)))</f>
        <v/>
      </c>
      <c r="N26" s="61" t="str">
        <f aca="false">IF($A26="","",$L$58*$D26)</f>
        <v/>
      </c>
      <c r="O26" s="60" t="str">
        <f aca="false">IF($A26="","",$K26-$E$59-$F$59)</f>
        <v/>
      </c>
      <c r="P26" s="61" t="str">
        <f aca="false">IF($A26="","",$L$59*$D26)</f>
        <v/>
      </c>
      <c r="Q26" s="60" t="str">
        <f aca="false">IF($A26="","",$M26-$E$60-$F$60)</f>
        <v/>
      </c>
      <c r="R26" s="61" t="str">
        <f aca="false">IF($A26="","",$L$60*$D26)</f>
        <v/>
      </c>
      <c r="S26" s="60"/>
      <c r="T26" s="61"/>
      <c r="U26" s="60"/>
      <c r="V26" s="61"/>
      <c r="W26" s="60"/>
      <c r="X26" s="61"/>
      <c r="Y26" s="60"/>
      <c r="Z26" s="61"/>
      <c r="AA26" s="60"/>
      <c r="AB26" s="61"/>
      <c r="AC26" s="57" t="str">
        <f aca="false">IF($A26="","",$K26-67-67)</f>
        <v/>
      </c>
      <c r="AD26" s="58" t="str">
        <f aca="false">IF($A26="","",$M26-67-67)</f>
        <v/>
      </c>
      <c r="AE26" s="59" t="str">
        <f aca="false">IF($A26="","",1*$D26)</f>
        <v/>
      </c>
      <c r="AK26" s="1" t="str">
        <f aca="false">IF($A26="","",1*$D26)</f>
        <v/>
      </c>
      <c r="AM26" s="1" t="str">
        <f aca="false">IF($A26="","",1*$D26)</f>
        <v/>
      </c>
      <c r="AN26" s="1" t="str">
        <f aca="false">IF($A26="","",2*1*$D26)</f>
        <v/>
      </c>
      <c r="AO26" s="1" t="str">
        <f aca="false">IF($A26="","",(2+IF($B26&gt;1800,ROUNDUP(($B26-1800)/500,0),0))*1*$D26)</f>
        <v/>
      </c>
      <c r="AP26" s="1" t="str">
        <f aca="false">IF($A26="","",(2+IF($B26&gt;1800,ROUNDUP(($B26-1800)/500,0),0))*1*$D26)</f>
        <v/>
      </c>
      <c r="AQ26" s="1" t="str">
        <f aca="false">IF($A26="","",4*1*$D26)</f>
        <v/>
      </c>
      <c r="AR26" s="1" t="str">
        <f aca="false">IF($A26="","",8*1*$D26)</f>
        <v/>
      </c>
      <c r="AS26" s="1" t="str">
        <f aca="false">IF($A26="","",8*$D26)</f>
        <v/>
      </c>
      <c r="AT26" s="1" t="str">
        <f aca="false">IF($A26="","",ROUND((2*($C26+$B26))*1*$D26/1000,1))</f>
        <v/>
      </c>
      <c r="AU26" s="1" t="str">
        <f aca="false">IF($A26="","",ROUND((2*($C26+$B26))*$D26/1000,1))</f>
        <v/>
      </c>
    </row>
    <row r="27" customFormat="false" ht="39.75" hidden="false" customHeight="true" outlineLevel="0" collapsed="false">
      <c r="A27" s="88"/>
      <c r="B27" s="89"/>
      <c r="C27" s="90"/>
      <c r="D27" s="91"/>
      <c r="E27" s="56" t="str">
        <f aca="false">IF($A27="","",$B27)</f>
        <v/>
      </c>
      <c r="F27" s="54" t="str">
        <f aca="false">IF($A27="","",$L$54*$D27)</f>
        <v/>
      </c>
      <c r="G27" s="56" t="str">
        <f aca="false">IF($A27="","",$C27-$E$55-$F$55)</f>
        <v/>
      </c>
      <c r="H27" s="54" t="str">
        <f aca="false">IF($A27="","",$L$55*$D27)</f>
        <v/>
      </c>
      <c r="I27" s="56" t="str">
        <f aca="false">IF($A27="","",$C27-$E$56-$F$56)</f>
        <v/>
      </c>
      <c r="J27" s="54" t="str">
        <f aca="false">IF($A27="","",$L$56*$D27)</f>
        <v/>
      </c>
      <c r="K27" s="56" t="str">
        <f aca="false">IF($A27="","",$B27-$E$57-$F$57)</f>
        <v/>
      </c>
      <c r="L27" s="54" t="str">
        <f aca="false">IF($A27="","",$L$57*$D27)</f>
        <v/>
      </c>
      <c r="M27" s="56" t="str">
        <f aca="false">IF($A27="","",(($C27-$E$58-$F$58)))</f>
        <v/>
      </c>
      <c r="N27" s="54" t="str">
        <f aca="false">IF($A27="","",$L$58*$D27)</f>
        <v/>
      </c>
      <c r="O27" s="56" t="str">
        <f aca="false">IF($A27="","",$K27-$E$59-$F$59)</f>
        <v/>
      </c>
      <c r="P27" s="54" t="str">
        <f aca="false">IF($A27="","",$L$59*$D27)</f>
        <v/>
      </c>
      <c r="Q27" s="56" t="str">
        <f aca="false">IF($A27="","",$M27-$E$60-$F$60)</f>
        <v/>
      </c>
      <c r="R27" s="54" t="str">
        <f aca="false">IF($A27="","",$L$60*$D27)</f>
        <v/>
      </c>
      <c r="S27" s="56"/>
      <c r="T27" s="54"/>
      <c r="U27" s="56"/>
      <c r="V27" s="54"/>
      <c r="W27" s="56"/>
      <c r="X27" s="54"/>
      <c r="Y27" s="56"/>
      <c r="Z27" s="54"/>
      <c r="AA27" s="56"/>
      <c r="AB27" s="54"/>
      <c r="AC27" s="57" t="str">
        <f aca="false">IF($A27="","",$K27-67-67)</f>
        <v/>
      </c>
      <c r="AD27" s="58" t="str">
        <f aca="false">IF($A27="","",$M27-67-67)</f>
        <v/>
      </c>
      <c r="AE27" s="59" t="str">
        <f aca="false">IF($A27="","",1*$D27)</f>
        <v/>
      </c>
      <c r="AK27" s="1" t="str">
        <f aca="false">IF($A27="","",1*$D27)</f>
        <v/>
      </c>
      <c r="AM27" s="1" t="str">
        <f aca="false">IF($A27="","",1*$D27)</f>
        <v/>
      </c>
      <c r="AN27" s="1" t="str">
        <f aca="false">IF($A27="","",2*1*$D27)</f>
        <v/>
      </c>
      <c r="AO27" s="1" t="str">
        <f aca="false">IF($A27="","",(2+IF($B27&gt;1800,ROUNDUP(($B27-1800)/500,0),0))*1*$D27)</f>
        <v/>
      </c>
      <c r="AP27" s="1" t="str">
        <f aca="false">IF($A27="","",(2+IF($B27&gt;1800,ROUNDUP(($B27-1800)/500,0),0))*1*$D27)</f>
        <v/>
      </c>
      <c r="AQ27" s="1" t="str">
        <f aca="false">IF($A27="","",4*1*$D27)</f>
        <v/>
      </c>
      <c r="AR27" s="1" t="str">
        <f aca="false">IF($A27="","",8*1*$D27)</f>
        <v/>
      </c>
      <c r="AS27" s="1" t="str">
        <f aca="false">IF($A27="","",8*$D27)</f>
        <v/>
      </c>
      <c r="AT27" s="1" t="str">
        <f aca="false">IF($A27="","",ROUND((2*($C27+$B27))*1*$D27/1000,1))</f>
        <v/>
      </c>
      <c r="AU27" s="1" t="str">
        <f aca="false">IF($A27="","",ROUND((2*($C27+$B27))*$D27/1000,1))</f>
        <v/>
      </c>
    </row>
    <row r="28" customFormat="false" ht="39.75" hidden="false" customHeight="true" outlineLevel="0" collapsed="false">
      <c r="A28" s="88"/>
      <c r="B28" s="89"/>
      <c r="C28" s="90"/>
      <c r="D28" s="91"/>
      <c r="E28" s="60" t="str">
        <f aca="false">IF($A28="","",$B28)</f>
        <v/>
      </c>
      <c r="F28" s="61" t="str">
        <f aca="false">IF($A28="","",$L$54*$D28)</f>
        <v/>
      </c>
      <c r="G28" s="60" t="str">
        <f aca="false">IF($A28="","",$C28-$E$55-$F$55)</f>
        <v/>
      </c>
      <c r="H28" s="61" t="str">
        <f aca="false">IF($A28="","",$L$55*$D28)</f>
        <v/>
      </c>
      <c r="I28" s="60" t="str">
        <f aca="false">IF($A28="","",$C28-$E$56-$F$56)</f>
        <v/>
      </c>
      <c r="J28" s="61" t="str">
        <f aca="false">IF($A28="","",$L$56*$D28)</f>
        <v/>
      </c>
      <c r="K28" s="60" t="str">
        <f aca="false">IF($A28="","",$B28-$E$57-$F$57)</f>
        <v/>
      </c>
      <c r="L28" s="61" t="str">
        <f aca="false">IF($A28="","",$L$57*$D28)</f>
        <v/>
      </c>
      <c r="M28" s="60" t="str">
        <f aca="false">IF($A28="","",(($C28-$E$58-$F$58)))</f>
        <v/>
      </c>
      <c r="N28" s="61" t="str">
        <f aca="false">IF($A28="","",$L$58*$D28)</f>
        <v/>
      </c>
      <c r="O28" s="60" t="str">
        <f aca="false">IF($A28="","",$K28-$E$59-$F$59)</f>
        <v/>
      </c>
      <c r="P28" s="61" t="str">
        <f aca="false">IF($A28="","",$L$59*$D28)</f>
        <v/>
      </c>
      <c r="Q28" s="60" t="str">
        <f aca="false">IF($A28="","",$M28-$E$60-$F$60)</f>
        <v/>
      </c>
      <c r="R28" s="61" t="str">
        <f aca="false">IF($A28="","",$L$60*$D28)</f>
        <v/>
      </c>
      <c r="S28" s="60"/>
      <c r="T28" s="61"/>
      <c r="U28" s="60"/>
      <c r="V28" s="61"/>
      <c r="W28" s="60"/>
      <c r="X28" s="61"/>
      <c r="Y28" s="60"/>
      <c r="Z28" s="61"/>
      <c r="AA28" s="60"/>
      <c r="AB28" s="61"/>
      <c r="AC28" s="57" t="str">
        <f aca="false">IF($A28="","",$K28-67-67)</f>
        <v/>
      </c>
      <c r="AD28" s="58" t="str">
        <f aca="false">IF($A28="","",$M28-67-67)</f>
        <v/>
      </c>
      <c r="AE28" s="59" t="str">
        <f aca="false">IF($A28="","",1*$D28)</f>
        <v/>
      </c>
      <c r="AK28" s="1" t="str">
        <f aca="false">IF($A28="","",1*$D28)</f>
        <v/>
      </c>
      <c r="AM28" s="1" t="str">
        <f aca="false">IF($A28="","",1*$D28)</f>
        <v/>
      </c>
      <c r="AN28" s="1" t="str">
        <f aca="false">IF($A28="","",2*1*$D28)</f>
        <v/>
      </c>
      <c r="AO28" s="1" t="str">
        <f aca="false">IF($A28="","",(2+IF($B28&gt;1800,ROUNDUP(($B28-1800)/500,0),0))*1*$D28)</f>
        <v/>
      </c>
      <c r="AP28" s="1" t="str">
        <f aca="false">IF($A28="","",(2+IF($B28&gt;1800,ROUNDUP(($B28-1800)/500,0),0))*1*$D28)</f>
        <v/>
      </c>
      <c r="AQ28" s="1" t="str">
        <f aca="false">IF($A28="","",4*1*$D28)</f>
        <v/>
      </c>
      <c r="AR28" s="1" t="str">
        <f aca="false">IF($A28="","",8*1*$D28)</f>
        <v/>
      </c>
      <c r="AS28" s="1" t="str">
        <f aca="false">IF($A28="","",8*$D28)</f>
        <v/>
      </c>
      <c r="AT28" s="1" t="str">
        <f aca="false">IF($A28="","",ROUND((2*($C28+$B28))*1*$D28/1000,1))</f>
        <v/>
      </c>
      <c r="AU28" s="1" t="str">
        <f aca="false">IF($A28="","",ROUND((2*($C28+$B28))*$D28/1000,1))</f>
        <v/>
      </c>
    </row>
    <row r="29" customFormat="false" ht="39.75" hidden="false" customHeight="true" outlineLevel="0" collapsed="false"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65" t="str">
        <f aca="false">E$7</f>
        <v>F7859</v>
      </c>
      <c r="F30" s="65"/>
      <c r="G30" s="65"/>
      <c r="H30" s="66" t="n">
        <f aca="false">(ROUNDUP(SUM(F49:H49)/6400,0))</f>
        <v>4</v>
      </c>
      <c r="I30" s="66" t="str">
        <f aca="false">I$7</f>
        <v>F7939</v>
      </c>
      <c r="J30" s="66" t="n">
        <f aca="false">(ROUNDUP(J49/6400,0))</f>
        <v>1</v>
      </c>
      <c r="K30" s="65" t="str">
        <f aca="false">K$7</f>
        <v>F7943</v>
      </c>
      <c r="L30" s="65"/>
      <c r="M30" s="65"/>
      <c r="N30" s="66" t="n">
        <f aca="false">(ROUNDUP(SUM(L49:N49)/6400,0))</f>
        <v>4</v>
      </c>
      <c r="O30" s="65" t="str">
        <f aca="false">O$7</f>
        <v>F7935</v>
      </c>
      <c r="P30" s="65"/>
      <c r="Q30" s="65"/>
      <c r="R30" s="66" t="n">
        <f aca="false">(ROUNDUP(SUM(P49:R49)/6400,0))</f>
        <v>4</v>
      </c>
      <c r="S30" s="65" t="n">
        <f aca="false">S$7</f>
        <v>0</v>
      </c>
      <c r="T30" s="65"/>
      <c r="U30" s="65"/>
      <c r="V30" s="66" t="n">
        <f aca="false">(ROUNDUP(SUM(T49:V49)/6400,0))</f>
        <v>0</v>
      </c>
      <c r="W30" s="66" t="n">
        <f aca="false">W$7</f>
        <v>0</v>
      </c>
      <c r="X30" s="66" t="n">
        <f aca="false">(ROUNDUP(X49/6400,0))</f>
        <v>0</v>
      </c>
      <c r="Y30" s="66" t="n">
        <f aca="false">Y$7</f>
        <v>0</v>
      </c>
      <c r="Z30" s="66" t="n">
        <f aca="false">(ROUNDUP(Z49/6400,0))</f>
        <v>0</v>
      </c>
      <c r="AA30" s="66" t="n">
        <f aca="false">AA$7</f>
        <v>0</v>
      </c>
      <c r="AB30" s="66" t="n">
        <f aca="false">(ROUNDUP(AB49/6400,0))</f>
        <v>0</v>
      </c>
      <c r="AJ30" s="40" t="s">
        <v>65</v>
      </c>
      <c r="AK30" s="40" t="n">
        <f aca="false">SUM(AK11:AK28)</f>
        <v>7</v>
      </c>
      <c r="AM30" s="40" t="n">
        <f aca="false">SUM(AM11:AM28)</f>
        <v>7</v>
      </c>
      <c r="AN30" s="40" t="n">
        <f aca="false">SUM(AN11:AN28)</f>
        <v>14</v>
      </c>
      <c r="AO30" s="40" t="n">
        <f aca="false">SUM(AO11:AO28)</f>
        <v>14</v>
      </c>
      <c r="AP30" s="40" t="n">
        <f aca="false">SUM(AP11:AP28)</f>
        <v>14</v>
      </c>
      <c r="AQ30" s="40" t="n">
        <f aca="false">SUM(AQ11:AQ28)</f>
        <v>28</v>
      </c>
      <c r="AR30" s="40" t="n">
        <f aca="false">SUM(AR11:AR28)</f>
        <v>56</v>
      </c>
      <c r="AS30" s="40" t="n">
        <f aca="false">SUM(AS11:AS28)</f>
        <v>56</v>
      </c>
      <c r="AT30" s="40" t="n">
        <f aca="false">SUM(AT11:AT28)</f>
        <v>26</v>
      </c>
      <c r="AU30" s="40" t="n">
        <f aca="false">SUM(AU11:AU28)</f>
        <v>26</v>
      </c>
    </row>
    <row r="31" customFormat="false" ht="39.75" hidden="true" customHeight="true" outlineLevel="0" collapsed="false">
      <c r="F31" s="67" t="n">
        <f aca="false">IF($A11="","",F11*E11)</f>
        <v>800</v>
      </c>
      <c r="G31" s="67"/>
      <c r="H31" s="67" t="n">
        <f aca="false">IF($A11="","",H11*G11)</f>
        <v>550</v>
      </c>
      <c r="I31" s="67"/>
      <c r="J31" s="67" t="n">
        <f aca="false">IF($A11="","",J11*I11)</f>
        <v>550</v>
      </c>
      <c r="K31" s="67"/>
      <c r="L31" s="67" t="n">
        <f aca="false">IF($A11="","",L11*K11)</f>
        <v>726</v>
      </c>
      <c r="M31" s="67"/>
      <c r="N31" s="67" t="n">
        <f aca="false">IF($A11="","",N11*M11)</f>
        <v>1126</v>
      </c>
      <c r="O31" s="67"/>
      <c r="P31" s="67" t="n">
        <f aca="false">IF($A11="","",P11*O11)</f>
        <v>406</v>
      </c>
      <c r="Q31" s="67"/>
      <c r="R31" s="67" t="n">
        <f aca="false">IF($A11="","",R11*Q11)</f>
        <v>886</v>
      </c>
      <c r="S31" s="67"/>
      <c r="T31" s="67" t="n">
        <f aca="false">IF($A11="","",T11*S11)</f>
        <v>0</v>
      </c>
      <c r="U31" s="67"/>
      <c r="V31" s="67" t="n">
        <f aca="false">IF($A11="","",V11*U11)</f>
        <v>0</v>
      </c>
      <c r="W31" s="67"/>
      <c r="X31" s="67" t="n">
        <f aca="false">IF($A11="","",X11*W11)</f>
        <v>0</v>
      </c>
      <c r="Y31" s="67"/>
      <c r="Z31" s="67" t="n">
        <f aca="false">IF($A11="","",Z11*Y11)</f>
        <v>0</v>
      </c>
      <c r="AA31" s="67"/>
      <c r="AB31" s="67" t="n">
        <f aca="false">IF($A11="","",AB11*AA11)</f>
        <v>0</v>
      </c>
    </row>
    <row r="32" customFormat="false" ht="39.75" hidden="true" customHeight="true" outlineLevel="0" collapsed="false">
      <c r="F32" s="67" t="n">
        <f aca="false">IF($A12="","",F12*E12)</f>
        <v>800</v>
      </c>
      <c r="G32" s="67"/>
      <c r="H32" s="67" t="n">
        <f aca="false">IF($A12="","",H12*G12)</f>
        <v>550</v>
      </c>
      <c r="I32" s="67"/>
      <c r="J32" s="67" t="n">
        <f aca="false">IF($A12="","",J12*I12)</f>
        <v>550</v>
      </c>
      <c r="K32" s="67"/>
      <c r="L32" s="67" t="n">
        <f aca="false">IF($A12="","",L12*K12)</f>
        <v>726</v>
      </c>
      <c r="M32" s="67"/>
      <c r="N32" s="67" t="n">
        <f aca="false">IF($A12="","",N12*M12)</f>
        <v>1126</v>
      </c>
      <c r="O32" s="67"/>
      <c r="P32" s="67" t="n">
        <f aca="false">IF($A12="","",P12*O12)</f>
        <v>406</v>
      </c>
      <c r="Q32" s="67"/>
      <c r="R32" s="67" t="n">
        <f aca="false">IF($A12="","",R12*Q12)</f>
        <v>886</v>
      </c>
      <c r="S32" s="67"/>
      <c r="T32" s="67" t="n">
        <f aca="false">IF($A12="","",T12*S12)</f>
        <v>0</v>
      </c>
      <c r="U32" s="67"/>
      <c r="V32" s="67" t="n">
        <f aca="false">IF($A12="","",V12*U12)</f>
        <v>0</v>
      </c>
      <c r="W32" s="67"/>
      <c r="X32" s="67" t="n">
        <f aca="false">IF($A12="","",X12*W12)</f>
        <v>0</v>
      </c>
      <c r="Y32" s="67"/>
      <c r="Z32" s="67" t="n">
        <f aca="false">IF($A12="","",Z12*Y12)</f>
        <v>0</v>
      </c>
      <c r="AA32" s="67"/>
      <c r="AB32" s="67" t="n">
        <f aca="false">IF($A12="","",AB12*AA12)</f>
        <v>0</v>
      </c>
    </row>
    <row r="33" customFormat="false" ht="39.75" hidden="true" customHeight="true" outlineLevel="0" collapsed="false">
      <c r="F33" s="67" t="n">
        <f aca="false">IF($A13="","",F13*E13)</f>
        <v>3200</v>
      </c>
      <c r="G33" s="67"/>
      <c r="H33" s="67" t="n">
        <f aca="false">IF($A13="","",H13*G13)</f>
        <v>550</v>
      </c>
      <c r="I33" s="67"/>
      <c r="J33" s="67" t="n">
        <f aca="false">IF($A13="","",J13*I13)</f>
        <v>550</v>
      </c>
      <c r="K33" s="67"/>
      <c r="L33" s="67" t="n">
        <f aca="false">IF($A13="","",L13*K13)</f>
        <v>3126</v>
      </c>
      <c r="M33" s="67"/>
      <c r="N33" s="67" t="n">
        <f aca="false">IF($A13="","",N13*M13)</f>
        <v>1126</v>
      </c>
      <c r="O33" s="67"/>
      <c r="P33" s="67" t="n">
        <f aca="false">IF($A13="","",P13*O13)</f>
        <v>2806</v>
      </c>
      <c r="Q33" s="67"/>
      <c r="R33" s="67" t="n">
        <f aca="false">IF($A13="","",R13*Q13)</f>
        <v>886</v>
      </c>
      <c r="S33" s="67"/>
      <c r="T33" s="67" t="n">
        <f aca="false">IF($A13="","",T13*S13)</f>
        <v>0</v>
      </c>
      <c r="U33" s="67"/>
      <c r="V33" s="67" t="n">
        <f aca="false">IF($A13="","",V13*U13)</f>
        <v>0</v>
      </c>
      <c r="W33" s="67"/>
      <c r="X33" s="67" t="n">
        <f aca="false">IF($A13="","",X13*W13)</f>
        <v>0</v>
      </c>
      <c r="Y33" s="67"/>
      <c r="Z33" s="67" t="n">
        <f aca="false">IF($A13="","",Z13*Y13)</f>
        <v>0</v>
      </c>
      <c r="AA33" s="67"/>
      <c r="AB33" s="67" t="n">
        <f aca="false">IF($A13="","",AB13*AA13)</f>
        <v>0</v>
      </c>
    </row>
    <row r="34" customFormat="false" ht="39.75" hidden="true" customHeight="true" outlineLevel="0" collapsed="false">
      <c r="F34" s="67" t="n">
        <f aca="false">IF($A14="","",F14*E14)</f>
        <v>3200</v>
      </c>
      <c r="G34" s="67"/>
      <c r="H34" s="67" t="n">
        <f aca="false">IF($A14="","",H14*G14)</f>
        <v>550</v>
      </c>
      <c r="I34" s="67"/>
      <c r="J34" s="67" t="n">
        <f aca="false">IF($A14="","",J14*I14)</f>
        <v>550</v>
      </c>
      <c r="K34" s="67"/>
      <c r="L34" s="67" t="n">
        <f aca="false">IF($A14="","",L14*K14)</f>
        <v>3126</v>
      </c>
      <c r="M34" s="67"/>
      <c r="N34" s="67" t="n">
        <f aca="false">IF($A14="","",N14*M14)</f>
        <v>1126</v>
      </c>
      <c r="O34" s="67"/>
      <c r="P34" s="67" t="n">
        <f aca="false">IF($A14="","",P14*O14)</f>
        <v>2806</v>
      </c>
      <c r="Q34" s="67"/>
      <c r="R34" s="67" t="n">
        <f aca="false">IF($A14="","",R14*Q14)</f>
        <v>886</v>
      </c>
      <c r="S34" s="67"/>
      <c r="T34" s="67" t="n">
        <f aca="false">IF($A14="","",T14*S14)</f>
        <v>0</v>
      </c>
      <c r="U34" s="67"/>
      <c r="V34" s="67" t="n">
        <f aca="false">IF($A14="","",V14*U14)</f>
        <v>0</v>
      </c>
      <c r="W34" s="67"/>
      <c r="X34" s="67" t="n">
        <f aca="false">IF($A14="","",X14*W14)</f>
        <v>0</v>
      </c>
      <c r="Y34" s="67"/>
      <c r="Z34" s="67" t="n">
        <f aca="false">IF($A14="","",Z14*Y14)</f>
        <v>0</v>
      </c>
      <c r="AA34" s="67"/>
      <c r="AB34" s="67" t="n">
        <f aca="false">IF($A14="","",AB14*AA14)</f>
        <v>0</v>
      </c>
    </row>
    <row r="35" customFormat="false" ht="39.75" hidden="true" customHeight="true" outlineLevel="0" collapsed="false">
      <c r="F35" s="67" t="n">
        <f aca="false">IF($A15="","",F15*E15)</f>
        <v>3200</v>
      </c>
      <c r="G35" s="67"/>
      <c r="H35" s="67" t="n">
        <f aca="false">IF($A15="","",H15*G15)</f>
        <v>550</v>
      </c>
      <c r="I35" s="67"/>
      <c r="J35" s="67" t="n">
        <f aca="false">IF($A15="","",J15*I15)</f>
        <v>550</v>
      </c>
      <c r="K35" s="67"/>
      <c r="L35" s="67" t="n">
        <f aca="false">IF($A15="","",L15*K15)</f>
        <v>3126</v>
      </c>
      <c r="M35" s="67"/>
      <c r="N35" s="67" t="n">
        <f aca="false">IF($A15="","",N15*M15)</f>
        <v>1126</v>
      </c>
      <c r="O35" s="67"/>
      <c r="P35" s="67" t="n">
        <f aca="false">IF($A15="","",P15*O15)</f>
        <v>2806</v>
      </c>
      <c r="Q35" s="67"/>
      <c r="R35" s="67" t="n">
        <f aca="false">IF($A15="","",R15*Q15)</f>
        <v>886</v>
      </c>
      <c r="S35" s="67"/>
      <c r="T35" s="67" t="n">
        <f aca="false">IF($A15="","",T15*S15)</f>
        <v>0</v>
      </c>
      <c r="U35" s="67"/>
      <c r="V35" s="67" t="n">
        <f aca="false">IF($A15="","",V15*U15)</f>
        <v>0</v>
      </c>
      <c r="W35" s="67"/>
      <c r="X35" s="67" t="n">
        <f aca="false">IF($A15="","",X15*W15)</f>
        <v>0</v>
      </c>
      <c r="Y35" s="67"/>
      <c r="Z35" s="67" t="n">
        <f aca="false">IF($A15="","",Z15*Y15)</f>
        <v>0</v>
      </c>
      <c r="AA35" s="67"/>
      <c r="AB35" s="67" t="n">
        <f aca="false">IF($A15="","",AB15*AA15)</f>
        <v>0</v>
      </c>
    </row>
    <row r="36" customFormat="false" ht="15" hidden="true" customHeight="true" outlineLevel="0" collapsed="false">
      <c r="F36" s="67" t="n">
        <f aca="false">IF($A16="","",F16*E16)</f>
        <v>3200</v>
      </c>
      <c r="G36" s="67"/>
      <c r="H36" s="67" t="n">
        <f aca="false">IF($A16="","",H16*G16)</f>
        <v>550</v>
      </c>
      <c r="I36" s="67"/>
      <c r="J36" s="67" t="n">
        <f aca="false">IF($A16="","",J16*I16)</f>
        <v>550</v>
      </c>
      <c r="K36" s="67"/>
      <c r="L36" s="67" t="n">
        <f aca="false">IF($A16="","",L16*K16)</f>
        <v>3126</v>
      </c>
      <c r="M36" s="67"/>
      <c r="N36" s="67" t="n">
        <f aca="false">IF($A16="","",N16*M16)</f>
        <v>1126</v>
      </c>
      <c r="O36" s="67"/>
      <c r="P36" s="67" t="n">
        <f aca="false">IF($A16="","",P16*O16)</f>
        <v>2806</v>
      </c>
      <c r="Q36" s="67"/>
      <c r="R36" s="67" t="n">
        <f aca="false">IF($A16="","",R16*Q16)</f>
        <v>886</v>
      </c>
      <c r="S36" s="67"/>
      <c r="T36" s="67" t="n">
        <f aca="false">IF($A16="","",T16*S16)</f>
        <v>0</v>
      </c>
      <c r="U36" s="67"/>
      <c r="V36" s="67" t="n">
        <f aca="false">IF($A16="","",V16*U16)</f>
        <v>0</v>
      </c>
      <c r="W36" s="67"/>
      <c r="X36" s="67" t="n">
        <f aca="false">IF($A16="","",X16*W16)</f>
        <v>0</v>
      </c>
      <c r="Y36" s="67"/>
      <c r="Z36" s="67" t="n">
        <f aca="false">IF($A16="","",Z16*Y16)</f>
        <v>0</v>
      </c>
      <c r="AA36" s="67"/>
      <c r="AB36" s="67" t="n">
        <f aca="false">IF($A16="","",AB16*AA16)</f>
        <v>0</v>
      </c>
    </row>
    <row r="37" customFormat="false" ht="15" hidden="true" customHeight="true" outlineLevel="0" collapsed="false">
      <c r="F37" s="67" t="n">
        <f aca="false">IF($A17="","",F17*E17)</f>
        <v>3200</v>
      </c>
      <c r="G37" s="67"/>
      <c r="H37" s="67" t="n">
        <f aca="false">IF($A17="","",H17*G17)</f>
        <v>550</v>
      </c>
      <c r="I37" s="67"/>
      <c r="J37" s="67" t="n">
        <f aca="false">IF($A17="","",J17*I17)</f>
        <v>550</v>
      </c>
      <c r="K37" s="67"/>
      <c r="L37" s="67" t="n">
        <f aca="false">IF($A17="","",L17*K17)</f>
        <v>3126</v>
      </c>
      <c r="M37" s="67"/>
      <c r="N37" s="67" t="n">
        <f aca="false">IF($A17="","",N17*M17)</f>
        <v>1126</v>
      </c>
      <c r="O37" s="67"/>
      <c r="P37" s="67" t="n">
        <f aca="false">IF($A17="","",P17*O17)</f>
        <v>2806</v>
      </c>
      <c r="Q37" s="67"/>
      <c r="R37" s="67" t="n">
        <f aca="false">IF($A17="","",R17*Q17)</f>
        <v>886</v>
      </c>
      <c r="S37" s="67"/>
      <c r="T37" s="67" t="n">
        <f aca="false">IF($A17="","",T17*S17)</f>
        <v>0</v>
      </c>
      <c r="U37" s="67"/>
      <c r="V37" s="67" t="n">
        <f aca="false">IF($A17="","",V17*U17)</f>
        <v>0</v>
      </c>
      <c r="W37" s="67"/>
      <c r="X37" s="67" t="n">
        <f aca="false">IF($A17="","",X17*W17)</f>
        <v>0</v>
      </c>
      <c r="Y37" s="67"/>
      <c r="Z37" s="67" t="n">
        <f aca="false">IF($A17="","",Z17*Y17)</f>
        <v>0</v>
      </c>
      <c r="AA37" s="67"/>
      <c r="AB37" s="67" t="n">
        <f aca="false">IF($A17="","",AB17*AA17)</f>
        <v>0</v>
      </c>
    </row>
    <row r="38" customFormat="false" ht="15" hidden="true" customHeight="true" outlineLevel="0" collapsed="false">
      <c r="F38" s="67" t="str">
        <f aca="false">IF($A18="","",F18*E18)</f>
        <v/>
      </c>
      <c r="G38" s="67"/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</row>
    <row r="39" customFormat="false" ht="15" hidden="true" customHeight="true" outlineLevel="0" collapsed="false">
      <c r="F39" s="67" t="str">
        <f aca="false">IF($A19="","",F19*E19)</f>
        <v/>
      </c>
      <c r="G39" s="67"/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</row>
    <row r="40" customFormat="false" ht="15" hidden="true" customHeight="true" outlineLevel="0" collapsed="false">
      <c r="F40" s="67" t="str">
        <f aca="false">IF($A20="","",F20*E20)</f>
        <v/>
      </c>
      <c r="G40" s="67"/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</row>
    <row r="41" customFormat="false" ht="15" hidden="true" customHeight="true" outlineLevel="0" collapsed="false">
      <c r="F41" s="67" t="str">
        <f aca="false">IF($A21="","",F21*E21)</f>
        <v/>
      </c>
      <c r="G41" s="67"/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</row>
    <row r="42" customFormat="false" ht="15" hidden="true" customHeight="true" outlineLevel="0" collapsed="false">
      <c r="F42" s="67" t="str">
        <f aca="false">IF($A22="","",F22*E22)</f>
        <v/>
      </c>
      <c r="G42" s="67"/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</row>
    <row r="43" customFormat="false" ht="15" hidden="true" customHeight="true" outlineLevel="0" collapsed="false">
      <c r="F43" s="67" t="str">
        <f aca="false">IF($A23="","",F23*E23)</f>
        <v/>
      </c>
      <c r="G43" s="67"/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</row>
    <row r="44" customFormat="false" ht="15" hidden="true" customHeight="true" outlineLevel="0" collapsed="false">
      <c r="F44" s="67" t="str">
        <f aca="false">IF($A24="","",F24*E24)</f>
        <v/>
      </c>
      <c r="G44" s="67"/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</row>
    <row r="45" customFormat="false" ht="15" hidden="true" customHeight="true" outlineLevel="0" collapsed="false">
      <c r="F45" s="67" t="str">
        <f aca="false">IF($A25="","",F25*E25)</f>
        <v/>
      </c>
      <c r="G45" s="67"/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</row>
    <row r="46" customFormat="false" ht="15" hidden="true" customHeight="true" outlineLevel="0" collapsed="false">
      <c r="F46" s="67" t="str">
        <f aca="false">IF($A26="","",F26*E26)</f>
        <v/>
      </c>
      <c r="G46" s="67"/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</row>
    <row r="47" customFormat="false" ht="15" hidden="true" customHeight="true" outlineLevel="0" collapsed="false">
      <c r="F47" s="67" t="str">
        <f aca="false">IF($A27="","",F27*E27)</f>
        <v/>
      </c>
      <c r="G47" s="67"/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</row>
    <row r="48" customFormat="false" ht="15" hidden="true" customHeight="true" outlineLevel="0" collapsed="false">
      <c r="F48" s="67" t="str">
        <f aca="false">IF($A28="","",F28*E28)</f>
        <v/>
      </c>
      <c r="G48" s="67"/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</row>
    <row r="49" customFormat="false" ht="15" hidden="true" customHeight="true" outlineLevel="0" collapsed="false">
      <c r="F49" s="68" t="n">
        <f aca="false">SUMIF(F31:F48,"&gt;0")</f>
        <v>17600</v>
      </c>
      <c r="G49" s="68"/>
      <c r="H49" s="68" t="n">
        <f aca="false">SUMIF(H31:H48,"&gt;0")</f>
        <v>3850</v>
      </c>
      <c r="I49" s="68"/>
      <c r="J49" s="68" t="n">
        <f aca="false">SUMIF(J31:J48,"&gt;0")</f>
        <v>3850</v>
      </c>
      <c r="K49" s="68"/>
      <c r="L49" s="68" t="n">
        <f aca="false">SUMIF(L31:L48,"&gt;0")</f>
        <v>17082</v>
      </c>
      <c r="M49" s="68"/>
      <c r="N49" s="68" t="n">
        <f aca="false">SUMIF(N31:N48,"&gt;0")</f>
        <v>7882</v>
      </c>
      <c r="P49" s="68" t="n">
        <f aca="false">SUMIF(P31:P48,"&gt;0")</f>
        <v>14842</v>
      </c>
      <c r="Q49" s="68"/>
      <c r="R49" s="68" t="n">
        <f aca="false">SUMIF(R31:R48,"&gt;0")</f>
        <v>6202</v>
      </c>
      <c r="S49" s="68"/>
      <c r="T49" s="68" t="n">
        <f aca="false">SUMIF(T31:T48,"&gt;0")</f>
        <v>0</v>
      </c>
      <c r="V49" s="68" t="n">
        <f aca="false">SUMIF(V31:V48,"&gt;0")</f>
        <v>0</v>
      </c>
      <c r="X49" s="68" t="n">
        <f aca="false">SUMIF(X31:X48,"&gt;0")</f>
        <v>0</v>
      </c>
      <c r="Y49" s="68"/>
      <c r="Z49" s="68" t="n">
        <f aca="false">SUMIF(Z31:Z48,"&gt;0")</f>
        <v>0</v>
      </c>
      <c r="AB49" s="68" t="n">
        <f aca="false">SUMIF(AB31:AB48,"&gt;0")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 t="n">
        <v>2</v>
      </c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 t="n">
        <v>1</v>
      </c>
    </row>
    <row r="56" customFormat="false" ht="15" hidden="false" customHeight="true" outlineLevel="0" collapsed="false">
      <c r="A56" s="72" t="n">
        <v>3</v>
      </c>
      <c r="B56" s="73" t="s">
        <v>33</v>
      </c>
      <c r="C56" s="74" t="s">
        <v>180</v>
      </c>
      <c r="D56" s="75" t="s">
        <v>7</v>
      </c>
      <c r="E56" s="77" t="n">
        <v>25</v>
      </c>
      <c r="F56" s="77" t="n">
        <v>25</v>
      </c>
      <c r="G56" s="76"/>
      <c r="H56" s="76"/>
      <c r="I56" s="76"/>
      <c r="J56" s="76"/>
      <c r="K56" s="76"/>
      <c r="L56" s="77" t="n">
        <v>1</v>
      </c>
    </row>
    <row r="57" customFormat="false" ht="15" hidden="false" customHeight="true" outlineLevel="0" collapsed="false">
      <c r="A57" s="72" t="n">
        <v>4</v>
      </c>
      <c r="B57" s="73" t="s">
        <v>34</v>
      </c>
      <c r="C57" s="74" t="s">
        <v>181</v>
      </c>
      <c r="D57" s="75" t="s">
        <v>8</v>
      </c>
      <c r="E57" s="77" t="n">
        <v>18.5</v>
      </c>
      <c r="F57" s="77" t="n">
        <v>18.5</v>
      </c>
      <c r="G57" s="76"/>
      <c r="H57" s="76"/>
      <c r="I57" s="76"/>
      <c r="J57" s="76"/>
      <c r="K57" s="76"/>
      <c r="L57" s="77" t="n">
        <v>2</v>
      </c>
    </row>
    <row r="58" customFormat="false" ht="15" hidden="false" customHeight="true" outlineLevel="0" collapsed="false">
      <c r="A58" s="72" t="n">
        <v>5</v>
      </c>
      <c r="B58" s="73" t="s">
        <v>35</v>
      </c>
      <c r="C58" s="74" t="s">
        <v>79</v>
      </c>
      <c r="D58" s="75" t="s">
        <v>9</v>
      </c>
      <c r="E58" s="77" t="n">
        <v>18.5</v>
      </c>
      <c r="F58" s="77" t="n">
        <v>18.5</v>
      </c>
      <c r="G58" s="76"/>
      <c r="H58" s="76"/>
      <c r="I58" s="76"/>
      <c r="J58" s="76"/>
      <c r="K58" s="76"/>
      <c r="L58" s="77" t="n">
        <v>2</v>
      </c>
    </row>
    <row r="59" customFormat="false" ht="15" hidden="false" customHeight="true" outlineLevel="0" collapsed="false">
      <c r="A59" s="72" t="n">
        <v>6</v>
      </c>
      <c r="B59" s="73" t="s">
        <v>36</v>
      </c>
      <c r="C59" s="74" t="s">
        <v>17</v>
      </c>
      <c r="D59" s="75" t="s">
        <v>176</v>
      </c>
      <c r="E59" s="77" t="n">
        <v>80</v>
      </c>
      <c r="F59" s="77" t="n">
        <v>80</v>
      </c>
      <c r="G59" s="76"/>
      <c r="H59" s="76"/>
      <c r="I59" s="76"/>
      <c r="J59" s="76"/>
      <c r="K59" s="76"/>
      <c r="L59" s="77" t="n">
        <v>2</v>
      </c>
    </row>
    <row r="60" customFormat="false" ht="15" hidden="false" customHeight="true" outlineLevel="0" collapsed="false">
      <c r="A60" s="72" t="n">
        <v>7</v>
      </c>
      <c r="B60" s="73" t="s">
        <v>37</v>
      </c>
      <c r="C60" s="74" t="s">
        <v>79</v>
      </c>
      <c r="D60" s="75" t="s">
        <v>177</v>
      </c>
      <c r="E60" s="77" t="n">
        <v>60</v>
      </c>
      <c r="F60" s="77" t="n">
        <v>60</v>
      </c>
      <c r="G60" s="76"/>
      <c r="H60" s="76"/>
      <c r="I60" s="76"/>
      <c r="J60" s="76"/>
      <c r="K60" s="76"/>
      <c r="L60" s="77" t="n">
        <v>2</v>
      </c>
    </row>
    <row r="62" customFormat="false" ht="15" hidden="false" customHeight="true" outlineLevel="0" collapsed="false">
      <c r="A62" s="78" t="s">
        <v>209</v>
      </c>
      <c r="F62" s="79"/>
    </row>
    <row r="63" customFormat="false" ht="15" hidden="false" customHeight="true" outlineLevel="0" collapsed="false">
      <c r="A63" s="80" t="s">
        <v>210</v>
      </c>
      <c r="B63" s="81" t="s">
        <v>211</v>
      </c>
      <c r="F63" s="82"/>
    </row>
    <row r="64" customFormat="false" ht="15" hidden="false" customHeight="true" outlineLevel="0" collapsed="false">
      <c r="A64" s="80" t="s">
        <v>212</v>
      </c>
      <c r="B64" s="81" t="s">
        <v>82</v>
      </c>
      <c r="F64" s="82"/>
    </row>
    <row r="65" customFormat="false" ht="15" hidden="false" customHeight="true" outlineLevel="0" collapsed="false">
      <c r="A65" s="80" t="s">
        <v>213</v>
      </c>
      <c r="B65" s="81" t="s">
        <v>214</v>
      </c>
      <c r="F65" s="82"/>
    </row>
    <row r="66" customFormat="false" ht="15" hidden="false" customHeight="true" outlineLevel="0" collapsed="false">
      <c r="A66" s="132"/>
      <c r="F66" s="82"/>
    </row>
    <row r="67" customFormat="false" ht="15" hidden="false" customHeight="true" outlineLevel="0" collapsed="false">
      <c r="A67" s="78" t="s">
        <v>89</v>
      </c>
    </row>
    <row r="68" customFormat="false" ht="15" hidden="false" customHeight="true" outlineLevel="0" collapsed="false">
      <c r="A68" s="84" t="s">
        <v>67</v>
      </c>
      <c r="B68" s="84" t="s">
        <v>90</v>
      </c>
      <c r="C68" s="84" t="s">
        <v>91</v>
      </c>
      <c r="D68" s="84" t="s">
        <v>60</v>
      </c>
      <c r="E68" s="84" t="s">
        <v>92</v>
      </c>
      <c r="F68" s="84" t="s">
        <v>93</v>
      </c>
    </row>
    <row r="69" customFormat="false" ht="15" hidden="false" customHeight="true" outlineLevel="0" collapsed="false">
      <c r="A69" s="85" t="n">
        <v>1</v>
      </c>
      <c r="B69" s="85" t="s">
        <v>192</v>
      </c>
      <c r="C69" s="81" t="str">
        <f aca="false">AK8</f>
        <v>JR00304</v>
      </c>
      <c r="D69" s="86" t="n">
        <f aca="false">AK30</f>
        <v>7</v>
      </c>
      <c r="E69" s="85" t="s">
        <v>22</v>
      </c>
    </row>
    <row r="70" customFormat="false" ht="15" hidden="false" customHeight="true" outlineLevel="0" collapsed="false">
      <c r="A70" s="85" t="n">
        <v>2</v>
      </c>
      <c r="B70" s="85" t="s">
        <v>215</v>
      </c>
      <c r="C70" s="81" t="str">
        <f aca="false">AM8</f>
        <v>JR00566</v>
      </c>
      <c r="D70" s="86" t="n">
        <f aca="false">AM30</f>
        <v>7</v>
      </c>
      <c r="E70" s="85" t="s">
        <v>94</v>
      </c>
    </row>
    <row r="71" customFormat="false" ht="15" hidden="false" customHeight="true" outlineLevel="0" collapsed="false">
      <c r="A71" s="85" t="n">
        <v>3</v>
      </c>
      <c r="B71" s="85" t="s">
        <v>194</v>
      </c>
      <c r="C71" s="81" t="str">
        <f aca="false">AN8</f>
        <v>JR00559</v>
      </c>
      <c r="D71" s="86" t="n">
        <f aca="false">AN30</f>
        <v>14</v>
      </c>
      <c r="E71" s="85" t="s">
        <v>94</v>
      </c>
    </row>
    <row r="72" customFormat="false" ht="15" hidden="false" customHeight="true" outlineLevel="0" collapsed="false">
      <c r="A72" s="85" t="n">
        <v>4</v>
      </c>
      <c r="B72" s="85" t="s">
        <v>195</v>
      </c>
      <c r="C72" s="81" t="str">
        <f aca="false">AO8</f>
        <v>JR00486</v>
      </c>
      <c r="D72" s="86" t="n">
        <f aca="false">AO30</f>
        <v>14</v>
      </c>
      <c r="E72" s="85" t="s">
        <v>94</v>
      </c>
    </row>
    <row r="73" customFormat="false" ht="15" hidden="false" customHeight="true" outlineLevel="0" collapsed="false">
      <c r="A73" s="85" t="n">
        <v>5</v>
      </c>
      <c r="B73" s="85" t="s">
        <v>196</v>
      </c>
      <c r="C73" s="81" t="str">
        <f aca="false">AP8</f>
        <v>JR00483</v>
      </c>
      <c r="D73" s="86" t="n">
        <f aca="false">AP30</f>
        <v>14</v>
      </c>
      <c r="E73" s="85" t="s">
        <v>94</v>
      </c>
    </row>
    <row r="74" customFormat="false" ht="15" hidden="false" customHeight="true" outlineLevel="0" collapsed="false">
      <c r="A74" s="85" t="n">
        <v>6</v>
      </c>
      <c r="B74" s="85" t="s">
        <v>42</v>
      </c>
      <c r="C74" s="81" t="str">
        <f aca="false">AQ8</f>
        <v>JR00482</v>
      </c>
      <c r="D74" s="86" t="n">
        <f aca="false">AQ30</f>
        <v>28</v>
      </c>
      <c r="E74" s="85" t="s">
        <v>94</v>
      </c>
    </row>
    <row r="75" customFormat="false" ht="15" hidden="false" customHeight="true" outlineLevel="0" collapsed="false">
      <c r="A75" s="85" t="n">
        <v>7</v>
      </c>
      <c r="B75" s="85" t="s">
        <v>43</v>
      </c>
      <c r="C75" s="81" t="str">
        <f aca="false">AR8</f>
        <v>JR00557</v>
      </c>
      <c r="D75" s="86" t="n">
        <f aca="false">AR30</f>
        <v>56</v>
      </c>
      <c r="E75" s="85" t="s">
        <v>94</v>
      </c>
    </row>
    <row r="76" customFormat="false" ht="15" hidden="false" customHeight="true" outlineLevel="0" collapsed="false">
      <c r="A76" s="85" t="n">
        <v>8</v>
      </c>
      <c r="B76" s="85" t="s">
        <v>51</v>
      </c>
      <c r="C76" s="81" t="str">
        <f aca="false">AS8</f>
        <v>JR00864</v>
      </c>
      <c r="D76" s="86" t="n">
        <f aca="false">AS30</f>
        <v>56</v>
      </c>
      <c r="E76" s="85" t="s">
        <v>94</v>
      </c>
    </row>
    <row r="77" customFormat="false" ht="15" hidden="false" customHeight="true" outlineLevel="0" collapsed="false">
      <c r="A77" s="85" t="n">
        <v>9</v>
      </c>
      <c r="B77" s="85" t="s">
        <v>52</v>
      </c>
      <c r="C77" s="81" t="str">
        <f aca="false">AT8</f>
        <v>JR00770</v>
      </c>
      <c r="D77" s="86" t="n">
        <f aca="false">AT30</f>
        <v>26</v>
      </c>
      <c r="E77" s="85" t="s">
        <v>101</v>
      </c>
    </row>
    <row r="78" customFormat="false" ht="15" hidden="false" customHeight="true" outlineLevel="0" collapsed="false">
      <c r="A78" s="85" t="n">
        <v>10</v>
      </c>
      <c r="B78" s="85" t="s">
        <v>53</v>
      </c>
      <c r="C78" s="81" t="str">
        <f aca="false">AU8</f>
        <v>JR00770</v>
      </c>
      <c r="D78" s="86" t="n">
        <f aca="false">AU30</f>
        <v>26</v>
      </c>
      <c r="E78" s="85" t="s">
        <v>101</v>
      </c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J7"/>
    <mergeCell ref="K7:N7"/>
    <mergeCell ref="O7:R7"/>
    <mergeCell ref="S7:V7"/>
    <mergeCell ref="W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K30:M30"/>
    <mergeCell ref="O30:Q30"/>
    <mergeCell ref="S30:U30"/>
  </mergeCells>
  <dataValidations count="3">
    <dataValidation allowBlank="true" errorStyle="stop" operator="between" showDropDown="false" showErrorMessage="false" showInputMessage="false" sqref="B63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4" type="list">
      <formula1>"ขาว,ดำ"</formula1>
      <formula2>0</formula2>
    </dataValidation>
    <dataValidation allowBlank="true" errorStyle="stop" operator="between" showDropDown="false" showErrorMessage="false" showInputMessage="false" sqref="B65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30" min="29" style="1" width="12.7"/>
    <col collapsed="false" customWidth="true" hidden="false" outlineLevel="0" max="32" min="32" style="1" width="8.9"/>
    <col collapsed="false" customWidth="true" hidden="true" outlineLevel="0" max="54" min="53" style="1" width="13"/>
  </cols>
  <sheetData>
    <row r="1" customFormat="false" ht="39.75" hidden="false" customHeight="true" outlineLevel="0" collapsed="false">
      <c r="A1" s="3" t="s">
        <v>216</v>
      </c>
      <c r="B1" s="4"/>
      <c r="D1" s="5"/>
      <c r="E1" s="6"/>
      <c r="F1" s="5"/>
      <c r="G1" s="7"/>
      <c r="H1" s="7"/>
      <c r="I1" s="5"/>
      <c r="J1" s="5"/>
      <c r="K1" s="5"/>
      <c r="L1" s="5"/>
      <c r="M1" s="7"/>
      <c r="N1" s="7"/>
      <c r="O1" s="8"/>
      <c r="P1" s="8"/>
      <c r="Q1" s="5"/>
      <c r="R1" s="9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BA1" s="40" t="s">
        <v>166</v>
      </c>
      <c r="BB1" s="1" t="s">
        <v>167</v>
      </c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11"/>
      <c r="H2" s="11"/>
      <c r="I2" s="7"/>
      <c r="J2" s="7"/>
      <c r="K2" s="7"/>
      <c r="L2" s="7"/>
      <c r="M2" s="7"/>
      <c r="N2" s="7"/>
      <c r="O2" s="11"/>
      <c r="P2" s="11"/>
      <c r="Q2" s="7"/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A2" s="40" t="s">
        <v>168</v>
      </c>
      <c r="BB2" s="1" t="s">
        <v>169</v>
      </c>
    </row>
    <row r="3" customFormat="false" ht="39.75" hidden="false" customHeight="true" outlineLevel="0" collapsed="false">
      <c r="A3" s="7"/>
      <c r="B3" s="7"/>
      <c r="C3" s="7"/>
      <c r="D3" s="7"/>
      <c r="E3" s="10"/>
      <c r="F3" s="7"/>
      <c r="I3" s="7"/>
      <c r="J3" s="7"/>
      <c r="K3" s="7"/>
      <c r="L3" s="7"/>
      <c r="M3" s="7"/>
      <c r="N3" s="7"/>
      <c r="O3" s="12"/>
      <c r="P3" s="12"/>
      <c r="Q3" s="7"/>
      <c r="R3" s="7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A3" s="40" t="s">
        <v>170</v>
      </c>
      <c r="BB3" s="1" t="s">
        <v>171</v>
      </c>
    </row>
    <row r="4" customFormat="false" ht="39.75" hidden="false" customHeight="true" outlineLevel="0" collapsed="false">
      <c r="A4" s="7"/>
      <c r="B4" s="7"/>
      <c r="C4" s="7"/>
      <c r="D4" s="7"/>
      <c r="F4" s="7"/>
      <c r="I4" s="7"/>
      <c r="J4" s="7"/>
      <c r="K4" s="7"/>
      <c r="L4" s="7"/>
      <c r="M4" s="7"/>
      <c r="N4" s="7"/>
      <c r="Q4" s="7"/>
      <c r="R4" s="7"/>
      <c r="BA4" s="40" t="s">
        <v>172</v>
      </c>
      <c r="BB4" s="1" t="s">
        <v>173</v>
      </c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I5" s="7"/>
      <c r="J5" s="7"/>
      <c r="K5" s="7"/>
      <c r="L5" s="7"/>
      <c r="N5" s="7"/>
      <c r="Q5" s="7"/>
      <c r="R5" s="7"/>
      <c r="BA5" s="40" t="s">
        <v>174</v>
      </c>
      <c r="BB5" s="1" t="s">
        <v>175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8</v>
      </c>
      <c r="L6" s="17"/>
      <c r="M6" s="17" t="s">
        <v>217</v>
      </c>
      <c r="N6" s="17"/>
      <c r="O6" s="17" t="s">
        <v>176</v>
      </c>
      <c r="P6" s="17"/>
      <c r="Q6" s="17" t="s">
        <v>177</v>
      </c>
      <c r="R6" s="17"/>
      <c r="S6" s="17" t="s">
        <v>116</v>
      </c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  <c r="BA6" s="40" t="s">
        <v>178</v>
      </c>
      <c r="BB6" s="1" t="s">
        <v>179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1" t="s">
        <v>180</v>
      </c>
      <c r="J7" s="21"/>
      <c r="K7" s="20" t="s">
        <v>181</v>
      </c>
      <c r="L7" s="20"/>
      <c r="M7" s="20"/>
      <c r="N7" s="20"/>
      <c r="O7" s="20" t="s">
        <v>17</v>
      </c>
      <c r="P7" s="20"/>
      <c r="Q7" s="20"/>
      <c r="R7" s="20"/>
      <c r="S7" s="20" t="s">
        <v>117</v>
      </c>
      <c r="T7" s="20"/>
      <c r="U7" s="22"/>
      <c r="V7" s="22"/>
      <c r="W7" s="22"/>
      <c r="X7" s="22"/>
      <c r="Y7" s="22"/>
      <c r="Z7" s="22"/>
      <c r="AA7" s="23"/>
      <c r="AB7" s="23"/>
      <c r="AC7" s="24"/>
      <c r="AD7" s="25" t="s">
        <v>19</v>
      </c>
      <c r="AE7" s="26"/>
      <c r="BA7" s="40" t="s">
        <v>182</v>
      </c>
      <c r="BB7" s="1" t="s">
        <v>183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0"/>
      <c r="J8" s="30"/>
      <c r="K8" s="29"/>
      <c r="L8" s="29"/>
      <c r="M8" s="30"/>
      <c r="N8" s="30"/>
      <c r="O8" s="29"/>
      <c r="P8" s="29"/>
      <c r="Q8" s="30"/>
      <c r="R8" s="30"/>
      <c r="S8" s="31"/>
      <c r="T8" s="31"/>
      <c r="U8" s="29"/>
      <c r="V8" s="29"/>
      <c r="W8" s="30"/>
      <c r="X8" s="30"/>
      <c r="Y8" s="31"/>
      <c r="Z8" s="31"/>
      <c r="AA8" s="30"/>
      <c r="AB8" s="30"/>
      <c r="AC8" s="32"/>
      <c r="AD8" s="33" t="s">
        <v>23</v>
      </c>
      <c r="AE8" s="34"/>
      <c r="AK8" s="1" t="str">
        <f aca="false">VLOOKUP($B$64&amp;$B$66&amp;$B$65,$BA$1:$BB$12,2,0)</f>
        <v>JR00304</v>
      </c>
      <c r="AL8" s="1" t="str">
        <f aca="false">VLOOKUP($B$64&amp;$B$67&amp;$B$65,$BA$1:$BB$12,2,0)</f>
        <v>JR00305</v>
      </c>
      <c r="AM8" s="1" t="s">
        <v>184</v>
      </c>
      <c r="AN8" s="1" t="s">
        <v>185</v>
      </c>
      <c r="AO8" s="1" t="s">
        <v>186</v>
      </c>
      <c r="AP8" s="1" t="s">
        <v>187</v>
      </c>
      <c r="AQ8" s="1" t="s">
        <v>24</v>
      </c>
      <c r="AR8" s="1" t="s">
        <v>25</v>
      </c>
      <c r="AS8" s="1" t="s">
        <v>28</v>
      </c>
      <c r="AT8" s="1" t="s">
        <v>188</v>
      </c>
      <c r="AU8" s="1" t="s">
        <v>188</v>
      </c>
      <c r="BA8" s="40" t="s">
        <v>189</v>
      </c>
      <c r="BB8" s="1" t="s">
        <v>190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33</v>
      </c>
      <c r="J9" s="35"/>
      <c r="K9" s="35" t="s">
        <v>34</v>
      </c>
      <c r="L9" s="35"/>
      <c r="M9" s="35" t="s">
        <v>35</v>
      </c>
      <c r="N9" s="35"/>
      <c r="O9" s="35" t="s">
        <v>36</v>
      </c>
      <c r="P9" s="35"/>
      <c r="Q9" s="35" t="s">
        <v>37</v>
      </c>
      <c r="R9" s="35"/>
      <c r="S9" s="35" t="s">
        <v>125</v>
      </c>
      <c r="T9" s="35"/>
      <c r="U9" s="35"/>
      <c r="V9" s="35"/>
      <c r="W9" s="35"/>
      <c r="X9" s="35"/>
      <c r="Y9" s="36"/>
      <c r="Z9" s="36"/>
      <c r="AA9" s="35"/>
      <c r="AB9" s="35"/>
      <c r="AC9" s="37" t="s">
        <v>191</v>
      </c>
      <c r="AD9" s="38" t="s">
        <v>109</v>
      </c>
      <c r="AE9" s="39"/>
      <c r="AK9" s="40" t="s">
        <v>192</v>
      </c>
      <c r="AL9" s="40" t="s">
        <v>218</v>
      </c>
      <c r="AM9" s="1" t="s">
        <v>193</v>
      </c>
      <c r="AN9" s="40" t="s">
        <v>194</v>
      </c>
      <c r="AO9" s="40" t="s">
        <v>195</v>
      </c>
      <c r="AP9" s="40" t="s">
        <v>196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1" t="s">
        <v>197</v>
      </c>
      <c r="BB9" s="1" t="s">
        <v>198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44" t="s">
        <v>57</v>
      </c>
      <c r="D10" s="45" t="s">
        <v>58</v>
      </c>
      <c r="E10" s="46" t="s">
        <v>59</v>
      </c>
      <c r="F10" s="47" t="s">
        <v>60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7" t="s">
        <v>60</v>
      </c>
      <c r="U10" s="46" t="s">
        <v>59</v>
      </c>
      <c r="V10" s="48" t="s">
        <v>60</v>
      </c>
      <c r="W10" s="46" t="s">
        <v>59</v>
      </c>
      <c r="X10" s="48" t="s">
        <v>60</v>
      </c>
      <c r="Y10" s="46" t="s">
        <v>59</v>
      </c>
      <c r="Z10" s="48" t="s">
        <v>60</v>
      </c>
      <c r="AA10" s="46" t="s">
        <v>59</v>
      </c>
      <c r="AB10" s="48" t="s">
        <v>60</v>
      </c>
      <c r="AC10" s="49" t="s">
        <v>61</v>
      </c>
      <c r="AD10" s="50" t="s">
        <v>62</v>
      </c>
      <c r="AE10" s="51" t="s">
        <v>60</v>
      </c>
      <c r="AK10" s="40" t="s">
        <v>60</v>
      </c>
      <c r="AL10" s="40" t="s">
        <v>60</v>
      </c>
      <c r="AM10" s="40" t="s">
        <v>60</v>
      </c>
      <c r="AN10" s="40" t="s">
        <v>60</v>
      </c>
      <c r="AO10" s="40" t="s">
        <v>60</v>
      </c>
      <c r="AP10" s="40" t="s">
        <v>60</v>
      </c>
      <c r="AQ10" s="40" t="s">
        <v>60</v>
      </c>
      <c r="AR10" s="40" t="s">
        <v>60</v>
      </c>
      <c r="AS10" s="40" t="s">
        <v>60</v>
      </c>
      <c r="AT10" s="40" t="s">
        <v>60</v>
      </c>
      <c r="AU10" s="40" t="s">
        <v>60</v>
      </c>
      <c r="BA10" s="1" t="s">
        <v>199</v>
      </c>
      <c r="BB10" s="1" t="s">
        <v>200</v>
      </c>
    </row>
    <row r="11" customFormat="false" ht="39.75" hidden="false" customHeight="true" outlineLevel="0" collapsed="false">
      <c r="A11" s="52" t="s">
        <v>119</v>
      </c>
      <c r="B11" s="53" t="n">
        <v>400</v>
      </c>
      <c r="C11" s="54" t="n">
        <v>460</v>
      </c>
      <c r="D11" s="55" t="n">
        <v>1</v>
      </c>
      <c r="E11" s="56" t="n">
        <f aca="false">IF($A11="","",$B11)</f>
        <v>400</v>
      </c>
      <c r="F11" s="54" t="n">
        <f aca="false">IF($A11="","",$L$54*$D11)</f>
        <v>2</v>
      </c>
      <c r="G11" s="56" t="n">
        <f aca="false">IF($A11="","",$C11-$E$55-$F$55)</f>
        <v>410</v>
      </c>
      <c r="H11" s="54" t="n">
        <f aca="false">IF($A11="","",$L$55*$D11)</f>
        <v>1</v>
      </c>
      <c r="I11" s="56" t="n">
        <f aca="false">IF($A11="","",$C11-$E$56-$F$56)</f>
        <v>410</v>
      </c>
      <c r="J11" s="54" t="n">
        <f aca="false">IF($A11="","",$L$56*$D11)</f>
        <v>1</v>
      </c>
      <c r="K11" s="56" t="n">
        <f aca="false">IF($A11="","",$B11-$E$57-$F$57)</f>
        <v>363</v>
      </c>
      <c r="L11" s="54" t="n">
        <f aca="false">IF($A11="","",$L$57*$D11)</f>
        <v>4</v>
      </c>
      <c r="M11" s="56" t="n">
        <f aca="false">IF($A11="","",(($C11-$E$58-$F$58-$G$58)/2))</f>
        <v>210.5</v>
      </c>
      <c r="N11" s="54" t="n">
        <f aca="false">IF($A11="","",$L$58*$D11)</f>
        <v>2</v>
      </c>
      <c r="O11" s="56" t="n">
        <f aca="false">IF($A11="","",$K11-$E$59-$F$59)</f>
        <v>203</v>
      </c>
      <c r="P11" s="54" t="n">
        <f aca="false">IF($A11="","",$L$59*$D11)</f>
        <v>4</v>
      </c>
      <c r="Q11" s="56" t="n">
        <f aca="false">IF($A11="","",$M11-$E$60-$F$60)</f>
        <v>90.5</v>
      </c>
      <c r="R11" s="54" t="n">
        <f aca="false">IF($A11="","",$L$60*$D11)</f>
        <v>4</v>
      </c>
      <c r="S11" s="56" t="n">
        <f aca="false">IF($A11="","",$B11-$E$61-$F$61)</f>
        <v>346</v>
      </c>
      <c r="T11" s="54" t="n">
        <f aca="false">IF($A11="","",$L$61*$D11)</f>
        <v>1</v>
      </c>
      <c r="U11" s="56"/>
      <c r="V11" s="54"/>
      <c r="W11" s="56"/>
      <c r="X11" s="54"/>
      <c r="Y11" s="56"/>
      <c r="Z11" s="54"/>
      <c r="AA11" s="56"/>
      <c r="AB11" s="54"/>
      <c r="AC11" s="57" t="n">
        <f aca="false">IF($A11="","",$K11-67-67)</f>
        <v>229</v>
      </c>
      <c r="AD11" s="101" t="n">
        <f aca="false">IF($A11="","",$M11-67-67)</f>
        <v>76.5</v>
      </c>
      <c r="AE11" s="59" t="n">
        <f aca="false">IF($A11="","",2*$D11)</f>
        <v>2</v>
      </c>
      <c r="AK11" s="40" t="n">
        <f aca="false">IF($A11="","",1*$D11)</f>
        <v>1</v>
      </c>
      <c r="AL11" s="40" t="n">
        <f aca="false">IF($A11="","",1*$D11)</f>
        <v>1</v>
      </c>
      <c r="AM11" s="40" t="n">
        <f aca="false">IF($A11="","",2*$D11)</f>
        <v>2</v>
      </c>
      <c r="AN11" s="40" t="n">
        <f aca="false">IF($A11="","",2*2*$D11)</f>
        <v>4</v>
      </c>
      <c r="AO11" s="40" t="n">
        <f aca="false">IF($A11="","",(2+IF($B11&gt;1800,ROUNDUP(($B11-1800)/500,0),0))*2*$D11)</f>
        <v>4</v>
      </c>
      <c r="AP11" s="40" t="n">
        <f aca="false">IF($A11="","",(2+IF($B11&gt;1800,ROUNDUP(($B11-1800)/500,0),0))*2*$D11)</f>
        <v>4</v>
      </c>
      <c r="AQ11" s="40" t="n">
        <f aca="false">IF($A11="","",4*2*$D11)</f>
        <v>8</v>
      </c>
      <c r="AR11" s="40" t="n">
        <f aca="false">IF($A11="","",8*2*$D11)</f>
        <v>16</v>
      </c>
      <c r="AS11" s="40" t="n">
        <f aca="false">IF($A11="","",8*$D11)</f>
        <v>8</v>
      </c>
      <c r="AT11" s="40" t="n">
        <f aca="false">IF($A11="","",ROUND((2*($C11/2+$B11))*2*$D11/1000,1))</f>
        <v>2.5</v>
      </c>
      <c r="AU11" s="40" t="n">
        <f aca="false">IF($A11="","",ROUND((2*($C11+$B11))*$D11/1000,1))</f>
        <v>1.7</v>
      </c>
      <c r="BA11" s="1" t="s">
        <v>201</v>
      </c>
      <c r="BB11" s="1" t="s">
        <v>202</v>
      </c>
    </row>
    <row r="12" customFormat="false" ht="39.75" hidden="false" customHeight="true" outlineLevel="0" collapsed="false">
      <c r="A12" s="52"/>
      <c r="B12" s="53"/>
      <c r="C12" s="54"/>
      <c r="D12" s="55"/>
      <c r="E12" s="60" t="str">
        <f aca="false">IF($A12="","",$B12)</f>
        <v/>
      </c>
      <c r="F12" s="61" t="str">
        <f aca="false">IF($A12="","",$L$54*$D12)</f>
        <v/>
      </c>
      <c r="G12" s="60" t="str">
        <f aca="false">IF($A12="","",$C12-$E$55-$F$55)</f>
        <v/>
      </c>
      <c r="H12" s="61" t="str">
        <f aca="false">IF($A12="","",$L$55*$D12)</f>
        <v/>
      </c>
      <c r="I12" s="60" t="str">
        <f aca="false">IF($A12="","",$C12-$E$56-$F$56)</f>
        <v/>
      </c>
      <c r="J12" s="61" t="str">
        <f aca="false">IF($A12="","",$L$56*$D12)</f>
        <v/>
      </c>
      <c r="K12" s="60" t="str">
        <f aca="false">IF($A12="","",$B12-$E$57-$F$57)</f>
        <v/>
      </c>
      <c r="L12" s="61" t="str">
        <f aca="false">IF($A12="","",$L$57*$D12)</f>
        <v/>
      </c>
      <c r="M12" s="60" t="str">
        <f aca="false">IF($A12="","",(($C12-$E$58-$F$58-$G$58)/2))</f>
        <v/>
      </c>
      <c r="N12" s="61" t="str">
        <f aca="false">IF($A12="","",$L$58*$D12)</f>
        <v/>
      </c>
      <c r="O12" s="60" t="str">
        <f aca="false">IF($A12="","",$K12-$E$59-$F$59)</f>
        <v/>
      </c>
      <c r="P12" s="61" t="str">
        <f aca="false">IF($A12="","",$L$59*$D12)</f>
        <v/>
      </c>
      <c r="Q12" s="60" t="str">
        <f aca="false">IF($A12="","",$M12-$E$60-$F$60)</f>
        <v/>
      </c>
      <c r="R12" s="61" t="str">
        <f aca="false">IF($A12="","",$L$60*$D12)</f>
        <v/>
      </c>
      <c r="S12" s="60" t="str">
        <f aca="false">IF($A12="","",$B12-$E$61-$F$61)</f>
        <v/>
      </c>
      <c r="T12" s="61" t="str">
        <f aca="false">IF($A12="","",$L$61*$D12)</f>
        <v/>
      </c>
      <c r="U12" s="60"/>
      <c r="V12" s="61"/>
      <c r="W12" s="60"/>
      <c r="X12" s="61"/>
      <c r="Y12" s="60"/>
      <c r="Z12" s="61"/>
      <c r="AA12" s="60"/>
      <c r="AB12" s="61"/>
      <c r="AC12" s="57" t="str">
        <f aca="false">IF($A12="","",$K12-67-67)</f>
        <v/>
      </c>
      <c r="AD12" s="58" t="str">
        <f aca="false">IF($A12="","",$M12-67-67)</f>
        <v/>
      </c>
      <c r="AE12" s="59" t="str">
        <f aca="false">IF($A12="","",2*$D12)</f>
        <v/>
      </c>
      <c r="AK12" s="1" t="str">
        <f aca="false">IF($A12="","",1*$D12)</f>
        <v/>
      </c>
      <c r="AL12" s="1" t="str">
        <f aca="false">IF($A12="","",1*$D12)</f>
        <v/>
      </c>
      <c r="AM12" s="1" t="str">
        <f aca="false">IF($A12="","",2*$D12)</f>
        <v/>
      </c>
      <c r="AN12" s="1" t="str">
        <f aca="false">IF($A12="","",2*2*$D12)</f>
        <v/>
      </c>
      <c r="AO12" s="1" t="str">
        <f aca="false">IF($A12="","",(2+IF($B12&gt;1800,ROUNDUP(($B12-1800)/500,0),0))*2*$D12)</f>
        <v/>
      </c>
      <c r="AP12" s="1" t="str">
        <f aca="false">IF($A12="","",(2+IF($B12&gt;1800,ROUNDUP(($B12-1800)/500,0),0))*2*$D12)</f>
        <v/>
      </c>
      <c r="AQ12" s="1" t="str">
        <f aca="false">IF($A12="","",4*2*$D12)</f>
        <v/>
      </c>
      <c r="AR12" s="1" t="str">
        <f aca="false">IF($A12="","",8*2*$D12)</f>
        <v/>
      </c>
      <c r="AS12" s="1" t="str">
        <f aca="false">IF($A12="","",8*$D12)</f>
        <v/>
      </c>
      <c r="AT12" s="1" t="str">
        <f aca="false">IF($A12="","",ROUND((2*($C12/2+$B12))*2*$D12/1000,1))</f>
        <v/>
      </c>
      <c r="AU12" s="1" t="str">
        <f aca="false">IF($A12="","",ROUND((2*($C12+$B12))*$D12/1000,1))</f>
        <v/>
      </c>
      <c r="BA12" s="1" t="s">
        <v>203</v>
      </c>
      <c r="BB12" s="1" t="s">
        <v>204</v>
      </c>
    </row>
    <row r="13" customFormat="false" ht="39.75" hidden="false" customHeight="true" outlineLevel="0" collapsed="false">
      <c r="A13" s="52"/>
      <c r="B13" s="53"/>
      <c r="C13" s="54"/>
      <c r="D13" s="55"/>
      <c r="E13" s="56" t="str">
        <f aca="false">IF($A13="","",$B13)</f>
        <v/>
      </c>
      <c r="F13" s="54" t="str">
        <f aca="false">IF($A13="","",$L$54*$D13)</f>
        <v/>
      </c>
      <c r="G13" s="56" t="str">
        <f aca="false">IF($A13="","",$C13-$E$55-$F$55)</f>
        <v/>
      </c>
      <c r="H13" s="54" t="str">
        <f aca="false">IF($A13="","",$L$55*$D13)</f>
        <v/>
      </c>
      <c r="I13" s="56" t="str">
        <f aca="false">IF($A13="","",$C13-$E$56-$F$56)</f>
        <v/>
      </c>
      <c r="J13" s="54" t="str">
        <f aca="false">IF($A13="","",$L$56*$D13)</f>
        <v/>
      </c>
      <c r="K13" s="56" t="str">
        <f aca="false">IF($A13="","",$B13-$E$57-$F$57)</f>
        <v/>
      </c>
      <c r="L13" s="54" t="str">
        <f aca="false">IF($A13="","",$L$57*$D13)</f>
        <v/>
      </c>
      <c r="M13" s="56" t="str">
        <f aca="false">IF($A13="","",(($C13-$E$58-$F$58-$G$58)/2))</f>
        <v/>
      </c>
      <c r="N13" s="54" t="str">
        <f aca="false">IF($A13="","",$L$58*$D13)</f>
        <v/>
      </c>
      <c r="O13" s="56" t="str">
        <f aca="false">IF($A13="","",$K13-$E$59-$F$59)</f>
        <v/>
      </c>
      <c r="P13" s="54" t="str">
        <f aca="false">IF($A13="","",$L$59*$D13)</f>
        <v/>
      </c>
      <c r="Q13" s="56" t="str">
        <f aca="false">IF($A13="","",$M13-$E$60-$F$60)</f>
        <v/>
      </c>
      <c r="R13" s="54" t="str">
        <f aca="false">IF($A13="","",$L$60*$D13)</f>
        <v/>
      </c>
      <c r="S13" s="56" t="str">
        <f aca="false">IF($A13="","",$B13-$E$61-$F$61)</f>
        <v/>
      </c>
      <c r="T13" s="54" t="str">
        <f aca="false">IF($A13="","",$L$61*$D13)</f>
        <v/>
      </c>
      <c r="U13" s="56"/>
      <c r="V13" s="54"/>
      <c r="W13" s="56"/>
      <c r="X13" s="54"/>
      <c r="Y13" s="56"/>
      <c r="Z13" s="54"/>
      <c r="AA13" s="56"/>
      <c r="AB13" s="54"/>
      <c r="AC13" s="57" t="str">
        <f aca="false">IF($A13="","",$K13-67-67)</f>
        <v/>
      </c>
      <c r="AD13" s="58" t="str">
        <f aca="false">IF($A13="","",$M13-67-67)</f>
        <v/>
      </c>
      <c r="AE13" s="59" t="str">
        <f aca="false">IF($A13="","",2*$D13)</f>
        <v/>
      </c>
      <c r="AK13" s="1" t="str">
        <f aca="false">IF($A13="","",1*$D13)</f>
        <v/>
      </c>
      <c r="AL13" s="1" t="str">
        <f aca="false">IF($A13="","",1*$D13)</f>
        <v/>
      </c>
      <c r="AM13" s="1" t="str">
        <f aca="false">IF($A13="","",2*$D13)</f>
        <v/>
      </c>
      <c r="AN13" s="1" t="str">
        <f aca="false">IF($A13="","",2*2*$D13)</f>
        <v/>
      </c>
      <c r="AO13" s="1" t="str">
        <f aca="false">IF($A13="","",(2+IF($B13&gt;1800,ROUNDUP(($B13-1800)/500,0),0))*2*$D13)</f>
        <v/>
      </c>
      <c r="AP13" s="1" t="str">
        <f aca="false">IF($A13="","",(2+IF($B13&gt;1800,ROUNDUP(($B13-1800)/500,0),0))*2*$D13)</f>
        <v/>
      </c>
      <c r="AQ13" s="1" t="str">
        <f aca="false">IF($A13="","",4*2*$D13)</f>
        <v/>
      </c>
      <c r="AR13" s="1" t="str">
        <f aca="false">IF($A13="","",8*2*$D13)</f>
        <v/>
      </c>
      <c r="AS13" s="1" t="str">
        <f aca="false">IF($A13="","",8*$D13)</f>
        <v/>
      </c>
      <c r="AT13" s="1" t="str">
        <f aca="false">IF($A13="","",ROUND((2*($C13/2+$B13))*2*$D13/1000,1))</f>
        <v/>
      </c>
      <c r="AU13" s="1" t="str">
        <f aca="false">IF($A13="","",ROUND((2*($C13+$B13))*$D13/1000,1))</f>
        <v/>
      </c>
    </row>
    <row r="14" customFormat="false" ht="39.75" hidden="false" customHeight="true" outlineLevel="0" collapsed="false">
      <c r="A14" s="52"/>
      <c r="B14" s="53"/>
      <c r="C14" s="54"/>
      <c r="D14" s="55"/>
      <c r="E14" s="60" t="str">
        <f aca="false">IF($A14="","",$B14)</f>
        <v/>
      </c>
      <c r="F14" s="61" t="str">
        <f aca="false">IF($A14="","",$L$54*$D14)</f>
        <v/>
      </c>
      <c r="G14" s="60" t="str">
        <f aca="false">IF($A14="","",$C14-$E$55-$F$55)</f>
        <v/>
      </c>
      <c r="H14" s="61" t="str">
        <f aca="false">IF($A14="","",$L$55*$D14)</f>
        <v/>
      </c>
      <c r="I14" s="60" t="str">
        <f aca="false">IF($A14="","",$C14-$E$56-$F$56)</f>
        <v/>
      </c>
      <c r="J14" s="61" t="str">
        <f aca="false">IF($A14="","",$L$56*$D14)</f>
        <v/>
      </c>
      <c r="K14" s="60" t="str">
        <f aca="false">IF($A14="","",$B14-$E$57-$F$57)</f>
        <v/>
      </c>
      <c r="L14" s="61" t="str">
        <f aca="false">IF($A14="","",$L$57*$D14)</f>
        <v/>
      </c>
      <c r="M14" s="60" t="str">
        <f aca="false">IF($A14="","",(($C14-$E$58-$F$58-$G$58)/2))</f>
        <v/>
      </c>
      <c r="N14" s="61" t="str">
        <f aca="false">IF($A14="","",$L$58*$D14)</f>
        <v/>
      </c>
      <c r="O14" s="60" t="str">
        <f aca="false">IF($A14="","",$K14-$E$59-$F$59)</f>
        <v/>
      </c>
      <c r="P14" s="61" t="str">
        <f aca="false">IF($A14="","",$L$59*$D14)</f>
        <v/>
      </c>
      <c r="Q14" s="60" t="str">
        <f aca="false">IF($A14="","",$M14-$E$60-$F$60)</f>
        <v/>
      </c>
      <c r="R14" s="61" t="str">
        <f aca="false">IF($A14="","",$L$60*$D14)</f>
        <v/>
      </c>
      <c r="S14" s="60" t="str">
        <f aca="false">IF($A14="","",$B14-$E$61-$F$61)</f>
        <v/>
      </c>
      <c r="T14" s="61" t="str">
        <f aca="false">IF($A14="","",$L$61*$D14)</f>
        <v/>
      </c>
      <c r="U14" s="60"/>
      <c r="V14" s="61"/>
      <c r="W14" s="60"/>
      <c r="X14" s="61"/>
      <c r="Y14" s="60"/>
      <c r="Z14" s="61"/>
      <c r="AA14" s="60"/>
      <c r="AB14" s="61"/>
      <c r="AC14" s="57" t="str">
        <f aca="false">IF($A14="","",$K14-67-67)</f>
        <v/>
      </c>
      <c r="AD14" s="58" t="str">
        <f aca="false">IF($A14="","",$M14-67-67)</f>
        <v/>
      </c>
      <c r="AE14" s="59" t="str">
        <f aca="false">IF($A14="","",2*$D14)</f>
        <v/>
      </c>
      <c r="AK14" s="1" t="str">
        <f aca="false">IF($A14="","",1*$D14)</f>
        <v/>
      </c>
      <c r="AL14" s="1" t="str">
        <f aca="false">IF($A14="","",1*$D14)</f>
        <v/>
      </c>
      <c r="AM14" s="1" t="str">
        <f aca="false">IF($A14="","",2*$D14)</f>
        <v/>
      </c>
      <c r="AN14" s="1" t="str">
        <f aca="false">IF($A14="","",2*2*$D14)</f>
        <v/>
      </c>
      <c r="AO14" s="1" t="str">
        <f aca="false">IF($A14="","",(2+IF($B14&gt;1800,ROUNDUP(($B14-1800)/500,0),0))*2*$D14)</f>
        <v/>
      </c>
      <c r="AP14" s="1" t="str">
        <f aca="false">IF($A14="","",(2+IF($B14&gt;1800,ROUNDUP(($B14-1800)/500,0),0))*2*$D14)</f>
        <v/>
      </c>
      <c r="AQ14" s="1" t="str">
        <f aca="false">IF($A14="","",4*2*$D14)</f>
        <v/>
      </c>
      <c r="AR14" s="1" t="str">
        <f aca="false">IF($A14="","",8*2*$D14)</f>
        <v/>
      </c>
      <c r="AS14" s="1" t="str">
        <f aca="false">IF($A14="","",8*$D14)</f>
        <v/>
      </c>
      <c r="AT14" s="1" t="str">
        <f aca="false">IF($A14="","",ROUND((2*($C14/2+$B14))*2*$D14/1000,1))</f>
        <v/>
      </c>
      <c r="AU14" s="1" t="str">
        <f aca="false">IF($A14="","",ROUND((2*($C14+$B14))*$D14/1000,1))</f>
        <v/>
      </c>
    </row>
    <row r="15" customFormat="false" ht="39.75" hidden="false" customHeight="true" outlineLevel="0" collapsed="false">
      <c r="A15" s="52"/>
      <c r="B15" s="53"/>
      <c r="C15" s="54"/>
      <c r="D15" s="55"/>
      <c r="E15" s="56" t="str">
        <f aca="false">IF($A15="","",$B15)</f>
        <v/>
      </c>
      <c r="F15" s="54" t="str">
        <f aca="false">IF($A15="","",$L$54*$D15)</f>
        <v/>
      </c>
      <c r="G15" s="56" t="str">
        <f aca="false">IF($A15="","",$C15-$E$55-$F$55)</f>
        <v/>
      </c>
      <c r="H15" s="54" t="str">
        <f aca="false">IF($A15="","",$L$55*$D15)</f>
        <v/>
      </c>
      <c r="I15" s="56" t="str">
        <f aca="false">IF($A15="","",$C15-$E$56-$F$56)</f>
        <v/>
      </c>
      <c r="J15" s="54" t="str">
        <f aca="false">IF($A15="","",$L$56*$D15)</f>
        <v/>
      </c>
      <c r="K15" s="56" t="str">
        <f aca="false">IF($A15="","",$B15-$E$57-$F$57)</f>
        <v/>
      </c>
      <c r="L15" s="54" t="str">
        <f aca="false">IF($A15="","",$L$57*$D15)</f>
        <v/>
      </c>
      <c r="M15" s="56" t="str">
        <f aca="false">IF($A15="","",(($C15-$E$58-$F$58-$G$58)/2))</f>
        <v/>
      </c>
      <c r="N15" s="54" t="str">
        <f aca="false">IF($A15="","",$L$58*$D15)</f>
        <v/>
      </c>
      <c r="O15" s="56" t="str">
        <f aca="false">IF($A15="","",$K15-$E$59-$F$59)</f>
        <v/>
      </c>
      <c r="P15" s="54" t="str">
        <f aca="false">IF($A15="","",$L$59*$D15)</f>
        <v/>
      </c>
      <c r="Q15" s="56" t="str">
        <f aca="false">IF($A15="","",$M15-$E$60-$F$60)</f>
        <v/>
      </c>
      <c r="R15" s="54" t="str">
        <f aca="false">IF($A15="","",$L$60*$D15)</f>
        <v/>
      </c>
      <c r="S15" s="56" t="str">
        <f aca="false">IF($A15="","",$B15-$E$61-$F$61)</f>
        <v/>
      </c>
      <c r="T15" s="54" t="str">
        <f aca="false">IF($A15="","",$L$61*$D15)</f>
        <v/>
      </c>
      <c r="U15" s="56"/>
      <c r="V15" s="54"/>
      <c r="W15" s="56"/>
      <c r="X15" s="54"/>
      <c r="Y15" s="56"/>
      <c r="Z15" s="54"/>
      <c r="AA15" s="56"/>
      <c r="AB15" s="54"/>
      <c r="AC15" s="57" t="str">
        <f aca="false">IF($A15="","",$K15-67-67)</f>
        <v/>
      </c>
      <c r="AD15" s="58" t="str">
        <f aca="false">IF($A15="","",$M15-67-67)</f>
        <v/>
      </c>
      <c r="AE15" s="59" t="str">
        <f aca="false">IF($A15="","",2*$D15)</f>
        <v/>
      </c>
      <c r="AK15" s="1" t="str">
        <f aca="false">IF($A15="","",1*$D15)</f>
        <v/>
      </c>
      <c r="AL15" s="1" t="str">
        <f aca="false">IF($A15="","",1*$D15)</f>
        <v/>
      </c>
      <c r="AM15" s="1" t="str">
        <f aca="false">IF($A15="","",2*$D15)</f>
        <v/>
      </c>
      <c r="AN15" s="1" t="str">
        <f aca="false">IF($A15="","",2*2*$D15)</f>
        <v/>
      </c>
      <c r="AO15" s="1" t="str">
        <f aca="false">IF($A15="","",(2+IF($B15&gt;1800,ROUNDUP(($B15-1800)/500,0),0))*2*$D15)</f>
        <v/>
      </c>
      <c r="AP15" s="1" t="str">
        <f aca="false">IF($A15="","",(2+IF($B15&gt;1800,ROUNDUP(($B15-1800)/500,0),0))*2*$D15)</f>
        <v/>
      </c>
      <c r="AQ15" s="1" t="str">
        <f aca="false">IF($A15="","",4*2*$D15)</f>
        <v/>
      </c>
      <c r="AR15" s="1" t="str">
        <f aca="false">IF($A15="","",8*2*$D15)</f>
        <v/>
      </c>
      <c r="AS15" s="1" t="str">
        <f aca="false">IF($A15="","",8*$D15)</f>
        <v/>
      </c>
      <c r="AT15" s="1" t="str">
        <f aca="false">IF($A15="","",ROUND((2*($C15/2+$B15))*2*$D15/1000,1))</f>
        <v/>
      </c>
      <c r="AU15" s="1" t="str">
        <f aca="false">IF($A15="","",ROUND((2*($C15+$B15))*$D15/1000,1))</f>
        <v/>
      </c>
    </row>
    <row r="16" customFormat="false" ht="39.75" hidden="false" customHeight="true" outlineLevel="0" collapsed="false">
      <c r="A16" s="52"/>
      <c r="B16" s="53"/>
      <c r="C16" s="54"/>
      <c r="D16" s="55"/>
      <c r="E16" s="60" t="str">
        <f aca="false">IF($A16="","",$B16)</f>
        <v/>
      </c>
      <c r="F16" s="61" t="str">
        <f aca="false">IF($A16="","",$L$54*$D16)</f>
        <v/>
      </c>
      <c r="G16" s="60" t="str">
        <f aca="false">IF($A16="","",$C16-$E$55-$F$55)</f>
        <v/>
      </c>
      <c r="H16" s="61" t="str">
        <f aca="false">IF($A16="","",$L$55*$D16)</f>
        <v/>
      </c>
      <c r="I16" s="60" t="str">
        <f aca="false">IF($A16="","",$C16-$E$56-$F$56)</f>
        <v/>
      </c>
      <c r="J16" s="61" t="str">
        <f aca="false">IF($A16="","",$L$56*$D16)</f>
        <v/>
      </c>
      <c r="K16" s="60" t="str">
        <f aca="false">IF($A16="","",$B16-$E$57-$F$57)</f>
        <v/>
      </c>
      <c r="L16" s="61" t="str">
        <f aca="false">IF($A16="","",$L$57*$D16)</f>
        <v/>
      </c>
      <c r="M16" s="60" t="str">
        <f aca="false">IF($A16="","",(($C16-$E$58-$F$58-$G$58)/2))</f>
        <v/>
      </c>
      <c r="N16" s="61" t="str">
        <f aca="false">IF($A16="","",$L$58*$D16)</f>
        <v/>
      </c>
      <c r="O16" s="60" t="str">
        <f aca="false">IF($A16="","",$K16-$E$59-$F$59)</f>
        <v/>
      </c>
      <c r="P16" s="61" t="str">
        <f aca="false">IF($A16="","",$L$59*$D16)</f>
        <v/>
      </c>
      <c r="Q16" s="60" t="str">
        <f aca="false">IF($A16="","",$M16-$E$60-$F$60)</f>
        <v/>
      </c>
      <c r="R16" s="61" t="str">
        <f aca="false">IF($A16="","",$L$60*$D16)</f>
        <v/>
      </c>
      <c r="S16" s="60" t="str">
        <f aca="false">IF($A16="","",$B16-$E$61-$F$61)</f>
        <v/>
      </c>
      <c r="T16" s="61" t="str">
        <f aca="false">IF($A16="","",$L$61*$D16)</f>
        <v/>
      </c>
      <c r="U16" s="60"/>
      <c r="V16" s="61"/>
      <c r="W16" s="60"/>
      <c r="X16" s="61"/>
      <c r="Y16" s="60"/>
      <c r="Z16" s="61"/>
      <c r="AA16" s="60"/>
      <c r="AB16" s="61"/>
      <c r="AC16" s="57" t="str">
        <f aca="false">IF($A16="","",$K16-67-67)</f>
        <v/>
      </c>
      <c r="AD16" s="58" t="str">
        <f aca="false">IF($A16="","",$M16-67-67)</f>
        <v/>
      </c>
      <c r="AE16" s="59" t="str">
        <f aca="false">IF($A16="","",2*$D16)</f>
        <v/>
      </c>
      <c r="AK16" s="1" t="str">
        <f aca="false">IF($A16="","",1*$D16)</f>
        <v/>
      </c>
      <c r="AL16" s="1" t="str">
        <f aca="false">IF($A16="","",1*$D16)</f>
        <v/>
      </c>
      <c r="AM16" s="1" t="str">
        <f aca="false">IF($A16="","",2*$D16)</f>
        <v/>
      </c>
      <c r="AN16" s="1" t="str">
        <f aca="false">IF($A16="","",2*2*$D16)</f>
        <v/>
      </c>
      <c r="AO16" s="1" t="str">
        <f aca="false">IF($A16="","",(2+IF($B16&gt;1800,ROUNDUP(($B16-1800)/500,0),0))*2*$D16)</f>
        <v/>
      </c>
      <c r="AP16" s="1" t="str">
        <f aca="false">IF($A16="","",(2+IF($B16&gt;1800,ROUNDUP(($B16-1800)/500,0),0))*2*$D16)</f>
        <v/>
      </c>
      <c r="AQ16" s="1" t="str">
        <f aca="false">IF($A16="","",4*2*$D16)</f>
        <v/>
      </c>
      <c r="AR16" s="1" t="str">
        <f aca="false">IF($A16="","",8*2*$D16)</f>
        <v/>
      </c>
      <c r="AS16" s="1" t="str">
        <f aca="false">IF($A16="","",8*$D16)</f>
        <v/>
      </c>
      <c r="AT16" s="1" t="str">
        <f aca="false">IF($A16="","",ROUND((2*($C16/2+$B16))*2*$D16/1000,1))</f>
        <v/>
      </c>
      <c r="AU16" s="1" t="str">
        <f aca="false">IF($A16="","",ROUND((2*($C16+$B16))*$D16/1000,1))</f>
        <v/>
      </c>
    </row>
    <row r="17" customFormat="false" ht="39.75" hidden="false" customHeight="true" outlineLevel="0" collapsed="false">
      <c r="A17" s="52"/>
      <c r="B17" s="53"/>
      <c r="C17" s="54"/>
      <c r="D17" s="55"/>
      <c r="E17" s="56" t="str">
        <f aca="false">IF($A17="","",$B17)</f>
        <v/>
      </c>
      <c r="F17" s="54" t="str">
        <f aca="false">IF($A17="","",$L$54*$D17)</f>
        <v/>
      </c>
      <c r="G17" s="56" t="str">
        <f aca="false">IF($A17="","",$C17-$E$55-$F$55)</f>
        <v/>
      </c>
      <c r="H17" s="54" t="str">
        <f aca="false">IF($A17="","",$L$55*$D17)</f>
        <v/>
      </c>
      <c r="I17" s="56" t="str">
        <f aca="false">IF($A17="","",$C17-$E$56-$F$56)</f>
        <v/>
      </c>
      <c r="J17" s="54" t="str">
        <f aca="false">IF($A17="","",$L$56*$D17)</f>
        <v/>
      </c>
      <c r="K17" s="56" t="str">
        <f aca="false">IF($A17="","",$B17-$E$57-$F$57)</f>
        <v/>
      </c>
      <c r="L17" s="54" t="str">
        <f aca="false">IF($A17="","",$L$57*$D17)</f>
        <v/>
      </c>
      <c r="M17" s="56" t="str">
        <f aca="false">IF($A17="","",(($C17-$E$58-$F$58-$G$58)/2))</f>
        <v/>
      </c>
      <c r="N17" s="54" t="str">
        <f aca="false">IF($A17="","",$L$58*$D17)</f>
        <v/>
      </c>
      <c r="O17" s="56" t="str">
        <f aca="false">IF($A17="","",$K17-$E$59-$F$59)</f>
        <v/>
      </c>
      <c r="P17" s="54" t="str">
        <f aca="false">IF($A17="","",$L$59*$D17)</f>
        <v/>
      </c>
      <c r="Q17" s="56" t="str">
        <f aca="false">IF($A17="","",$M17-$E$60-$F$60)</f>
        <v/>
      </c>
      <c r="R17" s="54" t="str">
        <f aca="false">IF($A17="","",$L$60*$D17)</f>
        <v/>
      </c>
      <c r="S17" s="56" t="str">
        <f aca="false">IF($A17="","",$B17-$E$61-$F$61)</f>
        <v/>
      </c>
      <c r="T17" s="54" t="str">
        <f aca="false">IF($A17="","",$L$61*$D17)</f>
        <v/>
      </c>
      <c r="U17" s="56"/>
      <c r="V17" s="54"/>
      <c r="W17" s="56"/>
      <c r="X17" s="54"/>
      <c r="Y17" s="56"/>
      <c r="Z17" s="54"/>
      <c r="AA17" s="56"/>
      <c r="AB17" s="54"/>
      <c r="AC17" s="57" t="str">
        <f aca="false">IF($A17="","",$K17-67-67)</f>
        <v/>
      </c>
      <c r="AD17" s="58" t="str">
        <f aca="false">IF($A17="","",$M17-67-67)</f>
        <v/>
      </c>
      <c r="AE17" s="59" t="str">
        <f aca="false">IF($A17="","",2*$D17)</f>
        <v/>
      </c>
      <c r="AK17" s="1" t="str">
        <f aca="false">IF($A17="","",1*$D17)</f>
        <v/>
      </c>
      <c r="AL17" s="1" t="str">
        <f aca="false">IF($A17="","",1*$D17)</f>
        <v/>
      </c>
      <c r="AM17" s="1" t="str">
        <f aca="false">IF($A17="","",2*$D17)</f>
        <v/>
      </c>
      <c r="AN17" s="1" t="str">
        <f aca="false">IF($A17="","",2*2*$D17)</f>
        <v/>
      </c>
      <c r="AO17" s="1" t="str">
        <f aca="false">IF($A17="","",(2+IF($B17&gt;1800,ROUNDUP(($B17-1800)/500,0),0))*2*$D17)</f>
        <v/>
      </c>
      <c r="AP17" s="1" t="str">
        <f aca="false">IF($A17="","",(2+IF($B17&gt;1800,ROUNDUP(($B17-1800)/500,0),0))*2*$D17)</f>
        <v/>
      </c>
      <c r="AQ17" s="1" t="str">
        <f aca="false">IF($A17="","",4*2*$D17)</f>
        <v/>
      </c>
      <c r="AR17" s="1" t="str">
        <f aca="false">IF($A17="","",8*2*$D17)</f>
        <v/>
      </c>
      <c r="AS17" s="1" t="str">
        <f aca="false">IF($A17="","",8*$D17)</f>
        <v/>
      </c>
      <c r="AT17" s="1" t="str">
        <f aca="false">IF($A17="","",ROUND((2*($C17/2+$B17))*2*$D17/1000,1))</f>
        <v/>
      </c>
      <c r="AU17" s="1" t="str">
        <f aca="false">IF($A17="","",ROUND((2*($C17+$B17))*$D17/1000,1))</f>
        <v/>
      </c>
    </row>
    <row r="18" customFormat="false" ht="39.75" hidden="false" customHeight="true" outlineLevel="0" collapsed="false">
      <c r="A18" s="52"/>
      <c r="B18" s="53"/>
      <c r="C18" s="54"/>
      <c r="D18" s="55"/>
      <c r="E18" s="60" t="str">
        <f aca="false">IF($A18="","",$B18)</f>
        <v/>
      </c>
      <c r="F18" s="61" t="str">
        <f aca="false">IF($A18="","",$L$54*$D18)</f>
        <v/>
      </c>
      <c r="G18" s="60" t="str">
        <f aca="false">IF($A18="","",$C18-$E$55-$F$55)</f>
        <v/>
      </c>
      <c r="H18" s="61" t="str">
        <f aca="false">IF($A18="","",$L$55*$D18)</f>
        <v/>
      </c>
      <c r="I18" s="60" t="str">
        <f aca="false">IF($A18="","",$C18-$E$56-$F$56)</f>
        <v/>
      </c>
      <c r="J18" s="61" t="str">
        <f aca="false">IF($A18="","",$L$56*$D18)</f>
        <v/>
      </c>
      <c r="K18" s="60" t="str">
        <f aca="false">IF($A18="","",$B18-$E$57-$F$57)</f>
        <v/>
      </c>
      <c r="L18" s="61" t="str">
        <f aca="false">IF($A18="","",$L$57*$D18)</f>
        <v/>
      </c>
      <c r="M18" s="60" t="str">
        <f aca="false">IF($A18="","",(($C18-$E$58-$F$58-$G$58)/2))</f>
        <v/>
      </c>
      <c r="N18" s="61" t="str">
        <f aca="false">IF($A18="","",$L$58*$D18)</f>
        <v/>
      </c>
      <c r="O18" s="60" t="str">
        <f aca="false">IF($A18="","",$K18-$E$59-$F$59)</f>
        <v/>
      </c>
      <c r="P18" s="61" t="str">
        <f aca="false">IF($A18="","",$L$59*$D18)</f>
        <v/>
      </c>
      <c r="Q18" s="60" t="str">
        <f aca="false">IF($A18="","",$M18-$E$60-$F$60)</f>
        <v/>
      </c>
      <c r="R18" s="61" t="str">
        <f aca="false">IF($A18="","",$L$60*$D18)</f>
        <v/>
      </c>
      <c r="S18" s="60" t="str">
        <f aca="false">IF($A18="","",$B18-$E$61-$F$61)</f>
        <v/>
      </c>
      <c r="T18" s="61" t="str">
        <f aca="false">IF($A18="","",$L$61*$D18)</f>
        <v/>
      </c>
      <c r="U18" s="60"/>
      <c r="V18" s="61"/>
      <c r="W18" s="60"/>
      <c r="X18" s="61"/>
      <c r="Y18" s="60"/>
      <c r="Z18" s="61"/>
      <c r="AA18" s="60"/>
      <c r="AB18" s="61"/>
      <c r="AC18" s="57" t="str">
        <f aca="false">IF($A18="","",$K18-67-67)</f>
        <v/>
      </c>
      <c r="AD18" s="58" t="str">
        <f aca="false">IF($A18="","",$M18-67-67)</f>
        <v/>
      </c>
      <c r="AE18" s="59" t="str">
        <f aca="false">IF($A18="","",2*$D18)</f>
        <v/>
      </c>
      <c r="AK18" s="1" t="str">
        <f aca="false">IF($A18="","",1*$D18)</f>
        <v/>
      </c>
      <c r="AL18" s="1" t="str">
        <f aca="false">IF($A18="","",1*$D18)</f>
        <v/>
      </c>
      <c r="AM18" s="1" t="str">
        <f aca="false">IF($A18="","",2*$D18)</f>
        <v/>
      </c>
      <c r="AN18" s="1" t="str">
        <f aca="false">IF($A18="","",2*2*$D18)</f>
        <v/>
      </c>
      <c r="AO18" s="1" t="str">
        <f aca="false">IF($A18="","",(2+IF($B18&gt;1800,ROUNDUP(($B18-1800)/500,0),0))*2*$D18)</f>
        <v/>
      </c>
      <c r="AP18" s="1" t="str">
        <f aca="false">IF($A18="","",(2+IF($B18&gt;1800,ROUNDUP(($B18-1800)/500,0),0))*2*$D18)</f>
        <v/>
      </c>
      <c r="AQ18" s="1" t="str">
        <f aca="false">IF($A18="","",4*2*$D18)</f>
        <v/>
      </c>
      <c r="AR18" s="1" t="str">
        <f aca="false">IF($A18="","",8*2*$D18)</f>
        <v/>
      </c>
      <c r="AS18" s="1" t="str">
        <f aca="false">IF($A18="","",8*$D18)</f>
        <v/>
      </c>
      <c r="AT18" s="1" t="str">
        <f aca="false">IF($A18="","",ROUND((2*($C18/2+$B18))*2*$D18/1000,1))</f>
        <v/>
      </c>
      <c r="AU18" s="1" t="str">
        <f aca="false">IF($A18="","",ROUND((2*($C18+$B18))*$D18/1000,1))</f>
        <v/>
      </c>
    </row>
    <row r="19" customFormat="false" ht="39.75" hidden="false" customHeight="true" outlineLevel="0" collapsed="false">
      <c r="A19" s="88"/>
      <c r="B19" s="89"/>
      <c r="C19" s="90"/>
      <c r="D19" s="91"/>
      <c r="E19" s="56" t="str">
        <f aca="false">IF($A19="","",$B19)</f>
        <v/>
      </c>
      <c r="F19" s="54" t="str">
        <f aca="false">IF($A19="","",$L$54*$D19)</f>
        <v/>
      </c>
      <c r="G19" s="56" t="str">
        <f aca="false">IF($A19="","",$C19-$E$55-$F$55)</f>
        <v/>
      </c>
      <c r="H19" s="54" t="str">
        <f aca="false">IF($A19="","",$L$55*$D19)</f>
        <v/>
      </c>
      <c r="I19" s="56" t="str">
        <f aca="false">IF($A19="","",$C19-$E$56-$F$56)</f>
        <v/>
      </c>
      <c r="J19" s="54" t="str">
        <f aca="false">IF($A19="","",$L$56*$D19)</f>
        <v/>
      </c>
      <c r="K19" s="56" t="str">
        <f aca="false">IF($A19="","",$B19-$E$57-$F$57)</f>
        <v/>
      </c>
      <c r="L19" s="54" t="str">
        <f aca="false">IF($A19="","",$L$57*$D19)</f>
        <v/>
      </c>
      <c r="M19" s="56" t="str">
        <f aca="false">IF($A19="","",(($C19-$E$58-$F$58-$G$58)/2))</f>
        <v/>
      </c>
      <c r="N19" s="54" t="str">
        <f aca="false">IF($A19="","",$L$58*$D19)</f>
        <v/>
      </c>
      <c r="O19" s="56" t="str">
        <f aca="false">IF($A19="","",$K19-$E$59-$F$59)</f>
        <v/>
      </c>
      <c r="P19" s="54" t="str">
        <f aca="false">IF($A19="","",$L$59*$D19)</f>
        <v/>
      </c>
      <c r="Q19" s="56" t="str">
        <f aca="false">IF($A19="","",$M19-$E$60-$F$60)</f>
        <v/>
      </c>
      <c r="R19" s="54" t="str">
        <f aca="false">IF($A19="","",$L$60*$D19)</f>
        <v/>
      </c>
      <c r="S19" s="56" t="str">
        <f aca="false">IF($A19="","",$B19-$E$61-$F$61)</f>
        <v/>
      </c>
      <c r="T19" s="54" t="str">
        <f aca="false">IF($A19="","",$L$61*$D19)</f>
        <v/>
      </c>
      <c r="U19" s="56"/>
      <c r="V19" s="54"/>
      <c r="W19" s="56"/>
      <c r="X19" s="54"/>
      <c r="Y19" s="56"/>
      <c r="Z19" s="54"/>
      <c r="AA19" s="56"/>
      <c r="AB19" s="54"/>
      <c r="AC19" s="57" t="str">
        <f aca="false">IF($A19="","",$K19-67-67)</f>
        <v/>
      </c>
      <c r="AD19" s="58" t="str">
        <f aca="false">IF($A19="","",$M19-67-67)</f>
        <v/>
      </c>
      <c r="AE19" s="59" t="str">
        <f aca="false">IF($A19="","",2*$D19)</f>
        <v/>
      </c>
      <c r="AK19" s="1" t="str">
        <f aca="false">IF($A19="","",1*$D19)</f>
        <v/>
      </c>
      <c r="AL19" s="1" t="str">
        <f aca="false">IF($A19="","",1*$D19)</f>
        <v/>
      </c>
      <c r="AM19" s="1" t="str">
        <f aca="false">IF($A19="","",2*$D19)</f>
        <v/>
      </c>
      <c r="AN19" s="1" t="str">
        <f aca="false">IF($A19="","",2*2*$D19)</f>
        <v/>
      </c>
      <c r="AO19" s="1" t="str">
        <f aca="false">IF($A19="","",(2+IF($B19&gt;1800,ROUNDUP(($B19-1800)/500,0),0))*2*$D19)</f>
        <v/>
      </c>
      <c r="AP19" s="1" t="str">
        <f aca="false">IF($A19="","",(2+IF($B19&gt;1800,ROUNDUP(($B19-1800)/500,0),0))*2*$D19)</f>
        <v/>
      </c>
      <c r="AQ19" s="1" t="str">
        <f aca="false">IF($A19="","",4*2*$D19)</f>
        <v/>
      </c>
      <c r="AR19" s="1" t="str">
        <f aca="false">IF($A19="","",8*2*$D19)</f>
        <v/>
      </c>
      <c r="AS19" s="1" t="str">
        <f aca="false">IF($A19="","",8*$D19)</f>
        <v/>
      </c>
      <c r="AT19" s="1" t="str">
        <f aca="false">IF($A19="","",ROUND((2*($C19/2+$B19))*2*$D19/1000,1))</f>
        <v/>
      </c>
      <c r="AU19" s="1" t="str">
        <f aca="false">IF($A19="","",ROUND((2*($C19+$B19))*$D19/1000,1))</f>
        <v/>
      </c>
    </row>
    <row r="20" customFormat="false" ht="39.75" hidden="false" customHeight="true" outlineLevel="0" collapsed="false">
      <c r="A20" s="88"/>
      <c r="B20" s="89"/>
      <c r="C20" s="90"/>
      <c r="D20" s="91"/>
      <c r="E20" s="60" t="str">
        <f aca="false">IF($A20="","",$B20)</f>
        <v/>
      </c>
      <c r="F20" s="61" t="str">
        <f aca="false">IF($A20="","",$L$54*$D20)</f>
        <v/>
      </c>
      <c r="G20" s="60" t="str">
        <f aca="false">IF($A20="","",$C20-$E$55-$F$55)</f>
        <v/>
      </c>
      <c r="H20" s="61" t="str">
        <f aca="false">IF($A20="","",$L$55*$D20)</f>
        <v/>
      </c>
      <c r="I20" s="60" t="str">
        <f aca="false">IF($A20="","",$C20-$E$56-$F$56)</f>
        <v/>
      </c>
      <c r="J20" s="61" t="str">
        <f aca="false">IF($A20="","",$L$56*$D20)</f>
        <v/>
      </c>
      <c r="K20" s="60" t="str">
        <f aca="false">IF($A20="","",$B20-$E$57-$F$57)</f>
        <v/>
      </c>
      <c r="L20" s="61" t="str">
        <f aca="false">IF($A20="","",$L$57*$D20)</f>
        <v/>
      </c>
      <c r="M20" s="60" t="str">
        <f aca="false">IF($A20="","",(($C20-$E$58-$F$58-$G$58)/2))</f>
        <v/>
      </c>
      <c r="N20" s="61" t="str">
        <f aca="false">IF($A20="","",$L$58*$D20)</f>
        <v/>
      </c>
      <c r="O20" s="60" t="str">
        <f aca="false">IF($A20="","",$K20-$E$59-$F$59)</f>
        <v/>
      </c>
      <c r="P20" s="61" t="str">
        <f aca="false">IF($A20="","",$L$59*$D20)</f>
        <v/>
      </c>
      <c r="Q20" s="60" t="str">
        <f aca="false">IF($A20="","",$M20-$E$60-$F$60)</f>
        <v/>
      </c>
      <c r="R20" s="61" t="str">
        <f aca="false">IF($A20="","",$L$60*$D20)</f>
        <v/>
      </c>
      <c r="S20" s="60" t="str">
        <f aca="false">IF($A20="","",$B20-$E$61-$F$61)</f>
        <v/>
      </c>
      <c r="T20" s="61" t="str">
        <f aca="false">IF($A20="","",$L$61*$D20)</f>
        <v/>
      </c>
      <c r="U20" s="60"/>
      <c r="V20" s="61"/>
      <c r="W20" s="60"/>
      <c r="X20" s="61"/>
      <c r="Y20" s="60"/>
      <c r="Z20" s="61"/>
      <c r="AA20" s="60"/>
      <c r="AB20" s="61"/>
      <c r="AC20" s="57" t="str">
        <f aca="false">IF($A20="","",$K20-67-67)</f>
        <v/>
      </c>
      <c r="AD20" s="58" t="str">
        <f aca="false">IF($A20="","",$M20-67-67)</f>
        <v/>
      </c>
      <c r="AE20" s="59" t="str">
        <f aca="false">IF($A20="","",2*$D20)</f>
        <v/>
      </c>
      <c r="AK20" s="1" t="str">
        <f aca="false">IF($A20="","",1*$D20)</f>
        <v/>
      </c>
      <c r="AL20" s="1" t="str">
        <f aca="false">IF($A20="","",1*$D20)</f>
        <v/>
      </c>
      <c r="AM20" s="1" t="str">
        <f aca="false">IF($A20="","",2*$D20)</f>
        <v/>
      </c>
      <c r="AN20" s="1" t="str">
        <f aca="false">IF($A20="","",2*2*$D20)</f>
        <v/>
      </c>
      <c r="AO20" s="1" t="str">
        <f aca="false">IF($A20="","",(2+IF($B20&gt;1800,ROUNDUP(($B20-1800)/500,0),0))*2*$D20)</f>
        <v/>
      </c>
      <c r="AP20" s="1" t="str">
        <f aca="false">IF($A20="","",(2+IF($B20&gt;1800,ROUNDUP(($B20-1800)/500,0),0))*2*$D20)</f>
        <v/>
      </c>
      <c r="AQ20" s="1" t="str">
        <f aca="false">IF($A20="","",4*2*$D20)</f>
        <v/>
      </c>
      <c r="AR20" s="1" t="str">
        <f aca="false">IF($A20="","",8*2*$D20)</f>
        <v/>
      </c>
      <c r="AS20" s="1" t="str">
        <f aca="false">IF($A20="","",8*$D20)</f>
        <v/>
      </c>
      <c r="AT20" s="1" t="str">
        <f aca="false">IF($A20="","",ROUND((2*($C20/2+$B20))*2*$D20/1000,1))</f>
        <v/>
      </c>
      <c r="AU20" s="1" t="str">
        <f aca="false">IF($A20="","",ROUND((2*($C20+$B20))*$D20/1000,1))</f>
        <v/>
      </c>
    </row>
    <row r="21" customFormat="false" ht="39.75" hidden="false" customHeight="true" outlineLevel="0" collapsed="false">
      <c r="A21" s="88"/>
      <c r="B21" s="89"/>
      <c r="C21" s="90"/>
      <c r="D21" s="91"/>
      <c r="E21" s="56" t="str">
        <f aca="false">IF($A21="","",$B21)</f>
        <v/>
      </c>
      <c r="F21" s="54" t="str">
        <f aca="false">IF($A21="","",$L$54*$D21)</f>
        <v/>
      </c>
      <c r="G21" s="56" t="str">
        <f aca="false">IF($A21="","",$C21-$E$55-$F$55)</f>
        <v/>
      </c>
      <c r="H21" s="54" t="str">
        <f aca="false">IF($A21="","",$L$55*$D21)</f>
        <v/>
      </c>
      <c r="I21" s="56" t="str">
        <f aca="false">IF($A21="","",$C21-$E$56-$F$56)</f>
        <v/>
      </c>
      <c r="J21" s="54" t="str">
        <f aca="false">IF($A21="","",$L$56*$D21)</f>
        <v/>
      </c>
      <c r="K21" s="56" t="str">
        <f aca="false">IF($A21="","",$B21-$E$57-$F$57)</f>
        <v/>
      </c>
      <c r="L21" s="54" t="str">
        <f aca="false">IF($A21="","",$L$57*$D21)</f>
        <v/>
      </c>
      <c r="M21" s="56" t="str">
        <f aca="false">IF($A21="","",(($C21-$E$58-$F$58-$G$58)/2))</f>
        <v/>
      </c>
      <c r="N21" s="54" t="str">
        <f aca="false">IF($A21="","",$L$58*$D21)</f>
        <v/>
      </c>
      <c r="O21" s="56" t="str">
        <f aca="false">IF($A21="","",$K21-$E$59-$F$59)</f>
        <v/>
      </c>
      <c r="P21" s="54" t="str">
        <f aca="false">IF($A21="","",$L$59*$D21)</f>
        <v/>
      </c>
      <c r="Q21" s="56" t="str">
        <f aca="false">IF($A21="","",$M21-$E$60-$F$60)</f>
        <v/>
      </c>
      <c r="R21" s="54" t="str">
        <f aca="false">IF($A21="","",$L$60*$D21)</f>
        <v/>
      </c>
      <c r="S21" s="56" t="str">
        <f aca="false">IF($A21="","",$B21-$E$61-$F$61)</f>
        <v/>
      </c>
      <c r="T21" s="54" t="str">
        <f aca="false">IF($A21="","",$L$61*$D21)</f>
        <v/>
      </c>
      <c r="U21" s="56"/>
      <c r="V21" s="54"/>
      <c r="W21" s="56"/>
      <c r="X21" s="54"/>
      <c r="Y21" s="56"/>
      <c r="Z21" s="54"/>
      <c r="AA21" s="56"/>
      <c r="AB21" s="54"/>
      <c r="AC21" s="57" t="str">
        <f aca="false">IF($A21="","",$K21-67-67)</f>
        <v/>
      </c>
      <c r="AD21" s="58" t="str">
        <f aca="false">IF($A21="","",$M21-67-67)</f>
        <v/>
      </c>
      <c r="AE21" s="59" t="str">
        <f aca="false">IF($A21="","",2*$D21)</f>
        <v/>
      </c>
      <c r="AK21" s="1" t="str">
        <f aca="false">IF($A21="","",1*$D21)</f>
        <v/>
      </c>
      <c r="AL21" s="1" t="str">
        <f aca="false">IF($A21="","",1*$D21)</f>
        <v/>
      </c>
      <c r="AM21" s="1" t="str">
        <f aca="false">IF($A21="","",2*$D21)</f>
        <v/>
      </c>
      <c r="AN21" s="1" t="str">
        <f aca="false">IF($A21="","",2*2*$D21)</f>
        <v/>
      </c>
      <c r="AO21" s="1" t="str">
        <f aca="false">IF($A21="","",(2+IF($B21&gt;1800,ROUNDUP(($B21-1800)/500,0),0))*2*$D21)</f>
        <v/>
      </c>
      <c r="AP21" s="1" t="str">
        <f aca="false">IF($A21="","",(2+IF($B21&gt;1800,ROUNDUP(($B21-1800)/500,0),0))*2*$D21)</f>
        <v/>
      </c>
      <c r="AQ21" s="1" t="str">
        <f aca="false">IF($A21="","",4*2*$D21)</f>
        <v/>
      </c>
      <c r="AR21" s="1" t="str">
        <f aca="false">IF($A21="","",8*2*$D21)</f>
        <v/>
      </c>
      <c r="AS21" s="1" t="str">
        <f aca="false">IF($A21="","",8*$D21)</f>
        <v/>
      </c>
      <c r="AT21" s="1" t="str">
        <f aca="false">IF($A21="","",ROUND((2*($C21/2+$B21))*2*$D21/1000,1))</f>
        <v/>
      </c>
      <c r="AU21" s="1" t="str">
        <f aca="false">IF($A21="","",ROUND((2*($C21+$B21))*$D21/1000,1))</f>
        <v/>
      </c>
    </row>
    <row r="22" customFormat="false" ht="39.75" hidden="false" customHeight="true" outlineLevel="0" collapsed="false">
      <c r="A22" s="88"/>
      <c r="B22" s="89"/>
      <c r="C22" s="90"/>
      <c r="D22" s="91"/>
      <c r="E22" s="60" t="str">
        <f aca="false">IF($A22="","",$B22)</f>
        <v/>
      </c>
      <c r="F22" s="61" t="str">
        <f aca="false">IF($A22="","",$L$54*$D22)</f>
        <v/>
      </c>
      <c r="G22" s="60" t="str">
        <f aca="false">IF($A22="","",$C22-$E$55-$F$55)</f>
        <v/>
      </c>
      <c r="H22" s="61" t="str">
        <f aca="false">IF($A22="","",$L$55*$D22)</f>
        <v/>
      </c>
      <c r="I22" s="60" t="str">
        <f aca="false">IF($A22="","",$C22-$E$56-$F$56)</f>
        <v/>
      </c>
      <c r="J22" s="61" t="str">
        <f aca="false">IF($A22="","",$L$56*$D22)</f>
        <v/>
      </c>
      <c r="K22" s="60" t="str">
        <f aca="false">IF($A22="","",$B22-$E$57-$F$57)</f>
        <v/>
      </c>
      <c r="L22" s="61" t="str">
        <f aca="false">IF($A22="","",$L$57*$D22)</f>
        <v/>
      </c>
      <c r="M22" s="60" t="str">
        <f aca="false">IF($A22="","",(($C22-$E$58-$F$58-$G$58)/2))</f>
        <v/>
      </c>
      <c r="N22" s="61" t="str">
        <f aca="false">IF($A22="","",$L$58*$D22)</f>
        <v/>
      </c>
      <c r="O22" s="60" t="str">
        <f aca="false">IF($A22="","",$K22-$E$59-$F$59)</f>
        <v/>
      </c>
      <c r="P22" s="61" t="str">
        <f aca="false">IF($A22="","",$L$59*$D22)</f>
        <v/>
      </c>
      <c r="Q22" s="60" t="str">
        <f aca="false">IF($A22="","",$M22-$E$60-$F$60)</f>
        <v/>
      </c>
      <c r="R22" s="61" t="str">
        <f aca="false">IF($A22="","",$L$60*$D22)</f>
        <v/>
      </c>
      <c r="S22" s="60" t="str">
        <f aca="false">IF($A22="","",$B22-$E$61-$F$61)</f>
        <v/>
      </c>
      <c r="T22" s="61" t="str">
        <f aca="false">IF($A22="","",$L$61*$D22)</f>
        <v/>
      </c>
      <c r="U22" s="60"/>
      <c r="V22" s="61"/>
      <c r="W22" s="60"/>
      <c r="X22" s="61"/>
      <c r="Y22" s="60"/>
      <c r="Z22" s="61"/>
      <c r="AA22" s="60"/>
      <c r="AB22" s="61"/>
      <c r="AC22" s="57" t="str">
        <f aca="false">IF($A22="","",$K22-67-67)</f>
        <v/>
      </c>
      <c r="AD22" s="58" t="str">
        <f aca="false">IF($A22="","",$M22-67-67)</f>
        <v/>
      </c>
      <c r="AE22" s="59" t="str">
        <f aca="false">IF($A22="","",2*$D22)</f>
        <v/>
      </c>
      <c r="AK22" s="1" t="str">
        <f aca="false">IF($A22="","",1*$D22)</f>
        <v/>
      </c>
      <c r="AL22" s="1" t="str">
        <f aca="false">IF($A22="","",1*$D22)</f>
        <v/>
      </c>
      <c r="AM22" s="1" t="str">
        <f aca="false">IF($A22="","",2*$D22)</f>
        <v/>
      </c>
      <c r="AN22" s="1" t="str">
        <f aca="false">IF($A22="","",2*2*$D22)</f>
        <v/>
      </c>
      <c r="AO22" s="1" t="str">
        <f aca="false">IF($A22="","",(2+IF($B22&gt;1800,ROUNDUP(($B22-1800)/500,0),0))*2*$D22)</f>
        <v/>
      </c>
      <c r="AP22" s="1" t="str">
        <f aca="false">IF($A22="","",(2+IF($B22&gt;1800,ROUNDUP(($B22-1800)/500,0),0))*2*$D22)</f>
        <v/>
      </c>
      <c r="AQ22" s="1" t="str">
        <f aca="false">IF($A22="","",4*2*$D22)</f>
        <v/>
      </c>
      <c r="AR22" s="1" t="str">
        <f aca="false">IF($A22="","",8*2*$D22)</f>
        <v/>
      </c>
      <c r="AS22" s="1" t="str">
        <f aca="false">IF($A22="","",8*$D22)</f>
        <v/>
      </c>
      <c r="AT22" s="1" t="str">
        <f aca="false">IF($A22="","",ROUND((2*($C22/2+$B22))*2*$D22/1000,1))</f>
        <v/>
      </c>
      <c r="AU22" s="1" t="str">
        <f aca="false">IF($A22="","",ROUND((2*($C22+$B22))*$D22/1000,1))</f>
        <v/>
      </c>
    </row>
    <row r="23" customFormat="false" ht="39.75" hidden="false" customHeight="true" outlineLevel="0" collapsed="false">
      <c r="A23" s="88"/>
      <c r="B23" s="89"/>
      <c r="C23" s="90"/>
      <c r="D23" s="91"/>
      <c r="E23" s="56" t="str">
        <f aca="false">IF($A23="","",$B23)</f>
        <v/>
      </c>
      <c r="F23" s="54" t="str">
        <f aca="false">IF($A23="","",$L$54*$D23)</f>
        <v/>
      </c>
      <c r="G23" s="56" t="str">
        <f aca="false">IF($A23="","",$C23-$E$55-$F$55)</f>
        <v/>
      </c>
      <c r="H23" s="54" t="str">
        <f aca="false">IF($A23="","",$L$55*$D23)</f>
        <v/>
      </c>
      <c r="I23" s="56" t="str">
        <f aca="false">IF($A23="","",$C23-$E$56-$F$56)</f>
        <v/>
      </c>
      <c r="J23" s="54" t="str">
        <f aca="false">IF($A23="","",$L$56*$D23)</f>
        <v/>
      </c>
      <c r="K23" s="56" t="str">
        <f aca="false">IF($A23="","",$B23-$E$57-$F$57)</f>
        <v/>
      </c>
      <c r="L23" s="54" t="str">
        <f aca="false">IF($A23="","",$L$57*$D23)</f>
        <v/>
      </c>
      <c r="M23" s="56" t="str">
        <f aca="false">IF($A23="","",(($C23-$E$58-$F$58-$G$58)/2))</f>
        <v/>
      </c>
      <c r="N23" s="54" t="str">
        <f aca="false">IF($A23="","",$L$58*$D23)</f>
        <v/>
      </c>
      <c r="O23" s="56" t="str">
        <f aca="false">IF($A23="","",$K23-$E$59-$F$59)</f>
        <v/>
      </c>
      <c r="P23" s="54" t="str">
        <f aca="false">IF($A23="","",$L$59*$D23)</f>
        <v/>
      </c>
      <c r="Q23" s="56" t="str">
        <f aca="false">IF($A23="","",$M23-$E$60-$F$60)</f>
        <v/>
      </c>
      <c r="R23" s="54" t="str">
        <f aca="false">IF($A23="","",$L$60*$D23)</f>
        <v/>
      </c>
      <c r="S23" s="56" t="str">
        <f aca="false">IF($A23="","",$B23-$E$61-$F$61)</f>
        <v/>
      </c>
      <c r="T23" s="54" t="str">
        <f aca="false">IF($A23="","",$L$61*$D23)</f>
        <v/>
      </c>
      <c r="U23" s="56"/>
      <c r="V23" s="54"/>
      <c r="W23" s="56"/>
      <c r="X23" s="54"/>
      <c r="Y23" s="56"/>
      <c r="Z23" s="54"/>
      <c r="AA23" s="56"/>
      <c r="AB23" s="54"/>
      <c r="AC23" s="57" t="str">
        <f aca="false">IF($A23="","",$K23-67-67)</f>
        <v/>
      </c>
      <c r="AD23" s="58" t="str">
        <f aca="false">IF($A23="","",$M23-67-67)</f>
        <v/>
      </c>
      <c r="AE23" s="59" t="str">
        <f aca="false">IF($A23="","",2*$D23)</f>
        <v/>
      </c>
      <c r="AK23" s="1" t="str">
        <f aca="false">IF($A23="","",1*$D23)</f>
        <v/>
      </c>
      <c r="AL23" s="1" t="str">
        <f aca="false">IF($A23="","",1*$D23)</f>
        <v/>
      </c>
      <c r="AM23" s="1" t="str">
        <f aca="false">IF($A23="","",2*$D23)</f>
        <v/>
      </c>
      <c r="AN23" s="1" t="str">
        <f aca="false">IF($A23="","",2*2*$D23)</f>
        <v/>
      </c>
      <c r="AO23" s="1" t="str">
        <f aca="false">IF($A23="","",(2+IF($B23&gt;1800,ROUNDUP(($B23-1800)/500,0),0))*2*$D23)</f>
        <v/>
      </c>
      <c r="AP23" s="1" t="str">
        <f aca="false">IF($A23="","",(2+IF($B23&gt;1800,ROUNDUP(($B23-1800)/500,0),0))*2*$D23)</f>
        <v/>
      </c>
      <c r="AQ23" s="1" t="str">
        <f aca="false">IF($A23="","",4*2*$D23)</f>
        <v/>
      </c>
      <c r="AR23" s="1" t="str">
        <f aca="false">IF($A23="","",8*2*$D23)</f>
        <v/>
      </c>
      <c r="AS23" s="1" t="str">
        <f aca="false">IF($A23="","",8*$D23)</f>
        <v/>
      </c>
      <c r="AT23" s="1" t="str">
        <f aca="false">IF($A23="","",ROUND((2*($C23/2+$B23))*2*$D23/1000,1))</f>
        <v/>
      </c>
      <c r="AU23" s="1" t="str">
        <f aca="false">IF($A23="","",ROUND((2*($C23+$B23))*$D23/1000,1))</f>
        <v/>
      </c>
    </row>
    <row r="24" customFormat="false" ht="39.75" hidden="false" customHeight="true" outlineLevel="0" collapsed="false">
      <c r="A24" s="88"/>
      <c r="B24" s="89"/>
      <c r="C24" s="90"/>
      <c r="D24" s="91"/>
      <c r="E24" s="60" t="str">
        <f aca="false">IF($A24="","",$B24)</f>
        <v/>
      </c>
      <c r="F24" s="61" t="str">
        <f aca="false">IF($A24="","",$L$54*$D24)</f>
        <v/>
      </c>
      <c r="G24" s="60" t="str">
        <f aca="false">IF($A24="","",$C24-$E$55-$F$55)</f>
        <v/>
      </c>
      <c r="H24" s="61" t="str">
        <f aca="false">IF($A24="","",$L$55*$D24)</f>
        <v/>
      </c>
      <c r="I24" s="60" t="str">
        <f aca="false">IF($A24="","",$C24-$E$56-$F$56)</f>
        <v/>
      </c>
      <c r="J24" s="61" t="str">
        <f aca="false">IF($A24="","",$L$56*$D24)</f>
        <v/>
      </c>
      <c r="K24" s="60" t="str">
        <f aca="false">IF($A24="","",$B24-$E$57-$F$57)</f>
        <v/>
      </c>
      <c r="L24" s="61" t="str">
        <f aca="false">IF($A24="","",$L$57*$D24)</f>
        <v/>
      </c>
      <c r="M24" s="60" t="str">
        <f aca="false">IF($A24="","",(($C24-$E$58-$F$58-$G$58)/2))</f>
        <v/>
      </c>
      <c r="N24" s="61" t="str">
        <f aca="false">IF($A24="","",$L$58*$D24)</f>
        <v/>
      </c>
      <c r="O24" s="60" t="str">
        <f aca="false">IF($A24="","",$K24-$E$59-$F$59)</f>
        <v/>
      </c>
      <c r="P24" s="61" t="str">
        <f aca="false">IF($A24="","",$L$59*$D24)</f>
        <v/>
      </c>
      <c r="Q24" s="60" t="str">
        <f aca="false">IF($A24="","",$M24-$E$60-$F$60)</f>
        <v/>
      </c>
      <c r="R24" s="61" t="str">
        <f aca="false">IF($A24="","",$L$60*$D24)</f>
        <v/>
      </c>
      <c r="S24" s="60" t="str">
        <f aca="false">IF($A24="","",$B24-$E$61-$F$61)</f>
        <v/>
      </c>
      <c r="T24" s="61" t="str">
        <f aca="false">IF($A24="","",$L$61*$D24)</f>
        <v/>
      </c>
      <c r="U24" s="60"/>
      <c r="V24" s="61"/>
      <c r="W24" s="60"/>
      <c r="X24" s="61"/>
      <c r="Y24" s="60"/>
      <c r="Z24" s="61"/>
      <c r="AA24" s="60"/>
      <c r="AB24" s="61"/>
      <c r="AC24" s="57" t="str">
        <f aca="false">IF($A24="","",$K24-67-67)</f>
        <v/>
      </c>
      <c r="AD24" s="58" t="str">
        <f aca="false">IF($A24="","",$M24-67-67)</f>
        <v/>
      </c>
      <c r="AE24" s="59" t="str">
        <f aca="false">IF($A24="","",2*$D24)</f>
        <v/>
      </c>
      <c r="AK24" s="1" t="str">
        <f aca="false">IF($A24="","",1*$D24)</f>
        <v/>
      </c>
      <c r="AL24" s="1" t="str">
        <f aca="false">IF($A24="","",1*$D24)</f>
        <v/>
      </c>
      <c r="AM24" s="1" t="str">
        <f aca="false">IF($A24="","",2*$D24)</f>
        <v/>
      </c>
      <c r="AN24" s="1" t="str">
        <f aca="false">IF($A24="","",2*2*$D24)</f>
        <v/>
      </c>
      <c r="AO24" s="1" t="str">
        <f aca="false">IF($A24="","",(2+IF($B24&gt;1800,ROUNDUP(($B24-1800)/500,0),0))*2*$D24)</f>
        <v/>
      </c>
      <c r="AP24" s="1" t="str">
        <f aca="false">IF($A24="","",(2+IF($B24&gt;1800,ROUNDUP(($B24-1800)/500,0),0))*2*$D24)</f>
        <v/>
      </c>
      <c r="AQ24" s="1" t="str">
        <f aca="false">IF($A24="","",4*2*$D24)</f>
        <v/>
      </c>
      <c r="AR24" s="1" t="str">
        <f aca="false">IF($A24="","",8*2*$D24)</f>
        <v/>
      </c>
      <c r="AS24" s="1" t="str">
        <f aca="false">IF($A24="","",8*$D24)</f>
        <v/>
      </c>
      <c r="AT24" s="1" t="str">
        <f aca="false">IF($A24="","",ROUND((2*($C24/2+$B24))*2*$D24/1000,1))</f>
        <v/>
      </c>
      <c r="AU24" s="1" t="str">
        <f aca="false">IF($A24="","",ROUND((2*($C24+$B24))*$D24/1000,1))</f>
        <v/>
      </c>
    </row>
    <row r="25" customFormat="false" ht="39.75" hidden="false" customHeight="true" outlineLevel="0" collapsed="false">
      <c r="A25" s="88"/>
      <c r="B25" s="89"/>
      <c r="C25" s="90"/>
      <c r="D25" s="91"/>
      <c r="E25" s="56" t="str">
        <f aca="false">IF($A25="","",$B25)</f>
        <v/>
      </c>
      <c r="F25" s="54" t="str">
        <f aca="false">IF($A25="","",$L$54*$D25)</f>
        <v/>
      </c>
      <c r="G25" s="56" t="str">
        <f aca="false">IF($A25="","",$C25-$E$55-$F$55)</f>
        <v/>
      </c>
      <c r="H25" s="54" t="str">
        <f aca="false">IF($A25="","",$L$55*$D25)</f>
        <v/>
      </c>
      <c r="I25" s="56" t="str">
        <f aca="false">IF($A25="","",$C25-$E$56-$F$56)</f>
        <v/>
      </c>
      <c r="J25" s="54" t="str">
        <f aca="false">IF($A25="","",$L$56*$D25)</f>
        <v/>
      </c>
      <c r="K25" s="56" t="str">
        <f aca="false">IF($A25="","",$B25-$E$57-$F$57)</f>
        <v/>
      </c>
      <c r="L25" s="54" t="str">
        <f aca="false">IF($A25="","",$L$57*$D25)</f>
        <v/>
      </c>
      <c r="M25" s="56" t="str">
        <f aca="false">IF($A25="","",(($C25-$E$58-$F$58-$G$58)/2))</f>
        <v/>
      </c>
      <c r="N25" s="54" t="str">
        <f aca="false">IF($A25="","",$L$58*$D25)</f>
        <v/>
      </c>
      <c r="O25" s="56" t="str">
        <f aca="false">IF($A25="","",$K25-$E$59-$F$59)</f>
        <v/>
      </c>
      <c r="P25" s="54" t="str">
        <f aca="false">IF($A25="","",$L$59*$D25)</f>
        <v/>
      </c>
      <c r="Q25" s="56" t="str">
        <f aca="false">IF($A25="","",$M25-$E$60-$F$60)</f>
        <v/>
      </c>
      <c r="R25" s="54" t="str">
        <f aca="false">IF($A25="","",$L$60*$D25)</f>
        <v/>
      </c>
      <c r="S25" s="56" t="str">
        <f aca="false">IF($A25="","",$B25-$E$61-$F$61)</f>
        <v/>
      </c>
      <c r="T25" s="54" t="str">
        <f aca="false">IF($A25="","",$L$61*$D25)</f>
        <v/>
      </c>
      <c r="U25" s="56"/>
      <c r="V25" s="54"/>
      <c r="W25" s="56"/>
      <c r="X25" s="54"/>
      <c r="Y25" s="56"/>
      <c r="Z25" s="54"/>
      <c r="AA25" s="56"/>
      <c r="AB25" s="54"/>
      <c r="AC25" s="57" t="str">
        <f aca="false">IF($A25="","",$K25-67-67)</f>
        <v/>
      </c>
      <c r="AD25" s="58" t="str">
        <f aca="false">IF($A25="","",$M25-67-67)</f>
        <v/>
      </c>
      <c r="AE25" s="59" t="str">
        <f aca="false">IF($A25="","",2*$D25)</f>
        <v/>
      </c>
      <c r="AK25" s="1" t="str">
        <f aca="false">IF($A25="","",1*$D25)</f>
        <v/>
      </c>
      <c r="AL25" s="1" t="str">
        <f aca="false">IF($A25="","",1*$D25)</f>
        <v/>
      </c>
      <c r="AM25" s="1" t="str">
        <f aca="false">IF($A25="","",2*$D25)</f>
        <v/>
      </c>
      <c r="AN25" s="1" t="str">
        <f aca="false">IF($A25="","",2*2*$D25)</f>
        <v/>
      </c>
      <c r="AO25" s="1" t="str">
        <f aca="false">IF($A25="","",(2+IF($B25&gt;1800,ROUNDUP(($B25-1800)/500,0),0))*2*$D25)</f>
        <v/>
      </c>
      <c r="AP25" s="1" t="str">
        <f aca="false">IF($A25="","",(2+IF($B25&gt;1800,ROUNDUP(($B25-1800)/500,0),0))*2*$D25)</f>
        <v/>
      </c>
      <c r="AQ25" s="1" t="str">
        <f aca="false">IF($A25="","",4*2*$D25)</f>
        <v/>
      </c>
      <c r="AR25" s="1" t="str">
        <f aca="false">IF($A25="","",8*2*$D25)</f>
        <v/>
      </c>
      <c r="AS25" s="1" t="str">
        <f aca="false">IF($A25="","",8*$D25)</f>
        <v/>
      </c>
      <c r="AT25" s="1" t="str">
        <f aca="false">IF($A25="","",ROUND((2*($C25/2+$B25))*2*$D25/1000,1))</f>
        <v/>
      </c>
      <c r="AU25" s="1" t="str">
        <f aca="false">IF($A25="","",ROUND((2*($C25+$B25))*$D25/1000,1))</f>
        <v/>
      </c>
    </row>
    <row r="26" customFormat="false" ht="39.75" hidden="false" customHeight="true" outlineLevel="0" collapsed="false">
      <c r="A26" s="88"/>
      <c r="B26" s="89"/>
      <c r="C26" s="90"/>
      <c r="D26" s="91"/>
      <c r="E26" s="60" t="str">
        <f aca="false">IF($A26="","",$B26)</f>
        <v/>
      </c>
      <c r="F26" s="61" t="str">
        <f aca="false">IF($A26="","",$L$54*$D26)</f>
        <v/>
      </c>
      <c r="G26" s="60" t="str">
        <f aca="false">IF($A26="","",$C26-$E$55-$F$55)</f>
        <v/>
      </c>
      <c r="H26" s="61" t="str">
        <f aca="false">IF($A26="","",$L$55*$D26)</f>
        <v/>
      </c>
      <c r="I26" s="60" t="str">
        <f aca="false">IF($A26="","",$C26-$E$56-$F$56)</f>
        <v/>
      </c>
      <c r="J26" s="61" t="str">
        <f aca="false">IF($A26="","",$L$56*$D26)</f>
        <v/>
      </c>
      <c r="K26" s="60" t="str">
        <f aca="false">IF($A26="","",$B26-$E$57-$F$57)</f>
        <v/>
      </c>
      <c r="L26" s="61" t="str">
        <f aca="false">IF($A26="","",$L$57*$D26)</f>
        <v/>
      </c>
      <c r="M26" s="60" t="str">
        <f aca="false">IF($A26="","",(($C26-$E$58-$F$58-$G$58)/2))</f>
        <v/>
      </c>
      <c r="N26" s="61" t="str">
        <f aca="false">IF($A26="","",$L$58*$D26)</f>
        <v/>
      </c>
      <c r="O26" s="60" t="str">
        <f aca="false">IF($A26="","",$K26-$E$59-$F$59)</f>
        <v/>
      </c>
      <c r="P26" s="61" t="str">
        <f aca="false">IF($A26="","",$L$59*$D26)</f>
        <v/>
      </c>
      <c r="Q26" s="60" t="str">
        <f aca="false">IF($A26="","",$M26-$E$60-$F$60)</f>
        <v/>
      </c>
      <c r="R26" s="61" t="str">
        <f aca="false">IF($A26="","",$L$60*$D26)</f>
        <v/>
      </c>
      <c r="S26" s="60" t="str">
        <f aca="false">IF($A26="","",$B26-$E$61-$F$61)</f>
        <v/>
      </c>
      <c r="T26" s="61" t="str">
        <f aca="false">IF($A26="","",$L$61*$D26)</f>
        <v/>
      </c>
      <c r="U26" s="60"/>
      <c r="V26" s="61"/>
      <c r="W26" s="60"/>
      <c r="X26" s="61"/>
      <c r="Y26" s="60"/>
      <c r="Z26" s="61"/>
      <c r="AA26" s="60"/>
      <c r="AB26" s="61"/>
      <c r="AC26" s="57" t="str">
        <f aca="false">IF($A26="","",$K26-67-67)</f>
        <v/>
      </c>
      <c r="AD26" s="58" t="str">
        <f aca="false">IF($A26="","",$M26-67-67)</f>
        <v/>
      </c>
      <c r="AE26" s="59" t="str">
        <f aca="false">IF($A26="","",2*$D26)</f>
        <v/>
      </c>
      <c r="AK26" s="1" t="str">
        <f aca="false">IF($A26="","",1*$D26)</f>
        <v/>
      </c>
      <c r="AL26" s="1" t="str">
        <f aca="false">IF($A26="","",1*$D26)</f>
        <v/>
      </c>
      <c r="AM26" s="1" t="str">
        <f aca="false">IF($A26="","",2*$D26)</f>
        <v/>
      </c>
      <c r="AN26" s="1" t="str">
        <f aca="false">IF($A26="","",2*2*$D26)</f>
        <v/>
      </c>
      <c r="AO26" s="1" t="str">
        <f aca="false">IF($A26="","",(2+IF($B26&gt;1800,ROUNDUP(($B26-1800)/500,0),0))*2*$D26)</f>
        <v/>
      </c>
      <c r="AP26" s="1" t="str">
        <f aca="false">IF($A26="","",(2+IF($B26&gt;1800,ROUNDUP(($B26-1800)/500,0),0))*2*$D26)</f>
        <v/>
      </c>
      <c r="AQ26" s="1" t="str">
        <f aca="false">IF($A26="","",4*2*$D26)</f>
        <v/>
      </c>
      <c r="AR26" s="1" t="str">
        <f aca="false">IF($A26="","",8*2*$D26)</f>
        <v/>
      </c>
      <c r="AS26" s="1" t="str">
        <f aca="false">IF($A26="","",8*$D26)</f>
        <v/>
      </c>
      <c r="AT26" s="1" t="str">
        <f aca="false">IF($A26="","",ROUND((2*($C26/2+$B26))*2*$D26/1000,1))</f>
        <v/>
      </c>
      <c r="AU26" s="1" t="str">
        <f aca="false">IF($A26="","",ROUND((2*($C26+$B26))*$D26/1000,1))</f>
        <v/>
      </c>
    </row>
    <row r="27" customFormat="false" ht="39.75" hidden="false" customHeight="true" outlineLevel="0" collapsed="false">
      <c r="A27" s="88"/>
      <c r="B27" s="89"/>
      <c r="C27" s="90"/>
      <c r="D27" s="91"/>
      <c r="E27" s="56" t="str">
        <f aca="false">IF($A27="","",$B27)</f>
        <v/>
      </c>
      <c r="F27" s="54" t="str">
        <f aca="false">IF($A27="","",$L$54*$D27)</f>
        <v/>
      </c>
      <c r="G27" s="56" t="str">
        <f aca="false">IF($A27="","",$C27-$E$55-$F$55)</f>
        <v/>
      </c>
      <c r="H27" s="54" t="str">
        <f aca="false">IF($A27="","",$L$55*$D27)</f>
        <v/>
      </c>
      <c r="I27" s="56" t="str">
        <f aca="false">IF($A27="","",$C27-$E$56-$F$56)</f>
        <v/>
      </c>
      <c r="J27" s="54" t="str">
        <f aca="false">IF($A27="","",$L$56*$D27)</f>
        <v/>
      </c>
      <c r="K27" s="56" t="str">
        <f aca="false">IF($A27="","",$B27-$E$57-$F$57)</f>
        <v/>
      </c>
      <c r="L27" s="54" t="str">
        <f aca="false">IF($A27="","",$L$57*$D27)</f>
        <v/>
      </c>
      <c r="M27" s="56" t="str">
        <f aca="false">IF($A27="","",(($C27-$E$58-$F$58-$G$58)/2))</f>
        <v/>
      </c>
      <c r="N27" s="54" t="str">
        <f aca="false">IF($A27="","",$L$58*$D27)</f>
        <v/>
      </c>
      <c r="O27" s="56" t="str">
        <f aca="false">IF($A27="","",$K27-$E$59-$F$59)</f>
        <v/>
      </c>
      <c r="P27" s="54" t="str">
        <f aca="false">IF($A27="","",$L$59*$D27)</f>
        <v/>
      </c>
      <c r="Q27" s="56" t="str">
        <f aca="false">IF($A27="","",$M27-$E$60-$F$60)</f>
        <v/>
      </c>
      <c r="R27" s="54" t="str">
        <f aca="false">IF($A27="","",$L$60*$D27)</f>
        <v/>
      </c>
      <c r="S27" s="56" t="str">
        <f aca="false">IF($A27="","",$B27-$E$61-$F$61)</f>
        <v/>
      </c>
      <c r="T27" s="54" t="str">
        <f aca="false">IF($A27="","",$L$61*$D27)</f>
        <v/>
      </c>
      <c r="U27" s="56"/>
      <c r="V27" s="54"/>
      <c r="W27" s="56"/>
      <c r="X27" s="54"/>
      <c r="Y27" s="56"/>
      <c r="Z27" s="54"/>
      <c r="AA27" s="56"/>
      <c r="AB27" s="54"/>
      <c r="AC27" s="57" t="str">
        <f aca="false">IF($A27="","",$K27-67-67)</f>
        <v/>
      </c>
      <c r="AD27" s="58" t="str">
        <f aca="false">IF($A27="","",$M27-67-67)</f>
        <v/>
      </c>
      <c r="AE27" s="59" t="str">
        <f aca="false">IF($A27="","",2*$D27)</f>
        <v/>
      </c>
      <c r="AK27" s="1" t="str">
        <f aca="false">IF($A27="","",1*$D27)</f>
        <v/>
      </c>
      <c r="AL27" s="1" t="str">
        <f aca="false">IF($A27="","",1*$D27)</f>
        <v/>
      </c>
      <c r="AM27" s="1" t="str">
        <f aca="false">IF($A27="","",2*$D27)</f>
        <v/>
      </c>
      <c r="AN27" s="1" t="str">
        <f aca="false">IF($A27="","",2*2*$D27)</f>
        <v/>
      </c>
      <c r="AO27" s="1" t="str">
        <f aca="false">IF($A27="","",(2+IF($B27&gt;1800,ROUNDUP(($B27-1800)/500,0),0))*2*$D27)</f>
        <v/>
      </c>
      <c r="AP27" s="1" t="str">
        <f aca="false">IF($A27="","",(2+IF($B27&gt;1800,ROUNDUP(($B27-1800)/500,0),0))*2*$D27)</f>
        <v/>
      </c>
      <c r="AQ27" s="1" t="str">
        <f aca="false">IF($A27="","",4*2*$D27)</f>
        <v/>
      </c>
      <c r="AR27" s="1" t="str">
        <f aca="false">IF($A27="","",8*2*$D27)</f>
        <v/>
      </c>
      <c r="AS27" s="1" t="str">
        <f aca="false">IF($A27="","",8*$D27)</f>
        <v/>
      </c>
      <c r="AT27" s="1" t="str">
        <f aca="false">IF($A27="","",ROUND((2*($C27/2+$B27))*2*$D27/1000,1))</f>
        <v/>
      </c>
      <c r="AU27" s="1" t="str">
        <f aca="false">IF($A27="","",ROUND((2*($C27+$B27))*$D27/1000,1))</f>
        <v/>
      </c>
    </row>
    <row r="28" customFormat="false" ht="39.75" hidden="false" customHeight="true" outlineLevel="0" collapsed="false">
      <c r="A28" s="88"/>
      <c r="B28" s="89"/>
      <c r="C28" s="90"/>
      <c r="D28" s="91"/>
      <c r="E28" s="60" t="str">
        <f aca="false">IF($A28="","",$B28)</f>
        <v/>
      </c>
      <c r="F28" s="61" t="str">
        <f aca="false">IF($A28="","",$L$54*$D28)</f>
        <v/>
      </c>
      <c r="G28" s="60" t="str">
        <f aca="false">IF($A28="","",$C28-$E$55-$F$55)</f>
        <v/>
      </c>
      <c r="H28" s="61" t="str">
        <f aca="false">IF($A28="","",$L$55*$D28)</f>
        <v/>
      </c>
      <c r="I28" s="60" t="str">
        <f aca="false">IF($A28="","",$C28-$E$56-$F$56)</f>
        <v/>
      </c>
      <c r="J28" s="61" t="str">
        <f aca="false">IF($A28="","",$L$56*$D28)</f>
        <v/>
      </c>
      <c r="K28" s="60" t="str">
        <f aca="false">IF($A28="","",$B28-$E$57-$F$57)</f>
        <v/>
      </c>
      <c r="L28" s="61" t="str">
        <f aca="false">IF($A28="","",$L$57*$D28)</f>
        <v/>
      </c>
      <c r="M28" s="60" t="str">
        <f aca="false">IF($A28="","",(($C28-$E$58-$F$58-$G$58)/2))</f>
        <v/>
      </c>
      <c r="N28" s="61" t="str">
        <f aca="false">IF($A28="","",$L$58*$D28)</f>
        <v/>
      </c>
      <c r="O28" s="60" t="str">
        <f aca="false">IF($A28="","",$K28-$E$59-$F$59)</f>
        <v/>
      </c>
      <c r="P28" s="61" t="str">
        <f aca="false">IF($A28="","",$L$59*$D28)</f>
        <v/>
      </c>
      <c r="Q28" s="60" t="str">
        <f aca="false">IF($A28="","",$M28-$E$60-$F$60)</f>
        <v/>
      </c>
      <c r="R28" s="61" t="str">
        <f aca="false">IF($A28="","",$L$60*$D28)</f>
        <v/>
      </c>
      <c r="S28" s="60" t="str">
        <f aca="false">IF($A28="","",$B28-$E$61-$F$61)</f>
        <v/>
      </c>
      <c r="T28" s="61" t="str">
        <f aca="false">IF($A28="","",$L$61*$D28)</f>
        <v/>
      </c>
      <c r="U28" s="60"/>
      <c r="V28" s="61"/>
      <c r="W28" s="60"/>
      <c r="X28" s="61"/>
      <c r="Y28" s="60"/>
      <c r="Z28" s="61"/>
      <c r="AA28" s="60"/>
      <c r="AB28" s="61"/>
      <c r="AC28" s="57" t="str">
        <f aca="false">IF($A28="","",$K28-67-67)</f>
        <v/>
      </c>
      <c r="AD28" s="58" t="str">
        <f aca="false">IF($A28="","",$M28-67-67)</f>
        <v/>
      </c>
      <c r="AE28" s="59" t="str">
        <f aca="false">IF($A28="","",2*$D28)</f>
        <v/>
      </c>
      <c r="AK28" s="1" t="str">
        <f aca="false">IF($A28="","",1*$D28)</f>
        <v/>
      </c>
      <c r="AL28" s="1" t="str">
        <f aca="false">IF($A28="","",1*$D28)</f>
        <v/>
      </c>
      <c r="AM28" s="1" t="str">
        <f aca="false">IF($A28="","",2*$D28)</f>
        <v/>
      </c>
      <c r="AN28" s="1" t="str">
        <f aca="false">IF($A28="","",2*2*$D28)</f>
        <v/>
      </c>
      <c r="AO28" s="1" t="str">
        <f aca="false">IF($A28="","",(2+IF($B28&gt;1800,ROUNDUP(($B28-1800)/500,0),0))*2*$D28)</f>
        <v/>
      </c>
      <c r="AP28" s="1" t="str">
        <f aca="false">IF($A28="","",(2+IF($B28&gt;1800,ROUNDUP(($B28-1800)/500,0),0))*2*$D28)</f>
        <v/>
      </c>
      <c r="AQ28" s="1" t="str">
        <f aca="false">IF($A28="","",4*2*$D28)</f>
        <v/>
      </c>
      <c r="AR28" s="1" t="str">
        <f aca="false">IF($A28="","",8*2*$D28)</f>
        <v/>
      </c>
      <c r="AS28" s="1" t="str">
        <f aca="false">IF($A28="","",8*$D28)</f>
        <v/>
      </c>
      <c r="AT28" s="1" t="str">
        <f aca="false">IF($A28="","",ROUND((2*($C28/2+$B28))*2*$D28/1000,1))</f>
        <v/>
      </c>
      <c r="AU28" s="1" t="str">
        <f aca="false">IF($A28="","",ROUND((2*($C28+$B28))*$D28/1000,1))</f>
        <v/>
      </c>
    </row>
    <row r="29" customFormat="false" ht="39.75" hidden="false" customHeight="true" outlineLevel="0" collapsed="false"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65" t="str">
        <f aca="false">E$7</f>
        <v>F7859</v>
      </c>
      <c r="F30" s="65"/>
      <c r="G30" s="65"/>
      <c r="H30" s="66" t="n">
        <f aca="false">(ROUNDUP(SUM(F49:H49)/6400,0))</f>
        <v>1</v>
      </c>
      <c r="I30" s="66" t="str">
        <f aca="false">I$7</f>
        <v>F7939</v>
      </c>
      <c r="J30" s="66" t="n">
        <f aca="false">(ROUNDUP(J49/6400,0))</f>
        <v>1</v>
      </c>
      <c r="K30" s="65" t="str">
        <f aca="false">K$7</f>
        <v>F7943</v>
      </c>
      <c r="L30" s="65"/>
      <c r="M30" s="65"/>
      <c r="N30" s="66" t="n">
        <f aca="false">(ROUNDUP(SUM(L49:N49)/6400,0))</f>
        <v>1</v>
      </c>
      <c r="O30" s="65" t="str">
        <f aca="false">O$7</f>
        <v>F7935</v>
      </c>
      <c r="P30" s="65"/>
      <c r="Q30" s="65"/>
      <c r="R30" s="66" t="n">
        <f aca="false">(ROUNDUP(SUM(P49:R49)/6400,0))</f>
        <v>1</v>
      </c>
      <c r="S30" s="66" t="str">
        <f aca="false">S$7</f>
        <v>F7945</v>
      </c>
      <c r="T30" s="66" t="n">
        <f aca="false">(ROUNDUP(T49/6400,0))</f>
        <v>1</v>
      </c>
      <c r="U30" s="65" t="n">
        <f aca="false">U$7</f>
        <v>0</v>
      </c>
      <c r="V30" s="65"/>
      <c r="W30" s="65"/>
      <c r="X30" s="66" t="n">
        <f aca="false">(ROUNDUP(SUM(V49:X49)/6400,0))</f>
        <v>0</v>
      </c>
      <c r="Y30" s="66" t="n">
        <f aca="false">Y$7</f>
        <v>0</v>
      </c>
      <c r="Z30" s="66" t="n">
        <f aca="false">(ROUNDUP(Z49/6400,0))</f>
        <v>0</v>
      </c>
      <c r="AA30" s="66" t="n">
        <f aca="false">AA$7</f>
        <v>0</v>
      </c>
      <c r="AB30" s="66" t="n">
        <f aca="false">(ROUNDUP(AB49/6400,0))</f>
        <v>0</v>
      </c>
      <c r="AJ30" s="40" t="s">
        <v>65</v>
      </c>
      <c r="AK30" s="40" t="n">
        <f aca="false">SUM(AK11:AK28)</f>
        <v>1</v>
      </c>
      <c r="AL30" s="40" t="n">
        <f aca="false">SUM(AL11:AL28)</f>
        <v>1</v>
      </c>
      <c r="AM30" s="40" t="n">
        <f aca="false">SUM(AM11:AM28)</f>
        <v>2</v>
      </c>
      <c r="AN30" s="40" t="n">
        <f aca="false">SUM(AN11:AN28)</f>
        <v>4</v>
      </c>
      <c r="AO30" s="40" t="n">
        <f aca="false">SUM(AO11:AO28)</f>
        <v>4</v>
      </c>
      <c r="AP30" s="40" t="n">
        <f aca="false">SUM(AP11:AP28)</f>
        <v>4</v>
      </c>
      <c r="AQ30" s="40" t="n">
        <f aca="false">SUM(AQ11:AQ28)</f>
        <v>8</v>
      </c>
      <c r="AR30" s="40" t="n">
        <f aca="false">SUM(AR11:AR28)</f>
        <v>16</v>
      </c>
      <c r="AS30" s="40" t="n">
        <f aca="false">SUM(AS11:AS28)</f>
        <v>8</v>
      </c>
      <c r="AT30" s="40" t="n">
        <f aca="false">SUM(AT11:AT28)</f>
        <v>2.5</v>
      </c>
      <c r="AU30" s="40" t="n">
        <f aca="false">SUM(AU11:AU28)</f>
        <v>1.7</v>
      </c>
    </row>
    <row r="31" customFormat="false" ht="39.75" hidden="true" customHeight="true" outlineLevel="0" collapsed="false">
      <c r="F31" s="67" t="n">
        <f aca="false">IF($A11="","",F11*E11)</f>
        <v>800</v>
      </c>
      <c r="G31" s="67"/>
      <c r="H31" s="67" t="n">
        <f aca="false">IF($A11="","",H11*G11)</f>
        <v>410</v>
      </c>
      <c r="I31" s="67"/>
      <c r="J31" s="67" t="n">
        <f aca="false">IF($A11="","",J11*I11)</f>
        <v>410</v>
      </c>
      <c r="K31" s="67"/>
      <c r="L31" s="67" t="n">
        <f aca="false">IF($A11="","",L11*K11)</f>
        <v>1452</v>
      </c>
      <c r="M31" s="67"/>
      <c r="N31" s="67" t="n">
        <f aca="false">IF($A11="","",N11*M11)</f>
        <v>421</v>
      </c>
      <c r="O31" s="67"/>
      <c r="P31" s="67" t="n">
        <f aca="false">IF($A11="","",P11*O11)</f>
        <v>812</v>
      </c>
      <c r="Q31" s="67"/>
      <c r="R31" s="67" t="n">
        <f aca="false">IF($A11="","",R11*Q11)</f>
        <v>362</v>
      </c>
      <c r="S31" s="67"/>
      <c r="T31" s="67" t="n">
        <f aca="false">IF($A11="","",T11*S11)</f>
        <v>346</v>
      </c>
      <c r="U31" s="67"/>
      <c r="V31" s="67" t="n">
        <f aca="false">IF($A11="","",V11*U11)</f>
        <v>0</v>
      </c>
      <c r="W31" s="67"/>
      <c r="X31" s="67" t="n">
        <f aca="false">IF($A11="","",X11*W11)</f>
        <v>0</v>
      </c>
      <c r="Y31" s="67"/>
      <c r="Z31" s="67" t="n">
        <f aca="false">IF($A11="","",Z11*Y11)</f>
        <v>0</v>
      </c>
      <c r="AA31" s="67"/>
      <c r="AB31" s="67" t="n">
        <f aca="false">IF($A11="","",AB11*AA11)</f>
        <v>0</v>
      </c>
    </row>
    <row r="32" customFormat="false" ht="39.75" hidden="true" customHeight="true" outlineLevel="0" collapsed="false">
      <c r="F32" s="67" t="str">
        <f aca="false">IF($A12="","",F12*E12)</f>
        <v/>
      </c>
      <c r="G32" s="67"/>
      <c r="H32" s="67" t="str">
        <f aca="false">IF($A12="","",H12*G12)</f>
        <v/>
      </c>
      <c r="I32" s="67"/>
      <c r="J32" s="67" t="str">
        <f aca="false">IF($A12="","",J12*I12)</f>
        <v/>
      </c>
      <c r="K32" s="67"/>
      <c r="L32" s="67" t="str">
        <f aca="false">IF($A12="","",L12*K12)</f>
        <v/>
      </c>
      <c r="M32" s="67"/>
      <c r="N32" s="67" t="str">
        <f aca="false">IF($A12="","",N12*M12)</f>
        <v/>
      </c>
      <c r="O32" s="67"/>
      <c r="P32" s="67" t="str">
        <f aca="false">IF($A12="","",P12*O12)</f>
        <v/>
      </c>
      <c r="Q32" s="67"/>
      <c r="R32" s="67" t="str">
        <f aca="false">IF($A12="","",R12*Q12)</f>
        <v/>
      </c>
      <c r="S32" s="67"/>
      <c r="T32" s="67" t="str">
        <f aca="false">IF($A12="","",T12*S12)</f>
        <v/>
      </c>
      <c r="U32" s="67"/>
      <c r="V32" s="67" t="str">
        <f aca="false">IF($A12="","",V12*U12)</f>
        <v/>
      </c>
      <c r="W32" s="67"/>
      <c r="X32" s="67" t="str">
        <f aca="false">IF($A12="","",X12*W12)</f>
        <v/>
      </c>
      <c r="Y32" s="67"/>
      <c r="Z32" s="67" t="str">
        <f aca="false">IF($A12="","",Z12*Y12)</f>
        <v/>
      </c>
      <c r="AA32" s="67"/>
      <c r="AB32" s="67" t="str">
        <f aca="false">IF($A12="","",AB12*AA12)</f>
        <v/>
      </c>
    </row>
    <row r="33" customFormat="false" ht="39.75" hidden="true" customHeight="true" outlineLevel="0" collapsed="false">
      <c r="F33" s="67" t="str">
        <f aca="false">IF($A13="","",F13*E13)</f>
        <v/>
      </c>
      <c r="G33" s="67"/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</row>
    <row r="34" customFormat="false" ht="39.75" hidden="true" customHeight="true" outlineLevel="0" collapsed="false">
      <c r="F34" s="67" t="str">
        <f aca="false">IF($A14="","",F14*E14)</f>
        <v/>
      </c>
      <c r="G34" s="67"/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</row>
    <row r="35" customFormat="false" ht="39.75" hidden="true" customHeight="true" outlineLevel="0" collapsed="false">
      <c r="F35" s="67" t="str">
        <f aca="false">IF($A15="","",F15*E15)</f>
        <v/>
      </c>
      <c r="G35" s="67"/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</row>
    <row r="36" customFormat="false" ht="15" hidden="true" customHeight="true" outlineLevel="0" collapsed="false">
      <c r="F36" s="67" t="str">
        <f aca="false">IF($A16="","",F16*E16)</f>
        <v/>
      </c>
      <c r="G36" s="67"/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</row>
    <row r="37" customFormat="false" ht="15" hidden="true" customHeight="true" outlineLevel="0" collapsed="false">
      <c r="F37" s="67" t="str">
        <f aca="false">IF($A17="","",F17*E17)</f>
        <v/>
      </c>
      <c r="G37" s="67"/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</row>
    <row r="38" customFormat="false" ht="15" hidden="true" customHeight="true" outlineLevel="0" collapsed="false">
      <c r="F38" s="67" t="str">
        <f aca="false">IF($A18="","",F18*E18)</f>
        <v/>
      </c>
      <c r="G38" s="67"/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</row>
    <row r="39" customFormat="false" ht="15" hidden="true" customHeight="true" outlineLevel="0" collapsed="false">
      <c r="F39" s="67" t="str">
        <f aca="false">IF($A19="","",F19*E19)</f>
        <v/>
      </c>
      <c r="G39" s="67"/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</row>
    <row r="40" customFormat="false" ht="15" hidden="true" customHeight="true" outlineLevel="0" collapsed="false">
      <c r="F40" s="67" t="str">
        <f aca="false">IF($A20="","",F20*E20)</f>
        <v/>
      </c>
      <c r="G40" s="67"/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</row>
    <row r="41" customFormat="false" ht="15" hidden="true" customHeight="true" outlineLevel="0" collapsed="false">
      <c r="F41" s="67" t="str">
        <f aca="false">IF($A21="","",F21*E21)</f>
        <v/>
      </c>
      <c r="G41" s="67"/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</row>
    <row r="42" customFormat="false" ht="15" hidden="true" customHeight="true" outlineLevel="0" collapsed="false">
      <c r="F42" s="67" t="str">
        <f aca="false">IF($A22="","",F22*E22)</f>
        <v/>
      </c>
      <c r="G42" s="67"/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</row>
    <row r="43" customFormat="false" ht="15" hidden="true" customHeight="true" outlineLevel="0" collapsed="false">
      <c r="F43" s="67" t="str">
        <f aca="false">IF($A23="","",F23*E23)</f>
        <v/>
      </c>
      <c r="G43" s="67"/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</row>
    <row r="44" customFormat="false" ht="15" hidden="true" customHeight="true" outlineLevel="0" collapsed="false">
      <c r="F44" s="67" t="str">
        <f aca="false">IF($A24="","",F24*E24)</f>
        <v/>
      </c>
      <c r="G44" s="67"/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</row>
    <row r="45" customFormat="false" ht="15" hidden="true" customHeight="true" outlineLevel="0" collapsed="false">
      <c r="F45" s="67" t="str">
        <f aca="false">IF($A25="","",F25*E25)</f>
        <v/>
      </c>
      <c r="G45" s="67"/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</row>
    <row r="46" customFormat="false" ht="15" hidden="true" customHeight="true" outlineLevel="0" collapsed="false">
      <c r="F46" s="67" t="str">
        <f aca="false">IF($A26="","",F26*E26)</f>
        <v/>
      </c>
      <c r="G46" s="67"/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</row>
    <row r="47" customFormat="false" ht="15" hidden="true" customHeight="true" outlineLevel="0" collapsed="false">
      <c r="F47" s="67" t="str">
        <f aca="false">IF($A27="","",F27*E27)</f>
        <v/>
      </c>
      <c r="G47" s="67"/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</row>
    <row r="48" customFormat="false" ht="15" hidden="true" customHeight="true" outlineLevel="0" collapsed="false">
      <c r="F48" s="67" t="str">
        <f aca="false">IF($A28="","",F28*E28)</f>
        <v/>
      </c>
      <c r="G48" s="67"/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</row>
    <row r="49" customFormat="false" ht="15" hidden="true" customHeight="true" outlineLevel="0" collapsed="false">
      <c r="F49" s="68" t="n">
        <f aca="false">SUMIF(F31:F48,"&gt;0")</f>
        <v>800</v>
      </c>
      <c r="G49" s="68"/>
      <c r="H49" s="68" t="n">
        <f aca="false">SUMIF(H31:H48,"&gt;0")</f>
        <v>410</v>
      </c>
      <c r="I49" s="68"/>
      <c r="J49" s="68" t="n">
        <f aca="false">SUMIF(J31:J48,"&gt;0")</f>
        <v>410</v>
      </c>
      <c r="K49" s="68"/>
      <c r="L49" s="68" t="n">
        <f aca="false">SUMIF(L31:L48,"&gt;0")</f>
        <v>1452</v>
      </c>
      <c r="M49" s="68"/>
      <c r="N49" s="68" t="n">
        <f aca="false">SUMIF(N31:N48,"&gt;0")</f>
        <v>421</v>
      </c>
      <c r="P49" s="68" t="n">
        <f aca="false">SUMIF(P31:P48,"&gt;0")</f>
        <v>812</v>
      </c>
      <c r="Q49" s="68"/>
      <c r="R49" s="68" t="n">
        <f aca="false">SUMIF(R31:R48,"&gt;0")</f>
        <v>362</v>
      </c>
      <c r="T49" s="68" t="n">
        <f aca="false">SUMIF(T31:T48,"&gt;0")</f>
        <v>346</v>
      </c>
      <c r="U49" s="68"/>
      <c r="V49" s="68" t="n">
        <f aca="false">SUMIF(V31:V48,"&gt;0")</f>
        <v>0</v>
      </c>
      <c r="X49" s="68" t="n">
        <f aca="false">SUMIF(X31:X48,"&gt;0")</f>
        <v>0</v>
      </c>
      <c r="Y49" s="68"/>
      <c r="Z49" s="68" t="n">
        <f aca="false">SUMIF(Z31:Z48,"&gt;0")</f>
        <v>0</v>
      </c>
      <c r="AB49" s="68" t="n">
        <f aca="false">SUMIF(AB31:AB48,"&gt;0")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 t="n">
        <v>2</v>
      </c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 t="n">
        <v>1</v>
      </c>
    </row>
    <row r="56" customFormat="false" ht="15" hidden="false" customHeight="true" outlineLevel="0" collapsed="false">
      <c r="A56" s="72" t="n">
        <v>3</v>
      </c>
      <c r="B56" s="73" t="s">
        <v>33</v>
      </c>
      <c r="C56" s="74" t="s">
        <v>180</v>
      </c>
      <c r="D56" s="75" t="s">
        <v>7</v>
      </c>
      <c r="E56" s="77" t="n">
        <v>25</v>
      </c>
      <c r="F56" s="77" t="n">
        <v>25</v>
      </c>
      <c r="G56" s="76"/>
      <c r="H56" s="76"/>
      <c r="I56" s="76"/>
      <c r="J56" s="76"/>
      <c r="K56" s="76"/>
      <c r="L56" s="77" t="n">
        <v>1</v>
      </c>
    </row>
    <row r="57" customFormat="false" ht="15" hidden="false" customHeight="true" outlineLevel="0" collapsed="false">
      <c r="A57" s="72" t="n">
        <v>4</v>
      </c>
      <c r="B57" s="73" t="s">
        <v>34</v>
      </c>
      <c r="C57" s="74" t="s">
        <v>181</v>
      </c>
      <c r="D57" s="75" t="s">
        <v>8</v>
      </c>
      <c r="E57" s="77" t="n">
        <v>18.5</v>
      </c>
      <c r="F57" s="77" t="n">
        <v>18.5</v>
      </c>
      <c r="G57" s="76"/>
      <c r="H57" s="76"/>
      <c r="I57" s="76"/>
      <c r="J57" s="76"/>
      <c r="K57" s="76"/>
      <c r="L57" s="77" t="n">
        <v>4</v>
      </c>
    </row>
    <row r="58" customFormat="false" ht="15" hidden="false" customHeight="true" outlineLevel="0" collapsed="false">
      <c r="A58" s="72" t="n">
        <v>5</v>
      </c>
      <c r="B58" s="73" t="s">
        <v>35</v>
      </c>
      <c r="C58" s="74" t="s">
        <v>79</v>
      </c>
      <c r="D58" s="75" t="s">
        <v>217</v>
      </c>
      <c r="E58" s="77" t="n">
        <v>18.5</v>
      </c>
      <c r="F58" s="77" t="n">
        <v>2</v>
      </c>
      <c r="G58" s="77" t="n">
        <v>18.5</v>
      </c>
      <c r="H58" s="76"/>
      <c r="I58" s="76"/>
      <c r="J58" s="76"/>
      <c r="K58" s="76"/>
      <c r="L58" s="77" t="n">
        <v>2</v>
      </c>
    </row>
    <row r="59" customFormat="false" ht="15" hidden="false" customHeight="true" outlineLevel="0" collapsed="false">
      <c r="A59" s="72" t="n">
        <v>6</v>
      </c>
      <c r="B59" s="73" t="s">
        <v>36</v>
      </c>
      <c r="C59" s="74" t="s">
        <v>17</v>
      </c>
      <c r="D59" s="75" t="s">
        <v>176</v>
      </c>
      <c r="E59" s="77" t="n">
        <v>80</v>
      </c>
      <c r="F59" s="77" t="n">
        <v>80</v>
      </c>
      <c r="G59" s="76"/>
      <c r="H59" s="76"/>
      <c r="I59" s="76"/>
      <c r="J59" s="76"/>
      <c r="K59" s="76"/>
      <c r="L59" s="77" t="n">
        <v>4</v>
      </c>
    </row>
    <row r="60" customFormat="false" ht="15" hidden="false" customHeight="true" outlineLevel="0" collapsed="false">
      <c r="A60" s="72" t="n">
        <v>7</v>
      </c>
      <c r="B60" s="73" t="s">
        <v>37</v>
      </c>
      <c r="C60" s="74" t="s">
        <v>79</v>
      </c>
      <c r="D60" s="75" t="s">
        <v>177</v>
      </c>
      <c r="E60" s="77" t="n">
        <v>60</v>
      </c>
      <c r="F60" s="77" t="n">
        <v>60</v>
      </c>
      <c r="G60" s="76"/>
      <c r="H60" s="76"/>
      <c r="I60" s="76"/>
      <c r="J60" s="76"/>
      <c r="K60" s="76"/>
      <c r="L60" s="77" t="n">
        <v>4</v>
      </c>
    </row>
    <row r="61" customFormat="false" ht="15" hidden="false" customHeight="true" outlineLevel="0" collapsed="false">
      <c r="A61" s="72" t="n">
        <v>8</v>
      </c>
      <c r="B61" s="73" t="s">
        <v>125</v>
      </c>
      <c r="C61" s="74" t="s">
        <v>117</v>
      </c>
      <c r="D61" s="75" t="s">
        <v>116</v>
      </c>
      <c r="E61" s="77" t="n">
        <v>27</v>
      </c>
      <c r="F61" s="77" t="n">
        <v>27</v>
      </c>
      <c r="G61" s="76"/>
      <c r="H61" s="76"/>
      <c r="I61" s="76"/>
      <c r="J61" s="76"/>
      <c r="K61" s="76"/>
      <c r="L61" s="77" t="n">
        <v>1</v>
      </c>
    </row>
    <row r="63" customFormat="false" ht="15" hidden="false" customHeight="true" outlineLevel="0" collapsed="false">
      <c r="A63" s="78" t="s">
        <v>219</v>
      </c>
      <c r="F63" s="79"/>
    </row>
    <row r="64" customFormat="false" ht="15" hidden="false" customHeight="true" outlineLevel="0" collapsed="false">
      <c r="A64" s="80" t="s">
        <v>210</v>
      </c>
      <c r="B64" s="81" t="s">
        <v>211</v>
      </c>
      <c r="F64" s="82"/>
    </row>
    <row r="65" customFormat="false" ht="15" hidden="false" customHeight="true" outlineLevel="0" collapsed="false">
      <c r="A65" s="80" t="s">
        <v>212</v>
      </c>
      <c r="B65" s="81" t="s">
        <v>82</v>
      </c>
      <c r="F65" s="82"/>
    </row>
    <row r="66" customFormat="false" ht="15" hidden="false" customHeight="true" outlineLevel="0" collapsed="false">
      <c r="A66" s="80" t="s">
        <v>213</v>
      </c>
      <c r="B66" s="81" t="s">
        <v>214</v>
      </c>
      <c r="F66" s="82"/>
    </row>
    <row r="67" customFormat="false" ht="15" hidden="false" customHeight="true" outlineLevel="0" collapsed="false">
      <c r="A67" s="80" t="s">
        <v>220</v>
      </c>
      <c r="B67" s="81" t="s">
        <v>221</v>
      </c>
      <c r="F67" s="82"/>
    </row>
    <row r="68" customFormat="false" ht="15" hidden="false" customHeight="true" outlineLevel="0" collapsed="false">
      <c r="A68" s="83"/>
    </row>
    <row r="69" customFormat="false" ht="15" hidden="false" customHeight="true" outlineLevel="0" collapsed="false">
      <c r="A69" s="84" t="s">
        <v>89</v>
      </c>
    </row>
    <row r="70" customFormat="false" ht="15" hidden="false" customHeight="true" outlineLevel="0" collapsed="false">
      <c r="A70" s="84" t="s">
        <v>67</v>
      </c>
      <c r="B70" s="84" t="s">
        <v>90</v>
      </c>
      <c r="C70" s="84" t="s">
        <v>91</v>
      </c>
      <c r="D70" s="84" t="s">
        <v>60</v>
      </c>
      <c r="E70" s="84" t="s">
        <v>92</v>
      </c>
      <c r="F70" s="84" t="s">
        <v>93</v>
      </c>
    </row>
    <row r="71" customFormat="false" ht="15" hidden="false" customHeight="true" outlineLevel="0" collapsed="false">
      <c r="A71" s="85" t="n">
        <v>1</v>
      </c>
      <c r="B71" s="85" t="s">
        <v>192</v>
      </c>
      <c r="C71" s="81" t="str">
        <f aca="false">AK8</f>
        <v>JR00304</v>
      </c>
      <c r="D71" s="86" t="n">
        <f aca="false">AK30</f>
        <v>1</v>
      </c>
      <c r="E71" s="85" t="s">
        <v>22</v>
      </c>
    </row>
    <row r="72" customFormat="false" ht="15" hidden="false" customHeight="true" outlineLevel="0" collapsed="false">
      <c r="A72" s="85" t="n">
        <v>2</v>
      </c>
      <c r="B72" s="85" t="s">
        <v>218</v>
      </c>
      <c r="C72" s="81" t="str">
        <f aca="false">AL8</f>
        <v>JR00305</v>
      </c>
      <c r="D72" s="86" t="n">
        <f aca="false">AL30</f>
        <v>1</v>
      </c>
      <c r="E72" s="85" t="s">
        <v>22</v>
      </c>
    </row>
    <row r="73" customFormat="false" ht="15" hidden="false" customHeight="true" outlineLevel="0" collapsed="false">
      <c r="A73" s="85" t="n">
        <v>3</v>
      </c>
      <c r="B73" s="85" t="s">
        <v>215</v>
      </c>
      <c r="C73" s="81" t="str">
        <f aca="false">AM8</f>
        <v>JR00566</v>
      </c>
      <c r="D73" s="86" t="n">
        <f aca="false">AM30</f>
        <v>2</v>
      </c>
      <c r="E73" s="85" t="s">
        <v>94</v>
      </c>
    </row>
    <row r="74" customFormat="false" ht="15" hidden="false" customHeight="true" outlineLevel="0" collapsed="false">
      <c r="A74" s="85" t="n">
        <v>4</v>
      </c>
      <c r="B74" s="85" t="s">
        <v>194</v>
      </c>
      <c r="C74" s="81" t="str">
        <f aca="false">AN8</f>
        <v>JR00559</v>
      </c>
      <c r="D74" s="86" t="n">
        <f aca="false">AN30</f>
        <v>4</v>
      </c>
      <c r="E74" s="85" t="s">
        <v>94</v>
      </c>
    </row>
    <row r="75" customFormat="false" ht="15" hidden="false" customHeight="true" outlineLevel="0" collapsed="false">
      <c r="A75" s="85" t="n">
        <v>5</v>
      </c>
      <c r="B75" s="85" t="s">
        <v>195</v>
      </c>
      <c r="C75" s="81" t="str">
        <f aca="false">AO8</f>
        <v>JR00486</v>
      </c>
      <c r="D75" s="86" t="n">
        <f aca="false">AO30</f>
        <v>4</v>
      </c>
      <c r="E75" s="85" t="s">
        <v>94</v>
      </c>
    </row>
    <row r="76" customFormat="false" ht="15" hidden="false" customHeight="true" outlineLevel="0" collapsed="false">
      <c r="A76" s="85" t="n">
        <v>6</v>
      </c>
      <c r="B76" s="85" t="s">
        <v>196</v>
      </c>
      <c r="C76" s="81" t="str">
        <f aca="false">AP8</f>
        <v>JR00483</v>
      </c>
      <c r="D76" s="86" t="n">
        <f aca="false">AP30</f>
        <v>4</v>
      </c>
      <c r="E76" s="85" t="s">
        <v>94</v>
      </c>
    </row>
    <row r="77" customFormat="false" ht="15" hidden="false" customHeight="true" outlineLevel="0" collapsed="false">
      <c r="A77" s="85" t="n">
        <v>7</v>
      </c>
      <c r="B77" s="85" t="s">
        <v>42</v>
      </c>
      <c r="C77" s="81" t="str">
        <f aca="false">AQ8</f>
        <v>JR00482</v>
      </c>
      <c r="D77" s="86" t="n">
        <f aca="false">AQ30</f>
        <v>8</v>
      </c>
      <c r="E77" s="85" t="s">
        <v>94</v>
      </c>
    </row>
    <row r="78" customFormat="false" ht="15" hidden="false" customHeight="true" outlineLevel="0" collapsed="false">
      <c r="A78" s="85" t="n">
        <v>8</v>
      </c>
      <c r="B78" s="85" t="s">
        <v>43</v>
      </c>
      <c r="C78" s="81" t="str">
        <f aca="false">AR8</f>
        <v>JR00557</v>
      </c>
      <c r="D78" s="86" t="n">
        <f aca="false">AR30</f>
        <v>16</v>
      </c>
      <c r="E78" s="85" t="s">
        <v>94</v>
      </c>
    </row>
    <row r="79" customFormat="false" ht="15" hidden="false" customHeight="true" outlineLevel="0" collapsed="false">
      <c r="A79" s="85" t="n">
        <v>9</v>
      </c>
      <c r="B79" s="85" t="s">
        <v>51</v>
      </c>
      <c r="C79" s="81" t="str">
        <f aca="false">AS8</f>
        <v>JR00864</v>
      </c>
      <c r="D79" s="86" t="n">
        <f aca="false">AS30</f>
        <v>8</v>
      </c>
      <c r="E79" s="85" t="s">
        <v>94</v>
      </c>
    </row>
    <row r="80" customFormat="false" ht="15" hidden="false" customHeight="true" outlineLevel="0" collapsed="false">
      <c r="A80" s="85" t="n">
        <v>10</v>
      </c>
      <c r="B80" s="85" t="s">
        <v>52</v>
      </c>
      <c r="C80" s="81" t="str">
        <f aca="false">AT8</f>
        <v>JR00770</v>
      </c>
      <c r="D80" s="86" t="n">
        <f aca="false">AT30</f>
        <v>2.5</v>
      </c>
      <c r="E80" s="85" t="s">
        <v>101</v>
      </c>
    </row>
    <row r="81" customFormat="false" ht="15" hidden="false" customHeight="true" outlineLevel="0" collapsed="false">
      <c r="A81" s="85" t="n">
        <v>11</v>
      </c>
      <c r="B81" s="85" t="s">
        <v>53</v>
      </c>
      <c r="C81" s="81" t="str">
        <f aca="false">AU8</f>
        <v>JR00770</v>
      </c>
      <c r="D81" s="86" t="n">
        <f aca="false">AU30</f>
        <v>1.7</v>
      </c>
      <c r="E81" s="85" t="s">
        <v>101</v>
      </c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J7"/>
    <mergeCell ref="K7:N7"/>
    <mergeCell ref="O7:R7"/>
    <mergeCell ref="S7:T7"/>
    <mergeCell ref="U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K30:M30"/>
    <mergeCell ref="O30:Q30"/>
    <mergeCell ref="U30:W30"/>
  </mergeCells>
  <dataValidations count="4">
    <dataValidation allowBlank="true" errorStyle="stop" operator="between" showDropDown="false" showErrorMessage="false" showInputMessage="false" sqref="B64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5" type="list">
      <formula1>"ขาว,ดำ"</formula1>
      <formula2>0</formula2>
    </dataValidation>
    <dataValidation allowBlank="true" errorStyle="stop" operator="between" showDropDown="false" showErrorMessage="false" showInputMessage="false" sqref="B66" type="list">
      <formula1>"ซ้าย,ขวา"</formula1>
      <formula2>0</formula2>
    </dataValidation>
    <dataValidation allowBlank="true" errorStyle="stop" operator="between" showDropDown="false" showErrorMessage="false" showInputMessage="false" sqref="B67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4" min="34" style="1" width="8.9"/>
    <col collapsed="false" customWidth="true" hidden="true" outlineLevel="0" max="54" min="53" style="1" width="13"/>
  </cols>
  <sheetData>
    <row r="1" customFormat="false" ht="39.75" hidden="false" customHeight="true" outlineLevel="0" collapsed="false">
      <c r="A1" s="3" t="s">
        <v>222</v>
      </c>
      <c r="B1" s="4"/>
      <c r="D1" s="5"/>
      <c r="E1" s="6"/>
      <c r="F1" s="5"/>
      <c r="G1" s="5"/>
      <c r="H1" s="5"/>
      <c r="I1" s="5"/>
      <c r="J1" s="5"/>
      <c r="K1" s="7"/>
      <c r="L1" s="7"/>
      <c r="M1" s="8"/>
      <c r="N1" s="8"/>
      <c r="O1" s="5"/>
      <c r="P1" s="9"/>
      <c r="Q1" s="7"/>
      <c r="R1" s="7"/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BA1" s="40" t="s">
        <v>166</v>
      </c>
      <c r="BB1" s="1" t="s">
        <v>167</v>
      </c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7"/>
      <c r="H2" s="7"/>
      <c r="I2" s="7"/>
      <c r="J2" s="7"/>
      <c r="K2" s="7"/>
      <c r="L2" s="7"/>
      <c r="M2" s="11"/>
      <c r="N2" s="11"/>
      <c r="O2" s="7"/>
      <c r="P2" s="7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BA2" s="40" t="s">
        <v>168</v>
      </c>
      <c r="BB2" s="1" t="s">
        <v>169</v>
      </c>
    </row>
    <row r="3" customFormat="false" ht="39.75" hidden="false" customHeight="true" outlineLevel="0" collapsed="false">
      <c r="A3" s="7"/>
      <c r="B3" s="7"/>
      <c r="C3" s="7"/>
      <c r="D3" s="7"/>
      <c r="E3" s="10"/>
      <c r="F3" s="7"/>
      <c r="G3" s="7"/>
      <c r="H3" s="7"/>
      <c r="I3" s="7"/>
      <c r="J3" s="7"/>
      <c r="K3" s="7"/>
      <c r="L3" s="7"/>
      <c r="M3" s="12"/>
      <c r="N3" s="12"/>
      <c r="O3" s="7"/>
      <c r="P3" s="7"/>
      <c r="S3" s="133"/>
      <c r="T3" s="11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BA3" s="40" t="s">
        <v>170</v>
      </c>
      <c r="BB3" s="1" t="s">
        <v>171</v>
      </c>
    </row>
    <row r="4" customFormat="false" ht="39.75" hidden="false" customHeight="true" outlineLevel="0" collapsed="false">
      <c r="A4" s="7"/>
      <c r="B4" s="7"/>
      <c r="C4" s="7"/>
      <c r="D4" s="7"/>
      <c r="F4" s="7"/>
      <c r="G4" s="7"/>
      <c r="H4" s="7"/>
      <c r="I4" s="7"/>
      <c r="J4" s="7"/>
      <c r="K4" s="7"/>
      <c r="L4" s="7"/>
      <c r="O4" s="7"/>
      <c r="P4" s="7"/>
      <c r="S4" s="11"/>
      <c r="T4" s="11"/>
      <c r="BA4" s="40" t="s">
        <v>172</v>
      </c>
      <c r="BB4" s="1" t="s">
        <v>173</v>
      </c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G5" s="7"/>
      <c r="H5" s="7"/>
      <c r="I5" s="7"/>
      <c r="J5" s="7"/>
      <c r="L5" s="7"/>
      <c r="O5" s="7"/>
      <c r="P5" s="7"/>
      <c r="BA5" s="40" t="s">
        <v>174</v>
      </c>
      <c r="BB5" s="1" t="s">
        <v>175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8</v>
      </c>
      <c r="J6" s="17"/>
      <c r="K6" s="17" t="s">
        <v>9</v>
      </c>
      <c r="L6" s="17"/>
      <c r="M6" s="17" t="s">
        <v>176</v>
      </c>
      <c r="N6" s="17"/>
      <c r="O6" s="17" t="s">
        <v>177</v>
      </c>
      <c r="P6" s="17"/>
      <c r="Q6" s="17" t="s">
        <v>8</v>
      </c>
      <c r="R6" s="17"/>
      <c r="S6" s="17" t="s">
        <v>9</v>
      </c>
      <c r="T6" s="17"/>
      <c r="U6" s="17" t="s">
        <v>176</v>
      </c>
      <c r="V6" s="17"/>
      <c r="W6" s="17" t="s">
        <v>177</v>
      </c>
      <c r="X6" s="17"/>
      <c r="Y6" s="17" t="s">
        <v>57</v>
      </c>
      <c r="Z6" s="17"/>
      <c r="AA6" s="17"/>
      <c r="AB6" s="17"/>
      <c r="AC6" s="17"/>
      <c r="AD6" s="17"/>
      <c r="AE6" s="18"/>
      <c r="AF6" s="18"/>
      <c r="AG6" s="18"/>
      <c r="BA6" s="40" t="s">
        <v>178</v>
      </c>
      <c r="BB6" s="1" t="s">
        <v>179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15</v>
      </c>
      <c r="F7" s="20"/>
      <c r="G7" s="20"/>
      <c r="H7" s="20"/>
      <c r="I7" s="20" t="s">
        <v>181</v>
      </c>
      <c r="J7" s="20"/>
      <c r="K7" s="20"/>
      <c r="L7" s="20"/>
      <c r="M7" s="20" t="s">
        <v>17</v>
      </c>
      <c r="N7" s="20"/>
      <c r="O7" s="20"/>
      <c r="P7" s="20"/>
      <c r="Q7" s="20" t="s">
        <v>223</v>
      </c>
      <c r="R7" s="20"/>
      <c r="S7" s="20"/>
      <c r="T7" s="20"/>
      <c r="U7" s="20" t="s">
        <v>224</v>
      </c>
      <c r="V7" s="20"/>
      <c r="W7" s="20"/>
      <c r="X7" s="20"/>
      <c r="Y7" s="20" t="s">
        <v>225</v>
      </c>
      <c r="Z7" s="20"/>
      <c r="AA7" s="22"/>
      <c r="AB7" s="22"/>
      <c r="AC7" s="23"/>
      <c r="AD7" s="23"/>
      <c r="AE7" s="24"/>
      <c r="AF7" s="25" t="s">
        <v>19</v>
      </c>
      <c r="AG7" s="26"/>
      <c r="BA7" s="40" t="s">
        <v>182</v>
      </c>
      <c r="BB7" s="1" t="s">
        <v>183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29"/>
      <c r="J8" s="29"/>
      <c r="K8" s="30"/>
      <c r="L8" s="30"/>
      <c r="M8" s="29"/>
      <c r="N8" s="29"/>
      <c r="O8" s="30"/>
      <c r="P8" s="30"/>
      <c r="Q8" s="29"/>
      <c r="R8" s="29"/>
      <c r="S8" s="30"/>
      <c r="T8" s="30"/>
      <c r="U8" s="29"/>
      <c r="V8" s="29"/>
      <c r="W8" s="30"/>
      <c r="X8" s="30"/>
      <c r="Y8" s="31"/>
      <c r="Z8" s="31"/>
      <c r="AA8" s="31"/>
      <c r="AB8" s="31"/>
      <c r="AC8" s="30"/>
      <c r="AD8" s="30"/>
      <c r="AE8" s="32"/>
      <c r="AF8" s="33" t="s">
        <v>23</v>
      </c>
      <c r="AG8" s="34"/>
      <c r="AK8" s="1" t="str">
        <f aca="false">VLOOKUP($B$67&amp;$B$69&amp;$B$68,$BA$1:$BB$12,2,0)</f>
        <v>JR00304</v>
      </c>
      <c r="AM8" s="1" t="s">
        <v>184</v>
      </c>
      <c r="AN8" s="1" t="s">
        <v>185</v>
      </c>
      <c r="AO8" s="1" t="s">
        <v>186</v>
      </c>
      <c r="AP8" s="1" t="s">
        <v>187</v>
      </c>
      <c r="AQ8" s="1" t="s">
        <v>24</v>
      </c>
      <c r="AR8" s="1" t="s">
        <v>25</v>
      </c>
      <c r="AS8" s="1" t="s">
        <v>28</v>
      </c>
      <c r="AT8" s="1" t="s">
        <v>188</v>
      </c>
      <c r="AU8" s="1" t="s">
        <v>188</v>
      </c>
      <c r="BA8" s="40" t="s">
        <v>189</v>
      </c>
      <c r="BB8" s="1" t="s">
        <v>190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226</v>
      </c>
      <c r="H9" s="35"/>
      <c r="I9" s="35" t="s">
        <v>34</v>
      </c>
      <c r="J9" s="35"/>
      <c r="K9" s="35" t="s">
        <v>35</v>
      </c>
      <c r="L9" s="35"/>
      <c r="M9" s="35" t="s">
        <v>36</v>
      </c>
      <c r="N9" s="35"/>
      <c r="O9" s="35" t="s">
        <v>37</v>
      </c>
      <c r="P9" s="35"/>
      <c r="Q9" s="35" t="s">
        <v>227</v>
      </c>
      <c r="R9" s="35"/>
      <c r="S9" s="35" t="s">
        <v>228</v>
      </c>
      <c r="T9" s="35"/>
      <c r="U9" s="35" t="s">
        <v>229</v>
      </c>
      <c r="V9" s="35"/>
      <c r="W9" s="35" t="s">
        <v>230</v>
      </c>
      <c r="X9" s="35"/>
      <c r="Y9" s="35" t="s">
        <v>231</v>
      </c>
      <c r="Z9" s="35"/>
      <c r="AA9" s="36"/>
      <c r="AB9" s="36"/>
      <c r="AC9" s="35"/>
      <c r="AD9" s="35"/>
      <c r="AE9" s="37" t="s">
        <v>191</v>
      </c>
      <c r="AF9" s="38" t="s">
        <v>109</v>
      </c>
      <c r="AG9" s="39"/>
      <c r="AK9" s="40" t="s">
        <v>192</v>
      </c>
      <c r="AM9" s="1" t="s">
        <v>193</v>
      </c>
      <c r="AN9" s="40" t="s">
        <v>194</v>
      </c>
      <c r="AO9" s="40" t="s">
        <v>195</v>
      </c>
      <c r="AP9" s="40" t="s">
        <v>196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1" t="s">
        <v>197</v>
      </c>
      <c r="BB9" s="1" t="s">
        <v>198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44" t="s">
        <v>57</v>
      </c>
      <c r="D10" s="45" t="s">
        <v>58</v>
      </c>
      <c r="E10" s="46" t="s">
        <v>59</v>
      </c>
      <c r="F10" s="47" t="s">
        <v>60</v>
      </c>
      <c r="G10" s="46" t="s">
        <v>59</v>
      </c>
      <c r="H10" s="47" t="s">
        <v>60</v>
      </c>
      <c r="I10" s="46" t="s">
        <v>59</v>
      </c>
      <c r="J10" s="48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7" t="s">
        <v>60</v>
      </c>
      <c r="S10" s="46" t="s">
        <v>59</v>
      </c>
      <c r="T10" s="47" t="s">
        <v>60</v>
      </c>
      <c r="U10" s="46" t="s">
        <v>59</v>
      </c>
      <c r="V10" s="48" t="s">
        <v>60</v>
      </c>
      <c r="W10" s="46" t="s">
        <v>59</v>
      </c>
      <c r="X10" s="48" t="s">
        <v>60</v>
      </c>
      <c r="Y10" s="46" t="s">
        <v>59</v>
      </c>
      <c r="Z10" s="47" t="s">
        <v>60</v>
      </c>
      <c r="AA10" s="46" t="s">
        <v>59</v>
      </c>
      <c r="AB10" s="48" t="s">
        <v>60</v>
      </c>
      <c r="AC10" s="46" t="s">
        <v>59</v>
      </c>
      <c r="AD10" s="48" t="s">
        <v>60</v>
      </c>
      <c r="AE10" s="49" t="s">
        <v>61</v>
      </c>
      <c r="AF10" s="50" t="s">
        <v>62</v>
      </c>
      <c r="AG10" s="51" t="s">
        <v>60</v>
      </c>
      <c r="AK10" s="40" t="s">
        <v>60</v>
      </c>
      <c r="AM10" s="40" t="s">
        <v>60</v>
      </c>
      <c r="AN10" s="40" t="s">
        <v>60</v>
      </c>
      <c r="AO10" s="40" t="s">
        <v>60</v>
      </c>
      <c r="AP10" s="40" t="s">
        <v>60</v>
      </c>
      <c r="AQ10" s="40" t="s">
        <v>60</v>
      </c>
      <c r="AR10" s="40" t="s">
        <v>60</v>
      </c>
      <c r="AS10" s="40" t="s">
        <v>60</v>
      </c>
      <c r="AT10" s="40" t="s">
        <v>60</v>
      </c>
      <c r="AU10" s="40" t="s">
        <v>60</v>
      </c>
      <c r="BA10" s="1" t="s">
        <v>199</v>
      </c>
      <c r="BB10" s="1" t="s">
        <v>200</v>
      </c>
    </row>
    <row r="11" customFormat="false" ht="39.75" hidden="false" customHeight="true" outlineLevel="0" collapsed="false">
      <c r="A11" s="88" t="s">
        <v>119</v>
      </c>
      <c r="B11" s="89" t="n">
        <v>1548</v>
      </c>
      <c r="C11" s="90" t="n">
        <v>993</v>
      </c>
      <c r="D11" s="91" t="n">
        <v>1</v>
      </c>
      <c r="E11" s="134" t="n">
        <f aca="false">IF($A11="","",$B11)</f>
        <v>1548</v>
      </c>
      <c r="F11" s="90" t="n">
        <f aca="false">IF($A11="","",$L$54*$D11)</f>
        <v>2</v>
      </c>
      <c r="G11" s="134" t="n">
        <f aca="false">IF($A11="","",$C11-$E$55-$F$55)</f>
        <v>943</v>
      </c>
      <c r="H11" s="90" t="n">
        <f aca="false">IF($A11="","",$L$55*$D11)</f>
        <v>2</v>
      </c>
      <c r="I11" s="134" t="n">
        <f aca="false">IF($A11="","",$B11-$E$56-$F$56)</f>
        <v>1511</v>
      </c>
      <c r="J11" s="90" t="n">
        <f aca="false">IF($A11="","",$L$56*$D11)</f>
        <v>2</v>
      </c>
      <c r="K11" s="134" t="n">
        <f aca="false">IF($A11="","",(($C11-$E$57-$F$57)))</f>
        <v>956</v>
      </c>
      <c r="L11" s="90" t="n">
        <f aca="false">IF($A11="","",$L$57*$D11)</f>
        <v>2</v>
      </c>
      <c r="M11" s="134" t="n">
        <f aca="false">IF($A11="","",$I11-$E$58-$F$58)</f>
        <v>1351</v>
      </c>
      <c r="N11" s="90" t="n">
        <f aca="false">IF($A11="","",$L$58*$D11)</f>
        <v>2</v>
      </c>
      <c r="O11" s="134" t="n">
        <f aca="false">IF($A11="","",$K11-$E$59-$F$59)</f>
        <v>836</v>
      </c>
      <c r="P11" s="90" t="n">
        <f aca="false">IF($A11="","",$L$59*$D11)</f>
        <v>2</v>
      </c>
      <c r="Q11" s="134" t="n">
        <f aca="false">IF($A11="","",$I11)</f>
        <v>1511</v>
      </c>
      <c r="R11" s="90" t="n">
        <f aca="false">IF($A11="","",$L$60*$D11)</f>
        <v>2</v>
      </c>
      <c r="S11" s="134" t="n">
        <f aca="false">IF($A11="","",$K11)</f>
        <v>956</v>
      </c>
      <c r="T11" s="90" t="n">
        <f aca="false">IF($A11="","",$L$61*$D11)</f>
        <v>2</v>
      </c>
      <c r="U11" s="134" t="n">
        <f aca="false">IF($A11="","",$Q11-$E$62-$F$62)</f>
        <v>1351</v>
      </c>
      <c r="V11" s="90" t="n">
        <f aca="false">IF($A11="","",$L$62*$D11)</f>
        <v>2</v>
      </c>
      <c r="W11" s="134" t="n">
        <f aca="false">IF($A11="","",$S11-$E$63-$F$63)</f>
        <v>836</v>
      </c>
      <c r="X11" s="90" t="n">
        <f aca="false">IF($A11="","",$L$63*$D11)</f>
        <v>2</v>
      </c>
      <c r="Y11" s="134" t="n">
        <f aca="false">IF($A11="","",$C11)</f>
        <v>993</v>
      </c>
      <c r="Z11" s="90" t="n">
        <f aca="false">IF($A11="","",$L$64*$D11)</f>
        <v>1</v>
      </c>
      <c r="AA11" s="134"/>
      <c r="AB11" s="90"/>
      <c r="AC11" s="134"/>
      <c r="AD11" s="90"/>
      <c r="AE11" s="135" t="n">
        <f aca="false">IF($A11="","",$I11-67-67)</f>
        <v>1377</v>
      </c>
      <c r="AF11" s="136" t="n">
        <f aca="false">IF($A11="","",$K11-67-67)</f>
        <v>822</v>
      </c>
      <c r="AG11" s="137" t="n">
        <f aca="false">IF($A11="","",1*$D11)</f>
        <v>1</v>
      </c>
      <c r="AK11" s="40" t="n">
        <f aca="false">IF($A11="","",1*$D11)</f>
        <v>1</v>
      </c>
      <c r="AM11" s="40" t="n">
        <f aca="false">IF($A11="","",1*$D11)</f>
        <v>1</v>
      </c>
      <c r="AN11" s="40" t="n">
        <f aca="false">IF($A11="","",2*1*$D11)</f>
        <v>2</v>
      </c>
      <c r="AO11" s="40" t="n">
        <f aca="false">IF($A11="","",(2+IF($B11&gt;1800,ROUNDUP(($B11-1800)/500,0),0))*1*$D11)</f>
        <v>2</v>
      </c>
      <c r="AP11" s="40" t="n">
        <f aca="false">IF($A11="","",(2+IF($B11&gt;1800,ROUNDUP(($B11-1800)/500,0),0))*1*$D11)</f>
        <v>2</v>
      </c>
      <c r="AQ11" s="40" t="n">
        <f aca="false">IF($A11="","",4*1*$D11)</f>
        <v>4</v>
      </c>
      <c r="AR11" s="40" t="n">
        <f aca="false">IF($A11="","",8*1*$D11)</f>
        <v>8</v>
      </c>
      <c r="AS11" s="40" t="n">
        <f aca="false">IF($A11="","",8*$D11)</f>
        <v>8</v>
      </c>
      <c r="AT11" s="40" t="n">
        <f aca="false">IF($A11="","",ROUND((2*($C11+$B11))*1*$D11/1000,1))</f>
        <v>5.1</v>
      </c>
      <c r="AU11" s="40" t="n">
        <f aca="false">IF($A11="","",ROUND((2*($C11+$B11))*$D11/1000,1))</f>
        <v>5.1</v>
      </c>
      <c r="BA11" s="1" t="s">
        <v>201</v>
      </c>
      <c r="BB11" s="1" t="s">
        <v>202</v>
      </c>
    </row>
    <row r="12" customFormat="false" ht="39.75" hidden="false" customHeight="true" outlineLevel="0" collapsed="false">
      <c r="A12" s="138" t="s">
        <v>120</v>
      </c>
      <c r="B12" s="89" t="n">
        <v>1547</v>
      </c>
      <c r="C12" s="90" t="n">
        <v>988</v>
      </c>
      <c r="D12" s="91" t="n">
        <v>1</v>
      </c>
      <c r="E12" s="139" t="n">
        <f aca="false">IF($A12="","",$B12)</f>
        <v>1547</v>
      </c>
      <c r="F12" s="140" t="n">
        <f aca="false">IF($A12="","",$L$54*$D12)</f>
        <v>2</v>
      </c>
      <c r="G12" s="139" t="n">
        <f aca="false">IF($A12="","",$C12-$E$55-$F$55)</f>
        <v>938</v>
      </c>
      <c r="H12" s="140" t="n">
        <f aca="false">IF($A12="","",$L$55*$D12)</f>
        <v>2</v>
      </c>
      <c r="I12" s="139" t="n">
        <f aca="false">IF($A12="","",$B12-$E$56-$F$56)</f>
        <v>1510</v>
      </c>
      <c r="J12" s="140" t="n">
        <f aca="false">IF($A12="","",$L$56*$D12)</f>
        <v>2</v>
      </c>
      <c r="K12" s="139" t="n">
        <f aca="false">IF($A12="","",(($C12-$E$57-$F$57)))</f>
        <v>951</v>
      </c>
      <c r="L12" s="140" t="n">
        <f aca="false">IF($A12="","",$L$57*$D12)</f>
        <v>2</v>
      </c>
      <c r="M12" s="139" t="n">
        <f aca="false">IF($A12="","",$I12-$E$58-$F$58)</f>
        <v>1350</v>
      </c>
      <c r="N12" s="140" t="n">
        <f aca="false">IF($A12="","",$L$58*$D12)</f>
        <v>2</v>
      </c>
      <c r="O12" s="139" t="n">
        <f aca="false">IF($A12="","",$K12-$E$59-$F$59)</f>
        <v>831</v>
      </c>
      <c r="P12" s="140" t="n">
        <f aca="false">IF($A12="","",$L$59*$D12)</f>
        <v>2</v>
      </c>
      <c r="Q12" s="139" t="n">
        <f aca="false">IF($A12="","",$I12)</f>
        <v>1510</v>
      </c>
      <c r="R12" s="140" t="n">
        <f aca="false">IF($A12="","",$L$60*$D12)</f>
        <v>2</v>
      </c>
      <c r="S12" s="139" t="n">
        <f aca="false">IF($A12="","",$K12)</f>
        <v>951</v>
      </c>
      <c r="T12" s="140" t="n">
        <f aca="false">IF($A12="","",$L$61*$D12)</f>
        <v>2</v>
      </c>
      <c r="U12" s="139" t="n">
        <f aca="false">IF($A12="","",$Q12-$E$62-$F$62)</f>
        <v>1350</v>
      </c>
      <c r="V12" s="140" t="n">
        <f aca="false">IF($A12="","",$L$62*$D12)</f>
        <v>2</v>
      </c>
      <c r="W12" s="139" t="n">
        <f aca="false">IF($A12="","",$S12-$E$63-$F$63)</f>
        <v>831</v>
      </c>
      <c r="X12" s="140" t="n">
        <f aca="false">IF($A12="","",$L$63*$D12)</f>
        <v>2</v>
      </c>
      <c r="Y12" s="139" t="n">
        <f aca="false">IF($A12="","",$C12)</f>
        <v>988</v>
      </c>
      <c r="Z12" s="140" t="n">
        <f aca="false">IF($A12="","",$L$64*$D12)</f>
        <v>1</v>
      </c>
      <c r="AA12" s="139"/>
      <c r="AB12" s="140"/>
      <c r="AC12" s="139"/>
      <c r="AD12" s="140"/>
      <c r="AE12" s="135" t="n">
        <f aca="false">IF($A12="","",$I12-67-67)</f>
        <v>1376</v>
      </c>
      <c r="AF12" s="136" t="n">
        <f aca="false">IF($A12="","",$K12-67-67)</f>
        <v>817</v>
      </c>
      <c r="AG12" s="137" t="n">
        <f aca="false">IF($A12="","",1*$D12)</f>
        <v>1</v>
      </c>
      <c r="AK12" s="40" t="n">
        <f aca="false">IF($A12="","",1*$D12)</f>
        <v>1</v>
      </c>
      <c r="AM12" s="40" t="n">
        <f aca="false">IF($A12="","",1*$D12)</f>
        <v>1</v>
      </c>
      <c r="AN12" s="40" t="n">
        <f aca="false">IF($A12="","",2*1*$D12)</f>
        <v>2</v>
      </c>
      <c r="AO12" s="40" t="n">
        <f aca="false">IF($A12="","",(2+IF($B12&gt;1800,ROUNDUP(($B12-1800)/500,0),0))*1*$D12)</f>
        <v>2</v>
      </c>
      <c r="AP12" s="40" t="n">
        <f aca="false">IF($A12="","",(2+IF($B12&gt;1800,ROUNDUP(($B12-1800)/500,0),0))*1*$D12)</f>
        <v>2</v>
      </c>
      <c r="AQ12" s="40" t="n">
        <f aca="false">IF($A12="","",4*1*$D12)</f>
        <v>4</v>
      </c>
      <c r="AR12" s="40" t="n">
        <f aca="false">IF($A12="","",8*1*$D12)</f>
        <v>8</v>
      </c>
      <c r="AS12" s="40" t="n">
        <f aca="false">IF($A12="","",8*$D12)</f>
        <v>8</v>
      </c>
      <c r="AT12" s="40" t="n">
        <f aca="false">IF($A12="","",ROUND((2*($C12+$B12))*1*$D12/1000,1))</f>
        <v>5.1</v>
      </c>
      <c r="AU12" s="40" t="n">
        <f aca="false">IF($A12="","",ROUND((2*($C12+$B12))*$D12/1000,1))</f>
        <v>5.1</v>
      </c>
      <c r="BA12" s="1" t="s">
        <v>203</v>
      </c>
      <c r="BB12" s="1" t="s">
        <v>204</v>
      </c>
    </row>
    <row r="13" customFormat="false" ht="39.75" hidden="false" customHeight="true" outlineLevel="0" collapsed="false">
      <c r="A13" s="88"/>
      <c r="B13" s="89"/>
      <c r="C13" s="90"/>
      <c r="D13" s="91"/>
      <c r="E13" s="134" t="str">
        <f aca="false">IF($A13="","",$B13)</f>
        <v/>
      </c>
      <c r="F13" s="90" t="str">
        <f aca="false">IF($A13="","",$L$54*$D13)</f>
        <v/>
      </c>
      <c r="G13" s="134" t="str">
        <f aca="false">IF($A13="","",$C13-$E$55-$F$55)</f>
        <v/>
      </c>
      <c r="H13" s="90" t="str">
        <f aca="false">IF($A13="","",$L$55*$D13)</f>
        <v/>
      </c>
      <c r="I13" s="134" t="str">
        <f aca="false">IF($A13="","",$B13-$E$56-$F$56)</f>
        <v/>
      </c>
      <c r="J13" s="90" t="str">
        <f aca="false">IF($A13="","",$L$56*$D13)</f>
        <v/>
      </c>
      <c r="K13" s="134" t="str">
        <f aca="false">IF($A13="","",(($C13-$E$57-$F$57)))</f>
        <v/>
      </c>
      <c r="L13" s="90" t="str">
        <f aca="false">IF($A13="","",$L$57*$D13)</f>
        <v/>
      </c>
      <c r="M13" s="134" t="str">
        <f aca="false">IF($A13="","",$I13-$E$58-$F$58)</f>
        <v/>
      </c>
      <c r="N13" s="90" t="str">
        <f aca="false">IF($A13="","",$L$58*$D13)</f>
        <v/>
      </c>
      <c r="O13" s="134" t="str">
        <f aca="false">IF($A13="","",$K13-$E$59-$F$59)</f>
        <v/>
      </c>
      <c r="P13" s="90" t="str">
        <f aca="false">IF($A13="","",$L$59*$D13)</f>
        <v/>
      </c>
      <c r="Q13" s="134" t="str">
        <f aca="false">IF($A13="","",$I13)</f>
        <v/>
      </c>
      <c r="R13" s="90" t="str">
        <f aca="false">IF($A13="","",$L$60*$D13)</f>
        <v/>
      </c>
      <c r="S13" s="134" t="str">
        <f aca="false">IF($A13="","",$K13)</f>
        <v/>
      </c>
      <c r="T13" s="90" t="str">
        <f aca="false">IF($A13="","",$L$61*$D13)</f>
        <v/>
      </c>
      <c r="U13" s="134" t="str">
        <f aca="false">IF($A13="","",$Q13-$E$62-$F$62)</f>
        <v/>
      </c>
      <c r="V13" s="90" t="str">
        <f aca="false">IF($A13="","",$L$62*$D13)</f>
        <v/>
      </c>
      <c r="W13" s="134" t="str">
        <f aca="false">IF($A13="","",$S13-$E$63-$F$63)</f>
        <v/>
      </c>
      <c r="X13" s="90" t="str">
        <f aca="false">IF($A13="","",$L$63*$D13)</f>
        <v/>
      </c>
      <c r="Y13" s="134" t="str">
        <f aca="false">IF($A13="","",$C13)</f>
        <v/>
      </c>
      <c r="Z13" s="90" t="str">
        <f aca="false">IF($A13="","",$L$64*$D13)</f>
        <v/>
      </c>
      <c r="AA13" s="134"/>
      <c r="AB13" s="90"/>
      <c r="AC13" s="134"/>
      <c r="AD13" s="90"/>
      <c r="AE13" s="135" t="str">
        <f aca="false">IF($A13="","",$I13-67-67)</f>
        <v/>
      </c>
      <c r="AF13" s="136" t="str">
        <f aca="false">IF($A13="","",$K13-67-67)</f>
        <v/>
      </c>
      <c r="AG13" s="137" t="str">
        <f aca="false">IF($A13="","",1*$D13)</f>
        <v/>
      </c>
      <c r="AK13" s="1" t="str">
        <f aca="false">IF($A13="","",1*$D13)</f>
        <v/>
      </c>
      <c r="AM13" s="1" t="str">
        <f aca="false">IF($A13="","",1*$D13)</f>
        <v/>
      </c>
      <c r="AN13" s="1" t="str">
        <f aca="false">IF($A13="","",2*1*$D13)</f>
        <v/>
      </c>
      <c r="AO13" s="1" t="str">
        <f aca="false">IF($A13="","",(2+IF($B13&gt;1800,ROUNDUP(($B13-1800)/500,0),0))*1*$D13)</f>
        <v/>
      </c>
      <c r="AP13" s="1" t="str">
        <f aca="false">IF($A13="","",(2+IF($B13&gt;1800,ROUNDUP(($B13-1800)/500,0),0))*1*$D13)</f>
        <v/>
      </c>
      <c r="AQ13" s="1" t="str">
        <f aca="false">IF($A13="","",4*1*$D13)</f>
        <v/>
      </c>
      <c r="AR13" s="1" t="str">
        <f aca="false">IF($A13="","",8*1*$D13)</f>
        <v/>
      </c>
      <c r="AS13" s="1" t="str">
        <f aca="false">IF($A13="","",8*$D13)</f>
        <v/>
      </c>
      <c r="AT13" s="1" t="str">
        <f aca="false">IF($A13="","",ROUND((2*($C13+$B13))*1*$D13/1000,1))</f>
        <v/>
      </c>
      <c r="AU13" s="1" t="str">
        <f aca="false">IF($A13="","",ROUND((2*($C13+$B13))*$D13/1000,1))</f>
        <v/>
      </c>
    </row>
    <row r="14" customFormat="false" ht="39.75" hidden="false" customHeight="true" outlineLevel="0" collapsed="false">
      <c r="A14" s="88"/>
      <c r="B14" s="89"/>
      <c r="C14" s="90"/>
      <c r="D14" s="91"/>
      <c r="E14" s="139" t="str">
        <f aca="false">IF($A14="","",$B14)</f>
        <v/>
      </c>
      <c r="F14" s="140" t="str">
        <f aca="false">IF($A14="","",$L$54*$D14)</f>
        <v/>
      </c>
      <c r="G14" s="139" t="str">
        <f aca="false">IF($A14="","",$C14-$E$55-$F$55)</f>
        <v/>
      </c>
      <c r="H14" s="140" t="str">
        <f aca="false">IF($A14="","",$L$55*$D14)</f>
        <v/>
      </c>
      <c r="I14" s="139" t="str">
        <f aca="false">IF($A14="","",$B14-$E$56-$F$56)</f>
        <v/>
      </c>
      <c r="J14" s="140" t="str">
        <f aca="false">IF($A14="","",$L$56*$D14)</f>
        <v/>
      </c>
      <c r="K14" s="139" t="str">
        <f aca="false">IF($A14="","",(($C14-$E$57-$F$57)))</f>
        <v/>
      </c>
      <c r="L14" s="140" t="str">
        <f aca="false">IF($A14="","",$L$57*$D14)</f>
        <v/>
      </c>
      <c r="M14" s="139" t="str">
        <f aca="false">IF($A14="","",$I14-$E$58-$F$58)</f>
        <v/>
      </c>
      <c r="N14" s="140" t="str">
        <f aca="false">IF($A14="","",$L$58*$D14)</f>
        <v/>
      </c>
      <c r="O14" s="139" t="str">
        <f aca="false">IF($A14="","",$K14-$E$59-$F$59)</f>
        <v/>
      </c>
      <c r="P14" s="140" t="str">
        <f aca="false">IF($A14="","",$L$59*$D14)</f>
        <v/>
      </c>
      <c r="Q14" s="139" t="str">
        <f aca="false">IF($A14="","",$I14)</f>
        <v/>
      </c>
      <c r="R14" s="140" t="str">
        <f aca="false">IF($A14="","",$L$60*$D14)</f>
        <v/>
      </c>
      <c r="S14" s="139" t="str">
        <f aca="false">IF($A14="","",$K14)</f>
        <v/>
      </c>
      <c r="T14" s="140" t="str">
        <f aca="false">IF($A14="","",$L$61*$D14)</f>
        <v/>
      </c>
      <c r="U14" s="139" t="str">
        <f aca="false">IF($A14="","",$Q14-$E$62-$F$62)</f>
        <v/>
      </c>
      <c r="V14" s="140" t="str">
        <f aca="false">IF($A14="","",$L$62*$D14)</f>
        <v/>
      </c>
      <c r="W14" s="139" t="str">
        <f aca="false">IF($A14="","",$S14-$E$63-$F$63)</f>
        <v/>
      </c>
      <c r="X14" s="140" t="str">
        <f aca="false">IF($A14="","",$L$63*$D14)</f>
        <v/>
      </c>
      <c r="Y14" s="139" t="str">
        <f aca="false">IF($A14="","",$C14)</f>
        <v/>
      </c>
      <c r="Z14" s="140" t="str">
        <f aca="false">IF($A14="","",$L$64*$D14)</f>
        <v/>
      </c>
      <c r="AA14" s="139"/>
      <c r="AB14" s="140"/>
      <c r="AC14" s="139"/>
      <c r="AD14" s="140"/>
      <c r="AE14" s="135" t="str">
        <f aca="false">IF($A14="","",$I14-67-67)</f>
        <v/>
      </c>
      <c r="AF14" s="136" t="str">
        <f aca="false">IF($A14="","",$K14-67-67)</f>
        <v/>
      </c>
      <c r="AG14" s="137" t="str">
        <f aca="false">IF($A14="","",1*$D14)</f>
        <v/>
      </c>
      <c r="AK14" s="1" t="str">
        <f aca="false">IF($A14="","",1*$D14)</f>
        <v/>
      </c>
      <c r="AM14" s="1" t="str">
        <f aca="false">IF($A14="","",1*$D14)</f>
        <v/>
      </c>
      <c r="AN14" s="1" t="str">
        <f aca="false">IF($A14="","",2*1*$D14)</f>
        <v/>
      </c>
      <c r="AO14" s="1" t="str">
        <f aca="false">IF($A14="","",(2+IF($B14&gt;1800,ROUNDUP(($B14-1800)/500,0),0))*1*$D14)</f>
        <v/>
      </c>
      <c r="AP14" s="1" t="str">
        <f aca="false">IF($A14="","",(2+IF($B14&gt;1800,ROUNDUP(($B14-1800)/500,0),0))*1*$D14)</f>
        <v/>
      </c>
      <c r="AQ14" s="1" t="str">
        <f aca="false">IF($A14="","",4*1*$D14)</f>
        <v/>
      </c>
      <c r="AR14" s="1" t="str">
        <f aca="false">IF($A14="","",8*1*$D14)</f>
        <v/>
      </c>
      <c r="AS14" s="1" t="str">
        <f aca="false">IF($A14="","",8*$D14)</f>
        <v/>
      </c>
      <c r="AT14" s="1" t="str">
        <f aca="false">IF($A14="","",ROUND((2*($C14+$B14))*1*$D14/1000,1))</f>
        <v/>
      </c>
      <c r="AU14" s="1" t="str">
        <f aca="false">IF($A14="","",ROUND((2*($C14+$B14))*$D14/1000,1))</f>
        <v/>
      </c>
    </row>
    <row r="15" customFormat="false" ht="39.75" hidden="false" customHeight="true" outlineLevel="0" collapsed="false">
      <c r="A15" s="88"/>
      <c r="B15" s="89"/>
      <c r="C15" s="90"/>
      <c r="D15" s="91"/>
      <c r="E15" s="134" t="str">
        <f aca="false">IF($A15="","",$B15)</f>
        <v/>
      </c>
      <c r="F15" s="90" t="str">
        <f aca="false">IF($A15="","",$L$54*$D15)</f>
        <v/>
      </c>
      <c r="G15" s="134" t="str">
        <f aca="false">IF($A15="","",$C15-$E$55-$F$55)</f>
        <v/>
      </c>
      <c r="H15" s="90" t="str">
        <f aca="false">IF($A15="","",$L$55*$D15)</f>
        <v/>
      </c>
      <c r="I15" s="134" t="str">
        <f aca="false">IF($A15="","",$B15-$E$56-$F$56)</f>
        <v/>
      </c>
      <c r="J15" s="90" t="str">
        <f aca="false">IF($A15="","",$L$56*$D15)</f>
        <v/>
      </c>
      <c r="K15" s="134" t="str">
        <f aca="false">IF($A15="","",(($C15-$E$57-$F$57)))</f>
        <v/>
      </c>
      <c r="L15" s="90" t="str">
        <f aca="false">IF($A15="","",$L$57*$D15)</f>
        <v/>
      </c>
      <c r="M15" s="134" t="str">
        <f aca="false">IF($A15="","",$I15-$E$58-$F$58)</f>
        <v/>
      </c>
      <c r="N15" s="90" t="str">
        <f aca="false">IF($A15="","",$L$58*$D15)</f>
        <v/>
      </c>
      <c r="O15" s="134" t="str">
        <f aca="false">IF($A15="","",$K15-$E$59-$F$59)</f>
        <v/>
      </c>
      <c r="P15" s="90" t="str">
        <f aca="false">IF($A15="","",$L$59*$D15)</f>
        <v/>
      </c>
      <c r="Q15" s="134" t="str">
        <f aca="false">IF($A15="","",$I15)</f>
        <v/>
      </c>
      <c r="R15" s="90" t="str">
        <f aca="false">IF($A15="","",$L$60*$D15)</f>
        <v/>
      </c>
      <c r="S15" s="134" t="str">
        <f aca="false">IF($A15="","",$K15)</f>
        <v/>
      </c>
      <c r="T15" s="90" t="str">
        <f aca="false">IF($A15="","",$L$61*$D15)</f>
        <v/>
      </c>
      <c r="U15" s="134" t="str">
        <f aca="false">IF($A15="","",$Q15-$E$62-$F$62)</f>
        <v/>
      </c>
      <c r="V15" s="90" t="str">
        <f aca="false">IF($A15="","",$L$62*$D15)</f>
        <v/>
      </c>
      <c r="W15" s="134" t="str">
        <f aca="false">IF($A15="","",$S15-$E$63-$F$63)</f>
        <v/>
      </c>
      <c r="X15" s="90" t="str">
        <f aca="false">IF($A15="","",$L$63*$D15)</f>
        <v/>
      </c>
      <c r="Y15" s="134" t="str">
        <f aca="false">IF($A15="","",$C15)</f>
        <v/>
      </c>
      <c r="Z15" s="90" t="str">
        <f aca="false">IF($A15="","",$L$64*$D15)</f>
        <v/>
      </c>
      <c r="AA15" s="134"/>
      <c r="AB15" s="90"/>
      <c r="AC15" s="134"/>
      <c r="AD15" s="90"/>
      <c r="AE15" s="135" t="str">
        <f aca="false">IF($A15="","",$I15-67-67)</f>
        <v/>
      </c>
      <c r="AF15" s="136" t="str">
        <f aca="false">IF($A15="","",$K15-67-67)</f>
        <v/>
      </c>
      <c r="AG15" s="137" t="str">
        <f aca="false">IF($A15="","",1*$D15)</f>
        <v/>
      </c>
      <c r="AK15" s="1" t="str">
        <f aca="false">IF($A15="","",1*$D15)</f>
        <v/>
      </c>
      <c r="AM15" s="1" t="str">
        <f aca="false">IF($A15="","",1*$D15)</f>
        <v/>
      </c>
      <c r="AN15" s="1" t="str">
        <f aca="false">IF($A15="","",2*1*$D15)</f>
        <v/>
      </c>
      <c r="AO15" s="1" t="str">
        <f aca="false">IF($A15="","",(2+IF($B15&gt;1800,ROUNDUP(($B15-1800)/500,0),0))*1*$D15)</f>
        <v/>
      </c>
      <c r="AP15" s="1" t="str">
        <f aca="false">IF($A15="","",(2+IF($B15&gt;1800,ROUNDUP(($B15-1800)/500,0),0))*1*$D15)</f>
        <v/>
      </c>
      <c r="AQ15" s="1" t="str">
        <f aca="false">IF($A15="","",4*1*$D15)</f>
        <v/>
      </c>
      <c r="AR15" s="1" t="str">
        <f aca="false">IF($A15="","",8*1*$D15)</f>
        <v/>
      </c>
      <c r="AS15" s="1" t="str">
        <f aca="false">IF($A15="","",8*$D15)</f>
        <v/>
      </c>
      <c r="AT15" s="1" t="str">
        <f aca="false">IF($A15="","",ROUND((2*($C15+$B15))*1*$D15/1000,1))</f>
        <v/>
      </c>
      <c r="AU15" s="1" t="str">
        <f aca="false">IF($A15="","",ROUND((2*($C15+$B15))*$D15/1000,1))</f>
        <v/>
      </c>
    </row>
    <row r="16" customFormat="false" ht="39.75" hidden="false" customHeight="true" outlineLevel="0" collapsed="false">
      <c r="A16" s="88"/>
      <c r="B16" s="89"/>
      <c r="C16" s="90"/>
      <c r="D16" s="91"/>
      <c r="E16" s="139" t="str">
        <f aca="false">IF($A16="","",$B16)</f>
        <v/>
      </c>
      <c r="F16" s="140" t="str">
        <f aca="false">IF($A16="","",$L$54*$D16)</f>
        <v/>
      </c>
      <c r="G16" s="139" t="str">
        <f aca="false">IF($A16="","",$C16-$E$55-$F$55)</f>
        <v/>
      </c>
      <c r="H16" s="140" t="str">
        <f aca="false">IF($A16="","",$L$55*$D16)</f>
        <v/>
      </c>
      <c r="I16" s="139" t="str">
        <f aca="false">IF($A16="","",$B16-$E$56-$F$56)</f>
        <v/>
      </c>
      <c r="J16" s="140" t="str">
        <f aca="false">IF($A16="","",$L$56*$D16)</f>
        <v/>
      </c>
      <c r="K16" s="139" t="str">
        <f aca="false">IF($A16="","",(($C16-$E$57-$F$57)))</f>
        <v/>
      </c>
      <c r="L16" s="140" t="str">
        <f aca="false">IF($A16="","",$L$57*$D16)</f>
        <v/>
      </c>
      <c r="M16" s="139" t="str">
        <f aca="false">IF($A16="","",$I16-$E$58-$F$58)</f>
        <v/>
      </c>
      <c r="N16" s="140" t="str">
        <f aca="false">IF($A16="","",$L$58*$D16)</f>
        <v/>
      </c>
      <c r="O16" s="139" t="str">
        <f aca="false">IF($A16="","",$K16-$E$59-$F$59)</f>
        <v/>
      </c>
      <c r="P16" s="140" t="str">
        <f aca="false">IF($A16="","",$L$59*$D16)</f>
        <v/>
      </c>
      <c r="Q16" s="139" t="str">
        <f aca="false">IF($A16="","",$I16)</f>
        <v/>
      </c>
      <c r="R16" s="140" t="str">
        <f aca="false">IF($A16="","",$L$60*$D16)</f>
        <v/>
      </c>
      <c r="S16" s="139" t="str">
        <f aca="false">IF($A16="","",$K16)</f>
        <v/>
      </c>
      <c r="T16" s="140" t="str">
        <f aca="false">IF($A16="","",$L$61*$D16)</f>
        <v/>
      </c>
      <c r="U16" s="139" t="str">
        <f aca="false">IF($A16="","",$Q16-$E$62-$F$62)</f>
        <v/>
      </c>
      <c r="V16" s="140" t="str">
        <f aca="false">IF($A16="","",$L$62*$D16)</f>
        <v/>
      </c>
      <c r="W16" s="139" t="str">
        <f aca="false">IF($A16="","",$S16-$E$63-$F$63)</f>
        <v/>
      </c>
      <c r="X16" s="140" t="str">
        <f aca="false">IF($A16="","",$L$63*$D16)</f>
        <v/>
      </c>
      <c r="Y16" s="139" t="str">
        <f aca="false">IF($A16="","",$C16)</f>
        <v/>
      </c>
      <c r="Z16" s="140" t="str">
        <f aca="false">IF($A16="","",$L$64*$D16)</f>
        <v/>
      </c>
      <c r="AA16" s="139"/>
      <c r="AB16" s="140"/>
      <c r="AC16" s="139"/>
      <c r="AD16" s="140"/>
      <c r="AE16" s="135" t="str">
        <f aca="false">IF($A16="","",$I16-67-67)</f>
        <v/>
      </c>
      <c r="AF16" s="136" t="str">
        <f aca="false">IF($A16="","",$K16-67-67)</f>
        <v/>
      </c>
      <c r="AG16" s="137" t="str">
        <f aca="false">IF($A16="","",1*$D16)</f>
        <v/>
      </c>
      <c r="AK16" s="1" t="str">
        <f aca="false">IF($A16="","",1*$D16)</f>
        <v/>
      </c>
      <c r="AM16" s="1" t="str">
        <f aca="false">IF($A16="","",1*$D16)</f>
        <v/>
      </c>
      <c r="AN16" s="1" t="str">
        <f aca="false">IF($A16="","",2*1*$D16)</f>
        <v/>
      </c>
      <c r="AO16" s="1" t="str">
        <f aca="false">IF($A16="","",(2+IF($B16&gt;1800,ROUNDUP(($B16-1800)/500,0),0))*1*$D16)</f>
        <v/>
      </c>
      <c r="AP16" s="1" t="str">
        <f aca="false">IF($A16="","",(2+IF($B16&gt;1800,ROUNDUP(($B16-1800)/500,0),0))*1*$D16)</f>
        <v/>
      </c>
      <c r="AQ16" s="1" t="str">
        <f aca="false">IF($A16="","",4*1*$D16)</f>
        <v/>
      </c>
      <c r="AR16" s="1" t="str">
        <f aca="false">IF($A16="","",8*1*$D16)</f>
        <v/>
      </c>
      <c r="AS16" s="1" t="str">
        <f aca="false">IF($A16="","",8*$D16)</f>
        <v/>
      </c>
      <c r="AT16" s="1" t="str">
        <f aca="false">IF($A16="","",ROUND((2*($C16+$B16))*1*$D16/1000,1))</f>
        <v/>
      </c>
      <c r="AU16" s="1" t="str">
        <f aca="false">IF($A16="","",ROUND((2*($C16+$B16))*$D16/1000,1))</f>
        <v/>
      </c>
    </row>
    <row r="17" customFormat="false" ht="39.75" hidden="false" customHeight="true" outlineLevel="0" collapsed="false">
      <c r="A17" s="88"/>
      <c r="B17" s="89"/>
      <c r="C17" s="90"/>
      <c r="D17" s="91"/>
      <c r="E17" s="134" t="str">
        <f aca="false">IF($A17="","",$B17)</f>
        <v/>
      </c>
      <c r="F17" s="90" t="str">
        <f aca="false">IF($A17="","",$L$54*$D17)</f>
        <v/>
      </c>
      <c r="G17" s="134" t="str">
        <f aca="false">IF($A17="","",$C17-$E$55-$F$55)</f>
        <v/>
      </c>
      <c r="H17" s="90" t="str">
        <f aca="false">IF($A17="","",$L$55*$D17)</f>
        <v/>
      </c>
      <c r="I17" s="134" t="str">
        <f aca="false">IF($A17="","",$B17-$E$56-$F$56)</f>
        <v/>
      </c>
      <c r="J17" s="90" t="str">
        <f aca="false">IF($A17="","",$L$56*$D17)</f>
        <v/>
      </c>
      <c r="K17" s="134" t="str">
        <f aca="false">IF($A17="","",(($C17-$E$57-$F$57)))</f>
        <v/>
      </c>
      <c r="L17" s="90" t="str">
        <f aca="false">IF($A17="","",$L$57*$D17)</f>
        <v/>
      </c>
      <c r="M17" s="134" t="str">
        <f aca="false">IF($A17="","",$I17-$E$58-$F$58)</f>
        <v/>
      </c>
      <c r="N17" s="90" t="str">
        <f aca="false">IF($A17="","",$L$58*$D17)</f>
        <v/>
      </c>
      <c r="O17" s="134" t="str">
        <f aca="false">IF($A17="","",$K17-$E$59-$F$59)</f>
        <v/>
      </c>
      <c r="P17" s="90" t="str">
        <f aca="false">IF($A17="","",$L$59*$D17)</f>
        <v/>
      </c>
      <c r="Q17" s="134" t="str">
        <f aca="false">IF($A17="","",$I17)</f>
        <v/>
      </c>
      <c r="R17" s="90" t="str">
        <f aca="false">IF($A17="","",$L$60*$D17)</f>
        <v/>
      </c>
      <c r="S17" s="134" t="str">
        <f aca="false">IF($A17="","",$K17)</f>
        <v/>
      </c>
      <c r="T17" s="90" t="str">
        <f aca="false">IF($A17="","",$L$61*$D17)</f>
        <v/>
      </c>
      <c r="U17" s="134" t="str">
        <f aca="false">IF($A17="","",$Q17-$E$62-$F$62)</f>
        <v/>
      </c>
      <c r="V17" s="90" t="str">
        <f aca="false">IF($A17="","",$L$62*$D17)</f>
        <v/>
      </c>
      <c r="W17" s="134" t="str">
        <f aca="false">IF($A17="","",$S17-$E$63-$F$63)</f>
        <v/>
      </c>
      <c r="X17" s="90" t="str">
        <f aca="false">IF($A17="","",$L$63*$D17)</f>
        <v/>
      </c>
      <c r="Y17" s="134" t="str">
        <f aca="false">IF($A17="","",$C17)</f>
        <v/>
      </c>
      <c r="Z17" s="90" t="str">
        <f aca="false">IF($A17="","",$L$64*$D17)</f>
        <v/>
      </c>
      <c r="AA17" s="134"/>
      <c r="AB17" s="90"/>
      <c r="AC17" s="134"/>
      <c r="AD17" s="90"/>
      <c r="AE17" s="135" t="str">
        <f aca="false">IF($A17="","",$I17-67-67)</f>
        <v/>
      </c>
      <c r="AF17" s="136" t="str">
        <f aca="false">IF($A17="","",$K17-67-67)</f>
        <v/>
      </c>
      <c r="AG17" s="137" t="str">
        <f aca="false">IF($A17="","",1*$D17)</f>
        <v/>
      </c>
      <c r="AK17" s="1" t="str">
        <f aca="false">IF($A17="","",1*$D17)</f>
        <v/>
      </c>
      <c r="AM17" s="1" t="str">
        <f aca="false">IF($A17="","",1*$D17)</f>
        <v/>
      </c>
      <c r="AN17" s="1" t="str">
        <f aca="false">IF($A17="","",2*1*$D17)</f>
        <v/>
      </c>
      <c r="AO17" s="1" t="str">
        <f aca="false">IF($A17="","",(2+IF($B17&gt;1800,ROUNDUP(($B17-1800)/500,0),0))*1*$D17)</f>
        <v/>
      </c>
      <c r="AP17" s="1" t="str">
        <f aca="false">IF($A17="","",(2+IF($B17&gt;1800,ROUNDUP(($B17-1800)/500,0),0))*1*$D17)</f>
        <v/>
      </c>
      <c r="AQ17" s="1" t="str">
        <f aca="false">IF($A17="","",4*1*$D17)</f>
        <v/>
      </c>
      <c r="AR17" s="1" t="str">
        <f aca="false">IF($A17="","",8*1*$D17)</f>
        <v/>
      </c>
      <c r="AS17" s="1" t="str">
        <f aca="false">IF($A17="","",8*$D17)</f>
        <v/>
      </c>
      <c r="AT17" s="1" t="str">
        <f aca="false">IF($A17="","",ROUND((2*($C17+$B17))*1*$D17/1000,1))</f>
        <v/>
      </c>
      <c r="AU17" s="1" t="str">
        <f aca="false">IF($A17="","",ROUND((2*($C17+$B17))*$D17/1000,1))</f>
        <v/>
      </c>
    </row>
    <row r="18" customFormat="false" ht="39.75" hidden="false" customHeight="true" outlineLevel="0" collapsed="false">
      <c r="A18" s="88"/>
      <c r="B18" s="89"/>
      <c r="C18" s="90"/>
      <c r="D18" s="91"/>
      <c r="E18" s="139" t="str">
        <f aca="false">IF($A18="","",$B18)</f>
        <v/>
      </c>
      <c r="F18" s="140" t="str">
        <f aca="false">IF($A18="","",$L$54*$D18)</f>
        <v/>
      </c>
      <c r="G18" s="139" t="str">
        <f aca="false">IF($A18="","",$C18-$E$55-$F$55)</f>
        <v/>
      </c>
      <c r="H18" s="140" t="str">
        <f aca="false">IF($A18="","",$L$55*$D18)</f>
        <v/>
      </c>
      <c r="I18" s="139" t="str">
        <f aca="false">IF($A18="","",$B18-$E$56-$F$56)</f>
        <v/>
      </c>
      <c r="J18" s="140" t="str">
        <f aca="false">IF($A18="","",$L$56*$D18)</f>
        <v/>
      </c>
      <c r="K18" s="139" t="str">
        <f aca="false">IF($A18="","",(($C18-$E$57-$F$57)))</f>
        <v/>
      </c>
      <c r="L18" s="140" t="str">
        <f aca="false">IF($A18="","",$L$57*$D18)</f>
        <v/>
      </c>
      <c r="M18" s="139" t="str">
        <f aca="false">IF($A18="","",$I18-$E$58-$F$58)</f>
        <v/>
      </c>
      <c r="N18" s="140" t="str">
        <f aca="false">IF($A18="","",$L$58*$D18)</f>
        <v/>
      </c>
      <c r="O18" s="139" t="str">
        <f aca="false">IF($A18="","",$K18-$E$59-$F$59)</f>
        <v/>
      </c>
      <c r="P18" s="140" t="str">
        <f aca="false">IF($A18="","",$L$59*$D18)</f>
        <v/>
      </c>
      <c r="Q18" s="139" t="str">
        <f aca="false">IF($A18="","",$I18)</f>
        <v/>
      </c>
      <c r="R18" s="140" t="str">
        <f aca="false">IF($A18="","",$L$60*$D18)</f>
        <v/>
      </c>
      <c r="S18" s="139" t="str">
        <f aca="false">IF($A18="","",$K18)</f>
        <v/>
      </c>
      <c r="T18" s="140" t="str">
        <f aca="false">IF($A18="","",$L$61*$D18)</f>
        <v/>
      </c>
      <c r="U18" s="139" t="str">
        <f aca="false">IF($A18="","",$Q18-$E$62-$F$62)</f>
        <v/>
      </c>
      <c r="V18" s="140" t="str">
        <f aca="false">IF($A18="","",$L$62*$D18)</f>
        <v/>
      </c>
      <c r="W18" s="139" t="str">
        <f aca="false">IF($A18="","",$S18-$E$63-$F$63)</f>
        <v/>
      </c>
      <c r="X18" s="140" t="str">
        <f aca="false">IF($A18="","",$L$63*$D18)</f>
        <v/>
      </c>
      <c r="Y18" s="139" t="str">
        <f aca="false">IF($A18="","",$C18)</f>
        <v/>
      </c>
      <c r="Z18" s="140" t="str">
        <f aca="false">IF($A18="","",$L$64*$D18)</f>
        <v/>
      </c>
      <c r="AA18" s="139"/>
      <c r="AB18" s="140"/>
      <c r="AC18" s="139"/>
      <c r="AD18" s="140"/>
      <c r="AE18" s="135" t="str">
        <f aca="false">IF($A18="","",$I18-67-67)</f>
        <v/>
      </c>
      <c r="AF18" s="136" t="str">
        <f aca="false">IF($A18="","",$K18-67-67)</f>
        <v/>
      </c>
      <c r="AG18" s="137" t="str">
        <f aca="false">IF($A18="","",1*$D18)</f>
        <v/>
      </c>
      <c r="AK18" s="1" t="str">
        <f aca="false">IF($A18="","",1*$D18)</f>
        <v/>
      </c>
      <c r="AM18" s="1" t="str">
        <f aca="false">IF($A18="","",1*$D18)</f>
        <v/>
      </c>
      <c r="AN18" s="1" t="str">
        <f aca="false">IF($A18="","",2*1*$D18)</f>
        <v/>
      </c>
      <c r="AO18" s="1" t="str">
        <f aca="false">IF($A18="","",(2+IF($B18&gt;1800,ROUNDUP(($B18-1800)/500,0),0))*1*$D18)</f>
        <v/>
      </c>
      <c r="AP18" s="1" t="str">
        <f aca="false">IF($A18="","",(2+IF($B18&gt;1800,ROUNDUP(($B18-1800)/500,0),0))*1*$D18)</f>
        <v/>
      </c>
      <c r="AQ18" s="1" t="str">
        <f aca="false">IF($A18="","",4*1*$D18)</f>
        <v/>
      </c>
      <c r="AR18" s="1" t="str">
        <f aca="false">IF($A18="","",8*1*$D18)</f>
        <v/>
      </c>
      <c r="AS18" s="1" t="str">
        <f aca="false">IF($A18="","",8*$D18)</f>
        <v/>
      </c>
      <c r="AT18" s="1" t="str">
        <f aca="false">IF($A18="","",ROUND((2*($C18+$B18))*1*$D18/1000,1))</f>
        <v/>
      </c>
      <c r="AU18" s="1" t="str">
        <f aca="false">IF($A18="","",ROUND((2*($C18+$B18))*$D18/1000,1))</f>
        <v/>
      </c>
    </row>
    <row r="19" customFormat="false" ht="39.75" hidden="false" customHeight="true" outlineLevel="0" collapsed="false">
      <c r="A19" s="88"/>
      <c r="B19" s="89"/>
      <c r="C19" s="90"/>
      <c r="D19" s="91"/>
      <c r="E19" s="134" t="str">
        <f aca="false">IF($A19="","",$B19)</f>
        <v/>
      </c>
      <c r="F19" s="90" t="str">
        <f aca="false">IF($A19="","",$L$54*$D19)</f>
        <v/>
      </c>
      <c r="G19" s="134" t="str">
        <f aca="false">IF($A19="","",$C19-$E$55-$F$55)</f>
        <v/>
      </c>
      <c r="H19" s="90" t="str">
        <f aca="false">IF($A19="","",$L$55*$D19)</f>
        <v/>
      </c>
      <c r="I19" s="134" t="str">
        <f aca="false">IF($A19="","",$B19-$E$56-$F$56)</f>
        <v/>
      </c>
      <c r="J19" s="90" t="str">
        <f aca="false">IF($A19="","",$L$56*$D19)</f>
        <v/>
      </c>
      <c r="K19" s="134" t="str">
        <f aca="false">IF($A19="","",(($C19-$E$57-$F$57)))</f>
        <v/>
      </c>
      <c r="L19" s="90" t="str">
        <f aca="false">IF($A19="","",$L$57*$D19)</f>
        <v/>
      </c>
      <c r="M19" s="134" t="str">
        <f aca="false">IF($A19="","",$I19-$E$58-$F$58)</f>
        <v/>
      </c>
      <c r="N19" s="90" t="str">
        <f aca="false">IF($A19="","",$L$58*$D19)</f>
        <v/>
      </c>
      <c r="O19" s="134" t="str">
        <f aca="false">IF($A19="","",$K19-$E$59-$F$59)</f>
        <v/>
      </c>
      <c r="P19" s="90" t="str">
        <f aca="false">IF($A19="","",$L$59*$D19)</f>
        <v/>
      </c>
      <c r="Q19" s="134" t="str">
        <f aca="false">IF($A19="","",$I19)</f>
        <v/>
      </c>
      <c r="R19" s="90" t="str">
        <f aca="false">IF($A19="","",$L$60*$D19)</f>
        <v/>
      </c>
      <c r="S19" s="134" t="str">
        <f aca="false">IF($A19="","",$K19)</f>
        <v/>
      </c>
      <c r="T19" s="90" t="str">
        <f aca="false">IF($A19="","",$L$61*$D19)</f>
        <v/>
      </c>
      <c r="U19" s="134" t="str">
        <f aca="false">IF($A19="","",$Q19-$E$62-$F$62)</f>
        <v/>
      </c>
      <c r="V19" s="90" t="str">
        <f aca="false">IF($A19="","",$L$62*$D19)</f>
        <v/>
      </c>
      <c r="W19" s="134" t="str">
        <f aca="false">IF($A19="","",$S19-$E$63-$F$63)</f>
        <v/>
      </c>
      <c r="X19" s="90" t="str">
        <f aca="false">IF($A19="","",$L$63*$D19)</f>
        <v/>
      </c>
      <c r="Y19" s="134" t="str">
        <f aca="false">IF($A19="","",$C19)</f>
        <v/>
      </c>
      <c r="Z19" s="90" t="str">
        <f aca="false">IF($A19="","",$L$64*$D19)</f>
        <v/>
      </c>
      <c r="AA19" s="134"/>
      <c r="AB19" s="90"/>
      <c r="AC19" s="134"/>
      <c r="AD19" s="90"/>
      <c r="AE19" s="135" t="str">
        <f aca="false">IF($A19="","",$I19-67-67)</f>
        <v/>
      </c>
      <c r="AF19" s="136" t="str">
        <f aca="false">IF($A19="","",$K19-67-67)</f>
        <v/>
      </c>
      <c r="AG19" s="137" t="str">
        <f aca="false">IF($A19="","",1*$D19)</f>
        <v/>
      </c>
      <c r="AK19" s="1" t="str">
        <f aca="false">IF($A19="","",1*$D19)</f>
        <v/>
      </c>
      <c r="AM19" s="1" t="str">
        <f aca="false">IF($A19="","",1*$D19)</f>
        <v/>
      </c>
      <c r="AN19" s="1" t="str">
        <f aca="false">IF($A19="","",2*1*$D19)</f>
        <v/>
      </c>
      <c r="AO19" s="1" t="str">
        <f aca="false">IF($A19="","",(2+IF($B19&gt;1800,ROUNDUP(($B19-1800)/500,0),0))*1*$D19)</f>
        <v/>
      </c>
      <c r="AP19" s="1" t="str">
        <f aca="false">IF($A19="","",(2+IF($B19&gt;1800,ROUNDUP(($B19-1800)/500,0),0))*1*$D19)</f>
        <v/>
      </c>
      <c r="AQ19" s="1" t="str">
        <f aca="false">IF($A19="","",4*1*$D19)</f>
        <v/>
      </c>
      <c r="AR19" s="1" t="str">
        <f aca="false">IF($A19="","",8*1*$D19)</f>
        <v/>
      </c>
      <c r="AS19" s="1" t="str">
        <f aca="false">IF($A19="","",8*$D19)</f>
        <v/>
      </c>
      <c r="AT19" s="1" t="str">
        <f aca="false">IF($A19="","",ROUND((2*($C19+$B19))*1*$D19/1000,1))</f>
        <v/>
      </c>
      <c r="AU19" s="1" t="str">
        <f aca="false">IF($A19="","",ROUND((2*($C19+$B19))*$D19/1000,1))</f>
        <v/>
      </c>
    </row>
    <row r="20" customFormat="false" ht="39.75" hidden="false" customHeight="true" outlineLevel="0" collapsed="false">
      <c r="A20" s="88"/>
      <c r="B20" s="89"/>
      <c r="C20" s="90"/>
      <c r="D20" s="91"/>
      <c r="E20" s="139" t="str">
        <f aca="false">IF($A20="","",$B20)</f>
        <v/>
      </c>
      <c r="F20" s="140" t="str">
        <f aca="false">IF($A20="","",$L$54*$D20)</f>
        <v/>
      </c>
      <c r="G20" s="139" t="str">
        <f aca="false">IF($A20="","",$C20-$E$55-$F$55)</f>
        <v/>
      </c>
      <c r="H20" s="140" t="str">
        <f aca="false">IF($A20="","",$L$55*$D20)</f>
        <v/>
      </c>
      <c r="I20" s="139" t="str">
        <f aca="false">IF($A20="","",$B20-$E$56-$F$56)</f>
        <v/>
      </c>
      <c r="J20" s="140" t="str">
        <f aca="false">IF($A20="","",$L$56*$D20)</f>
        <v/>
      </c>
      <c r="K20" s="139" t="str">
        <f aca="false">IF($A20="","",(($C20-$E$57-$F$57)))</f>
        <v/>
      </c>
      <c r="L20" s="140" t="str">
        <f aca="false">IF($A20="","",$L$57*$D20)</f>
        <v/>
      </c>
      <c r="M20" s="139" t="str">
        <f aca="false">IF($A20="","",$I20-$E$58-$F$58)</f>
        <v/>
      </c>
      <c r="N20" s="140" t="str">
        <f aca="false">IF($A20="","",$L$58*$D20)</f>
        <v/>
      </c>
      <c r="O20" s="139" t="str">
        <f aca="false">IF($A20="","",$K20-$E$59-$F$59)</f>
        <v/>
      </c>
      <c r="P20" s="140" t="str">
        <f aca="false">IF($A20="","",$L$59*$D20)</f>
        <v/>
      </c>
      <c r="Q20" s="139" t="str">
        <f aca="false">IF($A20="","",$I20)</f>
        <v/>
      </c>
      <c r="R20" s="140" t="str">
        <f aca="false">IF($A20="","",$L$60*$D20)</f>
        <v/>
      </c>
      <c r="S20" s="139" t="str">
        <f aca="false">IF($A20="","",$K20)</f>
        <v/>
      </c>
      <c r="T20" s="140" t="str">
        <f aca="false">IF($A20="","",$L$61*$D20)</f>
        <v/>
      </c>
      <c r="U20" s="139" t="str">
        <f aca="false">IF($A20="","",$Q20-$E$62-$F$62)</f>
        <v/>
      </c>
      <c r="V20" s="140" t="str">
        <f aca="false">IF($A20="","",$L$62*$D20)</f>
        <v/>
      </c>
      <c r="W20" s="139" t="str">
        <f aca="false">IF($A20="","",$S20-$E$63-$F$63)</f>
        <v/>
      </c>
      <c r="X20" s="140" t="str">
        <f aca="false">IF($A20="","",$L$63*$D20)</f>
        <v/>
      </c>
      <c r="Y20" s="139" t="str">
        <f aca="false">IF($A20="","",$C20)</f>
        <v/>
      </c>
      <c r="Z20" s="140" t="str">
        <f aca="false">IF($A20="","",$L$64*$D20)</f>
        <v/>
      </c>
      <c r="AA20" s="139"/>
      <c r="AB20" s="140"/>
      <c r="AC20" s="139"/>
      <c r="AD20" s="140"/>
      <c r="AE20" s="135" t="str">
        <f aca="false">IF($A20="","",$I20-67-67)</f>
        <v/>
      </c>
      <c r="AF20" s="136" t="str">
        <f aca="false">IF($A20="","",$K20-67-67)</f>
        <v/>
      </c>
      <c r="AG20" s="137" t="str">
        <f aca="false">IF($A20="","",1*$D20)</f>
        <v/>
      </c>
      <c r="AK20" s="1" t="str">
        <f aca="false">IF($A20="","",1*$D20)</f>
        <v/>
      </c>
      <c r="AM20" s="1" t="str">
        <f aca="false">IF($A20="","",1*$D20)</f>
        <v/>
      </c>
      <c r="AN20" s="1" t="str">
        <f aca="false">IF($A20="","",2*1*$D20)</f>
        <v/>
      </c>
      <c r="AO20" s="1" t="str">
        <f aca="false">IF($A20="","",(2+IF($B20&gt;1800,ROUNDUP(($B20-1800)/500,0),0))*1*$D20)</f>
        <v/>
      </c>
      <c r="AP20" s="1" t="str">
        <f aca="false">IF($A20="","",(2+IF($B20&gt;1800,ROUNDUP(($B20-1800)/500,0),0))*1*$D20)</f>
        <v/>
      </c>
      <c r="AQ20" s="1" t="str">
        <f aca="false">IF($A20="","",4*1*$D20)</f>
        <v/>
      </c>
      <c r="AR20" s="1" t="str">
        <f aca="false">IF($A20="","",8*1*$D20)</f>
        <v/>
      </c>
      <c r="AS20" s="1" t="str">
        <f aca="false">IF($A20="","",8*$D20)</f>
        <v/>
      </c>
      <c r="AT20" s="1" t="str">
        <f aca="false">IF($A20="","",ROUND((2*($C20+$B20))*1*$D20/1000,1))</f>
        <v/>
      </c>
      <c r="AU20" s="1" t="str">
        <f aca="false">IF($A20="","",ROUND((2*($C20+$B20))*$D20/1000,1))</f>
        <v/>
      </c>
    </row>
    <row r="21" customFormat="false" ht="39.75" hidden="false" customHeight="true" outlineLevel="0" collapsed="false">
      <c r="A21" s="88"/>
      <c r="B21" s="89"/>
      <c r="C21" s="90"/>
      <c r="D21" s="91"/>
      <c r="E21" s="134" t="str">
        <f aca="false">IF($A21="","",$B21)</f>
        <v/>
      </c>
      <c r="F21" s="90" t="str">
        <f aca="false">IF($A21="","",$L$54*$D21)</f>
        <v/>
      </c>
      <c r="G21" s="134" t="str">
        <f aca="false">IF($A21="","",$C21-$E$55-$F$55)</f>
        <v/>
      </c>
      <c r="H21" s="90" t="str">
        <f aca="false">IF($A21="","",$L$55*$D21)</f>
        <v/>
      </c>
      <c r="I21" s="134" t="str">
        <f aca="false">IF($A21="","",$B21-$E$56-$F$56)</f>
        <v/>
      </c>
      <c r="J21" s="90" t="str">
        <f aca="false">IF($A21="","",$L$56*$D21)</f>
        <v/>
      </c>
      <c r="K21" s="134" t="str">
        <f aca="false">IF($A21="","",(($C21-$E$57-$F$57)))</f>
        <v/>
      </c>
      <c r="L21" s="90" t="str">
        <f aca="false">IF($A21="","",$L$57*$D21)</f>
        <v/>
      </c>
      <c r="M21" s="134" t="str">
        <f aca="false">IF($A21="","",$I21-$E$58-$F$58)</f>
        <v/>
      </c>
      <c r="N21" s="90" t="str">
        <f aca="false">IF($A21="","",$L$58*$D21)</f>
        <v/>
      </c>
      <c r="O21" s="134" t="str">
        <f aca="false">IF($A21="","",$K21-$E$59-$F$59)</f>
        <v/>
      </c>
      <c r="P21" s="90" t="str">
        <f aca="false">IF($A21="","",$L$59*$D21)</f>
        <v/>
      </c>
      <c r="Q21" s="134" t="str">
        <f aca="false">IF($A21="","",$I21)</f>
        <v/>
      </c>
      <c r="R21" s="90" t="str">
        <f aca="false">IF($A21="","",$L$60*$D21)</f>
        <v/>
      </c>
      <c r="S21" s="134" t="str">
        <f aca="false">IF($A21="","",$K21)</f>
        <v/>
      </c>
      <c r="T21" s="90" t="str">
        <f aca="false">IF($A21="","",$L$61*$D21)</f>
        <v/>
      </c>
      <c r="U21" s="134" t="str">
        <f aca="false">IF($A21="","",$Q21-$E$62-$F$62)</f>
        <v/>
      </c>
      <c r="V21" s="90" t="str">
        <f aca="false">IF($A21="","",$L$62*$D21)</f>
        <v/>
      </c>
      <c r="W21" s="134" t="str">
        <f aca="false">IF($A21="","",$S21-$E$63-$F$63)</f>
        <v/>
      </c>
      <c r="X21" s="90" t="str">
        <f aca="false">IF($A21="","",$L$63*$D21)</f>
        <v/>
      </c>
      <c r="Y21" s="134" t="str">
        <f aca="false">IF($A21="","",$C21)</f>
        <v/>
      </c>
      <c r="Z21" s="90" t="str">
        <f aca="false">IF($A21="","",$L$64*$D21)</f>
        <v/>
      </c>
      <c r="AA21" s="134"/>
      <c r="AB21" s="90"/>
      <c r="AC21" s="134"/>
      <c r="AD21" s="90"/>
      <c r="AE21" s="135" t="str">
        <f aca="false">IF($A21="","",$I21-67-67)</f>
        <v/>
      </c>
      <c r="AF21" s="136" t="str">
        <f aca="false">IF($A21="","",$K21-67-67)</f>
        <v/>
      </c>
      <c r="AG21" s="137" t="str">
        <f aca="false">IF($A21="","",1*$D21)</f>
        <v/>
      </c>
      <c r="AK21" s="1" t="str">
        <f aca="false">IF($A21="","",1*$D21)</f>
        <v/>
      </c>
      <c r="AM21" s="1" t="str">
        <f aca="false">IF($A21="","",1*$D21)</f>
        <v/>
      </c>
      <c r="AN21" s="1" t="str">
        <f aca="false">IF($A21="","",2*1*$D21)</f>
        <v/>
      </c>
      <c r="AO21" s="1" t="str">
        <f aca="false">IF($A21="","",(2+IF($B21&gt;1800,ROUNDUP(($B21-1800)/500,0),0))*1*$D21)</f>
        <v/>
      </c>
      <c r="AP21" s="1" t="str">
        <f aca="false">IF($A21="","",(2+IF($B21&gt;1800,ROUNDUP(($B21-1800)/500,0),0))*1*$D21)</f>
        <v/>
      </c>
      <c r="AQ21" s="1" t="str">
        <f aca="false">IF($A21="","",4*1*$D21)</f>
        <v/>
      </c>
      <c r="AR21" s="1" t="str">
        <f aca="false">IF($A21="","",8*1*$D21)</f>
        <v/>
      </c>
      <c r="AS21" s="1" t="str">
        <f aca="false">IF($A21="","",8*$D21)</f>
        <v/>
      </c>
      <c r="AT21" s="1" t="str">
        <f aca="false">IF($A21="","",ROUND((2*($C21+$B21))*1*$D21/1000,1))</f>
        <v/>
      </c>
      <c r="AU21" s="1" t="str">
        <f aca="false">IF($A21="","",ROUND((2*($C21+$B21))*$D21/1000,1))</f>
        <v/>
      </c>
    </row>
    <row r="22" customFormat="false" ht="39.75" hidden="false" customHeight="true" outlineLevel="0" collapsed="false">
      <c r="A22" s="88"/>
      <c r="B22" s="89"/>
      <c r="C22" s="90"/>
      <c r="D22" s="91"/>
      <c r="E22" s="139" t="str">
        <f aca="false">IF($A22="","",$B22)</f>
        <v/>
      </c>
      <c r="F22" s="140" t="str">
        <f aca="false">IF($A22="","",$L$54*$D22)</f>
        <v/>
      </c>
      <c r="G22" s="139" t="str">
        <f aca="false">IF($A22="","",$C22-$E$55-$F$55)</f>
        <v/>
      </c>
      <c r="H22" s="140" t="str">
        <f aca="false">IF($A22="","",$L$55*$D22)</f>
        <v/>
      </c>
      <c r="I22" s="139" t="str">
        <f aca="false">IF($A22="","",$B22-$E$56-$F$56)</f>
        <v/>
      </c>
      <c r="J22" s="140" t="str">
        <f aca="false">IF($A22="","",$L$56*$D22)</f>
        <v/>
      </c>
      <c r="K22" s="139" t="str">
        <f aca="false">IF($A22="","",(($C22-$E$57-$F$57)))</f>
        <v/>
      </c>
      <c r="L22" s="140" t="str">
        <f aca="false">IF($A22="","",$L$57*$D22)</f>
        <v/>
      </c>
      <c r="M22" s="139" t="str">
        <f aca="false">IF($A22="","",$I22-$E$58-$F$58)</f>
        <v/>
      </c>
      <c r="N22" s="140" t="str">
        <f aca="false">IF($A22="","",$L$58*$D22)</f>
        <v/>
      </c>
      <c r="O22" s="139" t="str">
        <f aca="false">IF($A22="","",$K22-$E$59-$F$59)</f>
        <v/>
      </c>
      <c r="P22" s="140" t="str">
        <f aca="false">IF($A22="","",$L$59*$D22)</f>
        <v/>
      </c>
      <c r="Q22" s="139" t="str">
        <f aca="false">IF($A22="","",$I22)</f>
        <v/>
      </c>
      <c r="R22" s="140" t="str">
        <f aca="false">IF($A22="","",$L$60*$D22)</f>
        <v/>
      </c>
      <c r="S22" s="139" t="str">
        <f aca="false">IF($A22="","",$K22)</f>
        <v/>
      </c>
      <c r="T22" s="140" t="str">
        <f aca="false">IF($A22="","",$L$61*$D22)</f>
        <v/>
      </c>
      <c r="U22" s="139" t="str">
        <f aca="false">IF($A22="","",$Q22-$E$62-$F$62)</f>
        <v/>
      </c>
      <c r="V22" s="140" t="str">
        <f aca="false">IF($A22="","",$L$62*$D22)</f>
        <v/>
      </c>
      <c r="W22" s="139" t="str">
        <f aca="false">IF($A22="","",$S22-$E$63-$F$63)</f>
        <v/>
      </c>
      <c r="X22" s="140" t="str">
        <f aca="false">IF($A22="","",$L$63*$D22)</f>
        <v/>
      </c>
      <c r="Y22" s="139" t="str">
        <f aca="false">IF($A22="","",$C22)</f>
        <v/>
      </c>
      <c r="Z22" s="140" t="str">
        <f aca="false">IF($A22="","",$L$64*$D22)</f>
        <v/>
      </c>
      <c r="AA22" s="139"/>
      <c r="AB22" s="140"/>
      <c r="AC22" s="139"/>
      <c r="AD22" s="140"/>
      <c r="AE22" s="135" t="str">
        <f aca="false">IF($A22="","",$I22-67-67)</f>
        <v/>
      </c>
      <c r="AF22" s="136" t="str">
        <f aca="false">IF($A22="","",$K22-67-67)</f>
        <v/>
      </c>
      <c r="AG22" s="137" t="str">
        <f aca="false">IF($A22="","",1*$D22)</f>
        <v/>
      </c>
      <c r="AK22" s="1" t="str">
        <f aca="false">IF($A22="","",1*$D22)</f>
        <v/>
      </c>
      <c r="AM22" s="1" t="str">
        <f aca="false">IF($A22="","",1*$D22)</f>
        <v/>
      </c>
      <c r="AN22" s="1" t="str">
        <f aca="false">IF($A22="","",2*1*$D22)</f>
        <v/>
      </c>
      <c r="AO22" s="1" t="str">
        <f aca="false">IF($A22="","",(2+IF($B22&gt;1800,ROUNDUP(($B22-1800)/500,0),0))*1*$D22)</f>
        <v/>
      </c>
      <c r="AP22" s="1" t="str">
        <f aca="false">IF($A22="","",(2+IF($B22&gt;1800,ROUNDUP(($B22-1800)/500,0),0))*1*$D22)</f>
        <v/>
      </c>
      <c r="AQ22" s="1" t="str">
        <f aca="false">IF($A22="","",4*1*$D22)</f>
        <v/>
      </c>
      <c r="AR22" s="1" t="str">
        <f aca="false">IF($A22="","",8*1*$D22)</f>
        <v/>
      </c>
      <c r="AS22" s="1" t="str">
        <f aca="false">IF($A22="","",8*$D22)</f>
        <v/>
      </c>
      <c r="AT22" s="1" t="str">
        <f aca="false">IF($A22="","",ROUND((2*($C22+$B22))*1*$D22/1000,1))</f>
        <v/>
      </c>
      <c r="AU22" s="1" t="str">
        <f aca="false">IF($A22="","",ROUND((2*($C22+$B22))*$D22/1000,1))</f>
        <v/>
      </c>
    </row>
    <row r="23" customFormat="false" ht="39.75" hidden="false" customHeight="true" outlineLevel="0" collapsed="false">
      <c r="A23" s="88"/>
      <c r="B23" s="89"/>
      <c r="C23" s="90"/>
      <c r="D23" s="91"/>
      <c r="E23" s="134" t="str">
        <f aca="false">IF($A23="","",$B23)</f>
        <v/>
      </c>
      <c r="F23" s="90" t="str">
        <f aca="false">IF($A23="","",$L$54*$D23)</f>
        <v/>
      </c>
      <c r="G23" s="134" t="str">
        <f aca="false">IF($A23="","",$C23-$E$55-$F$55)</f>
        <v/>
      </c>
      <c r="H23" s="90" t="str">
        <f aca="false">IF($A23="","",$L$55*$D23)</f>
        <v/>
      </c>
      <c r="I23" s="134" t="str">
        <f aca="false">IF($A23="","",$B23-$E$56-$F$56)</f>
        <v/>
      </c>
      <c r="J23" s="90" t="str">
        <f aca="false">IF($A23="","",$L$56*$D23)</f>
        <v/>
      </c>
      <c r="K23" s="134" t="str">
        <f aca="false">IF($A23="","",(($C23-$E$57-$F$57)))</f>
        <v/>
      </c>
      <c r="L23" s="90" t="str">
        <f aca="false">IF($A23="","",$L$57*$D23)</f>
        <v/>
      </c>
      <c r="M23" s="134" t="str">
        <f aca="false">IF($A23="","",$I23-$E$58-$F$58)</f>
        <v/>
      </c>
      <c r="N23" s="90" t="str">
        <f aca="false">IF($A23="","",$L$58*$D23)</f>
        <v/>
      </c>
      <c r="O23" s="134" t="str">
        <f aca="false">IF($A23="","",$K23-$E$59-$F$59)</f>
        <v/>
      </c>
      <c r="P23" s="90" t="str">
        <f aca="false">IF($A23="","",$L$59*$D23)</f>
        <v/>
      </c>
      <c r="Q23" s="134" t="str">
        <f aca="false">IF($A23="","",$I23)</f>
        <v/>
      </c>
      <c r="R23" s="90" t="str">
        <f aca="false">IF($A23="","",$L$60*$D23)</f>
        <v/>
      </c>
      <c r="S23" s="134" t="str">
        <f aca="false">IF($A23="","",$K23)</f>
        <v/>
      </c>
      <c r="T23" s="90" t="str">
        <f aca="false">IF($A23="","",$L$61*$D23)</f>
        <v/>
      </c>
      <c r="U23" s="134" t="str">
        <f aca="false">IF($A23="","",$Q23-$E$62-$F$62)</f>
        <v/>
      </c>
      <c r="V23" s="90" t="str">
        <f aca="false">IF($A23="","",$L$62*$D23)</f>
        <v/>
      </c>
      <c r="W23" s="134" t="str">
        <f aca="false">IF($A23="","",$S23-$E$63-$F$63)</f>
        <v/>
      </c>
      <c r="X23" s="90" t="str">
        <f aca="false">IF($A23="","",$L$63*$D23)</f>
        <v/>
      </c>
      <c r="Y23" s="134" t="str">
        <f aca="false">IF($A23="","",$C23)</f>
        <v/>
      </c>
      <c r="Z23" s="90" t="str">
        <f aca="false">IF($A23="","",$L$64*$D23)</f>
        <v/>
      </c>
      <c r="AA23" s="134"/>
      <c r="AB23" s="90"/>
      <c r="AC23" s="134"/>
      <c r="AD23" s="90"/>
      <c r="AE23" s="135" t="str">
        <f aca="false">IF($A23="","",$I23-67-67)</f>
        <v/>
      </c>
      <c r="AF23" s="136" t="str">
        <f aca="false">IF($A23="","",$K23-67-67)</f>
        <v/>
      </c>
      <c r="AG23" s="137" t="str">
        <f aca="false">IF($A23="","",1*$D23)</f>
        <v/>
      </c>
      <c r="AK23" s="1" t="str">
        <f aca="false">IF($A23="","",1*$D23)</f>
        <v/>
      </c>
      <c r="AM23" s="1" t="str">
        <f aca="false">IF($A23="","",1*$D23)</f>
        <v/>
      </c>
      <c r="AN23" s="1" t="str">
        <f aca="false">IF($A23="","",2*1*$D23)</f>
        <v/>
      </c>
      <c r="AO23" s="1" t="str">
        <f aca="false">IF($A23="","",(2+IF($B23&gt;1800,ROUNDUP(($B23-1800)/500,0),0))*1*$D23)</f>
        <v/>
      </c>
      <c r="AP23" s="1" t="str">
        <f aca="false">IF($A23="","",(2+IF($B23&gt;1800,ROUNDUP(($B23-1800)/500,0),0))*1*$D23)</f>
        <v/>
      </c>
      <c r="AQ23" s="1" t="str">
        <f aca="false">IF($A23="","",4*1*$D23)</f>
        <v/>
      </c>
      <c r="AR23" s="1" t="str">
        <f aca="false">IF($A23="","",8*1*$D23)</f>
        <v/>
      </c>
      <c r="AS23" s="1" t="str">
        <f aca="false">IF($A23="","",8*$D23)</f>
        <v/>
      </c>
      <c r="AT23" s="1" t="str">
        <f aca="false">IF($A23="","",ROUND((2*($C23+$B23))*1*$D23/1000,1))</f>
        <v/>
      </c>
      <c r="AU23" s="1" t="str">
        <f aca="false">IF($A23="","",ROUND((2*($C23+$B23))*$D23/1000,1))</f>
        <v/>
      </c>
    </row>
    <row r="24" customFormat="false" ht="39.75" hidden="false" customHeight="true" outlineLevel="0" collapsed="false">
      <c r="A24" s="88"/>
      <c r="B24" s="89"/>
      <c r="C24" s="90"/>
      <c r="D24" s="91"/>
      <c r="E24" s="139" t="str">
        <f aca="false">IF($A24="","",$B24)</f>
        <v/>
      </c>
      <c r="F24" s="140" t="str">
        <f aca="false">IF($A24="","",$L$54*$D24)</f>
        <v/>
      </c>
      <c r="G24" s="139" t="str">
        <f aca="false">IF($A24="","",$C24-$E$55-$F$55)</f>
        <v/>
      </c>
      <c r="H24" s="140" t="str">
        <f aca="false">IF($A24="","",$L$55*$D24)</f>
        <v/>
      </c>
      <c r="I24" s="139" t="str">
        <f aca="false">IF($A24="","",$B24-$E$56-$F$56)</f>
        <v/>
      </c>
      <c r="J24" s="140" t="str">
        <f aca="false">IF($A24="","",$L$56*$D24)</f>
        <v/>
      </c>
      <c r="K24" s="139" t="str">
        <f aca="false">IF($A24="","",(($C24-$E$57-$F$57)))</f>
        <v/>
      </c>
      <c r="L24" s="140" t="str">
        <f aca="false">IF($A24="","",$L$57*$D24)</f>
        <v/>
      </c>
      <c r="M24" s="139" t="str">
        <f aca="false">IF($A24="","",$I24-$E$58-$F$58)</f>
        <v/>
      </c>
      <c r="N24" s="140" t="str">
        <f aca="false">IF($A24="","",$L$58*$D24)</f>
        <v/>
      </c>
      <c r="O24" s="139" t="str">
        <f aca="false">IF($A24="","",$K24-$E$59-$F$59)</f>
        <v/>
      </c>
      <c r="P24" s="140" t="str">
        <f aca="false">IF($A24="","",$L$59*$D24)</f>
        <v/>
      </c>
      <c r="Q24" s="139" t="str">
        <f aca="false">IF($A24="","",$I24)</f>
        <v/>
      </c>
      <c r="R24" s="140" t="str">
        <f aca="false">IF($A24="","",$L$60*$D24)</f>
        <v/>
      </c>
      <c r="S24" s="139" t="str">
        <f aca="false">IF($A24="","",$K24)</f>
        <v/>
      </c>
      <c r="T24" s="140" t="str">
        <f aca="false">IF($A24="","",$L$61*$D24)</f>
        <v/>
      </c>
      <c r="U24" s="139" t="str">
        <f aca="false">IF($A24="","",$Q24-$E$62-$F$62)</f>
        <v/>
      </c>
      <c r="V24" s="140" t="str">
        <f aca="false">IF($A24="","",$L$62*$D24)</f>
        <v/>
      </c>
      <c r="W24" s="139" t="str">
        <f aca="false">IF($A24="","",$S24-$E$63-$F$63)</f>
        <v/>
      </c>
      <c r="X24" s="140" t="str">
        <f aca="false">IF($A24="","",$L$63*$D24)</f>
        <v/>
      </c>
      <c r="Y24" s="139" t="str">
        <f aca="false">IF($A24="","",$C24)</f>
        <v/>
      </c>
      <c r="Z24" s="140" t="str">
        <f aca="false">IF($A24="","",$L$64*$D24)</f>
        <v/>
      </c>
      <c r="AA24" s="139"/>
      <c r="AB24" s="140"/>
      <c r="AC24" s="139"/>
      <c r="AD24" s="140"/>
      <c r="AE24" s="135" t="str">
        <f aca="false">IF($A24="","",$I24-67-67)</f>
        <v/>
      </c>
      <c r="AF24" s="136" t="str">
        <f aca="false">IF($A24="","",$K24-67-67)</f>
        <v/>
      </c>
      <c r="AG24" s="137" t="str">
        <f aca="false">IF($A24="","",1*$D24)</f>
        <v/>
      </c>
      <c r="AK24" s="1" t="str">
        <f aca="false">IF($A24="","",1*$D24)</f>
        <v/>
      </c>
      <c r="AM24" s="1" t="str">
        <f aca="false">IF($A24="","",1*$D24)</f>
        <v/>
      </c>
      <c r="AN24" s="1" t="str">
        <f aca="false">IF($A24="","",2*1*$D24)</f>
        <v/>
      </c>
      <c r="AO24" s="1" t="str">
        <f aca="false">IF($A24="","",(2+IF($B24&gt;1800,ROUNDUP(($B24-1800)/500,0),0))*1*$D24)</f>
        <v/>
      </c>
      <c r="AP24" s="1" t="str">
        <f aca="false">IF($A24="","",(2+IF($B24&gt;1800,ROUNDUP(($B24-1800)/500,0),0))*1*$D24)</f>
        <v/>
      </c>
      <c r="AQ24" s="1" t="str">
        <f aca="false">IF($A24="","",4*1*$D24)</f>
        <v/>
      </c>
      <c r="AR24" s="1" t="str">
        <f aca="false">IF($A24="","",8*1*$D24)</f>
        <v/>
      </c>
      <c r="AS24" s="1" t="str">
        <f aca="false">IF($A24="","",8*$D24)</f>
        <v/>
      </c>
      <c r="AT24" s="1" t="str">
        <f aca="false">IF($A24="","",ROUND((2*($C24+$B24))*1*$D24/1000,1))</f>
        <v/>
      </c>
      <c r="AU24" s="1" t="str">
        <f aca="false">IF($A24="","",ROUND((2*($C24+$B24))*$D24/1000,1))</f>
        <v/>
      </c>
    </row>
    <row r="25" customFormat="false" ht="39.75" hidden="false" customHeight="true" outlineLevel="0" collapsed="false">
      <c r="A25" s="88"/>
      <c r="B25" s="89"/>
      <c r="C25" s="90"/>
      <c r="D25" s="91"/>
      <c r="E25" s="134" t="str">
        <f aca="false">IF($A25="","",$B25)</f>
        <v/>
      </c>
      <c r="F25" s="90" t="str">
        <f aca="false">IF($A25="","",$L$54*$D25)</f>
        <v/>
      </c>
      <c r="G25" s="134" t="str">
        <f aca="false">IF($A25="","",$C25-$E$55-$F$55)</f>
        <v/>
      </c>
      <c r="H25" s="90" t="str">
        <f aca="false">IF($A25="","",$L$55*$D25)</f>
        <v/>
      </c>
      <c r="I25" s="134" t="str">
        <f aca="false">IF($A25="","",$B25-$E$56-$F$56)</f>
        <v/>
      </c>
      <c r="J25" s="90" t="str">
        <f aca="false">IF($A25="","",$L$56*$D25)</f>
        <v/>
      </c>
      <c r="K25" s="134" t="str">
        <f aca="false">IF($A25="","",(($C25-$E$57-$F$57)))</f>
        <v/>
      </c>
      <c r="L25" s="90" t="str">
        <f aca="false">IF($A25="","",$L$57*$D25)</f>
        <v/>
      </c>
      <c r="M25" s="134" t="str">
        <f aca="false">IF($A25="","",$I25-$E$58-$F$58)</f>
        <v/>
      </c>
      <c r="N25" s="90" t="str">
        <f aca="false">IF($A25="","",$L$58*$D25)</f>
        <v/>
      </c>
      <c r="O25" s="134" t="str">
        <f aca="false">IF($A25="","",$K25-$E$59-$F$59)</f>
        <v/>
      </c>
      <c r="P25" s="90" t="str">
        <f aca="false">IF($A25="","",$L$59*$D25)</f>
        <v/>
      </c>
      <c r="Q25" s="134" t="str">
        <f aca="false">IF($A25="","",$I25)</f>
        <v/>
      </c>
      <c r="R25" s="90" t="str">
        <f aca="false">IF($A25="","",$L$60*$D25)</f>
        <v/>
      </c>
      <c r="S25" s="134" t="str">
        <f aca="false">IF($A25="","",$K25)</f>
        <v/>
      </c>
      <c r="T25" s="90" t="str">
        <f aca="false">IF($A25="","",$L$61*$D25)</f>
        <v/>
      </c>
      <c r="U25" s="134" t="str">
        <f aca="false">IF($A25="","",$Q25-$E$62-$F$62)</f>
        <v/>
      </c>
      <c r="V25" s="90" t="str">
        <f aca="false">IF($A25="","",$L$62*$D25)</f>
        <v/>
      </c>
      <c r="W25" s="134" t="str">
        <f aca="false">IF($A25="","",$S25-$E$63-$F$63)</f>
        <v/>
      </c>
      <c r="X25" s="90" t="str">
        <f aca="false">IF($A25="","",$L$63*$D25)</f>
        <v/>
      </c>
      <c r="Y25" s="134" t="str">
        <f aca="false">IF($A25="","",$C25)</f>
        <v/>
      </c>
      <c r="Z25" s="90" t="str">
        <f aca="false">IF($A25="","",$L$64*$D25)</f>
        <v/>
      </c>
      <c r="AA25" s="134"/>
      <c r="AB25" s="90"/>
      <c r="AC25" s="134"/>
      <c r="AD25" s="90"/>
      <c r="AE25" s="135" t="str">
        <f aca="false">IF($A25="","",$I25-67-67)</f>
        <v/>
      </c>
      <c r="AF25" s="136" t="str">
        <f aca="false">IF($A25="","",$K25-67-67)</f>
        <v/>
      </c>
      <c r="AG25" s="137" t="str">
        <f aca="false">IF($A25="","",1*$D25)</f>
        <v/>
      </c>
      <c r="AK25" s="1" t="str">
        <f aca="false">IF($A25="","",1*$D25)</f>
        <v/>
      </c>
      <c r="AM25" s="1" t="str">
        <f aca="false">IF($A25="","",1*$D25)</f>
        <v/>
      </c>
      <c r="AN25" s="1" t="str">
        <f aca="false">IF($A25="","",2*1*$D25)</f>
        <v/>
      </c>
      <c r="AO25" s="1" t="str">
        <f aca="false">IF($A25="","",(2+IF($B25&gt;1800,ROUNDUP(($B25-1800)/500,0),0))*1*$D25)</f>
        <v/>
      </c>
      <c r="AP25" s="1" t="str">
        <f aca="false">IF($A25="","",(2+IF($B25&gt;1800,ROUNDUP(($B25-1800)/500,0),0))*1*$D25)</f>
        <v/>
      </c>
      <c r="AQ25" s="1" t="str">
        <f aca="false">IF($A25="","",4*1*$D25)</f>
        <v/>
      </c>
      <c r="AR25" s="1" t="str">
        <f aca="false">IF($A25="","",8*1*$D25)</f>
        <v/>
      </c>
      <c r="AS25" s="1" t="str">
        <f aca="false">IF($A25="","",8*$D25)</f>
        <v/>
      </c>
      <c r="AT25" s="1" t="str">
        <f aca="false">IF($A25="","",ROUND((2*($C25+$B25))*1*$D25/1000,1))</f>
        <v/>
      </c>
      <c r="AU25" s="1" t="str">
        <f aca="false">IF($A25="","",ROUND((2*($C25+$B25))*$D25/1000,1))</f>
        <v/>
      </c>
    </row>
    <row r="26" customFormat="false" ht="39.75" hidden="false" customHeight="true" outlineLevel="0" collapsed="false">
      <c r="A26" s="88"/>
      <c r="B26" s="89"/>
      <c r="C26" s="90"/>
      <c r="D26" s="91"/>
      <c r="E26" s="139" t="str">
        <f aca="false">IF($A26="","",$B26)</f>
        <v/>
      </c>
      <c r="F26" s="140" t="str">
        <f aca="false">IF($A26="","",$L$54*$D26)</f>
        <v/>
      </c>
      <c r="G26" s="139" t="str">
        <f aca="false">IF($A26="","",$C26-$E$55-$F$55)</f>
        <v/>
      </c>
      <c r="H26" s="140" t="str">
        <f aca="false">IF($A26="","",$L$55*$D26)</f>
        <v/>
      </c>
      <c r="I26" s="139" t="str">
        <f aca="false">IF($A26="","",$B26-$E$56-$F$56)</f>
        <v/>
      </c>
      <c r="J26" s="140" t="str">
        <f aca="false">IF($A26="","",$L$56*$D26)</f>
        <v/>
      </c>
      <c r="K26" s="139" t="str">
        <f aca="false">IF($A26="","",(($C26-$E$57-$F$57)))</f>
        <v/>
      </c>
      <c r="L26" s="140" t="str">
        <f aca="false">IF($A26="","",$L$57*$D26)</f>
        <v/>
      </c>
      <c r="M26" s="139" t="str">
        <f aca="false">IF($A26="","",$I26-$E$58-$F$58)</f>
        <v/>
      </c>
      <c r="N26" s="140" t="str">
        <f aca="false">IF($A26="","",$L$58*$D26)</f>
        <v/>
      </c>
      <c r="O26" s="139" t="str">
        <f aca="false">IF($A26="","",$K26-$E$59-$F$59)</f>
        <v/>
      </c>
      <c r="P26" s="140" t="str">
        <f aca="false">IF($A26="","",$L$59*$D26)</f>
        <v/>
      </c>
      <c r="Q26" s="139" t="str">
        <f aca="false">IF($A26="","",$I26)</f>
        <v/>
      </c>
      <c r="R26" s="140" t="str">
        <f aca="false">IF($A26="","",$L$60*$D26)</f>
        <v/>
      </c>
      <c r="S26" s="139" t="str">
        <f aca="false">IF($A26="","",$K26)</f>
        <v/>
      </c>
      <c r="T26" s="140" t="str">
        <f aca="false">IF($A26="","",$L$61*$D26)</f>
        <v/>
      </c>
      <c r="U26" s="139" t="str">
        <f aca="false">IF($A26="","",$Q26-$E$62-$F$62)</f>
        <v/>
      </c>
      <c r="V26" s="140" t="str">
        <f aca="false">IF($A26="","",$L$62*$D26)</f>
        <v/>
      </c>
      <c r="W26" s="139" t="str">
        <f aca="false">IF($A26="","",$S26-$E$63-$F$63)</f>
        <v/>
      </c>
      <c r="X26" s="140" t="str">
        <f aca="false">IF($A26="","",$L$63*$D26)</f>
        <v/>
      </c>
      <c r="Y26" s="139" t="str">
        <f aca="false">IF($A26="","",$C26)</f>
        <v/>
      </c>
      <c r="Z26" s="140" t="str">
        <f aca="false">IF($A26="","",$L$64*$D26)</f>
        <v/>
      </c>
      <c r="AA26" s="139"/>
      <c r="AB26" s="140"/>
      <c r="AC26" s="139"/>
      <c r="AD26" s="140"/>
      <c r="AE26" s="135" t="str">
        <f aca="false">IF($A26="","",$I26-67-67)</f>
        <v/>
      </c>
      <c r="AF26" s="136" t="str">
        <f aca="false">IF($A26="","",$K26-67-67)</f>
        <v/>
      </c>
      <c r="AG26" s="137" t="str">
        <f aca="false">IF($A26="","",1*$D26)</f>
        <v/>
      </c>
      <c r="AK26" s="1" t="str">
        <f aca="false">IF($A26="","",1*$D26)</f>
        <v/>
      </c>
      <c r="AM26" s="1" t="str">
        <f aca="false">IF($A26="","",1*$D26)</f>
        <v/>
      </c>
      <c r="AN26" s="1" t="str">
        <f aca="false">IF($A26="","",2*1*$D26)</f>
        <v/>
      </c>
      <c r="AO26" s="1" t="str">
        <f aca="false">IF($A26="","",(2+IF($B26&gt;1800,ROUNDUP(($B26-1800)/500,0),0))*1*$D26)</f>
        <v/>
      </c>
      <c r="AP26" s="1" t="str">
        <f aca="false">IF($A26="","",(2+IF($B26&gt;1800,ROUNDUP(($B26-1800)/500,0),0))*1*$D26)</f>
        <v/>
      </c>
      <c r="AQ26" s="1" t="str">
        <f aca="false">IF($A26="","",4*1*$D26)</f>
        <v/>
      </c>
      <c r="AR26" s="1" t="str">
        <f aca="false">IF($A26="","",8*1*$D26)</f>
        <v/>
      </c>
      <c r="AS26" s="1" t="str">
        <f aca="false">IF($A26="","",8*$D26)</f>
        <v/>
      </c>
      <c r="AT26" s="1" t="str">
        <f aca="false">IF($A26="","",ROUND((2*($C26+$B26))*1*$D26/1000,1))</f>
        <v/>
      </c>
      <c r="AU26" s="1" t="str">
        <f aca="false">IF($A26="","",ROUND((2*($C26+$B26))*$D26/1000,1))</f>
        <v/>
      </c>
    </row>
    <row r="27" customFormat="false" ht="39.75" hidden="false" customHeight="true" outlineLevel="0" collapsed="false">
      <c r="A27" s="88"/>
      <c r="B27" s="89"/>
      <c r="C27" s="90"/>
      <c r="D27" s="91"/>
      <c r="E27" s="134" t="str">
        <f aca="false">IF($A27="","",$B27)</f>
        <v/>
      </c>
      <c r="F27" s="90" t="str">
        <f aca="false">IF($A27="","",$L$54*$D27)</f>
        <v/>
      </c>
      <c r="G27" s="134" t="str">
        <f aca="false">IF($A27="","",$C27-$E$55-$F$55)</f>
        <v/>
      </c>
      <c r="H27" s="90" t="str">
        <f aca="false">IF($A27="","",$L$55*$D27)</f>
        <v/>
      </c>
      <c r="I27" s="134" t="str">
        <f aca="false">IF($A27="","",$B27-$E$56-$F$56)</f>
        <v/>
      </c>
      <c r="J27" s="90" t="str">
        <f aca="false">IF($A27="","",$L$56*$D27)</f>
        <v/>
      </c>
      <c r="K27" s="134" t="str">
        <f aca="false">IF($A27="","",(($C27-$E$57-$F$57)))</f>
        <v/>
      </c>
      <c r="L27" s="90" t="str">
        <f aca="false">IF($A27="","",$L$57*$D27)</f>
        <v/>
      </c>
      <c r="M27" s="134" t="str">
        <f aca="false">IF($A27="","",$I27-$E$58-$F$58)</f>
        <v/>
      </c>
      <c r="N27" s="90" t="str">
        <f aca="false">IF($A27="","",$L$58*$D27)</f>
        <v/>
      </c>
      <c r="O27" s="134" t="str">
        <f aca="false">IF($A27="","",$K27-$E$59-$F$59)</f>
        <v/>
      </c>
      <c r="P27" s="90" t="str">
        <f aca="false">IF($A27="","",$L$59*$D27)</f>
        <v/>
      </c>
      <c r="Q27" s="134" t="str">
        <f aca="false">IF($A27="","",$I27)</f>
        <v/>
      </c>
      <c r="R27" s="90" t="str">
        <f aca="false">IF($A27="","",$L$60*$D27)</f>
        <v/>
      </c>
      <c r="S27" s="134" t="str">
        <f aca="false">IF($A27="","",$K27)</f>
        <v/>
      </c>
      <c r="T27" s="90" t="str">
        <f aca="false">IF($A27="","",$L$61*$D27)</f>
        <v/>
      </c>
      <c r="U27" s="134" t="str">
        <f aca="false">IF($A27="","",$Q27-$E$62-$F$62)</f>
        <v/>
      </c>
      <c r="V27" s="90" t="str">
        <f aca="false">IF($A27="","",$L$62*$D27)</f>
        <v/>
      </c>
      <c r="W27" s="134" t="str">
        <f aca="false">IF($A27="","",$S27-$E$63-$F$63)</f>
        <v/>
      </c>
      <c r="X27" s="90" t="str">
        <f aca="false">IF($A27="","",$L$63*$D27)</f>
        <v/>
      </c>
      <c r="Y27" s="134" t="str">
        <f aca="false">IF($A27="","",$C27)</f>
        <v/>
      </c>
      <c r="Z27" s="90" t="str">
        <f aca="false">IF($A27="","",$L$64*$D27)</f>
        <v/>
      </c>
      <c r="AA27" s="134"/>
      <c r="AB27" s="90"/>
      <c r="AC27" s="134"/>
      <c r="AD27" s="90"/>
      <c r="AE27" s="135" t="str">
        <f aca="false">IF($A27="","",$I27-67-67)</f>
        <v/>
      </c>
      <c r="AF27" s="136" t="str">
        <f aca="false">IF($A27="","",$K27-67-67)</f>
        <v/>
      </c>
      <c r="AG27" s="137" t="str">
        <f aca="false">IF($A27="","",1*$D27)</f>
        <v/>
      </c>
      <c r="AK27" s="1" t="str">
        <f aca="false">IF($A27="","",1*$D27)</f>
        <v/>
      </c>
      <c r="AM27" s="1" t="str">
        <f aca="false">IF($A27="","",1*$D27)</f>
        <v/>
      </c>
      <c r="AN27" s="1" t="str">
        <f aca="false">IF($A27="","",2*1*$D27)</f>
        <v/>
      </c>
      <c r="AO27" s="1" t="str">
        <f aca="false">IF($A27="","",(2+IF($B27&gt;1800,ROUNDUP(($B27-1800)/500,0),0))*1*$D27)</f>
        <v/>
      </c>
      <c r="AP27" s="1" t="str">
        <f aca="false">IF($A27="","",(2+IF($B27&gt;1800,ROUNDUP(($B27-1800)/500,0),0))*1*$D27)</f>
        <v/>
      </c>
      <c r="AQ27" s="1" t="str">
        <f aca="false">IF($A27="","",4*1*$D27)</f>
        <v/>
      </c>
      <c r="AR27" s="1" t="str">
        <f aca="false">IF($A27="","",8*1*$D27)</f>
        <v/>
      </c>
      <c r="AS27" s="1" t="str">
        <f aca="false">IF($A27="","",8*$D27)</f>
        <v/>
      </c>
      <c r="AT27" s="1" t="str">
        <f aca="false">IF($A27="","",ROUND((2*($C27+$B27))*1*$D27/1000,1))</f>
        <v/>
      </c>
      <c r="AU27" s="1" t="str">
        <f aca="false">IF($A27="","",ROUND((2*($C27+$B27))*$D27/1000,1))</f>
        <v/>
      </c>
    </row>
    <row r="28" customFormat="false" ht="39.75" hidden="false" customHeight="true" outlineLevel="0" collapsed="false">
      <c r="A28" s="88"/>
      <c r="B28" s="89"/>
      <c r="C28" s="90"/>
      <c r="D28" s="91"/>
      <c r="E28" s="139" t="str">
        <f aca="false">IF($A28="","",$B28)</f>
        <v/>
      </c>
      <c r="F28" s="140" t="str">
        <f aca="false">IF($A28="","",$L$54*$D28)</f>
        <v/>
      </c>
      <c r="G28" s="139" t="str">
        <f aca="false">IF($A28="","",$C28-$E$55-$F$55)</f>
        <v/>
      </c>
      <c r="H28" s="140" t="str">
        <f aca="false">IF($A28="","",$L$55*$D28)</f>
        <v/>
      </c>
      <c r="I28" s="139" t="str">
        <f aca="false">IF($A28="","",$B28-$E$56-$F$56)</f>
        <v/>
      </c>
      <c r="J28" s="140" t="str">
        <f aca="false">IF($A28="","",$L$56*$D28)</f>
        <v/>
      </c>
      <c r="K28" s="139" t="str">
        <f aca="false">IF($A28="","",(($C28-$E$57-$F$57)))</f>
        <v/>
      </c>
      <c r="L28" s="140" t="str">
        <f aca="false">IF($A28="","",$L$57*$D28)</f>
        <v/>
      </c>
      <c r="M28" s="139" t="str">
        <f aca="false">IF($A28="","",$I28-$E$58-$F$58)</f>
        <v/>
      </c>
      <c r="N28" s="140" t="str">
        <f aca="false">IF($A28="","",$L$58*$D28)</f>
        <v/>
      </c>
      <c r="O28" s="139" t="str">
        <f aca="false">IF($A28="","",$K28-$E$59-$F$59)</f>
        <v/>
      </c>
      <c r="P28" s="140" t="str">
        <f aca="false">IF($A28="","",$L$59*$D28)</f>
        <v/>
      </c>
      <c r="Q28" s="139" t="str">
        <f aca="false">IF($A28="","",$I28)</f>
        <v/>
      </c>
      <c r="R28" s="140" t="str">
        <f aca="false">IF($A28="","",$L$60*$D28)</f>
        <v/>
      </c>
      <c r="S28" s="139" t="str">
        <f aca="false">IF($A28="","",$K28)</f>
        <v/>
      </c>
      <c r="T28" s="140" t="str">
        <f aca="false">IF($A28="","",$L$61*$D28)</f>
        <v/>
      </c>
      <c r="U28" s="139" t="str">
        <f aca="false">IF($A28="","",$Q28-$E$62-$F$62)</f>
        <v/>
      </c>
      <c r="V28" s="140" t="str">
        <f aca="false">IF($A28="","",$L$62*$D28)</f>
        <v/>
      </c>
      <c r="W28" s="139" t="str">
        <f aca="false">IF($A28="","",$S28-$E$63-$F$63)</f>
        <v/>
      </c>
      <c r="X28" s="140" t="str">
        <f aca="false">IF($A28="","",$L$63*$D28)</f>
        <v/>
      </c>
      <c r="Y28" s="139" t="str">
        <f aca="false">IF($A28="","",$C28)</f>
        <v/>
      </c>
      <c r="Z28" s="140" t="str">
        <f aca="false">IF($A28="","",$L$64*$D28)</f>
        <v/>
      </c>
      <c r="AA28" s="139"/>
      <c r="AB28" s="140"/>
      <c r="AC28" s="139"/>
      <c r="AD28" s="140"/>
      <c r="AE28" s="135" t="str">
        <f aca="false">IF($A28="","",$I28-67-67)</f>
        <v/>
      </c>
      <c r="AF28" s="136" t="str">
        <f aca="false">IF($A28="","",$K28-67-67)</f>
        <v/>
      </c>
      <c r="AG28" s="137" t="str">
        <f aca="false">IF($A28="","",1*$D28)</f>
        <v/>
      </c>
      <c r="AK28" s="1" t="str">
        <f aca="false">IF($A28="","",1*$D28)</f>
        <v/>
      </c>
      <c r="AM28" s="1" t="str">
        <f aca="false">IF($A28="","",1*$D28)</f>
        <v/>
      </c>
      <c r="AN28" s="1" t="str">
        <f aca="false">IF($A28="","",2*1*$D28)</f>
        <v/>
      </c>
      <c r="AO28" s="1" t="str">
        <f aca="false">IF($A28="","",(2+IF($B28&gt;1800,ROUNDUP(($B28-1800)/500,0),0))*1*$D28)</f>
        <v/>
      </c>
      <c r="AP28" s="1" t="str">
        <f aca="false">IF($A28="","",(2+IF($B28&gt;1800,ROUNDUP(($B28-1800)/500,0),0))*1*$D28)</f>
        <v/>
      </c>
      <c r="AQ28" s="1" t="str">
        <f aca="false">IF($A28="","",4*1*$D28)</f>
        <v/>
      </c>
      <c r="AR28" s="1" t="str">
        <f aca="false">IF($A28="","",8*1*$D28)</f>
        <v/>
      </c>
      <c r="AS28" s="1" t="str">
        <f aca="false">IF($A28="","",8*$D28)</f>
        <v/>
      </c>
      <c r="AT28" s="1" t="str">
        <f aca="false">IF($A28="","",ROUND((2*($C28+$B28))*1*$D28/1000,1))</f>
        <v/>
      </c>
      <c r="AU28" s="1" t="str">
        <f aca="false">IF($A28="","",ROUND((2*($C28+$B28))*$D28/1000,1))</f>
        <v/>
      </c>
    </row>
    <row r="29" customFormat="false" ht="39.75" hidden="false" customHeight="true" outlineLevel="0" collapsed="false"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141" t="str">
        <f aca="false">E$7</f>
        <v>F7938</v>
      </c>
      <c r="F30" s="141"/>
      <c r="G30" s="141"/>
      <c r="H30" s="142" t="n">
        <f aca="false">(ROUNDUP(SUM(F49:H49)/6400,0))</f>
        <v>2</v>
      </c>
      <c r="I30" s="141" t="str">
        <f aca="false">I$7</f>
        <v>F7943</v>
      </c>
      <c r="J30" s="141"/>
      <c r="K30" s="141"/>
      <c r="L30" s="142" t="n">
        <f aca="false">(ROUNDUP(SUM(J49:L49)/6400,0))</f>
        <v>2</v>
      </c>
      <c r="M30" s="141" t="str">
        <f aca="false">M$7</f>
        <v>F7935</v>
      </c>
      <c r="N30" s="141"/>
      <c r="O30" s="141"/>
      <c r="P30" s="142" t="n">
        <f aca="false">(ROUNDUP(SUM(N49:P49)/6400,0))</f>
        <v>2</v>
      </c>
      <c r="Q30" s="141" t="str">
        <f aca="false">Q$7</f>
        <v>F7944</v>
      </c>
      <c r="R30" s="141"/>
      <c r="S30" s="141"/>
      <c r="T30" s="142" t="n">
        <f aca="false">(ROUNDUP(SUM(R49:T49)/6400,0))</f>
        <v>2</v>
      </c>
      <c r="U30" s="141" t="str">
        <f aca="false">U$7</f>
        <v>F7949</v>
      </c>
      <c r="V30" s="141"/>
      <c r="W30" s="141"/>
      <c r="X30" s="142" t="n">
        <f aca="false">(ROUNDUP(SUM(V49:X49)/6400,0))</f>
        <v>2</v>
      </c>
      <c r="Y30" s="142" t="str">
        <f aca="false">Y$7</f>
        <v>F7948</v>
      </c>
      <c r="Z30" s="142" t="n">
        <f aca="false">(ROUNDUP(Z49/6400,0))</f>
        <v>1</v>
      </c>
      <c r="AA30" s="142" t="n">
        <f aca="false">AA$7</f>
        <v>0</v>
      </c>
      <c r="AB30" s="142" t="n">
        <f aca="false">(ROUNDUP(AB49/6400,0))</f>
        <v>0</v>
      </c>
      <c r="AC30" s="142" t="n">
        <f aca="false">AC$7</f>
        <v>0</v>
      </c>
      <c r="AD30" s="142" t="n">
        <f aca="false">(ROUNDUP(AD49/6400,0))</f>
        <v>0</v>
      </c>
      <c r="AJ30" s="40" t="s">
        <v>65</v>
      </c>
      <c r="AK30" s="40" t="n">
        <f aca="false">SUM(AK11:AK28)</f>
        <v>2</v>
      </c>
      <c r="AM30" s="40" t="n">
        <f aca="false">SUM(AM11:AM28)</f>
        <v>2</v>
      </c>
      <c r="AN30" s="40" t="n">
        <f aca="false">SUM(AN11:AN28)</f>
        <v>4</v>
      </c>
      <c r="AO30" s="40" t="n">
        <f aca="false">SUM(AO11:AO28)</f>
        <v>4</v>
      </c>
      <c r="AP30" s="40" t="n">
        <f aca="false">SUM(AP11:AP28)</f>
        <v>4</v>
      </c>
      <c r="AQ30" s="40" t="n">
        <f aca="false">SUM(AQ11:AQ28)</f>
        <v>8</v>
      </c>
      <c r="AR30" s="40" t="n">
        <f aca="false">SUM(AR11:AR28)</f>
        <v>16</v>
      </c>
      <c r="AS30" s="40" t="n">
        <f aca="false">SUM(AS11:AS28)</f>
        <v>16</v>
      </c>
      <c r="AT30" s="40" t="n">
        <f aca="false">SUM(AT11:AT28)</f>
        <v>10.2</v>
      </c>
      <c r="AU30" s="40" t="n">
        <f aca="false">SUM(AU11:AU28)</f>
        <v>10.2</v>
      </c>
    </row>
    <row r="31" customFormat="false" ht="39.75" hidden="true" customHeight="true" outlineLevel="0" collapsed="false">
      <c r="F31" s="67" t="n">
        <f aca="false">IF($A11="","",F11*E11)</f>
        <v>3096</v>
      </c>
      <c r="G31" s="67"/>
      <c r="H31" s="67" t="n">
        <f aca="false">IF($A11="","",H11*G11)</f>
        <v>1886</v>
      </c>
      <c r="I31" s="67"/>
      <c r="J31" s="67" t="n">
        <f aca="false">IF($A11="","",J11*I11)</f>
        <v>3022</v>
      </c>
      <c r="K31" s="67"/>
      <c r="L31" s="67" t="n">
        <f aca="false">IF($A11="","",L11*K11)</f>
        <v>1912</v>
      </c>
      <c r="M31" s="67"/>
      <c r="N31" s="67" t="n">
        <f aca="false">IF($A11="","",N11*M11)</f>
        <v>2702</v>
      </c>
      <c r="O31" s="67"/>
      <c r="P31" s="67" t="n">
        <f aca="false">IF($A11="","",P11*O11)</f>
        <v>1672</v>
      </c>
      <c r="Q31" s="67"/>
      <c r="R31" s="67" t="n">
        <f aca="false">IF($A11="","",R11*Q11)</f>
        <v>3022</v>
      </c>
      <c r="S31" s="67"/>
      <c r="T31" s="67" t="n">
        <f aca="false">IF($A11="","",T11*S11)</f>
        <v>1912</v>
      </c>
      <c r="U31" s="67"/>
      <c r="V31" s="67" t="n">
        <f aca="false">IF($A11="","",V11*U11)</f>
        <v>2702</v>
      </c>
      <c r="W31" s="67"/>
      <c r="X31" s="67" t="n">
        <f aca="false">IF($A11="","",X11*W11)</f>
        <v>1672</v>
      </c>
      <c r="Y31" s="67"/>
      <c r="Z31" s="67" t="n">
        <f aca="false">IF($A11="","",Z11*Y11)</f>
        <v>993</v>
      </c>
      <c r="AA31" s="67"/>
      <c r="AB31" s="67" t="n">
        <f aca="false">IF($A11="","",AB11*AA11)</f>
        <v>0</v>
      </c>
      <c r="AC31" s="67"/>
      <c r="AD31" s="67" t="n">
        <f aca="false">IF($A11="","",AD11*AC11)</f>
        <v>0</v>
      </c>
    </row>
    <row r="32" customFormat="false" ht="39.75" hidden="true" customHeight="true" outlineLevel="0" collapsed="false">
      <c r="F32" s="67" t="n">
        <f aca="false">IF($A12="","",F12*E12)</f>
        <v>3094</v>
      </c>
      <c r="G32" s="67"/>
      <c r="H32" s="67" t="n">
        <f aca="false">IF($A12="","",H12*G12)</f>
        <v>1876</v>
      </c>
      <c r="I32" s="67"/>
      <c r="J32" s="67" t="n">
        <f aca="false">IF($A12="","",J12*I12)</f>
        <v>3020</v>
      </c>
      <c r="K32" s="67"/>
      <c r="L32" s="67" t="n">
        <f aca="false">IF($A12="","",L12*K12)</f>
        <v>1902</v>
      </c>
      <c r="M32" s="67"/>
      <c r="N32" s="67" t="n">
        <f aca="false">IF($A12="","",N12*M12)</f>
        <v>2700</v>
      </c>
      <c r="O32" s="67"/>
      <c r="P32" s="67" t="n">
        <f aca="false">IF($A12="","",P12*O12)</f>
        <v>1662</v>
      </c>
      <c r="Q32" s="67"/>
      <c r="R32" s="67" t="n">
        <f aca="false">IF($A12="","",R12*Q12)</f>
        <v>3020</v>
      </c>
      <c r="S32" s="67"/>
      <c r="T32" s="67" t="n">
        <f aca="false">IF($A12="","",T12*S12)</f>
        <v>1902</v>
      </c>
      <c r="U32" s="67"/>
      <c r="V32" s="67" t="n">
        <f aca="false">IF($A12="","",V12*U12)</f>
        <v>2700</v>
      </c>
      <c r="W32" s="67"/>
      <c r="X32" s="67" t="n">
        <f aca="false">IF($A12="","",X12*W12)</f>
        <v>1662</v>
      </c>
      <c r="Y32" s="67"/>
      <c r="Z32" s="67" t="n">
        <f aca="false">IF($A12="","",Z12*Y12)</f>
        <v>988</v>
      </c>
      <c r="AA32" s="67"/>
      <c r="AB32" s="67" t="n">
        <f aca="false">IF($A12="","",AB12*AA12)</f>
        <v>0</v>
      </c>
      <c r="AC32" s="67"/>
      <c r="AD32" s="67" t="n">
        <f aca="false">IF($A12="","",AD12*AC12)</f>
        <v>0</v>
      </c>
    </row>
    <row r="33" customFormat="false" ht="39.75" hidden="true" customHeight="true" outlineLevel="0" collapsed="false">
      <c r="F33" s="67" t="str">
        <f aca="false">IF($A13="","",F13*E13)</f>
        <v/>
      </c>
      <c r="G33" s="67"/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  <c r="AC33" s="67"/>
      <c r="AD33" s="67" t="str">
        <f aca="false">IF($A13="","",AD13*AC13)</f>
        <v/>
      </c>
    </row>
    <row r="34" customFormat="false" ht="39.75" hidden="true" customHeight="true" outlineLevel="0" collapsed="false">
      <c r="F34" s="67" t="str">
        <f aca="false">IF($A14="","",F14*E14)</f>
        <v/>
      </c>
      <c r="G34" s="67"/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  <c r="AC34" s="67"/>
      <c r="AD34" s="67" t="str">
        <f aca="false">IF($A14="","",AD14*AC14)</f>
        <v/>
      </c>
    </row>
    <row r="35" customFormat="false" ht="39.75" hidden="true" customHeight="true" outlineLevel="0" collapsed="false">
      <c r="F35" s="67" t="str">
        <f aca="false">IF($A15="","",F15*E15)</f>
        <v/>
      </c>
      <c r="G35" s="67"/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  <c r="AC35" s="67"/>
      <c r="AD35" s="67" t="str">
        <f aca="false">IF($A15="","",AD15*AC15)</f>
        <v/>
      </c>
    </row>
    <row r="36" customFormat="false" ht="15" hidden="true" customHeight="true" outlineLevel="0" collapsed="false">
      <c r="F36" s="67" t="str">
        <f aca="false">IF($A16="","",F16*E16)</f>
        <v/>
      </c>
      <c r="G36" s="67"/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  <c r="AC36" s="67"/>
      <c r="AD36" s="67" t="str">
        <f aca="false">IF($A16="","",AD16*AC16)</f>
        <v/>
      </c>
    </row>
    <row r="37" customFormat="false" ht="15" hidden="true" customHeight="true" outlineLevel="0" collapsed="false">
      <c r="F37" s="67" t="str">
        <f aca="false">IF($A17="","",F17*E17)</f>
        <v/>
      </c>
      <c r="G37" s="67"/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  <c r="AC37" s="67"/>
      <c r="AD37" s="67" t="str">
        <f aca="false">IF($A17="","",AD17*AC17)</f>
        <v/>
      </c>
    </row>
    <row r="38" customFormat="false" ht="15" hidden="true" customHeight="true" outlineLevel="0" collapsed="false">
      <c r="F38" s="67" t="str">
        <f aca="false">IF($A18="","",F18*E18)</f>
        <v/>
      </c>
      <c r="G38" s="67"/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  <c r="AC38" s="67"/>
      <c r="AD38" s="67" t="str">
        <f aca="false">IF($A18="","",AD18*AC18)</f>
        <v/>
      </c>
    </row>
    <row r="39" customFormat="false" ht="15" hidden="true" customHeight="true" outlineLevel="0" collapsed="false">
      <c r="F39" s="67" t="str">
        <f aca="false">IF($A19="","",F19*E19)</f>
        <v/>
      </c>
      <c r="G39" s="67"/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  <c r="AC39" s="67"/>
      <c r="AD39" s="67" t="str">
        <f aca="false">IF($A19="","",AD19*AC19)</f>
        <v/>
      </c>
    </row>
    <row r="40" customFormat="false" ht="15" hidden="true" customHeight="true" outlineLevel="0" collapsed="false">
      <c r="F40" s="67" t="str">
        <f aca="false">IF($A20="","",F20*E20)</f>
        <v/>
      </c>
      <c r="G40" s="67"/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  <c r="AC40" s="67"/>
      <c r="AD40" s="67" t="str">
        <f aca="false">IF($A20="","",AD20*AC20)</f>
        <v/>
      </c>
    </row>
    <row r="41" customFormat="false" ht="15" hidden="true" customHeight="true" outlineLevel="0" collapsed="false">
      <c r="F41" s="67" t="str">
        <f aca="false">IF($A21="","",F21*E21)</f>
        <v/>
      </c>
      <c r="G41" s="67"/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  <c r="AC41" s="67"/>
      <c r="AD41" s="67" t="str">
        <f aca="false">IF($A21="","",AD21*AC21)</f>
        <v/>
      </c>
    </row>
    <row r="42" customFormat="false" ht="15" hidden="true" customHeight="true" outlineLevel="0" collapsed="false">
      <c r="F42" s="67" t="str">
        <f aca="false">IF($A22="","",F22*E22)</f>
        <v/>
      </c>
      <c r="G42" s="67"/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  <c r="AC42" s="67"/>
      <c r="AD42" s="67" t="str">
        <f aca="false">IF($A22="","",AD22*AC22)</f>
        <v/>
      </c>
    </row>
    <row r="43" customFormat="false" ht="15" hidden="true" customHeight="true" outlineLevel="0" collapsed="false">
      <c r="F43" s="67" t="str">
        <f aca="false">IF($A23="","",F23*E23)</f>
        <v/>
      </c>
      <c r="G43" s="67"/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  <c r="AC43" s="67"/>
      <c r="AD43" s="67" t="str">
        <f aca="false">IF($A23="","",AD23*AC23)</f>
        <v/>
      </c>
    </row>
    <row r="44" customFormat="false" ht="15" hidden="true" customHeight="true" outlineLevel="0" collapsed="false">
      <c r="F44" s="67" t="str">
        <f aca="false">IF($A24="","",F24*E24)</f>
        <v/>
      </c>
      <c r="G44" s="67"/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  <c r="AC44" s="67"/>
      <c r="AD44" s="67" t="str">
        <f aca="false">IF($A24="","",AD24*AC24)</f>
        <v/>
      </c>
    </row>
    <row r="45" customFormat="false" ht="15" hidden="true" customHeight="true" outlineLevel="0" collapsed="false">
      <c r="F45" s="67" t="str">
        <f aca="false">IF($A25="","",F25*E25)</f>
        <v/>
      </c>
      <c r="G45" s="67"/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  <c r="AC45" s="67"/>
      <c r="AD45" s="67" t="str">
        <f aca="false">IF($A25="","",AD25*AC25)</f>
        <v/>
      </c>
    </row>
    <row r="46" customFormat="false" ht="15" hidden="true" customHeight="true" outlineLevel="0" collapsed="false">
      <c r="F46" s="67" t="str">
        <f aca="false">IF($A26="","",F26*E26)</f>
        <v/>
      </c>
      <c r="G46" s="67"/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  <c r="AC46" s="67"/>
      <c r="AD46" s="67" t="str">
        <f aca="false">IF($A26="","",AD26*AC26)</f>
        <v/>
      </c>
    </row>
    <row r="47" customFormat="false" ht="15" hidden="true" customHeight="true" outlineLevel="0" collapsed="false">
      <c r="F47" s="67" t="str">
        <f aca="false">IF($A27="","",F27*E27)</f>
        <v/>
      </c>
      <c r="G47" s="67"/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  <c r="AC47" s="67"/>
      <c r="AD47" s="67" t="str">
        <f aca="false">IF($A27="","",AD27*AC27)</f>
        <v/>
      </c>
    </row>
    <row r="48" customFormat="false" ht="15" hidden="true" customHeight="true" outlineLevel="0" collapsed="false">
      <c r="F48" s="67" t="str">
        <f aca="false">IF($A28="","",F28*E28)</f>
        <v/>
      </c>
      <c r="G48" s="67"/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  <c r="AC48" s="67"/>
      <c r="AD48" s="67" t="str">
        <f aca="false">IF($A28="","",AD28*AC28)</f>
        <v/>
      </c>
    </row>
    <row r="49" customFormat="false" ht="15" hidden="true" customHeight="true" outlineLevel="0" collapsed="false">
      <c r="F49" s="68" t="n">
        <f aca="false">SUMIF(F31:F48,"&gt;0")</f>
        <v>6190</v>
      </c>
      <c r="G49" s="68"/>
      <c r="H49" s="68" t="n">
        <f aca="false">SUMIF(H31:H48,"&gt;0")</f>
        <v>3762</v>
      </c>
      <c r="I49" s="68"/>
      <c r="J49" s="68" t="n">
        <f aca="false">SUMIF(J31:J48,"&gt;0")</f>
        <v>6042</v>
      </c>
      <c r="K49" s="68"/>
      <c r="L49" s="68" t="n">
        <f aca="false">SUMIF(L31:L48,"&gt;0")</f>
        <v>3814</v>
      </c>
      <c r="N49" s="68" t="n">
        <f aca="false">SUMIF(N31:N48,"&gt;0")</f>
        <v>5402</v>
      </c>
      <c r="O49" s="68"/>
      <c r="P49" s="68" t="n">
        <f aca="false">SUMIF(P31:P48,"&gt;0")</f>
        <v>3334</v>
      </c>
      <c r="Q49" s="68"/>
      <c r="R49" s="68" t="n">
        <f aca="false">SUMIF(R31:R48,"&gt;0")</f>
        <v>6042</v>
      </c>
      <c r="S49" s="68"/>
      <c r="T49" s="68" t="n">
        <f aca="false">SUMIF(T31:T48,"&gt;0")</f>
        <v>3814</v>
      </c>
      <c r="U49" s="68"/>
      <c r="V49" s="68" t="n">
        <f aca="false">SUMIF(V31:V48,"&gt;0")</f>
        <v>5402</v>
      </c>
      <c r="X49" s="68" t="n">
        <f aca="false">SUMIF(X31:X48,"&gt;0")</f>
        <v>3334</v>
      </c>
      <c r="Z49" s="68" t="n">
        <f aca="false">SUMIF(Z31:Z48,"&gt;0")</f>
        <v>1981</v>
      </c>
      <c r="AA49" s="68"/>
      <c r="AB49" s="68" t="n">
        <f aca="false">SUMIF(AB31:AB48,"&gt;0")</f>
        <v>0</v>
      </c>
      <c r="AD49" s="68" t="n">
        <f aca="false">SUMIF(AD31:AD48,"&gt;0")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15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 t="n">
        <v>2</v>
      </c>
    </row>
    <row r="55" customFormat="false" ht="15" hidden="false" customHeight="true" outlineLevel="0" collapsed="false">
      <c r="A55" s="72" t="n">
        <v>2</v>
      </c>
      <c r="B55" s="73" t="s">
        <v>226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 t="n">
        <v>2</v>
      </c>
    </row>
    <row r="56" customFormat="false" ht="15" hidden="false" customHeight="true" outlineLevel="0" collapsed="false">
      <c r="A56" s="72" t="n">
        <v>3</v>
      </c>
      <c r="B56" s="73" t="s">
        <v>34</v>
      </c>
      <c r="C56" s="74" t="s">
        <v>181</v>
      </c>
      <c r="D56" s="75" t="s">
        <v>8</v>
      </c>
      <c r="E56" s="77" t="n">
        <v>18.5</v>
      </c>
      <c r="F56" s="77" t="n">
        <v>18.5</v>
      </c>
      <c r="G56" s="76"/>
      <c r="H56" s="76"/>
      <c r="I56" s="76"/>
      <c r="J56" s="76"/>
      <c r="K56" s="76"/>
      <c r="L56" s="77" t="n">
        <v>2</v>
      </c>
    </row>
    <row r="57" customFormat="false" ht="15" hidden="false" customHeight="true" outlineLevel="0" collapsed="false">
      <c r="A57" s="72" t="n">
        <v>4</v>
      </c>
      <c r="B57" s="73" t="s">
        <v>35</v>
      </c>
      <c r="C57" s="74" t="s">
        <v>79</v>
      </c>
      <c r="D57" s="75" t="s">
        <v>9</v>
      </c>
      <c r="E57" s="77" t="n">
        <v>18.5</v>
      </c>
      <c r="F57" s="77" t="n">
        <v>18.5</v>
      </c>
      <c r="G57" s="76"/>
      <c r="H57" s="76"/>
      <c r="I57" s="76"/>
      <c r="J57" s="76"/>
      <c r="K57" s="76"/>
      <c r="L57" s="77" t="n">
        <v>2</v>
      </c>
    </row>
    <row r="58" customFormat="false" ht="15" hidden="false" customHeight="true" outlineLevel="0" collapsed="false">
      <c r="A58" s="72" t="n">
        <v>5</v>
      </c>
      <c r="B58" s="73" t="s">
        <v>36</v>
      </c>
      <c r="C58" s="74" t="s">
        <v>17</v>
      </c>
      <c r="D58" s="75" t="s">
        <v>176</v>
      </c>
      <c r="E58" s="77" t="n">
        <v>80</v>
      </c>
      <c r="F58" s="77" t="n">
        <v>80</v>
      </c>
      <c r="G58" s="76"/>
      <c r="H58" s="76"/>
      <c r="I58" s="76"/>
      <c r="J58" s="76"/>
      <c r="K58" s="76"/>
      <c r="L58" s="77" t="n">
        <v>2</v>
      </c>
    </row>
    <row r="59" customFormat="false" ht="15" hidden="false" customHeight="true" outlineLevel="0" collapsed="false">
      <c r="A59" s="72" t="n">
        <v>6</v>
      </c>
      <c r="B59" s="73" t="s">
        <v>37</v>
      </c>
      <c r="C59" s="74" t="s">
        <v>79</v>
      </c>
      <c r="D59" s="75" t="s">
        <v>177</v>
      </c>
      <c r="E59" s="77" t="n">
        <v>60</v>
      </c>
      <c r="F59" s="77" t="n">
        <v>60</v>
      </c>
      <c r="G59" s="76"/>
      <c r="H59" s="76"/>
      <c r="I59" s="76"/>
      <c r="J59" s="76"/>
      <c r="K59" s="76"/>
      <c r="L59" s="77" t="n">
        <v>2</v>
      </c>
    </row>
    <row r="60" customFormat="false" ht="15" hidden="false" customHeight="true" outlineLevel="0" collapsed="false">
      <c r="A60" s="72" t="n">
        <v>7</v>
      </c>
      <c r="B60" s="73" t="s">
        <v>227</v>
      </c>
      <c r="C60" s="74" t="s">
        <v>223</v>
      </c>
      <c r="D60" s="75" t="s">
        <v>8</v>
      </c>
      <c r="E60" s="76"/>
      <c r="F60" s="76"/>
      <c r="G60" s="76"/>
      <c r="H60" s="76"/>
      <c r="I60" s="76"/>
      <c r="J60" s="76"/>
      <c r="K60" s="76"/>
      <c r="L60" s="77" t="n">
        <v>2</v>
      </c>
    </row>
    <row r="61" customFormat="false" ht="15" hidden="false" customHeight="true" outlineLevel="0" collapsed="false">
      <c r="A61" s="72" t="n">
        <v>8</v>
      </c>
      <c r="B61" s="73" t="s">
        <v>228</v>
      </c>
      <c r="C61" s="74" t="s">
        <v>79</v>
      </c>
      <c r="D61" s="75" t="s">
        <v>9</v>
      </c>
      <c r="E61" s="76"/>
      <c r="F61" s="76"/>
      <c r="G61" s="76"/>
      <c r="H61" s="76"/>
      <c r="I61" s="76"/>
      <c r="J61" s="76"/>
      <c r="K61" s="76"/>
      <c r="L61" s="77" t="n">
        <v>2</v>
      </c>
    </row>
    <row r="62" customFormat="false" ht="15" hidden="false" customHeight="true" outlineLevel="0" collapsed="false">
      <c r="A62" s="72" t="n">
        <v>9</v>
      </c>
      <c r="B62" s="73" t="s">
        <v>229</v>
      </c>
      <c r="C62" s="74" t="s">
        <v>224</v>
      </c>
      <c r="D62" s="75" t="s">
        <v>176</v>
      </c>
      <c r="E62" s="77" t="n">
        <v>80</v>
      </c>
      <c r="F62" s="77" t="n">
        <v>80</v>
      </c>
      <c r="G62" s="76"/>
      <c r="H62" s="76"/>
      <c r="I62" s="76"/>
      <c r="J62" s="76"/>
      <c r="K62" s="76"/>
      <c r="L62" s="77" t="n">
        <v>2</v>
      </c>
    </row>
    <row r="63" customFormat="false" ht="15" hidden="false" customHeight="true" outlineLevel="0" collapsed="false">
      <c r="A63" s="72" t="n">
        <v>10</v>
      </c>
      <c r="B63" s="73" t="s">
        <v>230</v>
      </c>
      <c r="C63" s="74" t="s">
        <v>79</v>
      </c>
      <c r="D63" s="75" t="s">
        <v>177</v>
      </c>
      <c r="E63" s="77" t="n">
        <v>60</v>
      </c>
      <c r="F63" s="77" t="n">
        <v>60</v>
      </c>
      <c r="G63" s="76"/>
      <c r="H63" s="76"/>
      <c r="I63" s="76"/>
      <c r="J63" s="76"/>
      <c r="K63" s="76"/>
      <c r="L63" s="77" t="n">
        <v>2</v>
      </c>
    </row>
    <row r="64" customFormat="false" ht="15" hidden="false" customHeight="true" outlineLevel="0" collapsed="false">
      <c r="A64" s="72" t="n">
        <v>11</v>
      </c>
      <c r="B64" s="73" t="s">
        <v>231</v>
      </c>
      <c r="C64" s="74" t="s">
        <v>225</v>
      </c>
      <c r="D64" s="75" t="s">
        <v>57</v>
      </c>
      <c r="E64" s="76"/>
      <c r="F64" s="76"/>
      <c r="G64" s="76"/>
      <c r="H64" s="76"/>
      <c r="I64" s="76"/>
      <c r="J64" s="76"/>
      <c r="K64" s="76"/>
      <c r="L64" s="77" t="n">
        <v>1</v>
      </c>
    </row>
    <row r="66" customFormat="false" ht="15" hidden="false" customHeight="true" outlineLevel="0" collapsed="false">
      <c r="A66" s="78" t="s">
        <v>209</v>
      </c>
      <c r="F66" s="79"/>
    </row>
    <row r="67" customFormat="false" ht="15" hidden="false" customHeight="true" outlineLevel="0" collapsed="false">
      <c r="A67" s="80" t="s">
        <v>210</v>
      </c>
      <c r="B67" s="81" t="s">
        <v>211</v>
      </c>
      <c r="F67" s="82"/>
    </row>
    <row r="68" customFormat="false" ht="15" hidden="false" customHeight="true" outlineLevel="0" collapsed="false">
      <c r="A68" s="80" t="s">
        <v>212</v>
      </c>
      <c r="B68" s="81" t="s">
        <v>82</v>
      </c>
      <c r="F68" s="82"/>
    </row>
    <row r="69" customFormat="false" ht="15" hidden="false" customHeight="true" outlineLevel="0" collapsed="false">
      <c r="A69" s="80" t="s">
        <v>213</v>
      </c>
      <c r="B69" s="81" t="s">
        <v>214</v>
      </c>
      <c r="F69" s="82"/>
    </row>
    <row r="70" customFormat="false" ht="15" hidden="false" customHeight="true" outlineLevel="0" collapsed="false">
      <c r="A70" s="132"/>
      <c r="F70" s="82"/>
    </row>
    <row r="71" customFormat="false" ht="15" hidden="false" customHeight="true" outlineLevel="0" collapsed="false">
      <c r="A71" s="78" t="s">
        <v>89</v>
      </c>
    </row>
    <row r="72" customFormat="false" ht="15" hidden="false" customHeight="true" outlineLevel="0" collapsed="false">
      <c r="A72" s="84" t="s">
        <v>67</v>
      </c>
      <c r="B72" s="84" t="s">
        <v>90</v>
      </c>
      <c r="C72" s="84" t="s">
        <v>91</v>
      </c>
      <c r="D72" s="84" t="s">
        <v>60</v>
      </c>
      <c r="E72" s="84" t="s">
        <v>92</v>
      </c>
      <c r="F72" s="84" t="s">
        <v>93</v>
      </c>
    </row>
    <row r="73" customFormat="false" ht="15" hidden="false" customHeight="true" outlineLevel="0" collapsed="false">
      <c r="A73" s="85" t="n">
        <v>1</v>
      </c>
      <c r="B73" s="85" t="s">
        <v>192</v>
      </c>
      <c r="C73" s="81" t="str">
        <f aca="false">AK8</f>
        <v>JR00304</v>
      </c>
      <c r="D73" s="86" t="n">
        <f aca="false">AK30</f>
        <v>2</v>
      </c>
      <c r="E73" s="85" t="s">
        <v>22</v>
      </c>
    </row>
    <row r="74" customFormat="false" ht="15" hidden="false" customHeight="true" outlineLevel="0" collapsed="false">
      <c r="A74" s="85" t="n">
        <v>2</v>
      </c>
      <c r="B74" s="85" t="s">
        <v>215</v>
      </c>
      <c r="C74" s="81" t="str">
        <f aca="false">AM8</f>
        <v>JR00566</v>
      </c>
      <c r="D74" s="86" t="n">
        <f aca="false">AM30</f>
        <v>2</v>
      </c>
      <c r="E74" s="85" t="s">
        <v>94</v>
      </c>
    </row>
    <row r="75" customFormat="false" ht="15" hidden="false" customHeight="true" outlineLevel="0" collapsed="false">
      <c r="A75" s="85" t="n">
        <v>3</v>
      </c>
      <c r="B75" s="85" t="s">
        <v>194</v>
      </c>
      <c r="C75" s="81" t="str">
        <f aca="false">AN8</f>
        <v>JR00559</v>
      </c>
      <c r="D75" s="86" t="n">
        <f aca="false">AN30</f>
        <v>4</v>
      </c>
      <c r="E75" s="85" t="s">
        <v>94</v>
      </c>
    </row>
    <row r="76" customFormat="false" ht="15" hidden="false" customHeight="true" outlineLevel="0" collapsed="false">
      <c r="A76" s="85" t="n">
        <v>4</v>
      </c>
      <c r="B76" s="85" t="s">
        <v>195</v>
      </c>
      <c r="C76" s="81" t="str">
        <f aca="false">AO8</f>
        <v>JR00486</v>
      </c>
      <c r="D76" s="86" t="n">
        <f aca="false">AO30</f>
        <v>4</v>
      </c>
      <c r="E76" s="85" t="s">
        <v>94</v>
      </c>
    </row>
    <row r="77" customFormat="false" ht="15" hidden="false" customHeight="true" outlineLevel="0" collapsed="false">
      <c r="A77" s="85" t="n">
        <v>5</v>
      </c>
      <c r="B77" s="85" t="s">
        <v>196</v>
      </c>
      <c r="C77" s="81" t="str">
        <f aca="false">AP8</f>
        <v>JR00483</v>
      </c>
      <c r="D77" s="86" t="n">
        <f aca="false">AP30</f>
        <v>4</v>
      </c>
      <c r="E77" s="85" t="s">
        <v>94</v>
      </c>
    </row>
    <row r="78" customFormat="false" ht="15" hidden="false" customHeight="true" outlineLevel="0" collapsed="false">
      <c r="A78" s="85" t="n">
        <v>6</v>
      </c>
      <c r="B78" s="85" t="s">
        <v>42</v>
      </c>
      <c r="C78" s="81" t="str">
        <f aca="false">AQ8</f>
        <v>JR00482</v>
      </c>
      <c r="D78" s="86" t="n">
        <f aca="false">AQ30</f>
        <v>8</v>
      </c>
      <c r="E78" s="85" t="s">
        <v>94</v>
      </c>
    </row>
    <row r="79" customFormat="false" ht="15" hidden="false" customHeight="true" outlineLevel="0" collapsed="false">
      <c r="A79" s="85" t="n">
        <v>7</v>
      </c>
      <c r="B79" s="85" t="s">
        <v>43</v>
      </c>
      <c r="C79" s="81" t="str">
        <f aca="false">AR8</f>
        <v>JR00557</v>
      </c>
      <c r="D79" s="86" t="n">
        <f aca="false">AR30</f>
        <v>16</v>
      </c>
      <c r="E79" s="85" t="s">
        <v>94</v>
      </c>
    </row>
    <row r="80" customFormat="false" ht="15" hidden="false" customHeight="true" outlineLevel="0" collapsed="false">
      <c r="A80" s="85" t="n">
        <v>8</v>
      </c>
      <c r="B80" s="85" t="s">
        <v>51</v>
      </c>
      <c r="C80" s="81" t="str">
        <f aca="false">AS8</f>
        <v>JR00864</v>
      </c>
      <c r="D80" s="86" t="n">
        <f aca="false">AS30</f>
        <v>16</v>
      </c>
      <c r="E80" s="85" t="s">
        <v>94</v>
      </c>
    </row>
    <row r="81" customFormat="false" ht="15" hidden="false" customHeight="true" outlineLevel="0" collapsed="false">
      <c r="A81" s="85" t="n">
        <v>9</v>
      </c>
      <c r="B81" s="85" t="s">
        <v>52</v>
      </c>
      <c r="C81" s="81" t="str">
        <f aca="false">AT8</f>
        <v>JR00770</v>
      </c>
      <c r="D81" s="86" t="n">
        <f aca="false">AT30</f>
        <v>10.2</v>
      </c>
      <c r="E81" s="85" t="s">
        <v>101</v>
      </c>
    </row>
    <row r="82" customFormat="false" ht="15" hidden="false" customHeight="true" outlineLevel="0" collapsed="false">
      <c r="A82" s="85" t="n">
        <v>10</v>
      </c>
      <c r="B82" s="85" t="s">
        <v>53</v>
      </c>
      <c r="C82" s="81" t="str">
        <f aca="false">AU8</f>
        <v>JR00770</v>
      </c>
      <c r="D82" s="86" t="n">
        <f aca="false">AU30</f>
        <v>10.2</v>
      </c>
      <c r="E82" s="85" t="s">
        <v>101</v>
      </c>
    </row>
  </sheetData>
  <mergeCells count="58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L7"/>
    <mergeCell ref="M7:P7"/>
    <mergeCell ref="Q7:T7"/>
    <mergeCell ref="U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I30:K30"/>
    <mergeCell ref="M30:O30"/>
    <mergeCell ref="Q30:S30"/>
    <mergeCell ref="U30:W30"/>
  </mergeCells>
  <dataValidations count="3">
    <dataValidation allowBlank="true" errorStyle="stop" operator="between" showDropDown="false" showErrorMessage="false" showInputMessage="false" sqref="B67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8" type="list">
      <formula1>"ขาว,ดำ"</formula1>
      <formula2>0</formula2>
    </dataValidation>
    <dataValidation allowBlank="true" errorStyle="stop" operator="between" showDropDown="false" showErrorMessage="false" showInputMessage="false" sqref="B69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7" min="6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1" min="31" style="1" width="12.7"/>
    <col collapsed="false" customWidth="true" hidden="false" outlineLevel="0" max="32" min="32" style="1" width="6.7"/>
    <col collapsed="false" customWidth="true" hidden="false" outlineLevel="0" max="34" min="33" style="1" width="12.7"/>
    <col collapsed="false" customWidth="true" hidden="false" outlineLevel="0" max="36" min="36" style="1" width="12.7"/>
    <col collapsed="false" customWidth="true" hidden="false" outlineLevel="0" max="38" min="38" style="1" width="8.9"/>
    <col collapsed="false" customWidth="true" hidden="true" outlineLevel="0" max="54" min="53" style="1" width="13"/>
  </cols>
  <sheetData>
    <row r="1" customFormat="false" ht="39.75" hidden="false" customHeight="true" outlineLevel="0" collapsed="false">
      <c r="A1" s="3" t="s">
        <v>232</v>
      </c>
      <c r="B1" s="4"/>
      <c r="C1" s="4"/>
      <c r="D1" s="4"/>
      <c r="F1" s="5"/>
      <c r="G1" s="6"/>
      <c r="H1" s="5"/>
      <c r="I1" s="5"/>
      <c r="J1" s="5"/>
      <c r="K1" s="7"/>
      <c r="L1" s="7"/>
      <c r="M1" s="5"/>
      <c r="N1" s="5"/>
      <c r="O1" s="7"/>
      <c r="P1" s="7"/>
      <c r="Q1" s="8"/>
      <c r="R1" s="8"/>
      <c r="S1" s="5"/>
      <c r="T1" s="9"/>
      <c r="U1" s="8"/>
      <c r="V1" s="8"/>
      <c r="W1" s="8"/>
      <c r="X1" s="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BA1" s="40" t="s">
        <v>166</v>
      </c>
      <c r="BB1" s="1" t="s">
        <v>167</v>
      </c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10"/>
      <c r="H2" s="7"/>
      <c r="I2" s="7"/>
      <c r="J2" s="7"/>
      <c r="K2" s="11"/>
      <c r="L2" s="11"/>
      <c r="M2" s="7"/>
      <c r="N2" s="7"/>
      <c r="O2" s="7"/>
      <c r="P2" s="7"/>
      <c r="Q2" s="11"/>
      <c r="R2" s="11"/>
      <c r="S2" s="7"/>
      <c r="T2" s="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BA2" s="40" t="s">
        <v>168</v>
      </c>
      <c r="BB2" s="1" t="s">
        <v>169</v>
      </c>
    </row>
    <row r="3" customFormat="false" ht="39.75" hidden="false" customHeight="true" outlineLevel="0" collapsed="false">
      <c r="A3" s="7"/>
      <c r="B3" s="7"/>
      <c r="C3" s="7"/>
      <c r="D3" s="7"/>
      <c r="E3" s="7"/>
      <c r="F3" s="7"/>
      <c r="G3" s="10"/>
      <c r="H3" s="7"/>
      <c r="I3" s="7"/>
      <c r="J3" s="7"/>
      <c r="M3" s="7"/>
      <c r="N3" s="7"/>
      <c r="O3" s="7"/>
      <c r="P3" s="7"/>
      <c r="Q3" s="12"/>
      <c r="R3" s="12"/>
      <c r="T3" s="7"/>
      <c r="U3" s="11"/>
      <c r="V3" s="12"/>
      <c r="W3" s="12"/>
      <c r="X3" s="12"/>
      <c r="Y3" s="11"/>
      <c r="Z3" s="11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BA3" s="40" t="s">
        <v>170</v>
      </c>
      <c r="BB3" s="1" t="s">
        <v>171</v>
      </c>
    </row>
    <row r="4" customFormat="false" ht="39.75" hidden="false" customHeight="true" outlineLevel="0" collapsed="false">
      <c r="A4" s="143" t="s">
        <v>233</v>
      </c>
      <c r="B4" s="144"/>
      <c r="C4" s="144"/>
      <c r="D4" s="144"/>
      <c r="E4" s="7"/>
      <c r="H4" s="7"/>
      <c r="I4" s="7"/>
      <c r="J4" s="7"/>
      <c r="M4" s="7"/>
      <c r="N4" s="7"/>
      <c r="O4" s="7"/>
      <c r="P4" s="7"/>
      <c r="S4" s="7"/>
      <c r="T4" s="7"/>
      <c r="Y4" s="11"/>
      <c r="Z4" s="11"/>
      <c r="BA4" s="40" t="s">
        <v>172</v>
      </c>
      <c r="BB4" s="1" t="s">
        <v>173</v>
      </c>
    </row>
    <row r="5" customFormat="false" ht="39.75" hidden="false" customHeight="true" outlineLevel="0" collapsed="false">
      <c r="A5" s="7"/>
      <c r="B5" s="7"/>
      <c r="C5" s="7"/>
      <c r="D5" s="7"/>
      <c r="E5" s="7"/>
      <c r="F5" s="7"/>
      <c r="G5" s="10"/>
      <c r="H5" s="7"/>
      <c r="I5" s="7"/>
      <c r="J5" s="7"/>
      <c r="M5" s="7"/>
      <c r="N5" s="7"/>
      <c r="P5" s="7"/>
      <c r="S5" s="7"/>
      <c r="T5" s="7"/>
      <c r="BA5" s="40" t="s">
        <v>174</v>
      </c>
      <c r="BB5" s="1" t="s">
        <v>175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/>
      <c r="L6" s="17"/>
      <c r="M6" s="17" t="s">
        <v>234</v>
      </c>
      <c r="N6" s="17"/>
      <c r="O6" s="17" t="s">
        <v>9</v>
      </c>
      <c r="P6" s="17"/>
      <c r="Q6" s="17" t="s">
        <v>176</v>
      </c>
      <c r="R6" s="17"/>
      <c r="S6" s="17" t="s">
        <v>177</v>
      </c>
      <c r="T6" s="17"/>
      <c r="U6" s="17" t="s">
        <v>235</v>
      </c>
      <c r="V6" s="17"/>
      <c r="W6" s="17" t="s">
        <v>236</v>
      </c>
      <c r="X6" s="17"/>
      <c r="Y6" s="17"/>
      <c r="Z6" s="17"/>
      <c r="AA6" s="17"/>
      <c r="AB6" s="17"/>
      <c r="AC6" s="17"/>
      <c r="AD6" s="17"/>
      <c r="AE6" s="17"/>
      <c r="AF6" s="17"/>
      <c r="AG6" s="18"/>
      <c r="AH6" s="18"/>
      <c r="AI6" s="18"/>
      <c r="BA6" s="40" t="s">
        <v>178</v>
      </c>
      <c r="BB6" s="1" t="s">
        <v>179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180</v>
      </c>
      <c r="H7" s="20"/>
      <c r="I7" s="20"/>
      <c r="J7" s="20"/>
      <c r="K7" s="20" t="s">
        <v>237</v>
      </c>
      <c r="L7" s="20"/>
      <c r="M7" s="20" t="s">
        <v>181</v>
      </c>
      <c r="N7" s="20"/>
      <c r="O7" s="20"/>
      <c r="P7" s="20"/>
      <c r="Q7" s="20" t="s">
        <v>17</v>
      </c>
      <c r="R7" s="20"/>
      <c r="S7" s="20"/>
      <c r="T7" s="20"/>
      <c r="U7" s="20"/>
      <c r="V7" s="20"/>
      <c r="W7" s="20" t="s">
        <v>143</v>
      </c>
      <c r="X7" s="20"/>
      <c r="Y7" s="22"/>
      <c r="Z7" s="22"/>
      <c r="AA7" s="94"/>
      <c r="AB7" s="95"/>
      <c r="AC7" s="22"/>
      <c r="AD7" s="22"/>
      <c r="AE7" s="22"/>
      <c r="AF7" s="22"/>
      <c r="AG7" s="24"/>
      <c r="AH7" s="25" t="s">
        <v>19</v>
      </c>
      <c r="AI7" s="26"/>
      <c r="BA7" s="40" t="s">
        <v>182</v>
      </c>
      <c r="BB7" s="1" t="s">
        <v>183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8"/>
      <c r="E8" s="28"/>
      <c r="F8" s="27" t="s">
        <v>118</v>
      </c>
      <c r="G8" s="29"/>
      <c r="H8" s="29"/>
      <c r="I8" s="30"/>
      <c r="J8" s="30"/>
      <c r="K8" s="29"/>
      <c r="L8" s="29"/>
      <c r="M8" s="29"/>
      <c r="N8" s="29"/>
      <c r="O8" s="30"/>
      <c r="P8" s="30"/>
      <c r="Q8" s="29"/>
      <c r="R8" s="29"/>
      <c r="S8" s="97"/>
      <c r="T8" s="97"/>
      <c r="U8" s="30"/>
      <c r="V8" s="30"/>
      <c r="W8" s="31"/>
      <c r="X8" s="31"/>
      <c r="Y8" s="31"/>
      <c r="Z8" s="31"/>
      <c r="AA8" s="30"/>
      <c r="AB8" s="30"/>
      <c r="AC8" s="31"/>
      <c r="AD8" s="31"/>
      <c r="AE8" s="31"/>
      <c r="AF8" s="31"/>
      <c r="AG8" s="32"/>
      <c r="AH8" s="33" t="s">
        <v>23</v>
      </c>
      <c r="AI8" s="34"/>
      <c r="AJ8" s="145" t="s">
        <v>144</v>
      </c>
      <c r="AK8" s="1" t="str">
        <f aca="false">VLOOKUP($B$65&amp;$B$67&amp;$B$66,$BA$1:$BB$12,2,0)</f>
        <v>JR00304</v>
      </c>
      <c r="AM8" s="1" t="s">
        <v>184</v>
      </c>
      <c r="AN8" s="1" t="s">
        <v>185</v>
      </c>
      <c r="AO8" s="1" t="s">
        <v>186</v>
      </c>
      <c r="AP8" s="1" t="s">
        <v>187</v>
      </c>
      <c r="AQ8" s="1" t="s">
        <v>24</v>
      </c>
      <c r="AR8" s="1" t="s">
        <v>25</v>
      </c>
      <c r="AS8" s="1" t="s">
        <v>28</v>
      </c>
      <c r="AT8" s="1" t="s">
        <v>188</v>
      </c>
      <c r="AU8" s="1" t="s">
        <v>188</v>
      </c>
      <c r="BA8" s="40" t="s">
        <v>189</v>
      </c>
      <c r="BB8" s="1" t="s">
        <v>190</v>
      </c>
    </row>
    <row r="9" customFormat="false" ht="39.75" hidden="false" customHeight="true" outlineLevel="0" collapsed="false">
      <c r="A9" s="27"/>
      <c r="B9" s="28"/>
      <c r="C9" s="28"/>
      <c r="D9" s="28"/>
      <c r="E9" s="28"/>
      <c r="F9" s="27"/>
      <c r="G9" s="35" t="s">
        <v>31</v>
      </c>
      <c r="H9" s="35"/>
      <c r="I9" s="35" t="s">
        <v>226</v>
      </c>
      <c r="J9" s="35"/>
      <c r="K9" s="35" t="s">
        <v>238</v>
      </c>
      <c r="L9" s="35"/>
      <c r="M9" s="35" t="s">
        <v>34</v>
      </c>
      <c r="N9" s="35"/>
      <c r="O9" s="35" t="s">
        <v>35</v>
      </c>
      <c r="P9" s="35"/>
      <c r="Q9" s="35" t="s">
        <v>36</v>
      </c>
      <c r="R9" s="35"/>
      <c r="S9" s="35" t="s">
        <v>37</v>
      </c>
      <c r="T9" s="35"/>
      <c r="U9" s="35" t="s">
        <v>239</v>
      </c>
      <c r="V9" s="35"/>
      <c r="W9" s="35" t="s">
        <v>157</v>
      </c>
      <c r="X9" s="35"/>
      <c r="Y9" s="35"/>
      <c r="Z9" s="35"/>
      <c r="AA9" s="35"/>
      <c r="AB9" s="35"/>
      <c r="AC9" s="35"/>
      <c r="AD9" s="35"/>
      <c r="AE9" s="35"/>
      <c r="AF9" s="35"/>
      <c r="AG9" s="37" t="s">
        <v>191</v>
      </c>
      <c r="AH9" s="38" t="s">
        <v>109</v>
      </c>
      <c r="AI9" s="39"/>
      <c r="AJ9" s="37" t="s">
        <v>240</v>
      </c>
      <c r="AK9" s="38" t="s">
        <v>192</v>
      </c>
      <c r="AL9" s="39"/>
      <c r="AM9" s="1" t="s">
        <v>193</v>
      </c>
      <c r="AN9" s="40" t="s">
        <v>194</v>
      </c>
      <c r="AO9" s="40" t="s">
        <v>195</v>
      </c>
      <c r="AP9" s="40" t="s">
        <v>196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1" t="s">
        <v>197</v>
      </c>
      <c r="BB9" s="1" t="s">
        <v>198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146" t="s">
        <v>241</v>
      </c>
      <c r="D10" s="147" t="s">
        <v>242</v>
      </c>
      <c r="E10" s="44" t="s">
        <v>62</v>
      </c>
      <c r="F10" s="45" t="s">
        <v>58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7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8" t="s">
        <v>60</v>
      </c>
      <c r="U10" s="46" t="s">
        <v>59</v>
      </c>
      <c r="V10" s="47" t="s">
        <v>60</v>
      </c>
      <c r="W10" s="46" t="s">
        <v>59</v>
      </c>
      <c r="X10" s="48" t="s">
        <v>60</v>
      </c>
      <c r="Y10" s="46" t="s">
        <v>59</v>
      </c>
      <c r="Z10" s="47" t="s">
        <v>60</v>
      </c>
      <c r="AA10" s="46" t="s">
        <v>59</v>
      </c>
      <c r="AB10" s="48" t="s">
        <v>60</v>
      </c>
      <c r="AC10" s="46" t="s">
        <v>59</v>
      </c>
      <c r="AD10" s="48" t="s">
        <v>60</v>
      </c>
      <c r="AE10" s="46" t="s">
        <v>59</v>
      </c>
      <c r="AF10" s="48" t="s">
        <v>60</v>
      </c>
      <c r="AG10" s="49" t="s">
        <v>61</v>
      </c>
      <c r="AH10" s="50" t="s">
        <v>62</v>
      </c>
      <c r="AI10" s="51" t="s">
        <v>60</v>
      </c>
      <c r="AJ10" s="49" t="s">
        <v>61</v>
      </c>
      <c r="AK10" s="50" t="s">
        <v>60</v>
      </c>
      <c r="AL10" s="51" t="s">
        <v>60</v>
      </c>
      <c r="AM10" s="40" t="s">
        <v>60</v>
      </c>
      <c r="AN10" s="40" t="s">
        <v>60</v>
      </c>
      <c r="AO10" s="40" t="s">
        <v>60</v>
      </c>
      <c r="AP10" s="40" t="s">
        <v>60</v>
      </c>
      <c r="AQ10" s="40" t="s">
        <v>60</v>
      </c>
      <c r="AR10" s="40" t="s">
        <v>60</v>
      </c>
      <c r="AS10" s="40" t="s">
        <v>60</v>
      </c>
      <c r="AT10" s="40" t="s">
        <v>60</v>
      </c>
      <c r="AU10" s="40" t="s">
        <v>60</v>
      </c>
      <c r="BA10" s="1" t="s">
        <v>199</v>
      </c>
      <c r="BB10" s="1" t="s">
        <v>200</v>
      </c>
    </row>
    <row r="11" customFormat="false" ht="39.75" hidden="false" customHeight="true" outlineLevel="0" collapsed="false">
      <c r="A11" s="88" t="s">
        <v>243</v>
      </c>
      <c r="B11" s="89" t="n">
        <v>2990</v>
      </c>
      <c r="C11" s="148" t="n">
        <v>850</v>
      </c>
      <c r="D11" s="149" t="n">
        <f aca="false">IF($A11="","",$B11-$C11)</f>
        <v>2140</v>
      </c>
      <c r="E11" s="90" t="n">
        <v>1590</v>
      </c>
      <c r="F11" s="91" t="n">
        <v>1</v>
      </c>
      <c r="G11" s="134" t="n">
        <f aca="false">IF($A11="","",$B11)</f>
        <v>2990</v>
      </c>
      <c r="H11" s="90" t="n">
        <f aca="false">IF($A11="","",2*$F11)</f>
        <v>2</v>
      </c>
      <c r="I11" s="134" t="n">
        <f aca="false">IF($A11="","",$E11-$E$55-$F$55)</f>
        <v>1540</v>
      </c>
      <c r="J11" s="90" t="n">
        <f aca="false">IF($A11="","",2*$F11)</f>
        <v>2</v>
      </c>
      <c r="K11" s="134" t="n">
        <f aca="false">IF($A11="","",$I11)</f>
        <v>1540</v>
      </c>
      <c r="L11" s="90" t="n">
        <f aca="false">IF($A11="","",1*$F11)</f>
        <v>1</v>
      </c>
      <c r="M11" s="134" t="n">
        <f aca="false">IF($A11="","",$D11-$E$57-$F$57)</f>
        <v>2115.5</v>
      </c>
      <c r="N11" s="90" t="n">
        <f aca="false">IF($A11="","",2*$F11)</f>
        <v>2</v>
      </c>
      <c r="O11" s="134" t="n">
        <f aca="false">IF($A11="","",(($E11-$E$58-$F$58)))</f>
        <v>1553</v>
      </c>
      <c r="P11" s="90" t="n">
        <f aca="false">IF($A11="","",2*$F11)</f>
        <v>2</v>
      </c>
      <c r="Q11" s="134" t="n">
        <f aca="false">IF($A11="","",$M11-$E$59-$F$59)</f>
        <v>1955.5</v>
      </c>
      <c r="R11" s="90" t="n">
        <f aca="false">IF($A11="","",2*$F11)</f>
        <v>2</v>
      </c>
      <c r="S11" s="134" t="n">
        <f aca="false">IF($A11="","",$O11-$E$60-$F$60)</f>
        <v>1433</v>
      </c>
      <c r="T11" s="90" t="n">
        <f aca="false">IF($A11="","",2*$F11)</f>
        <v>2</v>
      </c>
      <c r="U11" s="134" t="n">
        <f aca="false">IF($A11="","",$E11-$E$61-$F$61)</f>
        <v>1500</v>
      </c>
      <c r="V11" s="90" t="n">
        <f aca="false">IF($A11="","",2*$F11)</f>
        <v>2</v>
      </c>
      <c r="W11" s="134" t="n">
        <f aca="false">IF($A11="","",$C11-$E$62-$F$62)</f>
        <v>812.5</v>
      </c>
      <c r="X11" s="90" t="n">
        <f aca="false">IF($A11="","",2*$F11)</f>
        <v>2</v>
      </c>
      <c r="Y11" s="134"/>
      <c r="Z11" s="90"/>
      <c r="AA11" s="134"/>
      <c r="AB11" s="90"/>
      <c r="AC11" s="134"/>
      <c r="AD11" s="90"/>
      <c r="AE11" s="134"/>
      <c r="AF11" s="90"/>
      <c r="AG11" s="150" t="n">
        <f aca="false">IF($A11="","",$M11-67-67)</f>
        <v>1981.5</v>
      </c>
      <c r="AH11" s="136" t="n">
        <f aca="false">IF($A11="","",$O11-67-67)</f>
        <v>1419</v>
      </c>
      <c r="AI11" s="137" t="n">
        <f aca="false">IF($A11="","",1*$F11)</f>
        <v>1</v>
      </c>
      <c r="AJ11" s="150" t="n">
        <f aca="false">IF($A11="","",$C11-24.5-37)</f>
        <v>788.5</v>
      </c>
      <c r="AK11" s="136" t="n">
        <f aca="false">IF($A11="","",1*$F11)</f>
        <v>1</v>
      </c>
      <c r="AL11" s="137" t="n">
        <f aca="false">IF($A11="","",1*$F11)</f>
        <v>1</v>
      </c>
      <c r="AM11" s="40" t="n">
        <f aca="false">IF($A11="","",1*$F11)</f>
        <v>1</v>
      </c>
      <c r="AN11" s="40" t="n">
        <f aca="false">IF($A11="","",2*1*$F11)</f>
        <v>2</v>
      </c>
      <c r="AO11" s="40" t="n">
        <f aca="false">IF($A11="","",(2+IF($C11&gt;1800,ROUNDUP(($C11-1800)/500,0),0))*1*$F11)</f>
        <v>2</v>
      </c>
      <c r="AP11" s="40" t="n">
        <f aca="false">IF($A11="","",(2+IF($C11&gt;1800,ROUNDUP(($C11-1800)/500,0),0))*1*$F11)</f>
        <v>2</v>
      </c>
      <c r="AQ11" s="40" t="n">
        <f aca="false">IF($A11="","",4*1*$F11)</f>
        <v>4</v>
      </c>
      <c r="AR11" s="40" t="n">
        <f aca="false">IF($A11="","",8*1*$F11)</f>
        <v>8</v>
      </c>
      <c r="AS11" s="40" t="n">
        <f aca="false">IF($A11="","",8*$F11)</f>
        <v>8</v>
      </c>
      <c r="AT11" s="40" t="n">
        <f aca="false">IF($A11="","",ROUND((2*($E11+$C11))*1*$F11/1000,1))</f>
        <v>4.9</v>
      </c>
      <c r="AU11" s="40" t="n">
        <f aca="false">IF($A11="","",ROUND((2*($E11+$B11))*$F11/1000,1))</f>
        <v>9.2</v>
      </c>
      <c r="BA11" s="1" t="s">
        <v>201</v>
      </c>
      <c r="BB11" s="1" t="s">
        <v>202</v>
      </c>
    </row>
    <row r="12" customFormat="false" ht="39.75" hidden="false" customHeight="true" outlineLevel="0" collapsed="false">
      <c r="A12" s="88"/>
      <c r="B12" s="89"/>
      <c r="C12" s="148"/>
      <c r="D12" s="149" t="str">
        <f aca="false">IF($A12="","",$B12-$C12)</f>
        <v/>
      </c>
      <c r="E12" s="90"/>
      <c r="F12" s="91"/>
      <c r="G12" s="139" t="str">
        <f aca="false">IF($A12="","",$B12)</f>
        <v/>
      </c>
      <c r="H12" s="140" t="str">
        <f aca="false">IF($A12="","",2*$F12)</f>
        <v/>
      </c>
      <c r="I12" s="139" t="str">
        <f aca="false">IF($A12="","",$E12-$E$55-$F$55)</f>
        <v/>
      </c>
      <c r="J12" s="140" t="str">
        <f aca="false">IF($A12="","",2*$F12)</f>
        <v/>
      </c>
      <c r="K12" s="139" t="str">
        <f aca="false">IF($A12="","",$I12)</f>
        <v/>
      </c>
      <c r="L12" s="140" t="str">
        <f aca="false">IF($A12="","",1*$F12)</f>
        <v/>
      </c>
      <c r="M12" s="139" t="str">
        <f aca="false">IF($A12="","",$D12-$E$57-$F$57)</f>
        <v/>
      </c>
      <c r="N12" s="140" t="str">
        <f aca="false">IF($A12="","",2*$F12)</f>
        <v/>
      </c>
      <c r="O12" s="139" t="str">
        <f aca="false">IF($A12="","",(($E12-$E$58-$F$58)))</f>
        <v/>
      </c>
      <c r="P12" s="140" t="str">
        <f aca="false">IF($A12="","",2*$F12)</f>
        <v/>
      </c>
      <c r="Q12" s="139" t="str">
        <f aca="false">IF($A12="","",$M12-$E$59-$F$59)</f>
        <v/>
      </c>
      <c r="R12" s="140" t="str">
        <f aca="false">IF($A12="","",2*$F12)</f>
        <v/>
      </c>
      <c r="S12" s="139" t="str">
        <f aca="false">IF($A12="","",$O12-$E$60-$F$60)</f>
        <v/>
      </c>
      <c r="T12" s="140" t="str">
        <f aca="false">IF($A12="","",2*$F12)</f>
        <v/>
      </c>
      <c r="U12" s="139" t="str">
        <f aca="false">IF($A12="","",$E12-$E$61-$F$61)</f>
        <v/>
      </c>
      <c r="V12" s="140" t="str">
        <f aca="false">IF($A12="","",2*$F12)</f>
        <v/>
      </c>
      <c r="W12" s="139" t="str">
        <f aca="false">IF($A12="","",$C12-$E$62-$F$62)</f>
        <v/>
      </c>
      <c r="X12" s="140" t="str">
        <f aca="false">IF($A12="","",2*$F12)</f>
        <v/>
      </c>
      <c r="Y12" s="139"/>
      <c r="Z12" s="140"/>
      <c r="AA12" s="139"/>
      <c r="AB12" s="140"/>
      <c r="AC12" s="139"/>
      <c r="AD12" s="140"/>
      <c r="AE12" s="139"/>
      <c r="AF12" s="140"/>
      <c r="AG12" s="135" t="str">
        <f aca="false">IF($A12="","",$M12-67-67)</f>
        <v/>
      </c>
      <c r="AH12" s="136" t="str">
        <f aca="false">IF($A12="","",$O12-67-67)</f>
        <v/>
      </c>
      <c r="AI12" s="137" t="str">
        <f aca="false">IF($A12="","",1*$F12)</f>
        <v/>
      </c>
      <c r="AJ12" s="135" t="str">
        <f aca="false">IF($A12="","",$C12-24.5-37)</f>
        <v/>
      </c>
      <c r="AK12" s="136" t="str">
        <f aca="false">IF($A12="","",1*$F12)</f>
        <v/>
      </c>
      <c r="AL12" s="137" t="str">
        <f aca="false">IF($A12="","",1*$F12)</f>
        <v/>
      </c>
      <c r="AM12" s="1" t="str">
        <f aca="false">IF($A12="","",1*$F12)</f>
        <v/>
      </c>
      <c r="AN12" s="1" t="str">
        <f aca="false">IF($A12="","",2*1*$F12)</f>
        <v/>
      </c>
      <c r="AO12" s="1" t="str">
        <f aca="false">IF($A12="","",(2+IF($C12&gt;1800,ROUNDUP(($C12-1800)/500,0),0))*1*$F12)</f>
        <v/>
      </c>
      <c r="AP12" s="1" t="str">
        <f aca="false">IF($A12="","",(2+IF($C12&gt;1800,ROUNDUP(($C12-1800)/500,0),0))*1*$F12)</f>
        <v/>
      </c>
      <c r="AQ12" s="1" t="str">
        <f aca="false">IF($A12="","",4*1*$F12)</f>
        <v/>
      </c>
      <c r="AR12" s="1" t="str">
        <f aca="false">IF($A12="","",8*1*$F12)</f>
        <v/>
      </c>
      <c r="AS12" s="1" t="str">
        <f aca="false">IF($A12="","",8*$F12)</f>
        <v/>
      </c>
      <c r="AT12" s="1" t="str">
        <f aca="false">IF($A12="","",ROUND((2*($E12+$C12))*1*$F12/1000,1))</f>
        <v/>
      </c>
      <c r="AU12" s="1" t="str">
        <f aca="false">IF($A12="","",ROUND((2*($E12+$B12))*$F12/1000,1))</f>
        <v/>
      </c>
      <c r="BA12" s="1" t="s">
        <v>203</v>
      </c>
      <c r="BB12" s="1" t="s">
        <v>204</v>
      </c>
    </row>
    <row r="13" customFormat="false" ht="39.75" hidden="false" customHeight="true" outlineLevel="0" collapsed="false">
      <c r="A13" s="88"/>
      <c r="B13" s="89"/>
      <c r="C13" s="148"/>
      <c r="D13" s="149" t="str">
        <f aca="false">IF($A13="","",$B13-$C13)</f>
        <v/>
      </c>
      <c r="E13" s="90"/>
      <c r="F13" s="91"/>
      <c r="G13" s="134" t="str">
        <f aca="false">IF($A13="","",$B13)</f>
        <v/>
      </c>
      <c r="H13" s="90" t="str">
        <f aca="false">IF($A13="","",2*$F13)</f>
        <v/>
      </c>
      <c r="I13" s="134" t="str">
        <f aca="false">IF($A13="","",$E13-$E$55-$F$55)</f>
        <v/>
      </c>
      <c r="J13" s="90" t="str">
        <f aca="false">IF($A13="","",2*$F13)</f>
        <v/>
      </c>
      <c r="K13" s="134" t="str">
        <f aca="false">IF($A13="","",$I13)</f>
        <v/>
      </c>
      <c r="L13" s="90" t="str">
        <f aca="false">IF($A13="","",1*$F13)</f>
        <v/>
      </c>
      <c r="M13" s="134" t="str">
        <f aca="false">IF($A13="","",$D13-$E$57-$F$57)</f>
        <v/>
      </c>
      <c r="N13" s="90" t="str">
        <f aca="false">IF($A13="","",2*$F13)</f>
        <v/>
      </c>
      <c r="O13" s="134" t="str">
        <f aca="false">IF($A13="","",(($E13-$E$58-$F$58)))</f>
        <v/>
      </c>
      <c r="P13" s="90" t="str">
        <f aca="false">IF($A13="","",2*$F13)</f>
        <v/>
      </c>
      <c r="Q13" s="134" t="str">
        <f aca="false">IF($A13="","",$M13-$E$59-$F$59)</f>
        <v/>
      </c>
      <c r="R13" s="90" t="str">
        <f aca="false">IF($A13="","",2*$F13)</f>
        <v/>
      </c>
      <c r="S13" s="134" t="str">
        <f aca="false">IF($A13="","",$O13-$E$60-$F$60)</f>
        <v/>
      </c>
      <c r="T13" s="90" t="str">
        <f aca="false">IF($A13="","",2*$F13)</f>
        <v/>
      </c>
      <c r="U13" s="134" t="str">
        <f aca="false">IF($A13="","",$E13-$E$61-$F$61)</f>
        <v/>
      </c>
      <c r="V13" s="90" t="str">
        <f aca="false">IF($A13="","",2*$F13)</f>
        <v/>
      </c>
      <c r="W13" s="134" t="str">
        <f aca="false">IF($A13="","",$C13-$E$62-$F$62)</f>
        <v/>
      </c>
      <c r="X13" s="90" t="str">
        <f aca="false">IF($A13="","",2*$F13)</f>
        <v/>
      </c>
      <c r="Y13" s="134"/>
      <c r="Z13" s="90"/>
      <c r="AA13" s="134"/>
      <c r="AB13" s="90"/>
      <c r="AC13" s="134"/>
      <c r="AD13" s="90"/>
      <c r="AE13" s="134"/>
      <c r="AF13" s="90"/>
      <c r="AG13" s="135" t="str">
        <f aca="false">IF($A13="","",$M13-67-67)</f>
        <v/>
      </c>
      <c r="AH13" s="136" t="str">
        <f aca="false">IF($A13="","",$O13-67-67)</f>
        <v/>
      </c>
      <c r="AI13" s="137" t="str">
        <f aca="false">IF($A13="","",1*$F13)</f>
        <v/>
      </c>
      <c r="AJ13" s="135" t="str">
        <f aca="false">IF($A13="","",$C13-24.5-37)</f>
        <v/>
      </c>
      <c r="AK13" s="136" t="str">
        <f aca="false">IF($A13="","",1*$F13)</f>
        <v/>
      </c>
      <c r="AL13" s="137" t="str">
        <f aca="false">IF($A13="","",1*$F13)</f>
        <v/>
      </c>
      <c r="AM13" s="1" t="str">
        <f aca="false">IF($A13="","",1*$F13)</f>
        <v/>
      </c>
      <c r="AN13" s="1" t="str">
        <f aca="false">IF($A13="","",2*1*$F13)</f>
        <v/>
      </c>
      <c r="AO13" s="1" t="str">
        <f aca="false">IF($A13="","",(2+IF($C13&gt;1800,ROUNDUP(($C13-1800)/500,0),0))*1*$F13)</f>
        <v/>
      </c>
      <c r="AP13" s="1" t="str">
        <f aca="false">IF($A13="","",(2+IF($C13&gt;1800,ROUNDUP(($C13-1800)/500,0),0))*1*$F13)</f>
        <v/>
      </c>
      <c r="AQ13" s="1" t="str">
        <f aca="false">IF($A13="","",4*1*$F13)</f>
        <v/>
      </c>
      <c r="AR13" s="1" t="str">
        <f aca="false">IF($A13="","",8*1*$F13)</f>
        <v/>
      </c>
      <c r="AS13" s="1" t="str">
        <f aca="false">IF($A13="","",8*$F13)</f>
        <v/>
      </c>
      <c r="AT13" s="1" t="str">
        <f aca="false">IF($A13="","",ROUND((2*($E13+$C13))*1*$F13/1000,1))</f>
        <v/>
      </c>
      <c r="AU13" s="1" t="str">
        <f aca="false">IF($A13="","",ROUND((2*($E13+$B13))*$F13/1000,1))</f>
        <v/>
      </c>
    </row>
    <row r="14" customFormat="false" ht="39.75" hidden="false" customHeight="true" outlineLevel="0" collapsed="false">
      <c r="A14" s="88"/>
      <c r="B14" s="89"/>
      <c r="C14" s="148"/>
      <c r="D14" s="149" t="str">
        <f aca="false">IF($A14="","",$B14-$C14)</f>
        <v/>
      </c>
      <c r="E14" s="90"/>
      <c r="F14" s="91"/>
      <c r="G14" s="139" t="str">
        <f aca="false">IF($A14="","",$B14)</f>
        <v/>
      </c>
      <c r="H14" s="140" t="str">
        <f aca="false">IF($A14="","",2*$F14)</f>
        <v/>
      </c>
      <c r="I14" s="139" t="str">
        <f aca="false">IF($A14="","",$E14-$E$55-$F$55)</f>
        <v/>
      </c>
      <c r="J14" s="140" t="str">
        <f aca="false">IF($A14="","",2*$F14)</f>
        <v/>
      </c>
      <c r="K14" s="139" t="str">
        <f aca="false">IF($A14="","",$I14)</f>
        <v/>
      </c>
      <c r="L14" s="140" t="str">
        <f aca="false">IF($A14="","",1*$F14)</f>
        <v/>
      </c>
      <c r="M14" s="139" t="str">
        <f aca="false">IF($A14="","",$D14-$E$57-$F$57)</f>
        <v/>
      </c>
      <c r="N14" s="140" t="str">
        <f aca="false">IF($A14="","",2*$F14)</f>
        <v/>
      </c>
      <c r="O14" s="139" t="str">
        <f aca="false">IF($A14="","",(($E14-$E$58-$F$58)))</f>
        <v/>
      </c>
      <c r="P14" s="140" t="str">
        <f aca="false">IF($A14="","",2*$F14)</f>
        <v/>
      </c>
      <c r="Q14" s="139" t="str">
        <f aca="false">IF($A14="","",$M14-$E$59-$F$59)</f>
        <v/>
      </c>
      <c r="R14" s="140" t="str">
        <f aca="false">IF($A14="","",2*$F14)</f>
        <v/>
      </c>
      <c r="S14" s="139" t="str">
        <f aca="false">IF($A14="","",$O14-$E$60-$F$60)</f>
        <v/>
      </c>
      <c r="T14" s="140" t="str">
        <f aca="false">IF($A14="","",2*$F14)</f>
        <v/>
      </c>
      <c r="U14" s="139" t="str">
        <f aca="false">IF($A14="","",$E14-$E$61-$F$61)</f>
        <v/>
      </c>
      <c r="V14" s="140" t="str">
        <f aca="false">IF($A14="","",2*$F14)</f>
        <v/>
      </c>
      <c r="W14" s="139" t="str">
        <f aca="false">IF($A14="","",$C14-$E$62-$F$62)</f>
        <v/>
      </c>
      <c r="X14" s="140" t="str">
        <f aca="false">IF($A14="","",2*$F14)</f>
        <v/>
      </c>
      <c r="Y14" s="139"/>
      <c r="Z14" s="140"/>
      <c r="AA14" s="139"/>
      <c r="AB14" s="140"/>
      <c r="AC14" s="139"/>
      <c r="AD14" s="140"/>
      <c r="AE14" s="139"/>
      <c r="AF14" s="140"/>
      <c r="AG14" s="135" t="str">
        <f aca="false">IF($A14="","",$M14-67-67)</f>
        <v/>
      </c>
      <c r="AH14" s="136" t="str">
        <f aca="false">IF($A14="","",$O14-67-67)</f>
        <v/>
      </c>
      <c r="AI14" s="137" t="str">
        <f aca="false">IF($A14="","",1*$F14)</f>
        <v/>
      </c>
      <c r="AJ14" s="135" t="str">
        <f aca="false">IF($A14="","",$C14-24.5-37)</f>
        <v/>
      </c>
      <c r="AK14" s="136" t="str">
        <f aca="false">IF($A14="","",1*$F14)</f>
        <v/>
      </c>
      <c r="AL14" s="137" t="str">
        <f aca="false">IF($A14="","",1*$F14)</f>
        <v/>
      </c>
      <c r="AM14" s="1" t="str">
        <f aca="false">IF($A14="","",1*$F14)</f>
        <v/>
      </c>
      <c r="AN14" s="1" t="str">
        <f aca="false">IF($A14="","",2*1*$F14)</f>
        <v/>
      </c>
      <c r="AO14" s="1" t="str">
        <f aca="false">IF($A14="","",(2+IF($C14&gt;1800,ROUNDUP(($C14-1800)/500,0),0))*1*$F14)</f>
        <v/>
      </c>
      <c r="AP14" s="1" t="str">
        <f aca="false">IF($A14="","",(2+IF($C14&gt;1800,ROUNDUP(($C14-1800)/500,0),0))*1*$F14)</f>
        <v/>
      </c>
      <c r="AQ14" s="1" t="str">
        <f aca="false">IF($A14="","",4*1*$F14)</f>
        <v/>
      </c>
      <c r="AR14" s="1" t="str">
        <f aca="false">IF($A14="","",8*1*$F14)</f>
        <v/>
      </c>
      <c r="AS14" s="1" t="str">
        <f aca="false">IF($A14="","",8*$F14)</f>
        <v/>
      </c>
      <c r="AT14" s="1" t="str">
        <f aca="false">IF($A14="","",ROUND((2*($E14+$C14))*1*$F14/1000,1))</f>
        <v/>
      </c>
      <c r="AU14" s="1" t="str">
        <f aca="false">IF($A14="","",ROUND((2*($E14+$B14))*$F14/1000,1))</f>
        <v/>
      </c>
    </row>
    <row r="15" customFormat="false" ht="39.75" hidden="false" customHeight="true" outlineLevel="0" collapsed="false">
      <c r="A15" s="88"/>
      <c r="B15" s="89"/>
      <c r="C15" s="148"/>
      <c r="D15" s="149" t="str">
        <f aca="false">IF($A15="","",$B15-$C15)</f>
        <v/>
      </c>
      <c r="E15" s="90"/>
      <c r="F15" s="91"/>
      <c r="G15" s="134" t="str">
        <f aca="false">IF($A15="","",$B15)</f>
        <v/>
      </c>
      <c r="H15" s="90" t="str">
        <f aca="false">IF($A15="","",2*$F15)</f>
        <v/>
      </c>
      <c r="I15" s="134" t="str">
        <f aca="false">IF($A15="","",$E15-$E$55-$F$55)</f>
        <v/>
      </c>
      <c r="J15" s="90" t="str">
        <f aca="false">IF($A15="","",2*$F15)</f>
        <v/>
      </c>
      <c r="K15" s="134" t="str">
        <f aca="false">IF($A15="","",$I15)</f>
        <v/>
      </c>
      <c r="L15" s="90" t="str">
        <f aca="false">IF($A15="","",1*$F15)</f>
        <v/>
      </c>
      <c r="M15" s="134" t="str">
        <f aca="false">IF($A15="","",$D15-$E$57-$F$57)</f>
        <v/>
      </c>
      <c r="N15" s="90" t="str">
        <f aca="false">IF($A15="","",2*$F15)</f>
        <v/>
      </c>
      <c r="O15" s="134" t="str">
        <f aca="false">IF($A15="","",(($E15-$E$58-$F$58)))</f>
        <v/>
      </c>
      <c r="P15" s="90" t="str">
        <f aca="false">IF($A15="","",2*$F15)</f>
        <v/>
      </c>
      <c r="Q15" s="134" t="str">
        <f aca="false">IF($A15="","",$M15-$E$59-$F$59)</f>
        <v/>
      </c>
      <c r="R15" s="90" t="str">
        <f aca="false">IF($A15="","",2*$F15)</f>
        <v/>
      </c>
      <c r="S15" s="134" t="str">
        <f aca="false">IF($A15="","",$O15-$E$60-$F$60)</f>
        <v/>
      </c>
      <c r="T15" s="90" t="str">
        <f aca="false">IF($A15="","",2*$F15)</f>
        <v/>
      </c>
      <c r="U15" s="134" t="str">
        <f aca="false">IF($A15="","",$E15-$E$61-$F$61)</f>
        <v/>
      </c>
      <c r="V15" s="90" t="str">
        <f aca="false">IF($A15="","",2*$F15)</f>
        <v/>
      </c>
      <c r="W15" s="134" t="str">
        <f aca="false">IF($A15="","",$C15-$E$62-$F$62)</f>
        <v/>
      </c>
      <c r="X15" s="90" t="str">
        <f aca="false">IF($A15="","",2*$F15)</f>
        <v/>
      </c>
      <c r="Y15" s="134"/>
      <c r="Z15" s="90"/>
      <c r="AA15" s="134"/>
      <c r="AB15" s="90"/>
      <c r="AC15" s="134"/>
      <c r="AD15" s="90"/>
      <c r="AE15" s="134"/>
      <c r="AF15" s="90"/>
      <c r="AG15" s="135" t="str">
        <f aca="false">IF($A15="","",$M15-67-67)</f>
        <v/>
      </c>
      <c r="AH15" s="136" t="str">
        <f aca="false">IF($A15="","",$O15-67-67)</f>
        <v/>
      </c>
      <c r="AI15" s="137" t="str">
        <f aca="false">IF($A15="","",1*$F15)</f>
        <v/>
      </c>
      <c r="AJ15" s="135" t="str">
        <f aca="false">IF($A15="","",$C15-24.5-37)</f>
        <v/>
      </c>
      <c r="AK15" s="136" t="str">
        <f aca="false">IF($A15="","",1*$F15)</f>
        <v/>
      </c>
      <c r="AL15" s="137" t="str">
        <f aca="false">IF($A15="","",1*$F15)</f>
        <v/>
      </c>
      <c r="AM15" s="1" t="str">
        <f aca="false">IF($A15="","",1*$F15)</f>
        <v/>
      </c>
      <c r="AN15" s="1" t="str">
        <f aca="false">IF($A15="","",2*1*$F15)</f>
        <v/>
      </c>
      <c r="AO15" s="1" t="str">
        <f aca="false">IF($A15="","",(2+IF($C15&gt;1800,ROUNDUP(($C15-1800)/500,0),0))*1*$F15)</f>
        <v/>
      </c>
      <c r="AP15" s="1" t="str">
        <f aca="false">IF($A15="","",(2+IF($C15&gt;1800,ROUNDUP(($C15-1800)/500,0),0))*1*$F15)</f>
        <v/>
      </c>
      <c r="AQ15" s="1" t="str">
        <f aca="false">IF($A15="","",4*1*$F15)</f>
        <v/>
      </c>
      <c r="AR15" s="1" t="str">
        <f aca="false">IF($A15="","",8*1*$F15)</f>
        <v/>
      </c>
      <c r="AS15" s="1" t="str">
        <f aca="false">IF($A15="","",8*$F15)</f>
        <v/>
      </c>
      <c r="AT15" s="1" t="str">
        <f aca="false">IF($A15="","",ROUND((2*($E15+$C15))*1*$F15/1000,1))</f>
        <v/>
      </c>
      <c r="AU15" s="1" t="str">
        <f aca="false">IF($A15="","",ROUND((2*($E15+$B15))*$F15/1000,1))</f>
        <v/>
      </c>
    </row>
    <row r="16" customFormat="false" ht="39.75" hidden="false" customHeight="true" outlineLevel="0" collapsed="false">
      <c r="A16" s="88"/>
      <c r="B16" s="89"/>
      <c r="C16" s="148"/>
      <c r="D16" s="149" t="str">
        <f aca="false">IF($A16="","",$B16-$C16)</f>
        <v/>
      </c>
      <c r="E16" s="90"/>
      <c r="F16" s="91"/>
      <c r="G16" s="139" t="str">
        <f aca="false">IF($A16="","",$B16)</f>
        <v/>
      </c>
      <c r="H16" s="140" t="str">
        <f aca="false">IF($A16="","",2*$F16)</f>
        <v/>
      </c>
      <c r="I16" s="139" t="str">
        <f aca="false">IF($A16="","",$E16-$E$55-$F$55)</f>
        <v/>
      </c>
      <c r="J16" s="140" t="str">
        <f aca="false">IF($A16="","",2*$F16)</f>
        <v/>
      </c>
      <c r="K16" s="139" t="str">
        <f aca="false">IF($A16="","",$I16)</f>
        <v/>
      </c>
      <c r="L16" s="140" t="str">
        <f aca="false">IF($A16="","",1*$F16)</f>
        <v/>
      </c>
      <c r="M16" s="139" t="str">
        <f aca="false">IF($A16="","",$D16-$E$57-$F$57)</f>
        <v/>
      </c>
      <c r="N16" s="140" t="str">
        <f aca="false">IF($A16="","",2*$F16)</f>
        <v/>
      </c>
      <c r="O16" s="139" t="str">
        <f aca="false">IF($A16="","",(($E16-$E$58-$F$58)))</f>
        <v/>
      </c>
      <c r="P16" s="140" t="str">
        <f aca="false">IF($A16="","",2*$F16)</f>
        <v/>
      </c>
      <c r="Q16" s="139" t="str">
        <f aca="false">IF($A16="","",$M16-$E$59-$F$59)</f>
        <v/>
      </c>
      <c r="R16" s="140" t="str">
        <f aca="false">IF($A16="","",2*$F16)</f>
        <v/>
      </c>
      <c r="S16" s="139" t="str">
        <f aca="false">IF($A16="","",$O16-$E$60-$F$60)</f>
        <v/>
      </c>
      <c r="T16" s="140" t="str">
        <f aca="false">IF($A16="","",2*$F16)</f>
        <v/>
      </c>
      <c r="U16" s="139" t="str">
        <f aca="false">IF($A16="","",$E16-$E$61-$F$61)</f>
        <v/>
      </c>
      <c r="V16" s="140" t="str">
        <f aca="false">IF($A16="","",2*$F16)</f>
        <v/>
      </c>
      <c r="W16" s="139" t="str">
        <f aca="false">IF($A16="","",$C16-$E$62-$F$62)</f>
        <v/>
      </c>
      <c r="X16" s="140" t="str">
        <f aca="false">IF($A16="","",2*$F16)</f>
        <v/>
      </c>
      <c r="Y16" s="139"/>
      <c r="Z16" s="140"/>
      <c r="AA16" s="139"/>
      <c r="AB16" s="140"/>
      <c r="AC16" s="139"/>
      <c r="AD16" s="140"/>
      <c r="AE16" s="139"/>
      <c r="AF16" s="140"/>
      <c r="AG16" s="135" t="str">
        <f aca="false">IF($A16="","",$M16-67-67)</f>
        <v/>
      </c>
      <c r="AH16" s="136" t="str">
        <f aca="false">IF($A16="","",$O16-67-67)</f>
        <v/>
      </c>
      <c r="AI16" s="137" t="str">
        <f aca="false">IF($A16="","",1*$F16)</f>
        <v/>
      </c>
      <c r="AJ16" s="135" t="str">
        <f aca="false">IF($A16="","",$C16-24.5-37)</f>
        <v/>
      </c>
      <c r="AK16" s="136" t="str">
        <f aca="false">IF($A16="","",1*$F16)</f>
        <v/>
      </c>
      <c r="AL16" s="137" t="str">
        <f aca="false">IF($A16="","",1*$F16)</f>
        <v/>
      </c>
      <c r="AM16" s="1" t="str">
        <f aca="false">IF($A16="","",1*$F16)</f>
        <v/>
      </c>
      <c r="AN16" s="1" t="str">
        <f aca="false">IF($A16="","",2*1*$F16)</f>
        <v/>
      </c>
      <c r="AO16" s="1" t="str">
        <f aca="false">IF($A16="","",(2+IF($C16&gt;1800,ROUNDUP(($C16-1800)/500,0),0))*1*$F16)</f>
        <v/>
      </c>
      <c r="AP16" s="1" t="str">
        <f aca="false">IF($A16="","",(2+IF($C16&gt;1800,ROUNDUP(($C16-1800)/500,0),0))*1*$F16)</f>
        <v/>
      </c>
      <c r="AQ16" s="1" t="str">
        <f aca="false">IF($A16="","",4*1*$F16)</f>
        <v/>
      </c>
      <c r="AR16" s="1" t="str">
        <f aca="false">IF($A16="","",8*1*$F16)</f>
        <v/>
      </c>
      <c r="AS16" s="1" t="str">
        <f aca="false">IF($A16="","",8*$F16)</f>
        <v/>
      </c>
      <c r="AT16" s="1" t="str">
        <f aca="false">IF($A16="","",ROUND((2*($E16+$C16))*1*$F16/1000,1))</f>
        <v/>
      </c>
      <c r="AU16" s="1" t="str">
        <f aca="false">IF($A16="","",ROUND((2*($E16+$B16))*$F16/1000,1))</f>
        <v/>
      </c>
    </row>
    <row r="17" customFormat="false" ht="39.75" hidden="false" customHeight="true" outlineLevel="0" collapsed="false">
      <c r="A17" s="88"/>
      <c r="B17" s="89"/>
      <c r="C17" s="148"/>
      <c r="D17" s="149" t="str">
        <f aca="false">IF($A17="","",$B17-$C17)</f>
        <v/>
      </c>
      <c r="E17" s="90"/>
      <c r="F17" s="91"/>
      <c r="G17" s="134" t="str">
        <f aca="false">IF($A17="","",$B17)</f>
        <v/>
      </c>
      <c r="H17" s="90" t="str">
        <f aca="false">IF($A17="","",2*$F17)</f>
        <v/>
      </c>
      <c r="I17" s="134" t="str">
        <f aca="false">IF($A17="","",$E17-$E$55-$F$55)</f>
        <v/>
      </c>
      <c r="J17" s="90" t="str">
        <f aca="false">IF($A17="","",2*$F17)</f>
        <v/>
      </c>
      <c r="K17" s="134" t="str">
        <f aca="false">IF($A17="","",$I17)</f>
        <v/>
      </c>
      <c r="L17" s="90" t="str">
        <f aca="false">IF($A17="","",1*$F17)</f>
        <v/>
      </c>
      <c r="M17" s="134" t="str">
        <f aca="false">IF($A17="","",$D17-$E$57-$F$57)</f>
        <v/>
      </c>
      <c r="N17" s="90" t="str">
        <f aca="false">IF($A17="","",2*$F17)</f>
        <v/>
      </c>
      <c r="O17" s="134" t="str">
        <f aca="false">IF($A17="","",(($E17-$E$58-$F$58)))</f>
        <v/>
      </c>
      <c r="P17" s="90" t="str">
        <f aca="false">IF($A17="","",2*$F17)</f>
        <v/>
      </c>
      <c r="Q17" s="134" t="str">
        <f aca="false">IF($A17="","",$M17-$E$59-$F$59)</f>
        <v/>
      </c>
      <c r="R17" s="90" t="str">
        <f aca="false">IF($A17="","",2*$F17)</f>
        <v/>
      </c>
      <c r="S17" s="134" t="str">
        <f aca="false">IF($A17="","",$O17-$E$60-$F$60)</f>
        <v/>
      </c>
      <c r="T17" s="90" t="str">
        <f aca="false">IF($A17="","",2*$F17)</f>
        <v/>
      </c>
      <c r="U17" s="134" t="str">
        <f aca="false">IF($A17="","",$E17-$E$61-$F$61)</f>
        <v/>
      </c>
      <c r="V17" s="90" t="str">
        <f aca="false">IF($A17="","",2*$F17)</f>
        <v/>
      </c>
      <c r="W17" s="134" t="str">
        <f aca="false">IF($A17="","",$C17-$E$62-$F$62)</f>
        <v/>
      </c>
      <c r="X17" s="90" t="str">
        <f aca="false">IF($A17="","",2*$F17)</f>
        <v/>
      </c>
      <c r="Y17" s="134"/>
      <c r="Z17" s="90"/>
      <c r="AA17" s="134"/>
      <c r="AB17" s="90"/>
      <c r="AC17" s="134"/>
      <c r="AD17" s="90"/>
      <c r="AE17" s="134"/>
      <c r="AF17" s="90"/>
      <c r="AG17" s="135" t="str">
        <f aca="false">IF($A17="","",$M17-67-67)</f>
        <v/>
      </c>
      <c r="AH17" s="136" t="str">
        <f aca="false">IF($A17="","",$O17-67-67)</f>
        <v/>
      </c>
      <c r="AI17" s="137" t="str">
        <f aca="false">IF($A17="","",1*$F17)</f>
        <v/>
      </c>
      <c r="AJ17" s="135" t="str">
        <f aca="false">IF($A17="","",$C17-24.5-37)</f>
        <v/>
      </c>
      <c r="AK17" s="136" t="str">
        <f aca="false">IF($A17="","",1*$F17)</f>
        <v/>
      </c>
      <c r="AL17" s="137" t="str">
        <f aca="false">IF($A17="","",1*$F17)</f>
        <v/>
      </c>
      <c r="AM17" s="1" t="str">
        <f aca="false">IF($A17="","",1*$F17)</f>
        <v/>
      </c>
      <c r="AN17" s="1" t="str">
        <f aca="false">IF($A17="","",2*1*$F17)</f>
        <v/>
      </c>
      <c r="AO17" s="1" t="str">
        <f aca="false">IF($A17="","",(2+IF($C17&gt;1800,ROUNDUP(($C17-1800)/500,0),0))*1*$F17)</f>
        <v/>
      </c>
      <c r="AP17" s="1" t="str">
        <f aca="false">IF($A17="","",(2+IF($C17&gt;1800,ROUNDUP(($C17-1800)/500,0),0))*1*$F17)</f>
        <v/>
      </c>
      <c r="AQ17" s="1" t="str">
        <f aca="false">IF($A17="","",4*1*$F17)</f>
        <v/>
      </c>
      <c r="AR17" s="1" t="str">
        <f aca="false">IF($A17="","",8*1*$F17)</f>
        <v/>
      </c>
      <c r="AS17" s="1" t="str">
        <f aca="false">IF($A17="","",8*$F17)</f>
        <v/>
      </c>
      <c r="AT17" s="1" t="str">
        <f aca="false">IF($A17="","",ROUND((2*($E17+$C17))*1*$F17/1000,1))</f>
        <v/>
      </c>
      <c r="AU17" s="1" t="str">
        <f aca="false">IF($A17="","",ROUND((2*($E17+$B17))*$F17/1000,1))</f>
        <v/>
      </c>
    </row>
    <row r="18" customFormat="false" ht="39.75" hidden="false" customHeight="true" outlineLevel="0" collapsed="false">
      <c r="A18" s="88"/>
      <c r="B18" s="89"/>
      <c r="C18" s="148"/>
      <c r="D18" s="149" t="str">
        <f aca="false">IF($A18="","",$B18-$C18)</f>
        <v/>
      </c>
      <c r="E18" s="90"/>
      <c r="F18" s="91"/>
      <c r="G18" s="139" t="str">
        <f aca="false">IF($A18="","",$B18)</f>
        <v/>
      </c>
      <c r="H18" s="140" t="str">
        <f aca="false">IF($A18="","",2*$F18)</f>
        <v/>
      </c>
      <c r="I18" s="139" t="str">
        <f aca="false">IF($A18="","",$E18-$E$55-$F$55)</f>
        <v/>
      </c>
      <c r="J18" s="140" t="str">
        <f aca="false">IF($A18="","",2*$F18)</f>
        <v/>
      </c>
      <c r="K18" s="139" t="str">
        <f aca="false">IF($A18="","",$I18)</f>
        <v/>
      </c>
      <c r="L18" s="140" t="str">
        <f aca="false">IF($A18="","",1*$F18)</f>
        <v/>
      </c>
      <c r="M18" s="139" t="str">
        <f aca="false">IF($A18="","",$D18-$E$57-$F$57)</f>
        <v/>
      </c>
      <c r="N18" s="140" t="str">
        <f aca="false">IF($A18="","",2*$F18)</f>
        <v/>
      </c>
      <c r="O18" s="139" t="str">
        <f aca="false">IF($A18="","",(($E18-$E$58-$F$58)))</f>
        <v/>
      </c>
      <c r="P18" s="140" t="str">
        <f aca="false">IF($A18="","",2*$F18)</f>
        <v/>
      </c>
      <c r="Q18" s="139" t="str">
        <f aca="false">IF($A18="","",$M18-$E$59-$F$59)</f>
        <v/>
      </c>
      <c r="R18" s="140" t="str">
        <f aca="false">IF($A18="","",2*$F18)</f>
        <v/>
      </c>
      <c r="S18" s="139" t="str">
        <f aca="false">IF($A18="","",$O18-$E$60-$F$60)</f>
        <v/>
      </c>
      <c r="T18" s="140" t="str">
        <f aca="false">IF($A18="","",2*$F18)</f>
        <v/>
      </c>
      <c r="U18" s="139" t="str">
        <f aca="false">IF($A18="","",$E18-$E$61-$F$61)</f>
        <v/>
      </c>
      <c r="V18" s="140" t="str">
        <f aca="false">IF($A18="","",2*$F18)</f>
        <v/>
      </c>
      <c r="W18" s="139" t="str">
        <f aca="false">IF($A18="","",$C18-$E$62-$F$62)</f>
        <v/>
      </c>
      <c r="X18" s="140" t="str">
        <f aca="false">IF($A18="","",2*$F18)</f>
        <v/>
      </c>
      <c r="Y18" s="139"/>
      <c r="Z18" s="140"/>
      <c r="AA18" s="139"/>
      <c r="AB18" s="140"/>
      <c r="AC18" s="139"/>
      <c r="AD18" s="140"/>
      <c r="AE18" s="139"/>
      <c r="AF18" s="140"/>
      <c r="AG18" s="135" t="str">
        <f aca="false">IF($A18="","",$M18-67-67)</f>
        <v/>
      </c>
      <c r="AH18" s="136" t="str">
        <f aca="false">IF($A18="","",$O18-67-67)</f>
        <v/>
      </c>
      <c r="AI18" s="137" t="str">
        <f aca="false">IF($A18="","",1*$F18)</f>
        <v/>
      </c>
      <c r="AJ18" s="135" t="str">
        <f aca="false">IF($A18="","",$C18-24.5-37)</f>
        <v/>
      </c>
      <c r="AK18" s="136" t="str">
        <f aca="false">IF($A18="","",1*$F18)</f>
        <v/>
      </c>
      <c r="AL18" s="137" t="str">
        <f aca="false">IF($A18="","",1*$F18)</f>
        <v/>
      </c>
      <c r="AM18" s="1" t="str">
        <f aca="false">IF($A18="","",1*$F18)</f>
        <v/>
      </c>
      <c r="AN18" s="1" t="str">
        <f aca="false">IF($A18="","",2*1*$F18)</f>
        <v/>
      </c>
      <c r="AO18" s="1" t="str">
        <f aca="false">IF($A18="","",(2+IF($C18&gt;1800,ROUNDUP(($C18-1800)/500,0),0))*1*$F18)</f>
        <v/>
      </c>
      <c r="AP18" s="1" t="str">
        <f aca="false">IF($A18="","",(2+IF($C18&gt;1800,ROUNDUP(($C18-1800)/500,0),0))*1*$F18)</f>
        <v/>
      </c>
      <c r="AQ18" s="1" t="str">
        <f aca="false">IF($A18="","",4*1*$F18)</f>
        <v/>
      </c>
      <c r="AR18" s="1" t="str">
        <f aca="false">IF($A18="","",8*1*$F18)</f>
        <v/>
      </c>
      <c r="AS18" s="1" t="str">
        <f aca="false">IF($A18="","",8*$F18)</f>
        <v/>
      </c>
      <c r="AT18" s="1" t="str">
        <f aca="false">IF($A18="","",ROUND((2*($E18+$C18))*1*$F18/1000,1))</f>
        <v/>
      </c>
      <c r="AU18" s="1" t="str">
        <f aca="false">IF($A18="","",ROUND((2*($E18+$B18))*$F18/1000,1))</f>
        <v/>
      </c>
    </row>
    <row r="19" customFormat="false" ht="39.75" hidden="false" customHeight="true" outlineLevel="0" collapsed="false">
      <c r="A19" s="88"/>
      <c r="B19" s="89"/>
      <c r="C19" s="148"/>
      <c r="D19" s="149" t="str">
        <f aca="false">IF($A19="","",$B19-$C19)</f>
        <v/>
      </c>
      <c r="E19" s="90"/>
      <c r="F19" s="91"/>
      <c r="G19" s="134" t="str">
        <f aca="false">IF($A19="","",$B19)</f>
        <v/>
      </c>
      <c r="H19" s="90" t="str">
        <f aca="false">IF($A19="","",2*$F19)</f>
        <v/>
      </c>
      <c r="I19" s="134" t="str">
        <f aca="false">IF($A19="","",$E19-$E$55-$F$55)</f>
        <v/>
      </c>
      <c r="J19" s="90" t="str">
        <f aca="false">IF($A19="","",2*$F19)</f>
        <v/>
      </c>
      <c r="K19" s="134" t="str">
        <f aca="false">IF($A19="","",$I19)</f>
        <v/>
      </c>
      <c r="L19" s="90" t="str">
        <f aca="false">IF($A19="","",1*$F19)</f>
        <v/>
      </c>
      <c r="M19" s="134" t="str">
        <f aca="false">IF($A19="","",$D19-$E$57-$F$57)</f>
        <v/>
      </c>
      <c r="N19" s="90" t="str">
        <f aca="false">IF($A19="","",2*$F19)</f>
        <v/>
      </c>
      <c r="O19" s="134" t="str">
        <f aca="false">IF($A19="","",(($E19-$E$58-$F$58)))</f>
        <v/>
      </c>
      <c r="P19" s="90" t="str">
        <f aca="false">IF($A19="","",2*$F19)</f>
        <v/>
      </c>
      <c r="Q19" s="134" t="str">
        <f aca="false">IF($A19="","",$M19-$E$59-$F$59)</f>
        <v/>
      </c>
      <c r="R19" s="90" t="str">
        <f aca="false">IF($A19="","",2*$F19)</f>
        <v/>
      </c>
      <c r="S19" s="134" t="str">
        <f aca="false">IF($A19="","",$O19-$E$60-$F$60)</f>
        <v/>
      </c>
      <c r="T19" s="90" t="str">
        <f aca="false">IF($A19="","",2*$F19)</f>
        <v/>
      </c>
      <c r="U19" s="134" t="str">
        <f aca="false">IF($A19="","",$E19-$E$61-$F$61)</f>
        <v/>
      </c>
      <c r="V19" s="90" t="str">
        <f aca="false">IF($A19="","",2*$F19)</f>
        <v/>
      </c>
      <c r="W19" s="134" t="str">
        <f aca="false">IF($A19="","",$C19-$E$62-$F$62)</f>
        <v/>
      </c>
      <c r="X19" s="90" t="str">
        <f aca="false">IF($A19="","",2*$F19)</f>
        <v/>
      </c>
      <c r="Y19" s="134"/>
      <c r="Z19" s="90"/>
      <c r="AA19" s="134"/>
      <c r="AB19" s="90"/>
      <c r="AC19" s="134"/>
      <c r="AD19" s="90"/>
      <c r="AE19" s="134"/>
      <c r="AF19" s="90"/>
      <c r="AG19" s="135" t="str">
        <f aca="false">IF($A19="","",$M19-67-67)</f>
        <v/>
      </c>
      <c r="AH19" s="136" t="str">
        <f aca="false">IF($A19="","",$O19-67-67)</f>
        <v/>
      </c>
      <c r="AI19" s="137" t="str">
        <f aca="false">IF($A19="","",1*$F19)</f>
        <v/>
      </c>
      <c r="AJ19" s="135" t="str">
        <f aca="false">IF($A19="","",$C19-24.5-37)</f>
        <v/>
      </c>
      <c r="AK19" s="136" t="str">
        <f aca="false">IF($A19="","",1*$F19)</f>
        <v/>
      </c>
      <c r="AL19" s="137" t="str">
        <f aca="false">IF($A19="","",1*$F19)</f>
        <v/>
      </c>
      <c r="AM19" s="1" t="str">
        <f aca="false">IF($A19="","",1*$F19)</f>
        <v/>
      </c>
      <c r="AN19" s="1" t="str">
        <f aca="false">IF($A19="","",2*1*$F19)</f>
        <v/>
      </c>
      <c r="AO19" s="1" t="str">
        <f aca="false">IF($A19="","",(2+IF($C19&gt;1800,ROUNDUP(($C19-1800)/500,0),0))*1*$F19)</f>
        <v/>
      </c>
      <c r="AP19" s="1" t="str">
        <f aca="false">IF($A19="","",(2+IF($C19&gt;1800,ROUNDUP(($C19-1800)/500,0),0))*1*$F19)</f>
        <v/>
      </c>
      <c r="AQ19" s="1" t="str">
        <f aca="false">IF($A19="","",4*1*$F19)</f>
        <v/>
      </c>
      <c r="AR19" s="1" t="str">
        <f aca="false">IF($A19="","",8*1*$F19)</f>
        <v/>
      </c>
      <c r="AS19" s="1" t="str">
        <f aca="false">IF($A19="","",8*$F19)</f>
        <v/>
      </c>
      <c r="AT19" s="1" t="str">
        <f aca="false">IF($A19="","",ROUND((2*($E19+$C19))*1*$F19/1000,1))</f>
        <v/>
      </c>
      <c r="AU19" s="1" t="str">
        <f aca="false">IF($A19="","",ROUND((2*($E19+$B19))*$F19/1000,1))</f>
        <v/>
      </c>
    </row>
    <row r="20" customFormat="false" ht="39.75" hidden="false" customHeight="true" outlineLevel="0" collapsed="false">
      <c r="A20" s="88"/>
      <c r="B20" s="89"/>
      <c r="C20" s="148"/>
      <c r="D20" s="149" t="str">
        <f aca="false">IF($A20="","",$B20-$C20)</f>
        <v/>
      </c>
      <c r="E20" s="90"/>
      <c r="F20" s="91"/>
      <c r="G20" s="139" t="str">
        <f aca="false">IF($A20="","",$B20)</f>
        <v/>
      </c>
      <c r="H20" s="140" t="str">
        <f aca="false">IF($A20="","",2*$F20)</f>
        <v/>
      </c>
      <c r="I20" s="139" t="str">
        <f aca="false">IF($A20="","",$E20-$E$55-$F$55)</f>
        <v/>
      </c>
      <c r="J20" s="140" t="str">
        <f aca="false">IF($A20="","",2*$F20)</f>
        <v/>
      </c>
      <c r="K20" s="139" t="str">
        <f aca="false">IF($A20="","",$I20)</f>
        <v/>
      </c>
      <c r="L20" s="140" t="str">
        <f aca="false">IF($A20="","",1*$F20)</f>
        <v/>
      </c>
      <c r="M20" s="139" t="str">
        <f aca="false">IF($A20="","",$D20-$E$57-$F$57)</f>
        <v/>
      </c>
      <c r="N20" s="140" t="str">
        <f aca="false">IF($A20="","",2*$F20)</f>
        <v/>
      </c>
      <c r="O20" s="139" t="str">
        <f aca="false">IF($A20="","",(($E20-$E$58-$F$58)))</f>
        <v/>
      </c>
      <c r="P20" s="140" t="str">
        <f aca="false">IF($A20="","",2*$F20)</f>
        <v/>
      </c>
      <c r="Q20" s="139" t="str">
        <f aca="false">IF($A20="","",$M20-$E$59-$F$59)</f>
        <v/>
      </c>
      <c r="R20" s="140" t="str">
        <f aca="false">IF($A20="","",2*$F20)</f>
        <v/>
      </c>
      <c r="S20" s="139" t="str">
        <f aca="false">IF($A20="","",$O20-$E$60-$F$60)</f>
        <v/>
      </c>
      <c r="T20" s="140" t="str">
        <f aca="false">IF($A20="","",2*$F20)</f>
        <v/>
      </c>
      <c r="U20" s="139" t="str">
        <f aca="false">IF($A20="","",$E20-$E$61-$F$61)</f>
        <v/>
      </c>
      <c r="V20" s="140" t="str">
        <f aca="false">IF($A20="","",2*$F20)</f>
        <v/>
      </c>
      <c r="W20" s="139" t="str">
        <f aca="false">IF($A20="","",$C20-$E$62-$F$62)</f>
        <v/>
      </c>
      <c r="X20" s="140" t="str">
        <f aca="false">IF($A20="","",2*$F20)</f>
        <v/>
      </c>
      <c r="Y20" s="139"/>
      <c r="Z20" s="140"/>
      <c r="AA20" s="139"/>
      <c r="AB20" s="140"/>
      <c r="AC20" s="139"/>
      <c r="AD20" s="140"/>
      <c r="AE20" s="139"/>
      <c r="AF20" s="140"/>
      <c r="AG20" s="135" t="str">
        <f aca="false">IF($A20="","",$M20-67-67)</f>
        <v/>
      </c>
      <c r="AH20" s="136" t="str">
        <f aca="false">IF($A20="","",$O20-67-67)</f>
        <v/>
      </c>
      <c r="AI20" s="137" t="str">
        <f aca="false">IF($A20="","",1*$F20)</f>
        <v/>
      </c>
      <c r="AJ20" s="135" t="str">
        <f aca="false">IF($A20="","",$C20-24.5-37)</f>
        <v/>
      </c>
      <c r="AK20" s="136" t="str">
        <f aca="false">IF($A20="","",1*$F20)</f>
        <v/>
      </c>
      <c r="AL20" s="137" t="str">
        <f aca="false">IF($A20="","",1*$F20)</f>
        <v/>
      </c>
      <c r="AM20" s="1" t="str">
        <f aca="false">IF($A20="","",1*$F20)</f>
        <v/>
      </c>
      <c r="AN20" s="1" t="str">
        <f aca="false">IF($A20="","",2*1*$F20)</f>
        <v/>
      </c>
      <c r="AO20" s="1" t="str">
        <f aca="false">IF($A20="","",(2+IF($C20&gt;1800,ROUNDUP(($C20-1800)/500,0),0))*1*$F20)</f>
        <v/>
      </c>
      <c r="AP20" s="1" t="str">
        <f aca="false">IF($A20="","",(2+IF($C20&gt;1800,ROUNDUP(($C20-1800)/500,0),0))*1*$F20)</f>
        <v/>
      </c>
      <c r="AQ20" s="1" t="str">
        <f aca="false">IF($A20="","",4*1*$F20)</f>
        <v/>
      </c>
      <c r="AR20" s="1" t="str">
        <f aca="false">IF($A20="","",8*1*$F20)</f>
        <v/>
      </c>
      <c r="AS20" s="1" t="str">
        <f aca="false">IF($A20="","",8*$F20)</f>
        <v/>
      </c>
      <c r="AT20" s="1" t="str">
        <f aca="false">IF($A20="","",ROUND((2*($E20+$C20))*1*$F20/1000,1))</f>
        <v/>
      </c>
      <c r="AU20" s="1" t="str">
        <f aca="false">IF($A20="","",ROUND((2*($E20+$B20))*$F20/1000,1))</f>
        <v/>
      </c>
    </row>
    <row r="21" customFormat="false" ht="39.75" hidden="false" customHeight="true" outlineLevel="0" collapsed="false">
      <c r="A21" s="88"/>
      <c r="B21" s="89"/>
      <c r="C21" s="148"/>
      <c r="D21" s="149" t="str">
        <f aca="false">IF($A21="","",$B21-$C21)</f>
        <v/>
      </c>
      <c r="E21" s="90"/>
      <c r="F21" s="91"/>
      <c r="G21" s="134" t="str">
        <f aca="false">IF($A21="","",$B21)</f>
        <v/>
      </c>
      <c r="H21" s="90" t="str">
        <f aca="false">IF($A21="","",2*$F21)</f>
        <v/>
      </c>
      <c r="I21" s="134" t="str">
        <f aca="false">IF($A21="","",$E21-$E$55-$F$55)</f>
        <v/>
      </c>
      <c r="J21" s="90" t="str">
        <f aca="false">IF($A21="","",2*$F21)</f>
        <v/>
      </c>
      <c r="K21" s="134" t="str">
        <f aca="false">IF($A21="","",$I21)</f>
        <v/>
      </c>
      <c r="L21" s="90" t="str">
        <f aca="false">IF($A21="","",1*$F21)</f>
        <v/>
      </c>
      <c r="M21" s="134" t="str">
        <f aca="false">IF($A21="","",$D21-$E$57-$F$57)</f>
        <v/>
      </c>
      <c r="N21" s="90" t="str">
        <f aca="false">IF($A21="","",2*$F21)</f>
        <v/>
      </c>
      <c r="O21" s="134" t="str">
        <f aca="false">IF($A21="","",(($E21-$E$58-$F$58)))</f>
        <v/>
      </c>
      <c r="P21" s="90" t="str">
        <f aca="false">IF($A21="","",2*$F21)</f>
        <v/>
      </c>
      <c r="Q21" s="134" t="str">
        <f aca="false">IF($A21="","",$M21-$E$59-$F$59)</f>
        <v/>
      </c>
      <c r="R21" s="90" t="str">
        <f aca="false">IF($A21="","",2*$F21)</f>
        <v/>
      </c>
      <c r="S21" s="134" t="str">
        <f aca="false">IF($A21="","",$O21-$E$60-$F$60)</f>
        <v/>
      </c>
      <c r="T21" s="90" t="str">
        <f aca="false">IF($A21="","",2*$F21)</f>
        <v/>
      </c>
      <c r="U21" s="134" t="str">
        <f aca="false">IF($A21="","",$E21-$E$61-$F$61)</f>
        <v/>
      </c>
      <c r="V21" s="90" t="str">
        <f aca="false">IF($A21="","",2*$F21)</f>
        <v/>
      </c>
      <c r="W21" s="134" t="str">
        <f aca="false">IF($A21="","",$C21-$E$62-$F$62)</f>
        <v/>
      </c>
      <c r="X21" s="90" t="str">
        <f aca="false">IF($A21="","",2*$F21)</f>
        <v/>
      </c>
      <c r="Y21" s="134"/>
      <c r="Z21" s="90"/>
      <c r="AA21" s="134"/>
      <c r="AB21" s="90"/>
      <c r="AC21" s="134"/>
      <c r="AD21" s="90"/>
      <c r="AE21" s="134"/>
      <c r="AF21" s="90"/>
      <c r="AG21" s="135" t="str">
        <f aca="false">IF($A21="","",$M21-67-67)</f>
        <v/>
      </c>
      <c r="AH21" s="136" t="str">
        <f aca="false">IF($A21="","",$O21-67-67)</f>
        <v/>
      </c>
      <c r="AI21" s="137" t="str">
        <f aca="false">IF($A21="","",1*$F21)</f>
        <v/>
      </c>
      <c r="AJ21" s="135" t="str">
        <f aca="false">IF($A21="","",$C21-24.5-37)</f>
        <v/>
      </c>
      <c r="AK21" s="136" t="str">
        <f aca="false">IF($A21="","",1*$F21)</f>
        <v/>
      </c>
      <c r="AL21" s="137" t="str">
        <f aca="false">IF($A21="","",1*$F21)</f>
        <v/>
      </c>
      <c r="AM21" s="1" t="str">
        <f aca="false">IF($A21="","",1*$F21)</f>
        <v/>
      </c>
      <c r="AN21" s="1" t="str">
        <f aca="false">IF($A21="","",2*1*$F21)</f>
        <v/>
      </c>
      <c r="AO21" s="1" t="str">
        <f aca="false">IF($A21="","",(2+IF($C21&gt;1800,ROUNDUP(($C21-1800)/500,0),0))*1*$F21)</f>
        <v/>
      </c>
      <c r="AP21" s="1" t="str">
        <f aca="false">IF($A21="","",(2+IF($C21&gt;1800,ROUNDUP(($C21-1800)/500,0),0))*1*$F21)</f>
        <v/>
      </c>
      <c r="AQ21" s="1" t="str">
        <f aca="false">IF($A21="","",4*1*$F21)</f>
        <v/>
      </c>
      <c r="AR21" s="1" t="str">
        <f aca="false">IF($A21="","",8*1*$F21)</f>
        <v/>
      </c>
      <c r="AS21" s="1" t="str">
        <f aca="false">IF($A21="","",8*$F21)</f>
        <v/>
      </c>
      <c r="AT21" s="1" t="str">
        <f aca="false">IF($A21="","",ROUND((2*($E21+$C21))*1*$F21/1000,1))</f>
        <v/>
      </c>
      <c r="AU21" s="1" t="str">
        <f aca="false">IF($A21="","",ROUND((2*($E21+$B21))*$F21/1000,1))</f>
        <v/>
      </c>
    </row>
    <row r="22" customFormat="false" ht="39.75" hidden="false" customHeight="true" outlineLevel="0" collapsed="false">
      <c r="A22" s="88"/>
      <c r="B22" s="89"/>
      <c r="C22" s="148"/>
      <c r="D22" s="149" t="str">
        <f aca="false">IF($A22="","",$B22-$C22)</f>
        <v/>
      </c>
      <c r="E22" s="90"/>
      <c r="F22" s="91"/>
      <c r="G22" s="139" t="str">
        <f aca="false">IF($A22="","",$B22)</f>
        <v/>
      </c>
      <c r="H22" s="140" t="str">
        <f aca="false">IF($A22="","",2*$F22)</f>
        <v/>
      </c>
      <c r="I22" s="139" t="str">
        <f aca="false">IF($A22="","",$E22-$E$55-$F$55)</f>
        <v/>
      </c>
      <c r="J22" s="140" t="str">
        <f aca="false">IF($A22="","",2*$F22)</f>
        <v/>
      </c>
      <c r="K22" s="139" t="str">
        <f aca="false">IF($A22="","",$I22)</f>
        <v/>
      </c>
      <c r="L22" s="140" t="str">
        <f aca="false">IF($A22="","",1*$F22)</f>
        <v/>
      </c>
      <c r="M22" s="139" t="str">
        <f aca="false">IF($A22="","",$D22-$E$57-$F$57)</f>
        <v/>
      </c>
      <c r="N22" s="140" t="str">
        <f aca="false">IF($A22="","",2*$F22)</f>
        <v/>
      </c>
      <c r="O22" s="139" t="str">
        <f aca="false">IF($A22="","",(($E22-$E$58-$F$58)))</f>
        <v/>
      </c>
      <c r="P22" s="140" t="str">
        <f aca="false">IF($A22="","",2*$F22)</f>
        <v/>
      </c>
      <c r="Q22" s="139" t="str">
        <f aca="false">IF($A22="","",$M22-$E$59-$F$59)</f>
        <v/>
      </c>
      <c r="R22" s="140" t="str">
        <f aca="false">IF($A22="","",2*$F22)</f>
        <v/>
      </c>
      <c r="S22" s="139" t="str">
        <f aca="false">IF($A22="","",$O22-$E$60-$F$60)</f>
        <v/>
      </c>
      <c r="T22" s="140" t="str">
        <f aca="false">IF($A22="","",2*$F22)</f>
        <v/>
      </c>
      <c r="U22" s="139" t="str">
        <f aca="false">IF($A22="","",$E22-$E$61-$F$61)</f>
        <v/>
      </c>
      <c r="V22" s="140" t="str">
        <f aca="false">IF($A22="","",2*$F22)</f>
        <v/>
      </c>
      <c r="W22" s="139" t="str">
        <f aca="false">IF($A22="","",$C22-$E$62-$F$62)</f>
        <v/>
      </c>
      <c r="X22" s="140" t="str">
        <f aca="false">IF($A22="","",2*$F22)</f>
        <v/>
      </c>
      <c r="Y22" s="139"/>
      <c r="Z22" s="140"/>
      <c r="AA22" s="139"/>
      <c r="AB22" s="140"/>
      <c r="AC22" s="139"/>
      <c r="AD22" s="140"/>
      <c r="AE22" s="139"/>
      <c r="AF22" s="140"/>
      <c r="AG22" s="135" t="str">
        <f aca="false">IF($A22="","",$M22-67-67)</f>
        <v/>
      </c>
      <c r="AH22" s="136" t="str">
        <f aca="false">IF($A22="","",$O22-67-67)</f>
        <v/>
      </c>
      <c r="AI22" s="137" t="str">
        <f aca="false">IF($A22="","",1*$F22)</f>
        <v/>
      </c>
      <c r="AJ22" s="135" t="str">
        <f aca="false">IF($A22="","",$C22-24.5-37)</f>
        <v/>
      </c>
      <c r="AK22" s="136" t="str">
        <f aca="false">IF($A22="","",1*$F22)</f>
        <v/>
      </c>
      <c r="AL22" s="137" t="str">
        <f aca="false">IF($A22="","",1*$F22)</f>
        <v/>
      </c>
      <c r="AM22" s="1" t="str">
        <f aca="false">IF($A22="","",1*$F22)</f>
        <v/>
      </c>
      <c r="AN22" s="1" t="str">
        <f aca="false">IF($A22="","",2*1*$F22)</f>
        <v/>
      </c>
      <c r="AO22" s="1" t="str">
        <f aca="false">IF($A22="","",(2+IF($C22&gt;1800,ROUNDUP(($C22-1800)/500,0),0))*1*$F22)</f>
        <v/>
      </c>
      <c r="AP22" s="1" t="str">
        <f aca="false">IF($A22="","",(2+IF($C22&gt;1800,ROUNDUP(($C22-1800)/500,0),0))*1*$F22)</f>
        <v/>
      </c>
      <c r="AQ22" s="1" t="str">
        <f aca="false">IF($A22="","",4*1*$F22)</f>
        <v/>
      </c>
      <c r="AR22" s="1" t="str">
        <f aca="false">IF($A22="","",8*1*$F22)</f>
        <v/>
      </c>
      <c r="AS22" s="1" t="str">
        <f aca="false">IF($A22="","",8*$F22)</f>
        <v/>
      </c>
      <c r="AT22" s="1" t="str">
        <f aca="false">IF($A22="","",ROUND((2*($E22+$C22))*1*$F22/1000,1))</f>
        <v/>
      </c>
      <c r="AU22" s="1" t="str">
        <f aca="false">IF($A22="","",ROUND((2*($E22+$B22))*$F22/1000,1))</f>
        <v/>
      </c>
    </row>
    <row r="23" customFormat="false" ht="39.75" hidden="false" customHeight="true" outlineLevel="0" collapsed="false">
      <c r="A23" s="88"/>
      <c r="B23" s="89"/>
      <c r="C23" s="148"/>
      <c r="D23" s="149" t="str">
        <f aca="false">IF($A23="","",$B23-$C23)</f>
        <v/>
      </c>
      <c r="E23" s="90"/>
      <c r="F23" s="91"/>
      <c r="G23" s="134" t="str">
        <f aca="false">IF($A23="","",$B23)</f>
        <v/>
      </c>
      <c r="H23" s="90" t="str">
        <f aca="false">IF($A23="","",2*$F23)</f>
        <v/>
      </c>
      <c r="I23" s="134" t="str">
        <f aca="false">IF($A23="","",$E23-$E$55-$F$55)</f>
        <v/>
      </c>
      <c r="J23" s="90" t="str">
        <f aca="false">IF($A23="","",2*$F23)</f>
        <v/>
      </c>
      <c r="K23" s="134" t="str">
        <f aca="false">IF($A23="","",$I23)</f>
        <v/>
      </c>
      <c r="L23" s="90" t="str">
        <f aca="false">IF($A23="","",1*$F23)</f>
        <v/>
      </c>
      <c r="M23" s="134" t="str">
        <f aca="false">IF($A23="","",$D23-$E$57-$F$57)</f>
        <v/>
      </c>
      <c r="N23" s="90" t="str">
        <f aca="false">IF($A23="","",2*$F23)</f>
        <v/>
      </c>
      <c r="O23" s="134" t="str">
        <f aca="false">IF($A23="","",(($E23-$E$58-$F$58)))</f>
        <v/>
      </c>
      <c r="P23" s="90" t="str">
        <f aca="false">IF($A23="","",2*$F23)</f>
        <v/>
      </c>
      <c r="Q23" s="134" t="str">
        <f aca="false">IF($A23="","",$M23-$E$59-$F$59)</f>
        <v/>
      </c>
      <c r="R23" s="90" t="str">
        <f aca="false">IF($A23="","",2*$F23)</f>
        <v/>
      </c>
      <c r="S23" s="134" t="str">
        <f aca="false">IF($A23="","",$O23-$E$60-$F$60)</f>
        <v/>
      </c>
      <c r="T23" s="90" t="str">
        <f aca="false">IF($A23="","",2*$F23)</f>
        <v/>
      </c>
      <c r="U23" s="134" t="str">
        <f aca="false">IF($A23="","",$E23-$E$61-$F$61)</f>
        <v/>
      </c>
      <c r="V23" s="90" t="str">
        <f aca="false">IF($A23="","",2*$F23)</f>
        <v/>
      </c>
      <c r="W23" s="134" t="str">
        <f aca="false">IF($A23="","",$C23-$E$62-$F$62)</f>
        <v/>
      </c>
      <c r="X23" s="90" t="str">
        <f aca="false">IF($A23="","",2*$F23)</f>
        <v/>
      </c>
      <c r="Y23" s="134"/>
      <c r="Z23" s="90"/>
      <c r="AA23" s="134"/>
      <c r="AB23" s="90"/>
      <c r="AC23" s="134"/>
      <c r="AD23" s="90"/>
      <c r="AE23" s="134"/>
      <c r="AF23" s="90"/>
      <c r="AG23" s="135" t="str">
        <f aca="false">IF($A23="","",$M23-67-67)</f>
        <v/>
      </c>
      <c r="AH23" s="136" t="str">
        <f aca="false">IF($A23="","",$O23-67-67)</f>
        <v/>
      </c>
      <c r="AI23" s="137" t="str">
        <f aca="false">IF($A23="","",1*$F23)</f>
        <v/>
      </c>
      <c r="AJ23" s="135" t="str">
        <f aca="false">IF($A23="","",$C23-24.5-37)</f>
        <v/>
      </c>
      <c r="AK23" s="136" t="str">
        <f aca="false">IF($A23="","",1*$F23)</f>
        <v/>
      </c>
      <c r="AL23" s="137" t="str">
        <f aca="false">IF($A23="","",1*$F23)</f>
        <v/>
      </c>
      <c r="AM23" s="1" t="str">
        <f aca="false">IF($A23="","",1*$F23)</f>
        <v/>
      </c>
      <c r="AN23" s="1" t="str">
        <f aca="false">IF($A23="","",2*1*$F23)</f>
        <v/>
      </c>
      <c r="AO23" s="1" t="str">
        <f aca="false">IF($A23="","",(2+IF($C23&gt;1800,ROUNDUP(($C23-1800)/500,0),0))*1*$F23)</f>
        <v/>
      </c>
      <c r="AP23" s="1" t="str">
        <f aca="false">IF($A23="","",(2+IF($C23&gt;1800,ROUNDUP(($C23-1800)/500,0),0))*1*$F23)</f>
        <v/>
      </c>
      <c r="AQ23" s="1" t="str">
        <f aca="false">IF($A23="","",4*1*$F23)</f>
        <v/>
      </c>
      <c r="AR23" s="1" t="str">
        <f aca="false">IF($A23="","",8*1*$F23)</f>
        <v/>
      </c>
      <c r="AS23" s="1" t="str">
        <f aca="false">IF($A23="","",8*$F23)</f>
        <v/>
      </c>
      <c r="AT23" s="1" t="str">
        <f aca="false">IF($A23="","",ROUND((2*($E23+$C23))*1*$F23/1000,1))</f>
        <v/>
      </c>
      <c r="AU23" s="1" t="str">
        <f aca="false">IF($A23="","",ROUND((2*($E23+$B23))*$F23/1000,1))</f>
        <v/>
      </c>
    </row>
    <row r="24" customFormat="false" ht="39.75" hidden="false" customHeight="true" outlineLevel="0" collapsed="false">
      <c r="A24" s="88"/>
      <c r="B24" s="89"/>
      <c r="C24" s="148"/>
      <c r="D24" s="149" t="str">
        <f aca="false">IF($A24="","",$B24-$C24)</f>
        <v/>
      </c>
      <c r="E24" s="90"/>
      <c r="F24" s="91"/>
      <c r="G24" s="139" t="str">
        <f aca="false">IF($A24="","",$B24)</f>
        <v/>
      </c>
      <c r="H24" s="140" t="str">
        <f aca="false">IF($A24="","",2*$F24)</f>
        <v/>
      </c>
      <c r="I24" s="139" t="str">
        <f aca="false">IF($A24="","",$E24-$E$55-$F$55)</f>
        <v/>
      </c>
      <c r="J24" s="140" t="str">
        <f aca="false">IF($A24="","",2*$F24)</f>
        <v/>
      </c>
      <c r="K24" s="139" t="str">
        <f aca="false">IF($A24="","",$I24)</f>
        <v/>
      </c>
      <c r="L24" s="140" t="str">
        <f aca="false">IF($A24="","",1*$F24)</f>
        <v/>
      </c>
      <c r="M24" s="139" t="str">
        <f aca="false">IF($A24="","",$D24-$E$57-$F$57)</f>
        <v/>
      </c>
      <c r="N24" s="140" t="str">
        <f aca="false">IF($A24="","",2*$F24)</f>
        <v/>
      </c>
      <c r="O24" s="139" t="str">
        <f aca="false">IF($A24="","",(($E24-$E$58-$F$58)))</f>
        <v/>
      </c>
      <c r="P24" s="140" t="str">
        <f aca="false">IF($A24="","",2*$F24)</f>
        <v/>
      </c>
      <c r="Q24" s="139" t="str">
        <f aca="false">IF($A24="","",$M24-$E$59-$F$59)</f>
        <v/>
      </c>
      <c r="R24" s="140" t="str">
        <f aca="false">IF($A24="","",2*$F24)</f>
        <v/>
      </c>
      <c r="S24" s="139" t="str">
        <f aca="false">IF($A24="","",$O24-$E$60-$F$60)</f>
        <v/>
      </c>
      <c r="T24" s="140" t="str">
        <f aca="false">IF($A24="","",2*$F24)</f>
        <v/>
      </c>
      <c r="U24" s="139" t="str">
        <f aca="false">IF($A24="","",$E24-$E$61-$F$61)</f>
        <v/>
      </c>
      <c r="V24" s="140" t="str">
        <f aca="false">IF($A24="","",2*$F24)</f>
        <v/>
      </c>
      <c r="W24" s="139" t="str">
        <f aca="false">IF($A24="","",$C24-$E$62-$F$62)</f>
        <v/>
      </c>
      <c r="X24" s="140" t="str">
        <f aca="false">IF($A24="","",2*$F24)</f>
        <v/>
      </c>
      <c r="Y24" s="139"/>
      <c r="Z24" s="140"/>
      <c r="AA24" s="139"/>
      <c r="AB24" s="140"/>
      <c r="AC24" s="139"/>
      <c r="AD24" s="140"/>
      <c r="AE24" s="139"/>
      <c r="AF24" s="140"/>
      <c r="AG24" s="135" t="str">
        <f aca="false">IF($A24="","",$M24-67-67)</f>
        <v/>
      </c>
      <c r="AH24" s="136" t="str">
        <f aca="false">IF($A24="","",$O24-67-67)</f>
        <v/>
      </c>
      <c r="AI24" s="137" t="str">
        <f aca="false">IF($A24="","",1*$F24)</f>
        <v/>
      </c>
      <c r="AJ24" s="135" t="str">
        <f aca="false">IF($A24="","",$C24-24.5-37)</f>
        <v/>
      </c>
      <c r="AK24" s="136" t="str">
        <f aca="false">IF($A24="","",1*$F24)</f>
        <v/>
      </c>
      <c r="AL24" s="137" t="str">
        <f aca="false">IF($A24="","",1*$F24)</f>
        <v/>
      </c>
      <c r="AM24" s="1" t="str">
        <f aca="false">IF($A24="","",1*$F24)</f>
        <v/>
      </c>
      <c r="AN24" s="1" t="str">
        <f aca="false">IF($A24="","",2*1*$F24)</f>
        <v/>
      </c>
      <c r="AO24" s="1" t="str">
        <f aca="false">IF($A24="","",(2+IF($C24&gt;1800,ROUNDUP(($C24-1800)/500,0),0))*1*$F24)</f>
        <v/>
      </c>
      <c r="AP24" s="1" t="str">
        <f aca="false">IF($A24="","",(2+IF($C24&gt;1800,ROUNDUP(($C24-1800)/500,0),0))*1*$F24)</f>
        <v/>
      </c>
      <c r="AQ24" s="1" t="str">
        <f aca="false">IF($A24="","",4*1*$F24)</f>
        <v/>
      </c>
      <c r="AR24" s="1" t="str">
        <f aca="false">IF($A24="","",8*1*$F24)</f>
        <v/>
      </c>
      <c r="AS24" s="1" t="str">
        <f aca="false">IF($A24="","",8*$F24)</f>
        <v/>
      </c>
      <c r="AT24" s="1" t="str">
        <f aca="false">IF($A24="","",ROUND((2*($E24+$C24))*1*$F24/1000,1))</f>
        <v/>
      </c>
      <c r="AU24" s="1" t="str">
        <f aca="false">IF($A24="","",ROUND((2*($E24+$B24))*$F24/1000,1))</f>
        <v/>
      </c>
    </row>
    <row r="25" customFormat="false" ht="39.75" hidden="false" customHeight="true" outlineLevel="0" collapsed="false">
      <c r="A25" s="88"/>
      <c r="B25" s="89"/>
      <c r="C25" s="148"/>
      <c r="D25" s="149" t="str">
        <f aca="false">IF($A25="","",$B25-$C25)</f>
        <v/>
      </c>
      <c r="E25" s="90"/>
      <c r="F25" s="91"/>
      <c r="G25" s="134" t="str">
        <f aca="false">IF($A25="","",$B25)</f>
        <v/>
      </c>
      <c r="H25" s="90" t="str">
        <f aca="false">IF($A25="","",2*$F25)</f>
        <v/>
      </c>
      <c r="I25" s="134" t="str">
        <f aca="false">IF($A25="","",$E25-$E$55-$F$55)</f>
        <v/>
      </c>
      <c r="J25" s="90" t="str">
        <f aca="false">IF($A25="","",2*$F25)</f>
        <v/>
      </c>
      <c r="K25" s="134" t="str">
        <f aca="false">IF($A25="","",$I25)</f>
        <v/>
      </c>
      <c r="L25" s="90" t="str">
        <f aca="false">IF($A25="","",1*$F25)</f>
        <v/>
      </c>
      <c r="M25" s="134" t="str">
        <f aca="false">IF($A25="","",$D25-$E$57-$F$57)</f>
        <v/>
      </c>
      <c r="N25" s="90" t="str">
        <f aca="false">IF($A25="","",2*$F25)</f>
        <v/>
      </c>
      <c r="O25" s="134" t="str">
        <f aca="false">IF($A25="","",(($E25-$E$58-$F$58)))</f>
        <v/>
      </c>
      <c r="P25" s="90" t="str">
        <f aca="false">IF($A25="","",2*$F25)</f>
        <v/>
      </c>
      <c r="Q25" s="134" t="str">
        <f aca="false">IF($A25="","",$M25-$E$59-$F$59)</f>
        <v/>
      </c>
      <c r="R25" s="90" t="str">
        <f aca="false">IF($A25="","",2*$F25)</f>
        <v/>
      </c>
      <c r="S25" s="134" t="str">
        <f aca="false">IF($A25="","",$O25-$E$60-$F$60)</f>
        <v/>
      </c>
      <c r="T25" s="90" t="str">
        <f aca="false">IF($A25="","",2*$F25)</f>
        <v/>
      </c>
      <c r="U25" s="134" t="str">
        <f aca="false">IF($A25="","",$E25-$E$61-$F$61)</f>
        <v/>
      </c>
      <c r="V25" s="90" t="str">
        <f aca="false">IF($A25="","",2*$F25)</f>
        <v/>
      </c>
      <c r="W25" s="134" t="str">
        <f aca="false">IF($A25="","",$C25-$E$62-$F$62)</f>
        <v/>
      </c>
      <c r="X25" s="90" t="str">
        <f aca="false">IF($A25="","",2*$F25)</f>
        <v/>
      </c>
      <c r="Y25" s="134"/>
      <c r="Z25" s="90"/>
      <c r="AA25" s="134"/>
      <c r="AB25" s="90"/>
      <c r="AC25" s="134"/>
      <c r="AD25" s="90"/>
      <c r="AE25" s="134"/>
      <c r="AF25" s="90"/>
      <c r="AG25" s="135" t="str">
        <f aca="false">IF($A25="","",$M25-67-67)</f>
        <v/>
      </c>
      <c r="AH25" s="136" t="str">
        <f aca="false">IF($A25="","",$O25-67-67)</f>
        <v/>
      </c>
      <c r="AI25" s="137" t="str">
        <f aca="false">IF($A25="","",1*$F25)</f>
        <v/>
      </c>
      <c r="AJ25" s="135" t="str">
        <f aca="false">IF($A25="","",$C25-24.5-37)</f>
        <v/>
      </c>
      <c r="AK25" s="136" t="str">
        <f aca="false">IF($A25="","",1*$F25)</f>
        <v/>
      </c>
      <c r="AL25" s="137" t="str">
        <f aca="false">IF($A25="","",1*$F25)</f>
        <v/>
      </c>
      <c r="AM25" s="1" t="str">
        <f aca="false">IF($A25="","",1*$F25)</f>
        <v/>
      </c>
      <c r="AN25" s="1" t="str">
        <f aca="false">IF($A25="","",2*1*$F25)</f>
        <v/>
      </c>
      <c r="AO25" s="1" t="str">
        <f aca="false">IF($A25="","",(2+IF($C25&gt;1800,ROUNDUP(($C25-1800)/500,0),0))*1*$F25)</f>
        <v/>
      </c>
      <c r="AP25" s="1" t="str">
        <f aca="false">IF($A25="","",(2+IF($C25&gt;1800,ROUNDUP(($C25-1800)/500,0),0))*1*$F25)</f>
        <v/>
      </c>
      <c r="AQ25" s="1" t="str">
        <f aca="false">IF($A25="","",4*1*$F25)</f>
        <v/>
      </c>
      <c r="AR25" s="1" t="str">
        <f aca="false">IF($A25="","",8*1*$F25)</f>
        <v/>
      </c>
      <c r="AS25" s="1" t="str">
        <f aca="false">IF($A25="","",8*$F25)</f>
        <v/>
      </c>
      <c r="AT25" s="1" t="str">
        <f aca="false">IF($A25="","",ROUND((2*($E25+$C25))*1*$F25/1000,1))</f>
        <v/>
      </c>
      <c r="AU25" s="1" t="str">
        <f aca="false">IF($A25="","",ROUND((2*($E25+$B25))*$F25/1000,1))</f>
        <v/>
      </c>
    </row>
    <row r="26" customFormat="false" ht="39.75" hidden="false" customHeight="true" outlineLevel="0" collapsed="false">
      <c r="A26" s="88"/>
      <c r="B26" s="89"/>
      <c r="C26" s="148"/>
      <c r="D26" s="149" t="str">
        <f aca="false">IF($A26="","",$B26-$C26)</f>
        <v/>
      </c>
      <c r="E26" s="90"/>
      <c r="F26" s="91"/>
      <c r="G26" s="139" t="str">
        <f aca="false">IF($A26="","",$B26)</f>
        <v/>
      </c>
      <c r="H26" s="140" t="str">
        <f aca="false">IF($A26="","",2*$F26)</f>
        <v/>
      </c>
      <c r="I26" s="139" t="str">
        <f aca="false">IF($A26="","",$E26-$E$55-$F$55)</f>
        <v/>
      </c>
      <c r="J26" s="140" t="str">
        <f aca="false">IF($A26="","",2*$F26)</f>
        <v/>
      </c>
      <c r="K26" s="139" t="str">
        <f aca="false">IF($A26="","",$I26)</f>
        <v/>
      </c>
      <c r="L26" s="140" t="str">
        <f aca="false">IF($A26="","",1*$F26)</f>
        <v/>
      </c>
      <c r="M26" s="139" t="str">
        <f aca="false">IF($A26="","",$D26-$E$57-$F$57)</f>
        <v/>
      </c>
      <c r="N26" s="140" t="str">
        <f aca="false">IF($A26="","",2*$F26)</f>
        <v/>
      </c>
      <c r="O26" s="139" t="str">
        <f aca="false">IF($A26="","",(($E26-$E$58-$F$58)))</f>
        <v/>
      </c>
      <c r="P26" s="140" t="str">
        <f aca="false">IF($A26="","",2*$F26)</f>
        <v/>
      </c>
      <c r="Q26" s="139" t="str">
        <f aca="false">IF($A26="","",$M26-$E$59-$F$59)</f>
        <v/>
      </c>
      <c r="R26" s="140" t="str">
        <f aca="false">IF($A26="","",2*$F26)</f>
        <v/>
      </c>
      <c r="S26" s="139" t="str">
        <f aca="false">IF($A26="","",$O26-$E$60-$F$60)</f>
        <v/>
      </c>
      <c r="T26" s="140" t="str">
        <f aca="false">IF($A26="","",2*$F26)</f>
        <v/>
      </c>
      <c r="U26" s="139" t="str">
        <f aca="false">IF($A26="","",$E26-$E$61-$F$61)</f>
        <v/>
      </c>
      <c r="V26" s="140" t="str">
        <f aca="false">IF($A26="","",2*$F26)</f>
        <v/>
      </c>
      <c r="W26" s="139" t="str">
        <f aca="false">IF($A26="","",$C26-$E$62-$F$62)</f>
        <v/>
      </c>
      <c r="X26" s="140" t="str">
        <f aca="false">IF($A26="","",2*$F26)</f>
        <v/>
      </c>
      <c r="Y26" s="139"/>
      <c r="Z26" s="140"/>
      <c r="AA26" s="139"/>
      <c r="AB26" s="140"/>
      <c r="AC26" s="139"/>
      <c r="AD26" s="140"/>
      <c r="AE26" s="139"/>
      <c r="AF26" s="140"/>
      <c r="AG26" s="135" t="str">
        <f aca="false">IF($A26="","",$M26-67-67)</f>
        <v/>
      </c>
      <c r="AH26" s="136" t="str">
        <f aca="false">IF($A26="","",$O26-67-67)</f>
        <v/>
      </c>
      <c r="AI26" s="137" t="str">
        <f aca="false">IF($A26="","",1*$F26)</f>
        <v/>
      </c>
      <c r="AJ26" s="135" t="str">
        <f aca="false">IF($A26="","",$C26-24.5-37)</f>
        <v/>
      </c>
      <c r="AK26" s="136" t="str">
        <f aca="false">IF($A26="","",1*$F26)</f>
        <v/>
      </c>
      <c r="AL26" s="137" t="str">
        <f aca="false">IF($A26="","",1*$F26)</f>
        <v/>
      </c>
      <c r="AM26" s="1" t="str">
        <f aca="false">IF($A26="","",1*$F26)</f>
        <v/>
      </c>
      <c r="AN26" s="1" t="str">
        <f aca="false">IF($A26="","",2*1*$F26)</f>
        <v/>
      </c>
      <c r="AO26" s="1" t="str">
        <f aca="false">IF($A26="","",(2+IF($C26&gt;1800,ROUNDUP(($C26-1800)/500,0),0))*1*$F26)</f>
        <v/>
      </c>
      <c r="AP26" s="1" t="str">
        <f aca="false">IF($A26="","",(2+IF($C26&gt;1800,ROUNDUP(($C26-1800)/500,0),0))*1*$F26)</f>
        <v/>
      </c>
      <c r="AQ26" s="1" t="str">
        <f aca="false">IF($A26="","",4*1*$F26)</f>
        <v/>
      </c>
      <c r="AR26" s="1" t="str">
        <f aca="false">IF($A26="","",8*1*$F26)</f>
        <v/>
      </c>
      <c r="AS26" s="1" t="str">
        <f aca="false">IF($A26="","",8*$F26)</f>
        <v/>
      </c>
      <c r="AT26" s="1" t="str">
        <f aca="false">IF($A26="","",ROUND((2*($E26+$C26))*1*$F26/1000,1))</f>
        <v/>
      </c>
      <c r="AU26" s="1" t="str">
        <f aca="false">IF($A26="","",ROUND((2*($E26+$B26))*$F26/1000,1))</f>
        <v/>
      </c>
    </row>
    <row r="27" customFormat="false" ht="39.75" hidden="false" customHeight="true" outlineLevel="0" collapsed="false">
      <c r="A27" s="88"/>
      <c r="B27" s="89"/>
      <c r="C27" s="148"/>
      <c r="D27" s="149" t="str">
        <f aca="false">IF($A27="","",$B27-$C27)</f>
        <v/>
      </c>
      <c r="E27" s="90"/>
      <c r="F27" s="91"/>
      <c r="G27" s="134" t="str">
        <f aca="false">IF($A27="","",$B27)</f>
        <v/>
      </c>
      <c r="H27" s="90" t="str">
        <f aca="false">IF($A27="","",2*$F27)</f>
        <v/>
      </c>
      <c r="I27" s="134" t="str">
        <f aca="false">IF($A27="","",$E27-$E$55-$F$55)</f>
        <v/>
      </c>
      <c r="J27" s="90" t="str">
        <f aca="false">IF($A27="","",2*$F27)</f>
        <v/>
      </c>
      <c r="K27" s="134" t="str">
        <f aca="false">IF($A27="","",$I27)</f>
        <v/>
      </c>
      <c r="L27" s="90" t="str">
        <f aca="false">IF($A27="","",1*$F27)</f>
        <v/>
      </c>
      <c r="M27" s="134" t="str">
        <f aca="false">IF($A27="","",$D27-$E$57-$F$57)</f>
        <v/>
      </c>
      <c r="N27" s="90" t="str">
        <f aca="false">IF($A27="","",2*$F27)</f>
        <v/>
      </c>
      <c r="O27" s="134" t="str">
        <f aca="false">IF($A27="","",(($E27-$E$58-$F$58)))</f>
        <v/>
      </c>
      <c r="P27" s="90" t="str">
        <f aca="false">IF($A27="","",2*$F27)</f>
        <v/>
      </c>
      <c r="Q27" s="134" t="str">
        <f aca="false">IF($A27="","",$M27-$E$59-$F$59)</f>
        <v/>
      </c>
      <c r="R27" s="90" t="str">
        <f aca="false">IF($A27="","",2*$F27)</f>
        <v/>
      </c>
      <c r="S27" s="134" t="str">
        <f aca="false">IF($A27="","",$O27-$E$60-$F$60)</f>
        <v/>
      </c>
      <c r="T27" s="90" t="str">
        <f aca="false">IF($A27="","",2*$F27)</f>
        <v/>
      </c>
      <c r="U27" s="134" t="str">
        <f aca="false">IF($A27="","",$E27-$E$61-$F$61)</f>
        <v/>
      </c>
      <c r="V27" s="90" t="str">
        <f aca="false">IF($A27="","",2*$F27)</f>
        <v/>
      </c>
      <c r="W27" s="134" t="str">
        <f aca="false">IF($A27="","",$C27-$E$62-$F$62)</f>
        <v/>
      </c>
      <c r="X27" s="90" t="str">
        <f aca="false">IF($A27="","",2*$F27)</f>
        <v/>
      </c>
      <c r="Y27" s="134"/>
      <c r="Z27" s="90"/>
      <c r="AA27" s="134"/>
      <c r="AB27" s="90"/>
      <c r="AC27" s="134"/>
      <c r="AD27" s="90"/>
      <c r="AE27" s="134"/>
      <c r="AF27" s="90"/>
      <c r="AG27" s="135" t="str">
        <f aca="false">IF($A27="","",$M27-67-67)</f>
        <v/>
      </c>
      <c r="AH27" s="136" t="str">
        <f aca="false">IF($A27="","",$O27-67-67)</f>
        <v/>
      </c>
      <c r="AI27" s="137" t="str">
        <f aca="false">IF($A27="","",1*$F27)</f>
        <v/>
      </c>
      <c r="AJ27" s="135" t="str">
        <f aca="false">IF($A27="","",$C27-24.5-37)</f>
        <v/>
      </c>
      <c r="AK27" s="136" t="str">
        <f aca="false">IF($A27="","",1*$F27)</f>
        <v/>
      </c>
      <c r="AL27" s="137" t="str">
        <f aca="false">IF($A27="","",1*$F27)</f>
        <v/>
      </c>
      <c r="AM27" s="1" t="str">
        <f aca="false">IF($A27="","",1*$F27)</f>
        <v/>
      </c>
      <c r="AN27" s="1" t="str">
        <f aca="false">IF($A27="","",2*1*$F27)</f>
        <v/>
      </c>
      <c r="AO27" s="1" t="str">
        <f aca="false">IF($A27="","",(2+IF($C27&gt;1800,ROUNDUP(($C27-1800)/500,0),0))*1*$F27)</f>
        <v/>
      </c>
      <c r="AP27" s="1" t="str">
        <f aca="false">IF($A27="","",(2+IF($C27&gt;1800,ROUNDUP(($C27-1800)/500,0),0))*1*$F27)</f>
        <v/>
      </c>
      <c r="AQ27" s="1" t="str">
        <f aca="false">IF($A27="","",4*1*$F27)</f>
        <v/>
      </c>
      <c r="AR27" s="1" t="str">
        <f aca="false">IF($A27="","",8*1*$F27)</f>
        <v/>
      </c>
      <c r="AS27" s="1" t="str">
        <f aca="false">IF($A27="","",8*$F27)</f>
        <v/>
      </c>
      <c r="AT27" s="1" t="str">
        <f aca="false">IF($A27="","",ROUND((2*($E27+$C27))*1*$F27/1000,1))</f>
        <v/>
      </c>
      <c r="AU27" s="1" t="str">
        <f aca="false">IF($A27="","",ROUND((2*($E27+$B27))*$F27/1000,1))</f>
        <v/>
      </c>
    </row>
    <row r="28" customFormat="false" ht="39.75" hidden="false" customHeight="true" outlineLevel="0" collapsed="false">
      <c r="A28" s="88"/>
      <c r="B28" s="89"/>
      <c r="C28" s="148"/>
      <c r="D28" s="149" t="str">
        <f aca="false">IF($A28="","",$B28-$C28)</f>
        <v/>
      </c>
      <c r="E28" s="90"/>
      <c r="F28" s="91"/>
      <c r="G28" s="139" t="str">
        <f aca="false">IF($A28="","",$B28)</f>
        <v/>
      </c>
      <c r="H28" s="140" t="str">
        <f aca="false">IF($A28="","",2*$F28)</f>
        <v/>
      </c>
      <c r="I28" s="139" t="str">
        <f aca="false">IF($A28="","",$E28-$E$55-$F$55)</f>
        <v/>
      </c>
      <c r="J28" s="140" t="str">
        <f aca="false">IF($A28="","",2*$F28)</f>
        <v/>
      </c>
      <c r="K28" s="139" t="str">
        <f aca="false">IF($A28="","",$I28)</f>
        <v/>
      </c>
      <c r="L28" s="140" t="str">
        <f aca="false">IF($A28="","",1*$F28)</f>
        <v/>
      </c>
      <c r="M28" s="139" t="str">
        <f aca="false">IF($A28="","",$D28-$E$57-$F$57)</f>
        <v/>
      </c>
      <c r="N28" s="140" t="str">
        <f aca="false">IF($A28="","",2*$F28)</f>
        <v/>
      </c>
      <c r="O28" s="139" t="str">
        <f aca="false">IF($A28="","",(($E28-$E$58-$F$58)))</f>
        <v/>
      </c>
      <c r="P28" s="140" t="str">
        <f aca="false">IF($A28="","",2*$F28)</f>
        <v/>
      </c>
      <c r="Q28" s="139" t="str">
        <f aca="false">IF($A28="","",$M28-$E$59-$F$59)</f>
        <v/>
      </c>
      <c r="R28" s="140" t="str">
        <f aca="false">IF($A28="","",2*$F28)</f>
        <v/>
      </c>
      <c r="S28" s="139" t="str">
        <f aca="false">IF($A28="","",$O28-$E$60-$F$60)</f>
        <v/>
      </c>
      <c r="T28" s="140" t="str">
        <f aca="false">IF($A28="","",2*$F28)</f>
        <v/>
      </c>
      <c r="U28" s="139" t="str">
        <f aca="false">IF($A28="","",$E28-$E$61-$F$61)</f>
        <v/>
      </c>
      <c r="V28" s="140" t="str">
        <f aca="false">IF($A28="","",2*$F28)</f>
        <v/>
      </c>
      <c r="W28" s="139" t="str">
        <f aca="false">IF($A28="","",$C28-$E$62-$F$62)</f>
        <v/>
      </c>
      <c r="X28" s="140" t="str">
        <f aca="false">IF($A28="","",2*$F28)</f>
        <v/>
      </c>
      <c r="Y28" s="139"/>
      <c r="Z28" s="140"/>
      <c r="AA28" s="139"/>
      <c r="AB28" s="140"/>
      <c r="AC28" s="139"/>
      <c r="AD28" s="140"/>
      <c r="AE28" s="139"/>
      <c r="AF28" s="140"/>
      <c r="AG28" s="135" t="str">
        <f aca="false">IF($A28="","",$M28-67-67)</f>
        <v/>
      </c>
      <c r="AH28" s="136" t="str">
        <f aca="false">IF($A28="","",$O28-67-67)</f>
        <v/>
      </c>
      <c r="AI28" s="137" t="str">
        <f aca="false">IF($A28="","",1*$F28)</f>
        <v/>
      </c>
      <c r="AJ28" s="135" t="str">
        <f aca="false">IF($A28="","",$C28-24.5-37)</f>
        <v/>
      </c>
      <c r="AK28" s="136" t="str">
        <f aca="false">IF($A28="","",1*$F28)</f>
        <v/>
      </c>
      <c r="AL28" s="137" t="str">
        <f aca="false">IF($A28="","",1*$F28)</f>
        <v/>
      </c>
      <c r="AM28" s="1" t="str">
        <f aca="false">IF($A28="","",1*$F28)</f>
        <v/>
      </c>
      <c r="AN28" s="1" t="str">
        <f aca="false">IF($A28="","",2*1*$F28)</f>
        <v/>
      </c>
      <c r="AO28" s="1" t="str">
        <f aca="false">IF($A28="","",(2+IF($C28&gt;1800,ROUNDUP(($C28-1800)/500,0),0))*1*$F28)</f>
        <v/>
      </c>
      <c r="AP28" s="1" t="str">
        <f aca="false">IF($A28="","",(2+IF($C28&gt;1800,ROUNDUP(($C28-1800)/500,0),0))*1*$F28)</f>
        <v/>
      </c>
      <c r="AQ28" s="1" t="str">
        <f aca="false">IF($A28="","",4*1*$F28)</f>
        <v/>
      </c>
      <c r="AR28" s="1" t="str">
        <f aca="false">IF($A28="","",8*1*$F28)</f>
        <v/>
      </c>
      <c r="AS28" s="1" t="str">
        <f aca="false">IF($A28="","",8*$F28)</f>
        <v/>
      </c>
      <c r="AT28" s="1" t="str">
        <f aca="false">IF($A28="","",ROUND((2*($E28+$C28))*1*$F28/1000,1))</f>
        <v/>
      </c>
      <c r="AU28" s="1" t="str">
        <f aca="false">IF($A28="","",ROUND((2*($E28+$B28))*$F28/1000,1))</f>
        <v/>
      </c>
    </row>
    <row r="29" customFormat="false" ht="39.75" hidden="false" customHeight="true" outlineLevel="0" collapsed="false"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64"/>
      <c r="F30" s="64"/>
      <c r="G30" s="141" t="str">
        <f aca="false">G$7</f>
        <v>F7939</v>
      </c>
      <c r="H30" s="141"/>
      <c r="I30" s="141"/>
      <c r="J30" s="142" t="n">
        <f aca="false">(ROUNDUP(SUM(H49:J49)/6400,0))</f>
        <v>2</v>
      </c>
      <c r="K30" s="142" t="str">
        <f aca="false">K$7</f>
        <v>   F7997</v>
      </c>
      <c r="L30" s="142" t="n">
        <f aca="false">(ROUNDUP(L49/6400,0))</f>
        <v>1</v>
      </c>
      <c r="M30" s="141" t="str">
        <f aca="false">M$7</f>
        <v>F7943</v>
      </c>
      <c r="N30" s="141"/>
      <c r="O30" s="141"/>
      <c r="P30" s="142" t="n">
        <f aca="false">(ROUNDUP(SUM(N49:P49)/6400,0))</f>
        <v>2</v>
      </c>
      <c r="Q30" s="141" t="str">
        <f aca="false">Q$7</f>
        <v>F7935</v>
      </c>
      <c r="R30" s="141"/>
      <c r="S30" s="141"/>
      <c r="T30" s="141"/>
      <c r="U30" s="141"/>
      <c r="V30" s="142" t="n">
        <f aca="false">(ROUNDUP(SUM(R49:V49)/6400,0))</f>
        <v>2</v>
      </c>
      <c r="W30" s="142" t="str">
        <f aca="false">W$7</f>
        <v>F7860</v>
      </c>
      <c r="X30" s="142" t="n">
        <f aca="false">(ROUNDUP(X49/6400,0))</f>
        <v>1</v>
      </c>
      <c r="Y30" s="142" t="n">
        <f aca="false">Y$7</f>
        <v>0</v>
      </c>
      <c r="Z30" s="142" t="n">
        <f aca="false">(ROUNDUP(Z49/6400,0))</f>
        <v>0</v>
      </c>
      <c r="AA30" s="142" t="n">
        <f aca="false">AA$7</f>
        <v>0</v>
      </c>
      <c r="AB30" s="142" t="n">
        <f aca="false">(ROUNDUP(AB49/6400,0))</f>
        <v>0</v>
      </c>
      <c r="AC30" s="142" t="n">
        <f aca="false">AC$7</f>
        <v>0</v>
      </c>
      <c r="AD30" s="142" t="n">
        <f aca="false">(ROUNDUP(AD49/6400,0))</f>
        <v>0</v>
      </c>
      <c r="AE30" s="142" t="n">
        <f aca="false">AE$7</f>
        <v>0</v>
      </c>
      <c r="AF30" s="142" t="n">
        <f aca="false">(ROUNDUP(AF49/6400,0))</f>
        <v>0</v>
      </c>
      <c r="AJ30" s="40" t="s">
        <v>65</v>
      </c>
      <c r="AK30" s="40" t="n">
        <f aca="false">SUM(AK11:AK28)</f>
        <v>1</v>
      </c>
      <c r="AM30" s="40" t="n">
        <f aca="false">SUM(AM11:AM28)</f>
        <v>1</v>
      </c>
      <c r="AN30" s="40" t="n">
        <f aca="false">SUM(AN11:AN28)</f>
        <v>2</v>
      </c>
      <c r="AO30" s="40" t="n">
        <f aca="false">SUM(AO11:AO28)</f>
        <v>2</v>
      </c>
      <c r="AP30" s="40" t="n">
        <f aca="false">SUM(AP11:AP28)</f>
        <v>2</v>
      </c>
      <c r="AQ30" s="40" t="n">
        <f aca="false">SUM(AQ11:AQ28)</f>
        <v>4</v>
      </c>
      <c r="AR30" s="40" t="n">
        <f aca="false">SUM(AR11:AR28)</f>
        <v>8</v>
      </c>
      <c r="AS30" s="40" t="n">
        <f aca="false">SUM(AS11:AS28)</f>
        <v>8</v>
      </c>
      <c r="AT30" s="40" t="n">
        <f aca="false">SUM(AT11:AT28)</f>
        <v>4.9</v>
      </c>
      <c r="AU30" s="40" t="n">
        <f aca="false">SUM(AU11:AU28)</f>
        <v>9.2</v>
      </c>
    </row>
    <row r="31" customFormat="false" ht="39.75" hidden="true" customHeight="true" outlineLevel="0" collapsed="false">
      <c r="H31" s="67" t="n">
        <f aca="false">IF($A11="","",H11*G11)</f>
        <v>5980</v>
      </c>
      <c r="I31" s="67"/>
      <c r="J31" s="67" t="n">
        <f aca="false">IF($A11="","",J11*I11)</f>
        <v>3080</v>
      </c>
      <c r="K31" s="67"/>
      <c r="L31" s="67" t="n">
        <f aca="false">IF($A11="","",L11*K11)</f>
        <v>1540</v>
      </c>
      <c r="M31" s="67"/>
      <c r="N31" s="67" t="n">
        <f aca="false">IF($A11="","",N11*M11)</f>
        <v>4231</v>
      </c>
      <c r="O31" s="67"/>
      <c r="P31" s="67" t="n">
        <f aca="false">IF($A11="","",P11*O11)</f>
        <v>3106</v>
      </c>
      <c r="Q31" s="67"/>
      <c r="R31" s="67" t="n">
        <f aca="false">IF($A11="","",R11*Q11)</f>
        <v>3911</v>
      </c>
      <c r="S31" s="67"/>
      <c r="T31" s="67" t="n">
        <f aca="false">IF($A11="","",T11*S11)</f>
        <v>2866</v>
      </c>
      <c r="U31" s="67"/>
      <c r="V31" s="67" t="n">
        <f aca="false">IF($A11="","",V11*U11)</f>
        <v>3000</v>
      </c>
      <c r="W31" s="67"/>
      <c r="X31" s="67" t="n">
        <f aca="false">IF($A11="","",X11*W11)</f>
        <v>1625</v>
      </c>
      <c r="Y31" s="67"/>
      <c r="Z31" s="67" t="n">
        <f aca="false">IF($A11="","",Z11*Y11)</f>
        <v>0</v>
      </c>
      <c r="AA31" s="67"/>
      <c r="AB31" s="67" t="n">
        <f aca="false">IF($A11="","",AB11*AA11)</f>
        <v>0</v>
      </c>
      <c r="AC31" s="67"/>
      <c r="AD31" s="67" t="n">
        <f aca="false">IF($A11="","",AD11*AC11)</f>
        <v>0</v>
      </c>
      <c r="AE31" s="67"/>
      <c r="AF31" s="67" t="n">
        <f aca="false">IF($A11="","",AF11*AE11)</f>
        <v>0</v>
      </c>
    </row>
    <row r="32" customFormat="false" ht="39.75" hidden="true" customHeight="true" outlineLevel="0" collapsed="false">
      <c r="H32" s="67" t="str">
        <f aca="false">IF($A12="","",H12*G12)</f>
        <v/>
      </c>
      <c r="I32" s="67"/>
      <c r="J32" s="67" t="str">
        <f aca="false">IF($A12="","",J12*I12)</f>
        <v/>
      </c>
      <c r="K32" s="67"/>
      <c r="L32" s="67" t="str">
        <f aca="false">IF($A12="","",L12*K12)</f>
        <v/>
      </c>
      <c r="M32" s="67"/>
      <c r="N32" s="67" t="str">
        <f aca="false">IF($A12="","",N12*M12)</f>
        <v/>
      </c>
      <c r="O32" s="67"/>
      <c r="P32" s="67" t="str">
        <f aca="false">IF($A12="","",P12*O12)</f>
        <v/>
      </c>
      <c r="Q32" s="67"/>
      <c r="R32" s="67" t="str">
        <f aca="false">IF($A12="","",R12*Q12)</f>
        <v/>
      </c>
      <c r="S32" s="67"/>
      <c r="T32" s="67" t="str">
        <f aca="false">IF($A12="","",T12*S12)</f>
        <v/>
      </c>
      <c r="U32" s="67"/>
      <c r="V32" s="67" t="str">
        <f aca="false">IF($A12="","",V12*U12)</f>
        <v/>
      </c>
      <c r="W32" s="67"/>
      <c r="X32" s="67" t="str">
        <f aca="false">IF($A12="","",X12*W12)</f>
        <v/>
      </c>
      <c r="Y32" s="67"/>
      <c r="Z32" s="67" t="str">
        <f aca="false">IF($A12="","",Z12*Y12)</f>
        <v/>
      </c>
      <c r="AA32" s="67"/>
      <c r="AB32" s="67" t="str">
        <f aca="false">IF($A12="","",AB12*AA12)</f>
        <v/>
      </c>
      <c r="AC32" s="67"/>
      <c r="AD32" s="67" t="str">
        <f aca="false">IF($A12="","",AD12*AC12)</f>
        <v/>
      </c>
      <c r="AE32" s="67"/>
      <c r="AF32" s="67" t="str">
        <f aca="false">IF($A12="","",AF12*AE12)</f>
        <v/>
      </c>
    </row>
    <row r="33" customFormat="false" ht="39.75" hidden="true" customHeight="true" outlineLevel="0" collapsed="false"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  <c r="AC33" s="67"/>
      <c r="AD33" s="67" t="str">
        <f aca="false">IF($A13="","",AD13*AC13)</f>
        <v/>
      </c>
      <c r="AE33" s="67"/>
      <c r="AF33" s="67" t="str">
        <f aca="false">IF($A13="","",AF13*AE13)</f>
        <v/>
      </c>
    </row>
    <row r="34" customFormat="false" ht="39.75" hidden="true" customHeight="true" outlineLevel="0" collapsed="false"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  <c r="AC34" s="67"/>
      <c r="AD34" s="67" t="str">
        <f aca="false">IF($A14="","",AD14*AC14)</f>
        <v/>
      </c>
      <c r="AE34" s="67"/>
      <c r="AF34" s="67" t="str">
        <f aca="false">IF($A14="","",AF14*AE14)</f>
        <v/>
      </c>
    </row>
    <row r="35" customFormat="false" ht="39.75" hidden="true" customHeight="true" outlineLevel="0" collapsed="false"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  <c r="AC35" s="67"/>
      <c r="AD35" s="67" t="str">
        <f aca="false">IF($A15="","",AD15*AC15)</f>
        <v/>
      </c>
      <c r="AE35" s="67"/>
      <c r="AF35" s="67" t="str">
        <f aca="false">IF($A15="","",AF15*AE15)</f>
        <v/>
      </c>
    </row>
    <row r="36" customFormat="false" ht="15" hidden="true" customHeight="true" outlineLevel="0" collapsed="false"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  <c r="AC36" s="67"/>
      <c r="AD36" s="67" t="str">
        <f aca="false">IF($A16="","",AD16*AC16)</f>
        <v/>
      </c>
      <c r="AE36" s="67"/>
      <c r="AF36" s="67" t="str">
        <f aca="false">IF($A16="","",AF16*AE16)</f>
        <v/>
      </c>
    </row>
    <row r="37" customFormat="false" ht="15" hidden="true" customHeight="true" outlineLevel="0" collapsed="false"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  <c r="AC37" s="67"/>
      <c r="AD37" s="67" t="str">
        <f aca="false">IF($A17="","",AD17*AC17)</f>
        <v/>
      </c>
      <c r="AE37" s="67"/>
      <c r="AF37" s="67" t="str">
        <f aca="false">IF($A17="","",AF17*AE17)</f>
        <v/>
      </c>
    </row>
    <row r="38" customFormat="false" ht="15" hidden="true" customHeight="true" outlineLevel="0" collapsed="false"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  <c r="AC38" s="67"/>
      <c r="AD38" s="67" t="str">
        <f aca="false">IF($A18="","",AD18*AC18)</f>
        <v/>
      </c>
      <c r="AE38" s="67"/>
      <c r="AF38" s="67" t="str">
        <f aca="false">IF($A18="","",AF18*AE18)</f>
        <v/>
      </c>
    </row>
    <row r="39" customFormat="false" ht="15" hidden="true" customHeight="true" outlineLevel="0" collapsed="false"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  <c r="AC39" s="67"/>
      <c r="AD39" s="67" t="str">
        <f aca="false">IF($A19="","",AD19*AC19)</f>
        <v/>
      </c>
      <c r="AE39" s="67"/>
      <c r="AF39" s="67" t="str">
        <f aca="false">IF($A19="","",AF19*AE19)</f>
        <v/>
      </c>
    </row>
    <row r="40" customFormat="false" ht="15" hidden="true" customHeight="true" outlineLevel="0" collapsed="false"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  <c r="AC40" s="67"/>
      <c r="AD40" s="67" t="str">
        <f aca="false">IF($A20="","",AD20*AC20)</f>
        <v/>
      </c>
      <c r="AE40" s="67"/>
      <c r="AF40" s="67" t="str">
        <f aca="false">IF($A20="","",AF20*AE20)</f>
        <v/>
      </c>
    </row>
    <row r="41" customFormat="false" ht="15" hidden="true" customHeight="true" outlineLevel="0" collapsed="false"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  <c r="AC41" s="67"/>
      <c r="AD41" s="67" t="str">
        <f aca="false">IF($A21="","",AD21*AC21)</f>
        <v/>
      </c>
      <c r="AE41" s="67"/>
      <c r="AF41" s="67" t="str">
        <f aca="false">IF($A21="","",AF21*AE21)</f>
        <v/>
      </c>
    </row>
    <row r="42" customFormat="false" ht="15" hidden="true" customHeight="true" outlineLevel="0" collapsed="false"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  <c r="AC42" s="67"/>
      <c r="AD42" s="67" t="str">
        <f aca="false">IF($A22="","",AD22*AC22)</f>
        <v/>
      </c>
      <c r="AE42" s="67"/>
      <c r="AF42" s="67" t="str">
        <f aca="false">IF($A22="","",AF22*AE22)</f>
        <v/>
      </c>
    </row>
    <row r="43" customFormat="false" ht="15" hidden="true" customHeight="true" outlineLevel="0" collapsed="false"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  <c r="AC43" s="67"/>
      <c r="AD43" s="67" t="str">
        <f aca="false">IF($A23="","",AD23*AC23)</f>
        <v/>
      </c>
      <c r="AE43" s="67"/>
      <c r="AF43" s="67" t="str">
        <f aca="false">IF($A23="","",AF23*AE23)</f>
        <v/>
      </c>
    </row>
    <row r="44" customFormat="false" ht="15" hidden="true" customHeight="true" outlineLevel="0" collapsed="false"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  <c r="AC44" s="67"/>
      <c r="AD44" s="67" t="str">
        <f aca="false">IF($A24="","",AD24*AC24)</f>
        <v/>
      </c>
      <c r="AE44" s="67"/>
      <c r="AF44" s="67" t="str">
        <f aca="false">IF($A24="","",AF24*AE24)</f>
        <v/>
      </c>
    </row>
    <row r="45" customFormat="false" ht="15" hidden="true" customHeight="true" outlineLevel="0" collapsed="false"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  <c r="AC45" s="67"/>
      <c r="AD45" s="67" t="str">
        <f aca="false">IF($A25="","",AD25*AC25)</f>
        <v/>
      </c>
      <c r="AE45" s="67"/>
      <c r="AF45" s="67" t="str">
        <f aca="false">IF($A25="","",AF25*AE25)</f>
        <v/>
      </c>
    </row>
    <row r="46" customFormat="false" ht="15" hidden="true" customHeight="true" outlineLevel="0" collapsed="false"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  <c r="AC46" s="67"/>
      <c r="AD46" s="67" t="str">
        <f aca="false">IF($A26="","",AD26*AC26)</f>
        <v/>
      </c>
      <c r="AE46" s="67"/>
      <c r="AF46" s="67" t="str">
        <f aca="false">IF($A26="","",AF26*AE26)</f>
        <v/>
      </c>
    </row>
    <row r="47" customFormat="false" ht="15" hidden="true" customHeight="true" outlineLevel="0" collapsed="false"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  <c r="AC47" s="67"/>
      <c r="AD47" s="67" t="str">
        <f aca="false">IF($A27="","",AD27*AC27)</f>
        <v/>
      </c>
      <c r="AE47" s="67"/>
      <c r="AF47" s="67" t="str">
        <f aca="false">IF($A27="","",AF27*AE27)</f>
        <v/>
      </c>
    </row>
    <row r="48" customFormat="false" ht="15" hidden="true" customHeight="true" outlineLevel="0" collapsed="false"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  <c r="AC48" s="67"/>
      <c r="AD48" s="67" t="str">
        <f aca="false">IF($A28="","",AD28*AC28)</f>
        <v/>
      </c>
      <c r="AE48" s="67"/>
      <c r="AF48" s="67" t="str">
        <f aca="false">IF($A28="","",AF28*AE28)</f>
        <v/>
      </c>
    </row>
    <row r="49" customFormat="false" ht="15" hidden="true" customHeight="true" outlineLevel="0" collapsed="false">
      <c r="H49" s="68" t="n">
        <f aca="false">SUMIF(H31:H48,"&gt;0")</f>
        <v>5980</v>
      </c>
      <c r="I49" s="68"/>
      <c r="J49" s="68" t="n">
        <f aca="false">SUMIF(J31:J48,"&gt;0")</f>
        <v>3080</v>
      </c>
      <c r="K49" s="68"/>
      <c r="L49" s="68" t="n">
        <f aca="false">SUMIF(L31:L48,"&gt;0")</f>
        <v>1540</v>
      </c>
      <c r="M49" s="68"/>
      <c r="N49" s="68" t="n">
        <f aca="false">SUMIF(N31:N48,"&gt;0")</f>
        <v>4231</v>
      </c>
      <c r="O49" s="68"/>
      <c r="P49" s="68" t="n">
        <f aca="false">SUMIF(P31:P48,"&gt;0")</f>
        <v>3106</v>
      </c>
      <c r="R49" s="68" t="n">
        <f aca="false">SUMIF(R31:R48,"&gt;0")</f>
        <v>3911</v>
      </c>
      <c r="S49" s="68"/>
      <c r="T49" s="68" t="n">
        <f aca="false">SUMIF(T31:T48,"&gt;0")</f>
        <v>2866</v>
      </c>
      <c r="V49" s="68" t="n">
        <f aca="false">SUMIF(V31:V48,"&gt;0")</f>
        <v>3000</v>
      </c>
      <c r="X49" s="68" t="n">
        <f aca="false">SUMIF(X31:X48,"&gt;0")</f>
        <v>1625</v>
      </c>
      <c r="Y49" s="68"/>
      <c r="Z49" s="68" t="n">
        <f aca="false">SUMIF(Z31:Z48,"&gt;0")</f>
        <v>0</v>
      </c>
      <c r="AA49" s="68"/>
      <c r="AB49" s="68" t="n">
        <f aca="false">SUMIF(AB31:AB48,"&gt;0")</f>
        <v>0</v>
      </c>
      <c r="AD49" s="68" t="n">
        <f aca="false">SUMIF(AD31:AD48,"&gt;0")</f>
        <v>0</v>
      </c>
      <c r="AE49" s="68"/>
      <c r="AF49" s="68" t="n">
        <f aca="false">SUMIF(AF31:AF48,"&gt;0")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180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/>
    </row>
    <row r="55" customFormat="false" ht="15" hidden="false" customHeight="true" outlineLevel="0" collapsed="false">
      <c r="A55" s="72" t="n">
        <v>2</v>
      </c>
      <c r="B55" s="73" t="s">
        <v>226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/>
    </row>
    <row r="56" customFormat="false" ht="15" hidden="false" customHeight="true" outlineLevel="0" collapsed="false">
      <c r="A56" s="72" t="n">
        <v>3</v>
      </c>
      <c r="B56" s="73" t="s">
        <v>238</v>
      </c>
      <c r="C56" s="74" t="s">
        <v>237</v>
      </c>
      <c r="D56" s="75"/>
      <c r="E56" s="76"/>
      <c r="F56" s="76"/>
      <c r="G56" s="76"/>
      <c r="H56" s="76"/>
      <c r="I56" s="76"/>
      <c r="J56" s="76"/>
      <c r="K56" s="76"/>
      <c r="L56" s="77"/>
    </row>
    <row r="57" customFormat="false" ht="15" hidden="false" customHeight="true" outlineLevel="0" collapsed="false">
      <c r="A57" s="72" t="n">
        <v>4</v>
      </c>
      <c r="B57" s="73" t="s">
        <v>34</v>
      </c>
      <c r="C57" s="74" t="s">
        <v>181</v>
      </c>
      <c r="D57" s="75" t="s">
        <v>234</v>
      </c>
      <c r="E57" s="77" t="n">
        <v>6</v>
      </c>
      <c r="F57" s="77" t="n">
        <v>18.5</v>
      </c>
      <c r="G57" s="76"/>
      <c r="H57" s="76"/>
      <c r="I57" s="76"/>
      <c r="J57" s="76"/>
      <c r="K57" s="76"/>
      <c r="L57" s="77"/>
    </row>
    <row r="58" customFormat="false" ht="15" hidden="false" customHeight="true" outlineLevel="0" collapsed="false">
      <c r="A58" s="72" t="n">
        <v>5</v>
      </c>
      <c r="B58" s="73" t="s">
        <v>35</v>
      </c>
      <c r="C58" s="74" t="s">
        <v>79</v>
      </c>
      <c r="D58" s="75" t="s">
        <v>9</v>
      </c>
      <c r="E58" s="77" t="n">
        <v>18.5</v>
      </c>
      <c r="F58" s="77" t="n">
        <v>18.5</v>
      </c>
      <c r="G58" s="76"/>
      <c r="H58" s="76"/>
      <c r="I58" s="76"/>
      <c r="J58" s="76"/>
      <c r="K58" s="76"/>
      <c r="L58" s="77"/>
    </row>
    <row r="59" customFormat="false" ht="15" hidden="false" customHeight="true" outlineLevel="0" collapsed="false">
      <c r="A59" s="72" t="n">
        <v>6</v>
      </c>
      <c r="B59" s="73" t="s">
        <v>36</v>
      </c>
      <c r="C59" s="74" t="s">
        <v>17</v>
      </c>
      <c r="D59" s="75" t="s">
        <v>176</v>
      </c>
      <c r="E59" s="77" t="n">
        <v>80</v>
      </c>
      <c r="F59" s="77" t="n">
        <v>80</v>
      </c>
      <c r="G59" s="76"/>
      <c r="H59" s="76"/>
      <c r="I59" s="76"/>
      <c r="J59" s="76"/>
      <c r="K59" s="76"/>
      <c r="L59" s="77"/>
    </row>
    <row r="60" customFormat="false" ht="15" hidden="false" customHeight="true" outlineLevel="0" collapsed="false">
      <c r="A60" s="72" t="n">
        <v>7</v>
      </c>
      <c r="B60" s="73" t="s">
        <v>37</v>
      </c>
      <c r="C60" s="74" t="s">
        <v>79</v>
      </c>
      <c r="D60" s="75" t="s">
        <v>177</v>
      </c>
      <c r="E60" s="77" t="n">
        <v>60</v>
      </c>
      <c r="F60" s="77" t="n">
        <v>60</v>
      </c>
      <c r="G60" s="76"/>
      <c r="H60" s="76"/>
      <c r="I60" s="76"/>
      <c r="J60" s="76"/>
      <c r="K60" s="76"/>
      <c r="L60" s="77"/>
    </row>
    <row r="61" customFormat="false" ht="15" hidden="false" customHeight="true" outlineLevel="0" collapsed="false">
      <c r="A61" s="72" t="n">
        <v>8</v>
      </c>
      <c r="B61" s="73" t="s">
        <v>239</v>
      </c>
      <c r="C61" s="74" t="s">
        <v>79</v>
      </c>
      <c r="D61" s="75" t="s">
        <v>235</v>
      </c>
      <c r="E61" s="77" t="n">
        <v>45</v>
      </c>
      <c r="F61" s="77" t="n">
        <v>45</v>
      </c>
      <c r="G61" s="76"/>
      <c r="H61" s="76"/>
      <c r="I61" s="76"/>
      <c r="J61" s="76"/>
      <c r="K61" s="76"/>
      <c r="L61" s="77"/>
    </row>
    <row r="62" customFormat="false" ht="15" hidden="false" customHeight="true" outlineLevel="0" collapsed="false">
      <c r="A62" s="72" t="n">
        <v>9</v>
      </c>
      <c r="B62" s="73" t="s">
        <v>157</v>
      </c>
      <c r="C62" s="74" t="s">
        <v>143</v>
      </c>
      <c r="D62" s="75" t="s">
        <v>236</v>
      </c>
      <c r="E62" s="77" t="n">
        <v>12.5</v>
      </c>
      <c r="F62" s="77" t="n">
        <v>25</v>
      </c>
      <c r="G62" s="76"/>
      <c r="H62" s="76"/>
      <c r="I62" s="76"/>
      <c r="J62" s="76"/>
      <c r="K62" s="76"/>
      <c r="L62" s="77"/>
    </row>
    <row r="64" customFormat="false" ht="15" hidden="false" customHeight="true" outlineLevel="0" collapsed="false">
      <c r="A64" s="78" t="s">
        <v>209</v>
      </c>
      <c r="F64" s="79"/>
    </row>
    <row r="65" customFormat="false" ht="15" hidden="false" customHeight="true" outlineLevel="0" collapsed="false">
      <c r="A65" s="80" t="s">
        <v>210</v>
      </c>
      <c r="B65" s="81" t="s">
        <v>211</v>
      </c>
      <c r="F65" s="82"/>
    </row>
    <row r="66" customFormat="false" ht="15" hidden="false" customHeight="true" outlineLevel="0" collapsed="false">
      <c r="A66" s="80" t="s">
        <v>212</v>
      </c>
      <c r="B66" s="81" t="s">
        <v>82</v>
      </c>
      <c r="F66" s="82"/>
    </row>
    <row r="67" customFormat="false" ht="15" hidden="false" customHeight="true" outlineLevel="0" collapsed="false">
      <c r="A67" s="80" t="s">
        <v>213</v>
      </c>
      <c r="B67" s="81" t="s">
        <v>214</v>
      </c>
      <c r="F67" s="82"/>
    </row>
    <row r="68" customFormat="false" ht="15" hidden="false" customHeight="true" outlineLevel="0" collapsed="false">
      <c r="A68" s="132"/>
      <c r="F68" s="82"/>
    </row>
    <row r="69" customFormat="false" ht="15" hidden="false" customHeight="true" outlineLevel="0" collapsed="false">
      <c r="A69" s="78" t="s">
        <v>89</v>
      </c>
    </row>
    <row r="70" customFormat="false" ht="15" hidden="false" customHeight="true" outlineLevel="0" collapsed="false">
      <c r="A70" s="84" t="s">
        <v>67</v>
      </c>
      <c r="B70" s="84" t="s">
        <v>90</v>
      </c>
      <c r="C70" s="84" t="s">
        <v>91</v>
      </c>
      <c r="D70" s="84" t="s">
        <v>60</v>
      </c>
      <c r="E70" s="84" t="s">
        <v>92</v>
      </c>
      <c r="F70" s="84" t="s">
        <v>93</v>
      </c>
    </row>
    <row r="71" customFormat="false" ht="15" hidden="false" customHeight="true" outlineLevel="0" collapsed="false">
      <c r="A71" s="85" t="n">
        <v>1</v>
      </c>
      <c r="B71" s="85" t="s">
        <v>192</v>
      </c>
      <c r="C71" s="81" t="str">
        <f aca="false">AK8</f>
        <v>JR00304</v>
      </c>
      <c r="D71" s="86" t="n">
        <f aca="false">AK30</f>
        <v>1</v>
      </c>
      <c r="E71" s="85" t="s">
        <v>22</v>
      </c>
    </row>
    <row r="72" customFormat="false" ht="15" hidden="false" customHeight="true" outlineLevel="0" collapsed="false">
      <c r="A72" s="85" t="n">
        <v>2</v>
      </c>
      <c r="B72" s="85" t="s">
        <v>215</v>
      </c>
      <c r="C72" s="81" t="str">
        <f aca="false">AM8</f>
        <v>JR00566</v>
      </c>
      <c r="D72" s="86" t="n">
        <f aca="false">AM30</f>
        <v>1</v>
      </c>
      <c r="E72" s="85" t="s">
        <v>94</v>
      </c>
    </row>
    <row r="73" customFormat="false" ht="15" hidden="false" customHeight="true" outlineLevel="0" collapsed="false">
      <c r="A73" s="85" t="n">
        <v>3</v>
      </c>
      <c r="B73" s="85" t="s">
        <v>194</v>
      </c>
      <c r="C73" s="81" t="str">
        <f aca="false">AN8</f>
        <v>JR00559</v>
      </c>
      <c r="D73" s="86" t="n">
        <f aca="false">AN30</f>
        <v>2</v>
      </c>
      <c r="E73" s="85" t="s">
        <v>94</v>
      </c>
    </row>
    <row r="74" customFormat="false" ht="15" hidden="false" customHeight="true" outlineLevel="0" collapsed="false">
      <c r="A74" s="85" t="n">
        <v>4</v>
      </c>
      <c r="B74" s="85" t="s">
        <v>195</v>
      </c>
      <c r="C74" s="81" t="str">
        <f aca="false">AO8</f>
        <v>JR00486</v>
      </c>
      <c r="D74" s="86" t="n">
        <f aca="false">AO30</f>
        <v>2</v>
      </c>
      <c r="E74" s="85" t="s">
        <v>94</v>
      </c>
    </row>
    <row r="75" customFormat="false" ht="15" hidden="false" customHeight="true" outlineLevel="0" collapsed="false">
      <c r="A75" s="85" t="n">
        <v>5</v>
      </c>
      <c r="B75" s="85" t="s">
        <v>196</v>
      </c>
      <c r="C75" s="81" t="str">
        <f aca="false">AP8</f>
        <v>JR00483</v>
      </c>
      <c r="D75" s="86" t="n">
        <f aca="false">AP30</f>
        <v>2</v>
      </c>
      <c r="E75" s="85" t="s">
        <v>94</v>
      </c>
    </row>
    <row r="76" customFormat="false" ht="15" hidden="false" customHeight="true" outlineLevel="0" collapsed="false">
      <c r="A76" s="85" t="n">
        <v>6</v>
      </c>
      <c r="B76" s="85" t="s">
        <v>42</v>
      </c>
      <c r="C76" s="81" t="str">
        <f aca="false">AQ8</f>
        <v>JR00482</v>
      </c>
      <c r="D76" s="86" t="n">
        <f aca="false">AQ30</f>
        <v>4</v>
      </c>
      <c r="E76" s="85" t="s">
        <v>94</v>
      </c>
    </row>
    <row r="77" customFormat="false" ht="15" hidden="false" customHeight="true" outlineLevel="0" collapsed="false">
      <c r="A77" s="85" t="n">
        <v>7</v>
      </c>
      <c r="B77" s="85" t="s">
        <v>43</v>
      </c>
      <c r="C77" s="81" t="str">
        <f aca="false">AR8</f>
        <v>JR00557</v>
      </c>
      <c r="D77" s="86" t="n">
        <f aca="false">AR30</f>
        <v>8</v>
      </c>
      <c r="E77" s="85" t="s">
        <v>94</v>
      </c>
    </row>
    <row r="78" customFormat="false" ht="15" hidden="false" customHeight="true" outlineLevel="0" collapsed="false">
      <c r="A78" s="85" t="n">
        <v>8</v>
      </c>
      <c r="B78" s="85" t="s">
        <v>51</v>
      </c>
      <c r="C78" s="81" t="str">
        <f aca="false">AS8</f>
        <v>JR00864</v>
      </c>
      <c r="D78" s="86" t="n">
        <f aca="false">AS30</f>
        <v>8</v>
      </c>
      <c r="E78" s="85" t="s">
        <v>94</v>
      </c>
    </row>
    <row r="79" customFormat="false" ht="15" hidden="false" customHeight="true" outlineLevel="0" collapsed="false">
      <c r="A79" s="85" t="n">
        <v>9</v>
      </c>
      <c r="B79" s="85" t="s">
        <v>52</v>
      </c>
      <c r="C79" s="81" t="str">
        <f aca="false">AT8</f>
        <v>JR00770</v>
      </c>
      <c r="D79" s="86" t="n">
        <f aca="false">AT30</f>
        <v>4.9</v>
      </c>
      <c r="E79" s="85" t="s">
        <v>101</v>
      </c>
    </row>
    <row r="80" customFormat="false" ht="15" hidden="false" customHeight="true" outlineLevel="0" collapsed="false">
      <c r="A80" s="85" t="n">
        <v>10</v>
      </c>
      <c r="B80" s="85" t="s">
        <v>53</v>
      </c>
      <c r="C80" s="81" t="str">
        <f aca="false">AU8</f>
        <v>JR00770</v>
      </c>
      <c r="D80" s="86" t="n">
        <f aca="false">AU30</f>
        <v>9.2</v>
      </c>
      <c r="E80" s="85" t="s">
        <v>101</v>
      </c>
    </row>
  </sheetData>
  <mergeCells count="56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7:F7"/>
    <mergeCell ref="G7:J7"/>
    <mergeCell ref="K7:L7"/>
    <mergeCell ref="M7:P7"/>
    <mergeCell ref="Q7:V7"/>
    <mergeCell ref="W7:X7"/>
    <mergeCell ref="Y7:Z7"/>
    <mergeCell ref="AC7:AD7"/>
    <mergeCell ref="AE7:AF7"/>
    <mergeCell ref="A8:A9"/>
    <mergeCell ref="B8:E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30:F30"/>
    <mergeCell ref="G30:I30"/>
    <mergeCell ref="M30:O30"/>
    <mergeCell ref="Q30:U30"/>
  </mergeCells>
  <dataValidations count="3">
    <dataValidation allowBlank="true" errorStyle="stop" operator="between" showDropDown="false" showErrorMessage="false" showInputMessage="false" sqref="B65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6" type="list">
      <formula1>"ขาว,ดำ"</formula1>
      <formula2>0</formula2>
    </dataValidation>
    <dataValidation allowBlank="true" errorStyle="stop" operator="between" showDropDown="false" showErrorMessage="false" showInputMessage="false" sqref="B67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7" min="6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1" min="31" style="1" width="12.7"/>
    <col collapsed="false" customWidth="true" hidden="false" outlineLevel="0" max="32" min="32" style="1" width="6.7"/>
    <col collapsed="false" customWidth="true" hidden="false" outlineLevel="0" max="34" min="33" style="1" width="12.7"/>
    <col collapsed="false" customWidth="true" hidden="false" outlineLevel="0" max="36" min="36" style="1" width="12.7"/>
    <col collapsed="false" customWidth="true" hidden="false" outlineLevel="0" max="38" min="38" style="1" width="8.9"/>
    <col collapsed="false" customWidth="true" hidden="true" outlineLevel="0" max="54" min="53" style="1" width="13"/>
  </cols>
  <sheetData>
    <row r="1" customFormat="false" ht="39.75" hidden="false" customHeight="true" outlineLevel="0" collapsed="false">
      <c r="A1" s="3" t="s">
        <v>244</v>
      </c>
      <c r="B1" s="4"/>
      <c r="C1" s="4"/>
      <c r="D1" s="4"/>
      <c r="F1" s="5"/>
      <c r="G1" s="6"/>
      <c r="H1" s="5"/>
      <c r="I1" s="5"/>
      <c r="J1" s="5"/>
      <c r="K1" s="8"/>
      <c r="L1" s="8"/>
      <c r="M1" s="7"/>
      <c r="N1" s="7"/>
      <c r="O1" s="5"/>
      <c r="P1" s="5"/>
      <c r="Q1" s="7"/>
      <c r="R1" s="7"/>
      <c r="S1" s="8"/>
      <c r="T1" s="8"/>
      <c r="U1" s="5"/>
      <c r="V1" s="9"/>
      <c r="W1" s="8"/>
      <c r="X1" s="8"/>
      <c r="Y1" s="8"/>
      <c r="Z1" s="8"/>
      <c r="AA1" s="7"/>
      <c r="AB1" s="8"/>
      <c r="AC1" s="8"/>
      <c r="AD1" s="8"/>
      <c r="AE1" s="8"/>
      <c r="AF1" s="8"/>
      <c r="AG1" s="8"/>
      <c r="AH1" s="8"/>
      <c r="AI1" s="8"/>
      <c r="AJ1" s="8"/>
      <c r="AK1" s="8"/>
      <c r="BA1" s="40" t="s">
        <v>166</v>
      </c>
      <c r="BB1" s="1" t="s">
        <v>167</v>
      </c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10"/>
      <c r="H2" s="7"/>
      <c r="I2" s="7"/>
      <c r="J2" s="7"/>
      <c r="K2" s="11"/>
      <c r="L2" s="11"/>
      <c r="M2" s="11"/>
      <c r="N2" s="11"/>
      <c r="O2" s="7"/>
      <c r="P2" s="7"/>
      <c r="Q2" s="7"/>
      <c r="R2" s="7"/>
      <c r="S2" s="11"/>
      <c r="T2" s="11"/>
      <c r="U2" s="7"/>
      <c r="V2" s="7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BA2" s="40" t="s">
        <v>168</v>
      </c>
      <c r="BB2" s="1" t="s">
        <v>169</v>
      </c>
    </row>
    <row r="3" customFormat="false" ht="39.75" hidden="false" customHeight="true" outlineLevel="0" collapsed="false">
      <c r="A3" s="7"/>
      <c r="B3" s="7"/>
      <c r="C3" s="7"/>
      <c r="D3" s="7"/>
      <c r="E3" s="7"/>
      <c r="F3" s="7"/>
      <c r="G3" s="10"/>
      <c r="H3" s="7"/>
      <c r="I3" s="7"/>
      <c r="J3" s="7"/>
      <c r="K3" s="12"/>
      <c r="L3" s="12"/>
      <c r="O3" s="7"/>
      <c r="P3" s="7"/>
      <c r="Q3" s="7"/>
      <c r="R3" s="7"/>
      <c r="S3" s="12"/>
      <c r="T3" s="12"/>
      <c r="V3" s="7"/>
      <c r="W3" s="12"/>
      <c r="X3" s="12"/>
      <c r="Y3" s="11"/>
      <c r="Z3" s="12"/>
      <c r="AA3" s="11"/>
      <c r="AB3" s="11"/>
      <c r="AC3" s="12"/>
      <c r="AD3" s="12"/>
      <c r="AE3" s="12"/>
      <c r="AF3" s="12"/>
      <c r="AG3" s="12"/>
      <c r="AH3" s="12"/>
      <c r="AI3" s="12"/>
      <c r="AJ3" s="12"/>
      <c r="AK3" s="12"/>
      <c r="BA3" s="40" t="s">
        <v>170</v>
      </c>
      <c r="BB3" s="1" t="s">
        <v>171</v>
      </c>
    </row>
    <row r="4" customFormat="false" ht="39.75" hidden="false" customHeight="true" outlineLevel="0" collapsed="false">
      <c r="A4" s="7"/>
      <c r="B4" s="7"/>
      <c r="C4" s="7"/>
      <c r="D4" s="7"/>
      <c r="E4" s="7"/>
      <c r="H4" s="7"/>
      <c r="I4" s="7"/>
      <c r="J4" s="7"/>
      <c r="O4" s="7"/>
      <c r="P4" s="7"/>
      <c r="Q4" s="7"/>
      <c r="R4" s="7"/>
      <c r="U4" s="7"/>
      <c r="V4" s="7"/>
      <c r="AA4" s="11"/>
      <c r="AB4" s="11"/>
      <c r="BA4" s="40" t="s">
        <v>172</v>
      </c>
      <c r="BB4" s="1" t="s">
        <v>173</v>
      </c>
    </row>
    <row r="5" customFormat="false" ht="39.75" hidden="false" customHeight="true" outlineLevel="0" collapsed="false">
      <c r="A5" s="7"/>
      <c r="B5" s="7"/>
      <c r="C5" s="7"/>
      <c r="D5" s="7"/>
      <c r="E5" s="7"/>
      <c r="F5" s="7"/>
      <c r="G5" s="10"/>
      <c r="H5" s="7"/>
      <c r="I5" s="7"/>
      <c r="J5" s="7"/>
      <c r="O5" s="7"/>
      <c r="P5" s="7"/>
      <c r="R5" s="7"/>
      <c r="U5" s="7"/>
      <c r="V5" s="7"/>
      <c r="BA5" s="40" t="s">
        <v>174</v>
      </c>
      <c r="BB5" s="1" t="s">
        <v>175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/>
      <c r="L6" s="17"/>
      <c r="M6" s="17"/>
      <c r="N6" s="17"/>
      <c r="O6" s="17" t="s">
        <v>234</v>
      </c>
      <c r="P6" s="17"/>
      <c r="Q6" s="17" t="s">
        <v>245</v>
      </c>
      <c r="R6" s="17"/>
      <c r="S6" s="17" t="s">
        <v>176</v>
      </c>
      <c r="T6" s="17"/>
      <c r="U6" s="17" t="s">
        <v>177</v>
      </c>
      <c r="V6" s="17"/>
      <c r="W6" s="17" t="s">
        <v>235</v>
      </c>
      <c r="X6" s="17"/>
      <c r="Y6" s="17" t="s">
        <v>236</v>
      </c>
      <c r="Z6" s="17"/>
      <c r="AA6" s="17" t="s">
        <v>246</v>
      </c>
      <c r="AB6" s="17"/>
      <c r="AC6" s="17"/>
      <c r="AD6" s="17"/>
      <c r="AE6" s="17"/>
      <c r="AF6" s="17"/>
      <c r="AG6" s="18"/>
      <c r="AH6" s="18"/>
      <c r="AI6" s="18"/>
      <c r="BA6" s="40" t="s">
        <v>178</v>
      </c>
      <c r="BB6" s="1" t="s">
        <v>179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14</v>
      </c>
      <c r="H7" s="20"/>
      <c r="I7" s="20"/>
      <c r="J7" s="20"/>
      <c r="K7" s="21" t="s">
        <v>247</v>
      </c>
      <c r="L7" s="21"/>
      <c r="M7" s="20" t="s">
        <v>237</v>
      </c>
      <c r="N7" s="20"/>
      <c r="O7" s="20" t="s">
        <v>181</v>
      </c>
      <c r="P7" s="20"/>
      <c r="Q7" s="20"/>
      <c r="R7" s="20"/>
      <c r="S7" s="20" t="s">
        <v>17</v>
      </c>
      <c r="T7" s="20"/>
      <c r="U7" s="20"/>
      <c r="V7" s="20"/>
      <c r="W7" s="20"/>
      <c r="X7" s="20"/>
      <c r="Y7" s="20" t="s">
        <v>143</v>
      </c>
      <c r="Z7" s="20"/>
      <c r="AA7" s="20" t="s">
        <v>117</v>
      </c>
      <c r="AB7" s="20"/>
      <c r="AC7" s="151"/>
      <c r="AD7" s="95"/>
      <c r="AE7" s="94"/>
      <c r="AF7" s="95"/>
      <c r="AG7" s="24"/>
      <c r="AH7" s="25" t="s">
        <v>19</v>
      </c>
      <c r="AI7" s="26"/>
      <c r="BA7" s="40" t="s">
        <v>182</v>
      </c>
      <c r="BB7" s="1" t="s">
        <v>183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8"/>
      <c r="E8" s="28"/>
      <c r="F8" s="27" t="s">
        <v>118</v>
      </c>
      <c r="G8" s="29"/>
      <c r="H8" s="29"/>
      <c r="I8" s="30"/>
      <c r="J8" s="30"/>
      <c r="K8" s="30"/>
      <c r="L8" s="30"/>
      <c r="M8" s="29"/>
      <c r="N8" s="29"/>
      <c r="O8" s="29"/>
      <c r="P8" s="29"/>
      <c r="Q8" s="30"/>
      <c r="R8" s="30"/>
      <c r="S8" s="29"/>
      <c r="T8" s="29"/>
      <c r="U8" s="97"/>
      <c r="V8" s="97"/>
      <c r="W8" s="30"/>
      <c r="X8" s="30"/>
      <c r="Y8" s="31"/>
      <c r="Z8" s="31"/>
      <c r="AA8" s="31"/>
      <c r="AB8" s="31"/>
      <c r="AC8" s="31"/>
      <c r="AD8" s="31"/>
      <c r="AE8" s="30"/>
      <c r="AF8" s="30"/>
      <c r="AG8" s="32"/>
      <c r="AH8" s="33" t="s">
        <v>23</v>
      </c>
      <c r="AI8" s="34"/>
      <c r="AJ8" s="145" t="s">
        <v>144</v>
      </c>
      <c r="AK8" s="1" t="str">
        <f aca="false">VLOOKUP($B$67&amp;$B$69&amp;$B$68,$BA$1:$BB$12,2,0)</f>
        <v>JR00304</v>
      </c>
      <c r="AL8" s="1" t="str">
        <f aca="false">VLOOKUP($B$67&amp;$B$70&amp;$B$68,$BA$1:$BB$12,2,0)</f>
        <v>JR00305</v>
      </c>
      <c r="AM8" s="1" t="s">
        <v>184</v>
      </c>
      <c r="AN8" s="1" t="s">
        <v>185</v>
      </c>
      <c r="AO8" s="1" t="s">
        <v>186</v>
      </c>
      <c r="AP8" s="1" t="s">
        <v>187</v>
      </c>
      <c r="AQ8" s="1" t="s">
        <v>24</v>
      </c>
      <c r="AR8" s="1" t="s">
        <v>25</v>
      </c>
      <c r="AS8" s="1" t="s">
        <v>28</v>
      </c>
      <c r="AT8" s="1" t="s">
        <v>188</v>
      </c>
      <c r="AU8" s="1" t="s">
        <v>188</v>
      </c>
      <c r="BA8" s="40" t="s">
        <v>189</v>
      </c>
      <c r="BB8" s="1" t="s">
        <v>190</v>
      </c>
    </row>
    <row r="9" customFormat="false" ht="39.75" hidden="false" customHeight="true" outlineLevel="0" collapsed="false">
      <c r="A9" s="27"/>
      <c r="B9" s="28"/>
      <c r="C9" s="28"/>
      <c r="D9" s="28"/>
      <c r="E9" s="28"/>
      <c r="F9" s="27"/>
      <c r="G9" s="35" t="s">
        <v>31</v>
      </c>
      <c r="H9" s="35"/>
      <c r="I9" s="35" t="s">
        <v>32</v>
      </c>
      <c r="J9" s="35"/>
      <c r="K9" s="35" t="s">
        <v>33</v>
      </c>
      <c r="L9" s="35"/>
      <c r="M9" s="35" t="s">
        <v>238</v>
      </c>
      <c r="N9" s="35"/>
      <c r="O9" s="35" t="s">
        <v>34</v>
      </c>
      <c r="P9" s="35"/>
      <c r="Q9" s="35" t="s">
        <v>35</v>
      </c>
      <c r="R9" s="35"/>
      <c r="S9" s="35" t="s">
        <v>36</v>
      </c>
      <c r="T9" s="35"/>
      <c r="U9" s="35" t="s">
        <v>37</v>
      </c>
      <c r="V9" s="35"/>
      <c r="W9" s="35" t="s">
        <v>239</v>
      </c>
      <c r="X9" s="35"/>
      <c r="Y9" s="35" t="s">
        <v>157</v>
      </c>
      <c r="Z9" s="35"/>
      <c r="AA9" s="35" t="s">
        <v>125</v>
      </c>
      <c r="AB9" s="35"/>
      <c r="AC9" s="35"/>
      <c r="AD9" s="35"/>
      <c r="AE9" s="35"/>
      <c r="AF9" s="35"/>
      <c r="AG9" s="37" t="s">
        <v>191</v>
      </c>
      <c r="AH9" s="38" t="s">
        <v>109</v>
      </c>
      <c r="AI9" s="39"/>
      <c r="AJ9" s="37" t="s">
        <v>240</v>
      </c>
      <c r="AK9" s="38" t="s">
        <v>192</v>
      </c>
      <c r="AL9" s="39" t="s">
        <v>218</v>
      </c>
      <c r="AM9" s="1" t="s">
        <v>193</v>
      </c>
      <c r="AN9" s="40" t="s">
        <v>194</v>
      </c>
      <c r="AO9" s="40" t="s">
        <v>195</v>
      </c>
      <c r="AP9" s="40" t="s">
        <v>196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1" t="s">
        <v>197</v>
      </c>
      <c r="BB9" s="1" t="s">
        <v>198</v>
      </c>
    </row>
    <row r="10" customFormat="false" ht="39.75" hidden="false" customHeight="true" outlineLevel="0" collapsed="false">
      <c r="A10" s="42" t="s">
        <v>56</v>
      </c>
      <c r="B10" s="43" t="s">
        <v>6</v>
      </c>
      <c r="C10" s="146" t="s">
        <v>241</v>
      </c>
      <c r="D10" s="147" t="s">
        <v>242</v>
      </c>
      <c r="E10" s="44" t="s">
        <v>62</v>
      </c>
      <c r="F10" s="45" t="s">
        <v>58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8" t="s">
        <v>60</v>
      </c>
      <c r="M10" s="46" t="s">
        <v>59</v>
      </c>
      <c r="N10" s="47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8" t="s">
        <v>60</v>
      </c>
      <c r="U10" s="46" t="s">
        <v>59</v>
      </c>
      <c r="V10" s="48" t="s">
        <v>60</v>
      </c>
      <c r="W10" s="46" t="s">
        <v>59</v>
      </c>
      <c r="X10" s="47" t="s">
        <v>60</v>
      </c>
      <c r="Y10" s="46" t="s">
        <v>59</v>
      </c>
      <c r="Z10" s="47" t="s">
        <v>60</v>
      </c>
      <c r="AA10" s="46" t="s">
        <v>59</v>
      </c>
      <c r="AB10" s="47" t="s">
        <v>60</v>
      </c>
      <c r="AC10" s="46" t="s">
        <v>59</v>
      </c>
      <c r="AD10" s="48" t="s">
        <v>60</v>
      </c>
      <c r="AE10" s="46" t="s">
        <v>59</v>
      </c>
      <c r="AF10" s="48" t="s">
        <v>60</v>
      </c>
      <c r="AG10" s="49" t="s">
        <v>61</v>
      </c>
      <c r="AH10" s="50" t="s">
        <v>62</v>
      </c>
      <c r="AI10" s="51" t="s">
        <v>60</v>
      </c>
      <c r="AJ10" s="49" t="s">
        <v>61</v>
      </c>
      <c r="AK10" s="50" t="s">
        <v>60</v>
      </c>
      <c r="AL10" s="51" t="s">
        <v>60</v>
      </c>
      <c r="AM10" s="40" t="s">
        <v>60</v>
      </c>
      <c r="AN10" s="40" t="s">
        <v>60</v>
      </c>
      <c r="AO10" s="40" t="s">
        <v>60</v>
      </c>
      <c r="AP10" s="40" t="s">
        <v>60</v>
      </c>
      <c r="AQ10" s="40" t="s">
        <v>60</v>
      </c>
      <c r="AR10" s="40" t="s">
        <v>60</v>
      </c>
      <c r="AS10" s="40" t="s">
        <v>60</v>
      </c>
      <c r="AT10" s="40" t="s">
        <v>60</v>
      </c>
      <c r="AU10" s="40" t="s">
        <v>60</v>
      </c>
      <c r="BA10" s="1" t="s">
        <v>199</v>
      </c>
      <c r="BB10" s="1" t="s">
        <v>200</v>
      </c>
    </row>
    <row r="11" customFormat="false" ht="39.75" hidden="false" customHeight="true" outlineLevel="0" collapsed="false">
      <c r="A11" s="88" t="s">
        <v>243</v>
      </c>
      <c r="B11" s="89" t="n">
        <v>2990</v>
      </c>
      <c r="C11" s="148" t="n">
        <v>100</v>
      </c>
      <c r="D11" s="149" t="n">
        <f aca="false">IF($A11="","",$B11-$C11)</f>
        <v>2890</v>
      </c>
      <c r="E11" s="90" t="n">
        <v>500</v>
      </c>
      <c r="F11" s="91" t="n">
        <v>1</v>
      </c>
      <c r="G11" s="134" t="n">
        <f aca="false">IF($A11="","",$B11)</f>
        <v>2990</v>
      </c>
      <c r="H11" s="90" t="n">
        <f aca="false">IF($A11="","",2*$F11)</f>
        <v>2</v>
      </c>
      <c r="I11" s="134" t="n">
        <f aca="false">IF($A11="","",$E11-$E$55-$F$55)</f>
        <v>450</v>
      </c>
      <c r="J11" s="90" t="n">
        <f aca="false">IF($A11="","",1*$F11)</f>
        <v>1</v>
      </c>
      <c r="K11" s="134" t="n">
        <f aca="false">IF($A11="","",$I11)</f>
        <v>450</v>
      </c>
      <c r="L11" s="90" t="n">
        <f aca="false">IF($A11="","",1*$F11)</f>
        <v>1</v>
      </c>
      <c r="M11" s="134" t="n">
        <f aca="false">IF($A11="","",$I11)</f>
        <v>450</v>
      </c>
      <c r="N11" s="90" t="n">
        <f aca="false">IF($A11="","",1*$F11)</f>
        <v>1</v>
      </c>
      <c r="O11" s="134" t="n">
        <f aca="false">IF($A11="","",$D11-$E$58-$F$58)</f>
        <v>2865.5</v>
      </c>
      <c r="P11" s="90" t="n">
        <f aca="false">IF($A11="","",4*$F11)</f>
        <v>4</v>
      </c>
      <c r="Q11" s="134" t="n">
        <f aca="false">IF($A11="","",(($E11-$E$59-$F$59-$G$59)/2))</f>
        <v>229.25</v>
      </c>
      <c r="R11" s="90" t="n">
        <f aca="false">IF($A11="","",4*$F11)</f>
        <v>4</v>
      </c>
      <c r="S11" s="134" t="n">
        <f aca="false">IF($A11="","",$O11-$E$60-$F$60)</f>
        <v>2705.5</v>
      </c>
      <c r="T11" s="90" t="n">
        <f aca="false">IF($A11="","",4*$F11)</f>
        <v>4</v>
      </c>
      <c r="U11" s="134" t="n">
        <f aca="false">IF($A11="","",$Q11-$E$61-$F$61)</f>
        <v>109.25</v>
      </c>
      <c r="V11" s="90" t="n">
        <f aca="false">IF($A11="","",4*$F11)</f>
        <v>4</v>
      </c>
      <c r="W11" s="134" t="n">
        <f aca="false">IF($A11="","",$E11-$E$62-$F$62)</f>
        <v>410</v>
      </c>
      <c r="X11" s="90" t="n">
        <f aca="false">IF($A11="","",2*$F11)</f>
        <v>2</v>
      </c>
      <c r="Y11" s="134" t="n">
        <f aca="false">IF($A11="","",$C11-$E$63-$F$63)</f>
        <v>62.5</v>
      </c>
      <c r="Z11" s="90" t="n">
        <f aca="false">IF($A11="","",2*$F11)</f>
        <v>2</v>
      </c>
      <c r="AA11" s="134" t="n">
        <f aca="false">IF($A11="","",$D11-$E$64-$F$64)</f>
        <v>2848.5</v>
      </c>
      <c r="AB11" s="90" t="n">
        <f aca="false">IF($A11="","",1*$F11)</f>
        <v>1</v>
      </c>
      <c r="AC11" s="134"/>
      <c r="AD11" s="90"/>
      <c r="AE11" s="134"/>
      <c r="AF11" s="90"/>
      <c r="AG11" s="150" t="n">
        <f aca="false">IF($A11="","",$O11-67-67)</f>
        <v>2731.5</v>
      </c>
      <c r="AH11" s="152" t="n">
        <f aca="false">IF($A11="","",$Q11-67-67)</f>
        <v>95.25</v>
      </c>
      <c r="AI11" s="137" t="n">
        <f aca="false">IF($A11="","",2*$F11)</f>
        <v>2</v>
      </c>
      <c r="AJ11" s="150" t="n">
        <f aca="false">IF($A11="","",$C11-24.5-37)</f>
        <v>38.5</v>
      </c>
      <c r="AK11" s="136" t="n">
        <f aca="false">IF($A11="","",1*$F11)</f>
        <v>1</v>
      </c>
      <c r="AL11" s="137" t="n">
        <f aca="false">IF($A11="","",1*$F11)</f>
        <v>1</v>
      </c>
      <c r="AM11" s="40" t="n">
        <f aca="false">IF($A11="","",2*$F11)</f>
        <v>2</v>
      </c>
      <c r="AN11" s="40" t="n">
        <f aca="false">IF($A11="","",2*2*$F11)</f>
        <v>4</v>
      </c>
      <c r="AO11" s="40" t="n">
        <f aca="false">IF($A11="","",(2+IF($C11&gt;1800,ROUNDUP(($C11-1800)/500,0),0))*2*$F11)</f>
        <v>4</v>
      </c>
      <c r="AP11" s="40" t="n">
        <f aca="false">IF($A11="","",(2+IF($C11&gt;1800,ROUNDUP(($C11-1800)/500,0),0))*2*$F11)</f>
        <v>4</v>
      </c>
      <c r="AQ11" s="40" t="n">
        <f aca="false">IF($A11="","",4*2*$F11)</f>
        <v>8</v>
      </c>
      <c r="AR11" s="40" t="n">
        <f aca="false">IF($A11="","",8*2*$F11)</f>
        <v>16</v>
      </c>
      <c r="AS11" s="40" t="n">
        <f aca="false">IF($A11="","",8*$F11)</f>
        <v>8</v>
      </c>
      <c r="AT11" s="40" t="n">
        <f aca="false">IF($A11="","",ROUND((2*($E11/2+$C11))*2*$F11/1000,1))</f>
        <v>1.4</v>
      </c>
      <c r="AU11" s="40" t="n">
        <f aca="false">IF($A11="","",ROUND((2*($E11+$B11))*$F11/1000,1))</f>
        <v>7</v>
      </c>
      <c r="BA11" s="1" t="s">
        <v>201</v>
      </c>
      <c r="BB11" s="1" t="s">
        <v>202</v>
      </c>
    </row>
    <row r="12" customFormat="false" ht="39.75" hidden="false" customHeight="true" outlineLevel="0" collapsed="false">
      <c r="A12" s="88"/>
      <c r="B12" s="89"/>
      <c r="C12" s="148"/>
      <c r="D12" s="149" t="str">
        <f aca="false">IF($A12="","",$B12-$C12)</f>
        <v/>
      </c>
      <c r="E12" s="90"/>
      <c r="F12" s="91"/>
      <c r="G12" s="139" t="str">
        <f aca="false">IF($A12="","",$B12)</f>
        <v/>
      </c>
      <c r="H12" s="140" t="str">
        <f aca="false">IF($A12="","",2*$F12)</f>
        <v/>
      </c>
      <c r="I12" s="139" t="str">
        <f aca="false">IF($A12="","",$E12-$E$55-$F$55)</f>
        <v/>
      </c>
      <c r="J12" s="140" t="str">
        <f aca="false">IF($A12="","",1*$F12)</f>
        <v/>
      </c>
      <c r="K12" s="139" t="str">
        <f aca="false">IF($A12="","",$I12)</f>
        <v/>
      </c>
      <c r="L12" s="140" t="str">
        <f aca="false">IF($A12="","",1*$F12)</f>
        <v/>
      </c>
      <c r="M12" s="139" t="str">
        <f aca="false">IF($A12="","",$I12)</f>
        <v/>
      </c>
      <c r="N12" s="140" t="str">
        <f aca="false">IF($A12="","",1*$F12)</f>
        <v/>
      </c>
      <c r="O12" s="139" t="str">
        <f aca="false">IF($A12="","",$D12-$E$58-$F$58)</f>
        <v/>
      </c>
      <c r="P12" s="140" t="str">
        <f aca="false">IF($A12="","",4*$F12)</f>
        <v/>
      </c>
      <c r="Q12" s="139" t="str">
        <f aca="false">IF($A12="","",(($E12-$E$59-$F$59-$G$59)/2))</f>
        <v/>
      </c>
      <c r="R12" s="140" t="str">
        <f aca="false">IF($A12="","",4*$F12)</f>
        <v/>
      </c>
      <c r="S12" s="139" t="str">
        <f aca="false">IF($A12="","",$O12-$E$60-$F$60)</f>
        <v/>
      </c>
      <c r="T12" s="140" t="str">
        <f aca="false">IF($A12="","",4*$F12)</f>
        <v/>
      </c>
      <c r="U12" s="139" t="str">
        <f aca="false">IF($A12="","",$Q12-$E$61-$F$61)</f>
        <v/>
      </c>
      <c r="V12" s="140" t="str">
        <f aca="false">IF($A12="","",4*$F12)</f>
        <v/>
      </c>
      <c r="W12" s="139" t="str">
        <f aca="false">IF($A12="","",$E12-$E$62-$F$62)</f>
        <v/>
      </c>
      <c r="X12" s="140" t="str">
        <f aca="false">IF($A12="","",2*$F12)</f>
        <v/>
      </c>
      <c r="Y12" s="139" t="str">
        <f aca="false">IF($A12="","",$C12-$E$63-$F$63)</f>
        <v/>
      </c>
      <c r="Z12" s="140" t="str">
        <f aca="false">IF($A12="","",2*$F12)</f>
        <v/>
      </c>
      <c r="AA12" s="139" t="str">
        <f aca="false">IF($A12="","",$D12-$E$64-$F$64)</f>
        <v/>
      </c>
      <c r="AB12" s="140" t="str">
        <f aca="false">IF($A12="","",1*$F12)</f>
        <v/>
      </c>
      <c r="AC12" s="139"/>
      <c r="AD12" s="140"/>
      <c r="AE12" s="139"/>
      <c r="AF12" s="140"/>
      <c r="AG12" s="135" t="str">
        <f aca="false">IF($A12="","",$O12-67-67)</f>
        <v/>
      </c>
      <c r="AH12" s="136" t="str">
        <f aca="false">IF($A12="","",$Q12-67-67)</f>
        <v/>
      </c>
      <c r="AI12" s="137" t="str">
        <f aca="false">IF($A12="","",2*$F12)</f>
        <v/>
      </c>
      <c r="AJ12" s="135" t="str">
        <f aca="false">IF($A12="","",$C12-24.5-37)</f>
        <v/>
      </c>
      <c r="AK12" s="136" t="str">
        <f aca="false">IF($A12="","",1*$F12)</f>
        <v/>
      </c>
      <c r="AL12" s="137" t="str">
        <f aca="false">IF($A12="","",1*$F12)</f>
        <v/>
      </c>
      <c r="AM12" s="1" t="str">
        <f aca="false">IF($A12="","",2*$F12)</f>
        <v/>
      </c>
      <c r="AN12" s="1" t="str">
        <f aca="false">IF($A12="","",2*2*$F12)</f>
        <v/>
      </c>
      <c r="AO12" s="1" t="str">
        <f aca="false">IF($A12="","",(2+IF($C12&gt;1800,ROUNDUP(($C12-1800)/500,0),0))*2*$F12)</f>
        <v/>
      </c>
      <c r="AP12" s="1" t="str">
        <f aca="false">IF($A12="","",(2+IF($C12&gt;1800,ROUNDUP(($C12-1800)/500,0),0))*2*$F12)</f>
        <v/>
      </c>
      <c r="AQ12" s="1" t="str">
        <f aca="false">IF($A12="","",4*2*$F12)</f>
        <v/>
      </c>
      <c r="AR12" s="1" t="str">
        <f aca="false">IF($A12="","",8*2*$F12)</f>
        <v/>
      </c>
      <c r="AS12" s="1" t="str">
        <f aca="false">IF($A12="","",8*$F12)</f>
        <v/>
      </c>
      <c r="AT12" s="1" t="str">
        <f aca="false">IF($A12="","",ROUND((2*($E12/2+$C12))*2*$F12/1000,1))</f>
        <v/>
      </c>
      <c r="AU12" s="1" t="str">
        <f aca="false">IF($A12="","",ROUND((2*($E12+$B12))*$F12/1000,1))</f>
        <v/>
      </c>
      <c r="BA12" s="1" t="s">
        <v>203</v>
      </c>
      <c r="BB12" s="1" t="s">
        <v>204</v>
      </c>
    </row>
    <row r="13" customFormat="false" ht="39.75" hidden="false" customHeight="true" outlineLevel="0" collapsed="false">
      <c r="A13" s="88"/>
      <c r="B13" s="89"/>
      <c r="C13" s="148"/>
      <c r="D13" s="149" t="str">
        <f aca="false">IF($A13="","",$B13-$C13)</f>
        <v/>
      </c>
      <c r="E13" s="90"/>
      <c r="F13" s="91"/>
      <c r="G13" s="134" t="str">
        <f aca="false">IF($A13="","",$B13)</f>
        <v/>
      </c>
      <c r="H13" s="90" t="str">
        <f aca="false">IF($A13="","",2*$F13)</f>
        <v/>
      </c>
      <c r="I13" s="134" t="str">
        <f aca="false">IF($A13="","",$E13-$E$55-$F$55)</f>
        <v/>
      </c>
      <c r="J13" s="90" t="str">
        <f aca="false">IF($A13="","",1*$F13)</f>
        <v/>
      </c>
      <c r="K13" s="134" t="str">
        <f aca="false">IF($A13="","",$I13)</f>
        <v/>
      </c>
      <c r="L13" s="90" t="str">
        <f aca="false">IF($A13="","",1*$F13)</f>
        <v/>
      </c>
      <c r="M13" s="134" t="str">
        <f aca="false">IF($A13="","",$I13)</f>
        <v/>
      </c>
      <c r="N13" s="90" t="str">
        <f aca="false">IF($A13="","",1*$F13)</f>
        <v/>
      </c>
      <c r="O13" s="134" t="str">
        <f aca="false">IF($A13="","",$D13-$E$58-$F$58)</f>
        <v/>
      </c>
      <c r="P13" s="90" t="str">
        <f aca="false">IF($A13="","",4*$F13)</f>
        <v/>
      </c>
      <c r="Q13" s="134" t="str">
        <f aca="false">IF($A13="","",(($E13-$E$59-$F$59-$G$59)/2))</f>
        <v/>
      </c>
      <c r="R13" s="90" t="str">
        <f aca="false">IF($A13="","",4*$F13)</f>
        <v/>
      </c>
      <c r="S13" s="134" t="str">
        <f aca="false">IF($A13="","",$O13-$E$60-$F$60)</f>
        <v/>
      </c>
      <c r="T13" s="90" t="str">
        <f aca="false">IF($A13="","",4*$F13)</f>
        <v/>
      </c>
      <c r="U13" s="134" t="str">
        <f aca="false">IF($A13="","",$Q13-$E$61-$F$61)</f>
        <v/>
      </c>
      <c r="V13" s="90" t="str">
        <f aca="false">IF($A13="","",4*$F13)</f>
        <v/>
      </c>
      <c r="W13" s="134" t="str">
        <f aca="false">IF($A13="","",$E13-$E$62-$F$62)</f>
        <v/>
      </c>
      <c r="X13" s="90" t="str">
        <f aca="false">IF($A13="","",2*$F13)</f>
        <v/>
      </c>
      <c r="Y13" s="134" t="str">
        <f aca="false">IF($A13="","",$C13-$E$63-$F$63)</f>
        <v/>
      </c>
      <c r="Z13" s="90" t="str">
        <f aca="false">IF($A13="","",2*$F13)</f>
        <v/>
      </c>
      <c r="AA13" s="134" t="str">
        <f aca="false">IF($A13="","",$D13-$E$64-$F$64)</f>
        <v/>
      </c>
      <c r="AB13" s="90" t="str">
        <f aca="false">IF($A13="","",1*$F13)</f>
        <v/>
      </c>
      <c r="AC13" s="134"/>
      <c r="AD13" s="90"/>
      <c r="AE13" s="134"/>
      <c r="AF13" s="90"/>
      <c r="AG13" s="135" t="str">
        <f aca="false">IF($A13="","",$O13-67-67)</f>
        <v/>
      </c>
      <c r="AH13" s="136" t="str">
        <f aca="false">IF($A13="","",$Q13-67-67)</f>
        <v/>
      </c>
      <c r="AI13" s="137" t="str">
        <f aca="false">IF($A13="","",2*$F13)</f>
        <v/>
      </c>
      <c r="AJ13" s="135" t="str">
        <f aca="false">IF($A13="","",$C13-24.5-37)</f>
        <v/>
      </c>
      <c r="AK13" s="136" t="str">
        <f aca="false">IF($A13="","",1*$F13)</f>
        <v/>
      </c>
      <c r="AL13" s="137" t="str">
        <f aca="false">IF($A13="","",1*$F13)</f>
        <v/>
      </c>
      <c r="AM13" s="1" t="str">
        <f aca="false">IF($A13="","",2*$F13)</f>
        <v/>
      </c>
      <c r="AN13" s="1" t="str">
        <f aca="false">IF($A13="","",2*2*$F13)</f>
        <v/>
      </c>
      <c r="AO13" s="1" t="str">
        <f aca="false">IF($A13="","",(2+IF($C13&gt;1800,ROUNDUP(($C13-1800)/500,0),0))*2*$F13)</f>
        <v/>
      </c>
      <c r="AP13" s="1" t="str">
        <f aca="false">IF($A13="","",(2+IF($C13&gt;1800,ROUNDUP(($C13-1800)/500,0),0))*2*$F13)</f>
        <v/>
      </c>
      <c r="AQ13" s="1" t="str">
        <f aca="false">IF($A13="","",4*2*$F13)</f>
        <v/>
      </c>
      <c r="AR13" s="1" t="str">
        <f aca="false">IF($A13="","",8*2*$F13)</f>
        <v/>
      </c>
      <c r="AS13" s="1" t="str">
        <f aca="false">IF($A13="","",8*$F13)</f>
        <v/>
      </c>
      <c r="AT13" s="1" t="str">
        <f aca="false">IF($A13="","",ROUND((2*($E13/2+$C13))*2*$F13/1000,1))</f>
        <v/>
      </c>
      <c r="AU13" s="1" t="str">
        <f aca="false">IF($A13="","",ROUND((2*($E13+$B13))*$F13/1000,1))</f>
        <v/>
      </c>
    </row>
    <row r="14" customFormat="false" ht="39.75" hidden="false" customHeight="true" outlineLevel="0" collapsed="false">
      <c r="A14" s="88"/>
      <c r="B14" s="89"/>
      <c r="C14" s="148"/>
      <c r="D14" s="149" t="str">
        <f aca="false">IF($A14="","",$B14-$C14)</f>
        <v/>
      </c>
      <c r="E14" s="90"/>
      <c r="F14" s="91"/>
      <c r="G14" s="139" t="str">
        <f aca="false">IF($A14="","",$B14)</f>
        <v/>
      </c>
      <c r="H14" s="140" t="str">
        <f aca="false">IF($A14="","",2*$F14)</f>
        <v/>
      </c>
      <c r="I14" s="139" t="str">
        <f aca="false">IF($A14="","",$E14-$E$55-$F$55)</f>
        <v/>
      </c>
      <c r="J14" s="140" t="str">
        <f aca="false">IF($A14="","",1*$F14)</f>
        <v/>
      </c>
      <c r="K14" s="139" t="str">
        <f aca="false">IF($A14="","",$I14)</f>
        <v/>
      </c>
      <c r="L14" s="140" t="str">
        <f aca="false">IF($A14="","",1*$F14)</f>
        <v/>
      </c>
      <c r="M14" s="139" t="str">
        <f aca="false">IF($A14="","",$I14)</f>
        <v/>
      </c>
      <c r="N14" s="140" t="str">
        <f aca="false">IF($A14="","",1*$F14)</f>
        <v/>
      </c>
      <c r="O14" s="139" t="str">
        <f aca="false">IF($A14="","",$D14-$E$58-$F$58)</f>
        <v/>
      </c>
      <c r="P14" s="140" t="str">
        <f aca="false">IF($A14="","",4*$F14)</f>
        <v/>
      </c>
      <c r="Q14" s="139" t="str">
        <f aca="false">IF($A14="","",(($E14-$E$59-$F$59-$G$59)/2))</f>
        <v/>
      </c>
      <c r="R14" s="140" t="str">
        <f aca="false">IF($A14="","",4*$F14)</f>
        <v/>
      </c>
      <c r="S14" s="139" t="str">
        <f aca="false">IF($A14="","",$O14-$E$60-$F$60)</f>
        <v/>
      </c>
      <c r="T14" s="140" t="str">
        <f aca="false">IF($A14="","",4*$F14)</f>
        <v/>
      </c>
      <c r="U14" s="139" t="str">
        <f aca="false">IF($A14="","",$Q14-$E$61-$F$61)</f>
        <v/>
      </c>
      <c r="V14" s="140" t="str">
        <f aca="false">IF($A14="","",4*$F14)</f>
        <v/>
      </c>
      <c r="W14" s="139" t="str">
        <f aca="false">IF($A14="","",$E14-$E$62-$F$62)</f>
        <v/>
      </c>
      <c r="X14" s="140" t="str">
        <f aca="false">IF($A14="","",2*$F14)</f>
        <v/>
      </c>
      <c r="Y14" s="139" t="str">
        <f aca="false">IF($A14="","",$C14-$E$63-$F$63)</f>
        <v/>
      </c>
      <c r="Z14" s="140" t="str">
        <f aca="false">IF($A14="","",2*$F14)</f>
        <v/>
      </c>
      <c r="AA14" s="139" t="str">
        <f aca="false">IF($A14="","",$D14-$E$64-$F$64)</f>
        <v/>
      </c>
      <c r="AB14" s="140" t="str">
        <f aca="false">IF($A14="","",1*$F14)</f>
        <v/>
      </c>
      <c r="AC14" s="139"/>
      <c r="AD14" s="140"/>
      <c r="AE14" s="139"/>
      <c r="AF14" s="140"/>
      <c r="AG14" s="135" t="str">
        <f aca="false">IF($A14="","",$O14-67-67)</f>
        <v/>
      </c>
      <c r="AH14" s="136" t="str">
        <f aca="false">IF($A14="","",$Q14-67-67)</f>
        <v/>
      </c>
      <c r="AI14" s="137" t="str">
        <f aca="false">IF($A14="","",2*$F14)</f>
        <v/>
      </c>
      <c r="AJ14" s="135" t="str">
        <f aca="false">IF($A14="","",$C14-24.5-37)</f>
        <v/>
      </c>
      <c r="AK14" s="136" t="str">
        <f aca="false">IF($A14="","",1*$F14)</f>
        <v/>
      </c>
      <c r="AL14" s="137" t="str">
        <f aca="false">IF($A14="","",1*$F14)</f>
        <v/>
      </c>
      <c r="AM14" s="1" t="str">
        <f aca="false">IF($A14="","",2*$F14)</f>
        <v/>
      </c>
      <c r="AN14" s="1" t="str">
        <f aca="false">IF($A14="","",2*2*$F14)</f>
        <v/>
      </c>
      <c r="AO14" s="1" t="str">
        <f aca="false">IF($A14="","",(2+IF($C14&gt;1800,ROUNDUP(($C14-1800)/500,0),0))*2*$F14)</f>
        <v/>
      </c>
      <c r="AP14" s="1" t="str">
        <f aca="false">IF($A14="","",(2+IF($C14&gt;1800,ROUNDUP(($C14-1800)/500,0),0))*2*$F14)</f>
        <v/>
      </c>
      <c r="AQ14" s="1" t="str">
        <f aca="false">IF($A14="","",4*2*$F14)</f>
        <v/>
      </c>
      <c r="AR14" s="1" t="str">
        <f aca="false">IF($A14="","",8*2*$F14)</f>
        <v/>
      </c>
      <c r="AS14" s="1" t="str">
        <f aca="false">IF($A14="","",8*$F14)</f>
        <v/>
      </c>
      <c r="AT14" s="1" t="str">
        <f aca="false">IF($A14="","",ROUND((2*($E14/2+$C14))*2*$F14/1000,1))</f>
        <v/>
      </c>
      <c r="AU14" s="1" t="str">
        <f aca="false">IF($A14="","",ROUND((2*($E14+$B14))*$F14/1000,1))</f>
        <v/>
      </c>
    </row>
    <row r="15" customFormat="false" ht="39.75" hidden="false" customHeight="true" outlineLevel="0" collapsed="false">
      <c r="A15" s="88"/>
      <c r="B15" s="89"/>
      <c r="C15" s="148"/>
      <c r="D15" s="149" t="str">
        <f aca="false">IF($A15="","",$B15-$C15)</f>
        <v/>
      </c>
      <c r="E15" s="90"/>
      <c r="F15" s="91"/>
      <c r="G15" s="134" t="str">
        <f aca="false">IF($A15="","",$B15)</f>
        <v/>
      </c>
      <c r="H15" s="90" t="str">
        <f aca="false">IF($A15="","",2*$F15)</f>
        <v/>
      </c>
      <c r="I15" s="134" t="str">
        <f aca="false">IF($A15="","",$E15-$E$55-$F$55)</f>
        <v/>
      </c>
      <c r="J15" s="90" t="str">
        <f aca="false">IF($A15="","",1*$F15)</f>
        <v/>
      </c>
      <c r="K15" s="134" t="str">
        <f aca="false">IF($A15="","",$I15)</f>
        <v/>
      </c>
      <c r="L15" s="90" t="str">
        <f aca="false">IF($A15="","",1*$F15)</f>
        <v/>
      </c>
      <c r="M15" s="134" t="str">
        <f aca="false">IF($A15="","",$I15)</f>
        <v/>
      </c>
      <c r="N15" s="90" t="str">
        <f aca="false">IF($A15="","",1*$F15)</f>
        <v/>
      </c>
      <c r="O15" s="134" t="str">
        <f aca="false">IF($A15="","",$D15-$E$58-$F$58)</f>
        <v/>
      </c>
      <c r="P15" s="90" t="str">
        <f aca="false">IF($A15="","",4*$F15)</f>
        <v/>
      </c>
      <c r="Q15" s="134" t="str">
        <f aca="false">IF($A15="","",(($E15-$E$59-$F$59-$G$59)/2))</f>
        <v/>
      </c>
      <c r="R15" s="90" t="str">
        <f aca="false">IF($A15="","",4*$F15)</f>
        <v/>
      </c>
      <c r="S15" s="134" t="str">
        <f aca="false">IF($A15="","",$O15-$E$60-$F$60)</f>
        <v/>
      </c>
      <c r="T15" s="90" t="str">
        <f aca="false">IF($A15="","",4*$F15)</f>
        <v/>
      </c>
      <c r="U15" s="134" t="str">
        <f aca="false">IF($A15="","",$Q15-$E$61-$F$61)</f>
        <v/>
      </c>
      <c r="V15" s="90" t="str">
        <f aca="false">IF($A15="","",4*$F15)</f>
        <v/>
      </c>
      <c r="W15" s="134" t="str">
        <f aca="false">IF($A15="","",$E15-$E$62-$F$62)</f>
        <v/>
      </c>
      <c r="X15" s="90" t="str">
        <f aca="false">IF($A15="","",2*$F15)</f>
        <v/>
      </c>
      <c r="Y15" s="134" t="str">
        <f aca="false">IF($A15="","",$C15-$E$63-$F$63)</f>
        <v/>
      </c>
      <c r="Z15" s="90" t="str">
        <f aca="false">IF($A15="","",2*$F15)</f>
        <v/>
      </c>
      <c r="AA15" s="134" t="str">
        <f aca="false">IF($A15="","",$D15-$E$64-$F$64)</f>
        <v/>
      </c>
      <c r="AB15" s="90" t="str">
        <f aca="false">IF($A15="","",1*$F15)</f>
        <v/>
      </c>
      <c r="AC15" s="134"/>
      <c r="AD15" s="90"/>
      <c r="AE15" s="134"/>
      <c r="AF15" s="90"/>
      <c r="AG15" s="135" t="str">
        <f aca="false">IF($A15="","",$O15-67-67)</f>
        <v/>
      </c>
      <c r="AH15" s="136" t="str">
        <f aca="false">IF($A15="","",$Q15-67-67)</f>
        <v/>
      </c>
      <c r="AI15" s="137" t="str">
        <f aca="false">IF($A15="","",2*$F15)</f>
        <v/>
      </c>
      <c r="AJ15" s="135" t="str">
        <f aca="false">IF($A15="","",$C15-24.5-37)</f>
        <v/>
      </c>
      <c r="AK15" s="136" t="str">
        <f aca="false">IF($A15="","",1*$F15)</f>
        <v/>
      </c>
      <c r="AL15" s="137" t="str">
        <f aca="false">IF($A15="","",1*$F15)</f>
        <v/>
      </c>
      <c r="AM15" s="1" t="str">
        <f aca="false">IF($A15="","",2*$F15)</f>
        <v/>
      </c>
      <c r="AN15" s="1" t="str">
        <f aca="false">IF($A15="","",2*2*$F15)</f>
        <v/>
      </c>
      <c r="AO15" s="1" t="str">
        <f aca="false">IF($A15="","",(2+IF($C15&gt;1800,ROUNDUP(($C15-1800)/500,0),0))*2*$F15)</f>
        <v/>
      </c>
      <c r="AP15" s="1" t="str">
        <f aca="false">IF($A15="","",(2+IF($C15&gt;1800,ROUNDUP(($C15-1800)/500,0),0))*2*$F15)</f>
        <v/>
      </c>
      <c r="AQ15" s="1" t="str">
        <f aca="false">IF($A15="","",4*2*$F15)</f>
        <v/>
      </c>
      <c r="AR15" s="1" t="str">
        <f aca="false">IF($A15="","",8*2*$F15)</f>
        <v/>
      </c>
      <c r="AS15" s="1" t="str">
        <f aca="false">IF($A15="","",8*$F15)</f>
        <v/>
      </c>
      <c r="AT15" s="1" t="str">
        <f aca="false">IF($A15="","",ROUND((2*($E15/2+$C15))*2*$F15/1000,1))</f>
        <v/>
      </c>
      <c r="AU15" s="1" t="str">
        <f aca="false">IF($A15="","",ROUND((2*($E15+$B15))*$F15/1000,1))</f>
        <v/>
      </c>
    </row>
    <row r="16" customFormat="false" ht="39.75" hidden="false" customHeight="true" outlineLevel="0" collapsed="false">
      <c r="A16" s="88"/>
      <c r="B16" s="89"/>
      <c r="C16" s="148"/>
      <c r="D16" s="149" t="str">
        <f aca="false">IF($A16="","",$B16-$C16)</f>
        <v/>
      </c>
      <c r="E16" s="90"/>
      <c r="F16" s="91"/>
      <c r="G16" s="139" t="str">
        <f aca="false">IF($A16="","",$B16)</f>
        <v/>
      </c>
      <c r="H16" s="140" t="str">
        <f aca="false">IF($A16="","",2*$F16)</f>
        <v/>
      </c>
      <c r="I16" s="139" t="str">
        <f aca="false">IF($A16="","",$E16-$E$55-$F$55)</f>
        <v/>
      </c>
      <c r="J16" s="140" t="str">
        <f aca="false">IF($A16="","",1*$F16)</f>
        <v/>
      </c>
      <c r="K16" s="139" t="str">
        <f aca="false">IF($A16="","",$I16)</f>
        <v/>
      </c>
      <c r="L16" s="140" t="str">
        <f aca="false">IF($A16="","",1*$F16)</f>
        <v/>
      </c>
      <c r="M16" s="139" t="str">
        <f aca="false">IF($A16="","",$I16)</f>
        <v/>
      </c>
      <c r="N16" s="140" t="str">
        <f aca="false">IF($A16="","",1*$F16)</f>
        <v/>
      </c>
      <c r="O16" s="139" t="str">
        <f aca="false">IF($A16="","",$D16-$E$58-$F$58)</f>
        <v/>
      </c>
      <c r="P16" s="140" t="str">
        <f aca="false">IF($A16="","",4*$F16)</f>
        <v/>
      </c>
      <c r="Q16" s="139" t="str">
        <f aca="false">IF($A16="","",(($E16-$E$59-$F$59-$G$59)/2))</f>
        <v/>
      </c>
      <c r="R16" s="140" t="str">
        <f aca="false">IF($A16="","",4*$F16)</f>
        <v/>
      </c>
      <c r="S16" s="139" t="str">
        <f aca="false">IF($A16="","",$O16-$E$60-$F$60)</f>
        <v/>
      </c>
      <c r="T16" s="140" t="str">
        <f aca="false">IF($A16="","",4*$F16)</f>
        <v/>
      </c>
      <c r="U16" s="139" t="str">
        <f aca="false">IF($A16="","",$Q16-$E$61-$F$61)</f>
        <v/>
      </c>
      <c r="V16" s="140" t="str">
        <f aca="false">IF($A16="","",4*$F16)</f>
        <v/>
      </c>
      <c r="W16" s="139" t="str">
        <f aca="false">IF($A16="","",$E16-$E$62-$F$62)</f>
        <v/>
      </c>
      <c r="X16" s="140" t="str">
        <f aca="false">IF($A16="","",2*$F16)</f>
        <v/>
      </c>
      <c r="Y16" s="139" t="str">
        <f aca="false">IF($A16="","",$C16-$E$63-$F$63)</f>
        <v/>
      </c>
      <c r="Z16" s="140" t="str">
        <f aca="false">IF($A16="","",2*$F16)</f>
        <v/>
      </c>
      <c r="AA16" s="139" t="str">
        <f aca="false">IF($A16="","",$D16-$E$64-$F$64)</f>
        <v/>
      </c>
      <c r="AB16" s="140" t="str">
        <f aca="false">IF($A16="","",1*$F16)</f>
        <v/>
      </c>
      <c r="AC16" s="139"/>
      <c r="AD16" s="140"/>
      <c r="AE16" s="139"/>
      <c r="AF16" s="140"/>
      <c r="AG16" s="135" t="str">
        <f aca="false">IF($A16="","",$O16-67-67)</f>
        <v/>
      </c>
      <c r="AH16" s="136" t="str">
        <f aca="false">IF($A16="","",$Q16-67-67)</f>
        <v/>
      </c>
      <c r="AI16" s="137" t="str">
        <f aca="false">IF($A16="","",2*$F16)</f>
        <v/>
      </c>
      <c r="AJ16" s="135" t="str">
        <f aca="false">IF($A16="","",$C16-24.5-37)</f>
        <v/>
      </c>
      <c r="AK16" s="136" t="str">
        <f aca="false">IF($A16="","",1*$F16)</f>
        <v/>
      </c>
      <c r="AL16" s="137" t="str">
        <f aca="false">IF($A16="","",1*$F16)</f>
        <v/>
      </c>
      <c r="AM16" s="1" t="str">
        <f aca="false">IF($A16="","",2*$F16)</f>
        <v/>
      </c>
      <c r="AN16" s="1" t="str">
        <f aca="false">IF($A16="","",2*2*$F16)</f>
        <v/>
      </c>
      <c r="AO16" s="1" t="str">
        <f aca="false">IF($A16="","",(2+IF($C16&gt;1800,ROUNDUP(($C16-1800)/500,0),0))*2*$F16)</f>
        <v/>
      </c>
      <c r="AP16" s="1" t="str">
        <f aca="false">IF($A16="","",(2+IF($C16&gt;1800,ROUNDUP(($C16-1800)/500,0),0))*2*$F16)</f>
        <v/>
      </c>
      <c r="AQ16" s="1" t="str">
        <f aca="false">IF($A16="","",4*2*$F16)</f>
        <v/>
      </c>
      <c r="AR16" s="1" t="str">
        <f aca="false">IF($A16="","",8*2*$F16)</f>
        <v/>
      </c>
      <c r="AS16" s="1" t="str">
        <f aca="false">IF($A16="","",8*$F16)</f>
        <v/>
      </c>
      <c r="AT16" s="1" t="str">
        <f aca="false">IF($A16="","",ROUND((2*($E16/2+$C16))*2*$F16/1000,1))</f>
        <v/>
      </c>
      <c r="AU16" s="1" t="str">
        <f aca="false">IF($A16="","",ROUND((2*($E16+$B16))*$F16/1000,1))</f>
        <v/>
      </c>
    </row>
    <row r="17" customFormat="false" ht="39.75" hidden="false" customHeight="true" outlineLevel="0" collapsed="false">
      <c r="A17" s="88"/>
      <c r="B17" s="89"/>
      <c r="C17" s="148"/>
      <c r="D17" s="149" t="str">
        <f aca="false">IF($A17="","",$B17-$C17)</f>
        <v/>
      </c>
      <c r="E17" s="90"/>
      <c r="F17" s="91"/>
      <c r="G17" s="134" t="str">
        <f aca="false">IF($A17="","",$B17)</f>
        <v/>
      </c>
      <c r="H17" s="90" t="str">
        <f aca="false">IF($A17="","",2*$F17)</f>
        <v/>
      </c>
      <c r="I17" s="134" t="str">
        <f aca="false">IF($A17="","",$E17-$E$55-$F$55)</f>
        <v/>
      </c>
      <c r="J17" s="90" t="str">
        <f aca="false">IF($A17="","",1*$F17)</f>
        <v/>
      </c>
      <c r="K17" s="134" t="str">
        <f aca="false">IF($A17="","",$I17)</f>
        <v/>
      </c>
      <c r="L17" s="90" t="str">
        <f aca="false">IF($A17="","",1*$F17)</f>
        <v/>
      </c>
      <c r="M17" s="134" t="str">
        <f aca="false">IF($A17="","",$I17)</f>
        <v/>
      </c>
      <c r="N17" s="90" t="str">
        <f aca="false">IF($A17="","",1*$F17)</f>
        <v/>
      </c>
      <c r="O17" s="134" t="str">
        <f aca="false">IF($A17="","",$D17-$E$58-$F$58)</f>
        <v/>
      </c>
      <c r="P17" s="90" t="str">
        <f aca="false">IF($A17="","",4*$F17)</f>
        <v/>
      </c>
      <c r="Q17" s="134" t="str">
        <f aca="false">IF($A17="","",(($E17-$E$59-$F$59-$G$59)/2))</f>
        <v/>
      </c>
      <c r="R17" s="90" t="str">
        <f aca="false">IF($A17="","",4*$F17)</f>
        <v/>
      </c>
      <c r="S17" s="134" t="str">
        <f aca="false">IF($A17="","",$O17-$E$60-$F$60)</f>
        <v/>
      </c>
      <c r="T17" s="90" t="str">
        <f aca="false">IF($A17="","",4*$F17)</f>
        <v/>
      </c>
      <c r="U17" s="134" t="str">
        <f aca="false">IF($A17="","",$Q17-$E$61-$F$61)</f>
        <v/>
      </c>
      <c r="V17" s="90" t="str">
        <f aca="false">IF($A17="","",4*$F17)</f>
        <v/>
      </c>
      <c r="W17" s="134" t="str">
        <f aca="false">IF($A17="","",$E17-$E$62-$F$62)</f>
        <v/>
      </c>
      <c r="X17" s="90" t="str">
        <f aca="false">IF($A17="","",2*$F17)</f>
        <v/>
      </c>
      <c r="Y17" s="134" t="str">
        <f aca="false">IF($A17="","",$C17-$E$63-$F$63)</f>
        <v/>
      </c>
      <c r="Z17" s="90" t="str">
        <f aca="false">IF($A17="","",2*$F17)</f>
        <v/>
      </c>
      <c r="AA17" s="134" t="str">
        <f aca="false">IF($A17="","",$D17-$E$64-$F$64)</f>
        <v/>
      </c>
      <c r="AB17" s="90" t="str">
        <f aca="false">IF($A17="","",1*$F17)</f>
        <v/>
      </c>
      <c r="AC17" s="134"/>
      <c r="AD17" s="90"/>
      <c r="AE17" s="134"/>
      <c r="AF17" s="90"/>
      <c r="AG17" s="135" t="str">
        <f aca="false">IF($A17="","",$O17-67-67)</f>
        <v/>
      </c>
      <c r="AH17" s="136" t="str">
        <f aca="false">IF($A17="","",$Q17-67-67)</f>
        <v/>
      </c>
      <c r="AI17" s="137" t="str">
        <f aca="false">IF($A17="","",2*$F17)</f>
        <v/>
      </c>
      <c r="AJ17" s="135" t="str">
        <f aca="false">IF($A17="","",$C17-24.5-37)</f>
        <v/>
      </c>
      <c r="AK17" s="136" t="str">
        <f aca="false">IF($A17="","",1*$F17)</f>
        <v/>
      </c>
      <c r="AL17" s="137" t="str">
        <f aca="false">IF($A17="","",1*$F17)</f>
        <v/>
      </c>
      <c r="AM17" s="1" t="str">
        <f aca="false">IF($A17="","",2*$F17)</f>
        <v/>
      </c>
      <c r="AN17" s="1" t="str">
        <f aca="false">IF($A17="","",2*2*$F17)</f>
        <v/>
      </c>
      <c r="AO17" s="1" t="str">
        <f aca="false">IF($A17="","",(2+IF($C17&gt;1800,ROUNDUP(($C17-1800)/500,0),0))*2*$F17)</f>
        <v/>
      </c>
      <c r="AP17" s="1" t="str">
        <f aca="false">IF($A17="","",(2+IF($C17&gt;1800,ROUNDUP(($C17-1800)/500,0),0))*2*$F17)</f>
        <v/>
      </c>
      <c r="AQ17" s="1" t="str">
        <f aca="false">IF($A17="","",4*2*$F17)</f>
        <v/>
      </c>
      <c r="AR17" s="1" t="str">
        <f aca="false">IF($A17="","",8*2*$F17)</f>
        <v/>
      </c>
      <c r="AS17" s="1" t="str">
        <f aca="false">IF($A17="","",8*$F17)</f>
        <v/>
      </c>
      <c r="AT17" s="1" t="str">
        <f aca="false">IF($A17="","",ROUND((2*($E17/2+$C17))*2*$F17/1000,1))</f>
        <v/>
      </c>
      <c r="AU17" s="1" t="str">
        <f aca="false">IF($A17="","",ROUND((2*($E17+$B17))*$F17/1000,1))</f>
        <v/>
      </c>
    </row>
    <row r="18" customFormat="false" ht="39.75" hidden="false" customHeight="true" outlineLevel="0" collapsed="false">
      <c r="A18" s="88"/>
      <c r="B18" s="89"/>
      <c r="C18" s="148"/>
      <c r="D18" s="149" t="str">
        <f aca="false">IF($A18="","",$B18-$C18)</f>
        <v/>
      </c>
      <c r="E18" s="90"/>
      <c r="F18" s="91"/>
      <c r="G18" s="139" t="str">
        <f aca="false">IF($A18="","",$B18)</f>
        <v/>
      </c>
      <c r="H18" s="140" t="str">
        <f aca="false">IF($A18="","",2*$F18)</f>
        <v/>
      </c>
      <c r="I18" s="139" t="str">
        <f aca="false">IF($A18="","",$E18-$E$55-$F$55)</f>
        <v/>
      </c>
      <c r="J18" s="140" t="str">
        <f aca="false">IF($A18="","",1*$F18)</f>
        <v/>
      </c>
      <c r="K18" s="139" t="str">
        <f aca="false">IF($A18="","",$I18)</f>
        <v/>
      </c>
      <c r="L18" s="140" t="str">
        <f aca="false">IF($A18="","",1*$F18)</f>
        <v/>
      </c>
      <c r="M18" s="139" t="str">
        <f aca="false">IF($A18="","",$I18)</f>
        <v/>
      </c>
      <c r="N18" s="140" t="str">
        <f aca="false">IF($A18="","",1*$F18)</f>
        <v/>
      </c>
      <c r="O18" s="139" t="str">
        <f aca="false">IF($A18="","",$D18-$E$58-$F$58)</f>
        <v/>
      </c>
      <c r="P18" s="140" t="str">
        <f aca="false">IF($A18="","",4*$F18)</f>
        <v/>
      </c>
      <c r="Q18" s="139" t="str">
        <f aca="false">IF($A18="","",(($E18-$E$59-$F$59-$G$59)/2))</f>
        <v/>
      </c>
      <c r="R18" s="140" t="str">
        <f aca="false">IF($A18="","",4*$F18)</f>
        <v/>
      </c>
      <c r="S18" s="139" t="str">
        <f aca="false">IF($A18="","",$O18-$E$60-$F$60)</f>
        <v/>
      </c>
      <c r="T18" s="140" t="str">
        <f aca="false">IF($A18="","",4*$F18)</f>
        <v/>
      </c>
      <c r="U18" s="139" t="str">
        <f aca="false">IF($A18="","",$Q18-$E$61-$F$61)</f>
        <v/>
      </c>
      <c r="V18" s="140" t="str">
        <f aca="false">IF($A18="","",4*$F18)</f>
        <v/>
      </c>
      <c r="W18" s="139" t="str">
        <f aca="false">IF($A18="","",$E18-$E$62-$F$62)</f>
        <v/>
      </c>
      <c r="X18" s="140" t="str">
        <f aca="false">IF($A18="","",2*$F18)</f>
        <v/>
      </c>
      <c r="Y18" s="139" t="str">
        <f aca="false">IF($A18="","",$C18-$E$63-$F$63)</f>
        <v/>
      </c>
      <c r="Z18" s="140" t="str">
        <f aca="false">IF($A18="","",2*$F18)</f>
        <v/>
      </c>
      <c r="AA18" s="139" t="str">
        <f aca="false">IF($A18="","",$D18-$E$64-$F$64)</f>
        <v/>
      </c>
      <c r="AB18" s="140" t="str">
        <f aca="false">IF($A18="","",1*$F18)</f>
        <v/>
      </c>
      <c r="AC18" s="139"/>
      <c r="AD18" s="140"/>
      <c r="AE18" s="139"/>
      <c r="AF18" s="140"/>
      <c r="AG18" s="135" t="str">
        <f aca="false">IF($A18="","",$O18-67-67)</f>
        <v/>
      </c>
      <c r="AH18" s="136" t="str">
        <f aca="false">IF($A18="","",$Q18-67-67)</f>
        <v/>
      </c>
      <c r="AI18" s="137" t="str">
        <f aca="false">IF($A18="","",2*$F18)</f>
        <v/>
      </c>
      <c r="AJ18" s="135" t="str">
        <f aca="false">IF($A18="","",$C18-24.5-37)</f>
        <v/>
      </c>
      <c r="AK18" s="136" t="str">
        <f aca="false">IF($A18="","",1*$F18)</f>
        <v/>
      </c>
      <c r="AL18" s="137" t="str">
        <f aca="false">IF($A18="","",1*$F18)</f>
        <v/>
      </c>
      <c r="AM18" s="1" t="str">
        <f aca="false">IF($A18="","",2*$F18)</f>
        <v/>
      </c>
      <c r="AN18" s="1" t="str">
        <f aca="false">IF($A18="","",2*2*$F18)</f>
        <v/>
      </c>
      <c r="AO18" s="1" t="str">
        <f aca="false">IF($A18="","",(2+IF($C18&gt;1800,ROUNDUP(($C18-1800)/500,0),0))*2*$F18)</f>
        <v/>
      </c>
      <c r="AP18" s="1" t="str">
        <f aca="false">IF($A18="","",(2+IF($C18&gt;1800,ROUNDUP(($C18-1800)/500,0),0))*2*$F18)</f>
        <v/>
      </c>
      <c r="AQ18" s="1" t="str">
        <f aca="false">IF($A18="","",4*2*$F18)</f>
        <v/>
      </c>
      <c r="AR18" s="1" t="str">
        <f aca="false">IF($A18="","",8*2*$F18)</f>
        <v/>
      </c>
      <c r="AS18" s="1" t="str">
        <f aca="false">IF($A18="","",8*$F18)</f>
        <v/>
      </c>
      <c r="AT18" s="1" t="str">
        <f aca="false">IF($A18="","",ROUND((2*($E18/2+$C18))*2*$F18/1000,1))</f>
        <v/>
      </c>
      <c r="AU18" s="1" t="str">
        <f aca="false">IF($A18="","",ROUND((2*($E18+$B18))*$F18/1000,1))</f>
        <v/>
      </c>
    </row>
    <row r="19" customFormat="false" ht="39.75" hidden="false" customHeight="true" outlineLevel="0" collapsed="false">
      <c r="A19" s="88"/>
      <c r="B19" s="89"/>
      <c r="C19" s="148"/>
      <c r="D19" s="149" t="str">
        <f aca="false">IF($A19="","",$B19-$C19)</f>
        <v/>
      </c>
      <c r="E19" s="90"/>
      <c r="F19" s="91"/>
      <c r="G19" s="134" t="str">
        <f aca="false">IF($A19="","",$B19)</f>
        <v/>
      </c>
      <c r="H19" s="90" t="str">
        <f aca="false">IF($A19="","",2*$F19)</f>
        <v/>
      </c>
      <c r="I19" s="134" t="str">
        <f aca="false">IF($A19="","",$E19-$E$55-$F$55)</f>
        <v/>
      </c>
      <c r="J19" s="90" t="str">
        <f aca="false">IF($A19="","",1*$F19)</f>
        <v/>
      </c>
      <c r="K19" s="134" t="str">
        <f aca="false">IF($A19="","",$I19)</f>
        <v/>
      </c>
      <c r="L19" s="90" t="str">
        <f aca="false">IF($A19="","",1*$F19)</f>
        <v/>
      </c>
      <c r="M19" s="134" t="str">
        <f aca="false">IF($A19="","",$I19)</f>
        <v/>
      </c>
      <c r="N19" s="90" t="str">
        <f aca="false">IF($A19="","",1*$F19)</f>
        <v/>
      </c>
      <c r="O19" s="134" t="str">
        <f aca="false">IF($A19="","",$D19-$E$58-$F$58)</f>
        <v/>
      </c>
      <c r="P19" s="90" t="str">
        <f aca="false">IF($A19="","",4*$F19)</f>
        <v/>
      </c>
      <c r="Q19" s="134" t="str">
        <f aca="false">IF($A19="","",(($E19-$E$59-$F$59-$G$59)/2))</f>
        <v/>
      </c>
      <c r="R19" s="90" t="str">
        <f aca="false">IF($A19="","",4*$F19)</f>
        <v/>
      </c>
      <c r="S19" s="134" t="str">
        <f aca="false">IF($A19="","",$O19-$E$60-$F$60)</f>
        <v/>
      </c>
      <c r="T19" s="90" t="str">
        <f aca="false">IF($A19="","",4*$F19)</f>
        <v/>
      </c>
      <c r="U19" s="134" t="str">
        <f aca="false">IF($A19="","",$Q19-$E$61-$F$61)</f>
        <v/>
      </c>
      <c r="V19" s="90" t="str">
        <f aca="false">IF($A19="","",4*$F19)</f>
        <v/>
      </c>
      <c r="W19" s="134" t="str">
        <f aca="false">IF($A19="","",$E19-$E$62-$F$62)</f>
        <v/>
      </c>
      <c r="X19" s="90" t="str">
        <f aca="false">IF($A19="","",2*$F19)</f>
        <v/>
      </c>
      <c r="Y19" s="134" t="str">
        <f aca="false">IF($A19="","",$C19-$E$63-$F$63)</f>
        <v/>
      </c>
      <c r="Z19" s="90" t="str">
        <f aca="false">IF($A19="","",2*$F19)</f>
        <v/>
      </c>
      <c r="AA19" s="134" t="str">
        <f aca="false">IF($A19="","",$D19-$E$64-$F$64)</f>
        <v/>
      </c>
      <c r="AB19" s="90" t="str">
        <f aca="false">IF($A19="","",1*$F19)</f>
        <v/>
      </c>
      <c r="AC19" s="134"/>
      <c r="AD19" s="90"/>
      <c r="AE19" s="134"/>
      <c r="AF19" s="90"/>
      <c r="AG19" s="135" t="str">
        <f aca="false">IF($A19="","",$O19-67-67)</f>
        <v/>
      </c>
      <c r="AH19" s="136" t="str">
        <f aca="false">IF($A19="","",$Q19-67-67)</f>
        <v/>
      </c>
      <c r="AI19" s="137" t="str">
        <f aca="false">IF($A19="","",2*$F19)</f>
        <v/>
      </c>
      <c r="AJ19" s="135" t="str">
        <f aca="false">IF($A19="","",$C19-24.5-37)</f>
        <v/>
      </c>
      <c r="AK19" s="136" t="str">
        <f aca="false">IF($A19="","",1*$F19)</f>
        <v/>
      </c>
      <c r="AL19" s="137" t="str">
        <f aca="false">IF($A19="","",1*$F19)</f>
        <v/>
      </c>
      <c r="AM19" s="1" t="str">
        <f aca="false">IF($A19="","",2*$F19)</f>
        <v/>
      </c>
      <c r="AN19" s="1" t="str">
        <f aca="false">IF($A19="","",2*2*$F19)</f>
        <v/>
      </c>
      <c r="AO19" s="1" t="str">
        <f aca="false">IF($A19="","",(2+IF($C19&gt;1800,ROUNDUP(($C19-1800)/500,0),0))*2*$F19)</f>
        <v/>
      </c>
      <c r="AP19" s="1" t="str">
        <f aca="false">IF($A19="","",(2+IF($C19&gt;1800,ROUNDUP(($C19-1800)/500,0),0))*2*$F19)</f>
        <v/>
      </c>
      <c r="AQ19" s="1" t="str">
        <f aca="false">IF($A19="","",4*2*$F19)</f>
        <v/>
      </c>
      <c r="AR19" s="1" t="str">
        <f aca="false">IF($A19="","",8*2*$F19)</f>
        <v/>
      </c>
      <c r="AS19" s="1" t="str">
        <f aca="false">IF($A19="","",8*$F19)</f>
        <v/>
      </c>
      <c r="AT19" s="1" t="str">
        <f aca="false">IF($A19="","",ROUND((2*($E19/2+$C19))*2*$F19/1000,1))</f>
        <v/>
      </c>
      <c r="AU19" s="1" t="str">
        <f aca="false">IF($A19="","",ROUND((2*($E19+$B19))*$F19/1000,1))</f>
        <v/>
      </c>
    </row>
    <row r="20" customFormat="false" ht="39.75" hidden="false" customHeight="true" outlineLevel="0" collapsed="false">
      <c r="A20" s="88"/>
      <c r="B20" s="89"/>
      <c r="C20" s="148"/>
      <c r="D20" s="149" t="str">
        <f aca="false">IF($A20="","",$B20-$C20)</f>
        <v/>
      </c>
      <c r="E20" s="90"/>
      <c r="F20" s="91"/>
      <c r="G20" s="139" t="str">
        <f aca="false">IF($A20="","",$B20)</f>
        <v/>
      </c>
      <c r="H20" s="140" t="str">
        <f aca="false">IF($A20="","",2*$F20)</f>
        <v/>
      </c>
      <c r="I20" s="139" t="str">
        <f aca="false">IF($A20="","",$E20-$E$55-$F$55)</f>
        <v/>
      </c>
      <c r="J20" s="140" t="str">
        <f aca="false">IF($A20="","",1*$F20)</f>
        <v/>
      </c>
      <c r="K20" s="139" t="str">
        <f aca="false">IF($A20="","",$I20)</f>
        <v/>
      </c>
      <c r="L20" s="140" t="str">
        <f aca="false">IF($A20="","",1*$F20)</f>
        <v/>
      </c>
      <c r="M20" s="139" t="str">
        <f aca="false">IF($A20="","",$I20)</f>
        <v/>
      </c>
      <c r="N20" s="140" t="str">
        <f aca="false">IF($A20="","",1*$F20)</f>
        <v/>
      </c>
      <c r="O20" s="139" t="str">
        <f aca="false">IF($A20="","",$D20-$E$58-$F$58)</f>
        <v/>
      </c>
      <c r="P20" s="140" t="str">
        <f aca="false">IF($A20="","",4*$F20)</f>
        <v/>
      </c>
      <c r="Q20" s="139" t="str">
        <f aca="false">IF($A20="","",(($E20-$E$59-$F$59-$G$59)/2))</f>
        <v/>
      </c>
      <c r="R20" s="140" t="str">
        <f aca="false">IF($A20="","",4*$F20)</f>
        <v/>
      </c>
      <c r="S20" s="139" t="str">
        <f aca="false">IF($A20="","",$O20-$E$60-$F$60)</f>
        <v/>
      </c>
      <c r="T20" s="140" t="str">
        <f aca="false">IF($A20="","",4*$F20)</f>
        <v/>
      </c>
      <c r="U20" s="139" t="str">
        <f aca="false">IF($A20="","",$Q20-$E$61-$F$61)</f>
        <v/>
      </c>
      <c r="V20" s="140" t="str">
        <f aca="false">IF($A20="","",4*$F20)</f>
        <v/>
      </c>
      <c r="W20" s="139" t="str">
        <f aca="false">IF($A20="","",$E20-$E$62-$F$62)</f>
        <v/>
      </c>
      <c r="X20" s="140" t="str">
        <f aca="false">IF($A20="","",2*$F20)</f>
        <v/>
      </c>
      <c r="Y20" s="139" t="str">
        <f aca="false">IF($A20="","",$C20-$E$63-$F$63)</f>
        <v/>
      </c>
      <c r="Z20" s="140" t="str">
        <f aca="false">IF($A20="","",2*$F20)</f>
        <v/>
      </c>
      <c r="AA20" s="139" t="str">
        <f aca="false">IF($A20="","",$D20-$E$64-$F$64)</f>
        <v/>
      </c>
      <c r="AB20" s="140" t="str">
        <f aca="false">IF($A20="","",1*$F20)</f>
        <v/>
      </c>
      <c r="AC20" s="139"/>
      <c r="AD20" s="140"/>
      <c r="AE20" s="139"/>
      <c r="AF20" s="140"/>
      <c r="AG20" s="135" t="str">
        <f aca="false">IF($A20="","",$O20-67-67)</f>
        <v/>
      </c>
      <c r="AH20" s="136" t="str">
        <f aca="false">IF($A20="","",$Q20-67-67)</f>
        <v/>
      </c>
      <c r="AI20" s="137" t="str">
        <f aca="false">IF($A20="","",2*$F20)</f>
        <v/>
      </c>
      <c r="AJ20" s="135" t="str">
        <f aca="false">IF($A20="","",$C20-24.5-37)</f>
        <v/>
      </c>
      <c r="AK20" s="136" t="str">
        <f aca="false">IF($A20="","",1*$F20)</f>
        <v/>
      </c>
      <c r="AL20" s="137" t="str">
        <f aca="false">IF($A20="","",1*$F20)</f>
        <v/>
      </c>
      <c r="AM20" s="1" t="str">
        <f aca="false">IF($A20="","",2*$F20)</f>
        <v/>
      </c>
      <c r="AN20" s="1" t="str">
        <f aca="false">IF($A20="","",2*2*$F20)</f>
        <v/>
      </c>
      <c r="AO20" s="1" t="str">
        <f aca="false">IF($A20="","",(2+IF($C20&gt;1800,ROUNDUP(($C20-1800)/500,0),0))*2*$F20)</f>
        <v/>
      </c>
      <c r="AP20" s="1" t="str">
        <f aca="false">IF($A20="","",(2+IF($C20&gt;1800,ROUNDUP(($C20-1800)/500,0),0))*2*$F20)</f>
        <v/>
      </c>
      <c r="AQ20" s="1" t="str">
        <f aca="false">IF($A20="","",4*2*$F20)</f>
        <v/>
      </c>
      <c r="AR20" s="1" t="str">
        <f aca="false">IF($A20="","",8*2*$F20)</f>
        <v/>
      </c>
      <c r="AS20" s="1" t="str">
        <f aca="false">IF($A20="","",8*$F20)</f>
        <v/>
      </c>
      <c r="AT20" s="1" t="str">
        <f aca="false">IF($A20="","",ROUND((2*($E20/2+$C20))*2*$F20/1000,1))</f>
        <v/>
      </c>
      <c r="AU20" s="1" t="str">
        <f aca="false">IF($A20="","",ROUND((2*($E20+$B20))*$F20/1000,1))</f>
        <v/>
      </c>
    </row>
    <row r="21" customFormat="false" ht="39.75" hidden="false" customHeight="true" outlineLevel="0" collapsed="false">
      <c r="A21" s="88"/>
      <c r="B21" s="89"/>
      <c r="C21" s="148"/>
      <c r="D21" s="149" t="str">
        <f aca="false">IF($A21="","",$B21-$C21)</f>
        <v/>
      </c>
      <c r="E21" s="90"/>
      <c r="F21" s="91"/>
      <c r="G21" s="134" t="str">
        <f aca="false">IF($A21="","",$B21)</f>
        <v/>
      </c>
      <c r="H21" s="90" t="str">
        <f aca="false">IF($A21="","",2*$F21)</f>
        <v/>
      </c>
      <c r="I21" s="134" t="str">
        <f aca="false">IF($A21="","",$E21-$E$55-$F$55)</f>
        <v/>
      </c>
      <c r="J21" s="90" t="str">
        <f aca="false">IF($A21="","",1*$F21)</f>
        <v/>
      </c>
      <c r="K21" s="134" t="str">
        <f aca="false">IF($A21="","",$I21)</f>
        <v/>
      </c>
      <c r="L21" s="90" t="str">
        <f aca="false">IF($A21="","",1*$F21)</f>
        <v/>
      </c>
      <c r="M21" s="134" t="str">
        <f aca="false">IF($A21="","",$I21)</f>
        <v/>
      </c>
      <c r="N21" s="90" t="str">
        <f aca="false">IF($A21="","",1*$F21)</f>
        <v/>
      </c>
      <c r="O21" s="134" t="str">
        <f aca="false">IF($A21="","",$D21-$E$58-$F$58)</f>
        <v/>
      </c>
      <c r="P21" s="90" t="str">
        <f aca="false">IF($A21="","",4*$F21)</f>
        <v/>
      </c>
      <c r="Q21" s="134" t="str">
        <f aca="false">IF($A21="","",(($E21-$E$59-$F$59-$G$59)/2))</f>
        <v/>
      </c>
      <c r="R21" s="90" t="str">
        <f aca="false">IF($A21="","",4*$F21)</f>
        <v/>
      </c>
      <c r="S21" s="134" t="str">
        <f aca="false">IF($A21="","",$O21-$E$60-$F$60)</f>
        <v/>
      </c>
      <c r="T21" s="90" t="str">
        <f aca="false">IF($A21="","",4*$F21)</f>
        <v/>
      </c>
      <c r="U21" s="134" t="str">
        <f aca="false">IF($A21="","",$Q21-$E$61-$F$61)</f>
        <v/>
      </c>
      <c r="V21" s="90" t="str">
        <f aca="false">IF($A21="","",4*$F21)</f>
        <v/>
      </c>
      <c r="W21" s="134" t="str">
        <f aca="false">IF($A21="","",$E21-$E$62-$F$62)</f>
        <v/>
      </c>
      <c r="X21" s="90" t="str">
        <f aca="false">IF($A21="","",2*$F21)</f>
        <v/>
      </c>
      <c r="Y21" s="134" t="str">
        <f aca="false">IF($A21="","",$C21-$E$63-$F$63)</f>
        <v/>
      </c>
      <c r="Z21" s="90" t="str">
        <f aca="false">IF($A21="","",2*$F21)</f>
        <v/>
      </c>
      <c r="AA21" s="134" t="str">
        <f aca="false">IF($A21="","",$D21-$E$64-$F$64)</f>
        <v/>
      </c>
      <c r="AB21" s="90" t="str">
        <f aca="false">IF($A21="","",1*$F21)</f>
        <v/>
      </c>
      <c r="AC21" s="134"/>
      <c r="AD21" s="90"/>
      <c r="AE21" s="134"/>
      <c r="AF21" s="90"/>
      <c r="AG21" s="135" t="str">
        <f aca="false">IF($A21="","",$O21-67-67)</f>
        <v/>
      </c>
      <c r="AH21" s="136" t="str">
        <f aca="false">IF($A21="","",$Q21-67-67)</f>
        <v/>
      </c>
      <c r="AI21" s="137" t="str">
        <f aca="false">IF($A21="","",2*$F21)</f>
        <v/>
      </c>
      <c r="AJ21" s="135" t="str">
        <f aca="false">IF($A21="","",$C21-24.5-37)</f>
        <v/>
      </c>
      <c r="AK21" s="136" t="str">
        <f aca="false">IF($A21="","",1*$F21)</f>
        <v/>
      </c>
      <c r="AL21" s="137" t="str">
        <f aca="false">IF($A21="","",1*$F21)</f>
        <v/>
      </c>
      <c r="AM21" s="1" t="str">
        <f aca="false">IF($A21="","",2*$F21)</f>
        <v/>
      </c>
      <c r="AN21" s="1" t="str">
        <f aca="false">IF($A21="","",2*2*$F21)</f>
        <v/>
      </c>
      <c r="AO21" s="1" t="str">
        <f aca="false">IF($A21="","",(2+IF($C21&gt;1800,ROUNDUP(($C21-1800)/500,0),0))*2*$F21)</f>
        <v/>
      </c>
      <c r="AP21" s="1" t="str">
        <f aca="false">IF($A21="","",(2+IF($C21&gt;1800,ROUNDUP(($C21-1800)/500,0),0))*2*$F21)</f>
        <v/>
      </c>
      <c r="AQ21" s="1" t="str">
        <f aca="false">IF($A21="","",4*2*$F21)</f>
        <v/>
      </c>
      <c r="AR21" s="1" t="str">
        <f aca="false">IF($A21="","",8*2*$F21)</f>
        <v/>
      </c>
      <c r="AS21" s="1" t="str">
        <f aca="false">IF($A21="","",8*$F21)</f>
        <v/>
      </c>
      <c r="AT21" s="1" t="str">
        <f aca="false">IF($A21="","",ROUND((2*($E21/2+$C21))*2*$F21/1000,1))</f>
        <v/>
      </c>
      <c r="AU21" s="1" t="str">
        <f aca="false">IF($A21="","",ROUND((2*($E21+$B21))*$F21/1000,1))</f>
        <v/>
      </c>
    </row>
    <row r="22" customFormat="false" ht="39.75" hidden="false" customHeight="true" outlineLevel="0" collapsed="false">
      <c r="A22" s="88"/>
      <c r="B22" s="89"/>
      <c r="C22" s="148"/>
      <c r="D22" s="149" t="str">
        <f aca="false">IF($A22="","",$B22-$C22)</f>
        <v/>
      </c>
      <c r="E22" s="90"/>
      <c r="F22" s="91"/>
      <c r="G22" s="139" t="str">
        <f aca="false">IF($A22="","",$B22)</f>
        <v/>
      </c>
      <c r="H22" s="140" t="str">
        <f aca="false">IF($A22="","",2*$F22)</f>
        <v/>
      </c>
      <c r="I22" s="139" t="str">
        <f aca="false">IF($A22="","",$E22-$E$55-$F$55)</f>
        <v/>
      </c>
      <c r="J22" s="140" t="str">
        <f aca="false">IF($A22="","",1*$F22)</f>
        <v/>
      </c>
      <c r="K22" s="139" t="str">
        <f aca="false">IF($A22="","",$I22)</f>
        <v/>
      </c>
      <c r="L22" s="140" t="str">
        <f aca="false">IF($A22="","",1*$F22)</f>
        <v/>
      </c>
      <c r="M22" s="139" t="str">
        <f aca="false">IF($A22="","",$I22)</f>
        <v/>
      </c>
      <c r="N22" s="140" t="str">
        <f aca="false">IF($A22="","",1*$F22)</f>
        <v/>
      </c>
      <c r="O22" s="139" t="str">
        <f aca="false">IF($A22="","",$D22-$E$58-$F$58)</f>
        <v/>
      </c>
      <c r="P22" s="140" t="str">
        <f aca="false">IF($A22="","",4*$F22)</f>
        <v/>
      </c>
      <c r="Q22" s="139" t="str">
        <f aca="false">IF($A22="","",(($E22-$E$59-$F$59-$G$59)/2))</f>
        <v/>
      </c>
      <c r="R22" s="140" t="str">
        <f aca="false">IF($A22="","",4*$F22)</f>
        <v/>
      </c>
      <c r="S22" s="139" t="str">
        <f aca="false">IF($A22="","",$O22-$E$60-$F$60)</f>
        <v/>
      </c>
      <c r="T22" s="140" t="str">
        <f aca="false">IF($A22="","",4*$F22)</f>
        <v/>
      </c>
      <c r="U22" s="139" t="str">
        <f aca="false">IF($A22="","",$Q22-$E$61-$F$61)</f>
        <v/>
      </c>
      <c r="V22" s="140" t="str">
        <f aca="false">IF($A22="","",4*$F22)</f>
        <v/>
      </c>
      <c r="W22" s="139" t="str">
        <f aca="false">IF($A22="","",$E22-$E$62-$F$62)</f>
        <v/>
      </c>
      <c r="X22" s="140" t="str">
        <f aca="false">IF($A22="","",2*$F22)</f>
        <v/>
      </c>
      <c r="Y22" s="139" t="str">
        <f aca="false">IF($A22="","",$C22-$E$63-$F$63)</f>
        <v/>
      </c>
      <c r="Z22" s="140" t="str">
        <f aca="false">IF($A22="","",2*$F22)</f>
        <v/>
      </c>
      <c r="AA22" s="139" t="str">
        <f aca="false">IF($A22="","",$D22-$E$64-$F$64)</f>
        <v/>
      </c>
      <c r="AB22" s="140" t="str">
        <f aca="false">IF($A22="","",1*$F22)</f>
        <v/>
      </c>
      <c r="AC22" s="139"/>
      <c r="AD22" s="140"/>
      <c r="AE22" s="139"/>
      <c r="AF22" s="140"/>
      <c r="AG22" s="135" t="str">
        <f aca="false">IF($A22="","",$O22-67-67)</f>
        <v/>
      </c>
      <c r="AH22" s="136" t="str">
        <f aca="false">IF($A22="","",$Q22-67-67)</f>
        <v/>
      </c>
      <c r="AI22" s="137" t="str">
        <f aca="false">IF($A22="","",2*$F22)</f>
        <v/>
      </c>
      <c r="AJ22" s="135" t="str">
        <f aca="false">IF($A22="","",$C22-24.5-37)</f>
        <v/>
      </c>
      <c r="AK22" s="136" t="str">
        <f aca="false">IF($A22="","",1*$F22)</f>
        <v/>
      </c>
      <c r="AL22" s="137" t="str">
        <f aca="false">IF($A22="","",1*$F22)</f>
        <v/>
      </c>
      <c r="AM22" s="1" t="str">
        <f aca="false">IF($A22="","",2*$F22)</f>
        <v/>
      </c>
      <c r="AN22" s="1" t="str">
        <f aca="false">IF($A22="","",2*2*$F22)</f>
        <v/>
      </c>
      <c r="AO22" s="1" t="str">
        <f aca="false">IF($A22="","",(2+IF($C22&gt;1800,ROUNDUP(($C22-1800)/500,0),0))*2*$F22)</f>
        <v/>
      </c>
      <c r="AP22" s="1" t="str">
        <f aca="false">IF($A22="","",(2+IF($C22&gt;1800,ROUNDUP(($C22-1800)/500,0),0))*2*$F22)</f>
        <v/>
      </c>
      <c r="AQ22" s="1" t="str">
        <f aca="false">IF($A22="","",4*2*$F22)</f>
        <v/>
      </c>
      <c r="AR22" s="1" t="str">
        <f aca="false">IF($A22="","",8*2*$F22)</f>
        <v/>
      </c>
      <c r="AS22" s="1" t="str">
        <f aca="false">IF($A22="","",8*$F22)</f>
        <v/>
      </c>
      <c r="AT22" s="1" t="str">
        <f aca="false">IF($A22="","",ROUND((2*($E22/2+$C22))*2*$F22/1000,1))</f>
        <v/>
      </c>
      <c r="AU22" s="1" t="str">
        <f aca="false">IF($A22="","",ROUND((2*($E22+$B22))*$F22/1000,1))</f>
        <v/>
      </c>
    </row>
    <row r="23" customFormat="false" ht="39.75" hidden="false" customHeight="true" outlineLevel="0" collapsed="false">
      <c r="A23" s="88"/>
      <c r="B23" s="89"/>
      <c r="C23" s="148"/>
      <c r="D23" s="149" t="str">
        <f aca="false">IF($A23="","",$B23-$C23)</f>
        <v/>
      </c>
      <c r="E23" s="90"/>
      <c r="F23" s="91"/>
      <c r="G23" s="134" t="str">
        <f aca="false">IF($A23="","",$B23)</f>
        <v/>
      </c>
      <c r="H23" s="90" t="str">
        <f aca="false">IF($A23="","",2*$F23)</f>
        <v/>
      </c>
      <c r="I23" s="134" t="str">
        <f aca="false">IF($A23="","",$E23-$E$55-$F$55)</f>
        <v/>
      </c>
      <c r="J23" s="90" t="str">
        <f aca="false">IF($A23="","",1*$F23)</f>
        <v/>
      </c>
      <c r="K23" s="134" t="str">
        <f aca="false">IF($A23="","",$I23)</f>
        <v/>
      </c>
      <c r="L23" s="90" t="str">
        <f aca="false">IF($A23="","",1*$F23)</f>
        <v/>
      </c>
      <c r="M23" s="134" t="str">
        <f aca="false">IF($A23="","",$I23)</f>
        <v/>
      </c>
      <c r="N23" s="90" t="str">
        <f aca="false">IF($A23="","",1*$F23)</f>
        <v/>
      </c>
      <c r="O23" s="134" t="str">
        <f aca="false">IF($A23="","",$D23-$E$58-$F$58)</f>
        <v/>
      </c>
      <c r="P23" s="90" t="str">
        <f aca="false">IF($A23="","",4*$F23)</f>
        <v/>
      </c>
      <c r="Q23" s="134" t="str">
        <f aca="false">IF($A23="","",(($E23-$E$59-$F$59-$G$59)/2))</f>
        <v/>
      </c>
      <c r="R23" s="90" t="str">
        <f aca="false">IF($A23="","",4*$F23)</f>
        <v/>
      </c>
      <c r="S23" s="134" t="str">
        <f aca="false">IF($A23="","",$O23-$E$60-$F$60)</f>
        <v/>
      </c>
      <c r="T23" s="90" t="str">
        <f aca="false">IF($A23="","",4*$F23)</f>
        <v/>
      </c>
      <c r="U23" s="134" t="str">
        <f aca="false">IF($A23="","",$Q23-$E$61-$F$61)</f>
        <v/>
      </c>
      <c r="V23" s="90" t="str">
        <f aca="false">IF($A23="","",4*$F23)</f>
        <v/>
      </c>
      <c r="W23" s="134" t="str">
        <f aca="false">IF($A23="","",$E23-$E$62-$F$62)</f>
        <v/>
      </c>
      <c r="X23" s="90" t="str">
        <f aca="false">IF($A23="","",2*$F23)</f>
        <v/>
      </c>
      <c r="Y23" s="134" t="str">
        <f aca="false">IF($A23="","",$C23-$E$63-$F$63)</f>
        <v/>
      </c>
      <c r="Z23" s="90" t="str">
        <f aca="false">IF($A23="","",2*$F23)</f>
        <v/>
      </c>
      <c r="AA23" s="134" t="str">
        <f aca="false">IF($A23="","",$D23-$E$64-$F$64)</f>
        <v/>
      </c>
      <c r="AB23" s="90" t="str">
        <f aca="false">IF($A23="","",1*$F23)</f>
        <v/>
      </c>
      <c r="AC23" s="134"/>
      <c r="AD23" s="90"/>
      <c r="AE23" s="134"/>
      <c r="AF23" s="90"/>
      <c r="AG23" s="135" t="str">
        <f aca="false">IF($A23="","",$O23-67-67)</f>
        <v/>
      </c>
      <c r="AH23" s="136" t="str">
        <f aca="false">IF($A23="","",$Q23-67-67)</f>
        <v/>
      </c>
      <c r="AI23" s="137" t="str">
        <f aca="false">IF($A23="","",2*$F23)</f>
        <v/>
      </c>
      <c r="AJ23" s="135" t="str">
        <f aca="false">IF($A23="","",$C23-24.5-37)</f>
        <v/>
      </c>
      <c r="AK23" s="136" t="str">
        <f aca="false">IF($A23="","",1*$F23)</f>
        <v/>
      </c>
      <c r="AL23" s="137" t="str">
        <f aca="false">IF($A23="","",1*$F23)</f>
        <v/>
      </c>
      <c r="AM23" s="1" t="str">
        <f aca="false">IF($A23="","",2*$F23)</f>
        <v/>
      </c>
      <c r="AN23" s="1" t="str">
        <f aca="false">IF($A23="","",2*2*$F23)</f>
        <v/>
      </c>
      <c r="AO23" s="1" t="str">
        <f aca="false">IF($A23="","",(2+IF($C23&gt;1800,ROUNDUP(($C23-1800)/500,0),0))*2*$F23)</f>
        <v/>
      </c>
      <c r="AP23" s="1" t="str">
        <f aca="false">IF($A23="","",(2+IF($C23&gt;1800,ROUNDUP(($C23-1800)/500,0),0))*2*$F23)</f>
        <v/>
      </c>
      <c r="AQ23" s="1" t="str">
        <f aca="false">IF($A23="","",4*2*$F23)</f>
        <v/>
      </c>
      <c r="AR23" s="1" t="str">
        <f aca="false">IF($A23="","",8*2*$F23)</f>
        <v/>
      </c>
      <c r="AS23" s="1" t="str">
        <f aca="false">IF($A23="","",8*$F23)</f>
        <v/>
      </c>
      <c r="AT23" s="1" t="str">
        <f aca="false">IF($A23="","",ROUND((2*($E23/2+$C23))*2*$F23/1000,1))</f>
        <v/>
      </c>
      <c r="AU23" s="1" t="str">
        <f aca="false">IF($A23="","",ROUND((2*($E23+$B23))*$F23/1000,1))</f>
        <v/>
      </c>
    </row>
    <row r="24" customFormat="false" ht="39.75" hidden="false" customHeight="true" outlineLevel="0" collapsed="false">
      <c r="A24" s="88"/>
      <c r="B24" s="89"/>
      <c r="C24" s="148"/>
      <c r="D24" s="149" t="str">
        <f aca="false">IF($A24="","",$B24-$C24)</f>
        <v/>
      </c>
      <c r="E24" s="90"/>
      <c r="F24" s="91"/>
      <c r="G24" s="139" t="str">
        <f aca="false">IF($A24="","",$B24)</f>
        <v/>
      </c>
      <c r="H24" s="140" t="str">
        <f aca="false">IF($A24="","",2*$F24)</f>
        <v/>
      </c>
      <c r="I24" s="139" t="str">
        <f aca="false">IF($A24="","",$E24-$E$55-$F$55)</f>
        <v/>
      </c>
      <c r="J24" s="140" t="str">
        <f aca="false">IF($A24="","",1*$F24)</f>
        <v/>
      </c>
      <c r="K24" s="139" t="str">
        <f aca="false">IF($A24="","",$I24)</f>
        <v/>
      </c>
      <c r="L24" s="140" t="str">
        <f aca="false">IF($A24="","",1*$F24)</f>
        <v/>
      </c>
      <c r="M24" s="139" t="str">
        <f aca="false">IF($A24="","",$I24)</f>
        <v/>
      </c>
      <c r="N24" s="140" t="str">
        <f aca="false">IF($A24="","",1*$F24)</f>
        <v/>
      </c>
      <c r="O24" s="139" t="str">
        <f aca="false">IF($A24="","",$D24-$E$58-$F$58)</f>
        <v/>
      </c>
      <c r="P24" s="140" t="str">
        <f aca="false">IF($A24="","",4*$F24)</f>
        <v/>
      </c>
      <c r="Q24" s="139" t="str">
        <f aca="false">IF($A24="","",(($E24-$E$59-$F$59-$G$59)/2))</f>
        <v/>
      </c>
      <c r="R24" s="140" t="str">
        <f aca="false">IF($A24="","",4*$F24)</f>
        <v/>
      </c>
      <c r="S24" s="139" t="str">
        <f aca="false">IF($A24="","",$O24-$E$60-$F$60)</f>
        <v/>
      </c>
      <c r="T24" s="140" t="str">
        <f aca="false">IF($A24="","",4*$F24)</f>
        <v/>
      </c>
      <c r="U24" s="139" t="str">
        <f aca="false">IF($A24="","",$Q24-$E$61-$F$61)</f>
        <v/>
      </c>
      <c r="V24" s="140" t="str">
        <f aca="false">IF($A24="","",4*$F24)</f>
        <v/>
      </c>
      <c r="W24" s="139" t="str">
        <f aca="false">IF($A24="","",$E24-$E$62-$F$62)</f>
        <v/>
      </c>
      <c r="X24" s="140" t="str">
        <f aca="false">IF($A24="","",2*$F24)</f>
        <v/>
      </c>
      <c r="Y24" s="139" t="str">
        <f aca="false">IF($A24="","",$C24-$E$63-$F$63)</f>
        <v/>
      </c>
      <c r="Z24" s="140" t="str">
        <f aca="false">IF($A24="","",2*$F24)</f>
        <v/>
      </c>
      <c r="AA24" s="139" t="str">
        <f aca="false">IF($A24="","",$D24-$E$64-$F$64)</f>
        <v/>
      </c>
      <c r="AB24" s="140" t="str">
        <f aca="false">IF($A24="","",1*$F24)</f>
        <v/>
      </c>
      <c r="AC24" s="139"/>
      <c r="AD24" s="140"/>
      <c r="AE24" s="139"/>
      <c r="AF24" s="140"/>
      <c r="AG24" s="135" t="str">
        <f aca="false">IF($A24="","",$O24-67-67)</f>
        <v/>
      </c>
      <c r="AH24" s="136" t="str">
        <f aca="false">IF($A24="","",$Q24-67-67)</f>
        <v/>
      </c>
      <c r="AI24" s="137" t="str">
        <f aca="false">IF($A24="","",2*$F24)</f>
        <v/>
      </c>
      <c r="AJ24" s="135" t="str">
        <f aca="false">IF($A24="","",$C24-24.5-37)</f>
        <v/>
      </c>
      <c r="AK24" s="136" t="str">
        <f aca="false">IF($A24="","",1*$F24)</f>
        <v/>
      </c>
      <c r="AL24" s="137" t="str">
        <f aca="false">IF($A24="","",1*$F24)</f>
        <v/>
      </c>
      <c r="AM24" s="1" t="str">
        <f aca="false">IF($A24="","",2*$F24)</f>
        <v/>
      </c>
      <c r="AN24" s="1" t="str">
        <f aca="false">IF($A24="","",2*2*$F24)</f>
        <v/>
      </c>
      <c r="AO24" s="1" t="str">
        <f aca="false">IF($A24="","",(2+IF($C24&gt;1800,ROUNDUP(($C24-1800)/500,0),0))*2*$F24)</f>
        <v/>
      </c>
      <c r="AP24" s="1" t="str">
        <f aca="false">IF($A24="","",(2+IF($C24&gt;1800,ROUNDUP(($C24-1800)/500,0),0))*2*$F24)</f>
        <v/>
      </c>
      <c r="AQ24" s="1" t="str">
        <f aca="false">IF($A24="","",4*2*$F24)</f>
        <v/>
      </c>
      <c r="AR24" s="1" t="str">
        <f aca="false">IF($A24="","",8*2*$F24)</f>
        <v/>
      </c>
      <c r="AS24" s="1" t="str">
        <f aca="false">IF($A24="","",8*$F24)</f>
        <v/>
      </c>
      <c r="AT24" s="1" t="str">
        <f aca="false">IF($A24="","",ROUND((2*($E24/2+$C24))*2*$F24/1000,1))</f>
        <v/>
      </c>
      <c r="AU24" s="1" t="str">
        <f aca="false">IF($A24="","",ROUND((2*($E24+$B24))*$F24/1000,1))</f>
        <v/>
      </c>
    </row>
    <row r="25" customFormat="false" ht="39.75" hidden="false" customHeight="true" outlineLevel="0" collapsed="false">
      <c r="A25" s="88"/>
      <c r="B25" s="89"/>
      <c r="C25" s="148"/>
      <c r="D25" s="149" t="str">
        <f aca="false">IF($A25="","",$B25-$C25)</f>
        <v/>
      </c>
      <c r="E25" s="90"/>
      <c r="F25" s="91"/>
      <c r="G25" s="134" t="str">
        <f aca="false">IF($A25="","",$B25)</f>
        <v/>
      </c>
      <c r="H25" s="90" t="str">
        <f aca="false">IF($A25="","",2*$F25)</f>
        <v/>
      </c>
      <c r="I25" s="134" t="str">
        <f aca="false">IF($A25="","",$E25-$E$55-$F$55)</f>
        <v/>
      </c>
      <c r="J25" s="90" t="str">
        <f aca="false">IF($A25="","",1*$F25)</f>
        <v/>
      </c>
      <c r="K25" s="134" t="str">
        <f aca="false">IF($A25="","",$I25)</f>
        <v/>
      </c>
      <c r="L25" s="90" t="str">
        <f aca="false">IF($A25="","",1*$F25)</f>
        <v/>
      </c>
      <c r="M25" s="134" t="str">
        <f aca="false">IF($A25="","",$I25)</f>
        <v/>
      </c>
      <c r="N25" s="90" t="str">
        <f aca="false">IF($A25="","",1*$F25)</f>
        <v/>
      </c>
      <c r="O25" s="134" t="str">
        <f aca="false">IF($A25="","",$D25-$E$58-$F$58)</f>
        <v/>
      </c>
      <c r="P25" s="90" t="str">
        <f aca="false">IF($A25="","",4*$F25)</f>
        <v/>
      </c>
      <c r="Q25" s="134" t="str">
        <f aca="false">IF($A25="","",(($E25-$E$59-$F$59-$G$59)/2))</f>
        <v/>
      </c>
      <c r="R25" s="90" t="str">
        <f aca="false">IF($A25="","",4*$F25)</f>
        <v/>
      </c>
      <c r="S25" s="134" t="str">
        <f aca="false">IF($A25="","",$O25-$E$60-$F$60)</f>
        <v/>
      </c>
      <c r="T25" s="90" t="str">
        <f aca="false">IF($A25="","",4*$F25)</f>
        <v/>
      </c>
      <c r="U25" s="134" t="str">
        <f aca="false">IF($A25="","",$Q25-$E$61-$F$61)</f>
        <v/>
      </c>
      <c r="V25" s="90" t="str">
        <f aca="false">IF($A25="","",4*$F25)</f>
        <v/>
      </c>
      <c r="W25" s="134" t="str">
        <f aca="false">IF($A25="","",$E25-$E$62-$F$62)</f>
        <v/>
      </c>
      <c r="X25" s="90" t="str">
        <f aca="false">IF($A25="","",2*$F25)</f>
        <v/>
      </c>
      <c r="Y25" s="134" t="str">
        <f aca="false">IF($A25="","",$C25-$E$63-$F$63)</f>
        <v/>
      </c>
      <c r="Z25" s="90" t="str">
        <f aca="false">IF($A25="","",2*$F25)</f>
        <v/>
      </c>
      <c r="AA25" s="134" t="str">
        <f aca="false">IF($A25="","",$D25-$E$64-$F$64)</f>
        <v/>
      </c>
      <c r="AB25" s="90" t="str">
        <f aca="false">IF($A25="","",1*$F25)</f>
        <v/>
      </c>
      <c r="AC25" s="134"/>
      <c r="AD25" s="90"/>
      <c r="AE25" s="134"/>
      <c r="AF25" s="90"/>
      <c r="AG25" s="135" t="str">
        <f aca="false">IF($A25="","",$O25-67-67)</f>
        <v/>
      </c>
      <c r="AH25" s="136" t="str">
        <f aca="false">IF($A25="","",$Q25-67-67)</f>
        <v/>
      </c>
      <c r="AI25" s="137" t="str">
        <f aca="false">IF($A25="","",2*$F25)</f>
        <v/>
      </c>
      <c r="AJ25" s="135" t="str">
        <f aca="false">IF($A25="","",$C25-24.5-37)</f>
        <v/>
      </c>
      <c r="AK25" s="136" t="str">
        <f aca="false">IF($A25="","",1*$F25)</f>
        <v/>
      </c>
      <c r="AL25" s="137" t="str">
        <f aca="false">IF($A25="","",1*$F25)</f>
        <v/>
      </c>
      <c r="AM25" s="1" t="str">
        <f aca="false">IF($A25="","",2*$F25)</f>
        <v/>
      </c>
      <c r="AN25" s="1" t="str">
        <f aca="false">IF($A25="","",2*2*$F25)</f>
        <v/>
      </c>
      <c r="AO25" s="1" t="str">
        <f aca="false">IF($A25="","",(2+IF($C25&gt;1800,ROUNDUP(($C25-1800)/500,0),0))*2*$F25)</f>
        <v/>
      </c>
      <c r="AP25" s="1" t="str">
        <f aca="false">IF($A25="","",(2+IF($C25&gt;1800,ROUNDUP(($C25-1800)/500,0),0))*2*$F25)</f>
        <v/>
      </c>
      <c r="AQ25" s="1" t="str">
        <f aca="false">IF($A25="","",4*2*$F25)</f>
        <v/>
      </c>
      <c r="AR25" s="1" t="str">
        <f aca="false">IF($A25="","",8*2*$F25)</f>
        <v/>
      </c>
      <c r="AS25" s="1" t="str">
        <f aca="false">IF($A25="","",8*$F25)</f>
        <v/>
      </c>
      <c r="AT25" s="1" t="str">
        <f aca="false">IF($A25="","",ROUND((2*($E25/2+$C25))*2*$F25/1000,1))</f>
        <v/>
      </c>
      <c r="AU25" s="1" t="str">
        <f aca="false">IF($A25="","",ROUND((2*($E25+$B25))*$F25/1000,1))</f>
        <v/>
      </c>
    </row>
    <row r="26" customFormat="false" ht="39.75" hidden="false" customHeight="true" outlineLevel="0" collapsed="false">
      <c r="A26" s="88"/>
      <c r="B26" s="89"/>
      <c r="C26" s="148"/>
      <c r="D26" s="149" t="str">
        <f aca="false">IF($A26="","",$B26-$C26)</f>
        <v/>
      </c>
      <c r="E26" s="90"/>
      <c r="F26" s="91"/>
      <c r="G26" s="139" t="str">
        <f aca="false">IF($A26="","",$B26)</f>
        <v/>
      </c>
      <c r="H26" s="140" t="str">
        <f aca="false">IF($A26="","",2*$F26)</f>
        <v/>
      </c>
      <c r="I26" s="139" t="str">
        <f aca="false">IF($A26="","",$E26-$E$55-$F$55)</f>
        <v/>
      </c>
      <c r="J26" s="140" t="str">
        <f aca="false">IF($A26="","",1*$F26)</f>
        <v/>
      </c>
      <c r="K26" s="139" t="str">
        <f aca="false">IF($A26="","",$I26)</f>
        <v/>
      </c>
      <c r="L26" s="140" t="str">
        <f aca="false">IF($A26="","",1*$F26)</f>
        <v/>
      </c>
      <c r="M26" s="139" t="str">
        <f aca="false">IF($A26="","",$I26)</f>
        <v/>
      </c>
      <c r="N26" s="140" t="str">
        <f aca="false">IF($A26="","",1*$F26)</f>
        <v/>
      </c>
      <c r="O26" s="139" t="str">
        <f aca="false">IF($A26="","",$D26-$E$58-$F$58)</f>
        <v/>
      </c>
      <c r="P26" s="140" t="str">
        <f aca="false">IF($A26="","",4*$F26)</f>
        <v/>
      </c>
      <c r="Q26" s="139" t="str">
        <f aca="false">IF($A26="","",(($E26-$E$59-$F$59-$G$59)/2))</f>
        <v/>
      </c>
      <c r="R26" s="140" t="str">
        <f aca="false">IF($A26="","",4*$F26)</f>
        <v/>
      </c>
      <c r="S26" s="139" t="str">
        <f aca="false">IF($A26="","",$O26-$E$60-$F$60)</f>
        <v/>
      </c>
      <c r="T26" s="140" t="str">
        <f aca="false">IF($A26="","",4*$F26)</f>
        <v/>
      </c>
      <c r="U26" s="139" t="str">
        <f aca="false">IF($A26="","",$Q26-$E$61-$F$61)</f>
        <v/>
      </c>
      <c r="V26" s="140" t="str">
        <f aca="false">IF($A26="","",4*$F26)</f>
        <v/>
      </c>
      <c r="W26" s="139" t="str">
        <f aca="false">IF($A26="","",$E26-$E$62-$F$62)</f>
        <v/>
      </c>
      <c r="X26" s="140" t="str">
        <f aca="false">IF($A26="","",2*$F26)</f>
        <v/>
      </c>
      <c r="Y26" s="139" t="str">
        <f aca="false">IF($A26="","",$C26-$E$63-$F$63)</f>
        <v/>
      </c>
      <c r="Z26" s="140" t="str">
        <f aca="false">IF($A26="","",2*$F26)</f>
        <v/>
      </c>
      <c r="AA26" s="139" t="str">
        <f aca="false">IF($A26="","",$D26-$E$64-$F$64)</f>
        <v/>
      </c>
      <c r="AB26" s="140" t="str">
        <f aca="false">IF($A26="","",1*$F26)</f>
        <v/>
      </c>
      <c r="AC26" s="139"/>
      <c r="AD26" s="140"/>
      <c r="AE26" s="139"/>
      <c r="AF26" s="140"/>
      <c r="AG26" s="135" t="str">
        <f aca="false">IF($A26="","",$O26-67-67)</f>
        <v/>
      </c>
      <c r="AH26" s="136" t="str">
        <f aca="false">IF($A26="","",$Q26-67-67)</f>
        <v/>
      </c>
      <c r="AI26" s="137" t="str">
        <f aca="false">IF($A26="","",2*$F26)</f>
        <v/>
      </c>
      <c r="AJ26" s="135" t="str">
        <f aca="false">IF($A26="","",$C26-24.5-37)</f>
        <v/>
      </c>
      <c r="AK26" s="136" t="str">
        <f aca="false">IF($A26="","",1*$F26)</f>
        <v/>
      </c>
      <c r="AL26" s="137" t="str">
        <f aca="false">IF($A26="","",1*$F26)</f>
        <v/>
      </c>
      <c r="AM26" s="1" t="str">
        <f aca="false">IF($A26="","",2*$F26)</f>
        <v/>
      </c>
      <c r="AN26" s="1" t="str">
        <f aca="false">IF($A26="","",2*2*$F26)</f>
        <v/>
      </c>
      <c r="AO26" s="1" t="str">
        <f aca="false">IF($A26="","",(2+IF($C26&gt;1800,ROUNDUP(($C26-1800)/500,0),0))*2*$F26)</f>
        <v/>
      </c>
      <c r="AP26" s="1" t="str">
        <f aca="false">IF($A26="","",(2+IF($C26&gt;1800,ROUNDUP(($C26-1800)/500,0),0))*2*$F26)</f>
        <v/>
      </c>
      <c r="AQ26" s="1" t="str">
        <f aca="false">IF($A26="","",4*2*$F26)</f>
        <v/>
      </c>
      <c r="AR26" s="1" t="str">
        <f aca="false">IF($A26="","",8*2*$F26)</f>
        <v/>
      </c>
      <c r="AS26" s="1" t="str">
        <f aca="false">IF($A26="","",8*$F26)</f>
        <v/>
      </c>
      <c r="AT26" s="1" t="str">
        <f aca="false">IF($A26="","",ROUND((2*($E26/2+$C26))*2*$F26/1000,1))</f>
        <v/>
      </c>
      <c r="AU26" s="1" t="str">
        <f aca="false">IF($A26="","",ROUND((2*($E26+$B26))*$F26/1000,1))</f>
        <v/>
      </c>
    </row>
    <row r="27" customFormat="false" ht="39.75" hidden="false" customHeight="true" outlineLevel="0" collapsed="false">
      <c r="A27" s="88"/>
      <c r="B27" s="89"/>
      <c r="C27" s="148"/>
      <c r="D27" s="149" t="str">
        <f aca="false">IF($A27="","",$B27-$C27)</f>
        <v/>
      </c>
      <c r="E27" s="90"/>
      <c r="F27" s="91"/>
      <c r="G27" s="134" t="str">
        <f aca="false">IF($A27="","",$B27)</f>
        <v/>
      </c>
      <c r="H27" s="90" t="str">
        <f aca="false">IF($A27="","",2*$F27)</f>
        <v/>
      </c>
      <c r="I27" s="134" t="str">
        <f aca="false">IF($A27="","",$E27-$E$55-$F$55)</f>
        <v/>
      </c>
      <c r="J27" s="90" t="str">
        <f aca="false">IF($A27="","",1*$F27)</f>
        <v/>
      </c>
      <c r="K27" s="134" t="str">
        <f aca="false">IF($A27="","",$I27)</f>
        <v/>
      </c>
      <c r="L27" s="90" t="str">
        <f aca="false">IF($A27="","",1*$F27)</f>
        <v/>
      </c>
      <c r="M27" s="134" t="str">
        <f aca="false">IF($A27="","",$I27)</f>
        <v/>
      </c>
      <c r="N27" s="90" t="str">
        <f aca="false">IF($A27="","",1*$F27)</f>
        <v/>
      </c>
      <c r="O27" s="134" t="str">
        <f aca="false">IF($A27="","",$D27-$E$58-$F$58)</f>
        <v/>
      </c>
      <c r="P27" s="90" t="str">
        <f aca="false">IF($A27="","",4*$F27)</f>
        <v/>
      </c>
      <c r="Q27" s="134" t="str">
        <f aca="false">IF($A27="","",(($E27-$E$59-$F$59-$G$59)/2))</f>
        <v/>
      </c>
      <c r="R27" s="90" t="str">
        <f aca="false">IF($A27="","",4*$F27)</f>
        <v/>
      </c>
      <c r="S27" s="134" t="str">
        <f aca="false">IF($A27="","",$O27-$E$60-$F$60)</f>
        <v/>
      </c>
      <c r="T27" s="90" t="str">
        <f aca="false">IF($A27="","",4*$F27)</f>
        <v/>
      </c>
      <c r="U27" s="134" t="str">
        <f aca="false">IF($A27="","",$Q27-$E$61-$F$61)</f>
        <v/>
      </c>
      <c r="V27" s="90" t="str">
        <f aca="false">IF($A27="","",4*$F27)</f>
        <v/>
      </c>
      <c r="W27" s="134" t="str">
        <f aca="false">IF($A27="","",$E27-$E$62-$F$62)</f>
        <v/>
      </c>
      <c r="X27" s="90" t="str">
        <f aca="false">IF($A27="","",2*$F27)</f>
        <v/>
      </c>
      <c r="Y27" s="134" t="str">
        <f aca="false">IF($A27="","",$C27-$E$63-$F$63)</f>
        <v/>
      </c>
      <c r="Z27" s="90" t="str">
        <f aca="false">IF($A27="","",2*$F27)</f>
        <v/>
      </c>
      <c r="AA27" s="134" t="str">
        <f aca="false">IF($A27="","",$D27-$E$64-$F$64)</f>
        <v/>
      </c>
      <c r="AB27" s="90" t="str">
        <f aca="false">IF($A27="","",1*$F27)</f>
        <v/>
      </c>
      <c r="AC27" s="134"/>
      <c r="AD27" s="90"/>
      <c r="AE27" s="134"/>
      <c r="AF27" s="90"/>
      <c r="AG27" s="135" t="str">
        <f aca="false">IF($A27="","",$O27-67-67)</f>
        <v/>
      </c>
      <c r="AH27" s="136" t="str">
        <f aca="false">IF($A27="","",$Q27-67-67)</f>
        <v/>
      </c>
      <c r="AI27" s="137" t="str">
        <f aca="false">IF($A27="","",2*$F27)</f>
        <v/>
      </c>
      <c r="AJ27" s="135" t="str">
        <f aca="false">IF($A27="","",$C27-24.5-37)</f>
        <v/>
      </c>
      <c r="AK27" s="136" t="str">
        <f aca="false">IF($A27="","",1*$F27)</f>
        <v/>
      </c>
      <c r="AL27" s="137" t="str">
        <f aca="false">IF($A27="","",1*$F27)</f>
        <v/>
      </c>
      <c r="AM27" s="1" t="str">
        <f aca="false">IF($A27="","",2*$F27)</f>
        <v/>
      </c>
      <c r="AN27" s="1" t="str">
        <f aca="false">IF($A27="","",2*2*$F27)</f>
        <v/>
      </c>
      <c r="AO27" s="1" t="str">
        <f aca="false">IF($A27="","",(2+IF($C27&gt;1800,ROUNDUP(($C27-1800)/500,0),0))*2*$F27)</f>
        <v/>
      </c>
      <c r="AP27" s="1" t="str">
        <f aca="false">IF($A27="","",(2+IF($C27&gt;1800,ROUNDUP(($C27-1800)/500,0),0))*2*$F27)</f>
        <v/>
      </c>
      <c r="AQ27" s="1" t="str">
        <f aca="false">IF($A27="","",4*2*$F27)</f>
        <v/>
      </c>
      <c r="AR27" s="1" t="str">
        <f aca="false">IF($A27="","",8*2*$F27)</f>
        <v/>
      </c>
      <c r="AS27" s="1" t="str">
        <f aca="false">IF($A27="","",8*$F27)</f>
        <v/>
      </c>
      <c r="AT27" s="1" t="str">
        <f aca="false">IF($A27="","",ROUND((2*($E27/2+$C27))*2*$F27/1000,1))</f>
        <v/>
      </c>
      <c r="AU27" s="1" t="str">
        <f aca="false">IF($A27="","",ROUND((2*($E27+$B27))*$F27/1000,1))</f>
        <v/>
      </c>
    </row>
    <row r="28" customFormat="false" ht="39.75" hidden="false" customHeight="true" outlineLevel="0" collapsed="false">
      <c r="A28" s="88"/>
      <c r="B28" s="89"/>
      <c r="C28" s="148"/>
      <c r="D28" s="149" t="str">
        <f aca="false">IF($A28="","",$B28-$C28)</f>
        <v/>
      </c>
      <c r="E28" s="90"/>
      <c r="F28" s="91"/>
      <c r="G28" s="139" t="str">
        <f aca="false">IF($A28="","",$B28)</f>
        <v/>
      </c>
      <c r="H28" s="140" t="str">
        <f aca="false">IF($A28="","",2*$F28)</f>
        <v/>
      </c>
      <c r="I28" s="139" t="str">
        <f aca="false">IF($A28="","",$E28-$E$55-$F$55)</f>
        <v/>
      </c>
      <c r="J28" s="140" t="str">
        <f aca="false">IF($A28="","",1*$F28)</f>
        <v/>
      </c>
      <c r="K28" s="139" t="str">
        <f aca="false">IF($A28="","",$I28)</f>
        <v/>
      </c>
      <c r="L28" s="140" t="str">
        <f aca="false">IF($A28="","",1*$F28)</f>
        <v/>
      </c>
      <c r="M28" s="139" t="str">
        <f aca="false">IF($A28="","",$I28)</f>
        <v/>
      </c>
      <c r="N28" s="140" t="str">
        <f aca="false">IF($A28="","",1*$F28)</f>
        <v/>
      </c>
      <c r="O28" s="139" t="str">
        <f aca="false">IF($A28="","",$D28-$E$58-$F$58)</f>
        <v/>
      </c>
      <c r="P28" s="140" t="str">
        <f aca="false">IF($A28="","",4*$F28)</f>
        <v/>
      </c>
      <c r="Q28" s="139" t="str">
        <f aca="false">IF($A28="","",(($E28-$E$59-$F$59-$G$59)/2))</f>
        <v/>
      </c>
      <c r="R28" s="140" t="str">
        <f aca="false">IF($A28="","",4*$F28)</f>
        <v/>
      </c>
      <c r="S28" s="139" t="str">
        <f aca="false">IF($A28="","",$O28-$E$60-$F$60)</f>
        <v/>
      </c>
      <c r="T28" s="140" t="str">
        <f aca="false">IF($A28="","",4*$F28)</f>
        <v/>
      </c>
      <c r="U28" s="139" t="str">
        <f aca="false">IF($A28="","",$Q28-$E$61-$F$61)</f>
        <v/>
      </c>
      <c r="V28" s="140" t="str">
        <f aca="false">IF($A28="","",4*$F28)</f>
        <v/>
      </c>
      <c r="W28" s="139" t="str">
        <f aca="false">IF($A28="","",$E28-$E$62-$F$62)</f>
        <v/>
      </c>
      <c r="X28" s="140" t="str">
        <f aca="false">IF($A28="","",2*$F28)</f>
        <v/>
      </c>
      <c r="Y28" s="139" t="str">
        <f aca="false">IF($A28="","",$C28-$E$63-$F$63)</f>
        <v/>
      </c>
      <c r="Z28" s="140" t="str">
        <f aca="false">IF($A28="","",2*$F28)</f>
        <v/>
      </c>
      <c r="AA28" s="139" t="str">
        <f aca="false">IF($A28="","",$D28-$E$64-$F$64)</f>
        <v/>
      </c>
      <c r="AB28" s="140" t="str">
        <f aca="false">IF($A28="","",1*$F28)</f>
        <v/>
      </c>
      <c r="AC28" s="139"/>
      <c r="AD28" s="140"/>
      <c r="AE28" s="139"/>
      <c r="AF28" s="140"/>
      <c r="AG28" s="135" t="str">
        <f aca="false">IF($A28="","",$O28-67-67)</f>
        <v/>
      </c>
      <c r="AH28" s="136" t="str">
        <f aca="false">IF($A28="","",$Q28-67-67)</f>
        <v/>
      </c>
      <c r="AI28" s="137" t="str">
        <f aca="false">IF($A28="","",2*$F28)</f>
        <v/>
      </c>
      <c r="AJ28" s="135" t="str">
        <f aca="false">IF($A28="","",$C28-24.5-37)</f>
        <v/>
      </c>
      <c r="AK28" s="136" t="str">
        <f aca="false">IF($A28="","",1*$F28)</f>
        <v/>
      </c>
      <c r="AL28" s="137" t="str">
        <f aca="false">IF($A28="","",1*$F28)</f>
        <v/>
      </c>
      <c r="AM28" s="1" t="str">
        <f aca="false">IF($A28="","",2*$F28)</f>
        <v/>
      </c>
      <c r="AN28" s="1" t="str">
        <f aca="false">IF($A28="","",2*2*$F28)</f>
        <v/>
      </c>
      <c r="AO28" s="1" t="str">
        <f aca="false">IF($A28="","",(2+IF($C28&gt;1800,ROUNDUP(($C28-1800)/500,0),0))*2*$F28)</f>
        <v/>
      </c>
      <c r="AP28" s="1" t="str">
        <f aca="false">IF($A28="","",(2+IF($C28&gt;1800,ROUNDUP(($C28-1800)/500,0),0))*2*$F28)</f>
        <v/>
      </c>
      <c r="AQ28" s="1" t="str">
        <f aca="false">IF($A28="","",4*2*$F28)</f>
        <v/>
      </c>
      <c r="AR28" s="1" t="str">
        <f aca="false">IF($A28="","",8*2*$F28)</f>
        <v/>
      </c>
      <c r="AS28" s="1" t="str">
        <f aca="false">IF($A28="","",8*$F28)</f>
        <v/>
      </c>
      <c r="AT28" s="1" t="str">
        <f aca="false">IF($A28="","",ROUND((2*($E28/2+$C28))*2*$F28/1000,1))</f>
        <v/>
      </c>
      <c r="AU28" s="1" t="str">
        <f aca="false">IF($A28="","",ROUND((2*($E28+$B28))*$F28/1000,1))</f>
        <v/>
      </c>
    </row>
    <row r="29" customFormat="false" ht="39.75" hidden="false" customHeight="true" outlineLevel="0" collapsed="false"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64"/>
      <c r="F30" s="64"/>
      <c r="G30" s="141" t="str">
        <f aca="false">G$7</f>
        <v>F7859</v>
      </c>
      <c r="H30" s="141"/>
      <c r="I30" s="141"/>
      <c r="J30" s="142" t="n">
        <f aca="false">(ROUNDUP(SUM(H49:J49)/6400,0))</f>
        <v>2</v>
      </c>
      <c r="K30" s="142" t="str">
        <f aca="false">K$7</f>
        <v>F7858</v>
      </c>
      <c r="L30" s="142" t="n">
        <f aca="false">(ROUNDUP(L49/6400,0))</f>
        <v>1</v>
      </c>
      <c r="M30" s="142" t="str">
        <f aca="false">M$7</f>
        <v>   F7997</v>
      </c>
      <c r="N30" s="142" t="n">
        <f aca="false">(ROUNDUP(N49/6400,0))</f>
        <v>1</v>
      </c>
      <c r="O30" s="141" t="str">
        <f aca="false">O$7</f>
        <v>F7943</v>
      </c>
      <c r="P30" s="141"/>
      <c r="Q30" s="141"/>
      <c r="R30" s="142" t="n">
        <f aca="false">(ROUNDUP(SUM(P49:R49)/6400,0))</f>
        <v>2</v>
      </c>
      <c r="S30" s="141" t="str">
        <f aca="false">S$7</f>
        <v>F7935</v>
      </c>
      <c r="T30" s="141"/>
      <c r="U30" s="141"/>
      <c r="V30" s="141"/>
      <c r="W30" s="141"/>
      <c r="X30" s="142" t="n">
        <f aca="false">(ROUNDUP(SUM(T49:X49)/6400,0))</f>
        <v>2</v>
      </c>
      <c r="Y30" s="142" t="str">
        <f aca="false">Y$7</f>
        <v>F7860</v>
      </c>
      <c r="Z30" s="142" t="n">
        <f aca="false">(ROUNDUP(Z49/6400,0))</f>
        <v>1</v>
      </c>
      <c r="AA30" s="142" t="str">
        <f aca="false">AA$7</f>
        <v>F7945</v>
      </c>
      <c r="AB30" s="142" t="n">
        <f aca="false">(ROUNDUP(AB49/6400,0))</f>
        <v>1</v>
      </c>
      <c r="AC30" s="142" t="n">
        <f aca="false">AC$7</f>
        <v>0</v>
      </c>
      <c r="AD30" s="142" t="n">
        <f aca="false">(ROUNDUP(AD49/6400,0))</f>
        <v>0</v>
      </c>
      <c r="AE30" s="142" t="n">
        <f aca="false">AE$7</f>
        <v>0</v>
      </c>
      <c r="AF30" s="142" t="n">
        <f aca="false">(ROUNDUP(AF49/6400,0))</f>
        <v>0</v>
      </c>
      <c r="AJ30" s="40" t="s">
        <v>65</v>
      </c>
      <c r="AK30" s="40" t="n">
        <f aca="false">SUM(AK11:AK28)</f>
        <v>1</v>
      </c>
      <c r="AL30" s="40" t="n">
        <f aca="false">SUM(AL11:AL28)</f>
        <v>1</v>
      </c>
      <c r="AM30" s="40" t="n">
        <f aca="false">SUM(AM11:AM28)</f>
        <v>2</v>
      </c>
      <c r="AN30" s="40" t="n">
        <f aca="false">SUM(AN11:AN28)</f>
        <v>4</v>
      </c>
      <c r="AO30" s="40" t="n">
        <f aca="false">SUM(AO11:AO28)</f>
        <v>4</v>
      </c>
      <c r="AP30" s="40" t="n">
        <f aca="false">SUM(AP11:AP28)</f>
        <v>4</v>
      </c>
      <c r="AQ30" s="40" t="n">
        <f aca="false">SUM(AQ11:AQ28)</f>
        <v>8</v>
      </c>
      <c r="AR30" s="40" t="n">
        <f aca="false">SUM(AR11:AR28)</f>
        <v>16</v>
      </c>
      <c r="AS30" s="40" t="n">
        <f aca="false">SUM(AS11:AS28)</f>
        <v>8</v>
      </c>
      <c r="AT30" s="40" t="n">
        <f aca="false">SUM(AT11:AT28)</f>
        <v>1.4</v>
      </c>
      <c r="AU30" s="40" t="n">
        <f aca="false">SUM(AU11:AU28)</f>
        <v>7</v>
      </c>
    </row>
    <row r="31" customFormat="false" ht="39.75" hidden="true" customHeight="true" outlineLevel="0" collapsed="false">
      <c r="H31" s="67" t="n">
        <f aca="false">IF($A11="","",H11*G11)</f>
        <v>5980</v>
      </c>
      <c r="I31" s="67"/>
      <c r="J31" s="67" t="n">
        <f aca="false">IF($A11="","",J11*I11)</f>
        <v>450</v>
      </c>
      <c r="K31" s="67"/>
      <c r="L31" s="67" t="n">
        <f aca="false">IF($A11="","",L11*K11)</f>
        <v>450</v>
      </c>
      <c r="M31" s="67"/>
      <c r="N31" s="67" t="n">
        <f aca="false">IF($A11="","",N11*M11)</f>
        <v>450</v>
      </c>
      <c r="O31" s="67"/>
      <c r="P31" s="67" t="n">
        <f aca="false">IF($A11="","",P11*O11)</f>
        <v>11462</v>
      </c>
      <c r="Q31" s="67"/>
      <c r="R31" s="67" t="n">
        <f aca="false">IF($A11="","",R11*Q11)</f>
        <v>917</v>
      </c>
      <c r="S31" s="67"/>
      <c r="T31" s="67" t="n">
        <f aca="false">IF($A11="","",T11*S11)</f>
        <v>10822</v>
      </c>
      <c r="U31" s="67"/>
      <c r="V31" s="67" t="n">
        <f aca="false">IF($A11="","",V11*U11)</f>
        <v>437</v>
      </c>
      <c r="W31" s="67"/>
      <c r="X31" s="67" t="n">
        <f aca="false">IF($A11="","",X11*W11)</f>
        <v>820</v>
      </c>
      <c r="Y31" s="67"/>
      <c r="Z31" s="67" t="n">
        <f aca="false">IF($A11="","",Z11*Y11)</f>
        <v>125</v>
      </c>
      <c r="AA31" s="67"/>
      <c r="AB31" s="67" t="n">
        <f aca="false">IF($A11="","",AB11*AA11)</f>
        <v>2848.5</v>
      </c>
      <c r="AC31" s="67"/>
      <c r="AD31" s="67" t="n">
        <f aca="false">IF($A11="","",AD11*AC11)</f>
        <v>0</v>
      </c>
      <c r="AE31" s="67"/>
      <c r="AF31" s="67" t="n">
        <f aca="false">IF($A11="","",AF11*AE11)</f>
        <v>0</v>
      </c>
    </row>
    <row r="32" customFormat="false" ht="39.75" hidden="true" customHeight="true" outlineLevel="0" collapsed="false">
      <c r="H32" s="67" t="str">
        <f aca="false">IF($A12="","",H12*G12)</f>
        <v/>
      </c>
      <c r="I32" s="67"/>
      <c r="J32" s="67" t="str">
        <f aca="false">IF($A12="","",J12*I12)</f>
        <v/>
      </c>
      <c r="K32" s="67"/>
      <c r="L32" s="67" t="str">
        <f aca="false">IF($A12="","",L12*K12)</f>
        <v/>
      </c>
      <c r="M32" s="67"/>
      <c r="N32" s="67" t="str">
        <f aca="false">IF($A12="","",N12*M12)</f>
        <v/>
      </c>
      <c r="O32" s="67"/>
      <c r="P32" s="67" t="str">
        <f aca="false">IF($A12="","",P12*O12)</f>
        <v/>
      </c>
      <c r="Q32" s="67"/>
      <c r="R32" s="67" t="str">
        <f aca="false">IF($A12="","",R12*Q12)</f>
        <v/>
      </c>
      <c r="S32" s="67"/>
      <c r="T32" s="67" t="str">
        <f aca="false">IF($A12="","",T12*S12)</f>
        <v/>
      </c>
      <c r="U32" s="67"/>
      <c r="V32" s="67" t="str">
        <f aca="false">IF($A12="","",V12*U12)</f>
        <v/>
      </c>
      <c r="W32" s="67"/>
      <c r="X32" s="67" t="str">
        <f aca="false">IF($A12="","",X12*W12)</f>
        <v/>
      </c>
      <c r="Y32" s="67"/>
      <c r="Z32" s="67" t="str">
        <f aca="false">IF($A12="","",Z12*Y12)</f>
        <v/>
      </c>
      <c r="AA32" s="67"/>
      <c r="AB32" s="67" t="str">
        <f aca="false">IF($A12="","",AB12*AA12)</f>
        <v/>
      </c>
      <c r="AC32" s="67"/>
      <c r="AD32" s="67" t="str">
        <f aca="false">IF($A12="","",AD12*AC12)</f>
        <v/>
      </c>
      <c r="AE32" s="67"/>
      <c r="AF32" s="67" t="str">
        <f aca="false">IF($A12="","",AF12*AE12)</f>
        <v/>
      </c>
    </row>
    <row r="33" customFormat="false" ht="39.75" hidden="true" customHeight="true" outlineLevel="0" collapsed="false"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  <c r="AC33" s="67"/>
      <c r="AD33" s="67" t="str">
        <f aca="false">IF($A13="","",AD13*AC13)</f>
        <v/>
      </c>
      <c r="AE33" s="67"/>
      <c r="AF33" s="67" t="str">
        <f aca="false">IF($A13="","",AF13*AE13)</f>
        <v/>
      </c>
    </row>
    <row r="34" customFormat="false" ht="39.75" hidden="true" customHeight="true" outlineLevel="0" collapsed="false"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  <c r="AC34" s="67"/>
      <c r="AD34" s="67" t="str">
        <f aca="false">IF($A14="","",AD14*AC14)</f>
        <v/>
      </c>
      <c r="AE34" s="67"/>
      <c r="AF34" s="67" t="str">
        <f aca="false">IF($A14="","",AF14*AE14)</f>
        <v/>
      </c>
    </row>
    <row r="35" customFormat="false" ht="39.75" hidden="true" customHeight="true" outlineLevel="0" collapsed="false"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  <c r="AC35" s="67"/>
      <c r="AD35" s="67" t="str">
        <f aca="false">IF($A15="","",AD15*AC15)</f>
        <v/>
      </c>
      <c r="AE35" s="67"/>
      <c r="AF35" s="67" t="str">
        <f aca="false">IF($A15="","",AF15*AE15)</f>
        <v/>
      </c>
    </row>
    <row r="36" customFormat="false" ht="15" hidden="true" customHeight="true" outlineLevel="0" collapsed="false"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  <c r="AC36" s="67"/>
      <c r="AD36" s="67" t="str">
        <f aca="false">IF($A16="","",AD16*AC16)</f>
        <v/>
      </c>
      <c r="AE36" s="67"/>
      <c r="AF36" s="67" t="str">
        <f aca="false">IF($A16="","",AF16*AE16)</f>
        <v/>
      </c>
    </row>
    <row r="37" customFormat="false" ht="15" hidden="true" customHeight="true" outlineLevel="0" collapsed="false"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  <c r="AC37" s="67"/>
      <c r="AD37" s="67" t="str">
        <f aca="false">IF($A17="","",AD17*AC17)</f>
        <v/>
      </c>
      <c r="AE37" s="67"/>
      <c r="AF37" s="67" t="str">
        <f aca="false">IF($A17="","",AF17*AE17)</f>
        <v/>
      </c>
    </row>
    <row r="38" customFormat="false" ht="15" hidden="true" customHeight="true" outlineLevel="0" collapsed="false"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  <c r="AC38" s="67"/>
      <c r="AD38" s="67" t="str">
        <f aca="false">IF($A18="","",AD18*AC18)</f>
        <v/>
      </c>
      <c r="AE38" s="67"/>
      <c r="AF38" s="67" t="str">
        <f aca="false">IF($A18="","",AF18*AE18)</f>
        <v/>
      </c>
    </row>
    <row r="39" customFormat="false" ht="15" hidden="true" customHeight="true" outlineLevel="0" collapsed="false"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  <c r="AC39" s="67"/>
      <c r="AD39" s="67" t="str">
        <f aca="false">IF($A19="","",AD19*AC19)</f>
        <v/>
      </c>
      <c r="AE39" s="67"/>
      <c r="AF39" s="67" t="str">
        <f aca="false">IF($A19="","",AF19*AE19)</f>
        <v/>
      </c>
    </row>
    <row r="40" customFormat="false" ht="15" hidden="true" customHeight="true" outlineLevel="0" collapsed="false"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  <c r="AC40" s="67"/>
      <c r="AD40" s="67" t="str">
        <f aca="false">IF($A20="","",AD20*AC20)</f>
        <v/>
      </c>
      <c r="AE40" s="67"/>
      <c r="AF40" s="67" t="str">
        <f aca="false">IF($A20="","",AF20*AE20)</f>
        <v/>
      </c>
    </row>
    <row r="41" customFormat="false" ht="15" hidden="true" customHeight="true" outlineLevel="0" collapsed="false"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  <c r="AC41" s="67"/>
      <c r="AD41" s="67" t="str">
        <f aca="false">IF($A21="","",AD21*AC21)</f>
        <v/>
      </c>
      <c r="AE41" s="67"/>
      <c r="AF41" s="67" t="str">
        <f aca="false">IF($A21="","",AF21*AE21)</f>
        <v/>
      </c>
    </row>
    <row r="42" customFormat="false" ht="15" hidden="true" customHeight="true" outlineLevel="0" collapsed="false"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  <c r="AC42" s="67"/>
      <c r="AD42" s="67" t="str">
        <f aca="false">IF($A22="","",AD22*AC22)</f>
        <v/>
      </c>
      <c r="AE42" s="67"/>
      <c r="AF42" s="67" t="str">
        <f aca="false">IF($A22="","",AF22*AE22)</f>
        <v/>
      </c>
    </row>
    <row r="43" customFormat="false" ht="15" hidden="true" customHeight="true" outlineLevel="0" collapsed="false"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  <c r="AC43" s="67"/>
      <c r="AD43" s="67" t="str">
        <f aca="false">IF($A23="","",AD23*AC23)</f>
        <v/>
      </c>
      <c r="AE43" s="67"/>
      <c r="AF43" s="67" t="str">
        <f aca="false">IF($A23="","",AF23*AE23)</f>
        <v/>
      </c>
    </row>
    <row r="44" customFormat="false" ht="15" hidden="true" customHeight="true" outlineLevel="0" collapsed="false"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  <c r="AC44" s="67"/>
      <c r="AD44" s="67" t="str">
        <f aca="false">IF($A24="","",AD24*AC24)</f>
        <v/>
      </c>
      <c r="AE44" s="67"/>
      <c r="AF44" s="67" t="str">
        <f aca="false">IF($A24="","",AF24*AE24)</f>
        <v/>
      </c>
    </row>
    <row r="45" customFormat="false" ht="15" hidden="true" customHeight="true" outlineLevel="0" collapsed="false"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  <c r="AC45" s="67"/>
      <c r="AD45" s="67" t="str">
        <f aca="false">IF($A25="","",AD25*AC25)</f>
        <v/>
      </c>
      <c r="AE45" s="67"/>
      <c r="AF45" s="67" t="str">
        <f aca="false">IF($A25="","",AF25*AE25)</f>
        <v/>
      </c>
    </row>
    <row r="46" customFormat="false" ht="15" hidden="true" customHeight="true" outlineLevel="0" collapsed="false"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  <c r="AC46" s="67"/>
      <c r="AD46" s="67" t="str">
        <f aca="false">IF($A26="","",AD26*AC26)</f>
        <v/>
      </c>
      <c r="AE46" s="67"/>
      <c r="AF46" s="67" t="str">
        <f aca="false">IF($A26="","",AF26*AE26)</f>
        <v/>
      </c>
    </row>
    <row r="47" customFormat="false" ht="15" hidden="true" customHeight="true" outlineLevel="0" collapsed="false"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  <c r="AC47" s="67"/>
      <c r="AD47" s="67" t="str">
        <f aca="false">IF($A27="","",AD27*AC27)</f>
        <v/>
      </c>
      <c r="AE47" s="67"/>
      <c r="AF47" s="67" t="str">
        <f aca="false">IF($A27="","",AF27*AE27)</f>
        <v/>
      </c>
    </row>
    <row r="48" customFormat="false" ht="15" hidden="true" customHeight="true" outlineLevel="0" collapsed="false"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  <c r="AC48" s="67"/>
      <c r="AD48" s="67" t="str">
        <f aca="false">IF($A28="","",AD28*AC28)</f>
        <v/>
      </c>
      <c r="AE48" s="67"/>
      <c r="AF48" s="67" t="str">
        <f aca="false">IF($A28="","",AF28*AE28)</f>
        <v/>
      </c>
    </row>
    <row r="49" customFormat="false" ht="15" hidden="true" customHeight="true" outlineLevel="0" collapsed="false">
      <c r="H49" s="68" t="n">
        <f aca="false">SUMIF(H31:H48,"&gt;0")</f>
        <v>5980</v>
      </c>
      <c r="I49" s="68"/>
      <c r="J49" s="68" t="n">
        <f aca="false">SUMIF(J31:J48,"&gt;0")</f>
        <v>450</v>
      </c>
      <c r="L49" s="68" t="n">
        <f aca="false">SUMIF(L31:L48,"&gt;0")</f>
        <v>450</v>
      </c>
      <c r="M49" s="68"/>
      <c r="N49" s="68" t="n">
        <f aca="false">SUMIF(N31:N48,"&gt;0")</f>
        <v>450</v>
      </c>
      <c r="O49" s="68"/>
      <c r="P49" s="68" t="n">
        <f aca="false">SUMIF(P31:P48,"&gt;0")</f>
        <v>11462</v>
      </c>
      <c r="Q49" s="68"/>
      <c r="R49" s="68" t="n">
        <f aca="false">SUMIF(R31:R48,"&gt;0")</f>
        <v>917</v>
      </c>
      <c r="T49" s="68" t="n">
        <f aca="false">SUMIF(T31:T48,"&gt;0")</f>
        <v>10822</v>
      </c>
      <c r="U49" s="68"/>
      <c r="V49" s="68" t="n">
        <f aca="false">SUMIF(V31:V48,"&gt;0")</f>
        <v>437</v>
      </c>
      <c r="W49" s="68"/>
      <c r="X49" s="68" t="n">
        <f aca="false">SUMIF(X31:X48,"&gt;0")</f>
        <v>820</v>
      </c>
      <c r="Z49" s="68" t="n">
        <f aca="false">SUMIF(Z31:Z48,"&gt;0")</f>
        <v>125</v>
      </c>
      <c r="AA49" s="68"/>
      <c r="AB49" s="68" t="n">
        <f aca="false">SUMIF(AB31:AB48,"&gt;0")</f>
        <v>2848.5</v>
      </c>
      <c r="AD49" s="68" t="n">
        <f aca="false">SUMIF(AD31:AD48,"&gt;0")</f>
        <v>0</v>
      </c>
      <c r="AE49" s="68"/>
      <c r="AF49" s="68" t="n">
        <f aca="false">SUMIF(AF31:AF48,"&gt;0")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/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/>
    </row>
    <row r="56" customFormat="false" ht="15" hidden="false" customHeight="true" outlineLevel="0" collapsed="false">
      <c r="A56" s="72" t="n">
        <v>3</v>
      </c>
      <c r="B56" s="73" t="s">
        <v>33</v>
      </c>
      <c r="C56" s="74" t="s">
        <v>247</v>
      </c>
      <c r="D56" s="75"/>
      <c r="E56" s="76"/>
      <c r="F56" s="76"/>
      <c r="G56" s="76"/>
      <c r="H56" s="76"/>
      <c r="I56" s="76"/>
      <c r="J56" s="76"/>
      <c r="K56" s="76"/>
      <c r="L56" s="77"/>
    </row>
    <row r="57" customFormat="false" ht="15" hidden="false" customHeight="true" outlineLevel="0" collapsed="false">
      <c r="A57" s="72" t="n">
        <v>4</v>
      </c>
      <c r="B57" s="73" t="s">
        <v>238</v>
      </c>
      <c r="C57" s="74" t="s">
        <v>237</v>
      </c>
      <c r="D57" s="75"/>
      <c r="E57" s="76"/>
      <c r="F57" s="76"/>
      <c r="G57" s="76"/>
      <c r="H57" s="76"/>
      <c r="I57" s="76"/>
      <c r="J57" s="76"/>
      <c r="K57" s="76"/>
      <c r="L57" s="77"/>
    </row>
    <row r="58" customFormat="false" ht="15" hidden="false" customHeight="true" outlineLevel="0" collapsed="false">
      <c r="A58" s="72" t="n">
        <v>5</v>
      </c>
      <c r="B58" s="73" t="s">
        <v>34</v>
      </c>
      <c r="C58" s="74" t="s">
        <v>181</v>
      </c>
      <c r="D58" s="75" t="s">
        <v>234</v>
      </c>
      <c r="E58" s="77" t="n">
        <v>6</v>
      </c>
      <c r="F58" s="77" t="n">
        <v>18.5</v>
      </c>
      <c r="G58" s="76"/>
      <c r="H58" s="76"/>
      <c r="I58" s="76"/>
      <c r="J58" s="76"/>
      <c r="K58" s="76"/>
      <c r="L58" s="77"/>
    </row>
    <row r="59" customFormat="false" ht="15" hidden="false" customHeight="true" outlineLevel="0" collapsed="false">
      <c r="A59" s="72" t="n">
        <v>6</v>
      </c>
      <c r="B59" s="73" t="s">
        <v>35</v>
      </c>
      <c r="C59" s="74" t="s">
        <v>79</v>
      </c>
      <c r="D59" s="75" t="s">
        <v>245</v>
      </c>
      <c r="E59" s="77" t="n">
        <v>18.5</v>
      </c>
      <c r="F59" s="77" t="n">
        <v>4.5</v>
      </c>
      <c r="G59" s="77" t="n">
        <v>18.5</v>
      </c>
      <c r="H59" s="76"/>
      <c r="I59" s="76"/>
      <c r="J59" s="76"/>
      <c r="K59" s="76"/>
      <c r="L59" s="77"/>
    </row>
    <row r="60" customFormat="false" ht="15" hidden="false" customHeight="true" outlineLevel="0" collapsed="false">
      <c r="A60" s="72" t="n">
        <v>7</v>
      </c>
      <c r="B60" s="73" t="s">
        <v>36</v>
      </c>
      <c r="C60" s="74" t="s">
        <v>17</v>
      </c>
      <c r="D60" s="75" t="s">
        <v>176</v>
      </c>
      <c r="E60" s="77" t="n">
        <v>80</v>
      </c>
      <c r="F60" s="77" t="n">
        <v>80</v>
      </c>
      <c r="G60" s="76"/>
      <c r="H60" s="76"/>
      <c r="I60" s="76"/>
      <c r="J60" s="76"/>
      <c r="K60" s="76"/>
      <c r="L60" s="77"/>
    </row>
    <row r="61" customFormat="false" ht="15" hidden="false" customHeight="true" outlineLevel="0" collapsed="false">
      <c r="A61" s="72" t="n">
        <v>8</v>
      </c>
      <c r="B61" s="73" t="s">
        <v>37</v>
      </c>
      <c r="C61" s="74" t="s">
        <v>79</v>
      </c>
      <c r="D61" s="75" t="s">
        <v>177</v>
      </c>
      <c r="E61" s="77" t="n">
        <v>60</v>
      </c>
      <c r="F61" s="77" t="n">
        <v>60</v>
      </c>
      <c r="G61" s="76"/>
      <c r="H61" s="76"/>
      <c r="I61" s="76"/>
      <c r="J61" s="76"/>
      <c r="K61" s="76"/>
      <c r="L61" s="77"/>
    </row>
    <row r="62" customFormat="false" ht="15" hidden="false" customHeight="true" outlineLevel="0" collapsed="false">
      <c r="A62" s="72" t="n">
        <v>9</v>
      </c>
      <c r="B62" s="73" t="s">
        <v>239</v>
      </c>
      <c r="C62" s="74" t="s">
        <v>79</v>
      </c>
      <c r="D62" s="75" t="s">
        <v>235</v>
      </c>
      <c r="E62" s="77" t="n">
        <v>45</v>
      </c>
      <c r="F62" s="77" t="n">
        <v>45</v>
      </c>
      <c r="G62" s="76"/>
      <c r="H62" s="76"/>
      <c r="I62" s="76"/>
      <c r="J62" s="76"/>
      <c r="K62" s="76"/>
      <c r="L62" s="77"/>
    </row>
    <row r="63" customFormat="false" ht="15" hidden="false" customHeight="true" outlineLevel="0" collapsed="false">
      <c r="A63" s="72" t="n">
        <v>10</v>
      </c>
      <c r="B63" s="73" t="s">
        <v>157</v>
      </c>
      <c r="C63" s="74" t="s">
        <v>143</v>
      </c>
      <c r="D63" s="75" t="s">
        <v>236</v>
      </c>
      <c r="E63" s="77" t="n">
        <v>12.5</v>
      </c>
      <c r="F63" s="77" t="n">
        <v>25</v>
      </c>
      <c r="G63" s="76"/>
      <c r="H63" s="76"/>
      <c r="I63" s="76"/>
      <c r="J63" s="76"/>
      <c r="K63" s="76"/>
      <c r="L63" s="77"/>
    </row>
    <row r="64" customFormat="false" ht="15" hidden="false" customHeight="true" outlineLevel="0" collapsed="false">
      <c r="A64" s="72" t="n">
        <v>11</v>
      </c>
      <c r="B64" s="73" t="s">
        <v>125</v>
      </c>
      <c r="C64" s="74" t="s">
        <v>117</v>
      </c>
      <c r="D64" s="75" t="s">
        <v>246</v>
      </c>
      <c r="E64" s="77" t="n">
        <v>14.5</v>
      </c>
      <c r="F64" s="77" t="n">
        <v>27</v>
      </c>
      <c r="G64" s="76"/>
      <c r="H64" s="76"/>
      <c r="I64" s="76"/>
      <c r="J64" s="76"/>
      <c r="K64" s="76"/>
      <c r="L64" s="77"/>
    </row>
    <row r="66" customFormat="false" ht="15" hidden="false" customHeight="true" outlineLevel="0" collapsed="false">
      <c r="A66" s="78" t="s">
        <v>219</v>
      </c>
      <c r="F66" s="79"/>
    </row>
    <row r="67" customFormat="false" ht="15" hidden="false" customHeight="true" outlineLevel="0" collapsed="false">
      <c r="A67" s="80" t="s">
        <v>210</v>
      </c>
      <c r="B67" s="81" t="s">
        <v>211</v>
      </c>
      <c r="F67" s="82"/>
    </row>
    <row r="68" customFormat="false" ht="15" hidden="false" customHeight="true" outlineLevel="0" collapsed="false">
      <c r="A68" s="80" t="s">
        <v>212</v>
      </c>
      <c r="B68" s="81" t="s">
        <v>82</v>
      </c>
      <c r="F68" s="82"/>
    </row>
    <row r="69" customFormat="false" ht="15" hidden="false" customHeight="true" outlineLevel="0" collapsed="false">
      <c r="A69" s="80" t="s">
        <v>213</v>
      </c>
      <c r="B69" s="81" t="s">
        <v>214</v>
      </c>
      <c r="F69" s="82"/>
    </row>
    <row r="70" customFormat="false" ht="15" hidden="false" customHeight="true" outlineLevel="0" collapsed="false">
      <c r="A70" s="80" t="s">
        <v>220</v>
      </c>
      <c r="B70" s="81" t="s">
        <v>221</v>
      </c>
      <c r="F70" s="82"/>
    </row>
    <row r="71" customFormat="false" ht="15" hidden="false" customHeight="true" outlineLevel="0" collapsed="false">
      <c r="A71" s="83"/>
    </row>
    <row r="72" customFormat="false" ht="15" hidden="false" customHeight="true" outlineLevel="0" collapsed="false">
      <c r="A72" s="84" t="s">
        <v>89</v>
      </c>
    </row>
    <row r="73" customFormat="false" ht="15" hidden="false" customHeight="true" outlineLevel="0" collapsed="false">
      <c r="A73" s="84" t="s">
        <v>67</v>
      </c>
      <c r="B73" s="84" t="s">
        <v>90</v>
      </c>
      <c r="C73" s="84" t="s">
        <v>91</v>
      </c>
      <c r="D73" s="84" t="s">
        <v>60</v>
      </c>
      <c r="E73" s="84" t="s">
        <v>92</v>
      </c>
      <c r="F73" s="84" t="s">
        <v>93</v>
      </c>
    </row>
    <row r="74" customFormat="false" ht="15" hidden="false" customHeight="true" outlineLevel="0" collapsed="false">
      <c r="A74" s="85" t="n">
        <v>1</v>
      </c>
      <c r="B74" s="85" t="s">
        <v>192</v>
      </c>
      <c r="C74" s="81" t="str">
        <f aca="false">AK8</f>
        <v>JR00304</v>
      </c>
      <c r="D74" s="86" t="n">
        <f aca="false">AK30</f>
        <v>1</v>
      </c>
      <c r="E74" s="85" t="s">
        <v>22</v>
      </c>
    </row>
    <row r="75" customFormat="false" ht="15" hidden="false" customHeight="true" outlineLevel="0" collapsed="false">
      <c r="A75" s="85" t="n">
        <v>2</v>
      </c>
      <c r="B75" s="85" t="s">
        <v>218</v>
      </c>
      <c r="C75" s="81" t="str">
        <f aca="false">AL8</f>
        <v>JR00305</v>
      </c>
      <c r="D75" s="86" t="n">
        <f aca="false">AL30</f>
        <v>1</v>
      </c>
      <c r="E75" s="85" t="s">
        <v>22</v>
      </c>
    </row>
    <row r="76" customFormat="false" ht="15" hidden="false" customHeight="true" outlineLevel="0" collapsed="false">
      <c r="A76" s="85" t="n">
        <v>3</v>
      </c>
      <c r="B76" s="85" t="s">
        <v>215</v>
      </c>
      <c r="C76" s="81" t="str">
        <f aca="false">AM8</f>
        <v>JR00566</v>
      </c>
      <c r="D76" s="86" t="n">
        <f aca="false">AM30</f>
        <v>2</v>
      </c>
      <c r="E76" s="85" t="s">
        <v>94</v>
      </c>
    </row>
    <row r="77" customFormat="false" ht="15" hidden="false" customHeight="true" outlineLevel="0" collapsed="false">
      <c r="A77" s="85" t="n">
        <v>4</v>
      </c>
      <c r="B77" s="85" t="s">
        <v>194</v>
      </c>
      <c r="C77" s="81" t="str">
        <f aca="false">AN8</f>
        <v>JR00559</v>
      </c>
      <c r="D77" s="86" t="n">
        <f aca="false">AN30</f>
        <v>4</v>
      </c>
      <c r="E77" s="85" t="s">
        <v>94</v>
      </c>
    </row>
    <row r="78" customFormat="false" ht="15" hidden="false" customHeight="true" outlineLevel="0" collapsed="false">
      <c r="A78" s="85" t="n">
        <v>5</v>
      </c>
      <c r="B78" s="85" t="s">
        <v>195</v>
      </c>
      <c r="C78" s="81" t="str">
        <f aca="false">AO8</f>
        <v>JR00486</v>
      </c>
      <c r="D78" s="86" t="n">
        <f aca="false">AO30</f>
        <v>4</v>
      </c>
      <c r="E78" s="85" t="s">
        <v>94</v>
      </c>
    </row>
    <row r="79" customFormat="false" ht="15" hidden="false" customHeight="true" outlineLevel="0" collapsed="false">
      <c r="A79" s="85" t="n">
        <v>6</v>
      </c>
      <c r="B79" s="85" t="s">
        <v>196</v>
      </c>
      <c r="C79" s="81" t="str">
        <f aca="false">AP8</f>
        <v>JR00483</v>
      </c>
      <c r="D79" s="86" t="n">
        <f aca="false">AP30</f>
        <v>4</v>
      </c>
      <c r="E79" s="85" t="s">
        <v>94</v>
      </c>
    </row>
    <row r="80" customFormat="false" ht="15" hidden="false" customHeight="true" outlineLevel="0" collapsed="false">
      <c r="A80" s="85" t="n">
        <v>7</v>
      </c>
      <c r="B80" s="85" t="s">
        <v>42</v>
      </c>
      <c r="C80" s="81" t="str">
        <f aca="false">AQ8</f>
        <v>JR00482</v>
      </c>
      <c r="D80" s="86" t="n">
        <f aca="false">AQ30</f>
        <v>8</v>
      </c>
      <c r="E80" s="85" t="s">
        <v>94</v>
      </c>
    </row>
    <row r="81" customFormat="false" ht="15" hidden="false" customHeight="true" outlineLevel="0" collapsed="false">
      <c r="A81" s="85" t="n">
        <v>8</v>
      </c>
      <c r="B81" s="85" t="s">
        <v>43</v>
      </c>
      <c r="C81" s="81" t="str">
        <f aca="false">AR8</f>
        <v>JR00557</v>
      </c>
      <c r="D81" s="86" t="n">
        <f aca="false">AR30</f>
        <v>16</v>
      </c>
      <c r="E81" s="85" t="s">
        <v>94</v>
      </c>
    </row>
    <row r="82" customFormat="false" ht="15" hidden="false" customHeight="true" outlineLevel="0" collapsed="false">
      <c r="A82" s="85" t="n">
        <v>9</v>
      </c>
      <c r="B82" s="85" t="s">
        <v>51</v>
      </c>
      <c r="C82" s="81" t="str">
        <f aca="false">AS8</f>
        <v>JR00864</v>
      </c>
      <c r="D82" s="86" t="n">
        <f aca="false">AS30</f>
        <v>8</v>
      </c>
      <c r="E82" s="85" t="s">
        <v>94</v>
      </c>
    </row>
    <row r="83" customFormat="false" ht="15" hidden="false" customHeight="true" outlineLevel="0" collapsed="false">
      <c r="A83" s="85" t="n">
        <v>10</v>
      </c>
      <c r="B83" s="85" t="s">
        <v>52</v>
      </c>
      <c r="C83" s="81" t="str">
        <f aca="false">AT8</f>
        <v>JR00770</v>
      </c>
      <c r="D83" s="86" t="n">
        <f aca="false">AT30</f>
        <v>1.4</v>
      </c>
      <c r="E83" s="85" t="s">
        <v>101</v>
      </c>
    </row>
    <row r="84" customFormat="false" ht="15" hidden="false" customHeight="true" outlineLevel="0" collapsed="false">
      <c r="A84" s="85" t="n">
        <v>11</v>
      </c>
      <c r="B84" s="85" t="s">
        <v>53</v>
      </c>
      <c r="C84" s="81" t="str">
        <f aca="false">AU8</f>
        <v>JR00770</v>
      </c>
      <c r="D84" s="86" t="n">
        <f aca="false">AU30</f>
        <v>7</v>
      </c>
      <c r="E84" s="85" t="s">
        <v>101</v>
      </c>
    </row>
  </sheetData>
  <mergeCells count="55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7:F7"/>
    <mergeCell ref="G7:J7"/>
    <mergeCell ref="K7:L7"/>
    <mergeCell ref="M7:N7"/>
    <mergeCell ref="O7:R7"/>
    <mergeCell ref="S7:X7"/>
    <mergeCell ref="Y7:Z7"/>
    <mergeCell ref="AA7:AB7"/>
    <mergeCell ref="A8:A9"/>
    <mergeCell ref="B8:E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30:F30"/>
    <mergeCell ref="G30:I30"/>
    <mergeCell ref="O30:Q30"/>
    <mergeCell ref="S30:W30"/>
  </mergeCells>
  <dataValidations count="4">
    <dataValidation allowBlank="true" errorStyle="stop" operator="between" showDropDown="false" showErrorMessage="false" showInputMessage="false" sqref="B67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8" type="list">
      <formula1>"ขาว,ดำ"</formula1>
      <formula2>0</formula2>
    </dataValidation>
    <dataValidation allowBlank="true" errorStyle="stop" operator="between" showDropDown="false" showErrorMessage="false" showInputMessage="false" sqref="B69" type="list">
      <formula1>"ซ้าย,ขวา"</formula1>
      <formula2>0</formula2>
    </dataValidation>
    <dataValidation allowBlank="true" errorStyle="stop" operator="between" showDropDown="false" showErrorMessage="false" showInputMessage="false" sqref="B70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4" min="34" style="1" width="8.9"/>
  </cols>
  <sheetData>
    <row r="1" customFormat="false" ht="39.75" hidden="false" customHeight="true" outlineLevel="0" collapsed="false">
      <c r="A1" s="3" t="s">
        <v>248</v>
      </c>
      <c r="B1" s="4"/>
      <c r="D1" s="5"/>
      <c r="E1" s="6"/>
      <c r="F1" s="5"/>
      <c r="G1" s="5"/>
      <c r="H1" s="5"/>
      <c r="I1" s="7"/>
      <c r="J1" s="8"/>
      <c r="K1" s="8"/>
      <c r="L1" s="8"/>
      <c r="M1" s="5"/>
      <c r="N1" s="9"/>
      <c r="O1" s="5"/>
      <c r="P1" s="5"/>
      <c r="Q1" s="7"/>
      <c r="R1" s="7"/>
      <c r="S1" s="8"/>
      <c r="T1" s="8"/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7"/>
      <c r="H2" s="7"/>
      <c r="I2" s="11"/>
      <c r="J2" s="11"/>
      <c r="K2" s="11"/>
      <c r="L2" s="11"/>
      <c r="M2" s="7"/>
      <c r="N2" s="7"/>
      <c r="O2" s="153"/>
      <c r="P2" s="7"/>
      <c r="Q2" s="154" t="s">
        <v>249</v>
      </c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7"/>
      <c r="B3" s="155"/>
      <c r="C3" s="93"/>
      <c r="D3" s="7"/>
      <c r="E3" s="10"/>
      <c r="F3" s="7"/>
      <c r="G3" s="7"/>
      <c r="H3" s="7"/>
      <c r="I3" s="11"/>
      <c r="J3" s="11"/>
      <c r="K3" s="12"/>
      <c r="L3" s="12"/>
      <c r="M3" s="7"/>
      <c r="N3" s="7"/>
      <c r="O3" s="7"/>
      <c r="P3" s="7"/>
      <c r="Q3" s="154"/>
      <c r="R3" s="7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7"/>
      <c r="C4" s="7"/>
      <c r="F4" s="7"/>
      <c r="G4" s="7"/>
      <c r="H4" s="7"/>
      <c r="I4" s="11"/>
      <c r="J4" s="11"/>
      <c r="M4" s="7"/>
      <c r="N4" s="7"/>
      <c r="O4" s="93"/>
      <c r="P4" s="7"/>
      <c r="Q4" s="154" t="s">
        <v>250</v>
      </c>
      <c r="R4" s="7"/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G5" s="7"/>
      <c r="H5" s="7"/>
      <c r="M5" s="7"/>
      <c r="N5" s="7"/>
      <c r="O5" s="7"/>
      <c r="P5" s="7"/>
      <c r="R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139</v>
      </c>
      <c r="L6" s="17"/>
      <c r="M6" s="17" t="s">
        <v>12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142</v>
      </c>
      <c r="F7" s="20"/>
      <c r="G7" s="20"/>
      <c r="H7" s="20"/>
      <c r="I7" s="20" t="s">
        <v>247</v>
      </c>
      <c r="J7" s="20"/>
      <c r="K7" s="20" t="s">
        <v>17</v>
      </c>
      <c r="L7" s="20"/>
      <c r="M7" s="20"/>
      <c r="N7" s="20"/>
      <c r="O7" s="22"/>
      <c r="P7" s="22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251</v>
      </c>
      <c r="J9" s="35"/>
      <c r="K9" s="35" t="s">
        <v>36</v>
      </c>
      <c r="L9" s="35"/>
      <c r="M9" s="35" t="s">
        <v>37</v>
      </c>
      <c r="N9" s="35"/>
      <c r="O9" s="35"/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155</v>
      </c>
      <c r="AF9" s="37" t="s">
        <v>252</v>
      </c>
      <c r="AG9" s="39"/>
    </row>
    <row r="10" customFormat="false" ht="39.75" hidden="false" customHeight="true" outlineLevel="0" collapsed="false">
      <c r="A10" s="42" t="s">
        <v>56</v>
      </c>
      <c r="B10" s="43" t="s">
        <v>6</v>
      </c>
      <c r="C10" s="44" t="s">
        <v>57</v>
      </c>
      <c r="D10" s="45" t="s">
        <v>58</v>
      </c>
      <c r="E10" s="46" t="s">
        <v>59</v>
      </c>
      <c r="F10" s="47" t="s">
        <v>60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7" t="s">
        <v>60</v>
      </c>
      <c r="U10" s="46" t="s">
        <v>59</v>
      </c>
      <c r="V10" s="47" t="s">
        <v>60</v>
      </c>
      <c r="W10" s="46" t="s">
        <v>59</v>
      </c>
      <c r="X10" s="48" t="s">
        <v>60</v>
      </c>
      <c r="Y10" s="46" t="s">
        <v>59</v>
      </c>
      <c r="Z10" s="48" t="s">
        <v>60</v>
      </c>
      <c r="AA10" s="46" t="s">
        <v>59</v>
      </c>
      <c r="AB10" s="48" t="s">
        <v>60</v>
      </c>
      <c r="AC10" s="46" t="s">
        <v>59</v>
      </c>
      <c r="AD10" s="48" t="s">
        <v>60</v>
      </c>
      <c r="AE10" s="49" t="s">
        <v>61</v>
      </c>
      <c r="AF10" s="50" t="s">
        <v>62</v>
      </c>
      <c r="AG10" s="51" t="s">
        <v>60</v>
      </c>
    </row>
    <row r="11" customFormat="false" ht="39.75" hidden="false" customHeight="true" outlineLevel="0" collapsed="false">
      <c r="A11" s="156" t="s">
        <v>206</v>
      </c>
      <c r="B11" s="89" t="n">
        <v>2085</v>
      </c>
      <c r="C11" s="90" t="n">
        <v>1860</v>
      </c>
      <c r="D11" s="91" t="n">
        <v>1</v>
      </c>
      <c r="E11" s="134" t="n">
        <f aca="false">IF($A11="","",$B11)</f>
        <v>2085</v>
      </c>
      <c r="F11" s="90" t="n">
        <f aca="false">IF($A11="","",$L$54*$D11)</f>
        <v>2</v>
      </c>
      <c r="G11" s="134" t="n">
        <f aca="false">IF($A11="","",$C11-$E$55-$F$55)</f>
        <v>1810</v>
      </c>
      <c r="H11" s="90" t="n">
        <f aca="false">IF($A11="","",$L$55*$D11)</f>
        <v>1</v>
      </c>
      <c r="I11" s="134" t="n">
        <f aca="false">IF($A11="","",$C11-$E$56-$F$56)</f>
        <v>1810</v>
      </c>
      <c r="J11" s="90" t="n">
        <f aca="false">IF($A11="","",$L$56*$D11)</f>
        <v>1</v>
      </c>
      <c r="K11" s="134" t="n">
        <f aca="false">IF($A11="","",$B11-$E$57-$F$57)</f>
        <v>1995</v>
      </c>
      <c r="L11" s="90" t="n">
        <f aca="false">IF($A11="","",$L$57*$D11)</f>
        <v>2</v>
      </c>
      <c r="M11" s="134" t="n">
        <f aca="false">IF($A11="","",$G11)</f>
        <v>1810</v>
      </c>
      <c r="N11" s="90" t="n">
        <f aca="false">IF($A11="","",$L$58*$D11)</f>
        <v>2</v>
      </c>
      <c r="O11" s="134"/>
      <c r="P11" s="90"/>
      <c r="Q11" s="134"/>
      <c r="R11" s="90"/>
      <c r="S11" s="134"/>
      <c r="T11" s="90"/>
      <c r="U11" s="134"/>
      <c r="V11" s="90"/>
      <c r="W11" s="134"/>
      <c r="X11" s="90"/>
      <c r="Y11" s="134"/>
      <c r="Z11" s="90"/>
      <c r="AA11" s="134"/>
      <c r="AB11" s="90"/>
      <c r="AC11" s="134"/>
      <c r="AD11" s="90"/>
      <c r="AE11" s="135" t="n">
        <f aca="false">IF($A11="","",$B11-35-35)</f>
        <v>2015</v>
      </c>
      <c r="AF11" s="135" t="n">
        <f aca="false">IF($A11="","",$C11-35-35)</f>
        <v>1790</v>
      </c>
      <c r="AG11" s="137" t="n">
        <f aca="false">IF($A11="","",1*$D11)</f>
        <v>1</v>
      </c>
    </row>
    <row r="12" customFormat="false" ht="39.75" hidden="false" customHeight="true" outlineLevel="0" collapsed="false">
      <c r="A12" s="156" t="s">
        <v>253</v>
      </c>
      <c r="B12" s="89" t="n">
        <v>2285</v>
      </c>
      <c r="C12" s="90" t="n">
        <v>1295</v>
      </c>
      <c r="D12" s="91" t="n">
        <v>1</v>
      </c>
      <c r="E12" s="139" t="n">
        <f aca="false">IF($A12="","",$B12)</f>
        <v>2285</v>
      </c>
      <c r="F12" s="140" t="n">
        <f aca="false">IF($A12="","",$L$54*$D12)</f>
        <v>2</v>
      </c>
      <c r="G12" s="139" t="n">
        <f aca="false">IF($A12="","",$C12-$E$55-$F$55)</f>
        <v>1245</v>
      </c>
      <c r="H12" s="140" t="n">
        <f aca="false">IF($A12="","",$L$55*$D12)</f>
        <v>1</v>
      </c>
      <c r="I12" s="139" t="n">
        <f aca="false">IF($A12="","",$C12-$E$56-$F$56)</f>
        <v>1245</v>
      </c>
      <c r="J12" s="140" t="n">
        <f aca="false">IF($A12="","",$L$56*$D12)</f>
        <v>1</v>
      </c>
      <c r="K12" s="139" t="n">
        <f aca="false">IF($A12="","",$B12-$E$57-$F$57)</f>
        <v>2195</v>
      </c>
      <c r="L12" s="140" t="n">
        <f aca="false">IF($A12="","",$L$57*$D12)</f>
        <v>2</v>
      </c>
      <c r="M12" s="139" t="n">
        <f aca="false">IF($A12="","",$G12)</f>
        <v>1245</v>
      </c>
      <c r="N12" s="140" t="n">
        <f aca="false">IF($A12="","",$L$58*$D12)</f>
        <v>2</v>
      </c>
      <c r="O12" s="139"/>
      <c r="P12" s="140"/>
      <c r="Q12" s="139"/>
      <c r="R12" s="140"/>
      <c r="S12" s="139"/>
      <c r="T12" s="140"/>
      <c r="U12" s="139"/>
      <c r="V12" s="140"/>
      <c r="W12" s="139"/>
      <c r="X12" s="140"/>
      <c r="Y12" s="139"/>
      <c r="Z12" s="140"/>
      <c r="AA12" s="139"/>
      <c r="AB12" s="140"/>
      <c r="AC12" s="139"/>
      <c r="AD12" s="140"/>
      <c r="AE12" s="135" t="n">
        <f aca="false">IF($A12="","",$B12-35-35)</f>
        <v>2215</v>
      </c>
      <c r="AF12" s="135" t="n">
        <f aca="false">IF($A12="","",$C12-35-35)</f>
        <v>1225</v>
      </c>
      <c r="AG12" s="137" t="n">
        <f aca="false">IF($A12="","",1*$D12)</f>
        <v>1</v>
      </c>
    </row>
    <row r="13" customFormat="false" ht="39.75" hidden="false" customHeight="true" outlineLevel="0" collapsed="false">
      <c r="A13" s="157" t="s">
        <v>254</v>
      </c>
      <c r="B13" s="89" t="n">
        <v>1780</v>
      </c>
      <c r="C13" s="90" t="n">
        <v>2830</v>
      </c>
      <c r="D13" s="91" t="n">
        <v>1</v>
      </c>
      <c r="E13" s="134" t="n">
        <f aca="false">IF($A13="","",$B13)</f>
        <v>1780</v>
      </c>
      <c r="F13" s="90" t="n">
        <f aca="false">IF($A13="","",$L$54*$D13)</f>
        <v>2</v>
      </c>
      <c r="G13" s="134" t="n">
        <f aca="false">IF($A13="","",$C13-$E$55-$F$55)</f>
        <v>2780</v>
      </c>
      <c r="H13" s="90" t="n">
        <f aca="false">IF($A13="","",$L$55*$D13)</f>
        <v>1</v>
      </c>
      <c r="I13" s="134" t="n">
        <f aca="false">IF($A13="","",$C13-$E$56-$F$56)</f>
        <v>2780</v>
      </c>
      <c r="J13" s="90" t="n">
        <f aca="false">IF($A13="","",$L$56*$D13)</f>
        <v>1</v>
      </c>
      <c r="K13" s="134" t="n">
        <f aca="false">IF($A13="","",$B13-$E$57-$F$57)</f>
        <v>1690</v>
      </c>
      <c r="L13" s="90" t="n">
        <f aca="false">IF($A13="","",$L$57*$D13)</f>
        <v>2</v>
      </c>
      <c r="M13" s="134" t="n">
        <f aca="false">IF($A13="","",$G13)</f>
        <v>2780</v>
      </c>
      <c r="N13" s="90" t="n">
        <f aca="false">IF($A13="","",$L$58*$D13)</f>
        <v>2</v>
      </c>
      <c r="O13" s="134"/>
      <c r="P13" s="90"/>
      <c r="Q13" s="134"/>
      <c r="R13" s="90"/>
      <c r="S13" s="134"/>
      <c r="T13" s="90"/>
      <c r="U13" s="134"/>
      <c r="V13" s="90"/>
      <c r="W13" s="134"/>
      <c r="X13" s="90"/>
      <c r="Y13" s="134"/>
      <c r="Z13" s="90"/>
      <c r="AA13" s="134"/>
      <c r="AB13" s="90"/>
      <c r="AC13" s="134"/>
      <c r="AD13" s="90"/>
      <c r="AE13" s="135" t="n">
        <f aca="false">IF($A13="","",$B13-35-35)</f>
        <v>1710</v>
      </c>
      <c r="AF13" s="135" t="n">
        <f aca="false">IF($A13="","",$C13-35-35)</f>
        <v>2760</v>
      </c>
      <c r="AG13" s="137" t="n">
        <f aca="false">IF($A13="","",1*$D13)</f>
        <v>1</v>
      </c>
    </row>
    <row r="14" customFormat="false" ht="39.75" hidden="false" customHeight="true" outlineLevel="0" collapsed="false">
      <c r="A14" s="157" t="s">
        <v>255</v>
      </c>
      <c r="B14" s="89" t="n">
        <v>1990</v>
      </c>
      <c r="C14" s="90" t="n">
        <v>3460</v>
      </c>
      <c r="D14" s="91" t="n">
        <v>1</v>
      </c>
      <c r="E14" s="139" t="n">
        <f aca="false">IF($A14="","",$B14)</f>
        <v>1990</v>
      </c>
      <c r="F14" s="140" t="n">
        <f aca="false">IF($A14="","",$L$54*$D14)</f>
        <v>2</v>
      </c>
      <c r="G14" s="139" t="n">
        <f aca="false">IF($A14="","",$C14-$E$55-$F$55)</f>
        <v>3410</v>
      </c>
      <c r="H14" s="140" t="n">
        <f aca="false">IF($A14="","",$L$55*$D14)</f>
        <v>1</v>
      </c>
      <c r="I14" s="139" t="n">
        <f aca="false">IF($A14="","",$C14-$E$56-$F$56)</f>
        <v>3410</v>
      </c>
      <c r="J14" s="140" t="n">
        <f aca="false">IF($A14="","",$L$56*$D14)</f>
        <v>1</v>
      </c>
      <c r="K14" s="139" t="n">
        <f aca="false">IF($A14="","",$B14-$E$57-$F$57)</f>
        <v>1900</v>
      </c>
      <c r="L14" s="140" t="n">
        <f aca="false">IF($A14="","",$L$57*$D14)</f>
        <v>2</v>
      </c>
      <c r="M14" s="139" t="n">
        <f aca="false">IF($A14="","",$G14)</f>
        <v>3410</v>
      </c>
      <c r="N14" s="140" t="n">
        <f aca="false">IF($A14="","",$L$58*$D14)</f>
        <v>2</v>
      </c>
      <c r="O14" s="139"/>
      <c r="P14" s="140"/>
      <c r="Q14" s="139"/>
      <c r="R14" s="140"/>
      <c r="S14" s="139"/>
      <c r="T14" s="140"/>
      <c r="U14" s="139"/>
      <c r="V14" s="140"/>
      <c r="W14" s="139"/>
      <c r="X14" s="140"/>
      <c r="Y14" s="139"/>
      <c r="Z14" s="140"/>
      <c r="AA14" s="139"/>
      <c r="AB14" s="140"/>
      <c r="AC14" s="139"/>
      <c r="AD14" s="140"/>
      <c r="AE14" s="135" t="n">
        <f aca="false">IF($A14="","",$B14-35-35)</f>
        <v>1920</v>
      </c>
      <c r="AF14" s="135" t="n">
        <f aca="false">IF($A14="","",$C14-35-35)</f>
        <v>3390</v>
      </c>
      <c r="AG14" s="137" t="n">
        <f aca="false">IF($A14="","",1*$D14)</f>
        <v>1</v>
      </c>
    </row>
    <row r="15" customFormat="false" ht="39.75" hidden="false" customHeight="true" outlineLevel="0" collapsed="false">
      <c r="A15" s="157" t="s">
        <v>256</v>
      </c>
      <c r="B15" s="89" t="n">
        <v>2675</v>
      </c>
      <c r="C15" s="90" t="n">
        <v>1295</v>
      </c>
      <c r="D15" s="91" t="n">
        <v>1</v>
      </c>
      <c r="E15" s="134" t="n">
        <f aca="false">IF($A15="","",$B15)</f>
        <v>2675</v>
      </c>
      <c r="F15" s="90" t="n">
        <f aca="false">IF($A15="","",$L$54*$D15)</f>
        <v>2</v>
      </c>
      <c r="G15" s="134" t="n">
        <f aca="false">IF($A15="","",$C15-$E$55-$F$55)</f>
        <v>1245</v>
      </c>
      <c r="H15" s="90" t="n">
        <f aca="false">IF($A15="","",$L$55*$D15)</f>
        <v>1</v>
      </c>
      <c r="I15" s="134" t="n">
        <f aca="false">IF($A15="","",$C15-$E$56-$F$56)</f>
        <v>1245</v>
      </c>
      <c r="J15" s="90" t="n">
        <f aca="false">IF($A15="","",$L$56*$D15)</f>
        <v>1</v>
      </c>
      <c r="K15" s="134" t="n">
        <f aca="false">IF($A15="","",$B15-$E$57-$F$57)</f>
        <v>2585</v>
      </c>
      <c r="L15" s="90" t="n">
        <f aca="false">IF($A15="","",$L$57*$D15)</f>
        <v>2</v>
      </c>
      <c r="M15" s="134" t="n">
        <f aca="false">IF($A15="","",$G15)</f>
        <v>1245</v>
      </c>
      <c r="N15" s="90" t="n">
        <f aca="false">IF($A15="","",$L$58*$D15)</f>
        <v>2</v>
      </c>
      <c r="O15" s="134"/>
      <c r="P15" s="90"/>
      <c r="Q15" s="134"/>
      <c r="R15" s="90"/>
      <c r="S15" s="134"/>
      <c r="T15" s="90"/>
      <c r="U15" s="134"/>
      <c r="V15" s="90"/>
      <c r="W15" s="134"/>
      <c r="X15" s="90"/>
      <c r="Y15" s="134"/>
      <c r="Z15" s="90"/>
      <c r="AA15" s="134"/>
      <c r="AB15" s="90"/>
      <c r="AC15" s="134"/>
      <c r="AD15" s="90"/>
      <c r="AE15" s="135" t="n">
        <f aca="false">IF($A15="","",$B15-35-35)</f>
        <v>2605</v>
      </c>
      <c r="AF15" s="135" t="n">
        <f aca="false">IF($A15="","",$C15-35-35)</f>
        <v>1225</v>
      </c>
      <c r="AG15" s="137" t="n">
        <f aca="false">IF($A15="","",1*$D15)</f>
        <v>1</v>
      </c>
    </row>
    <row r="16" customFormat="false" ht="39.75" hidden="false" customHeight="true" outlineLevel="0" collapsed="false">
      <c r="A16" s="88"/>
      <c r="B16" s="89"/>
      <c r="C16" s="90"/>
      <c r="D16" s="91"/>
      <c r="E16" s="139" t="str">
        <f aca="false">IF($A16="","",$B16)</f>
        <v/>
      </c>
      <c r="F16" s="140" t="str">
        <f aca="false">IF($A16="","",$L$54*$D16)</f>
        <v/>
      </c>
      <c r="G16" s="139" t="str">
        <f aca="false">IF($A16="","",$C16-$E$55-$F$55)</f>
        <v/>
      </c>
      <c r="H16" s="140" t="str">
        <f aca="false">IF($A16="","",$L$55*$D16)</f>
        <v/>
      </c>
      <c r="I16" s="139" t="str">
        <f aca="false">IF($A16="","",$C16-$E$56-$F$56)</f>
        <v/>
      </c>
      <c r="J16" s="140" t="str">
        <f aca="false">IF($A16="","",$L$56*$D16)</f>
        <v/>
      </c>
      <c r="K16" s="139" t="str">
        <f aca="false">IF($A16="","",$B16-$E$57-$F$57)</f>
        <v/>
      </c>
      <c r="L16" s="140" t="str">
        <f aca="false">IF($A16="","",$L$57*$D16)</f>
        <v/>
      </c>
      <c r="M16" s="139" t="str">
        <f aca="false">IF($A16="","",$G16)</f>
        <v/>
      </c>
      <c r="N16" s="140" t="str">
        <f aca="false">IF($A16="","",$L$58*$D16)</f>
        <v/>
      </c>
      <c r="O16" s="139"/>
      <c r="P16" s="140"/>
      <c r="Q16" s="139"/>
      <c r="R16" s="140"/>
      <c r="S16" s="139"/>
      <c r="T16" s="140"/>
      <c r="U16" s="139"/>
      <c r="V16" s="140"/>
      <c r="W16" s="139"/>
      <c r="X16" s="140"/>
      <c r="Y16" s="139"/>
      <c r="Z16" s="140"/>
      <c r="AA16" s="139"/>
      <c r="AB16" s="140"/>
      <c r="AC16" s="139"/>
      <c r="AD16" s="140"/>
      <c r="AE16" s="135" t="str">
        <f aca="false">IF($A16="","",$B16-35-35)</f>
        <v/>
      </c>
      <c r="AF16" s="135" t="str">
        <f aca="false">IF($A16="","",$C16-35-35)</f>
        <v/>
      </c>
      <c r="AG16" s="137" t="str">
        <f aca="false">IF($A16="","",1*$D16)</f>
        <v/>
      </c>
    </row>
    <row r="17" customFormat="false" ht="39.75" hidden="false" customHeight="true" outlineLevel="0" collapsed="false">
      <c r="A17" s="157" t="s">
        <v>257</v>
      </c>
      <c r="B17" s="89" t="n">
        <v>1795</v>
      </c>
      <c r="C17" s="90" t="n">
        <v>2880</v>
      </c>
      <c r="D17" s="91" t="n">
        <v>1</v>
      </c>
      <c r="E17" s="134" t="n">
        <f aca="false">IF($A17="","",$B17)</f>
        <v>1795</v>
      </c>
      <c r="F17" s="90" t="n">
        <f aca="false">IF($A17="","",$L$54*$D17)</f>
        <v>2</v>
      </c>
      <c r="G17" s="134" t="n">
        <f aca="false">IF($A17="","",$C17-$E$55-$F$55)</f>
        <v>2830</v>
      </c>
      <c r="H17" s="90" t="n">
        <f aca="false">IF($A17="","",$L$55*$D17)</f>
        <v>1</v>
      </c>
      <c r="I17" s="134" t="n">
        <f aca="false">IF($A17="","",$C17-$E$56-$F$56)</f>
        <v>2830</v>
      </c>
      <c r="J17" s="90" t="n">
        <f aca="false">IF($A17="","",$L$56*$D17)</f>
        <v>1</v>
      </c>
      <c r="K17" s="134" t="n">
        <f aca="false">IF($A17="","",$B17-$E$57-$F$57)</f>
        <v>1705</v>
      </c>
      <c r="L17" s="90" t="n">
        <f aca="false">IF($A17="","",$L$57*$D17)</f>
        <v>2</v>
      </c>
      <c r="M17" s="134" t="n">
        <f aca="false">IF($A17="","",$G17)</f>
        <v>2830</v>
      </c>
      <c r="N17" s="90" t="n">
        <f aca="false">IF($A17="","",$L$58*$D17)</f>
        <v>2</v>
      </c>
      <c r="O17" s="134"/>
      <c r="P17" s="90"/>
      <c r="Q17" s="134"/>
      <c r="R17" s="90"/>
      <c r="S17" s="134"/>
      <c r="T17" s="90"/>
      <c r="U17" s="134"/>
      <c r="V17" s="90"/>
      <c r="W17" s="134"/>
      <c r="X17" s="90"/>
      <c r="Y17" s="134"/>
      <c r="Z17" s="90"/>
      <c r="AA17" s="134"/>
      <c r="AB17" s="90"/>
      <c r="AC17" s="134"/>
      <c r="AD17" s="90"/>
      <c r="AE17" s="135" t="n">
        <f aca="false">IF($A17="","",$B17-35-35)</f>
        <v>1725</v>
      </c>
      <c r="AF17" s="135" t="n">
        <f aca="false">IF($A17="","",$C17-35-35)</f>
        <v>2810</v>
      </c>
      <c r="AG17" s="137" t="n">
        <f aca="false">IF($A17="","",1*$D17)</f>
        <v>1</v>
      </c>
    </row>
    <row r="18" customFormat="false" ht="39.75" hidden="false" customHeight="true" outlineLevel="0" collapsed="false">
      <c r="A18" s="157" t="s">
        <v>258</v>
      </c>
      <c r="B18" s="89" t="n">
        <v>1795</v>
      </c>
      <c r="C18" s="90" t="n">
        <v>670</v>
      </c>
      <c r="D18" s="91" t="n">
        <v>1</v>
      </c>
      <c r="E18" s="139" t="n">
        <f aca="false">IF($A18="","",$B18)</f>
        <v>1795</v>
      </c>
      <c r="F18" s="140" t="n">
        <f aca="false">IF($A18="","",$L$54*$D18)</f>
        <v>2</v>
      </c>
      <c r="G18" s="139" t="n">
        <f aca="false">IF($A18="","",$C18-$E$55-$F$55)</f>
        <v>620</v>
      </c>
      <c r="H18" s="140" t="n">
        <f aca="false">IF($A18="","",$L$55*$D18)</f>
        <v>1</v>
      </c>
      <c r="I18" s="139" t="n">
        <f aca="false">IF($A18="","",$C18-$E$56-$F$56)</f>
        <v>620</v>
      </c>
      <c r="J18" s="140" t="n">
        <f aca="false">IF($A18="","",$L$56*$D18)</f>
        <v>1</v>
      </c>
      <c r="K18" s="139" t="n">
        <f aca="false">IF($A18="","",$B18-$E$57-$F$57)</f>
        <v>1705</v>
      </c>
      <c r="L18" s="140" t="n">
        <f aca="false">IF($A18="","",$L$57*$D18)</f>
        <v>2</v>
      </c>
      <c r="M18" s="139" t="n">
        <f aca="false">IF($A18="","",$G18)</f>
        <v>620</v>
      </c>
      <c r="N18" s="140" t="n">
        <f aca="false">IF($A18="","",$L$58*$D18)</f>
        <v>2</v>
      </c>
      <c r="O18" s="139"/>
      <c r="P18" s="140"/>
      <c r="Q18" s="139"/>
      <c r="R18" s="140"/>
      <c r="S18" s="139"/>
      <c r="T18" s="140"/>
      <c r="U18" s="139"/>
      <c r="V18" s="140"/>
      <c r="W18" s="139"/>
      <c r="X18" s="140"/>
      <c r="Y18" s="139"/>
      <c r="Z18" s="140"/>
      <c r="AA18" s="139"/>
      <c r="AB18" s="140"/>
      <c r="AC18" s="139"/>
      <c r="AD18" s="140"/>
      <c r="AE18" s="135" t="n">
        <f aca="false">IF($A18="","",$B18-35-35)</f>
        <v>1725</v>
      </c>
      <c r="AF18" s="135" t="n">
        <f aca="false">IF($A18="","",$C18-35-35)</f>
        <v>600</v>
      </c>
      <c r="AG18" s="137" t="n">
        <f aca="false">IF($A18="","",1*$D18)</f>
        <v>1</v>
      </c>
    </row>
    <row r="19" customFormat="false" ht="39.75" hidden="false" customHeight="true" outlineLevel="0" collapsed="false">
      <c r="A19" s="88"/>
      <c r="B19" s="89"/>
      <c r="C19" s="90"/>
      <c r="D19" s="91"/>
      <c r="E19" s="134" t="str">
        <f aca="false">IF($A19="","",$B19)</f>
        <v/>
      </c>
      <c r="F19" s="90" t="str">
        <f aca="false">IF($A19="","",$L$54*$D19)</f>
        <v/>
      </c>
      <c r="G19" s="134" t="str">
        <f aca="false">IF($A19="","",$C19-$E$55-$F$55)</f>
        <v/>
      </c>
      <c r="H19" s="90" t="str">
        <f aca="false">IF($A19="","",$L$55*$D19)</f>
        <v/>
      </c>
      <c r="I19" s="134" t="str">
        <f aca="false">IF($A19="","",$C19-$E$56-$F$56)</f>
        <v/>
      </c>
      <c r="J19" s="90" t="str">
        <f aca="false">IF($A19="","",$L$56*$D19)</f>
        <v/>
      </c>
      <c r="K19" s="134" t="str">
        <f aca="false">IF($A19="","",$B19-$E$57-$F$57)</f>
        <v/>
      </c>
      <c r="L19" s="90" t="str">
        <f aca="false">IF($A19="","",$L$57*$D19)</f>
        <v/>
      </c>
      <c r="M19" s="134" t="str">
        <f aca="false">IF($A19="","",$G19)</f>
        <v/>
      </c>
      <c r="N19" s="90" t="str">
        <f aca="false">IF($A19="","",$L$58*$D19)</f>
        <v/>
      </c>
      <c r="O19" s="134"/>
      <c r="P19" s="90"/>
      <c r="Q19" s="134"/>
      <c r="R19" s="90"/>
      <c r="S19" s="134"/>
      <c r="T19" s="90"/>
      <c r="U19" s="134"/>
      <c r="V19" s="90"/>
      <c r="W19" s="134"/>
      <c r="X19" s="90"/>
      <c r="Y19" s="134"/>
      <c r="Z19" s="90"/>
      <c r="AA19" s="134"/>
      <c r="AB19" s="90"/>
      <c r="AC19" s="134"/>
      <c r="AD19" s="90"/>
      <c r="AE19" s="135" t="str">
        <f aca="false">IF($A19="","",$B19-35-35)</f>
        <v/>
      </c>
      <c r="AF19" s="135" t="str">
        <f aca="false">IF($A19="","",$C19-35-35)</f>
        <v/>
      </c>
      <c r="AG19" s="137" t="str">
        <f aca="false">IF($A19="","",1*$D19)</f>
        <v/>
      </c>
    </row>
    <row r="20" customFormat="false" ht="39.75" hidden="false" customHeight="true" outlineLevel="0" collapsed="false">
      <c r="A20" s="138" t="s">
        <v>259</v>
      </c>
      <c r="B20" s="158" t="n">
        <v>1185</v>
      </c>
      <c r="C20" s="159" t="n">
        <v>2840</v>
      </c>
      <c r="D20" s="91" t="n">
        <v>1</v>
      </c>
      <c r="E20" s="139" t="n">
        <f aca="false">IF($A20="","",$B20)</f>
        <v>1185</v>
      </c>
      <c r="F20" s="140" t="n">
        <f aca="false">IF($A20="","",$L$54*$D20)</f>
        <v>2</v>
      </c>
      <c r="G20" s="139" t="n">
        <f aca="false">IF($A20="","",$C20-$E$55-$F$55)</f>
        <v>2790</v>
      </c>
      <c r="H20" s="140" t="n">
        <f aca="false">IF($A20="","",$L$55*$D20)</f>
        <v>1</v>
      </c>
      <c r="I20" s="139" t="n">
        <f aca="false">IF($A20="","",$C20-$E$56-$F$56)</f>
        <v>2790</v>
      </c>
      <c r="J20" s="140" t="n">
        <f aca="false">IF($A20="","",$L$56*$D20)</f>
        <v>1</v>
      </c>
      <c r="K20" s="139" t="n">
        <f aca="false">IF($A20="","",$B20-$E$57-$F$57)</f>
        <v>1095</v>
      </c>
      <c r="L20" s="140" t="n">
        <f aca="false">IF($A20="","",$L$57*$D20)</f>
        <v>2</v>
      </c>
      <c r="M20" s="139" t="n">
        <f aca="false">IF($A20="","",$G20)</f>
        <v>2790</v>
      </c>
      <c r="N20" s="140" t="n">
        <f aca="false">IF($A20="","",$L$58*$D20)</f>
        <v>2</v>
      </c>
      <c r="O20" s="139"/>
      <c r="P20" s="140"/>
      <c r="Q20" s="139"/>
      <c r="R20" s="140"/>
      <c r="S20" s="139"/>
      <c r="T20" s="140"/>
      <c r="U20" s="139"/>
      <c r="V20" s="140"/>
      <c r="W20" s="139"/>
      <c r="X20" s="140"/>
      <c r="Y20" s="139"/>
      <c r="Z20" s="140"/>
      <c r="AA20" s="139"/>
      <c r="AB20" s="140"/>
      <c r="AC20" s="139"/>
      <c r="AD20" s="140"/>
      <c r="AE20" s="135" t="n">
        <f aca="false">IF($A20="","",$B20-35-35)</f>
        <v>1115</v>
      </c>
      <c r="AF20" s="135" t="n">
        <f aca="false">IF($A20="","",$C20-35-35)</f>
        <v>2770</v>
      </c>
      <c r="AG20" s="137" t="n">
        <f aca="false">IF($A20="","",1*$D20)</f>
        <v>1</v>
      </c>
    </row>
    <row r="21" customFormat="false" ht="39.75" hidden="false" customHeight="true" outlineLevel="0" collapsed="false">
      <c r="A21" s="138" t="s">
        <v>260</v>
      </c>
      <c r="B21" s="158" t="n">
        <v>900</v>
      </c>
      <c r="C21" s="159" t="n">
        <v>890</v>
      </c>
      <c r="D21" s="91" t="n">
        <v>1</v>
      </c>
      <c r="E21" s="134" t="n">
        <f aca="false">IF($A21="","",$B21)</f>
        <v>900</v>
      </c>
      <c r="F21" s="90" t="n">
        <f aca="false">IF($A21="","",$L$54*$D21)</f>
        <v>2</v>
      </c>
      <c r="G21" s="134" t="n">
        <f aca="false">IF($A21="","",$C21-$E$55-$F$55)</f>
        <v>840</v>
      </c>
      <c r="H21" s="90" t="n">
        <f aca="false">IF($A21="","",$L$55*$D21)</f>
        <v>1</v>
      </c>
      <c r="I21" s="134" t="n">
        <f aca="false">IF($A21="","",$C21-$E$56-$F$56)</f>
        <v>840</v>
      </c>
      <c r="J21" s="90" t="n">
        <f aca="false">IF($A21="","",$L$56*$D21)</f>
        <v>1</v>
      </c>
      <c r="K21" s="134" t="n">
        <f aca="false">IF($A21="","",$B21-$E$57-$F$57)</f>
        <v>810</v>
      </c>
      <c r="L21" s="90" t="n">
        <f aca="false">IF($A21="","",$L$57*$D21)</f>
        <v>2</v>
      </c>
      <c r="M21" s="134" t="n">
        <f aca="false">IF($A21="","",$G21)</f>
        <v>840</v>
      </c>
      <c r="N21" s="90" t="n">
        <f aca="false">IF($A21="","",$L$58*$D21)</f>
        <v>2</v>
      </c>
      <c r="O21" s="134"/>
      <c r="P21" s="90"/>
      <c r="Q21" s="134"/>
      <c r="R21" s="90"/>
      <c r="S21" s="134"/>
      <c r="T21" s="90"/>
      <c r="U21" s="134"/>
      <c r="V21" s="90"/>
      <c r="W21" s="134"/>
      <c r="X21" s="90"/>
      <c r="Y21" s="134"/>
      <c r="Z21" s="90"/>
      <c r="AA21" s="134"/>
      <c r="AB21" s="90"/>
      <c r="AC21" s="134"/>
      <c r="AD21" s="90"/>
      <c r="AE21" s="135" t="n">
        <f aca="false">IF($A21="","",$B21-35-35)</f>
        <v>830</v>
      </c>
      <c r="AF21" s="135" t="n">
        <f aca="false">IF($A21="","",$C21-35-35)</f>
        <v>820</v>
      </c>
      <c r="AG21" s="137" t="n">
        <f aca="false">IF($A21="","",1*$D21)</f>
        <v>1</v>
      </c>
    </row>
    <row r="22" customFormat="false" ht="39.75" hidden="false" customHeight="true" outlineLevel="0" collapsed="false">
      <c r="A22" s="88"/>
      <c r="B22" s="89"/>
      <c r="C22" s="90"/>
      <c r="D22" s="91"/>
      <c r="E22" s="139" t="str">
        <f aca="false">IF($A22="","",$B22)</f>
        <v/>
      </c>
      <c r="F22" s="140" t="str">
        <f aca="false">IF($A22="","",$L$54*$D22)</f>
        <v/>
      </c>
      <c r="G22" s="139" t="str">
        <f aca="false">IF($A22="","",$C22-$E$55-$F$55)</f>
        <v/>
      </c>
      <c r="H22" s="140" t="str">
        <f aca="false">IF($A22="","",$L$55*$D22)</f>
        <v/>
      </c>
      <c r="I22" s="139" t="str">
        <f aca="false">IF($A22="","",$C22-$E$56-$F$56)</f>
        <v/>
      </c>
      <c r="J22" s="140" t="str">
        <f aca="false">IF($A22="","",$L$56*$D22)</f>
        <v/>
      </c>
      <c r="K22" s="139" t="str">
        <f aca="false">IF($A22="","",$B22-$E$57-$F$57)</f>
        <v/>
      </c>
      <c r="L22" s="140" t="str">
        <f aca="false">IF($A22="","",$L$57*$D22)</f>
        <v/>
      </c>
      <c r="M22" s="139" t="str">
        <f aca="false">IF($A22="","",$G22)</f>
        <v/>
      </c>
      <c r="N22" s="140" t="str">
        <f aca="false">IF($A22="","",$L$58*$D22)</f>
        <v/>
      </c>
      <c r="O22" s="139"/>
      <c r="P22" s="140"/>
      <c r="Q22" s="139"/>
      <c r="R22" s="140"/>
      <c r="S22" s="139"/>
      <c r="T22" s="140"/>
      <c r="U22" s="139"/>
      <c r="V22" s="140"/>
      <c r="W22" s="139"/>
      <c r="X22" s="140"/>
      <c r="Y22" s="139"/>
      <c r="Z22" s="140"/>
      <c r="AA22" s="139"/>
      <c r="AB22" s="140"/>
      <c r="AC22" s="139"/>
      <c r="AD22" s="140"/>
      <c r="AE22" s="135" t="str">
        <f aca="false">IF($A22="","",$B22-35-35)</f>
        <v/>
      </c>
      <c r="AF22" s="135" t="str">
        <f aca="false">IF($A22="","",$C22-35-35)</f>
        <v/>
      </c>
      <c r="AG22" s="137" t="str">
        <f aca="false">IF($A22="","",1*$D22)</f>
        <v/>
      </c>
    </row>
    <row r="23" customFormat="false" ht="39.75" hidden="false" customHeight="true" outlineLevel="0" collapsed="false">
      <c r="A23" s="138" t="s">
        <v>253</v>
      </c>
      <c r="B23" s="89" t="n">
        <v>2685</v>
      </c>
      <c r="C23" s="90" t="n">
        <v>1295</v>
      </c>
      <c r="D23" s="91" t="n">
        <v>1</v>
      </c>
      <c r="E23" s="134" t="n">
        <f aca="false">IF($A23="","",$B23)</f>
        <v>2685</v>
      </c>
      <c r="F23" s="90" t="n">
        <f aca="false">IF($A23="","",$L$54*$D23)</f>
        <v>2</v>
      </c>
      <c r="G23" s="134" t="n">
        <f aca="false">IF($A23="","",$C23-$E$55-$F$55)</f>
        <v>1245</v>
      </c>
      <c r="H23" s="90" t="n">
        <f aca="false">IF($A23="","",$L$55*$D23)</f>
        <v>1</v>
      </c>
      <c r="I23" s="134" t="n">
        <f aca="false">IF($A23="","",$C23-$E$56-$F$56)</f>
        <v>1245</v>
      </c>
      <c r="J23" s="90" t="n">
        <f aca="false">IF($A23="","",$L$56*$D23)</f>
        <v>1</v>
      </c>
      <c r="K23" s="134" t="n">
        <f aca="false">IF($A23="","",$B23-$E$57-$F$57)</f>
        <v>2595</v>
      </c>
      <c r="L23" s="90" t="n">
        <f aca="false">IF($A23="","",$L$57*$D23)</f>
        <v>2</v>
      </c>
      <c r="M23" s="134" t="n">
        <f aca="false">IF($A23="","",$G23)</f>
        <v>1245</v>
      </c>
      <c r="N23" s="90" t="n">
        <f aca="false">IF($A23="","",$L$58*$D23)</f>
        <v>2</v>
      </c>
      <c r="O23" s="134"/>
      <c r="P23" s="90"/>
      <c r="Q23" s="134"/>
      <c r="R23" s="90"/>
      <c r="S23" s="134"/>
      <c r="T23" s="90"/>
      <c r="U23" s="134"/>
      <c r="V23" s="90"/>
      <c r="W23" s="134"/>
      <c r="X23" s="90"/>
      <c r="Y23" s="134"/>
      <c r="Z23" s="90"/>
      <c r="AA23" s="134"/>
      <c r="AB23" s="90"/>
      <c r="AC23" s="134"/>
      <c r="AD23" s="90"/>
      <c r="AE23" s="135" t="n">
        <f aca="false">IF($A23="","",$B23-35-35)</f>
        <v>2615</v>
      </c>
      <c r="AF23" s="135" t="n">
        <f aca="false">IF($A23="","",$C23-35-35)</f>
        <v>1225</v>
      </c>
      <c r="AG23" s="137" t="n">
        <f aca="false">IF($A23="","",1*$D23)</f>
        <v>1</v>
      </c>
    </row>
    <row r="24" customFormat="false" ht="39.75" hidden="false" customHeight="true" outlineLevel="0" collapsed="false">
      <c r="A24" s="88"/>
      <c r="B24" s="89"/>
      <c r="C24" s="90"/>
      <c r="D24" s="91"/>
      <c r="E24" s="139" t="str">
        <f aca="false">IF($A24="","",$B24)</f>
        <v/>
      </c>
      <c r="F24" s="140" t="str">
        <f aca="false">IF($A24="","",$L$54*$D24)</f>
        <v/>
      </c>
      <c r="G24" s="139" t="str">
        <f aca="false">IF($A24="","",$C24-$E$55-$F$55)</f>
        <v/>
      </c>
      <c r="H24" s="140" t="str">
        <f aca="false">IF($A24="","",$L$55*$D24)</f>
        <v/>
      </c>
      <c r="I24" s="139" t="str">
        <f aca="false">IF($A24="","",$C24-$E$56-$F$56)</f>
        <v/>
      </c>
      <c r="J24" s="140" t="str">
        <f aca="false">IF($A24="","",$L$56*$D24)</f>
        <v/>
      </c>
      <c r="K24" s="139" t="str">
        <f aca="false">IF($A24="","",$B24-$E$57-$F$57)</f>
        <v/>
      </c>
      <c r="L24" s="140" t="str">
        <f aca="false">IF($A24="","",$L$57*$D24)</f>
        <v/>
      </c>
      <c r="M24" s="139" t="str">
        <f aca="false">IF($A24="","",$G24)</f>
        <v/>
      </c>
      <c r="N24" s="140" t="str">
        <f aca="false">IF($A24="","",$L$58*$D24)</f>
        <v/>
      </c>
      <c r="O24" s="139"/>
      <c r="P24" s="140"/>
      <c r="Q24" s="139"/>
      <c r="R24" s="140"/>
      <c r="S24" s="139"/>
      <c r="T24" s="140"/>
      <c r="U24" s="139"/>
      <c r="V24" s="140"/>
      <c r="W24" s="139"/>
      <c r="X24" s="140"/>
      <c r="Y24" s="139"/>
      <c r="Z24" s="140"/>
      <c r="AA24" s="139"/>
      <c r="AB24" s="140"/>
      <c r="AC24" s="139"/>
      <c r="AD24" s="140"/>
      <c r="AE24" s="135" t="str">
        <f aca="false">IF($A24="","",$B24-35-35)</f>
        <v/>
      </c>
      <c r="AF24" s="135" t="str">
        <f aca="false">IF($A24="","",$C24-35-35)</f>
        <v/>
      </c>
      <c r="AG24" s="137" t="str">
        <f aca="false">IF($A24="","",1*$D24)</f>
        <v/>
      </c>
    </row>
    <row r="25" customFormat="false" ht="39.75" hidden="false" customHeight="true" outlineLevel="0" collapsed="false">
      <c r="A25" s="88"/>
      <c r="B25" s="89"/>
      <c r="C25" s="90"/>
      <c r="D25" s="91"/>
      <c r="E25" s="134" t="str">
        <f aca="false">IF($A25="","",$B25)</f>
        <v/>
      </c>
      <c r="F25" s="90" t="str">
        <f aca="false">IF($A25="","",$L$54*$D25)</f>
        <v/>
      </c>
      <c r="G25" s="134" t="str">
        <f aca="false">IF($A25="","",$C25-$E$55-$F$55)</f>
        <v/>
      </c>
      <c r="H25" s="90" t="str">
        <f aca="false">IF($A25="","",$L$55*$D25)</f>
        <v/>
      </c>
      <c r="I25" s="134" t="str">
        <f aca="false">IF($A25="","",$C25-$E$56-$F$56)</f>
        <v/>
      </c>
      <c r="J25" s="90" t="str">
        <f aca="false">IF($A25="","",$L$56*$D25)</f>
        <v/>
      </c>
      <c r="K25" s="134" t="str">
        <f aca="false">IF($A25="","",$B25-$E$57-$F$57)</f>
        <v/>
      </c>
      <c r="L25" s="90" t="str">
        <f aca="false">IF($A25="","",$L$57*$D25)</f>
        <v/>
      </c>
      <c r="M25" s="134" t="str">
        <f aca="false">IF($A25="","",$G25)</f>
        <v/>
      </c>
      <c r="N25" s="90" t="str">
        <f aca="false">IF($A25="","",$L$58*$D25)</f>
        <v/>
      </c>
      <c r="O25" s="134"/>
      <c r="P25" s="90"/>
      <c r="Q25" s="134"/>
      <c r="R25" s="90"/>
      <c r="S25" s="134"/>
      <c r="T25" s="90"/>
      <c r="U25" s="134"/>
      <c r="V25" s="90"/>
      <c r="W25" s="134"/>
      <c r="X25" s="90"/>
      <c r="Y25" s="134"/>
      <c r="Z25" s="90"/>
      <c r="AA25" s="134"/>
      <c r="AB25" s="90"/>
      <c r="AC25" s="134"/>
      <c r="AD25" s="90"/>
      <c r="AE25" s="135" t="str">
        <f aca="false">IF($A25="","",$B25-35-35)</f>
        <v/>
      </c>
      <c r="AF25" s="135" t="str">
        <f aca="false">IF($A25="","",$C25-35-35)</f>
        <v/>
      </c>
      <c r="AG25" s="137" t="str">
        <f aca="false">IF($A25="","",1*$D25)</f>
        <v/>
      </c>
    </row>
    <row r="26" customFormat="false" ht="39.75" hidden="false" customHeight="true" outlineLevel="0" collapsed="false">
      <c r="A26" s="88"/>
      <c r="B26" s="89"/>
      <c r="C26" s="90"/>
      <c r="D26" s="91"/>
      <c r="E26" s="139" t="str">
        <f aca="false">IF($A26="","",$B26)</f>
        <v/>
      </c>
      <c r="F26" s="140" t="str">
        <f aca="false">IF($A26="","",$L$54*$D26)</f>
        <v/>
      </c>
      <c r="G26" s="139" t="str">
        <f aca="false">IF($A26="","",$C26-$E$55-$F$55)</f>
        <v/>
      </c>
      <c r="H26" s="140" t="str">
        <f aca="false">IF($A26="","",$L$55*$D26)</f>
        <v/>
      </c>
      <c r="I26" s="139" t="str">
        <f aca="false">IF($A26="","",$C26-$E$56-$F$56)</f>
        <v/>
      </c>
      <c r="J26" s="140" t="str">
        <f aca="false">IF($A26="","",$L$56*$D26)</f>
        <v/>
      </c>
      <c r="K26" s="139" t="str">
        <f aca="false">IF($A26="","",$B26-$E$57-$F$57)</f>
        <v/>
      </c>
      <c r="L26" s="140" t="str">
        <f aca="false">IF($A26="","",$L$57*$D26)</f>
        <v/>
      </c>
      <c r="M26" s="139" t="str">
        <f aca="false">IF($A26="","",$G26)</f>
        <v/>
      </c>
      <c r="N26" s="140" t="str">
        <f aca="false">IF($A26="","",$L$58*$D26)</f>
        <v/>
      </c>
      <c r="O26" s="139"/>
      <c r="P26" s="140"/>
      <c r="Q26" s="139"/>
      <c r="R26" s="140"/>
      <c r="S26" s="139"/>
      <c r="T26" s="140"/>
      <c r="U26" s="139"/>
      <c r="V26" s="140"/>
      <c r="W26" s="139"/>
      <c r="X26" s="140"/>
      <c r="Y26" s="139"/>
      <c r="Z26" s="140"/>
      <c r="AA26" s="139"/>
      <c r="AB26" s="140"/>
      <c r="AC26" s="139"/>
      <c r="AD26" s="140"/>
      <c r="AE26" s="135" t="str">
        <f aca="false">IF($A26="","",$B26-35-35)</f>
        <v/>
      </c>
      <c r="AF26" s="135" t="str">
        <f aca="false">IF($A26="","",$C26-35-35)</f>
        <v/>
      </c>
      <c r="AG26" s="137" t="str">
        <f aca="false">IF($A26="","",1*$D26)</f>
        <v/>
      </c>
    </row>
    <row r="27" customFormat="false" ht="39.75" hidden="false" customHeight="true" outlineLevel="0" collapsed="false">
      <c r="A27" s="88"/>
      <c r="B27" s="89"/>
      <c r="C27" s="90"/>
      <c r="D27" s="91"/>
      <c r="E27" s="134" t="str">
        <f aca="false">IF($A27="","",$B27)</f>
        <v/>
      </c>
      <c r="F27" s="90" t="str">
        <f aca="false">IF($A27="","",$L$54*$D27)</f>
        <v/>
      </c>
      <c r="G27" s="134" t="str">
        <f aca="false">IF($A27="","",$C27-$E$55-$F$55)</f>
        <v/>
      </c>
      <c r="H27" s="90" t="str">
        <f aca="false">IF($A27="","",$L$55*$D27)</f>
        <v/>
      </c>
      <c r="I27" s="134" t="str">
        <f aca="false">IF($A27="","",$C27-$E$56-$F$56)</f>
        <v/>
      </c>
      <c r="J27" s="90" t="str">
        <f aca="false">IF($A27="","",$L$56*$D27)</f>
        <v/>
      </c>
      <c r="K27" s="134" t="str">
        <f aca="false">IF($A27="","",$B27-$E$57-$F$57)</f>
        <v/>
      </c>
      <c r="L27" s="90" t="str">
        <f aca="false">IF($A27="","",$L$57*$D27)</f>
        <v/>
      </c>
      <c r="M27" s="134" t="str">
        <f aca="false">IF($A27="","",$G27)</f>
        <v/>
      </c>
      <c r="N27" s="90" t="str">
        <f aca="false">IF($A27="","",$L$58*$D27)</f>
        <v/>
      </c>
      <c r="O27" s="134"/>
      <c r="P27" s="90"/>
      <c r="Q27" s="134"/>
      <c r="R27" s="90"/>
      <c r="S27" s="134"/>
      <c r="T27" s="90"/>
      <c r="U27" s="134"/>
      <c r="V27" s="90"/>
      <c r="W27" s="134"/>
      <c r="X27" s="90"/>
      <c r="Y27" s="134"/>
      <c r="Z27" s="90"/>
      <c r="AA27" s="134"/>
      <c r="AB27" s="90"/>
      <c r="AC27" s="134"/>
      <c r="AD27" s="90"/>
      <c r="AE27" s="135" t="str">
        <f aca="false">IF($A27="","",$B27-35-35)</f>
        <v/>
      </c>
      <c r="AF27" s="135" t="str">
        <f aca="false">IF($A27="","",$C27-35-35)</f>
        <v/>
      </c>
      <c r="AG27" s="137" t="str">
        <f aca="false">IF($A27="","",1*$D27)</f>
        <v/>
      </c>
    </row>
    <row r="28" customFormat="false" ht="39.75" hidden="false" customHeight="true" outlineLevel="0" collapsed="false">
      <c r="A28" s="88"/>
      <c r="B28" s="89"/>
      <c r="C28" s="90"/>
      <c r="D28" s="91"/>
      <c r="E28" s="139" t="str">
        <f aca="false">IF($A28="","",$B28)</f>
        <v/>
      </c>
      <c r="F28" s="140" t="str">
        <f aca="false">IF($A28="","",$L$54*$D28)</f>
        <v/>
      </c>
      <c r="G28" s="139" t="str">
        <f aca="false">IF($A28="","",$C28-$E$55-$F$55)</f>
        <v/>
      </c>
      <c r="H28" s="140" t="str">
        <f aca="false">IF($A28="","",$L$55*$D28)</f>
        <v/>
      </c>
      <c r="I28" s="139" t="str">
        <f aca="false">IF($A28="","",$C28-$E$56-$F$56)</f>
        <v/>
      </c>
      <c r="J28" s="140" t="str">
        <f aca="false">IF($A28="","",$L$56*$D28)</f>
        <v/>
      </c>
      <c r="K28" s="139" t="str">
        <f aca="false">IF($A28="","",$B28-$E$57-$F$57)</f>
        <v/>
      </c>
      <c r="L28" s="140" t="str">
        <f aca="false">IF($A28="","",$L$57*$D28)</f>
        <v/>
      </c>
      <c r="M28" s="139" t="str">
        <f aca="false">IF($A28="","",$G28)</f>
        <v/>
      </c>
      <c r="N28" s="140" t="str">
        <f aca="false">IF($A28="","",$L$58*$D28)</f>
        <v/>
      </c>
      <c r="O28" s="139"/>
      <c r="P28" s="140"/>
      <c r="Q28" s="139"/>
      <c r="R28" s="140"/>
      <c r="S28" s="139"/>
      <c r="T28" s="140"/>
      <c r="U28" s="139"/>
      <c r="V28" s="140"/>
      <c r="W28" s="139"/>
      <c r="X28" s="140"/>
      <c r="Y28" s="139"/>
      <c r="Z28" s="140"/>
      <c r="AA28" s="139"/>
      <c r="AB28" s="140"/>
      <c r="AC28" s="139"/>
      <c r="AD28" s="140"/>
      <c r="AE28" s="135" t="str">
        <f aca="false">IF($A28="","",$B28-35-35)</f>
        <v/>
      </c>
      <c r="AF28" s="135" t="str">
        <f aca="false">IF($A28="","",$C28-35-35)</f>
        <v/>
      </c>
      <c r="AG28" s="137" t="str">
        <f aca="false">IF($A28="","",1*$D28)</f>
        <v/>
      </c>
    </row>
    <row r="29" customFormat="false" ht="39.75" hidden="false" customHeight="true" outlineLevel="0" collapsed="false"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141" t="str">
        <f aca="false">E$7</f>
        <v>F7937</v>
      </c>
      <c r="F30" s="141"/>
      <c r="G30" s="141"/>
      <c r="H30" s="142" t="n">
        <f aca="false">(ROUNDUP(SUM(F49:H49)/6400,0))</f>
        <v>9</v>
      </c>
      <c r="I30" s="142" t="str">
        <f aca="false">I$7</f>
        <v>F7858</v>
      </c>
      <c r="J30" s="142" t="n">
        <f aca="false">(ROUNDUP(J49/6400,0))</f>
        <v>3</v>
      </c>
      <c r="K30" s="141" t="str">
        <f aca="false">K$7</f>
        <v>F7935</v>
      </c>
      <c r="L30" s="141"/>
      <c r="M30" s="141"/>
      <c r="N30" s="142" t="n">
        <f aca="false">(ROUNDUP(SUM(L49:N49)/6400,0))</f>
        <v>12</v>
      </c>
      <c r="O30" s="141" t="n">
        <f aca="false">O$7</f>
        <v>0</v>
      </c>
      <c r="P30" s="141"/>
      <c r="Q30" s="141"/>
      <c r="R30" s="142" t="n">
        <f aca="false">(ROUNDUP(SUM(P49:R49)/6400,0))</f>
        <v>0</v>
      </c>
      <c r="S30" s="142" t="n">
        <f aca="false">S$7</f>
        <v>0</v>
      </c>
      <c r="T30" s="142" t="n">
        <f aca="false">(ROUNDUP(T49/6400,0))</f>
        <v>0</v>
      </c>
      <c r="U30" s="142" t="n">
        <f aca="false">U$7</f>
        <v>0</v>
      </c>
      <c r="V30" s="142" t="n">
        <f aca="false">(ROUNDUP(V49/6400,0))</f>
        <v>0</v>
      </c>
      <c r="W30" s="142" t="n">
        <f aca="false">W$7</f>
        <v>0</v>
      </c>
      <c r="X30" s="142" t="n">
        <f aca="false">(ROUNDUP(X49/6400,0))</f>
        <v>0</v>
      </c>
      <c r="Y30" s="142" t="n">
        <f aca="false">Y$7</f>
        <v>0</v>
      </c>
      <c r="Z30" s="142" t="n">
        <f aca="false">(ROUNDUP(Z49/6400,0))</f>
        <v>0</v>
      </c>
      <c r="AA30" s="142" t="n">
        <f aca="false">AA$7</f>
        <v>0</v>
      </c>
      <c r="AB30" s="142" t="n">
        <f aca="false">(ROUNDUP(AB49/6400,0))</f>
        <v>0</v>
      </c>
      <c r="AC30" s="142" t="n">
        <f aca="false">AC$7</f>
        <v>0</v>
      </c>
      <c r="AD30" s="142" t="n">
        <f aca="false">(ROUNDUP(AD49/6400,0))</f>
        <v>0</v>
      </c>
    </row>
    <row r="31" customFormat="false" ht="39.75" hidden="true" customHeight="true" outlineLevel="0" collapsed="false">
      <c r="F31" s="67" t="n">
        <f aca="false">IF($A11="","",F11*E11)</f>
        <v>4170</v>
      </c>
      <c r="G31" s="67"/>
      <c r="H31" s="67" t="n">
        <f aca="false">IF($A11="","",H11*G11)</f>
        <v>1810</v>
      </c>
      <c r="I31" s="67"/>
      <c r="J31" s="67" t="n">
        <f aca="false">IF($A11="","",J11*I11)</f>
        <v>1810</v>
      </c>
      <c r="K31" s="67"/>
      <c r="L31" s="67" t="n">
        <f aca="false">IF($A11="","",L11*K11)</f>
        <v>3990</v>
      </c>
      <c r="M31" s="67"/>
      <c r="N31" s="67" t="n">
        <f aca="false">IF($A11="","",N11*M11)</f>
        <v>3620</v>
      </c>
      <c r="O31" s="67"/>
      <c r="P31" s="67" t="n">
        <f aca="false">IF($A11="","",P11*O11)</f>
        <v>0</v>
      </c>
      <c r="Q31" s="67"/>
      <c r="R31" s="67" t="n">
        <f aca="false">IF($A11="","",R11*Q11)</f>
        <v>0</v>
      </c>
      <c r="S31" s="67"/>
      <c r="T31" s="67" t="n">
        <f aca="false">IF($A11="","",T11*S11)</f>
        <v>0</v>
      </c>
      <c r="U31" s="67"/>
      <c r="V31" s="67" t="n">
        <f aca="false">IF($A11="","",V11*U11)</f>
        <v>0</v>
      </c>
      <c r="W31" s="67"/>
      <c r="X31" s="67" t="n">
        <f aca="false">IF($A11="","",X11*W11)</f>
        <v>0</v>
      </c>
      <c r="Y31" s="67"/>
      <c r="Z31" s="67" t="n">
        <f aca="false">IF($A11="","",Z11*Y11)</f>
        <v>0</v>
      </c>
      <c r="AA31" s="67"/>
      <c r="AB31" s="67" t="n">
        <f aca="false">IF($A11="","",AB11*AA11)</f>
        <v>0</v>
      </c>
      <c r="AC31" s="67"/>
      <c r="AD31" s="67" t="n">
        <f aca="false">IF($A11="","",AD11*AC11)</f>
        <v>0</v>
      </c>
    </row>
    <row r="32" customFormat="false" ht="39.75" hidden="true" customHeight="true" outlineLevel="0" collapsed="false">
      <c r="F32" s="67" t="n">
        <f aca="false">IF($A12="","",F12*E12)</f>
        <v>4570</v>
      </c>
      <c r="G32" s="67"/>
      <c r="H32" s="67" t="n">
        <f aca="false">IF($A12="","",H12*G12)</f>
        <v>1245</v>
      </c>
      <c r="I32" s="67"/>
      <c r="J32" s="67" t="n">
        <f aca="false">IF($A12="","",J12*I12)</f>
        <v>1245</v>
      </c>
      <c r="K32" s="67"/>
      <c r="L32" s="67" t="n">
        <f aca="false">IF($A12="","",L12*K12)</f>
        <v>4390</v>
      </c>
      <c r="M32" s="67"/>
      <c r="N32" s="67" t="n">
        <f aca="false">IF($A12="","",N12*M12)</f>
        <v>2490</v>
      </c>
      <c r="O32" s="67"/>
      <c r="P32" s="67" t="n">
        <f aca="false">IF($A12="","",P12*O12)</f>
        <v>0</v>
      </c>
      <c r="Q32" s="67"/>
      <c r="R32" s="67" t="n">
        <f aca="false">IF($A12="","",R12*Q12)</f>
        <v>0</v>
      </c>
      <c r="S32" s="67"/>
      <c r="T32" s="67" t="n">
        <f aca="false">IF($A12="","",T12*S12)</f>
        <v>0</v>
      </c>
      <c r="U32" s="67"/>
      <c r="V32" s="67" t="n">
        <f aca="false">IF($A12="","",V12*U12)</f>
        <v>0</v>
      </c>
      <c r="W32" s="67"/>
      <c r="X32" s="67" t="n">
        <f aca="false">IF($A12="","",X12*W12)</f>
        <v>0</v>
      </c>
      <c r="Y32" s="67"/>
      <c r="Z32" s="67" t="n">
        <f aca="false">IF($A12="","",Z12*Y12)</f>
        <v>0</v>
      </c>
      <c r="AA32" s="67"/>
      <c r="AB32" s="67" t="n">
        <f aca="false">IF($A12="","",AB12*AA12)</f>
        <v>0</v>
      </c>
      <c r="AC32" s="67"/>
      <c r="AD32" s="67" t="n">
        <f aca="false">IF($A12="","",AD12*AC12)</f>
        <v>0</v>
      </c>
    </row>
    <row r="33" customFormat="false" ht="39.75" hidden="true" customHeight="true" outlineLevel="0" collapsed="false">
      <c r="F33" s="67" t="n">
        <f aca="false">IF($A13="","",F13*E13)</f>
        <v>3560</v>
      </c>
      <c r="G33" s="67"/>
      <c r="H33" s="67" t="n">
        <f aca="false">IF($A13="","",H13*G13)</f>
        <v>2780</v>
      </c>
      <c r="I33" s="67"/>
      <c r="J33" s="67" t="n">
        <f aca="false">IF($A13="","",J13*I13)</f>
        <v>2780</v>
      </c>
      <c r="K33" s="67"/>
      <c r="L33" s="67" t="n">
        <f aca="false">IF($A13="","",L13*K13)</f>
        <v>3380</v>
      </c>
      <c r="M33" s="67"/>
      <c r="N33" s="67" t="n">
        <f aca="false">IF($A13="","",N13*M13)</f>
        <v>5560</v>
      </c>
      <c r="O33" s="67"/>
      <c r="P33" s="67" t="n">
        <f aca="false">IF($A13="","",P13*O13)</f>
        <v>0</v>
      </c>
      <c r="Q33" s="67"/>
      <c r="R33" s="67" t="n">
        <f aca="false">IF($A13="","",R13*Q13)</f>
        <v>0</v>
      </c>
      <c r="S33" s="67"/>
      <c r="T33" s="67" t="n">
        <f aca="false">IF($A13="","",T13*S13)</f>
        <v>0</v>
      </c>
      <c r="U33" s="67"/>
      <c r="V33" s="67" t="n">
        <f aca="false">IF($A13="","",V13*U13)</f>
        <v>0</v>
      </c>
      <c r="W33" s="67"/>
      <c r="X33" s="67" t="n">
        <f aca="false">IF($A13="","",X13*W13)</f>
        <v>0</v>
      </c>
      <c r="Y33" s="67"/>
      <c r="Z33" s="67" t="n">
        <f aca="false">IF($A13="","",Z13*Y13)</f>
        <v>0</v>
      </c>
      <c r="AA33" s="67"/>
      <c r="AB33" s="67" t="n">
        <f aca="false">IF($A13="","",AB13*AA13)</f>
        <v>0</v>
      </c>
      <c r="AC33" s="67"/>
      <c r="AD33" s="67" t="n">
        <f aca="false">IF($A13="","",AD13*AC13)</f>
        <v>0</v>
      </c>
    </row>
    <row r="34" customFormat="false" ht="39.75" hidden="true" customHeight="true" outlineLevel="0" collapsed="false">
      <c r="F34" s="67" t="n">
        <f aca="false">IF($A14="","",F14*E14)</f>
        <v>3980</v>
      </c>
      <c r="G34" s="67"/>
      <c r="H34" s="67" t="n">
        <f aca="false">IF($A14="","",H14*G14)</f>
        <v>3410</v>
      </c>
      <c r="I34" s="67"/>
      <c r="J34" s="67" t="n">
        <f aca="false">IF($A14="","",J14*I14)</f>
        <v>3410</v>
      </c>
      <c r="K34" s="67"/>
      <c r="L34" s="67" t="n">
        <f aca="false">IF($A14="","",L14*K14)</f>
        <v>3800</v>
      </c>
      <c r="M34" s="67"/>
      <c r="N34" s="67" t="n">
        <f aca="false">IF($A14="","",N14*M14)</f>
        <v>6820</v>
      </c>
      <c r="O34" s="67"/>
      <c r="P34" s="67" t="n">
        <f aca="false">IF($A14="","",P14*O14)</f>
        <v>0</v>
      </c>
      <c r="Q34" s="67"/>
      <c r="R34" s="67" t="n">
        <f aca="false">IF($A14="","",R14*Q14)</f>
        <v>0</v>
      </c>
      <c r="S34" s="67"/>
      <c r="T34" s="67" t="n">
        <f aca="false">IF($A14="","",T14*S14)</f>
        <v>0</v>
      </c>
      <c r="U34" s="67"/>
      <c r="V34" s="67" t="n">
        <f aca="false">IF($A14="","",V14*U14)</f>
        <v>0</v>
      </c>
      <c r="W34" s="67"/>
      <c r="X34" s="67" t="n">
        <f aca="false">IF($A14="","",X14*W14)</f>
        <v>0</v>
      </c>
      <c r="Y34" s="67"/>
      <c r="Z34" s="67" t="n">
        <f aca="false">IF($A14="","",Z14*Y14)</f>
        <v>0</v>
      </c>
      <c r="AA34" s="67"/>
      <c r="AB34" s="67" t="n">
        <f aca="false">IF($A14="","",AB14*AA14)</f>
        <v>0</v>
      </c>
      <c r="AC34" s="67"/>
      <c r="AD34" s="67" t="n">
        <f aca="false">IF($A14="","",AD14*AC14)</f>
        <v>0</v>
      </c>
    </row>
    <row r="35" customFormat="false" ht="39.75" hidden="true" customHeight="true" outlineLevel="0" collapsed="false">
      <c r="F35" s="67" t="n">
        <f aca="false">IF($A15="","",F15*E15)</f>
        <v>5350</v>
      </c>
      <c r="G35" s="67"/>
      <c r="H35" s="67" t="n">
        <f aca="false">IF($A15="","",H15*G15)</f>
        <v>1245</v>
      </c>
      <c r="I35" s="67"/>
      <c r="J35" s="67" t="n">
        <f aca="false">IF($A15="","",J15*I15)</f>
        <v>1245</v>
      </c>
      <c r="K35" s="67"/>
      <c r="L35" s="67" t="n">
        <f aca="false">IF($A15="","",L15*K15)</f>
        <v>5170</v>
      </c>
      <c r="M35" s="67"/>
      <c r="N35" s="67" t="n">
        <f aca="false">IF($A15="","",N15*M15)</f>
        <v>2490</v>
      </c>
      <c r="O35" s="67"/>
      <c r="P35" s="67" t="n">
        <f aca="false">IF($A15="","",P15*O15)</f>
        <v>0</v>
      </c>
      <c r="Q35" s="67"/>
      <c r="R35" s="67" t="n">
        <f aca="false">IF($A15="","",R15*Q15)</f>
        <v>0</v>
      </c>
      <c r="S35" s="67"/>
      <c r="T35" s="67" t="n">
        <f aca="false">IF($A15="","",T15*S15)</f>
        <v>0</v>
      </c>
      <c r="U35" s="67"/>
      <c r="V35" s="67" t="n">
        <f aca="false">IF($A15="","",V15*U15)</f>
        <v>0</v>
      </c>
      <c r="W35" s="67"/>
      <c r="X35" s="67" t="n">
        <f aca="false">IF($A15="","",X15*W15)</f>
        <v>0</v>
      </c>
      <c r="Y35" s="67"/>
      <c r="Z35" s="67" t="n">
        <f aca="false">IF($A15="","",Z15*Y15)</f>
        <v>0</v>
      </c>
      <c r="AA35" s="67"/>
      <c r="AB35" s="67" t="n">
        <f aca="false">IF($A15="","",AB15*AA15)</f>
        <v>0</v>
      </c>
      <c r="AC35" s="67"/>
      <c r="AD35" s="67" t="n">
        <f aca="false">IF($A15="","",AD15*AC15)</f>
        <v>0</v>
      </c>
    </row>
    <row r="36" customFormat="false" ht="15" hidden="true" customHeight="true" outlineLevel="0" collapsed="false">
      <c r="F36" s="67" t="str">
        <f aca="false">IF($A16="","",F16*E16)</f>
        <v/>
      </c>
      <c r="G36" s="67"/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  <c r="AC36" s="67"/>
      <c r="AD36" s="67" t="str">
        <f aca="false">IF($A16="","",AD16*AC16)</f>
        <v/>
      </c>
    </row>
    <row r="37" customFormat="false" ht="15" hidden="true" customHeight="true" outlineLevel="0" collapsed="false">
      <c r="F37" s="67" t="n">
        <f aca="false">IF($A17="","",F17*E17)</f>
        <v>3590</v>
      </c>
      <c r="G37" s="67"/>
      <c r="H37" s="67" t="n">
        <f aca="false">IF($A17="","",H17*G17)</f>
        <v>2830</v>
      </c>
      <c r="I37" s="67"/>
      <c r="J37" s="67" t="n">
        <f aca="false">IF($A17="","",J17*I17)</f>
        <v>2830</v>
      </c>
      <c r="K37" s="67"/>
      <c r="L37" s="67" t="n">
        <f aca="false">IF($A17="","",L17*K17)</f>
        <v>3410</v>
      </c>
      <c r="M37" s="67"/>
      <c r="N37" s="67" t="n">
        <f aca="false">IF($A17="","",N17*M17)</f>
        <v>5660</v>
      </c>
      <c r="O37" s="67"/>
      <c r="P37" s="67" t="n">
        <f aca="false">IF($A17="","",P17*O17)</f>
        <v>0</v>
      </c>
      <c r="Q37" s="67"/>
      <c r="R37" s="67" t="n">
        <f aca="false">IF($A17="","",R17*Q17)</f>
        <v>0</v>
      </c>
      <c r="S37" s="67"/>
      <c r="T37" s="67" t="n">
        <f aca="false">IF($A17="","",T17*S17)</f>
        <v>0</v>
      </c>
      <c r="U37" s="67"/>
      <c r="V37" s="67" t="n">
        <f aca="false">IF($A17="","",V17*U17)</f>
        <v>0</v>
      </c>
      <c r="W37" s="67"/>
      <c r="X37" s="67" t="n">
        <f aca="false">IF($A17="","",X17*W17)</f>
        <v>0</v>
      </c>
      <c r="Y37" s="67"/>
      <c r="Z37" s="67" t="n">
        <f aca="false">IF($A17="","",Z17*Y17)</f>
        <v>0</v>
      </c>
      <c r="AA37" s="67"/>
      <c r="AB37" s="67" t="n">
        <f aca="false">IF($A17="","",AB17*AA17)</f>
        <v>0</v>
      </c>
      <c r="AC37" s="67"/>
      <c r="AD37" s="67" t="n">
        <f aca="false">IF($A17="","",AD17*AC17)</f>
        <v>0</v>
      </c>
    </row>
    <row r="38" customFormat="false" ht="15" hidden="true" customHeight="true" outlineLevel="0" collapsed="false">
      <c r="F38" s="67" t="n">
        <f aca="false">IF($A18="","",F18*E18)</f>
        <v>3590</v>
      </c>
      <c r="G38" s="67"/>
      <c r="H38" s="67" t="n">
        <f aca="false">IF($A18="","",H18*G18)</f>
        <v>620</v>
      </c>
      <c r="I38" s="67"/>
      <c r="J38" s="67" t="n">
        <f aca="false">IF($A18="","",J18*I18)</f>
        <v>620</v>
      </c>
      <c r="K38" s="67"/>
      <c r="L38" s="67" t="n">
        <f aca="false">IF($A18="","",L18*K18)</f>
        <v>3410</v>
      </c>
      <c r="M38" s="67"/>
      <c r="N38" s="67" t="n">
        <f aca="false">IF($A18="","",N18*M18)</f>
        <v>1240</v>
      </c>
      <c r="O38" s="67"/>
      <c r="P38" s="67" t="n">
        <f aca="false">IF($A18="","",P18*O18)</f>
        <v>0</v>
      </c>
      <c r="Q38" s="67"/>
      <c r="R38" s="67" t="n">
        <f aca="false">IF($A18="","",R18*Q18)</f>
        <v>0</v>
      </c>
      <c r="S38" s="67"/>
      <c r="T38" s="67" t="n">
        <f aca="false">IF($A18="","",T18*S18)</f>
        <v>0</v>
      </c>
      <c r="U38" s="67"/>
      <c r="V38" s="67" t="n">
        <f aca="false">IF($A18="","",V18*U18)</f>
        <v>0</v>
      </c>
      <c r="W38" s="67"/>
      <c r="X38" s="67" t="n">
        <f aca="false">IF($A18="","",X18*W18)</f>
        <v>0</v>
      </c>
      <c r="Y38" s="67"/>
      <c r="Z38" s="67" t="n">
        <f aca="false">IF($A18="","",Z18*Y18)</f>
        <v>0</v>
      </c>
      <c r="AA38" s="67"/>
      <c r="AB38" s="67" t="n">
        <f aca="false">IF($A18="","",AB18*AA18)</f>
        <v>0</v>
      </c>
      <c r="AC38" s="67"/>
      <c r="AD38" s="67" t="n">
        <f aca="false">IF($A18="","",AD18*AC18)</f>
        <v>0</v>
      </c>
    </row>
    <row r="39" customFormat="false" ht="15" hidden="true" customHeight="true" outlineLevel="0" collapsed="false">
      <c r="F39" s="67" t="str">
        <f aca="false">IF($A19="","",F19*E19)</f>
        <v/>
      </c>
      <c r="G39" s="67"/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  <c r="AC39" s="67"/>
      <c r="AD39" s="67" t="str">
        <f aca="false">IF($A19="","",AD19*AC19)</f>
        <v/>
      </c>
    </row>
    <row r="40" customFormat="false" ht="15" hidden="true" customHeight="true" outlineLevel="0" collapsed="false">
      <c r="F40" s="67" t="n">
        <f aca="false">IF($A20="","",F20*E20)</f>
        <v>2370</v>
      </c>
      <c r="G40" s="67"/>
      <c r="H40" s="67" t="n">
        <f aca="false">IF($A20="","",H20*G20)</f>
        <v>2790</v>
      </c>
      <c r="I40" s="67"/>
      <c r="J40" s="67" t="n">
        <f aca="false">IF($A20="","",J20*I20)</f>
        <v>2790</v>
      </c>
      <c r="K40" s="67"/>
      <c r="L40" s="67" t="n">
        <f aca="false">IF($A20="","",L20*K20)</f>
        <v>2190</v>
      </c>
      <c r="M40" s="67"/>
      <c r="N40" s="67" t="n">
        <f aca="false">IF($A20="","",N20*M20)</f>
        <v>5580</v>
      </c>
      <c r="O40" s="67"/>
      <c r="P40" s="67" t="n">
        <f aca="false">IF($A20="","",P20*O20)</f>
        <v>0</v>
      </c>
      <c r="Q40" s="67"/>
      <c r="R40" s="67" t="n">
        <f aca="false">IF($A20="","",R20*Q20)</f>
        <v>0</v>
      </c>
      <c r="S40" s="67"/>
      <c r="T40" s="67" t="n">
        <f aca="false">IF($A20="","",T20*S20)</f>
        <v>0</v>
      </c>
      <c r="U40" s="67"/>
      <c r="V40" s="67" t="n">
        <f aca="false">IF($A20="","",V20*U20)</f>
        <v>0</v>
      </c>
      <c r="W40" s="67"/>
      <c r="X40" s="67" t="n">
        <f aca="false">IF($A20="","",X20*W20)</f>
        <v>0</v>
      </c>
      <c r="Y40" s="67"/>
      <c r="Z40" s="67" t="n">
        <f aca="false">IF($A20="","",Z20*Y20)</f>
        <v>0</v>
      </c>
      <c r="AA40" s="67"/>
      <c r="AB40" s="67" t="n">
        <f aca="false">IF($A20="","",AB20*AA20)</f>
        <v>0</v>
      </c>
      <c r="AC40" s="67"/>
      <c r="AD40" s="67" t="n">
        <f aca="false">IF($A20="","",AD20*AC20)</f>
        <v>0</v>
      </c>
    </row>
    <row r="41" customFormat="false" ht="15" hidden="true" customHeight="true" outlineLevel="0" collapsed="false">
      <c r="F41" s="67" t="n">
        <f aca="false">IF($A21="","",F21*E21)</f>
        <v>1800</v>
      </c>
      <c r="G41" s="67"/>
      <c r="H41" s="67" t="n">
        <f aca="false">IF($A21="","",H21*G21)</f>
        <v>840</v>
      </c>
      <c r="I41" s="67"/>
      <c r="J41" s="67" t="n">
        <f aca="false">IF($A21="","",J21*I21)</f>
        <v>840</v>
      </c>
      <c r="K41" s="67"/>
      <c r="L41" s="67" t="n">
        <f aca="false">IF($A21="","",L21*K21)</f>
        <v>1620</v>
      </c>
      <c r="M41" s="67"/>
      <c r="N41" s="67" t="n">
        <f aca="false">IF($A21="","",N21*M21)</f>
        <v>1680</v>
      </c>
      <c r="O41" s="67"/>
      <c r="P41" s="67" t="n">
        <f aca="false">IF($A21="","",P21*O21)</f>
        <v>0</v>
      </c>
      <c r="Q41" s="67"/>
      <c r="R41" s="67" t="n">
        <f aca="false">IF($A21="","",R21*Q21)</f>
        <v>0</v>
      </c>
      <c r="S41" s="67"/>
      <c r="T41" s="67" t="n">
        <f aca="false">IF($A21="","",T21*S21)</f>
        <v>0</v>
      </c>
      <c r="U41" s="67"/>
      <c r="V41" s="67" t="n">
        <f aca="false">IF($A21="","",V21*U21)</f>
        <v>0</v>
      </c>
      <c r="W41" s="67"/>
      <c r="X41" s="67" t="n">
        <f aca="false">IF($A21="","",X21*W21)</f>
        <v>0</v>
      </c>
      <c r="Y41" s="67"/>
      <c r="Z41" s="67" t="n">
        <f aca="false">IF($A21="","",Z21*Y21)</f>
        <v>0</v>
      </c>
      <c r="AA41" s="67"/>
      <c r="AB41" s="67" t="n">
        <f aca="false">IF($A21="","",AB21*AA21)</f>
        <v>0</v>
      </c>
      <c r="AC41" s="67"/>
      <c r="AD41" s="67" t="n">
        <f aca="false">IF($A21="","",AD21*AC21)</f>
        <v>0</v>
      </c>
    </row>
    <row r="42" customFormat="false" ht="15" hidden="true" customHeight="true" outlineLevel="0" collapsed="false">
      <c r="F42" s="67" t="str">
        <f aca="false">IF($A22="","",F22*E22)</f>
        <v/>
      </c>
      <c r="G42" s="67"/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  <c r="AC42" s="67"/>
      <c r="AD42" s="67" t="str">
        <f aca="false">IF($A22="","",AD22*AC22)</f>
        <v/>
      </c>
    </row>
    <row r="43" customFormat="false" ht="15" hidden="true" customHeight="true" outlineLevel="0" collapsed="false">
      <c r="F43" s="67" t="n">
        <f aca="false">IF($A23="","",F23*E23)</f>
        <v>5370</v>
      </c>
      <c r="G43" s="67"/>
      <c r="H43" s="67" t="n">
        <f aca="false">IF($A23="","",H23*G23)</f>
        <v>1245</v>
      </c>
      <c r="I43" s="67"/>
      <c r="J43" s="67" t="n">
        <f aca="false">IF($A23="","",J23*I23)</f>
        <v>1245</v>
      </c>
      <c r="K43" s="67"/>
      <c r="L43" s="67" t="n">
        <f aca="false">IF($A23="","",L23*K23)</f>
        <v>5190</v>
      </c>
      <c r="M43" s="67"/>
      <c r="N43" s="67" t="n">
        <f aca="false">IF($A23="","",N23*M23)</f>
        <v>2490</v>
      </c>
      <c r="O43" s="67"/>
      <c r="P43" s="67" t="n">
        <f aca="false">IF($A23="","",P23*O23)</f>
        <v>0</v>
      </c>
      <c r="Q43" s="67"/>
      <c r="R43" s="67" t="n">
        <f aca="false">IF($A23="","",R23*Q23)</f>
        <v>0</v>
      </c>
      <c r="S43" s="67"/>
      <c r="T43" s="67" t="n">
        <f aca="false">IF($A23="","",T23*S23)</f>
        <v>0</v>
      </c>
      <c r="U43" s="67"/>
      <c r="V43" s="67" t="n">
        <f aca="false">IF($A23="","",V23*U23)</f>
        <v>0</v>
      </c>
      <c r="W43" s="67"/>
      <c r="X43" s="67" t="n">
        <f aca="false">IF($A23="","",X23*W23)</f>
        <v>0</v>
      </c>
      <c r="Y43" s="67"/>
      <c r="Z43" s="67" t="n">
        <f aca="false">IF($A23="","",Z23*Y23)</f>
        <v>0</v>
      </c>
      <c r="AA43" s="67"/>
      <c r="AB43" s="67" t="n">
        <f aca="false">IF($A23="","",AB23*AA23)</f>
        <v>0</v>
      </c>
      <c r="AC43" s="67"/>
      <c r="AD43" s="67" t="n">
        <f aca="false">IF($A23="","",AD23*AC23)</f>
        <v>0</v>
      </c>
    </row>
    <row r="44" customFormat="false" ht="15" hidden="true" customHeight="true" outlineLevel="0" collapsed="false">
      <c r="F44" s="67" t="str">
        <f aca="false">IF($A24="","",F24*E24)</f>
        <v/>
      </c>
      <c r="G44" s="67"/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  <c r="AC44" s="67"/>
      <c r="AD44" s="67" t="str">
        <f aca="false">IF($A24="","",AD24*AC24)</f>
        <v/>
      </c>
    </row>
    <row r="45" customFormat="false" ht="15" hidden="true" customHeight="true" outlineLevel="0" collapsed="false">
      <c r="F45" s="67" t="str">
        <f aca="false">IF($A25="","",F25*E25)</f>
        <v/>
      </c>
      <c r="G45" s="67"/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  <c r="AC45" s="67"/>
      <c r="AD45" s="67" t="str">
        <f aca="false">IF($A25="","",AD25*AC25)</f>
        <v/>
      </c>
    </row>
    <row r="46" customFormat="false" ht="15" hidden="true" customHeight="true" outlineLevel="0" collapsed="false">
      <c r="F46" s="67" t="str">
        <f aca="false">IF($A26="","",F26*E26)</f>
        <v/>
      </c>
      <c r="G46" s="67"/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  <c r="AC46" s="67"/>
      <c r="AD46" s="67" t="str">
        <f aca="false">IF($A26="","",AD26*AC26)</f>
        <v/>
      </c>
    </row>
    <row r="47" customFormat="false" ht="15" hidden="true" customHeight="true" outlineLevel="0" collapsed="false">
      <c r="F47" s="67" t="str">
        <f aca="false">IF($A27="","",F27*E27)</f>
        <v/>
      </c>
      <c r="G47" s="67"/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  <c r="AC47" s="67"/>
      <c r="AD47" s="67" t="str">
        <f aca="false">IF($A27="","",AD27*AC27)</f>
        <v/>
      </c>
    </row>
    <row r="48" customFormat="false" ht="15" hidden="true" customHeight="true" outlineLevel="0" collapsed="false">
      <c r="F48" s="67" t="str">
        <f aca="false">IF($A28="","",F28*E28)</f>
        <v/>
      </c>
      <c r="G48" s="67"/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  <c r="AC48" s="67"/>
      <c r="AD48" s="67" t="str">
        <f aca="false">IF($A28="","",AD28*AC28)</f>
        <v/>
      </c>
    </row>
    <row r="49" customFormat="false" ht="15" hidden="true" customHeight="true" outlineLevel="0" collapsed="false">
      <c r="F49" s="68" t="n">
        <f aca="false">SUMIF(F31:F48,"&gt;0")</f>
        <v>38350</v>
      </c>
      <c r="G49" s="68"/>
      <c r="H49" s="68" t="n">
        <f aca="false">SUMIF(H31:H48,"&gt;0")</f>
        <v>18815</v>
      </c>
      <c r="I49" s="68"/>
      <c r="J49" s="68" t="n">
        <f aca="false">SUMIF(J31:J48,"&gt;0")</f>
        <v>18815</v>
      </c>
      <c r="L49" s="68" t="n">
        <f aca="false">SUMIF(L31:L48,"&gt;0")</f>
        <v>36550</v>
      </c>
      <c r="M49" s="68"/>
      <c r="N49" s="68" t="n">
        <f aca="false">SUMIF(N31:N48,"&gt;0")</f>
        <v>37630</v>
      </c>
      <c r="O49" s="68"/>
      <c r="P49" s="68" t="n">
        <f aca="false">SUMIF(P31:P48,"&gt;0")</f>
        <v>0</v>
      </c>
      <c r="Q49" s="68"/>
      <c r="R49" s="68" t="n">
        <f aca="false">SUMIF(R31:R48,"&gt;0")</f>
        <v>0</v>
      </c>
      <c r="T49" s="68" t="n">
        <f aca="false">SUMIF(T31:T48,"&gt;0")</f>
        <v>0</v>
      </c>
      <c r="U49" s="68"/>
      <c r="V49" s="68" t="n">
        <f aca="false">SUMIF(V31:V48,"&gt;0")</f>
        <v>0</v>
      </c>
      <c r="W49" s="68"/>
      <c r="X49" s="68" t="n">
        <f aca="false">SUMIF(X31:X48,"&gt;0")</f>
        <v>0</v>
      </c>
      <c r="Z49" s="68" t="n">
        <f aca="false">SUMIF(Z31:Z48,"&gt;0")</f>
        <v>0</v>
      </c>
      <c r="AA49" s="68"/>
      <c r="AB49" s="68" t="n">
        <f aca="false">SUMIF(AB31:AB48,"&gt;0")</f>
        <v>0</v>
      </c>
      <c r="AD49" s="68" t="n">
        <f aca="false">SUMIF(AD31:AD48,"&gt;0")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142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 t="n">
        <v>2</v>
      </c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 t="n">
        <v>1</v>
      </c>
    </row>
    <row r="56" customFormat="false" ht="15" hidden="false" customHeight="true" outlineLevel="0" collapsed="false">
      <c r="A56" s="72" t="n">
        <v>3</v>
      </c>
      <c r="B56" s="73" t="s">
        <v>251</v>
      </c>
      <c r="C56" s="74" t="s">
        <v>247</v>
      </c>
      <c r="D56" s="75" t="s">
        <v>7</v>
      </c>
      <c r="E56" s="77" t="n">
        <v>25</v>
      </c>
      <c r="F56" s="77" t="n">
        <v>25</v>
      </c>
      <c r="G56" s="76"/>
      <c r="H56" s="76"/>
      <c r="I56" s="76"/>
      <c r="J56" s="76"/>
      <c r="K56" s="76"/>
      <c r="L56" s="77" t="n">
        <v>1</v>
      </c>
    </row>
    <row r="57" customFormat="false" ht="15" hidden="false" customHeight="true" outlineLevel="0" collapsed="false">
      <c r="A57" s="72" t="n">
        <v>4</v>
      </c>
      <c r="B57" s="73" t="s">
        <v>36</v>
      </c>
      <c r="C57" s="74" t="s">
        <v>17</v>
      </c>
      <c r="D57" s="75" t="s">
        <v>139</v>
      </c>
      <c r="E57" s="77" t="n">
        <v>45</v>
      </c>
      <c r="F57" s="77" t="n">
        <v>45</v>
      </c>
      <c r="G57" s="76"/>
      <c r="H57" s="76"/>
      <c r="I57" s="76"/>
      <c r="J57" s="76"/>
      <c r="K57" s="76"/>
      <c r="L57" s="77" t="n">
        <v>2</v>
      </c>
    </row>
    <row r="58" customFormat="false" ht="15" hidden="false" customHeight="true" outlineLevel="0" collapsed="false">
      <c r="A58" s="72" t="n">
        <v>5</v>
      </c>
      <c r="B58" s="73" t="s">
        <v>37</v>
      </c>
      <c r="C58" s="74" t="s">
        <v>79</v>
      </c>
      <c r="D58" s="75" t="s">
        <v>12</v>
      </c>
      <c r="E58" s="76"/>
      <c r="F58" s="76"/>
      <c r="G58" s="76"/>
      <c r="H58" s="76"/>
      <c r="I58" s="76"/>
      <c r="J58" s="76"/>
      <c r="K58" s="76"/>
      <c r="L58" s="77" t="n">
        <v>2</v>
      </c>
    </row>
  </sheetData>
  <mergeCells count="59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  <mergeCell ref="O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4" min="34" style="1" width="8.9"/>
  </cols>
  <sheetData>
    <row r="1" customFormat="false" ht="39.75" hidden="false" customHeight="true" outlineLevel="0" collapsed="false">
      <c r="A1" s="3" t="s">
        <v>261</v>
      </c>
      <c r="B1" s="4"/>
      <c r="D1" s="5"/>
      <c r="E1" s="6"/>
      <c r="F1" s="5"/>
      <c r="G1" s="5"/>
      <c r="H1" s="5"/>
      <c r="I1" s="7"/>
      <c r="J1" s="8"/>
      <c r="K1" s="8"/>
      <c r="L1" s="8"/>
      <c r="M1" s="5"/>
      <c r="N1" s="9"/>
      <c r="O1" s="5"/>
      <c r="P1" s="5"/>
      <c r="Q1" s="7"/>
      <c r="R1" s="7"/>
      <c r="S1" s="8"/>
      <c r="T1" s="8"/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7"/>
      <c r="H2" s="7"/>
      <c r="I2" s="11"/>
      <c r="J2" s="11"/>
      <c r="K2" s="11"/>
      <c r="L2" s="11"/>
      <c r="M2" s="7"/>
      <c r="N2" s="7"/>
      <c r="O2" s="5"/>
      <c r="P2" s="7"/>
      <c r="Q2" s="154"/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7"/>
      <c r="B3" s="155"/>
      <c r="C3" s="93"/>
      <c r="D3" s="7"/>
      <c r="E3" s="10"/>
      <c r="F3" s="7"/>
      <c r="G3" s="7"/>
      <c r="H3" s="7"/>
      <c r="I3" s="11"/>
      <c r="J3" s="11"/>
      <c r="K3" s="12"/>
      <c r="L3" s="12"/>
      <c r="M3" s="7"/>
      <c r="N3" s="7"/>
      <c r="O3" s="5"/>
      <c r="P3" s="7"/>
      <c r="Q3" s="154"/>
      <c r="R3" s="7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7"/>
      <c r="C4" s="7"/>
      <c r="F4" s="7"/>
      <c r="G4" s="7"/>
      <c r="H4" s="7"/>
      <c r="I4" s="11"/>
      <c r="J4" s="11"/>
      <c r="M4" s="7"/>
      <c r="N4" s="7"/>
      <c r="O4" s="5"/>
      <c r="P4" s="7"/>
      <c r="Q4" s="154"/>
      <c r="R4" s="7"/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G5" s="7"/>
      <c r="H5" s="7"/>
      <c r="M5" s="7"/>
      <c r="N5" s="7"/>
      <c r="O5" s="7"/>
      <c r="P5" s="7"/>
      <c r="R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139</v>
      </c>
      <c r="L6" s="17"/>
      <c r="M6" s="17" t="s">
        <v>262</v>
      </c>
      <c r="N6" s="17"/>
      <c r="O6" s="17" t="s">
        <v>263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142</v>
      </c>
      <c r="F7" s="20"/>
      <c r="G7" s="20"/>
      <c r="H7" s="20"/>
      <c r="I7" s="20" t="s">
        <v>247</v>
      </c>
      <c r="J7" s="20"/>
      <c r="K7" s="20" t="s">
        <v>17</v>
      </c>
      <c r="L7" s="20"/>
      <c r="M7" s="20"/>
      <c r="N7" s="20"/>
      <c r="O7" s="20" t="s">
        <v>264</v>
      </c>
      <c r="P7" s="20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251</v>
      </c>
      <c r="J9" s="35"/>
      <c r="K9" s="35" t="s">
        <v>36</v>
      </c>
      <c r="L9" s="35"/>
      <c r="M9" s="35" t="s">
        <v>37</v>
      </c>
      <c r="N9" s="35"/>
      <c r="O9" s="35" t="s">
        <v>265</v>
      </c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155</v>
      </c>
      <c r="AF9" s="37" t="s">
        <v>266</v>
      </c>
      <c r="AG9" s="39"/>
    </row>
    <row r="10" customFormat="false" ht="39.75" hidden="false" customHeight="true" outlineLevel="0" collapsed="false">
      <c r="A10" s="42" t="s">
        <v>56</v>
      </c>
      <c r="B10" s="43" t="s">
        <v>6</v>
      </c>
      <c r="C10" s="44" t="s">
        <v>57</v>
      </c>
      <c r="D10" s="45" t="s">
        <v>58</v>
      </c>
      <c r="E10" s="46" t="s">
        <v>59</v>
      </c>
      <c r="F10" s="47" t="s">
        <v>60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7" t="s">
        <v>60</v>
      </c>
      <c r="U10" s="46" t="s">
        <v>59</v>
      </c>
      <c r="V10" s="47" t="s">
        <v>60</v>
      </c>
      <c r="W10" s="46" t="s">
        <v>59</v>
      </c>
      <c r="X10" s="48" t="s">
        <v>60</v>
      </c>
      <c r="Y10" s="46" t="s">
        <v>59</v>
      </c>
      <c r="Z10" s="48" t="s">
        <v>60</v>
      </c>
      <c r="AA10" s="46" t="s">
        <v>59</v>
      </c>
      <c r="AB10" s="48" t="s">
        <v>60</v>
      </c>
      <c r="AC10" s="46" t="s">
        <v>59</v>
      </c>
      <c r="AD10" s="48" t="s">
        <v>60</v>
      </c>
      <c r="AE10" s="49" t="s">
        <v>61</v>
      </c>
      <c r="AF10" s="50" t="s">
        <v>62</v>
      </c>
      <c r="AG10" s="51" t="s">
        <v>60</v>
      </c>
    </row>
    <row r="11" customFormat="false" ht="39.75" hidden="false" customHeight="true" outlineLevel="0" collapsed="false">
      <c r="A11" s="88" t="s">
        <v>206</v>
      </c>
      <c r="B11" s="89" t="n">
        <v>2085</v>
      </c>
      <c r="C11" s="90" t="n">
        <v>500</v>
      </c>
      <c r="D11" s="91" t="n">
        <v>1</v>
      </c>
      <c r="E11" s="134" t="n">
        <f aca="false">IF($A11="","",$B11)</f>
        <v>2085</v>
      </c>
      <c r="F11" s="90" t="n">
        <f aca="false">IF($A11="","",$L$54*$D11)</f>
        <v>2</v>
      </c>
      <c r="G11" s="134" t="n">
        <f aca="false">IF($A11="","",$C11-$E$55-$F$55)</f>
        <v>450</v>
      </c>
      <c r="H11" s="90" t="n">
        <f aca="false">IF($A11="","",$L$55*$D11)</f>
        <v>1</v>
      </c>
      <c r="I11" s="134" t="n">
        <f aca="false">IF($A11="","",$C11-$E$56-$F$56)</f>
        <v>450</v>
      </c>
      <c r="J11" s="90" t="n">
        <f aca="false">IF($A11="","",$L$56*$D11)</f>
        <v>1</v>
      </c>
      <c r="K11" s="134" t="n">
        <f aca="false">IF($A11="","",$B11-$E$57-$F$57)</f>
        <v>1995</v>
      </c>
      <c r="L11" s="90" t="n">
        <f aca="false">IF($A11="","",$L$57*$D11)</f>
        <v>4</v>
      </c>
      <c r="M11" s="134" t="n">
        <f aca="false">IF($A11="","",($C11-$E$58-$F$58-$G$58)/2)</f>
        <v>212.5</v>
      </c>
      <c r="N11" s="90" t="n">
        <f aca="false">IF($A11="","",$L$58*$D11)</f>
        <v>4</v>
      </c>
      <c r="O11" s="134" t="n">
        <f aca="false">IF($A11="","",$B11-$E$59-$F$59)</f>
        <v>2035</v>
      </c>
      <c r="P11" s="90" t="n">
        <f aca="false">IF($A11="","",$L$59*$D11)</f>
        <v>1</v>
      </c>
      <c r="Q11" s="134"/>
      <c r="R11" s="90"/>
      <c r="S11" s="134"/>
      <c r="T11" s="90"/>
      <c r="U11" s="134"/>
      <c r="V11" s="90"/>
      <c r="W11" s="134"/>
      <c r="X11" s="90"/>
      <c r="Y11" s="134"/>
      <c r="Z11" s="90"/>
      <c r="AA11" s="134"/>
      <c r="AB11" s="90"/>
      <c r="AC11" s="134"/>
      <c r="AD11" s="90"/>
      <c r="AE11" s="135" t="n">
        <f aca="false">IF($A11="","",$B11-35-35)</f>
        <v>2015</v>
      </c>
      <c r="AF11" s="150" t="n">
        <f aca="false">IF($A11="","",$M11-10-10)</f>
        <v>192.5</v>
      </c>
      <c r="AG11" s="137" t="n">
        <f aca="false">IF($A11="","",2*$D11)</f>
        <v>2</v>
      </c>
    </row>
    <row r="12" customFormat="false" ht="39.75" hidden="false" customHeight="true" outlineLevel="0" collapsed="false">
      <c r="A12" s="88"/>
      <c r="B12" s="89"/>
      <c r="C12" s="90"/>
      <c r="D12" s="91"/>
      <c r="E12" s="139" t="str">
        <f aca="false">IF($A12="","",$B12)</f>
        <v/>
      </c>
      <c r="F12" s="140" t="str">
        <f aca="false">IF($A12="","",$L$54*$D12)</f>
        <v/>
      </c>
      <c r="G12" s="139" t="str">
        <f aca="false">IF($A12="","",$C12-$E$55-$F$55)</f>
        <v/>
      </c>
      <c r="H12" s="140" t="str">
        <f aca="false">IF($A12="","",$L$55*$D12)</f>
        <v/>
      </c>
      <c r="I12" s="139" t="str">
        <f aca="false">IF($A12="","",$C12-$E$56-$F$56)</f>
        <v/>
      </c>
      <c r="J12" s="140" t="str">
        <f aca="false">IF($A12="","",$L$56*$D12)</f>
        <v/>
      </c>
      <c r="K12" s="139" t="str">
        <f aca="false">IF($A12="","",$B12-$E$57-$F$57)</f>
        <v/>
      </c>
      <c r="L12" s="140" t="str">
        <f aca="false">IF($A12="","",$L$57*$D12)</f>
        <v/>
      </c>
      <c r="M12" s="139" t="str">
        <f aca="false">IF($A12="","",($C12-$E$58-$F$58-$G$58)/2)</f>
        <v/>
      </c>
      <c r="N12" s="140" t="str">
        <f aca="false">IF($A12="","",$L$58*$D12)</f>
        <v/>
      </c>
      <c r="O12" s="139" t="str">
        <f aca="false">IF($A12="","",$B12-$E$59-$F$59)</f>
        <v/>
      </c>
      <c r="P12" s="140" t="str">
        <f aca="false">IF($A12="","",$L$59*$D12)</f>
        <v/>
      </c>
      <c r="Q12" s="139"/>
      <c r="R12" s="140"/>
      <c r="S12" s="139"/>
      <c r="T12" s="140"/>
      <c r="U12" s="139"/>
      <c r="V12" s="140"/>
      <c r="W12" s="139"/>
      <c r="X12" s="140"/>
      <c r="Y12" s="139"/>
      <c r="Z12" s="140"/>
      <c r="AA12" s="139"/>
      <c r="AB12" s="140"/>
      <c r="AC12" s="139"/>
      <c r="AD12" s="140"/>
      <c r="AE12" s="135" t="str">
        <f aca="false">IF($A12="","",$B12-35-35)</f>
        <v/>
      </c>
      <c r="AF12" s="135" t="str">
        <f aca="false">IF($A12="","",$M12-10-10)</f>
        <v/>
      </c>
      <c r="AG12" s="137" t="str">
        <f aca="false">IF($A12="","",2*$D12)</f>
        <v/>
      </c>
    </row>
    <row r="13" customFormat="false" ht="39.75" hidden="false" customHeight="true" outlineLevel="0" collapsed="false">
      <c r="A13" s="88"/>
      <c r="B13" s="89"/>
      <c r="C13" s="90"/>
      <c r="D13" s="91"/>
      <c r="E13" s="134" t="str">
        <f aca="false">IF($A13="","",$B13)</f>
        <v/>
      </c>
      <c r="F13" s="90" t="str">
        <f aca="false">IF($A13="","",$L$54*$D13)</f>
        <v/>
      </c>
      <c r="G13" s="134" t="str">
        <f aca="false">IF($A13="","",$C13-$E$55-$F$55)</f>
        <v/>
      </c>
      <c r="H13" s="90" t="str">
        <f aca="false">IF($A13="","",$L$55*$D13)</f>
        <v/>
      </c>
      <c r="I13" s="134" t="str">
        <f aca="false">IF($A13="","",$C13-$E$56-$F$56)</f>
        <v/>
      </c>
      <c r="J13" s="90" t="str">
        <f aca="false">IF($A13="","",$L$56*$D13)</f>
        <v/>
      </c>
      <c r="K13" s="134" t="str">
        <f aca="false">IF($A13="","",$B13-$E$57-$F$57)</f>
        <v/>
      </c>
      <c r="L13" s="90" t="str">
        <f aca="false">IF($A13="","",$L$57*$D13)</f>
        <v/>
      </c>
      <c r="M13" s="134" t="str">
        <f aca="false">IF($A13="","",($C13-$E$58-$F$58-$G$58)/2)</f>
        <v/>
      </c>
      <c r="N13" s="90" t="str">
        <f aca="false">IF($A13="","",$L$58*$D13)</f>
        <v/>
      </c>
      <c r="O13" s="134" t="str">
        <f aca="false">IF($A13="","",$B13-$E$59-$F$59)</f>
        <v/>
      </c>
      <c r="P13" s="90" t="str">
        <f aca="false">IF($A13="","",$L$59*$D13)</f>
        <v/>
      </c>
      <c r="Q13" s="134"/>
      <c r="R13" s="90"/>
      <c r="S13" s="134"/>
      <c r="T13" s="90"/>
      <c r="U13" s="134"/>
      <c r="V13" s="90"/>
      <c r="W13" s="134"/>
      <c r="X13" s="90"/>
      <c r="Y13" s="134"/>
      <c r="Z13" s="90"/>
      <c r="AA13" s="134"/>
      <c r="AB13" s="90"/>
      <c r="AC13" s="134"/>
      <c r="AD13" s="90"/>
      <c r="AE13" s="135" t="str">
        <f aca="false">IF($A13="","",$B13-35-35)</f>
        <v/>
      </c>
      <c r="AF13" s="135" t="str">
        <f aca="false">IF($A13="","",$M13-10-10)</f>
        <v/>
      </c>
      <c r="AG13" s="137" t="str">
        <f aca="false">IF($A13="","",2*$D13)</f>
        <v/>
      </c>
    </row>
    <row r="14" customFormat="false" ht="39.75" hidden="false" customHeight="true" outlineLevel="0" collapsed="false">
      <c r="A14" s="88"/>
      <c r="B14" s="89"/>
      <c r="C14" s="90"/>
      <c r="D14" s="91"/>
      <c r="E14" s="139" t="str">
        <f aca="false">IF($A14="","",$B14)</f>
        <v/>
      </c>
      <c r="F14" s="140" t="str">
        <f aca="false">IF($A14="","",$L$54*$D14)</f>
        <v/>
      </c>
      <c r="G14" s="139" t="str">
        <f aca="false">IF($A14="","",$C14-$E$55-$F$55)</f>
        <v/>
      </c>
      <c r="H14" s="140" t="str">
        <f aca="false">IF($A14="","",$L$55*$D14)</f>
        <v/>
      </c>
      <c r="I14" s="139" t="str">
        <f aca="false">IF($A14="","",$C14-$E$56-$F$56)</f>
        <v/>
      </c>
      <c r="J14" s="140" t="str">
        <f aca="false">IF($A14="","",$L$56*$D14)</f>
        <v/>
      </c>
      <c r="K14" s="139" t="str">
        <f aca="false">IF($A14="","",$B14-$E$57-$F$57)</f>
        <v/>
      </c>
      <c r="L14" s="140" t="str">
        <f aca="false">IF($A14="","",$L$57*$D14)</f>
        <v/>
      </c>
      <c r="M14" s="139" t="str">
        <f aca="false">IF($A14="","",($C14-$E$58-$F$58-$G$58)/2)</f>
        <v/>
      </c>
      <c r="N14" s="140" t="str">
        <f aca="false">IF($A14="","",$L$58*$D14)</f>
        <v/>
      </c>
      <c r="O14" s="139" t="str">
        <f aca="false">IF($A14="","",$B14-$E$59-$F$59)</f>
        <v/>
      </c>
      <c r="P14" s="140" t="str">
        <f aca="false">IF($A14="","",$L$59*$D14)</f>
        <v/>
      </c>
      <c r="Q14" s="139"/>
      <c r="R14" s="140"/>
      <c r="S14" s="139"/>
      <c r="T14" s="140"/>
      <c r="U14" s="139"/>
      <c r="V14" s="140"/>
      <c r="W14" s="139"/>
      <c r="X14" s="140"/>
      <c r="Y14" s="139"/>
      <c r="Z14" s="140"/>
      <c r="AA14" s="139"/>
      <c r="AB14" s="140"/>
      <c r="AC14" s="139"/>
      <c r="AD14" s="140"/>
      <c r="AE14" s="135" t="str">
        <f aca="false">IF($A14="","",$B14-35-35)</f>
        <v/>
      </c>
      <c r="AF14" s="135" t="str">
        <f aca="false">IF($A14="","",$M14-10-10)</f>
        <v/>
      </c>
      <c r="AG14" s="137" t="str">
        <f aca="false">IF($A14="","",2*$D14)</f>
        <v/>
      </c>
    </row>
    <row r="15" customFormat="false" ht="39.75" hidden="false" customHeight="true" outlineLevel="0" collapsed="false">
      <c r="A15" s="88"/>
      <c r="B15" s="89"/>
      <c r="C15" s="90"/>
      <c r="D15" s="91"/>
      <c r="E15" s="134" t="str">
        <f aca="false">IF($A15="","",$B15)</f>
        <v/>
      </c>
      <c r="F15" s="90" t="str">
        <f aca="false">IF($A15="","",$L$54*$D15)</f>
        <v/>
      </c>
      <c r="G15" s="134" t="str">
        <f aca="false">IF($A15="","",$C15-$E$55-$F$55)</f>
        <v/>
      </c>
      <c r="H15" s="90" t="str">
        <f aca="false">IF($A15="","",$L$55*$D15)</f>
        <v/>
      </c>
      <c r="I15" s="134" t="str">
        <f aca="false">IF($A15="","",$C15-$E$56-$F$56)</f>
        <v/>
      </c>
      <c r="J15" s="90" t="str">
        <f aca="false">IF($A15="","",$L$56*$D15)</f>
        <v/>
      </c>
      <c r="K15" s="134" t="str">
        <f aca="false">IF($A15="","",$B15-$E$57-$F$57)</f>
        <v/>
      </c>
      <c r="L15" s="90" t="str">
        <f aca="false">IF($A15="","",$L$57*$D15)</f>
        <v/>
      </c>
      <c r="M15" s="134" t="str">
        <f aca="false">IF($A15="","",($C15-$E$58-$F$58-$G$58)/2)</f>
        <v/>
      </c>
      <c r="N15" s="90" t="str">
        <f aca="false">IF($A15="","",$L$58*$D15)</f>
        <v/>
      </c>
      <c r="O15" s="134" t="str">
        <f aca="false">IF($A15="","",$B15-$E$59-$F$59)</f>
        <v/>
      </c>
      <c r="P15" s="90" t="str">
        <f aca="false">IF($A15="","",$L$59*$D15)</f>
        <v/>
      </c>
      <c r="Q15" s="134"/>
      <c r="R15" s="90"/>
      <c r="S15" s="134"/>
      <c r="T15" s="90"/>
      <c r="U15" s="134"/>
      <c r="V15" s="90"/>
      <c r="W15" s="134"/>
      <c r="X15" s="90"/>
      <c r="Y15" s="134"/>
      <c r="Z15" s="90"/>
      <c r="AA15" s="134"/>
      <c r="AB15" s="90"/>
      <c r="AC15" s="134"/>
      <c r="AD15" s="90"/>
      <c r="AE15" s="135" t="str">
        <f aca="false">IF($A15="","",$B15-35-35)</f>
        <v/>
      </c>
      <c r="AF15" s="135" t="str">
        <f aca="false">IF($A15="","",$M15-10-10)</f>
        <v/>
      </c>
      <c r="AG15" s="137" t="str">
        <f aca="false">IF($A15="","",2*$D15)</f>
        <v/>
      </c>
    </row>
    <row r="16" customFormat="false" ht="39.75" hidden="false" customHeight="true" outlineLevel="0" collapsed="false">
      <c r="A16" s="88"/>
      <c r="B16" s="89"/>
      <c r="C16" s="90"/>
      <c r="D16" s="91"/>
      <c r="E16" s="139" t="str">
        <f aca="false">IF($A16="","",$B16)</f>
        <v/>
      </c>
      <c r="F16" s="140" t="str">
        <f aca="false">IF($A16="","",$L$54*$D16)</f>
        <v/>
      </c>
      <c r="G16" s="139" t="str">
        <f aca="false">IF($A16="","",$C16-$E$55-$F$55)</f>
        <v/>
      </c>
      <c r="H16" s="140" t="str">
        <f aca="false">IF($A16="","",$L$55*$D16)</f>
        <v/>
      </c>
      <c r="I16" s="139" t="str">
        <f aca="false">IF($A16="","",$C16-$E$56-$F$56)</f>
        <v/>
      </c>
      <c r="J16" s="140" t="str">
        <f aca="false">IF($A16="","",$L$56*$D16)</f>
        <v/>
      </c>
      <c r="K16" s="139" t="str">
        <f aca="false">IF($A16="","",$B16-$E$57-$F$57)</f>
        <v/>
      </c>
      <c r="L16" s="140" t="str">
        <f aca="false">IF($A16="","",$L$57*$D16)</f>
        <v/>
      </c>
      <c r="M16" s="139" t="str">
        <f aca="false">IF($A16="","",($C16-$E$58-$F$58-$G$58)/2)</f>
        <v/>
      </c>
      <c r="N16" s="140" t="str">
        <f aca="false">IF($A16="","",$L$58*$D16)</f>
        <v/>
      </c>
      <c r="O16" s="139" t="str">
        <f aca="false">IF($A16="","",$B16-$E$59-$F$59)</f>
        <v/>
      </c>
      <c r="P16" s="140" t="str">
        <f aca="false">IF($A16="","",$L$59*$D16)</f>
        <v/>
      </c>
      <c r="Q16" s="139"/>
      <c r="R16" s="140"/>
      <c r="S16" s="139"/>
      <c r="T16" s="140"/>
      <c r="U16" s="139"/>
      <c r="V16" s="140"/>
      <c r="W16" s="139"/>
      <c r="X16" s="140"/>
      <c r="Y16" s="139"/>
      <c r="Z16" s="140"/>
      <c r="AA16" s="139"/>
      <c r="AB16" s="140"/>
      <c r="AC16" s="139"/>
      <c r="AD16" s="140"/>
      <c r="AE16" s="135" t="str">
        <f aca="false">IF($A16="","",$B16-35-35)</f>
        <v/>
      </c>
      <c r="AF16" s="135" t="str">
        <f aca="false">IF($A16="","",$M16-10-10)</f>
        <v/>
      </c>
      <c r="AG16" s="137" t="str">
        <f aca="false">IF($A16="","",2*$D16)</f>
        <v/>
      </c>
    </row>
    <row r="17" customFormat="false" ht="39.75" hidden="false" customHeight="true" outlineLevel="0" collapsed="false">
      <c r="A17" s="88"/>
      <c r="B17" s="89"/>
      <c r="C17" s="90"/>
      <c r="D17" s="91"/>
      <c r="E17" s="134" t="str">
        <f aca="false">IF($A17="","",$B17)</f>
        <v/>
      </c>
      <c r="F17" s="90" t="str">
        <f aca="false">IF($A17="","",$L$54*$D17)</f>
        <v/>
      </c>
      <c r="G17" s="134" t="str">
        <f aca="false">IF($A17="","",$C17-$E$55-$F$55)</f>
        <v/>
      </c>
      <c r="H17" s="90" t="str">
        <f aca="false">IF($A17="","",$L$55*$D17)</f>
        <v/>
      </c>
      <c r="I17" s="134" t="str">
        <f aca="false">IF($A17="","",$C17-$E$56-$F$56)</f>
        <v/>
      </c>
      <c r="J17" s="90" t="str">
        <f aca="false">IF($A17="","",$L$56*$D17)</f>
        <v/>
      </c>
      <c r="K17" s="134" t="str">
        <f aca="false">IF($A17="","",$B17-$E$57-$F$57)</f>
        <v/>
      </c>
      <c r="L17" s="90" t="str">
        <f aca="false">IF($A17="","",$L$57*$D17)</f>
        <v/>
      </c>
      <c r="M17" s="134" t="str">
        <f aca="false">IF($A17="","",($C17-$E$58-$F$58-$G$58)/2)</f>
        <v/>
      </c>
      <c r="N17" s="90" t="str">
        <f aca="false">IF($A17="","",$L$58*$D17)</f>
        <v/>
      </c>
      <c r="O17" s="134" t="str">
        <f aca="false">IF($A17="","",$B17-$E$59-$F$59)</f>
        <v/>
      </c>
      <c r="P17" s="90" t="str">
        <f aca="false">IF($A17="","",$L$59*$D17)</f>
        <v/>
      </c>
      <c r="Q17" s="134"/>
      <c r="R17" s="90"/>
      <c r="S17" s="134"/>
      <c r="T17" s="90"/>
      <c r="U17" s="134"/>
      <c r="V17" s="90"/>
      <c r="W17" s="134"/>
      <c r="X17" s="90"/>
      <c r="Y17" s="134"/>
      <c r="Z17" s="90"/>
      <c r="AA17" s="134"/>
      <c r="AB17" s="90"/>
      <c r="AC17" s="134"/>
      <c r="AD17" s="90"/>
      <c r="AE17" s="135" t="str">
        <f aca="false">IF($A17="","",$B17-35-35)</f>
        <v/>
      </c>
      <c r="AF17" s="135" t="str">
        <f aca="false">IF($A17="","",$M17-10-10)</f>
        <v/>
      </c>
      <c r="AG17" s="137" t="str">
        <f aca="false">IF($A17="","",2*$D17)</f>
        <v/>
      </c>
    </row>
    <row r="18" customFormat="false" ht="39.75" hidden="false" customHeight="true" outlineLevel="0" collapsed="false">
      <c r="A18" s="88"/>
      <c r="B18" s="89"/>
      <c r="C18" s="90"/>
      <c r="D18" s="91"/>
      <c r="E18" s="139" t="str">
        <f aca="false">IF($A18="","",$B18)</f>
        <v/>
      </c>
      <c r="F18" s="140" t="str">
        <f aca="false">IF($A18="","",$L$54*$D18)</f>
        <v/>
      </c>
      <c r="G18" s="139" t="str">
        <f aca="false">IF($A18="","",$C18-$E$55-$F$55)</f>
        <v/>
      </c>
      <c r="H18" s="140" t="str">
        <f aca="false">IF($A18="","",$L$55*$D18)</f>
        <v/>
      </c>
      <c r="I18" s="139" t="str">
        <f aca="false">IF($A18="","",$C18-$E$56-$F$56)</f>
        <v/>
      </c>
      <c r="J18" s="140" t="str">
        <f aca="false">IF($A18="","",$L$56*$D18)</f>
        <v/>
      </c>
      <c r="K18" s="139" t="str">
        <f aca="false">IF($A18="","",$B18-$E$57-$F$57)</f>
        <v/>
      </c>
      <c r="L18" s="140" t="str">
        <f aca="false">IF($A18="","",$L$57*$D18)</f>
        <v/>
      </c>
      <c r="M18" s="139" t="str">
        <f aca="false">IF($A18="","",($C18-$E$58-$F$58-$G$58)/2)</f>
        <v/>
      </c>
      <c r="N18" s="140" t="str">
        <f aca="false">IF($A18="","",$L$58*$D18)</f>
        <v/>
      </c>
      <c r="O18" s="139" t="str">
        <f aca="false">IF($A18="","",$B18-$E$59-$F$59)</f>
        <v/>
      </c>
      <c r="P18" s="140" t="str">
        <f aca="false">IF($A18="","",$L$59*$D18)</f>
        <v/>
      </c>
      <c r="Q18" s="139"/>
      <c r="R18" s="140"/>
      <c r="S18" s="139"/>
      <c r="T18" s="140"/>
      <c r="U18" s="139"/>
      <c r="V18" s="140"/>
      <c r="W18" s="139"/>
      <c r="X18" s="140"/>
      <c r="Y18" s="139"/>
      <c r="Z18" s="140"/>
      <c r="AA18" s="139"/>
      <c r="AB18" s="140"/>
      <c r="AC18" s="139"/>
      <c r="AD18" s="140"/>
      <c r="AE18" s="135" t="str">
        <f aca="false">IF($A18="","",$B18-35-35)</f>
        <v/>
      </c>
      <c r="AF18" s="135" t="str">
        <f aca="false">IF($A18="","",$M18-10-10)</f>
        <v/>
      </c>
      <c r="AG18" s="137" t="str">
        <f aca="false">IF($A18="","",2*$D18)</f>
        <v/>
      </c>
    </row>
    <row r="19" customFormat="false" ht="39.75" hidden="false" customHeight="true" outlineLevel="0" collapsed="false">
      <c r="A19" s="88"/>
      <c r="B19" s="89"/>
      <c r="C19" s="90"/>
      <c r="D19" s="91"/>
      <c r="E19" s="134" t="str">
        <f aca="false">IF($A19="","",$B19)</f>
        <v/>
      </c>
      <c r="F19" s="90" t="str">
        <f aca="false">IF($A19="","",$L$54*$D19)</f>
        <v/>
      </c>
      <c r="G19" s="134" t="str">
        <f aca="false">IF($A19="","",$C19-$E$55-$F$55)</f>
        <v/>
      </c>
      <c r="H19" s="90" t="str">
        <f aca="false">IF($A19="","",$L$55*$D19)</f>
        <v/>
      </c>
      <c r="I19" s="134" t="str">
        <f aca="false">IF($A19="","",$C19-$E$56-$F$56)</f>
        <v/>
      </c>
      <c r="J19" s="90" t="str">
        <f aca="false">IF($A19="","",$L$56*$D19)</f>
        <v/>
      </c>
      <c r="K19" s="134" t="str">
        <f aca="false">IF($A19="","",$B19-$E$57-$F$57)</f>
        <v/>
      </c>
      <c r="L19" s="90" t="str">
        <f aca="false">IF($A19="","",$L$57*$D19)</f>
        <v/>
      </c>
      <c r="M19" s="134" t="str">
        <f aca="false">IF($A19="","",($C19-$E$58-$F$58-$G$58)/2)</f>
        <v/>
      </c>
      <c r="N19" s="90" t="str">
        <f aca="false">IF($A19="","",$L$58*$D19)</f>
        <v/>
      </c>
      <c r="O19" s="134" t="str">
        <f aca="false">IF($A19="","",$B19-$E$59-$F$59)</f>
        <v/>
      </c>
      <c r="P19" s="90" t="str">
        <f aca="false">IF($A19="","",$L$59*$D19)</f>
        <v/>
      </c>
      <c r="Q19" s="134"/>
      <c r="R19" s="90"/>
      <c r="S19" s="134"/>
      <c r="T19" s="90"/>
      <c r="U19" s="134"/>
      <c r="V19" s="90"/>
      <c r="W19" s="134"/>
      <c r="X19" s="90"/>
      <c r="Y19" s="134"/>
      <c r="Z19" s="90"/>
      <c r="AA19" s="134"/>
      <c r="AB19" s="90"/>
      <c r="AC19" s="134"/>
      <c r="AD19" s="90"/>
      <c r="AE19" s="135" t="str">
        <f aca="false">IF($A19="","",$B19-35-35)</f>
        <v/>
      </c>
      <c r="AF19" s="135" t="str">
        <f aca="false">IF($A19="","",$M19-10-10)</f>
        <v/>
      </c>
      <c r="AG19" s="137" t="str">
        <f aca="false">IF($A19="","",2*$D19)</f>
        <v/>
      </c>
    </row>
    <row r="20" customFormat="false" ht="39.75" hidden="false" customHeight="true" outlineLevel="0" collapsed="false">
      <c r="A20" s="88"/>
      <c r="B20" s="89"/>
      <c r="C20" s="90"/>
      <c r="D20" s="91"/>
      <c r="E20" s="139" t="str">
        <f aca="false">IF($A20="","",$B20)</f>
        <v/>
      </c>
      <c r="F20" s="140" t="str">
        <f aca="false">IF($A20="","",$L$54*$D20)</f>
        <v/>
      </c>
      <c r="G20" s="139" t="str">
        <f aca="false">IF($A20="","",$C20-$E$55-$F$55)</f>
        <v/>
      </c>
      <c r="H20" s="140" t="str">
        <f aca="false">IF($A20="","",$L$55*$D20)</f>
        <v/>
      </c>
      <c r="I20" s="139" t="str">
        <f aca="false">IF($A20="","",$C20-$E$56-$F$56)</f>
        <v/>
      </c>
      <c r="J20" s="140" t="str">
        <f aca="false">IF($A20="","",$L$56*$D20)</f>
        <v/>
      </c>
      <c r="K20" s="139" t="str">
        <f aca="false">IF($A20="","",$B20-$E$57-$F$57)</f>
        <v/>
      </c>
      <c r="L20" s="140" t="str">
        <f aca="false">IF($A20="","",$L$57*$D20)</f>
        <v/>
      </c>
      <c r="M20" s="139" t="str">
        <f aca="false">IF($A20="","",($C20-$E$58-$F$58-$G$58)/2)</f>
        <v/>
      </c>
      <c r="N20" s="140" t="str">
        <f aca="false">IF($A20="","",$L$58*$D20)</f>
        <v/>
      </c>
      <c r="O20" s="139" t="str">
        <f aca="false">IF($A20="","",$B20-$E$59-$F$59)</f>
        <v/>
      </c>
      <c r="P20" s="140" t="str">
        <f aca="false">IF($A20="","",$L$59*$D20)</f>
        <v/>
      </c>
      <c r="Q20" s="139"/>
      <c r="R20" s="140"/>
      <c r="S20" s="139"/>
      <c r="T20" s="140"/>
      <c r="U20" s="139"/>
      <c r="V20" s="140"/>
      <c r="W20" s="139"/>
      <c r="X20" s="140"/>
      <c r="Y20" s="139"/>
      <c r="Z20" s="140"/>
      <c r="AA20" s="139"/>
      <c r="AB20" s="140"/>
      <c r="AC20" s="139"/>
      <c r="AD20" s="140"/>
      <c r="AE20" s="135" t="str">
        <f aca="false">IF($A20="","",$B20-35-35)</f>
        <v/>
      </c>
      <c r="AF20" s="135" t="str">
        <f aca="false">IF($A20="","",$M20-10-10)</f>
        <v/>
      </c>
      <c r="AG20" s="137" t="str">
        <f aca="false">IF($A20="","",2*$D20)</f>
        <v/>
      </c>
    </row>
    <row r="21" customFormat="false" ht="39.75" hidden="false" customHeight="true" outlineLevel="0" collapsed="false">
      <c r="A21" s="88"/>
      <c r="B21" s="89"/>
      <c r="C21" s="90"/>
      <c r="D21" s="91"/>
      <c r="E21" s="134" t="str">
        <f aca="false">IF($A21="","",$B21)</f>
        <v/>
      </c>
      <c r="F21" s="90" t="str">
        <f aca="false">IF($A21="","",$L$54*$D21)</f>
        <v/>
      </c>
      <c r="G21" s="134" t="str">
        <f aca="false">IF($A21="","",$C21-$E$55-$F$55)</f>
        <v/>
      </c>
      <c r="H21" s="90" t="str">
        <f aca="false">IF($A21="","",$L$55*$D21)</f>
        <v/>
      </c>
      <c r="I21" s="134" t="str">
        <f aca="false">IF($A21="","",$C21-$E$56-$F$56)</f>
        <v/>
      </c>
      <c r="J21" s="90" t="str">
        <f aca="false">IF($A21="","",$L$56*$D21)</f>
        <v/>
      </c>
      <c r="K21" s="134" t="str">
        <f aca="false">IF($A21="","",$B21-$E$57-$F$57)</f>
        <v/>
      </c>
      <c r="L21" s="90" t="str">
        <f aca="false">IF($A21="","",$L$57*$D21)</f>
        <v/>
      </c>
      <c r="M21" s="134" t="str">
        <f aca="false">IF($A21="","",($C21-$E$58-$F$58-$G$58)/2)</f>
        <v/>
      </c>
      <c r="N21" s="90" t="str">
        <f aca="false">IF($A21="","",$L$58*$D21)</f>
        <v/>
      </c>
      <c r="O21" s="134" t="str">
        <f aca="false">IF($A21="","",$B21-$E$59-$F$59)</f>
        <v/>
      </c>
      <c r="P21" s="90" t="str">
        <f aca="false">IF($A21="","",$L$59*$D21)</f>
        <v/>
      </c>
      <c r="Q21" s="134"/>
      <c r="R21" s="90"/>
      <c r="S21" s="134"/>
      <c r="T21" s="90"/>
      <c r="U21" s="134"/>
      <c r="V21" s="90"/>
      <c r="W21" s="134"/>
      <c r="X21" s="90"/>
      <c r="Y21" s="134"/>
      <c r="Z21" s="90"/>
      <c r="AA21" s="134"/>
      <c r="AB21" s="90"/>
      <c r="AC21" s="134"/>
      <c r="AD21" s="90"/>
      <c r="AE21" s="135" t="str">
        <f aca="false">IF($A21="","",$B21-35-35)</f>
        <v/>
      </c>
      <c r="AF21" s="135" t="str">
        <f aca="false">IF($A21="","",$M21-10-10)</f>
        <v/>
      </c>
      <c r="AG21" s="137" t="str">
        <f aca="false">IF($A21="","",2*$D21)</f>
        <v/>
      </c>
    </row>
    <row r="22" customFormat="false" ht="39.75" hidden="false" customHeight="true" outlineLevel="0" collapsed="false">
      <c r="A22" s="88"/>
      <c r="B22" s="89"/>
      <c r="C22" s="90"/>
      <c r="D22" s="91"/>
      <c r="E22" s="139" t="str">
        <f aca="false">IF($A22="","",$B22)</f>
        <v/>
      </c>
      <c r="F22" s="140" t="str">
        <f aca="false">IF($A22="","",$L$54*$D22)</f>
        <v/>
      </c>
      <c r="G22" s="139" t="str">
        <f aca="false">IF($A22="","",$C22-$E$55-$F$55)</f>
        <v/>
      </c>
      <c r="H22" s="140" t="str">
        <f aca="false">IF($A22="","",$L$55*$D22)</f>
        <v/>
      </c>
      <c r="I22" s="139" t="str">
        <f aca="false">IF($A22="","",$C22-$E$56-$F$56)</f>
        <v/>
      </c>
      <c r="J22" s="140" t="str">
        <f aca="false">IF($A22="","",$L$56*$D22)</f>
        <v/>
      </c>
      <c r="K22" s="139" t="str">
        <f aca="false">IF($A22="","",$B22-$E$57-$F$57)</f>
        <v/>
      </c>
      <c r="L22" s="140" t="str">
        <f aca="false">IF($A22="","",$L$57*$D22)</f>
        <v/>
      </c>
      <c r="M22" s="139" t="str">
        <f aca="false">IF($A22="","",($C22-$E$58-$F$58-$G$58)/2)</f>
        <v/>
      </c>
      <c r="N22" s="140" t="str">
        <f aca="false">IF($A22="","",$L$58*$D22)</f>
        <v/>
      </c>
      <c r="O22" s="139" t="str">
        <f aca="false">IF($A22="","",$B22-$E$59-$F$59)</f>
        <v/>
      </c>
      <c r="P22" s="140" t="str">
        <f aca="false">IF($A22="","",$L$59*$D22)</f>
        <v/>
      </c>
      <c r="Q22" s="139"/>
      <c r="R22" s="140"/>
      <c r="S22" s="139"/>
      <c r="T22" s="140"/>
      <c r="U22" s="139"/>
      <c r="V22" s="140"/>
      <c r="W22" s="139"/>
      <c r="X22" s="140"/>
      <c r="Y22" s="139"/>
      <c r="Z22" s="140"/>
      <c r="AA22" s="139"/>
      <c r="AB22" s="140"/>
      <c r="AC22" s="139"/>
      <c r="AD22" s="140"/>
      <c r="AE22" s="135" t="str">
        <f aca="false">IF($A22="","",$B22-35-35)</f>
        <v/>
      </c>
      <c r="AF22" s="135" t="str">
        <f aca="false">IF($A22="","",$M22-10-10)</f>
        <v/>
      </c>
      <c r="AG22" s="137" t="str">
        <f aca="false">IF($A22="","",2*$D22)</f>
        <v/>
      </c>
    </row>
    <row r="23" customFormat="false" ht="39.75" hidden="false" customHeight="true" outlineLevel="0" collapsed="false">
      <c r="A23" s="88"/>
      <c r="B23" s="89"/>
      <c r="C23" s="90"/>
      <c r="D23" s="91"/>
      <c r="E23" s="134" t="str">
        <f aca="false">IF($A23="","",$B23)</f>
        <v/>
      </c>
      <c r="F23" s="90" t="str">
        <f aca="false">IF($A23="","",$L$54*$D23)</f>
        <v/>
      </c>
      <c r="G23" s="134" t="str">
        <f aca="false">IF($A23="","",$C23-$E$55-$F$55)</f>
        <v/>
      </c>
      <c r="H23" s="90" t="str">
        <f aca="false">IF($A23="","",$L$55*$D23)</f>
        <v/>
      </c>
      <c r="I23" s="134" t="str">
        <f aca="false">IF($A23="","",$C23-$E$56-$F$56)</f>
        <v/>
      </c>
      <c r="J23" s="90" t="str">
        <f aca="false">IF($A23="","",$L$56*$D23)</f>
        <v/>
      </c>
      <c r="K23" s="134" t="str">
        <f aca="false">IF($A23="","",$B23-$E$57-$F$57)</f>
        <v/>
      </c>
      <c r="L23" s="90" t="str">
        <f aca="false">IF($A23="","",$L$57*$D23)</f>
        <v/>
      </c>
      <c r="M23" s="134" t="str">
        <f aca="false">IF($A23="","",($C23-$E$58-$F$58-$G$58)/2)</f>
        <v/>
      </c>
      <c r="N23" s="90" t="str">
        <f aca="false">IF($A23="","",$L$58*$D23)</f>
        <v/>
      </c>
      <c r="O23" s="134" t="str">
        <f aca="false">IF($A23="","",$B23-$E$59-$F$59)</f>
        <v/>
      </c>
      <c r="P23" s="90" t="str">
        <f aca="false">IF($A23="","",$L$59*$D23)</f>
        <v/>
      </c>
      <c r="Q23" s="134"/>
      <c r="R23" s="90"/>
      <c r="S23" s="134"/>
      <c r="T23" s="90"/>
      <c r="U23" s="134"/>
      <c r="V23" s="90"/>
      <c r="W23" s="134"/>
      <c r="X23" s="90"/>
      <c r="Y23" s="134"/>
      <c r="Z23" s="90"/>
      <c r="AA23" s="134"/>
      <c r="AB23" s="90"/>
      <c r="AC23" s="134"/>
      <c r="AD23" s="90"/>
      <c r="AE23" s="135" t="str">
        <f aca="false">IF($A23="","",$B23-35-35)</f>
        <v/>
      </c>
      <c r="AF23" s="135" t="str">
        <f aca="false">IF($A23="","",$M23-10-10)</f>
        <v/>
      </c>
      <c r="AG23" s="137" t="str">
        <f aca="false">IF($A23="","",2*$D23)</f>
        <v/>
      </c>
    </row>
    <row r="24" customFormat="false" ht="39.75" hidden="false" customHeight="true" outlineLevel="0" collapsed="false">
      <c r="A24" s="88"/>
      <c r="B24" s="89"/>
      <c r="C24" s="90"/>
      <c r="D24" s="91"/>
      <c r="E24" s="139" t="str">
        <f aca="false">IF($A24="","",$B24)</f>
        <v/>
      </c>
      <c r="F24" s="140" t="str">
        <f aca="false">IF($A24="","",$L$54*$D24)</f>
        <v/>
      </c>
      <c r="G24" s="139" t="str">
        <f aca="false">IF($A24="","",$C24-$E$55-$F$55)</f>
        <v/>
      </c>
      <c r="H24" s="140" t="str">
        <f aca="false">IF($A24="","",$L$55*$D24)</f>
        <v/>
      </c>
      <c r="I24" s="139" t="str">
        <f aca="false">IF($A24="","",$C24-$E$56-$F$56)</f>
        <v/>
      </c>
      <c r="J24" s="140" t="str">
        <f aca="false">IF($A24="","",$L$56*$D24)</f>
        <v/>
      </c>
      <c r="K24" s="139" t="str">
        <f aca="false">IF($A24="","",$B24-$E$57-$F$57)</f>
        <v/>
      </c>
      <c r="L24" s="140" t="str">
        <f aca="false">IF($A24="","",$L$57*$D24)</f>
        <v/>
      </c>
      <c r="M24" s="139" t="str">
        <f aca="false">IF($A24="","",($C24-$E$58-$F$58-$G$58)/2)</f>
        <v/>
      </c>
      <c r="N24" s="140" t="str">
        <f aca="false">IF($A24="","",$L$58*$D24)</f>
        <v/>
      </c>
      <c r="O24" s="139" t="str">
        <f aca="false">IF($A24="","",$B24-$E$59-$F$59)</f>
        <v/>
      </c>
      <c r="P24" s="140" t="str">
        <f aca="false">IF($A24="","",$L$59*$D24)</f>
        <v/>
      </c>
      <c r="Q24" s="139"/>
      <c r="R24" s="140"/>
      <c r="S24" s="139"/>
      <c r="T24" s="140"/>
      <c r="U24" s="139"/>
      <c r="V24" s="140"/>
      <c r="W24" s="139"/>
      <c r="X24" s="140"/>
      <c r="Y24" s="139"/>
      <c r="Z24" s="140"/>
      <c r="AA24" s="139"/>
      <c r="AB24" s="140"/>
      <c r="AC24" s="139"/>
      <c r="AD24" s="140"/>
      <c r="AE24" s="135" t="str">
        <f aca="false">IF($A24="","",$B24-35-35)</f>
        <v/>
      </c>
      <c r="AF24" s="135" t="str">
        <f aca="false">IF($A24="","",$M24-10-10)</f>
        <v/>
      </c>
      <c r="AG24" s="137" t="str">
        <f aca="false">IF($A24="","",2*$D24)</f>
        <v/>
      </c>
    </row>
    <row r="25" customFormat="false" ht="39.75" hidden="false" customHeight="true" outlineLevel="0" collapsed="false">
      <c r="A25" s="88"/>
      <c r="B25" s="89"/>
      <c r="C25" s="90"/>
      <c r="D25" s="91"/>
      <c r="E25" s="134" t="str">
        <f aca="false">IF($A25="","",$B25)</f>
        <v/>
      </c>
      <c r="F25" s="90" t="str">
        <f aca="false">IF($A25="","",$L$54*$D25)</f>
        <v/>
      </c>
      <c r="G25" s="134" t="str">
        <f aca="false">IF($A25="","",$C25-$E$55-$F$55)</f>
        <v/>
      </c>
      <c r="H25" s="90" t="str">
        <f aca="false">IF($A25="","",$L$55*$D25)</f>
        <v/>
      </c>
      <c r="I25" s="134" t="str">
        <f aca="false">IF($A25="","",$C25-$E$56-$F$56)</f>
        <v/>
      </c>
      <c r="J25" s="90" t="str">
        <f aca="false">IF($A25="","",$L$56*$D25)</f>
        <v/>
      </c>
      <c r="K25" s="134" t="str">
        <f aca="false">IF($A25="","",$B25-$E$57-$F$57)</f>
        <v/>
      </c>
      <c r="L25" s="90" t="str">
        <f aca="false">IF($A25="","",$L$57*$D25)</f>
        <v/>
      </c>
      <c r="M25" s="134" t="str">
        <f aca="false">IF($A25="","",($C25-$E$58-$F$58-$G$58)/2)</f>
        <v/>
      </c>
      <c r="N25" s="90" t="str">
        <f aca="false">IF($A25="","",$L$58*$D25)</f>
        <v/>
      </c>
      <c r="O25" s="134" t="str">
        <f aca="false">IF($A25="","",$B25-$E$59-$F$59)</f>
        <v/>
      </c>
      <c r="P25" s="90" t="str">
        <f aca="false">IF($A25="","",$L$59*$D25)</f>
        <v/>
      </c>
      <c r="Q25" s="134"/>
      <c r="R25" s="90"/>
      <c r="S25" s="134"/>
      <c r="T25" s="90"/>
      <c r="U25" s="134"/>
      <c r="V25" s="90"/>
      <c r="W25" s="134"/>
      <c r="X25" s="90"/>
      <c r="Y25" s="134"/>
      <c r="Z25" s="90"/>
      <c r="AA25" s="134"/>
      <c r="AB25" s="90"/>
      <c r="AC25" s="134"/>
      <c r="AD25" s="90"/>
      <c r="AE25" s="135" t="str">
        <f aca="false">IF($A25="","",$B25-35-35)</f>
        <v/>
      </c>
      <c r="AF25" s="135" t="str">
        <f aca="false">IF($A25="","",$M25-10-10)</f>
        <v/>
      </c>
      <c r="AG25" s="137" t="str">
        <f aca="false">IF($A25="","",2*$D25)</f>
        <v/>
      </c>
    </row>
    <row r="26" customFormat="false" ht="39.75" hidden="false" customHeight="true" outlineLevel="0" collapsed="false">
      <c r="A26" s="88"/>
      <c r="B26" s="89"/>
      <c r="C26" s="90"/>
      <c r="D26" s="91"/>
      <c r="E26" s="139" t="str">
        <f aca="false">IF($A26="","",$B26)</f>
        <v/>
      </c>
      <c r="F26" s="140" t="str">
        <f aca="false">IF($A26="","",$L$54*$D26)</f>
        <v/>
      </c>
      <c r="G26" s="139" t="str">
        <f aca="false">IF($A26="","",$C26-$E$55-$F$55)</f>
        <v/>
      </c>
      <c r="H26" s="140" t="str">
        <f aca="false">IF($A26="","",$L$55*$D26)</f>
        <v/>
      </c>
      <c r="I26" s="139" t="str">
        <f aca="false">IF($A26="","",$C26-$E$56-$F$56)</f>
        <v/>
      </c>
      <c r="J26" s="140" t="str">
        <f aca="false">IF($A26="","",$L$56*$D26)</f>
        <v/>
      </c>
      <c r="K26" s="139" t="str">
        <f aca="false">IF($A26="","",$B26-$E$57-$F$57)</f>
        <v/>
      </c>
      <c r="L26" s="140" t="str">
        <f aca="false">IF($A26="","",$L$57*$D26)</f>
        <v/>
      </c>
      <c r="M26" s="139" t="str">
        <f aca="false">IF($A26="","",($C26-$E$58-$F$58-$G$58)/2)</f>
        <v/>
      </c>
      <c r="N26" s="140" t="str">
        <f aca="false">IF($A26="","",$L$58*$D26)</f>
        <v/>
      </c>
      <c r="O26" s="139" t="str">
        <f aca="false">IF($A26="","",$B26-$E$59-$F$59)</f>
        <v/>
      </c>
      <c r="P26" s="140" t="str">
        <f aca="false">IF($A26="","",$L$59*$D26)</f>
        <v/>
      </c>
      <c r="Q26" s="139"/>
      <c r="R26" s="140"/>
      <c r="S26" s="139"/>
      <c r="T26" s="140"/>
      <c r="U26" s="139"/>
      <c r="V26" s="140"/>
      <c r="W26" s="139"/>
      <c r="X26" s="140"/>
      <c r="Y26" s="139"/>
      <c r="Z26" s="140"/>
      <c r="AA26" s="139"/>
      <c r="AB26" s="140"/>
      <c r="AC26" s="139"/>
      <c r="AD26" s="140"/>
      <c r="AE26" s="135" t="str">
        <f aca="false">IF($A26="","",$B26-35-35)</f>
        <v/>
      </c>
      <c r="AF26" s="135" t="str">
        <f aca="false">IF($A26="","",$M26-10-10)</f>
        <v/>
      </c>
      <c r="AG26" s="137" t="str">
        <f aca="false">IF($A26="","",2*$D26)</f>
        <v/>
      </c>
    </row>
    <row r="27" customFormat="false" ht="39.75" hidden="false" customHeight="true" outlineLevel="0" collapsed="false">
      <c r="A27" s="88"/>
      <c r="B27" s="89"/>
      <c r="C27" s="90"/>
      <c r="D27" s="91"/>
      <c r="E27" s="134" t="str">
        <f aca="false">IF($A27="","",$B27)</f>
        <v/>
      </c>
      <c r="F27" s="90" t="str">
        <f aca="false">IF($A27="","",$L$54*$D27)</f>
        <v/>
      </c>
      <c r="G27" s="134" t="str">
        <f aca="false">IF($A27="","",$C27-$E$55-$F$55)</f>
        <v/>
      </c>
      <c r="H27" s="90" t="str">
        <f aca="false">IF($A27="","",$L$55*$D27)</f>
        <v/>
      </c>
      <c r="I27" s="134" t="str">
        <f aca="false">IF($A27="","",$C27-$E$56-$F$56)</f>
        <v/>
      </c>
      <c r="J27" s="90" t="str">
        <f aca="false">IF($A27="","",$L$56*$D27)</f>
        <v/>
      </c>
      <c r="K27" s="134" t="str">
        <f aca="false">IF($A27="","",$B27-$E$57-$F$57)</f>
        <v/>
      </c>
      <c r="L27" s="90" t="str">
        <f aca="false">IF($A27="","",$L$57*$D27)</f>
        <v/>
      </c>
      <c r="M27" s="134" t="str">
        <f aca="false">IF($A27="","",($C27-$E$58-$F$58-$G$58)/2)</f>
        <v/>
      </c>
      <c r="N27" s="90" t="str">
        <f aca="false">IF($A27="","",$L$58*$D27)</f>
        <v/>
      </c>
      <c r="O27" s="134" t="str">
        <f aca="false">IF($A27="","",$B27-$E$59-$F$59)</f>
        <v/>
      </c>
      <c r="P27" s="90" t="str">
        <f aca="false">IF($A27="","",$L$59*$D27)</f>
        <v/>
      </c>
      <c r="Q27" s="134"/>
      <c r="R27" s="90"/>
      <c r="S27" s="134"/>
      <c r="T27" s="90"/>
      <c r="U27" s="134"/>
      <c r="V27" s="90"/>
      <c r="W27" s="134"/>
      <c r="X27" s="90"/>
      <c r="Y27" s="134"/>
      <c r="Z27" s="90"/>
      <c r="AA27" s="134"/>
      <c r="AB27" s="90"/>
      <c r="AC27" s="134"/>
      <c r="AD27" s="90"/>
      <c r="AE27" s="135" t="str">
        <f aca="false">IF($A27="","",$B27-35-35)</f>
        <v/>
      </c>
      <c r="AF27" s="135" t="str">
        <f aca="false">IF($A27="","",$M27-10-10)</f>
        <v/>
      </c>
      <c r="AG27" s="137" t="str">
        <f aca="false">IF($A27="","",2*$D27)</f>
        <v/>
      </c>
    </row>
    <row r="28" customFormat="false" ht="39.75" hidden="false" customHeight="true" outlineLevel="0" collapsed="false">
      <c r="A28" s="88"/>
      <c r="B28" s="89"/>
      <c r="C28" s="90"/>
      <c r="D28" s="91"/>
      <c r="E28" s="139" t="str">
        <f aca="false">IF($A28="","",$B28)</f>
        <v/>
      </c>
      <c r="F28" s="140" t="str">
        <f aca="false">IF($A28="","",$L$54*$D28)</f>
        <v/>
      </c>
      <c r="G28" s="139" t="str">
        <f aca="false">IF($A28="","",$C28-$E$55-$F$55)</f>
        <v/>
      </c>
      <c r="H28" s="140" t="str">
        <f aca="false">IF($A28="","",$L$55*$D28)</f>
        <v/>
      </c>
      <c r="I28" s="139" t="str">
        <f aca="false">IF($A28="","",$C28-$E$56-$F$56)</f>
        <v/>
      </c>
      <c r="J28" s="140" t="str">
        <f aca="false">IF($A28="","",$L$56*$D28)</f>
        <v/>
      </c>
      <c r="K28" s="139" t="str">
        <f aca="false">IF($A28="","",$B28-$E$57-$F$57)</f>
        <v/>
      </c>
      <c r="L28" s="140" t="str">
        <f aca="false">IF($A28="","",$L$57*$D28)</f>
        <v/>
      </c>
      <c r="M28" s="139" t="str">
        <f aca="false">IF($A28="","",($C28-$E$58-$F$58-$G$58)/2)</f>
        <v/>
      </c>
      <c r="N28" s="140" t="str">
        <f aca="false">IF($A28="","",$L$58*$D28)</f>
        <v/>
      </c>
      <c r="O28" s="139" t="str">
        <f aca="false">IF($A28="","",$B28-$E$59-$F$59)</f>
        <v/>
      </c>
      <c r="P28" s="140" t="str">
        <f aca="false">IF($A28="","",$L$59*$D28)</f>
        <v/>
      </c>
      <c r="Q28" s="139"/>
      <c r="R28" s="140"/>
      <c r="S28" s="139"/>
      <c r="T28" s="140"/>
      <c r="U28" s="139"/>
      <c r="V28" s="140"/>
      <c r="W28" s="139"/>
      <c r="X28" s="140"/>
      <c r="Y28" s="139"/>
      <c r="Z28" s="140"/>
      <c r="AA28" s="139"/>
      <c r="AB28" s="140"/>
      <c r="AC28" s="139"/>
      <c r="AD28" s="140"/>
      <c r="AE28" s="135" t="str">
        <f aca="false">IF($A28="","",$B28-35-35)</f>
        <v/>
      </c>
      <c r="AF28" s="135" t="str">
        <f aca="false">IF($A28="","",$M28-10-10)</f>
        <v/>
      </c>
      <c r="AG28" s="137" t="str">
        <f aca="false">IF($A28="","",2*$D28)</f>
        <v/>
      </c>
    </row>
    <row r="29" customFormat="false" ht="39.75" hidden="false" customHeight="true" outlineLevel="0" collapsed="false"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141" t="str">
        <f aca="false">E$7</f>
        <v>F7937</v>
      </c>
      <c r="F30" s="141"/>
      <c r="G30" s="141"/>
      <c r="H30" s="142" t="n">
        <f aca="false">(ROUNDUP(SUM(F49:H49)/6400,0))</f>
        <v>1</v>
      </c>
      <c r="I30" s="142" t="str">
        <f aca="false">I$7</f>
        <v>F7858</v>
      </c>
      <c r="J30" s="142" t="n">
        <f aca="false">(ROUNDUP(J49/6400,0))</f>
        <v>1</v>
      </c>
      <c r="K30" s="141" t="str">
        <f aca="false">K$7</f>
        <v>F7935</v>
      </c>
      <c r="L30" s="141"/>
      <c r="M30" s="141"/>
      <c r="N30" s="142" t="n">
        <f aca="false">(ROUNDUP(SUM(L49:N49)/6400,0))</f>
        <v>2</v>
      </c>
      <c r="O30" s="141" t="str">
        <f aca="false">O$7</f>
        <v>F7998</v>
      </c>
      <c r="P30" s="141"/>
      <c r="Q30" s="141"/>
      <c r="R30" s="142" t="n">
        <f aca="false">(ROUNDUP(SUM(P49:R49)/6400,0))</f>
        <v>1</v>
      </c>
      <c r="S30" s="142" t="n">
        <f aca="false">S$7</f>
        <v>0</v>
      </c>
      <c r="T30" s="142" t="n">
        <f aca="false">(ROUNDUP(T49/6400,0))</f>
        <v>0</v>
      </c>
      <c r="U30" s="142" t="n">
        <f aca="false">U$7</f>
        <v>0</v>
      </c>
      <c r="V30" s="142" t="n">
        <f aca="false">(ROUNDUP(V49/6400,0))</f>
        <v>0</v>
      </c>
      <c r="W30" s="142" t="n">
        <f aca="false">W$7</f>
        <v>0</v>
      </c>
      <c r="X30" s="142" t="n">
        <f aca="false">(ROUNDUP(X49/6400,0))</f>
        <v>0</v>
      </c>
      <c r="Y30" s="142" t="n">
        <f aca="false">Y$7</f>
        <v>0</v>
      </c>
      <c r="Z30" s="142" t="n">
        <f aca="false">(ROUNDUP(Z49/6400,0))</f>
        <v>0</v>
      </c>
      <c r="AA30" s="142" t="n">
        <f aca="false">AA$7</f>
        <v>0</v>
      </c>
      <c r="AB30" s="142" t="n">
        <f aca="false">(ROUNDUP(AB49/6400,0))</f>
        <v>0</v>
      </c>
      <c r="AC30" s="142" t="n">
        <f aca="false">AC$7</f>
        <v>0</v>
      </c>
      <c r="AD30" s="142" t="n">
        <f aca="false">(ROUNDUP(AD49/6400,0))</f>
        <v>0</v>
      </c>
    </row>
    <row r="31" customFormat="false" ht="39.75" hidden="true" customHeight="true" outlineLevel="0" collapsed="false">
      <c r="F31" s="67" t="n">
        <f aca="false">IF($A11="","",F11*E11)</f>
        <v>4170</v>
      </c>
      <c r="G31" s="67"/>
      <c r="H31" s="67" t="n">
        <f aca="false">IF($A11="","",H11*G11)</f>
        <v>450</v>
      </c>
      <c r="I31" s="67"/>
      <c r="J31" s="67" t="n">
        <f aca="false">IF($A11="","",J11*I11)</f>
        <v>450</v>
      </c>
      <c r="K31" s="67"/>
      <c r="L31" s="67" t="n">
        <f aca="false">IF($A11="","",L11*K11)</f>
        <v>7980</v>
      </c>
      <c r="M31" s="67"/>
      <c r="N31" s="67" t="n">
        <f aca="false">IF($A11="","",N11*M11)</f>
        <v>850</v>
      </c>
      <c r="O31" s="67"/>
      <c r="P31" s="67" t="n">
        <f aca="false">IF($A11="","",P11*O11)</f>
        <v>2035</v>
      </c>
      <c r="Q31" s="67"/>
      <c r="R31" s="67" t="n">
        <f aca="false">IF($A11="","",R11*Q11)</f>
        <v>0</v>
      </c>
      <c r="S31" s="67"/>
      <c r="T31" s="67" t="n">
        <f aca="false">IF($A11="","",T11*S11)</f>
        <v>0</v>
      </c>
      <c r="U31" s="67"/>
      <c r="V31" s="67" t="n">
        <f aca="false">IF($A11="","",V11*U11)</f>
        <v>0</v>
      </c>
      <c r="W31" s="67"/>
      <c r="X31" s="67" t="n">
        <f aca="false">IF($A11="","",X11*W11)</f>
        <v>0</v>
      </c>
      <c r="Y31" s="67"/>
      <c r="Z31" s="67" t="n">
        <f aca="false">IF($A11="","",Z11*Y11)</f>
        <v>0</v>
      </c>
      <c r="AA31" s="67"/>
      <c r="AB31" s="67" t="n">
        <f aca="false">IF($A11="","",AB11*AA11)</f>
        <v>0</v>
      </c>
      <c r="AC31" s="67"/>
      <c r="AD31" s="67" t="n">
        <f aca="false">IF($A11="","",AD11*AC11)</f>
        <v>0</v>
      </c>
    </row>
    <row r="32" customFormat="false" ht="39.75" hidden="true" customHeight="true" outlineLevel="0" collapsed="false">
      <c r="F32" s="67" t="str">
        <f aca="false">IF($A12="","",F12*E12)</f>
        <v/>
      </c>
      <c r="G32" s="67"/>
      <c r="H32" s="67" t="str">
        <f aca="false">IF($A12="","",H12*G12)</f>
        <v/>
      </c>
      <c r="I32" s="67"/>
      <c r="J32" s="67" t="str">
        <f aca="false">IF($A12="","",J12*I12)</f>
        <v/>
      </c>
      <c r="K32" s="67"/>
      <c r="L32" s="67" t="str">
        <f aca="false">IF($A12="","",L12*K12)</f>
        <v/>
      </c>
      <c r="M32" s="67"/>
      <c r="N32" s="67" t="str">
        <f aca="false">IF($A12="","",N12*M12)</f>
        <v/>
      </c>
      <c r="O32" s="67"/>
      <c r="P32" s="67" t="str">
        <f aca="false">IF($A12="","",P12*O12)</f>
        <v/>
      </c>
      <c r="Q32" s="67"/>
      <c r="R32" s="67" t="str">
        <f aca="false">IF($A12="","",R12*Q12)</f>
        <v/>
      </c>
      <c r="S32" s="67"/>
      <c r="T32" s="67" t="str">
        <f aca="false">IF($A12="","",T12*S12)</f>
        <v/>
      </c>
      <c r="U32" s="67"/>
      <c r="V32" s="67" t="str">
        <f aca="false">IF($A12="","",V12*U12)</f>
        <v/>
      </c>
      <c r="W32" s="67"/>
      <c r="X32" s="67" t="str">
        <f aca="false">IF($A12="","",X12*W12)</f>
        <v/>
      </c>
      <c r="Y32" s="67"/>
      <c r="Z32" s="67" t="str">
        <f aca="false">IF($A12="","",Z12*Y12)</f>
        <v/>
      </c>
      <c r="AA32" s="67"/>
      <c r="AB32" s="67" t="str">
        <f aca="false">IF($A12="","",AB12*AA12)</f>
        <v/>
      </c>
      <c r="AC32" s="67"/>
      <c r="AD32" s="67" t="str">
        <f aca="false">IF($A12="","",AD12*AC12)</f>
        <v/>
      </c>
    </row>
    <row r="33" customFormat="false" ht="39.75" hidden="true" customHeight="true" outlineLevel="0" collapsed="false">
      <c r="F33" s="67" t="str">
        <f aca="false">IF($A13="","",F13*E13)</f>
        <v/>
      </c>
      <c r="G33" s="67"/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  <c r="AC33" s="67"/>
      <c r="AD33" s="67" t="str">
        <f aca="false">IF($A13="","",AD13*AC13)</f>
        <v/>
      </c>
    </row>
    <row r="34" customFormat="false" ht="39.75" hidden="true" customHeight="true" outlineLevel="0" collapsed="false">
      <c r="F34" s="67" t="str">
        <f aca="false">IF($A14="","",F14*E14)</f>
        <v/>
      </c>
      <c r="G34" s="67"/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  <c r="AC34" s="67"/>
      <c r="AD34" s="67" t="str">
        <f aca="false">IF($A14="","",AD14*AC14)</f>
        <v/>
      </c>
    </row>
    <row r="35" customFormat="false" ht="39.75" hidden="true" customHeight="true" outlineLevel="0" collapsed="false">
      <c r="F35" s="67" t="str">
        <f aca="false">IF($A15="","",F15*E15)</f>
        <v/>
      </c>
      <c r="G35" s="67"/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  <c r="AC35" s="67"/>
      <c r="AD35" s="67" t="str">
        <f aca="false">IF($A15="","",AD15*AC15)</f>
        <v/>
      </c>
    </row>
    <row r="36" customFormat="false" ht="15" hidden="true" customHeight="true" outlineLevel="0" collapsed="false">
      <c r="F36" s="67" t="str">
        <f aca="false">IF($A16="","",F16*E16)</f>
        <v/>
      </c>
      <c r="G36" s="67"/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  <c r="AC36" s="67"/>
      <c r="AD36" s="67" t="str">
        <f aca="false">IF($A16="","",AD16*AC16)</f>
        <v/>
      </c>
    </row>
    <row r="37" customFormat="false" ht="15" hidden="true" customHeight="true" outlineLevel="0" collapsed="false">
      <c r="F37" s="67" t="str">
        <f aca="false">IF($A17="","",F17*E17)</f>
        <v/>
      </c>
      <c r="G37" s="67"/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  <c r="AC37" s="67"/>
      <c r="AD37" s="67" t="str">
        <f aca="false">IF($A17="","",AD17*AC17)</f>
        <v/>
      </c>
    </row>
    <row r="38" customFormat="false" ht="15" hidden="true" customHeight="true" outlineLevel="0" collapsed="false">
      <c r="F38" s="67" t="str">
        <f aca="false">IF($A18="","",F18*E18)</f>
        <v/>
      </c>
      <c r="G38" s="67"/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  <c r="AC38" s="67"/>
      <c r="AD38" s="67" t="str">
        <f aca="false">IF($A18="","",AD18*AC18)</f>
        <v/>
      </c>
    </row>
    <row r="39" customFormat="false" ht="15" hidden="true" customHeight="true" outlineLevel="0" collapsed="false">
      <c r="F39" s="67" t="str">
        <f aca="false">IF($A19="","",F19*E19)</f>
        <v/>
      </c>
      <c r="G39" s="67"/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  <c r="AC39" s="67"/>
      <c r="AD39" s="67" t="str">
        <f aca="false">IF($A19="","",AD19*AC19)</f>
        <v/>
      </c>
    </row>
    <row r="40" customFormat="false" ht="15" hidden="true" customHeight="true" outlineLevel="0" collapsed="false">
      <c r="F40" s="67" t="str">
        <f aca="false">IF($A20="","",F20*E20)</f>
        <v/>
      </c>
      <c r="G40" s="67"/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  <c r="AC40" s="67"/>
      <c r="AD40" s="67" t="str">
        <f aca="false">IF($A20="","",AD20*AC20)</f>
        <v/>
      </c>
    </row>
    <row r="41" customFormat="false" ht="15" hidden="true" customHeight="true" outlineLevel="0" collapsed="false">
      <c r="F41" s="67" t="str">
        <f aca="false">IF($A21="","",F21*E21)</f>
        <v/>
      </c>
      <c r="G41" s="67"/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  <c r="AC41" s="67"/>
      <c r="AD41" s="67" t="str">
        <f aca="false">IF($A21="","",AD21*AC21)</f>
        <v/>
      </c>
    </row>
    <row r="42" customFormat="false" ht="15" hidden="true" customHeight="true" outlineLevel="0" collapsed="false">
      <c r="F42" s="67" t="str">
        <f aca="false">IF($A22="","",F22*E22)</f>
        <v/>
      </c>
      <c r="G42" s="67"/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  <c r="AC42" s="67"/>
      <c r="AD42" s="67" t="str">
        <f aca="false">IF($A22="","",AD22*AC22)</f>
        <v/>
      </c>
    </row>
    <row r="43" customFormat="false" ht="15" hidden="true" customHeight="true" outlineLevel="0" collapsed="false">
      <c r="F43" s="67" t="str">
        <f aca="false">IF($A23="","",F23*E23)</f>
        <v/>
      </c>
      <c r="G43" s="67"/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  <c r="AC43" s="67"/>
      <c r="AD43" s="67" t="str">
        <f aca="false">IF($A23="","",AD23*AC23)</f>
        <v/>
      </c>
    </row>
    <row r="44" customFormat="false" ht="15" hidden="true" customHeight="true" outlineLevel="0" collapsed="false">
      <c r="F44" s="67" t="str">
        <f aca="false">IF($A24="","",F24*E24)</f>
        <v/>
      </c>
      <c r="G44" s="67"/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  <c r="AC44" s="67"/>
      <c r="AD44" s="67" t="str">
        <f aca="false">IF($A24="","",AD24*AC24)</f>
        <v/>
      </c>
    </row>
    <row r="45" customFormat="false" ht="15" hidden="true" customHeight="true" outlineLevel="0" collapsed="false">
      <c r="F45" s="67" t="str">
        <f aca="false">IF($A25="","",F25*E25)</f>
        <v/>
      </c>
      <c r="G45" s="67"/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  <c r="AC45" s="67"/>
      <c r="AD45" s="67" t="str">
        <f aca="false">IF($A25="","",AD25*AC25)</f>
        <v/>
      </c>
    </row>
    <row r="46" customFormat="false" ht="15" hidden="true" customHeight="true" outlineLevel="0" collapsed="false">
      <c r="F46" s="67" t="str">
        <f aca="false">IF($A26="","",F26*E26)</f>
        <v/>
      </c>
      <c r="G46" s="67"/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  <c r="AC46" s="67"/>
      <c r="AD46" s="67" t="str">
        <f aca="false">IF($A26="","",AD26*AC26)</f>
        <v/>
      </c>
    </row>
    <row r="47" customFormat="false" ht="15" hidden="true" customHeight="true" outlineLevel="0" collapsed="false">
      <c r="F47" s="67" t="str">
        <f aca="false">IF($A27="","",F27*E27)</f>
        <v/>
      </c>
      <c r="G47" s="67"/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  <c r="AC47" s="67"/>
      <c r="AD47" s="67" t="str">
        <f aca="false">IF($A27="","",AD27*AC27)</f>
        <v/>
      </c>
    </row>
    <row r="48" customFormat="false" ht="15" hidden="true" customHeight="true" outlineLevel="0" collapsed="false">
      <c r="F48" s="67" t="str">
        <f aca="false">IF($A28="","",F28*E28)</f>
        <v/>
      </c>
      <c r="G48" s="67"/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  <c r="AC48" s="67"/>
      <c r="AD48" s="67" t="str">
        <f aca="false">IF($A28="","",AD28*AC28)</f>
        <v/>
      </c>
    </row>
    <row r="49" customFormat="false" ht="15" hidden="true" customHeight="true" outlineLevel="0" collapsed="false">
      <c r="F49" s="68" t="n">
        <f aca="false">SUMIF(F31:F48,"&gt;0")</f>
        <v>4170</v>
      </c>
      <c r="G49" s="68"/>
      <c r="H49" s="68" t="n">
        <f aca="false">SUMIF(H31:H48,"&gt;0")</f>
        <v>450</v>
      </c>
      <c r="I49" s="68"/>
      <c r="J49" s="68" t="n">
        <f aca="false">SUMIF(J31:J48,"&gt;0")</f>
        <v>450</v>
      </c>
      <c r="L49" s="68" t="n">
        <f aca="false">SUMIF(L31:L48,"&gt;0")</f>
        <v>7980</v>
      </c>
      <c r="M49" s="68"/>
      <c r="N49" s="68" t="n">
        <f aca="false">SUMIF(N31:N48,"&gt;0")</f>
        <v>850</v>
      </c>
      <c r="O49" s="68"/>
      <c r="P49" s="68" t="n">
        <f aca="false">SUMIF(P31:P48,"&gt;0")</f>
        <v>2035</v>
      </c>
      <c r="Q49" s="68"/>
      <c r="R49" s="68" t="n">
        <f aca="false">SUMIF(R31:R48,"&gt;0")</f>
        <v>0</v>
      </c>
      <c r="T49" s="68" t="n">
        <f aca="false">SUMIF(T31:T48,"&gt;0")</f>
        <v>0</v>
      </c>
      <c r="U49" s="68"/>
      <c r="V49" s="68" t="n">
        <f aca="false">SUMIF(V31:V48,"&gt;0")</f>
        <v>0</v>
      </c>
      <c r="W49" s="68"/>
      <c r="X49" s="68" t="n">
        <f aca="false">SUMIF(X31:X48,"&gt;0")</f>
        <v>0</v>
      </c>
      <c r="Z49" s="68" t="n">
        <f aca="false">SUMIF(Z31:Z48,"&gt;0")</f>
        <v>0</v>
      </c>
      <c r="AA49" s="68"/>
      <c r="AB49" s="68" t="n">
        <f aca="false">SUMIF(AB31:AB48,"&gt;0")</f>
        <v>0</v>
      </c>
      <c r="AD49" s="68" t="n">
        <f aca="false">SUMIF(AD31:AD48,"&gt;0")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142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 t="n">
        <v>2</v>
      </c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 t="n">
        <v>1</v>
      </c>
    </row>
    <row r="56" customFormat="false" ht="15" hidden="false" customHeight="true" outlineLevel="0" collapsed="false">
      <c r="A56" s="72" t="n">
        <v>3</v>
      </c>
      <c r="B56" s="73" t="s">
        <v>251</v>
      </c>
      <c r="C56" s="74" t="s">
        <v>247</v>
      </c>
      <c r="D56" s="75" t="s">
        <v>7</v>
      </c>
      <c r="E56" s="77" t="n">
        <v>25</v>
      </c>
      <c r="F56" s="77" t="n">
        <v>25</v>
      </c>
      <c r="G56" s="76"/>
      <c r="H56" s="76"/>
      <c r="I56" s="76"/>
      <c r="J56" s="76"/>
      <c r="K56" s="76"/>
      <c r="L56" s="77" t="n">
        <v>1</v>
      </c>
    </row>
    <row r="57" customFormat="false" ht="15" hidden="false" customHeight="true" outlineLevel="0" collapsed="false">
      <c r="A57" s="72" t="n">
        <v>4</v>
      </c>
      <c r="B57" s="73" t="s">
        <v>36</v>
      </c>
      <c r="C57" s="74" t="s">
        <v>17</v>
      </c>
      <c r="D57" s="75" t="s">
        <v>139</v>
      </c>
      <c r="E57" s="77" t="n">
        <v>45</v>
      </c>
      <c r="F57" s="77" t="n">
        <v>45</v>
      </c>
      <c r="G57" s="76"/>
      <c r="H57" s="76"/>
      <c r="I57" s="76"/>
      <c r="J57" s="76"/>
      <c r="K57" s="76"/>
      <c r="L57" s="77" t="n">
        <v>4</v>
      </c>
    </row>
    <row r="58" customFormat="false" ht="15" hidden="false" customHeight="true" outlineLevel="0" collapsed="false">
      <c r="A58" s="72" t="n">
        <v>5</v>
      </c>
      <c r="B58" s="73" t="s">
        <v>37</v>
      </c>
      <c r="C58" s="74" t="s">
        <v>79</v>
      </c>
      <c r="D58" s="75" t="s">
        <v>262</v>
      </c>
      <c r="E58" s="77" t="n">
        <v>25</v>
      </c>
      <c r="F58" s="77" t="n">
        <v>25</v>
      </c>
      <c r="G58" s="77" t="n">
        <v>25</v>
      </c>
      <c r="H58" s="76"/>
      <c r="I58" s="76"/>
      <c r="J58" s="76"/>
      <c r="K58" s="76"/>
      <c r="L58" s="77" t="n">
        <v>4</v>
      </c>
    </row>
    <row r="59" customFormat="false" ht="15" hidden="false" customHeight="true" outlineLevel="0" collapsed="false">
      <c r="A59" s="72" t="n">
        <v>6</v>
      </c>
      <c r="B59" s="73" t="s">
        <v>265</v>
      </c>
      <c r="C59" s="74" t="s">
        <v>264</v>
      </c>
      <c r="D59" s="75" t="s">
        <v>263</v>
      </c>
      <c r="E59" s="77" t="n">
        <v>25</v>
      </c>
      <c r="F59" s="77" t="n">
        <v>25</v>
      </c>
      <c r="G59" s="76"/>
      <c r="H59" s="76"/>
      <c r="I59" s="76"/>
      <c r="J59" s="76"/>
      <c r="K59" s="76"/>
      <c r="L59" s="77" t="n">
        <v>1</v>
      </c>
    </row>
  </sheetData>
  <mergeCells count="59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  <mergeCell ref="O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4" min="34" style="1" width="8.9"/>
  </cols>
  <sheetData>
    <row r="1" customFormat="false" ht="39.75" hidden="false" customHeight="true" outlineLevel="0" collapsed="false">
      <c r="A1" s="3" t="s">
        <v>267</v>
      </c>
      <c r="B1" s="4"/>
      <c r="D1" s="5"/>
      <c r="E1" s="6"/>
      <c r="F1" s="5"/>
      <c r="G1" s="5"/>
      <c r="H1" s="5"/>
      <c r="I1" s="7"/>
      <c r="J1" s="8"/>
      <c r="K1" s="8"/>
      <c r="L1" s="8"/>
      <c r="M1" s="5"/>
      <c r="N1" s="9"/>
      <c r="O1" s="5"/>
      <c r="P1" s="5"/>
      <c r="Q1" s="7"/>
      <c r="R1" s="7"/>
      <c r="S1" s="8"/>
      <c r="T1" s="8"/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7"/>
      <c r="H2" s="7"/>
      <c r="I2" s="11"/>
      <c r="J2" s="11"/>
      <c r="K2" s="11"/>
      <c r="L2" s="11"/>
      <c r="M2" s="7"/>
      <c r="N2" s="7"/>
      <c r="O2" s="5"/>
      <c r="P2" s="7"/>
      <c r="Q2" s="154"/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7"/>
      <c r="B3" s="155"/>
      <c r="C3" s="93"/>
      <c r="D3" s="7"/>
      <c r="E3" s="10"/>
      <c r="F3" s="7"/>
      <c r="G3" s="7"/>
      <c r="H3" s="7"/>
      <c r="I3" s="11"/>
      <c r="J3" s="11"/>
      <c r="K3" s="12"/>
      <c r="L3" s="12"/>
      <c r="M3" s="7"/>
      <c r="N3" s="7"/>
      <c r="O3" s="5"/>
      <c r="P3" s="7"/>
      <c r="Q3" s="154"/>
      <c r="R3" s="7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7"/>
      <c r="C4" s="7"/>
      <c r="F4" s="7"/>
      <c r="G4" s="7"/>
      <c r="H4" s="7"/>
      <c r="I4" s="11"/>
      <c r="J4" s="11"/>
      <c r="M4" s="7"/>
      <c r="N4" s="7"/>
      <c r="O4" s="5"/>
      <c r="P4" s="7"/>
      <c r="Q4" s="154"/>
      <c r="R4" s="7"/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G5" s="7"/>
      <c r="H5" s="7"/>
      <c r="M5" s="7"/>
      <c r="N5" s="7"/>
      <c r="O5" s="7"/>
      <c r="P5" s="7"/>
      <c r="R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139</v>
      </c>
      <c r="L6" s="17"/>
      <c r="M6" s="17" t="s">
        <v>268</v>
      </c>
      <c r="N6" s="17"/>
      <c r="O6" s="17" t="s">
        <v>263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142</v>
      </c>
      <c r="F7" s="20"/>
      <c r="G7" s="20"/>
      <c r="H7" s="20"/>
      <c r="I7" s="20" t="s">
        <v>247</v>
      </c>
      <c r="J7" s="20"/>
      <c r="K7" s="20" t="s">
        <v>17</v>
      </c>
      <c r="L7" s="20"/>
      <c r="M7" s="20"/>
      <c r="N7" s="20"/>
      <c r="O7" s="20" t="s">
        <v>264</v>
      </c>
      <c r="P7" s="20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251</v>
      </c>
      <c r="J9" s="35"/>
      <c r="K9" s="35" t="s">
        <v>36</v>
      </c>
      <c r="L9" s="35"/>
      <c r="M9" s="35" t="s">
        <v>37</v>
      </c>
      <c r="N9" s="35"/>
      <c r="O9" s="35" t="s">
        <v>265</v>
      </c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155</v>
      </c>
      <c r="AF9" s="37" t="s">
        <v>266</v>
      </c>
      <c r="AG9" s="39"/>
    </row>
    <row r="10" customFormat="false" ht="39.75" hidden="false" customHeight="true" outlineLevel="0" collapsed="false">
      <c r="A10" s="42" t="s">
        <v>56</v>
      </c>
      <c r="B10" s="43" t="s">
        <v>6</v>
      </c>
      <c r="C10" s="44" t="s">
        <v>57</v>
      </c>
      <c r="D10" s="45" t="s">
        <v>58</v>
      </c>
      <c r="E10" s="46" t="s">
        <v>59</v>
      </c>
      <c r="F10" s="47" t="s">
        <v>60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7" t="s">
        <v>60</v>
      </c>
      <c r="U10" s="46" t="s">
        <v>59</v>
      </c>
      <c r="V10" s="47" t="s">
        <v>60</v>
      </c>
      <c r="W10" s="46" t="s">
        <v>59</v>
      </c>
      <c r="X10" s="48" t="s">
        <v>60</v>
      </c>
      <c r="Y10" s="46" t="s">
        <v>59</v>
      </c>
      <c r="Z10" s="48" t="s">
        <v>60</v>
      </c>
      <c r="AA10" s="46" t="s">
        <v>59</v>
      </c>
      <c r="AB10" s="48" t="s">
        <v>60</v>
      </c>
      <c r="AC10" s="46" t="s">
        <v>59</v>
      </c>
      <c r="AD10" s="48" t="s">
        <v>60</v>
      </c>
      <c r="AE10" s="49" t="s">
        <v>61</v>
      </c>
      <c r="AF10" s="50" t="s">
        <v>62</v>
      </c>
      <c r="AG10" s="51" t="s">
        <v>60</v>
      </c>
    </row>
    <row r="11" customFormat="false" ht="39.75" hidden="false" customHeight="true" outlineLevel="0" collapsed="false">
      <c r="A11" s="88" t="s">
        <v>206</v>
      </c>
      <c r="B11" s="89" t="n">
        <v>2085</v>
      </c>
      <c r="C11" s="90" t="n">
        <v>500</v>
      </c>
      <c r="D11" s="91" t="n">
        <v>1</v>
      </c>
      <c r="E11" s="134" t="n">
        <f aca="false">IF($A11="","",$B11)</f>
        <v>2085</v>
      </c>
      <c r="F11" s="90" t="n">
        <f aca="false">IF($A11="","",$L$54*$D11)</f>
        <v>2</v>
      </c>
      <c r="G11" s="134" t="n">
        <f aca="false">IF($A11="","",$C11-$E$55-$F$55)</f>
        <v>450</v>
      </c>
      <c r="H11" s="90" t="n">
        <f aca="false">IF($A11="","",$L$55*$D11)</f>
        <v>1</v>
      </c>
      <c r="I11" s="134" t="n">
        <f aca="false">IF($A11="","",$C11-$E$56-$F$56)</f>
        <v>450</v>
      </c>
      <c r="J11" s="90" t="n">
        <f aca="false">IF($A11="","",$L$56*$D11)</f>
        <v>1</v>
      </c>
      <c r="K11" s="134" t="n">
        <f aca="false">IF($A11="","",$B11-$E$57-$F$57)</f>
        <v>1995</v>
      </c>
      <c r="L11" s="90" t="n">
        <f aca="false">IF($A11="","",$L$57*$D11)</f>
        <v>6</v>
      </c>
      <c r="M11" s="134" t="n">
        <f aca="false">IF($A11="","",($C11-$E$58-$F$58-$G$58-$H$58)/3)</f>
        <v>133.333333333333</v>
      </c>
      <c r="N11" s="90" t="n">
        <f aca="false">IF($A11="","",$L$58*$D11)</f>
        <v>6</v>
      </c>
      <c r="O11" s="134" t="n">
        <f aca="false">IF($A11="","",$B11-$E$59-$F$59)</f>
        <v>2035</v>
      </c>
      <c r="P11" s="90" t="n">
        <f aca="false">IF($A11="","",$L$59*$D11)</f>
        <v>2</v>
      </c>
      <c r="Q11" s="134"/>
      <c r="R11" s="90"/>
      <c r="S11" s="134"/>
      <c r="T11" s="90"/>
      <c r="U11" s="134"/>
      <c r="V11" s="90"/>
      <c r="W11" s="134"/>
      <c r="X11" s="90"/>
      <c r="Y11" s="134"/>
      <c r="Z11" s="90"/>
      <c r="AA11" s="134"/>
      <c r="AB11" s="90"/>
      <c r="AC11" s="134"/>
      <c r="AD11" s="90"/>
      <c r="AE11" s="135" t="n">
        <f aca="false">IF($A11="","",$B11-35-35)</f>
        <v>2015</v>
      </c>
      <c r="AF11" s="150" t="n">
        <f aca="false">IF($A11="","",$M11-10-10)</f>
        <v>113.333333333333</v>
      </c>
      <c r="AG11" s="137" t="n">
        <f aca="false">IF($A11="","",3*$D11)</f>
        <v>3</v>
      </c>
    </row>
    <row r="12" customFormat="false" ht="39.75" hidden="false" customHeight="true" outlineLevel="0" collapsed="false">
      <c r="A12" s="88"/>
      <c r="B12" s="89"/>
      <c r="C12" s="90"/>
      <c r="D12" s="91"/>
      <c r="E12" s="139" t="str">
        <f aca="false">IF($A12="","",$B12)</f>
        <v/>
      </c>
      <c r="F12" s="140" t="str">
        <f aca="false">IF($A12="","",$L$54*$D12)</f>
        <v/>
      </c>
      <c r="G12" s="139" t="str">
        <f aca="false">IF($A12="","",$C12-$E$55-$F$55)</f>
        <v/>
      </c>
      <c r="H12" s="140" t="str">
        <f aca="false">IF($A12="","",$L$55*$D12)</f>
        <v/>
      </c>
      <c r="I12" s="139" t="str">
        <f aca="false">IF($A12="","",$C12-$E$56-$F$56)</f>
        <v/>
      </c>
      <c r="J12" s="140" t="str">
        <f aca="false">IF($A12="","",$L$56*$D12)</f>
        <v/>
      </c>
      <c r="K12" s="139" t="str">
        <f aca="false">IF($A12="","",$B12-$E$57-$F$57)</f>
        <v/>
      </c>
      <c r="L12" s="140" t="str">
        <f aca="false">IF($A12="","",$L$57*$D12)</f>
        <v/>
      </c>
      <c r="M12" s="139" t="str">
        <f aca="false">IF($A12="","",($C12-$E$58-$F$58-$G$58-$H$58)/3)</f>
        <v/>
      </c>
      <c r="N12" s="140" t="str">
        <f aca="false">IF($A12="","",$L$58*$D12)</f>
        <v/>
      </c>
      <c r="O12" s="139" t="str">
        <f aca="false">IF($A12="","",$B12-$E$59-$F$59)</f>
        <v/>
      </c>
      <c r="P12" s="140" t="str">
        <f aca="false">IF($A12="","",$L$59*$D12)</f>
        <v/>
      </c>
      <c r="Q12" s="139"/>
      <c r="R12" s="140"/>
      <c r="S12" s="139"/>
      <c r="T12" s="140"/>
      <c r="U12" s="139"/>
      <c r="V12" s="140"/>
      <c r="W12" s="139"/>
      <c r="X12" s="140"/>
      <c r="Y12" s="139"/>
      <c r="Z12" s="140"/>
      <c r="AA12" s="139"/>
      <c r="AB12" s="140"/>
      <c r="AC12" s="139"/>
      <c r="AD12" s="140"/>
      <c r="AE12" s="135" t="str">
        <f aca="false">IF($A12="","",$B12-35-35)</f>
        <v/>
      </c>
      <c r="AF12" s="135" t="str">
        <f aca="false">IF($A12="","",$M12-10-10)</f>
        <v/>
      </c>
      <c r="AG12" s="137" t="str">
        <f aca="false">IF($A12="","",3*$D12)</f>
        <v/>
      </c>
    </row>
    <row r="13" customFormat="false" ht="39.75" hidden="false" customHeight="true" outlineLevel="0" collapsed="false">
      <c r="A13" s="88"/>
      <c r="B13" s="89"/>
      <c r="C13" s="90"/>
      <c r="D13" s="91"/>
      <c r="E13" s="134" t="str">
        <f aca="false">IF($A13="","",$B13)</f>
        <v/>
      </c>
      <c r="F13" s="90" t="str">
        <f aca="false">IF($A13="","",$L$54*$D13)</f>
        <v/>
      </c>
      <c r="G13" s="134" t="str">
        <f aca="false">IF($A13="","",$C13-$E$55-$F$55)</f>
        <v/>
      </c>
      <c r="H13" s="90" t="str">
        <f aca="false">IF($A13="","",$L$55*$D13)</f>
        <v/>
      </c>
      <c r="I13" s="134" t="str">
        <f aca="false">IF($A13="","",$C13-$E$56-$F$56)</f>
        <v/>
      </c>
      <c r="J13" s="90" t="str">
        <f aca="false">IF($A13="","",$L$56*$D13)</f>
        <v/>
      </c>
      <c r="K13" s="134" t="str">
        <f aca="false">IF($A13="","",$B13-$E$57-$F$57)</f>
        <v/>
      </c>
      <c r="L13" s="90" t="str">
        <f aca="false">IF($A13="","",$L$57*$D13)</f>
        <v/>
      </c>
      <c r="M13" s="134" t="str">
        <f aca="false">IF($A13="","",($C13-$E$58-$F$58-$G$58-$H$58)/3)</f>
        <v/>
      </c>
      <c r="N13" s="90" t="str">
        <f aca="false">IF($A13="","",$L$58*$D13)</f>
        <v/>
      </c>
      <c r="O13" s="134" t="str">
        <f aca="false">IF($A13="","",$B13-$E$59-$F$59)</f>
        <v/>
      </c>
      <c r="P13" s="90" t="str">
        <f aca="false">IF($A13="","",$L$59*$D13)</f>
        <v/>
      </c>
      <c r="Q13" s="134"/>
      <c r="R13" s="90"/>
      <c r="S13" s="134"/>
      <c r="T13" s="90"/>
      <c r="U13" s="134"/>
      <c r="V13" s="90"/>
      <c r="W13" s="134"/>
      <c r="X13" s="90"/>
      <c r="Y13" s="134"/>
      <c r="Z13" s="90"/>
      <c r="AA13" s="134"/>
      <c r="AB13" s="90"/>
      <c r="AC13" s="134"/>
      <c r="AD13" s="90"/>
      <c r="AE13" s="135" t="str">
        <f aca="false">IF($A13="","",$B13-35-35)</f>
        <v/>
      </c>
      <c r="AF13" s="135" t="str">
        <f aca="false">IF($A13="","",$M13-10-10)</f>
        <v/>
      </c>
      <c r="AG13" s="137" t="str">
        <f aca="false">IF($A13="","",3*$D13)</f>
        <v/>
      </c>
    </row>
    <row r="14" customFormat="false" ht="39.75" hidden="false" customHeight="true" outlineLevel="0" collapsed="false">
      <c r="A14" s="88"/>
      <c r="B14" s="89"/>
      <c r="C14" s="90"/>
      <c r="D14" s="91"/>
      <c r="E14" s="139" t="str">
        <f aca="false">IF($A14="","",$B14)</f>
        <v/>
      </c>
      <c r="F14" s="140" t="str">
        <f aca="false">IF($A14="","",$L$54*$D14)</f>
        <v/>
      </c>
      <c r="G14" s="139" t="str">
        <f aca="false">IF($A14="","",$C14-$E$55-$F$55)</f>
        <v/>
      </c>
      <c r="H14" s="140" t="str">
        <f aca="false">IF($A14="","",$L$55*$D14)</f>
        <v/>
      </c>
      <c r="I14" s="139" t="str">
        <f aca="false">IF($A14="","",$C14-$E$56-$F$56)</f>
        <v/>
      </c>
      <c r="J14" s="140" t="str">
        <f aca="false">IF($A14="","",$L$56*$D14)</f>
        <v/>
      </c>
      <c r="K14" s="139" t="str">
        <f aca="false">IF($A14="","",$B14-$E$57-$F$57)</f>
        <v/>
      </c>
      <c r="L14" s="140" t="str">
        <f aca="false">IF($A14="","",$L$57*$D14)</f>
        <v/>
      </c>
      <c r="M14" s="139" t="str">
        <f aca="false">IF($A14="","",($C14-$E$58-$F$58-$G$58-$H$58)/3)</f>
        <v/>
      </c>
      <c r="N14" s="140" t="str">
        <f aca="false">IF($A14="","",$L$58*$D14)</f>
        <v/>
      </c>
      <c r="O14" s="139" t="str">
        <f aca="false">IF($A14="","",$B14-$E$59-$F$59)</f>
        <v/>
      </c>
      <c r="P14" s="140" t="str">
        <f aca="false">IF($A14="","",$L$59*$D14)</f>
        <v/>
      </c>
      <c r="Q14" s="139"/>
      <c r="R14" s="140"/>
      <c r="S14" s="139"/>
      <c r="T14" s="140"/>
      <c r="U14" s="139"/>
      <c r="V14" s="140"/>
      <c r="W14" s="139"/>
      <c r="X14" s="140"/>
      <c r="Y14" s="139"/>
      <c r="Z14" s="140"/>
      <c r="AA14" s="139"/>
      <c r="AB14" s="140"/>
      <c r="AC14" s="139"/>
      <c r="AD14" s="140"/>
      <c r="AE14" s="135" t="str">
        <f aca="false">IF($A14="","",$B14-35-35)</f>
        <v/>
      </c>
      <c r="AF14" s="135" t="str">
        <f aca="false">IF($A14="","",$M14-10-10)</f>
        <v/>
      </c>
      <c r="AG14" s="137" t="str">
        <f aca="false">IF($A14="","",3*$D14)</f>
        <v/>
      </c>
    </row>
    <row r="15" customFormat="false" ht="39.75" hidden="false" customHeight="true" outlineLevel="0" collapsed="false">
      <c r="A15" s="88"/>
      <c r="B15" s="89"/>
      <c r="C15" s="90"/>
      <c r="D15" s="91"/>
      <c r="E15" s="134" t="str">
        <f aca="false">IF($A15="","",$B15)</f>
        <v/>
      </c>
      <c r="F15" s="90" t="str">
        <f aca="false">IF($A15="","",$L$54*$D15)</f>
        <v/>
      </c>
      <c r="G15" s="134" t="str">
        <f aca="false">IF($A15="","",$C15-$E$55-$F$55)</f>
        <v/>
      </c>
      <c r="H15" s="90" t="str">
        <f aca="false">IF($A15="","",$L$55*$D15)</f>
        <v/>
      </c>
      <c r="I15" s="134" t="str">
        <f aca="false">IF($A15="","",$C15-$E$56-$F$56)</f>
        <v/>
      </c>
      <c r="J15" s="90" t="str">
        <f aca="false">IF($A15="","",$L$56*$D15)</f>
        <v/>
      </c>
      <c r="K15" s="134" t="str">
        <f aca="false">IF($A15="","",$B15-$E$57-$F$57)</f>
        <v/>
      </c>
      <c r="L15" s="90" t="str">
        <f aca="false">IF($A15="","",$L$57*$D15)</f>
        <v/>
      </c>
      <c r="M15" s="134" t="str">
        <f aca="false">IF($A15="","",($C15-$E$58-$F$58-$G$58-$H$58)/3)</f>
        <v/>
      </c>
      <c r="N15" s="90" t="str">
        <f aca="false">IF($A15="","",$L$58*$D15)</f>
        <v/>
      </c>
      <c r="O15" s="134" t="str">
        <f aca="false">IF($A15="","",$B15-$E$59-$F$59)</f>
        <v/>
      </c>
      <c r="P15" s="90" t="str">
        <f aca="false">IF($A15="","",$L$59*$D15)</f>
        <v/>
      </c>
      <c r="Q15" s="134"/>
      <c r="R15" s="90"/>
      <c r="S15" s="134"/>
      <c r="T15" s="90"/>
      <c r="U15" s="134"/>
      <c r="V15" s="90"/>
      <c r="W15" s="134"/>
      <c r="X15" s="90"/>
      <c r="Y15" s="134"/>
      <c r="Z15" s="90"/>
      <c r="AA15" s="134"/>
      <c r="AB15" s="90"/>
      <c r="AC15" s="134"/>
      <c r="AD15" s="90"/>
      <c r="AE15" s="135" t="str">
        <f aca="false">IF($A15="","",$B15-35-35)</f>
        <v/>
      </c>
      <c r="AF15" s="135" t="str">
        <f aca="false">IF($A15="","",$M15-10-10)</f>
        <v/>
      </c>
      <c r="AG15" s="137" t="str">
        <f aca="false">IF($A15="","",3*$D15)</f>
        <v/>
      </c>
    </row>
    <row r="16" customFormat="false" ht="39.75" hidden="false" customHeight="true" outlineLevel="0" collapsed="false">
      <c r="A16" s="88"/>
      <c r="B16" s="89"/>
      <c r="C16" s="90"/>
      <c r="D16" s="91"/>
      <c r="E16" s="139" t="str">
        <f aca="false">IF($A16="","",$B16)</f>
        <v/>
      </c>
      <c r="F16" s="140" t="str">
        <f aca="false">IF($A16="","",$L$54*$D16)</f>
        <v/>
      </c>
      <c r="G16" s="139" t="str">
        <f aca="false">IF($A16="","",$C16-$E$55-$F$55)</f>
        <v/>
      </c>
      <c r="H16" s="140" t="str">
        <f aca="false">IF($A16="","",$L$55*$D16)</f>
        <v/>
      </c>
      <c r="I16" s="139" t="str">
        <f aca="false">IF($A16="","",$C16-$E$56-$F$56)</f>
        <v/>
      </c>
      <c r="J16" s="140" t="str">
        <f aca="false">IF($A16="","",$L$56*$D16)</f>
        <v/>
      </c>
      <c r="K16" s="139" t="str">
        <f aca="false">IF($A16="","",$B16-$E$57-$F$57)</f>
        <v/>
      </c>
      <c r="L16" s="140" t="str">
        <f aca="false">IF($A16="","",$L$57*$D16)</f>
        <v/>
      </c>
      <c r="M16" s="139" t="str">
        <f aca="false">IF($A16="","",($C16-$E$58-$F$58-$G$58-$H$58)/3)</f>
        <v/>
      </c>
      <c r="N16" s="140" t="str">
        <f aca="false">IF($A16="","",$L$58*$D16)</f>
        <v/>
      </c>
      <c r="O16" s="139" t="str">
        <f aca="false">IF($A16="","",$B16-$E$59-$F$59)</f>
        <v/>
      </c>
      <c r="P16" s="140" t="str">
        <f aca="false">IF($A16="","",$L$59*$D16)</f>
        <v/>
      </c>
      <c r="Q16" s="139"/>
      <c r="R16" s="140"/>
      <c r="S16" s="139"/>
      <c r="T16" s="140"/>
      <c r="U16" s="139"/>
      <c r="V16" s="140"/>
      <c r="W16" s="139"/>
      <c r="X16" s="140"/>
      <c r="Y16" s="139"/>
      <c r="Z16" s="140"/>
      <c r="AA16" s="139"/>
      <c r="AB16" s="140"/>
      <c r="AC16" s="139"/>
      <c r="AD16" s="140"/>
      <c r="AE16" s="135" t="str">
        <f aca="false">IF($A16="","",$B16-35-35)</f>
        <v/>
      </c>
      <c r="AF16" s="135" t="str">
        <f aca="false">IF($A16="","",$M16-10-10)</f>
        <v/>
      </c>
      <c r="AG16" s="137" t="str">
        <f aca="false">IF($A16="","",3*$D16)</f>
        <v/>
      </c>
    </row>
    <row r="17" customFormat="false" ht="39.75" hidden="false" customHeight="true" outlineLevel="0" collapsed="false">
      <c r="A17" s="88"/>
      <c r="B17" s="89"/>
      <c r="C17" s="90"/>
      <c r="D17" s="91"/>
      <c r="E17" s="134" t="str">
        <f aca="false">IF($A17="","",$B17)</f>
        <v/>
      </c>
      <c r="F17" s="90" t="str">
        <f aca="false">IF($A17="","",$L$54*$D17)</f>
        <v/>
      </c>
      <c r="G17" s="134" t="str">
        <f aca="false">IF($A17="","",$C17-$E$55-$F$55)</f>
        <v/>
      </c>
      <c r="H17" s="90" t="str">
        <f aca="false">IF($A17="","",$L$55*$D17)</f>
        <v/>
      </c>
      <c r="I17" s="134" t="str">
        <f aca="false">IF($A17="","",$C17-$E$56-$F$56)</f>
        <v/>
      </c>
      <c r="J17" s="90" t="str">
        <f aca="false">IF($A17="","",$L$56*$D17)</f>
        <v/>
      </c>
      <c r="K17" s="134" t="str">
        <f aca="false">IF($A17="","",$B17-$E$57-$F$57)</f>
        <v/>
      </c>
      <c r="L17" s="90" t="str">
        <f aca="false">IF($A17="","",$L$57*$D17)</f>
        <v/>
      </c>
      <c r="M17" s="134" t="str">
        <f aca="false">IF($A17="","",($C17-$E$58-$F$58-$G$58-$H$58)/3)</f>
        <v/>
      </c>
      <c r="N17" s="90" t="str">
        <f aca="false">IF($A17="","",$L$58*$D17)</f>
        <v/>
      </c>
      <c r="O17" s="134" t="str">
        <f aca="false">IF($A17="","",$B17-$E$59-$F$59)</f>
        <v/>
      </c>
      <c r="P17" s="90" t="str">
        <f aca="false">IF($A17="","",$L$59*$D17)</f>
        <v/>
      </c>
      <c r="Q17" s="134"/>
      <c r="R17" s="90"/>
      <c r="S17" s="134"/>
      <c r="T17" s="90"/>
      <c r="U17" s="134"/>
      <c r="V17" s="90"/>
      <c r="W17" s="134"/>
      <c r="X17" s="90"/>
      <c r="Y17" s="134"/>
      <c r="Z17" s="90"/>
      <c r="AA17" s="134"/>
      <c r="AB17" s="90"/>
      <c r="AC17" s="134"/>
      <c r="AD17" s="90"/>
      <c r="AE17" s="135" t="str">
        <f aca="false">IF($A17="","",$B17-35-35)</f>
        <v/>
      </c>
      <c r="AF17" s="135" t="str">
        <f aca="false">IF($A17="","",$M17-10-10)</f>
        <v/>
      </c>
      <c r="AG17" s="137" t="str">
        <f aca="false">IF($A17="","",3*$D17)</f>
        <v/>
      </c>
    </row>
    <row r="18" customFormat="false" ht="39.75" hidden="false" customHeight="true" outlineLevel="0" collapsed="false">
      <c r="A18" s="88"/>
      <c r="B18" s="89"/>
      <c r="C18" s="90"/>
      <c r="D18" s="91"/>
      <c r="E18" s="139" t="str">
        <f aca="false">IF($A18="","",$B18)</f>
        <v/>
      </c>
      <c r="F18" s="140" t="str">
        <f aca="false">IF($A18="","",$L$54*$D18)</f>
        <v/>
      </c>
      <c r="G18" s="139" t="str">
        <f aca="false">IF($A18="","",$C18-$E$55-$F$55)</f>
        <v/>
      </c>
      <c r="H18" s="140" t="str">
        <f aca="false">IF($A18="","",$L$55*$D18)</f>
        <v/>
      </c>
      <c r="I18" s="139" t="str">
        <f aca="false">IF($A18="","",$C18-$E$56-$F$56)</f>
        <v/>
      </c>
      <c r="J18" s="140" t="str">
        <f aca="false">IF($A18="","",$L$56*$D18)</f>
        <v/>
      </c>
      <c r="K18" s="139" t="str">
        <f aca="false">IF($A18="","",$B18-$E$57-$F$57)</f>
        <v/>
      </c>
      <c r="L18" s="140" t="str">
        <f aca="false">IF($A18="","",$L$57*$D18)</f>
        <v/>
      </c>
      <c r="M18" s="139" t="str">
        <f aca="false">IF($A18="","",($C18-$E$58-$F$58-$G$58-$H$58)/3)</f>
        <v/>
      </c>
      <c r="N18" s="140" t="str">
        <f aca="false">IF($A18="","",$L$58*$D18)</f>
        <v/>
      </c>
      <c r="O18" s="139" t="str">
        <f aca="false">IF($A18="","",$B18-$E$59-$F$59)</f>
        <v/>
      </c>
      <c r="P18" s="140" t="str">
        <f aca="false">IF($A18="","",$L$59*$D18)</f>
        <v/>
      </c>
      <c r="Q18" s="139"/>
      <c r="R18" s="140"/>
      <c r="S18" s="139"/>
      <c r="T18" s="140"/>
      <c r="U18" s="139"/>
      <c r="V18" s="140"/>
      <c r="W18" s="139"/>
      <c r="X18" s="140"/>
      <c r="Y18" s="139"/>
      <c r="Z18" s="140"/>
      <c r="AA18" s="139"/>
      <c r="AB18" s="140"/>
      <c r="AC18" s="139"/>
      <c r="AD18" s="140"/>
      <c r="AE18" s="135" t="str">
        <f aca="false">IF($A18="","",$B18-35-35)</f>
        <v/>
      </c>
      <c r="AF18" s="135" t="str">
        <f aca="false">IF($A18="","",$M18-10-10)</f>
        <v/>
      </c>
      <c r="AG18" s="137" t="str">
        <f aca="false">IF($A18="","",3*$D18)</f>
        <v/>
      </c>
    </row>
    <row r="19" customFormat="false" ht="39.75" hidden="false" customHeight="true" outlineLevel="0" collapsed="false">
      <c r="A19" s="88"/>
      <c r="B19" s="89"/>
      <c r="C19" s="90"/>
      <c r="D19" s="91"/>
      <c r="E19" s="134" t="str">
        <f aca="false">IF($A19="","",$B19)</f>
        <v/>
      </c>
      <c r="F19" s="90" t="str">
        <f aca="false">IF($A19="","",$L$54*$D19)</f>
        <v/>
      </c>
      <c r="G19" s="134" t="str">
        <f aca="false">IF($A19="","",$C19-$E$55-$F$55)</f>
        <v/>
      </c>
      <c r="H19" s="90" t="str">
        <f aca="false">IF($A19="","",$L$55*$D19)</f>
        <v/>
      </c>
      <c r="I19" s="134" t="str">
        <f aca="false">IF($A19="","",$C19-$E$56-$F$56)</f>
        <v/>
      </c>
      <c r="J19" s="90" t="str">
        <f aca="false">IF($A19="","",$L$56*$D19)</f>
        <v/>
      </c>
      <c r="K19" s="134" t="str">
        <f aca="false">IF($A19="","",$B19-$E$57-$F$57)</f>
        <v/>
      </c>
      <c r="L19" s="90" t="str">
        <f aca="false">IF($A19="","",$L$57*$D19)</f>
        <v/>
      </c>
      <c r="M19" s="134" t="str">
        <f aca="false">IF($A19="","",($C19-$E$58-$F$58-$G$58-$H$58)/3)</f>
        <v/>
      </c>
      <c r="N19" s="90" t="str">
        <f aca="false">IF($A19="","",$L$58*$D19)</f>
        <v/>
      </c>
      <c r="O19" s="134" t="str">
        <f aca="false">IF($A19="","",$B19-$E$59-$F$59)</f>
        <v/>
      </c>
      <c r="P19" s="90" t="str">
        <f aca="false">IF($A19="","",$L$59*$D19)</f>
        <v/>
      </c>
      <c r="Q19" s="134"/>
      <c r="R19" s="90"/>
      <c r="S19" s="134"/>
      <c r="T19" s="90"/>
      <c r="U19" s="134"/>
      <c r="V19" s="90"/>
      <c r="W19" s="134"/>
      <c r="X19" s="90"/>
      <c r="Y19" s="134"/>
      <c r="Z19" s="90"/>
      <c r="AA19" s="134"/>
      <c r="AB19" s="90"/>
      <c r="AC19" s="134"/>
      <c r="AD19" s="90"/>
      <c r="AE19" s="135" t="str">
        <f aca="false">IF($A19="","",$B19-35-35)</f>
        <v/>
      </c>
      <c r="AF19" s="135" t="str">
        <f aca="false">IF($A19="","",$M19-10-10)</f>
        <v/>
      </c>
      <c r="AG19" s="137" t="str">
        <f aca="false">IF($A19="","",3*$D19)</f>
        <v/>
      </c>
    </row>
    <row r="20" customFormat="false" ht="39.75" hidden="false" customHeight="true" outlineLevel="0" collapsed="false">
      <c r="A20" s="88"/>
      <c r="B20" s="89"/>
      <c r="C20" s="90"/>
      <c r="D20" s="91"/>
      <c r="E20" s="139" t="str">
        <f aca="false">IF($A20="","",$B20)</f>
        <v/>
      </c>
      <c r="F20" s="140" t="str">
        <f aca="false">IF($A20="","",$L$54*$D20)</f>
        <v/>
      </c>
      <c r="G20" s="139" t="str">
        <f aca="false">IF($A20="","",$C20-$E$55-$F$55)</f>
        <v/>
      </c>
      <c r="H20" s="140" t="str">
        <f aca="false">IF($A20="","",$L$55*$D20)</f>
        <v/>
      </c>
      <c r="I20" s="139" t="str">
        <f aca="false">IF($A20="","",$C20-$E$56-$F$56)</f>
        <v/>
      </c>
      <c r="J20" s="140" t="str">
        <f aca="false">IF($A20="","",$L$56*$D20)</f>
        <v/>
      </c>
      <c r="K20" s="139" t="str">
        <f aca="false">IF($A20="","",$B20-$E$57-$F$57)</f>
        <v/>
      </c>
      <c r="L20" s="140" t="str">
        <f aca="false">IF($A20="","",$L$57*$D20)</f>
        <v/>
      </c>
      <c r="M20" s="139" t="str">
        <f aca="false">IF($A20="","",($C20-$E$58-$F$58-$G$58-$H$58)/3)</f>
        <v/>
      </c>
      <c r="N20" s="140" t="str">
        <f aca="false">IF($A20="","",$L$58*$D20)</f>
        <v/>
      </c>
      <c r="O20" s="139" t="str">
        <f aca="false">IF($A20="","",$B20-$E$59-$F$59)</f>
        <v/>
      </c>
      <c r="P20" s="140" t="str">
        <f aca="false">IF($A20="","",$L$59*$D20)</f>
        <v/>
      </c>
      <c r="Q20" s="139"/>
      <c r="R20" s="140"/>
      <c r="S20" s="139"/>
      <c r="T20" s="140"/>
      <c r="U20" s="139"/>
      <c r="V20" s="140"/>
      <c r="W20" s="139"/>
      <c r="X20" s="140"/>
      <c r="Y20" s="139"/>
      <c r="Z20" s="140"/>
      <c r="AA20" s="139"/>
      <c r="AB20" s="140"/>
      <c r="AC20" s="139"/>
      <c r="AD20" s="140"/>
      <c r="AE20" s="135" t="str">
        <f aca="false">IF($A20="","",$B20-35-35)</f>
        <v/>
      </c>
      <c r="AF20" s="135" t="str">
        <f aca="false">IF($A20="","",$M20-10-10)</f>
        <v/>
      </c>
      <c r="AG20" s="137" t="str">
        <f aca="false">IF($A20="","",3*$D20)</f>
        <v/>
      </c>
    </row>
    <row r="21" customFormat="false" ht="39.75" hidden="false" customHeight="true" outlineLevel="0" collapsed="false">
      <c r="A21" s="88"/>
      <c r="B21" s="89"/>
      <c r="C21" s="90"/>
      <c r="D21" s="91"/>
      <c r="E21" s="134" t="str">
        <f aca="false">IF($A21="","",$B21)</f>
        <v/>
      </c>
      <c r="F21" s="90" t="str">
        <f aca="false">IF($A21="","",$L$54*$D21)</f>
        <v/>
      </c>
      <c r="G21" s="134" t="str">
        <f aca="false">IF($A21="","",$C21-$E$55-$F$55)</f>
        <v/>
      </c>
      <c r="H21" s="90" t="str">
        <f aca="false">IF($A21="","",$L$55*$D21)</f>
        <v/>
      </c>
      <c r="I21" s="134" t="str">
        <f aca="false">IF($A21="","",$C21-$E$56-$F$56)</f>
        <v/>
      </c>
      <c r="J21" s="90" t="str">
        <f aca="false">IF($A21="","",$L$56*$D21)</f>
        <v/>
      </c>
      <c r="K21" s="134" t="str">
        <f aca="false">IF($A21="","",$B21-$E$57-$F$57)</f>
        <v/>
      </c>
      <c r="L21" s="90" t="str">
        <f aca="false">IF($A21="","",$L$57*$D21)</f>
        <v/>
      </c>
      <c r="M21" s="134" t="str">
        <f aca="false">IF($A21="","",($C21-$E$58-$F$58-$G$58-$H$58)/3)</f>
        <v/>
      </c>
      <c r="N21" s="90" t="str">
        <f aca="false">IF($A21="","",$L$58*$D21)</f>
        <v/>
      </c>
      <c r="O21" s="134" t="str">
        <f aca="false">IF($A21="","",$B21-$E$59-$F$59)</f>
        <v/>
      </c>
      <c r="P21" s="90" t="str">
        <f aca="false">IF($A21="","",$L$59*$D21)</f>
        <v/>
      </c>
      <c r="Q21" s="134"/>
      <c r="R21" s="90"/>
      <c r="S21" s="134"/>
      <c r="T21" s="90"/>
      <c r="U21" s="134"/>
      <c r="V21" s="90"/>
      <c r="W21" s="134"/>
      <c r="X21" s="90"/>
      <c r="Y21" s="134"/>
      <c r="Z21" s="90"/>
      <c r="AA21" s="134"/>
      <c r="AB21" s="90"/>
      <c r="AC21" s="134"/>
      <c r="AD21" s="90"/>
      <c r="AE21" s="135" t="str">
        <f aca="false">IF($A21="","",$B21-35-35)</f>
        <v/>
      </c>
      <c r="AF21" s="135" t="str">
        <f aca="false">IF($A21="","",$M21-10-10)</f>
        <v/>
      </c>
      <c r="AG21" s="137" t="str">
        <f aca="false">IF($A21="","",3*$D21)</f>
        <v/>
      </c>
    </row>
    <row r="22" customFormat="false" ht="39.75" hidden="false" customHeight="true" outlineLevel="0" collapsed="false">
      <c r="A22" s="88"/>
      <c r="B22" s="89"/>
      <c r="C22" s="90"/>
      <c r="D22" s="91"/>
      <c r="E22" s="139" t="str">
        <f aca="false">IF($A22="","",$B22)</f>
        <v/>
      </c>
      <c r="F22" s="140" t="str">
        <f aca="false">IF($A22="","",$L$54*$D22)</f>
        <v/>
      </c>
      <c r="G22" s="139" t="str">
        <f aca="false">IF($A22="","",$C22-$E$55-$F$55)</f>
        <v/>
      </c>
      <c r="H22" s="140" t="str">
        <f aca="false">IF($A22="","",$L$55*$D22)</f>
        <v/>
      </c>
      <c r="I22" s="139" t="str">
        <f aca="false">IF($A22="","",$C22-$E$56-$F$56)</f>
        <v/>
      </c>
      <c r="J22" s="140" t="str">
        <f aca="false">IF($A22="","",$L$56*$D22)</f>
        <v/>
      </c>
      <c r="K22" s="139" t="str">
        <f aca="false">IF($A22="","",$B22-$E$57-$F$57)</f>
        <v/>
      </c>
      <c r="L22" s="140" t="str">
        <f aca="false">IF($A22="","",$L$57*$D22)</f>
        <v/>
      </c>
      <c r="M22" s="139" t="str">
        <f aca="false">IF($A22="","",($C22-$E$58-$F$58-$G$58-$H$58)/3)</f>
        <v/>
      </c>
      <c r="N22" s="140" t="str">
        <f aca="false">IF($A22="","",$L$58*$D22)</f>
        <v/>
      </c>
      <c r="O22" s="139" t="str">
        <f aca="false">IF($A22="","",$B22-$E$59-$F$59)</f>
        <v/>
      </c>
      <c r="P22" s="140" t="str">
        <f aca="false">IF($A22="","",$L$59*$D22)</f>
        <v/>
      </c>
      <c r="Q22" s="139"/>
      <c r="R22" s="140"/>
      <c r="S22" s="139"/>
      <c r="T22" s="140"/>
      <c r="U22" s="139"/>
      <c r="V22" s="140"/>
      <c r="W22" s="139"/>
      <c r="X22" s="140"/>
      <c r="Y22" s="139"/>
      <c r="Z22" s="140"/>
      <c r="AA22" s="139"/>
      <c r="AB22" s="140"/>
      <c r="AC22" s="139"/>
      <c r="AD22" s="140"/>
      <c r="AE22" s="135" t="str">
        <f aca="false">IF($A22="","",$B22-35-35)</f>
        <v/>
      </c>
      <c r="AF22" s="135" t="str">
        <f aca="false">IF($A22="","",$M22-10-10)</f>
        <v/>
      </c>
      <c r="AG22" s="137" t="str">
        <f aca="false">IF($A22="","",3*$D22)</f>
        <v/>
      </c>
    </row>
    <row r="23" customFormat="false" ht="39.75" hidden="false" customHeight="true" outlineLevel="0" collapsed="false">
      <c r="A23" s="88"/>
      <c r="B23" s="89"/>
      <c r="C23" s="90"/>
      <c r="D23" s="91"/>
      <c r="E23" s="134" t="str">
        <f aca="false">IF($A23="","",$B23)</f>
        <v/>
      </c>
      <c r="F23" s="90" t="str">
        <f aca="false">IF($A23="","",$L$54*$D23)</f>
        <v/>
      </c>
      <c r="G23" s="134" t="str">
        <f aca="false">IF($A23="","",$C23-$E$55-$F$55)</f>
        <v/>
      </c>
      <c r="H23" s="90" t="str">
        <f aca="false">IF($A23="","",$L$55*$D23)</f>
        <v/>
      </c>
      <c r="I23" s="134" t="str">
        <f aca="false">IF($A23="","",$C23-$E$56-$F$56)</f>
        <v/>
      </c>
      <c r="J23" s="90" t="str">
        <f aca="false">IF($A23="","",$L$56*$D23)</f>
        <v/>
      </c>
      <c r="K23" s="134" t="str">
        <f aca="false">IF($A23="","",$B23-$E$57-$F$57)</f>
        <v/>
      </c>
      <c r="L23" s="90" t="str">
        <f aca="false">IF($A23="","",$L$57*$D23)</f>
        <v/>
      </c>
      <c r="M23" s="134" t="str">
        <f aca="false">IF($A23="","",($C23-$E$58-$F$58-$G$58-$H$58)/3)</f>
        <v/>
      </c>
      <c r="N23" s="90" t="str">
        <f aca="false">IF($A23="","",$L$58*$D23)</f>
        <v/>
      </c>
      <c r="O23" s="134" t="str">
        <f aca="false">IF($A23="","",$B23-$E$59-$F$59)</f>
        <v/>
      </c>
      <c r="P23" s="90" t="str">
        <f aca="false">IF($A23="","",$L$59*$D23)</f>
        <v/>
      </c>
      <c r="Q23" s="134"/>
      <c r="R23" s="90"/>
      <c r="S23" s="134"/>
      <c r="T23" s="90"/>
      <c r="U23" s="134"/>
      <c r="V23" s="90"/>
      <c r="W23" s="134"/>
      <c r="X23" s="90"/>
      <c r="Y23" s="134"/>
      <c r="Z23" s="90"/>
      <c r="AA23" s="134"/>
      <c r="AB23" s="90"/>
      <c r="AC23" s="134"/>
      <c r="AD23" s="90"/>
      <c r="AE23" s="135" t="str">
        <f aca="false">IF($A23="","",$B23-35-35)</f>
        <v/>
      </c>
      <c r="AF23" s="135" t="str">
        <f aca="false">IF($A23="","",$M23-10-10)</f>
        <v/>
      </c>
      <c r="AG23" s="137" t="str">
        <f aca="false">IF($A23="","",3*$D23)</f>
        <v/>
      </c>
    </row>
    <row r="24" customFormat="false" ht="39.75" hidden="false" customHeight="true" outlineLevel="0" collapsed="false">
      <c r="A24" s="88"/>
      <c r="B24" s="89"/>
      <c r="C24" s="90"/>
      <c r="D24" s="91"/>
      <c r="E24" s="139" t="str">
        <f aca="false">IF($A24="","",$B24)</f>
        <v/>
      </c>
      <c r="F24" s="140" t="str">
        <f aca="false">IF($A24="","",$L$54*$D24)</f>
        <v/>
      </c>
      <c r="G24" s="139" t="str">
        <f aca="false">IF($A24="","",$C24-$E$55-$F$55)</f>
        <v/>
      </c>
      <c r="H24" s="140" t="str">
        <f aca="false">IF($A24="","",$L$55*$D24)</f>
        <v/>
      </c>
      <c r="I24" s="139" t="str">
        <f aca="false">IF($A24="","",$C24-$E$56-$F$56)</f>
        <v/>
      </c>
      <c r="J24" s="140" t="str">
        <f aca="false">IF($A24="","",$L$56*$D24)</f>
        <v/>
      </c>
      <c r="K24" s="139" t="str">
        <f aca="false">IF($A24="","",$B24-$E$57-$F$57)</f>
        <v/>
      </c>
      <c r="L24" s="140" t="str">
        <f aca="false">IF($A24="","",$L$57*$D24)</f>
        <v/>
      </c>
      <c r="M24" s="139" t="str">
        <f aca="false">IF($A24="","",($C24-$E$58-$F$58-$G$58-$H$58)/3)</f>
        <v/>
      </c>
      <c r="N24" s="140" t="str">
        <f aca="false">IF($A24="","",$L$58*$D24)</f>
        <v/>
      </c>
      <c r="O24" s="139" t="str">
        <f aca="false">IF($A24="","",$B24-$E$59-$F$59)</f>
        <v/>
      </c>
      <c r="P24" s="140" t="str">
        <f aca="false">IF($A24="","",$L$59*$D24)</f>
        <v/>
      </c>
      <c r="Q24" s="139"/>
      <c r="R24" s="140"/>
      <c r="S24" s="139"/>
      <c r="T24" s="140"/>
      <c r="U24" s="139"/>
      <c r="V24" s="140"/>
      <c r="W24" s="139"/>
      <c r="X24" s="140"/>
      <c r="Y24" s="139"/>
      <c r="Z24" s="140"/>
      <c r="AA24" s="139"/>
      <c r="AB24" s="140"/>
      <c r="AC24" s="139"/>
      <c r="AD24" s="140"/>
      <c r="AE24" s="135" t="str">
        <f aca="false">IF($A24="","",$B24-35-35)</f>
        <v/>
      </c>
      <c r="AF24" s="135" t="str">
        <f aca="false">IF($A24="","",$M24-10-10)</f>
        <v/>
      </c>
      <c r="AG24" s="137" t="str">
        <f aca="false">IF($A24="","",3*$D24)</f>
        <v/>
      </c>
    </row>
    <row r="25" customFormat="false" ht="39.75" hidden="false" customHeight="true" outlineLevel="0" collapsed="false">
      <c r="A25" s="88"/>
      <c r="B25" s="89"/>
      <c r="C25" s="90"/>
      <c r="D25" s="91"/>
      <c r="E25" s="134" t="str">
        <f aca="false">IF($A25="","",$B25)</f>
        <v/>
      </c>
      <c r="F25" s="90" t="str">
        <f aca="false">IF($A25="","",$L$54*$D25)</f>
        <v/>
      </c>
      <c r="G25" s="134" t="str">
        <f aca="false">IF($A25="","",$C25-$E$55-$F$55)</f>
        <v/>
      </c>
      <c r="H25" s="90" t="str">
        <f aca="false">IF($A25="","",$L$55*$D25)</f>
        <v/>
      </c>
      <c r="I25" s="134" t="str">
        <f aca="false">IF($A25="","",$C25-$E$56-$F$56)</f>
        <v/>
      </c>
      <c r="J25" s="90" t="str">
        <f aca="false">IF($A25="","",$L$56*$D25)</f>
        <v/>
      </c>
      <c r="K25" s="134" t="str">
        <f aca="false">IF($A25="","",$B25-$E$57-$F$57)</f>
        <v/>
      </c>
      <c r="L25" s="90" t="str">
        <f aca="false">IF($A25="","",$L$57*$D25)</f>
        <v/>
      </c>
      <c r="M25" s="134" t="str">
        <f aca="false">IF($A25="","",($C25-$E$58-$F$58-$G$58-$H$58)/3)</f>
        <v/>
      </c>
      <c r="N25" s="90" t="str">
        <f aca="false">IF($A25="","",$L$58*$D25)</f>
        <v/>
      </c>
      <c r="O25" s="134" t="str">
        <f aca="false">IF($A25="","",$B25-$E$59-$F$59)</f>
        <v/>
      </c>
      <c r="P25" s="90" t="str">
        <f aca="false">IF($A25="","",$L$59*$D25)</f>
        <v/>
      </c>
      <c r="Q25" s="134"/>
      <c r="R25" s="90"/>
      <c r="S25" s="134"/>
      <c r="T25" s="90"/>
      <c r="U25" s="134"/>
      <c r="V25" s="90"/>
      <c r="W25" s="134"/>
      <c r="X25" s="90"/>
      <c r="Y25" s="134"/>
      <c r="Z25" s="90"/>
      <c r="AA25" s="134"/>
      <c r="AB25" s="90"/>
      <c r="AC25" s="134"/>
      <c r="AD25" s="90"/>
      <c r="AE25" s="135" t="str">
        <f aca="false">IF($A25="","",$B25-35-35)</f>
        <v/>
      </c>
      <c r="AF25" s="135" t="str">
        <f aca="false">IF($A25="","",$M25-10-10)</f>
        <v/>
      </c>
      <c r="AG25" s="137" t="str">
        <f aca="false">IF($A25="","",3*$D25)</f>
        <v/>
      </c>
    </row>
    <row r="26" customFormat="false" ht="39.75" hidden="false" customHeight="true" outlineLevel="0" collapsed="false">
      <c r="A26" s="88"/>
      <c r="B26" s="89"/>
      <c r="C26" s="90"/>
      <c r="D26" s="91"/>
      <c r="E26" s="139" t="str">
        <f aca="false">IF($A26="","",$B26)</f>
        <v/>
      </c>
      <c r="F26" s="140" t="str">
        <f aca="false">IF($A26="","",$L$54*$D26)</f>
        <v/>
      </c>
      <c r="G26" s="139" t="str">
        <f aca="false">IF($A26="","",$C26-$E$55-$F$55)</f>
        <v/>
      </c>
      <c r="H26" s="140" t="str">
        <f aca="false">IF($A26="","",$L$55*$D26)</f>
        <v/>
      </c>
      <c r="I26" s="139" t="str">
        <f aca="false">IF($A26="","",$C26-$E$56-$F$56)</f>
        <v/>
      </c>
      <c r="J26" s="140" t="str">
        <f aca="false">IF($A26="","",$L$56*$D26)</f>
        <v/>
      </c>
      <c r="K26" s="139" t="str">
        <f aca="false">IF($A26="","",$B26-$E$57-$F$57)</f>
        <v/>
      </c>
      <c r="L26" s="140" t="str">
        <f aca="false">IF($A26="","",$L$57*$D26)</f>
        <v/>
      </c>
      <c r="M26" s="139" t="str">
        <f aca="false">IF($A26="","",($C26-$E$58-$F$58-$G$58-$H$58)/3)</f>
        <v/>
      </c>
      <c r="N26" s="140" t="str">
        <f aca="false">IF($A26="","",$L$58*$D26)</f>
        <v/>
      </c>
      <c r="O26" s="139" t="str">
        <f aca="false">IF($A26="","",$B26-$E$59-$F$59)</f>
        <v/>
      </c>
      <c r="P26" s="140" t="str">
        <f aca="false">IF($A26="","",$L$59*$D26)</f>
        <v/>
      </c>
      <c r="Q26" s="139"/>
      <c r="R26" s="140"/>
      <c r="S26" s="139"/>
      <c r="T26" s="140"/>
      <c r="U26" s="139"/>
      <c r="V26" s="140"/>
      <c r="W26" s="139"/>
      <c r="X26" s="140"/>
      <c r="Y26" s="139"/>
      <c r="Z26" s="140"/>
      <c r="AA26" s="139"/>
      <c r="AB26" s="140"/>
      <c r="AC26" s="139"/>
      <c r="AD26" s="140"/>
      <c r="AE26" s="135" t="str">
        <f aca="false">IF($A26="","",$B26-35-35)</f>
        <v/>
      </c>
      <c r="AF26" s="135" t="str">
        <f aca="false">IF($A26="","",$M26-10-10)</f>
        <v/>
      </c>
      <c r="AG26" s="137" t="str">
        <f aca="false">IF($A26="","",3*$D26)</f>
        <v/>
      </c>
    </row>
    <row r="27" customFormat="false" ht="39.75" hidden="false" customHeight="true" outlineLevel="0" collapsed="false">
      <c r="A27" s="88"/>
      <c r="B27" s="89"/>
      <c r="C27" s="90"/>
      <c r="D27" s="91"/>
      <c r="E27" s="134" t="str">
        <f aca="false">IF($A27="","",$B27)</f>
        <v/>
      </c>
      <c r="F27" s="90" t="str">
        <f aca="false">IF($A27="","",$L$54*$D27)</f>
        <v/>
      </c>
      <c r="G27" s="134" t="str">
        <f aca="false">IF($A27="","",$C27-$E$55-$F$55)</f>
        <v/>
      </c>
      <c r="H27" s="90" t="str">
        <f aca="false">IF($A27="","",$L$55*$D27)</f>
        <v/>
      </c>
      <c r="I27" s="134" t="str">
        <f aca="false">IF($A27="","",$C27-$E$56-$F$56)</f>
        <v/>
      </c>
      <c r="J27" s="90" t="str">
        <f aca="false">IF($A27="","",$L$56*$D27)</f>
        <v/>
      </c>
      <c r="K27" s="134" t="str">
        <f aca="false">IF($A27="","",$B27-$E$57-$F$57)</f>
        <v/>
      </c>
      <c r="L27" s="90" t="str">
        <f aca="false">IF($A27="","",$L$57*$D27)</f>
        <v/>
      </c>
      <c r="M27" s="134" t="str">
        <f aca="false">IF($A27="","",($C27-$E$58-$F$58-$G$58-$H$58)/3)</f>
        <v/>
      </c>
      <c r="N27" s="90" t="str">
        <f aca="false">IF($A27="","",$L$58*$D27)</f>
        <v/>
      </c>
      <c r="O27" s="134" t="str">
        <f aca="false">IF($A27="","",$B27-$E$59-$F$59)</f>
        <v/>
      </c>
      <c r="P27" s="90" t="str">
        <f aca="false">IF($A27="","",$L$59*$D27)</f>
        <v/>
      </c>
      <c r="Q27" s="134"/>
      <c r="R27" s="90"/>
      <c r="S27" s="134"/>
      <c r="T27" s="90"/>
      <c r="U27" s="134"/>
      <c r="V27" s="90"/>
      <c r="W27" s="134"/>
      <c r="X27" s="90"/>
      <c r="Y27" s="134"/>
      <c r="Z27" s="90"/>
      <c r="AA27" s="134"/>
      <c r="AB27" s="90"/>
      <c r="AC27" s="134"/>
      <c r="AD27" s="90"/>
      <c r="AE27" s="135" t="str">
        <f aca="false">IF($A27="","",$B27-35-35)</f>
        <v/>
      </c>
      <c r="AF27" s="135" t="str">
        <f aca="false">IF($A27="","",$M27-10-10)</f>
        <v/>
      </c>
      <c r="AG27" s="137" t="str">
        <f aca="false">IF($A27="","",3*$D27)</f>
        <v/>
      </c>
    </row>
    <row r="28" customFormat="false" ht="39.75" hidden="false" customHeight="true" outlineLevel="0" collapsed="false">
      <c r="A28" s="88"/>
      <c r="B28" s="89"/>
      <c r="C28" s="90"/>
      <c r="D28" s="91"/>
      <c r="E28" s="139" t="str">
        <f aca="false">IF($A28="","",$B28)</f>
        <v/>
      </c>
      <c r="F28" s="140" t="str">
        <f aca="false">IF($A28="","",$L$54*$D28)</f>
        <v/>
      </c>
      <c r="G28" s="139" t="str">
        <f aca="false">IF($A28="","",$C28-$E$55-$F$55)</f>
        <v/>
      </c>
      <c r="H28" s="140" t="str">
        <f aca="false">IF($A28="","",$L$55*$D28)</f>
        <v/>
      </c>
      <c r="I28" s="139" t="str">
        <f aca="false">IF($A28="","",$C28-$E$56-$F$56)</f>
        <v/>
      </c>
      <c r="J28" s="140" t="str">
        <f aca="false">IF($A28="","",$L$56*$D28)</f>
        <v/>
      </c>
      <c r="K28" s="139" t="str">
        <f aca="false">IF($A28="","",$B28-$E$57-$F$57)</f>
        <v/>
      </c>
      <c r="L28" s="140" t="str">
        <f aca="false">IF($A28="","",$L$57*$D28)</f>
        <v/>
      </c>
      <c r="M28" s="139" t="str">
        <f aca="false">IF($A28="","",($C28-$E$58-$F$58-$G$58-$H$58)/3)</f>
        <v/>
      </c>
      <c r="N28" s="140" t="str">
        <f aca="false">IF($A28="","",$L$58*$D28)</f>
        <v/>
      </c>
      <c r="O28" s="139" t="str">
        <f aca="false">IF($A28="","",$B28-$E$59-$F$59)</f>
        <v/>
      </c>
      <c r="P28" s="140" t="str">
        <f aca="false">IF($A28="","",$L$59*$D28)</f>
        <v/>
      </c>
      <c r="Q28" s="139"/>
      <c r="R28" s="140"/>
      <c r="S28" s="139"/>
      <c r="T28" s="140"/>
      <c r="U28" s="139"/>
      <c r="V28" s="140"/>
      <c r="W28" s="139"/>
      <c r="X28" s="140"/>
      <c r="Y28" s="139"/>
      <c r="Z28" s="140"/>
      <c r="AA28" s="139"/>
      <c r="AB28" s="140"/>
      <c r="AC28" s="139"/>
      <c r="AD28" s="140"/>
      <c r="AE28" s="135" t="str">
        <f aca="false">IF($A28="","",$B28-35-35)</f>
        <v/>
      </c>
      <c r="AF28" s="135" t="str">
        <f aca="false">IF($A28="","",$M28-10-10)</f>
        <v/>
      </c>
      <c r="AG28" s="137" t="str">
        <f aca="false">IF($A28="","",3*$D28)</f>
        <v/>
      </c>
    </row>
    <row r="29" customFormat="false" ht="39.75" hidden="false" customHeight="true" outlineLevel="0" collapsed="false"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141" t="str">
        <f aca="false">E$7</f>
        <v>F7937</v>
      </c>
      <c r="F30" s="141"/>
      <c r="G30" s="141"/>
      <c r="H30" s="142" t="n">
        <f aca="false">(ROUNDUP(SUM(F49:H49)/6400,0))</f>
        <v>1</v>
      </c>
      <c r="I30" s="142" t="str">
        <f aca="false">I$7</f>
        <v>F7858</v>
      </c>
      <c r="J30" s="142" t="n">
        <f aca="false">(ROUNDUP(J49/6400,0))</f>
        <v>1</v>
      </c>
      <c r="K30" s="141" t="str">
        <f aca="false">K$7</f>
        <v>F7935</v>
      </c>
      <c r="L30" s="141"/>
      <c r="M30" s="141"/>
      <c r="N30" s="142" t="n">
        <f aca="false">(ROUNDUP(SUM(L49:N49)/6400,0))</f>
        <v>2</v>
      </c>
      <c r="O30" s="141" t="str">
        <f aca="false">O$7</f>
        <v>F7998</v>
      </c>
      <c r="P30" s="141"/>
      <c r="Q30" s="141"/>
      <c r="R30" s="142" t="n">
        <f aca="false">(ROUNDUP(SUM(P49:R49)/6400,0))</f>
        <v>1</v>
      </c>
      <c r="S30" s="142" t="n">
        <f aca="false">S$7</f>
        <v>0</v>
      </c>
      <c r="T30" s="142" t="n">
        <f aca="false">(ROUNDUP(T49/6400,0))</f>
        <v>0</v>
      </c>
      <c r="U30" s="142" t="n">
        <f aca="false">U$7</f>
        <v>0</v>
      </c>
      <c r="V30" s="142" t="n">
        <f aca="false">(ROUNDUP(V49/6400,0))</f>
        <v>0</v>
      </c>
      <c r="W30" s="142" t="n">
        <f aca="false">W$7</f>
        <v>0</v>
      </c>
      <c r="X30" s="142" t="n">
        <f aca="false">(ROUNDUP(X49/6400,0))</f>
        <v>0</v>
      </c>
      <c r="Y30" s="142" t="n">
        <f aca="false">Y$7</f>
        <v>0</v>
      </c>
      <c r="Z30" s="142" t="n">
        <f aca="false">(ROUNDUP(Z49/6400,0))</f>
        <v>0</v>
      </c>
      <c r="AA30" s="142" t="n">
        <f aca="false">AA$7</f>
        <v>0</v>
      </c>
      <c r="AB30" s="142" t="n">
        <f aca="false">(ROUNDUP(AB49/6400,0))</f>
        <v>0</v>
      </c>
      <c r="AC30" s="142" t="n">
        <f aca="false">AC$7</f>
        <v>0</v>
      </c>
      <c r="AD30" s="142" t="n">
        <f aca="false">(ROUNDUP(AD49/6400,0))</f>
        <v>0</v>
      </c>
    </row>
    <row r="31" customFormat="false" ht="39.75" hidden="true" customHeight="true" outlineLevel="0" collapsed="false">
      <c r="F31" s="67" t="n">
        <f aca="false">IF($A11="","",F11*E11)</f>
        <v>4170</v>
      </c>
      <c r="G31" s="67"/>
      <c r="H31" s="67" t="n">
        <f aca="false">IF($A11="","",H11*G11)</f>
        <v>450</v>
      </c>
      <c r="I31" s="67"/>
      <c r="J31" s="67" t="n">
        <f aca="false">IF($A11="","",J11*I11)</f>
        <v>450</v>
      </c>
      <c r="K31" s="67"/>
      <c r="L31" s="67" t="n">
        <f aca="false">IF($A11="","",L11*K11)</f>
        <v>11970</v>
      </c>
      <c r="M31" s="67"/>
      <c r="N31" s="67" t="n">
        <f aca="false">IF($A11="","",N11*M11)</f>
        <v>800</v>
      </c>
      <c r="O31" s="67"/>
      <c r="P31" s="67" t="n">
        <f aca="false">IF($A11="","",P11*O11)</f>
        <v>4070</v>
      </c>
      <c r="Q31" s="67"/>
      <c r="R31" s="67" t="n">
        <f aca="false">IF($A11="","",R11*Q11)</f>
        <v>0</v>
      </c>
      <c r="S31" s="67"/>
      <c r="T31" s="67" t="n">
        <f aca="false">IF($A11="","",T11*S11)</f>
        <v>0</v>
      </c>
      <c r="U31" s="67"/>
      <c r="V31" s="67" t="n">
        <f aca="false">IF($A11="","",V11*U11)</f>
        <v>0</v>
      </c>
      <c r="W31" s="67"/>
      <c r="X31" s="67" t="n">
        <f aca="false">IF($A11="","",X11*W11)</f>
        <v>0</v>
      </c>
      <c r="Y31" s="67"/>
      <c r="Z31" s="67" t="n">
        <f aca="false">IF($A11="","",Z11*Y11)</f>
        <v>0</v>
      </c>
      <c r="AA31" s="67"/>
      <c r="AB31" s="67" t="n">
        <f aca="false">IF($A11="","",AB11*AA11)</f>
        <v>0</v>
      </c>
      <c r="AC31" s="67"/>
      <c r="AD31" s="67" t="n">
        <f aca="false">IF($A11="","",AD11*AC11)</f>
        <v>0</v>
      </c>
    </row>
    <row r="32" customFormat="false" ht="39.75" hidden="true" customHeight="true" outlineLevel="0" collapsed="false">
      <c r="F32" s="67" t="str">
        <f aca="false">IF($A12="","",F12*E12)</f>
        <v/>
      </c>
      <c r="G32" s="67"/>
      <c r="H32" s="67" t="str">
        <f aca="false">IF($A12="","",H12*G12)</f>
        <v/>
      </c>
      <c r="I32" s="67"/>
      <c r="J32" s="67" t="str">
        <f aca="false">IF($A12="","",J12*I12)</f>
        <v/>
      </c>
      <c r="K32" s="67"/>
      <c r="L32" s="67" t="str">
        <f aca="false">IF($A12="","",L12*K12)</f>
        <v/>
      </c>
      <c r="M32" s="67"/>
      <c r="N32" s="67" t="str">
        <f aca="false">IF($A12="","",N12*M12)</f>
        <v/>
      </c>
      <c r="O32" s="67"/>
      <c r="P32" s="67" t="str">
        <f aca="false">IF($A12="","",P12*O12)</f>
        <v/>
      </c>
      <c r="Q32" s="67"/>
      <c r="R32" s="67" t="str">
        <f aca="false">IF($A12="","",R12*Q12)</f>
        <v/>
      </c>
      <c r="S32" s="67"/>
      <c r="T32" s="67" t="str">
        <f aca="false">IF($A12="","",T12*S12)</f>
        <v/>
      </c>
      <c r="U32" s="67"/>
      <c r="V32" s="67" t="str">
        <f aca="false">IF($A12="","",V12*U12)</f>
        <v/>
      </c>
      <c r="W32" s="67"/>
      <c r="X32" s="67" t="str">
        <f aca="false">IF($A12="","",X12*W12)</f>
        <v/>
      </c>
      <c r="Y32" s="67"/>
      <c r="Z32" s="67" t="str">
        <f aca="false">IF($A12="","",Z12*Y12)</f>
        <v/>
      </c>
      <c r="AA32" s="67"/>
      <c r="AB32" s="67" t="str">
        <f aca="false">IF($A12="","",AB12*AA12)</f>
        <v/>
      </c>
      <c r="AC32" s="67"/>
      <c r="AD32" s="67" t="str">
        <f aca="false">IF($A12="","",AD12*AC12)</f>
        <v/>
      </c>
    </row>
    <row r="33" customFormat="false" ht="39.75" hidden="true" customHeight="true" outlineLevel="0" collapsed="false">
      <c r="F33" s="67" t="str">
        <f aca="false">IF($A13="","",F13*E13)</f>
        <v/>
      </c>
      <c r="G33" s="67"/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  <c r="AC33" s="67"/>
      <c r="AD33" s="67" t="str">
        <f aca="false">IF($A13="","",AD13*AC13)</f>
        <v/>
      </c>
    </row>
    <row r="34" customFormat="false" ht="39.75" hidden="true" customHeight="true" outlineLevel="0" collapsed="false">
      <c r="F34" s="67" t="str">
        <f aca="false">IF($A14="","",F14*E14)</f>
        <v/>
      </c>
      <c r="G34" s="67"/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  <c r="AC34" s="67"/>
      <c r="AD34" s="67" t="str">
        <f aca="false">IF($A14="","",AD14*AC14)</f>
        <v/>
      </c>
    </row>
    <row r="35" customFormat="false" ht="39.75" hidden="true" customHeight="true" outlineLevel="0" collapsed="false">
      <c r="F35" s="67" t="str">
        <f aca="false">IF($A15="","",F15*E15)</f>
        <v/>
      </c>
      <c r="G35" s="67"/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  <c r="AC35" s="67"/>
      <c r="AD35" s="67" t="str">
        <f aca="false">IF($A15="","",AD15*AC15)</f>
        <v/>
      </c>
    </row>
    <row r="36" customFormat="false" ht="15" hidden="true" customHeight="true" outlineLevel="0" collapsed="false">
      <c r="F36" s="67" t="str">
        <f aca="false">IF($A16="","",F16*E16)</f>
        <v/>
      </c>
      <c r="G36" s="67"/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  <c r="AC36" s="67"/>
      <c r="AD36" s="67" t="str">
        <f aca="false">IF($A16="","",AD16*AC16)</f>
        <v/>
      </c>
    </row>
    <row r="37" customFormat="false" ht="15" hidden="true" customHeight="true" outlineLevel="0" collapsed="false">
      <c r="F37" s="67" t="str">
        <f aca="false">IF($A17="","",F17*E17)</f>
        <v/>
      </c>
      <c r="G37" s="67"/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  <c r="AC37" s="67"/>
      <c r="AD37" s="67" t="str">
        <f aca="false">IF($A17="","",AD17*AC17)</f>
        <v/>
      </c>
    </row>
    <row r="38" customFormat="false" ht="15" hidden="true" customHeight="true" outlineLevel="0" collapsed="false">
      <c r="F38" s="67" t="str">
        <f aca="false">IF($A18="","",F18*E18)</f>
        <v/>
      </c>
      <c r="G38" s="67"/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  <c r="AC38" s="67"/>
      <c r="AD38" s="67" t="str">
        <f aca="false">IF($A18="","",AD18*AC18)</f>
        <v/>
      </c>
    </row>
    <row r="39" customFormat="false" ht="15" hidden="true" customHeight="true" outlineLevel="0" collapsed="false">
      <c r="F39" s="67" t="str">
        <f aca="false">IF($A19="","",F19*E19)</f>
        <v/>
      </c>
      <c r="G39" s="67"/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  <c r="AC39" s="67"/>
      <c r="AD39" s="67" t="str">
        <f aca="false">IF($A19="","",AD19*AC19)</f>
        <v/>
      </c>
    </row>
    <row r="40" customFormat="false" ht="15" hidden="true" customHeight="true" outlineLevel="0" collapsed="false">
      <c r="F40" s="67" t="str">
        <f aca="false">IF($A20="","",F20*E20)</f>
        <v/>
      </c>
      <c r="G40" s="67"/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  <c r="AC40" s="67"/>
      <c r="AD40" s="67" t="str">
        <f aca="false">IF($A20="","",AD20*AC20)</f>
        <v/>
      </c>
    </row>
    <row r="41" customFormat="false" ht="15" hidden="true" customHeight="true" outlineLevel="0" collapsed="false">
      <c r="F41" s="67" t="str">
        <f aca="false">IF($A21="","",F21*E21)</f>
        <v/>
      </c>
      <c r="G41" s="67"/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  <c r="AC41" s="67"/>
      <c r="AD41" s="67" t="str">
        <f aca="false">IF($A21="","",AD21*AC21)</f>
        <v/>
      </c>
    </row>
    <row r="42" customFormat="false" ht="15" hidden="true" customHeight="true" outlineLevel="0" collapsed="false">
      <c r="F42" s="67" t="str">
        <f aca="false">IF($A22="","",F22*E22)</f>
        <v/>
      </c>
      <c r="G42" s="67"/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  <c r="AC42" s="67"/>
      <c r="AD42" s="67" t="str">
        <f aca="false">IF($A22="","",AD22*AC22)</f>
        <v/>
      </c>
    </row>
    <row r="43" customFormat="false" ht="15" hidden="true" customHeight="true" outlineLevel="0" collapsed="false">
      <c r="F43" s="67" t="str">
        <f aca="false">IF($A23="","",F23*E23)</f>
        <v/>
      </c>
      <c r="G43" s="67"/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  <c r="AC43" s="67"/>
      <c r="AD43" s="67" t="str">
        <f aca="false">IF($A23="","",AD23*AC23)</f>
        <v/>
      </c>
    </row>
    <row r="44" customFormat="false" ht="15" hidden="true" customHeight="true" outlineLevel="0" collapsed="false">
      <c r="F44" s="67" t="str">
        <f aca="false">IF($A24="","",F24*E24)</f>
        <v/>
      </c>
      <c r="G44" s="67"/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  <c r="AC44" s="67"/>
      <c r="AD44" s="67" t="str">
        <f aca="false">IF($A24="","",AD24*AC24)</f>
        <v/>
      </c>
    </row>
    <row r="45" customFormat="false" ht="15" hidden="true" customHeight="true" outlineLevel="0" collapsed="false">
      <c r="F45" s="67" t="str">
        <f aca="false">IF($A25="","",F25*E25)</f>
        <v/>
      </c>
      <c r="G45" s="67"/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  <c r="AC45" s="67"/>
      <c r="AD45" s="67" t="str">
        <f aca="false">IF($A25="","",AD25*AC25)</f>
        <v/>
      </c>
    </row>
    <row r="46" customFormat="false" ht="15" hidden="true" customHeight="true" outlineLevel="0" collapsed="false">
      <c r="F46" s="67" t="str">
        <f aca="false">IF($A26="","",F26*E26)</f>
        <v/>
      </c>
      <c r="G46" s="67"/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  <c r="AC46" s="67"/>
      <c r="AD46" s="67" t="str">
        <f aca="false">IF($A26="","",AD26*AC26)</f>
        <v/>
      </c>
    </row>
    <row r="47" customFormat="false" ht="15" hidden="true" customHeight="true" outlineLevel="0" collapsed="false">
      <c r="F47" s="67" t="str">
        <f aca="false">IF($A27="","",F27*E27)</f>
        <v/>
      </c>
      <c r="G47" s="67"/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  <c r="AC47" s="67"/>
      <c r="AD47" s="67" t="str">
        <f aca="false">IF($A27="","",AD27*AC27)</f>
        <v/>
      </c>
    </row>
    <row r="48" customFormat="false" ht="15" hidden="true" customHeight="true" outlineLevel="0" collapsed="false">
      <c r="F48" s="67" t="str">
        <f aca="false">IF($A28="","",F28*E28)</f>
        <v/>
      </c>
      <c r="G48" s="67"/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  <c r="AC48" s="67"/>
      <c r="AD48" s="67" t="str">
        <f aca="false">IF($A28="","",AD28*AC28)</f>
        <v/>
      </c>
    </row>
    <row r="49" customFormat="false" ht="15" hidden="true" customHeight="true" outlineLevel="0" collapsed="false">
      <c r="F49" s="68" t="n">
        <f aca="false">SUMIF(F31:F48,"&gt;0")</f>
        <v>4170</v>
      </c>
      <c r="G49" s="68"/>
      <c r="H49" s="68" t="n">
        <f aca="false">SUMIF(H31:H48,"&gt;0")</f>
        <v>450</v>
      </c>
      <c r="I49" s="68"/>
      <c r="J49" s="68" t="n">
        <f aca="false">SUMIF(J31:J48,"&gt;0")</f>
        <v>450</v>
      </c>
      <c r="L49" s="68" t="n">
        <f aca="false">SUMIF(L31:L48,"&gt;0")</f>
        <v>11970</v>
      </c>
      <c r="M49" s="68"/>
      <c r="N49" s="68" t="n">
        <f aca="false">SUMIF(N31:N48,"&gt;0")</f>
        <v>800</v>
      </c>
      <c r="O49" s="68"/>
      <c r="P49" s="68" t="n">
        <f aca="false">SUMIF(P31:P48,"&gt;0")</f>
        <v>4070</v>
      </c>
      <c r="Q49" s="68"/>
      <c r="R49" s="68" t="n">
        <f aca="false">SUMIF(R31:R48,"&gt;0")</f>
        <v>0</v>
      </c>
      <c r="T49" s="68" t="n">
        <f aca="false">SUMIF(T31:T48,"&gt;0")</f>
        <v>0</v>
      </c>
      <c r="U49" s="68"/>
      <c r="V49" s="68" t="n">
        <f aca="false">SUMIF(V31:V48,"&gt;0")</f>
        <v>0</v>
      </c>
      <c r="W49" s="68"/>
      <c r="X49" s="68" t="n">
        <f aca="false">SUMIF(X31:X48,"&gt;0")</f>
        <v>0</v>
      </c>
      <c r="Z49" s="68" t="n">
        <f aca="false">SUMIF(Z31:Z48,"&gt;0")</f>
        <v>0</v>
      </c>
      <c r="AA49" s="68"/>
      <c r="AB49" s="68" t="n">
        <f aca="false">SUMIF(AB31:AB48,"&gt;0")</f>
        <v>0</v>
      </c>
      <c r="AD49" s="68" t="n">
        <f aca="false">SUMIF(AD31:AD48,"&gt;0")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142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 t="n">
        <v>2</v>
      </c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 t="n">
        <v>1</v>
      </c>
    </row>
    <row r="56" customFormat="false" ht="15" hidden="false" customHeight="true" outlineLevel="0" collapsed="false">
      <c r="A56" s="72" t="n">
        <v>3</v>
      </c>
      <c r="B56" s="73" t="s">
        <v>251</v>
      </c>
      <c r="C56" s="74" t="s">
        <v>247</v>
      </c>
      <c r="D56" s="75" t="s">
        <v>7</v>
      </c>
      <c r="E56" s="77" t="n">
        <v>25</v>
      </c>
      <c r="F56" s="77" t="n">
        <v>25</v>
      </c>
      <c r="G56" s="76"/>
      <c r="H56" s="76"/>
      <c r="I56" s="76"/>
      <c r="J56" s="76"/>
      <c r="K56" s="76"/>
      <c r="L56" s="77" t="n">
        <v>1</v>
      </c>
    </row>
    <row r="57" customFormat="false" ht="15" hidden="false" customHeight="true" outlineLevel="0" collapsed="false">
      <c r="A57" s="72" t="n">
        <v>4</v>
      </c>
      <c r="B57" s="73" t="s">
        <v>36</v>
      </c>
      <c r="C57" s="74" t="s">
        <v>17</v>
      </c>
      <c r="D57" s="75" t="s">
        <v>139</v>
      </c>
      <c r="E57" s="77" t="n">
        <v>45</v>
      </c>
      <c r="F57" s="77" t="n">
        <v>45</v>
      </c>
      <c r="G57" s="76"/>
      <c r="H57" s="76"/>
      <c r="I57" s="76"/>
      <c r="J57" s="76"/>
      <c r="K57" s="76"/>
      <c r="L57" s="77" t="n">
        <v>6</v>
      </c>
    </row>
    <row r="58" customFormat="false" ht="15" hidden="false" customHeight="true" outlineLevel="0" collapsed="false">
      <c r="A58" s="72" t="n">
        <v>5</v>
      </c>
      <c r="B58" s="73" t="s">
        <v>37</v>
      </c>
      <c r="C58" s="74" t="s">
        <v>79</v>
      </c>
      <c r="D58" s="75" t="s">
        <v>268</v>
      </c>
      <c r="E58" s="77" t="n">
        <v>25</v>
      </c>
      <c r="F58" s="77" t="n">
        <v>25</v>
      </c>
      <c r="G58" s="77" t="n">
        <v>25</v>
      </c>
      <c r="H58" s="77" t="n">
        <v>25</v>
      </c>
      <c r="I58" s="76"/>
      <c r="J58" s="76"/>
      <c r="K58" s="76"/>
      <c r="L58" s="77" t="n">
        <v>6</v>
      </c>
    </row>
    <row r="59" customFormat="false" ht="15" hidden="false" customHeight="true" outlineLevel="0" collapsed="false">
      <c r="A59" s="72" t="n">
        <v>6</v>
      </c>
      <c r="B59" s="73" t="s">
        <v>265</v>
      </c>
      <c r="C59" s="74" t="s">
        <v>264</v>
      </c>
      <c r="D59" s="75" t="s">
        <v>263</v>
      </c>
      <c r="E59" s="77" t="n">
        <v>25</v>
      </c>
      <c r="F59" s="77" t="n">
        <v>25</v>
      </c>
      <c r="G59" s="76"/>
      <c r="H59" s="76"/>
      <c r="I59" s="76"/>
      <c r="J59" s="76"/>
      <c r="K59" s="76"/>
      <c r="L59" s="77" t="n">
        <v>2</v>
      </c>
    </row>
  </sheetData>
  <mergeCells count="59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  <mergeCell ref="O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4" min="34" style="1" width="8.9"/>
  </cols>
  <sheetData>
    <row r="1" customFormat="false" ht="39.75" hidden="false" customHeight="true" outlineLevel="0" collapsed="false">
      <c r="A1" s="3" t="s">
        <v>269</v>
      </c>
      <c r="B1" s="4"/>
      <c r="D1" s="5"/>
      <c r="E1" s="6"/>
      <c r="F1" s="5"/>
      <c r="G1" s="5"/>
      <c r="H1" s="5"/>
      <c r="I1" s="7"/>
      <c r="J1" s="8"/>
      <c r="K1" s="8"/>
      <c r="L1" s="8"/>
      <c r="M1" s="5"/>
      <c r="N1" s="9"/>
      <c r="O1" s="5"/>
      <c r="P1" s="5"/>
      <c r="Q1" s="7"/>
      <c r="R1" s="7"/>
      <c r="S1" s="8"/>
      <c r="T1" s="8"/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7"/>
      <c r="H2" s="7"/>
      <c r="I2" s="11"/>
      <c r="J2" s="11"/>
      <c r="K2" s="11"/>
      <c r="L2" s="11"/>
      <c r="M2" s="7"/>
      <c r="N2" s="7"/>
      <c r="O2" s="7"/>
      <c r="P2" s="153"/>
      <c r="Q2" s="7"/>
      <c r="R2" s="154" t="s">
        <v>249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7"/>
      <c r="B3" s="155"/>
      <c r="C3" s="93"/>
      <c r="D3" s="7"/>
      <c r="E3" s="10"/>
      <c r="F3" s="7"/>
      <c r="G3" s="7"/>
      <c r="H3" s="7"/>
      <c r="I3" s="11"/>
      <c r="J3" s="11"/>
      <c r="K3" s="12"/>
      <c r="L3" s="12"/>
      <c r="M3" s="7"/>
      <c r="N3" s="7"/>
      <c r="O3" s="7"/>
      <c r="P3" s="7"/>
      <c r="Q3" s="7"/>
      <c r="R3" s="154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7"/>
      <c r="B4" s="160"/>
      <c r="C4" s="7"/>
      <c r="F4" s="7"/>
      <c r="G4" s="7"/>
      <c r="H4" s="7"/>
      <c r="I4" s="11"/>
      <c r="J4" s="11"/>
      <c r="M4" s="7"/>
      <c r="N4" s="7"/>
      <c r="O4" s="7"/>
      <c r="P4" s="93"/>
      <c r="Q4" s="7"/>
      <c r="R4" s="154" t="s">
        <v>250</v>
      </c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G5" s="7"/>
      <c r="H5" s="7"/>
      <c r="M5" s="7"/>
      <c r="N5" s="7"/>
      <c r="O5" s="7"/>
      <c r="P5" s="7"/>
      <c r="R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139</v>
      </c>
      <c r="L6" s="17"/>
      <c r="M6" s="17" t="s">
        <v>12</v>
      </c>
      <c r="N6" s="17"/>
      <c r="O6" s="17" t="s">
        <v>263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142</v>
      </c>
      <c r="F7" s="20"/>
      <c r="G7" s="20"/>
      <c r="H7" s="20"/>
      <c r="I7" s="20" t="s">
        <v>247</v>
      </c>
      <c r="J7" s="20"/>
      <c r="K7" s="20" t="s">
        <v>17</v>
      </c>
      <c r="L7" s="20"/>
      <c r="M7" s="20"/>
      <c r="N7" s="20"/>
      <c r="O7" s="20" t="s">
        <v>264</v>
      </c>
      <c r="P7" s="20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251</v>
      </c>
      <c r="J9" s="35"/>
      <c r="K9" s="35" t="s">
        <v>36</v>
      </c>
      <c r="L9" s="35"/>
      <c r="M9" s="35" t="s">
        <v>37</v>
      </c>
      <c r="N9" s="35"/>
      <c r="O9" s="35" t="s">
        <v>265</v>
      </c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155</v>
      </c>
      <c r="AF9" s="38" t="s">
        <v>266</v>
      </c>
      <c r="AG9" s="39"/>
    </row>
    <row r="10" customFormat="false" ht="39.75" hidden="false" customHeight="true" outlineLevel="0" collapsed="false">
      <c r="A10" s="42" t="s">
        <v>56</v>
      </c>
      <c r="B10" s="43" t="s">
        <v>6</v>
      </c>
      <c r="C10" s="44" t="s">
        <v>57</v>
      </c>
      <c r="D10" s="45" t="s">
        <v>58</v>
      </c>
      <c r="E10" s="46" t="s">
        <v>59</v>
      </c>
      <c r="F10" s="47" t="s">
        <v>60</v>
      </c>
      <c r="G10" s="46" t="s">
        <v>59</v>
      </c>
      <c r="H10" s="47" t="s">
        <v>60</v>
      </c>
      <c r="I10" s="46" t="s">
        <v>59</v>
      </c>
      <c r="J10" s="47" t="s">
        <v>60</v>
      </c>
      <c r="K10" s="46" t="s">
        <v>59</v>
      </c>
      <c r="L10" s="48" t="s">
        <v>60</v>
      </c>
      <c r="M10" s="46" t="s">
        <v>59</v>
      </c>
      <c r="N10" s="48" t="s">
        <v>60</v>
      </c>
      <c r="O10" s="46" t="s">
        <v>59</v>
      </c>
      <c r="P10" s="48" t="s">
        <v>60</v>
      </c>
      <c r="Q10" s="46" t="s">
        <v>59</v>
      </c>
      <c r="R10" s="48" t="s">
        <v>60</v>
      </c>
      <c r="S10" s="46" t="s">
        <v>59</v>
      </c>
      <c r="T10" s="47" t="s">
        <v>60</v>
      </c>
      <c r="U10" s="46" t="s">
        <v>59</v>
      </c>
      <c r="V10" s="47" t="s">
        <v>60</v>
      </c>
      <c r="W10" s="46" t="s">
        <v>59</v>
      </c>
      <c r="X10" s="48" t="s">
        <v>60</v>
      </c>
      <c r="Y10" s="46" t="s">
        <v>59</v>
      </c>
      <c r="Z10" s="48" t="s">
        <v>60</v>
      </c>
      <c r="AA10" s="46" t="s">
        <v>59</v>
      </c>
      <c r="AB10" s="48" t="s">
        <v>60</v>
      </c>
      <c r="AC10" s="46" t="s">
        <v>59</v>
      </c>
      <c r="AD10" s="48" t="s">
        <v>60</v>
      </c>
      <c r="AE10" s="49" t="s">
        <v>61</v>
      </c>
      <c r="AF10" s="50" t="s">
        <v>62</v>
      </c>
      <c r="AG10" s="51" t="s">
        <v>60</v>
      </c>
    </row>
    <row r="11" customFormat="false" ht="39.75" hidden="false" customHeight="true" outlineLevel="0" collapsed="false">
      <c r="A11" s="52" t="s">
        <v>270</v>
      </c>
      <c r="B11" s="53" t="n">
        <v>3000</v>
      </c>
      <c r="C11" s="54" t="n">
        <v>4748</v>
      </c>
      <c r="D11" s="55" t="n">
        <v>1</v>
      </c>
      <c r="E11" s="56" t="n">
        <f aca="false">IF($A11="","",$B11)</f>
        <v>3000</v>
      </c>
      <c r="F11" s="54" t="n">
        <f aca="false">IF($A11="","",$L$54*$D11)</f>
        <v>2</v>
      </c>
      <c r="G11" s="56" t="n">
        <f aca="false">IF($A11="","",$C11-$E$55-$F$55)</f>
        <v>4698</v>
      </c>
      <c r="H11" s="54" t="n">
        <f aca="false">IF($A11="","",$L$55*$D11)</f>
        <v>1</v>
      </c>
      <c r="I11" s="56" t="n">
        <f aca="false">IF($A11="","",$C11-$E$56-$F$56)</f>
        <v>4698</v>
      </c>
      <c r="J11" s="54" t="n">
        <f aca="false">IF($A11="","",$L$56*$D11)</f>
        <v>1</v>
      </c>
      <c r="K11" s="56" t="n">
        <f aca="false">IF($A11="","",$B11-$E$57-$F$57)</f>
        <v>2910</v>
      </c>
      <c r="L11" s="54" t="n">
        <f aca="false">IF($A11="","",$L$57*$D11)</f>
        <v>8</v>
      </c>
      <c r="M11" s="56" t="n">
        <f aca="false">IF($A11="","",($C11-$E$58-$F$58-$G$58-$H$58-$I$58)/4)</f>
        <v>1155.75</v>
      </c>
      <c r="N11" s="54" t="n">
        <f aca="false">IF($A11="","",$L$58*$D11)</f>
        <v>8</v>
      </c>
      <c r="O11" s="56" t="n">
        <f aca="false">IF($A11="","",$B11-$E$59-$F$59)</f>
        <v>2950</v>
      </c>
      <c r="P11" s="54" t="n">
        <f aca="false">IF($A11="","",$L$59*$D11)</f>
        <v>3</v>
      </c>
      <c r="Q11" s="56"/>
      <c r="R11" s="54"/>
      <c r="S11" s="56"/>
      <c r="T11" s="54"/>
      <c r="U11" s="56"/>
      <c r="V11" s="54"/>
      <c r="W11" s="56"/>
      <c r="X11" s="54"/>
      <c r="Y11" s="56"/>
      <c r="Z11" s="54"/>
      <c r="AA11" s="56"/>
      <c r="AB11" s="54"/>
      <c r="AC11" s="56"/>
      <c r="AD11" s="54"/>
      <c r="AE11" s="57" t="n">
        <f aca="false">IF($A11="","",$B11-35-35)</f>
        <v>2930</v>
      </c>
      <c r="AF11" s="101" t="n">
        <f aca="false">IF($A11="","",$M11-10-10)</f>
        <v>1135.75</v>
      </c>
      <c r="AG11" s="59" t="n">
        <f aca="false">IF($A11="","",4*$D11)</f>
        <v>4</v>
      </c>
    </row>
    <row r="12" customFormat="false" ht="39.75" hidden="false" customHeight="true" outlineLevel="0" collapsed="false">
      <c r="A12" s="52"/>
      <c r="B12" s="53"/>
      <c r="C12" s="54"/>
      <c r="D12" s="55"/>
      <c r="E12" s="60" t="str">
        <f aca="false">IF($A12="","",$B12)</f>
        <v/>
      </c>
      <c r="F12" s="61" t="str">
        <f aca="false">IF($A12="","",$L$54*$D12)</f>
        <v/>
      </c>
      <c r="G12" s="60" t="str">
        <f aca="false">IF($A12="","",$C12-$E$55-$F$55)</f>
        <v/>
      </c>
      <c r="H12" s="61" t="str">
        <f aca="false">IF($A12="","",$L$55*$D12)</f>
        <v/>
      </c>
      <c r="I12" s="60" t="str">
        <f aca="false">IF($A12="","",$C12-$E$56-$F$56)</f>
        <v/>
      </c>
      <c r="J12" s="61" t="str">
        <f aca="false">IF($A12="","",$L$56*$D12)</f>
        <v/>
      </c>
      <c r="K12" s="60" t="str">
        <f aca="false">IF($A12="","",$B12-$E$57-$F$57)</f>
        <v/>
      </c>
      <c r="L12" s="61" t="str">
        <f aca="false">IF($A12="","",$L$57*$D12)</f>
        <v/>
      </c>
      <c r="M12" s="60" t="str">
        <f aca="false">IF($A12="","",($C12-$E$58-$F$58-$G$58-$H$58-$I$58)/4)</f>
        <v/>
      </c>
      <c r="N12" s="61" t="str">
        <f aca="false">IF($A12="","",$L$58*$D12)</f>
        <v/>
      </c>
      <c r="O12" s="60" t="str">
        <f aca="false">IF($A12="","",$B12-$E$59-$F$59)</f>
        <v/>
      </c>
      <c r="P12" s="61" t="str">
        <f aca="false">IF($A12="","",$L$59*$D12)</f>
        <v/>
      </c>
      <c r="Q12" s="60"/>
      <c r="R12" s="61"/>
      <c r="S12" s="60"/>
      <c r="T12" s="61"/>
      <c r="U12" s="60"/>
      <c r="V12" s="61"/>
      <c r="W12" s="60"/>
      <c r="X12" s="61"/>
      <c r="Y12" s="60"/>
      <c r="Z12" s="61"/>
      <c r="AA12" s="60"/>
      <c r="AB12" s="61"/>
      <c r="AC12" s="60"/>
      <c r="AD12" s="61"/>
      <c r="AE12" s="57" t="str">
        <f aca="false">IF($A12="","",$B12-35-35)</f>
        <v/>
      </c>
      <c r="AF12" s="58" t="str">
        <f aca="false">IF($A12="","",$M12-10-10)</f>
        <v/>
      </c>
      <c r="AG12" s="59" t="str">
        <f aca="false">IF($A12="","",4*$D12)</f>
        <v/>
      </c>
    </row>
    <row r="13" customFormat="false" ht="39.75" hidden="false" customHeight="true" outlineLevel="0" collapsed="false">
      <c r="A13" s="52"/>
      <c r="B13" s="53"/>
      <c r="C13" s="54"/>
      <c r="D13" s="55"/>
      <c r="E13" s="56" t="str">
        <f aca="false">IF($A13="","",$B13)</f>
        <v/>
      </c>
      <c r="F13" s="54" t="str">
        <f aca="false">IF($A13="","",$L$54*$D13)</f>
        <v/>
      </c>
      <c r="G13" s="56" t="str">
        <f aca="false">IF($A13="","",$C13-$E$55-$F$55)</f>
        <v/>
      </c>
      <c r="H13" s="54" t="str">
        <f aca="false">IF($A13="","",$L$55*$D13)</f>
        <v/>
      </c>
      <c r="I13" s="56" t="str">
        <f aca="false">IF($A13="","",$C13-$E$56-$F$56)</f>
        <v/>
      </c>
      <c r="J13" s="54" t="str">
        <f aca="false">IF($A13="","",$L$56*$D13)</f>
        <v/>
      </c>
      <c r="K13" s="56" t="str">
        <f aca="false">IF($A13="","",$B13-$E$57-$F$57)</f>
        <v/>
      </c>
      <c r="L13" s="54" t="str">
        <f aca="false">IF($A13="","",$L$57*$D13)</f>
        <v/>
      </c>
      <c r="M13" s="56" t="str">
        <f aca="false">IF($A13="","",($C13-$E$58-$F$58-$G$58-$H$58-$I$58)/4)</f>
        <v/>
      </c>
      <c r="N13" s="54" t="str">
        <f aca="false">IF($A13="","",$L$58*$D13)</f>
        <v/>
      </c>
      <c r="O13" s="56" t="str">
        <f aca="false">IF($A13="","",$B13-$E$59-$F$59)</f>
        <v/>
      </c>
      <c r="P13" s="54" t="str">
        <f aca="false">IF($A13="","",$L$59*$D13)</f>
        <v/>
      </c>
      <c r="Q13" s="56"/>
      <c r="R13" s="54"/>
      <c r="S13" s="56"/>
      <c r="T13" s="54"/>
      <c r="U13" s="56"/>
      <c r="V13" s="54"/>
      <c r="W13" s="56"/>
      <c r="X13" s="54"/>
      <c r="Y13" s="56"/>
      <c r="Z13" s="54"/>
      <c r="AA13" s="56"/>
      <c r="AB13" s="54"/>
      <c r="AC13" s="56"/>
      <c r="AD13" s="54"/>
      <c r="AE13" s="57" t="str">
        <f aca="false">IF($A13="","",$B13-35-35)</f>
        <v/>
      </c>
      <c r="AF13" s="58" t="str">
        <f aca="false">IF($A13="","",$M13-10-10)</f>
        <v/>
      </c>
      <c r="AG13" s="59" t="str">
        <f aca="false">IF($A13="","",4*$D13)</f>
        <v/>
      </c>
    </row>
    <row r="14" customFormat="false" ht="39.75" hidden="false" customHeight="true" outlineLevel="0" collapsed="false">
      <c r="A14" s="52"/>
      <c r="B14" s="53"/>
      <c r="C14" s="54"/>
      <c r="D14" s="55"/>
      <c r="E14" s="60" t="str">
        <f aca="false">IF($A14="","",$B14)</f>
        <v/>
      </c>
      <c r="F14" s="61" t="str">
        <f aca="false">IF($A14="","",$L$54*$D14)</f>
        <v/>
      </c>
      <c r="G14" s="60" t="str">
        <f aca="false">IF($A14="","",$C14-$E$55-$F$55)</f>
        <v/>
      </c>
      <c r="H14" s="61" t="str">
        <f aca="false">IF($A14="","",$L$55*$D14)</f>
        <v/>
      </c>
      <c r="I14" s="60" t="str">
        <f aca="false">IF($A14="","",$C14-$E$56-$F$56)</f>
        <v/>
      </c>
      <c r="J14" s="61" t="str">
        <f aca="false">IF($A14="","",$L$56*$D14)</f>
        <v/>
      </c>
      <c r="K14" s="60" t="str">
        <f aca="false">IF($A14="","",$B14-$E$57-$F$57)</f>
        <v/>
      </c>
      <c r="L14" s="61" t="str">
        <f aca="false">IF($A14="","",$L$57*$D14)</f>
        <v/>
      </c>
      <c r="M14" s="60" t="str">
        <f aca="false">IF($A14="","",($C14-$E$58-$F$58-$G$58-$H$58-$I$58)/4)</f>
        <v/>
      </c>
      <c r="N14" s="61" t="str">
        <f aca="false">IF($A14="","",$L$58*$D14)</f>
        <v/>
      </c>
      <c r="O14" s="60" t="str">
        <f aca="false">IF($A14="","",$B14-$E$59-$F$59)</f>
        <v/>
      </c>
      <c r="P14" s="61" t="str">
        <f aca="false">IF($A14="","",$L$59*$D14)</f>
        <v/>
      </c>
      <c r="Q14" s="60"/>
      <c r="R14" s="61"/>
      <c r="S14" s="60"/>
      <c r="T14" s="61"/>
      <c r="U14" s="60"/>
      <c r="V14" s="61"/>
      <c r="W14" s="60"/>
      <c r="X14" s="61"/>
      <c r="Y14" s="60"/>
      <c r="Z14" s="61"/>
      <c r="AA14" s="60"/>
      <c r="AB14" s="61"/>
      <c r="AC14" s="60"/>
      <c r="AD14" s="61"/>
      <c r="AE14" s="57" t="str">
        <f aca="false">IF($A14="","",$B14-35-35)</f>
        <v/>
      </c>
      <c r="AF14" s="58" t="str">
        <f aca="false">IF($A14="","",$M14-10-10)</f>
        <v/>
      </c>
      <c r="AG14" s="59" t="str">
        <f aca="false">IF($A14="","",4*$D14)</f>
        <v/>
      </c>
    </row>
    <row r="15" customFormat="false" ht="39.75" hidden="false" customHeight="true" outlineLevel="0" collapsed="false">
      <c r="A15" s="52"/>
      <c r="B15" s="53"/>
      <c r="C15" s="54"/>
      <c r="D15" s="55"/>
      <c r="E15" s="56" t="str">
        <f aca="false">IF($A15="","",$B15)</f>
        <v/>
      </c>
      <c r="F15" s="54" t="str">
        <f aca="false">IF($A15="","",$L$54*$D15)</f>
        <v/>
      </c>
      <c r="G15" s="56" t="str">
        <f aca="false">IF($A15="","",$C15-$E$55-$F$55)</f>
        <v/>
      </c>
      <c r="H15" s="54" t="str">
        <f aca="false">IF($A15="","",$L$55*$D15)</f>
        <v/>
      </c>
      <c r="I15" s="56" t="str">
        <f aca="false">IF($A15="","",$C15-$E$56-$F$56)</f>
        <v/>
      </c>
      <c r="J15" s="54" t="str">
        <f aca="false">IF($A15="","",$L$56*$D15)</f>
        <v/>
      </c>
      <c r="K15" s="56" t="str">
        <f aca="false">IF($A15="","",$B15-$E$57-$F$57)</f>
        <v/>
      </c>
      <c r="L15" s="54" t="str">
        <f aca="false">IF($A15="","",$L$57*$D15)</f>
        <v/>
      </c>
      <c r="M15" s="56" t="str">
        <f aca="false">IF($A15="","",($C15-$E$58-$F$58-$G$58-$H$58-$I$58)/4)</f>
        <v/>
      </c>
      <c r="N15" s="54" t="str">
        <f aca="false">IF($A15="","",$L$58*$D15)</f>
        <v/>
      </c>
      <c r="O15" s="56" t="str">
        <f aca="false">IF($A15="","",$B15-$E$59-$F$59)</f>
        <v/>
      </c>
      <c r="P15" s="54" t="str">
        <f aca="false">IF($A15="","",$L$59*$D15)</f>
        <v/>
      </c>
      <c r="Q15" s="56"/>
      <c r="R15" s="54"/>
      <c r="S15" s="56"/>
      <c r="T15" s="54"/>
      <c r="U15" s="56"/>
      <c r="V15" s="54"/>
      <c r="W15" s="56"/>
      <c r="X15" s="54"/>
      <c r="Y15" s="56"/>
      <c r="Z15" s="54"/>
      <c r="AA15" s="56"/>
      <c r="AB15" s="54"/>
      <c r="AC15" s="56"/>
      <c r="AD15" s="54"/>
      <c r="AE15" s="57" t="str">
        <f aca="false">IF($A15="","",$B15-35-35)</f>
        <v/>
      </c>
      <c r="AF15" s="58" t="str">
        <f aca="false">IF($A15="","",$M15-10-10)</f>
        <v/>
      </c>
      <c r="AG15" s="59" t="str">
        <f aca="false">IF($A15="","",4*$D15)</f>
        <v/>
      </c>
    </row>
    <row r="16" customFormat="false" ht="39.75" hidden="false" customHeight="true" outlineLevel="0" collapsed="false">
      <c r="A16" s="52"/>
      <c r="B16" s="53"/>
      <c r="C16" s="54"/>
      <c r="D16" s="55"/>
      <c r="E16" s="60" t="str">
        <f aca="false">IF($A16="","",$B16)</f>
        <v/>
      </c>
      <c r="F16" s="61" t="str">
        <f aca="false">IF($A16="","",$L$54*$D16)</f>
        <v/>
      </c>
      <c r="G16" s="60" t="str">
        <f aca="false">IF($A16="","",$C16-$E$55-$F$55)</f>
        <v/>
      </c>
      <c r="H16" s="61" t="str">
        <f aca="false">IF($A16="","",$L$55*$D16)</f>
        <v/>
      </c>
      <c r="I16" s="60" t="str">
        <f aca="false">IF($A16="","",$C16-$E$56-$F$56)</f>
        <v/>
      </c>
      <c r="J16" s="61" t="str">
        <f aca="false">IF($A16="","",$L$56*$D16)</f>
        <v/>
      </c>
      <c r="K16" s="60" t="str">
        <f aca="false">IF($A16="","",$B16-$E$57-$F$57)</f>
        <v/>
      </c>
      <c r="L16" s="61" t="str">
        <f aca="false">IF($A16="","",$L$57*$D16)</f>
        <v/>
      </c>
      <c r="M16" s="60" t="str">
        <f aca="false">IF($A16="","",($C16-$E$58-$F$58-$G$58-$H$58-$I$58)/4)</f>
        <v/>
      </c>
      <c r="N16" s="61" t="str">
        <f aca="false">IF($A16="","",$L$58*$D16)</f>
        <v/>
      </c>
      <c r="O16" s="60" t="str">
        <f aca="false">IF($A16="","",$B16-$E$59-$F$59)</f>
        <v/>
      </c>
      <c r="P16" s="61" t="str">
        <f aca="false">IF($A16="","",$L$59*$D16)</f>
        <v/>
      </c>
      <c r="Q16" s="60"/>
      <c r="R16" s="61"/>
      <c r="S16" s="60"/>
      <c r="T16" s="61"/>
      <c r="U16" s="60"/>
      <c r="V16" s="61"/>
      <c r="W16" s="60"/>
      <c r="X16" s="61"/>
      <c r="Y16" s="60"/>
      <c r="Z16" s="61"/>
      <c r="AA16" s="60"/>
      <c r="AB16" s="61"/>
      <c r="AC16" s="60"/>
      <c r="AD16" s="61"/>
      <c r="AE16" s="57" t="str">
        <f aca="false">IF($A16="","",$B16-35-35)</f>
        <v/>
      </c>
      <c r="AF16" s="58" t="str">
        <f aca="false">IF($A16="","",$M16-10-10)</f>
        <v/>
      </c>
      <c r="AG16" s="59" t="str">
        <f aca="false">IF($A16="","",4*$D16)</f>
        <v/>
      </c>
    </row>
    <row r="17" customFormat="false" ht="39.75" hidden="false" customHeight="true" outlineLevel="0" collapsed="false">
      <c r="A17" s="52"/>
      <c r="B17" s="53"/>
      <c r="C17" s="54"/>
      <c r="D17" s="55"/>
      <c r="E17" s="56" t="str">
        <f aca="false">IF($A17="","",$B17)</f>
        <v/>
      </c>
      <c r="F17" s="54" t="str">
        <f aca="false">IF($A17="","",$L$54*$D17)</f>
        <v/>
      </c>
      <c r="G17" s="56" t="str">
        <f aca="false">IF($A17="","",$C17-$E$55-$F$55)</f>
        <v/>
      </c>
      <c r="H17" s="54" t="str">
        <f aca="false">IF($A17="","",$L$55*$D17)</f>
        <v/>
      </c>
      <c r="I17" s="56" t="str">
        <f aca="false">IF($A17="","",$C17-$E$56-$F$56)</f>
        <v/>
      </c>
      <c r="J17" s="54" t="str">
        <f aca="false">IF($A17="","",$L$56*$D17)</f>
        <v/>
      </c>
      <c r="K17" s="56" t="str">
        <f aca="false">IF($A17="","",$B17-$E$57-$F$57)</f>
        <v/>
      </c>
      <c r="L17" s="54" t="str">
        <f aca="false">IF($A17="","",$L$57*$D17)</f>
        <v/>
      </c>
      <c r="M17" s="56" t="str">
        <f aca="false">IF($A17="","",($C17-$E$58-$F$58-$G$58-$H$58-$I$58)/4)</f>
        <v/>
      </c>
      <c r="N17" s="54" t="str">
        <f aca="false">IF($A17="","",$L$58*$D17)</f>
        <v/>
      </c>
      <c r="O17" s="56" t="str">
        <f aca="false">IF($A17="","",$B17-$E$59-$F$59)</f>
        <v/>
      </c>
      <c r="P17" s="54" t="str">
        <f aca="false">IF($A17="","",$L$59*$D17)</f>
        <v/>
      </c>
      <c r="Q17" s="56"/>
      <c r="R17" s="54"/>
      <c r="S17" s="56"/>
      <c r="T17" s="54"/>
      <c r="U17" s="56"/>
      <c r="V17" s="54"/>
      <c r="W17" s="56"/>
      <c r="X17" s="54"/>
      <c r="Y17" s="56"/>
      <c r="Z17" s="54"/>
      <c r="AA17" s="56"/>
      <c r="AB17" s="54"/>
      <c r="AC17" s="56"/>
      <c r="AD17" s="54"/>
      <c r="AE17" s="57" t="str">
        <f aca="false">IF($A17="","",$B17-35-35)</f>
        <v/>
      </c>
      <c r="AF17" s="58" t="str">
        <f aca="false">IF($A17="","",$M17-10-10)</f>
        <v/>
      </c>
      <c r="AG17" s="59" t="str">
        <f aca="false">IF($A17="","",4*$D17)</f>
        <v/>
      </c>
    </row>
    <row r="18" customFormat="false" ht="39.75" hidden="false" customHeight="true" outlineLevel="0" collapsed="false">
      <c r="A18" s="52"/>
      <c r="B18" s="53"/>
      <c r="C18" s="54"/>
      <c r="D18" s="55"/>
      <c r="E18" s="60" t="str">
        <f aca="false">IF($A18="","",$B18)</f>
        <v/>
      </c>
      <c r="F18" s="61" t="str">
        <f aca="false">IF($A18="","",$L$54*$D18)</f>
        <v/>
      </c>
      <c r="G18" s="60" t="str">
        <f aca="false">IF($A18="","",$C18-$E$55-$F$55)</f>
        <v/>
      </c>
      <c r="H18" s="61" t="str">
        <f aca="false">IF($A18="","",$L$55*$D18)</f>
        <v/>
      </c>
      <c r="I18" s="60" t="str">
        <f aca="false">IF($A18="","",$C18-$E$56-$F$56)</f>
        <v/>
      </c>
      <c r="J18" s="61" t="str">
        <f aca="false">IF($A18="","",$L$56*$D18)</f>
        <v/>
      </c>
      <c r="K18" s="60" t="str">
        <f aca="false">IF($A18="","",$B18-$E$57-$F$57)</f>
        <v/>
      </c>
      <c r="L18" s="61" t="str">
        <f aca="false">IF($A18="","",$L$57*$D18)</f>
        <v/>
      </c>
      <c r="M18" s="60" t="str">
        <f aca="false">IF($A18="","",($C18-$E$58-$F$58-$G$58-$H$58-$I$58)/4)</f>
        <v/>
      </c>
      <c r="N18" s="61" t="str">
        <f aca="false">IF($A18="","",$L$58*$D18)</f>
        <v/>
      </c>
      <c r="O18" s="60" t="str">
        <f aca="false">IF($A18="","",$B18-$E$59-$F$59)</f>
        <v/>
      </c>
      <c r="P18" s="61" t="str">
        <f aca="false">IF($A18="","",$L$59*$D18)</f>
        <v/>
      </c>
      <c r="Q18" s="60"/>
      <c r="R18" s="61"/>
      <c r="S18" s="60"/>
      <c r="T18" s="61"/>
      <c r="U18" s="60"/>
      <c r="V18" s="61"/>
      <c r="W18" s="60"/>
      <c r="X18" s="61"/>
      <c r="Y18" s="60"/>
      <c r="Z18" s="61"/>
      <c r="AA18" s="60"/>
      <c r="AB18" s="61"/>
      <c r="AC18" s="60"/>
      <c r="AD18" s="61"/>
      <c r="AE18" s="57" t="str">
        <f aca="false">IF($A18="","",$B18-35-35)</f>
        <v/>
      </c>
      <c r="AF18" s="58" t="str">
        <f aca="false">IF($A18="","",$M18-10-10)</f>
        <v/>
      </c>
      <c r="AG18" s="59" t="str">
        <f aca="false">IF($A18="","",4*$D18)</f>
        <v/>
      </c>
    </row>
    <row r="19" customFormat="false" ht="39.75" hidden="false" customHeight="true" outlineLevel="0" collapsed="false">
      <c r="A19" s="52"/>
      <c r="B19" s="53"/>
      <c r="C19" s="54"/>
      <c r="D19" s="55"/>
      <c r="E19" s="56" t="str">
        <f aca="false">IF($A19="","",$B19)</f>
        <v/>
      </c>
      <c r="F19" s="54" t="str">
        <f aca="false">IF($A19="","",$L$54*$D19)</f>
        <v/>
      </c>
      <c r="G19" s="56" t="str">
        <f aca="false">IF($A19="","",$C19-$E$55-$F$55)</f>
        <v/>
      </c>
      <c r="H19" s="54" t="str">
        <f aca="false">IF($A19="","",$L$55*$D19)</f>
        <v/>
      </c>
      <c r="I19" s="56" t="str">
        <f aca="false">IF($A19="","",$C19-$E$56-$F$56)</f>
        <v/>
      </c>
      <c r="J19" s="54" t="str">
        <f aca="false">IF($A19="","",$L$56*$D19)</f>
        <v/>
      </c>
      <c r="K19" s="56" t="str">
        <f aca="false">IF($A19="","",$B19-$E$57-$F$57)</f>
        <v/>
      </c>
      <c r="L19" s="54" t="str">
        <f aca="false">IF($A19="","",$L$57*$D19)</f>
        <v/>
      </c>
      <c r="M19" s="56" t="str">
        <f aca="false">IF($A19="","",($C19-$E$58-$F$58-$G$58-$H$58-$I$58)/4)</f>
        <v/>
      </c>
      <c r="N19" s="54" t="str">
        <f aca="false">IF($A19="","",$L$58*$D19)</f>
        <v/>
      </c>
      <c r="O19" s="56" t="str">
        <f aca="false">IF($A19="","",$B19-$E$59-$F$59)</f>
        <v/>
      </c>
      <c r="P19" s="54" t="str">
        <f aca="false">IF($A19="","",$L$59*$D19)</f>
        <v/>
      </c>
      <c r="Q19" s="56"/>
      <c r="R19" s="54"/>
      <c r="S19" s="56"/>
      <c r="T19" s="54"/>
      <c r="U19" s="56"/>
      <c r="V19" s="54"/>
      <c r="W19" s="56"/>
      <c r="X19" s="54"/>
      <c r="Y19" s="56"/>
      <c r="Z19" s="54"/>
      <c r="AA19" s="56"/>
      <c r="AB19" s="54"/>
      <c r="AC19" s="56"/>
      <c r="AD19" s="54"/>
      <c r="AE19" s="57" t="str">
        <f aca="false">IF($A19="","",$B19-35-35)</f>
        <v/>
      </c>
      <c r="AF19" s="58" t="str">
        <f aca="false">IF($A19="","",$M19-10-10)</f>
        <v/>
      </c>
      <c r="AG19" s="59" t="str">
        <f aca="false">IF($A19="","",4*$D19)</f>
        <v/>
      </c>
    </row>
    <row r="20" customFormat="false" ht="39.75" hidden="false" customHeight="true" outlineLevel="0" collapsed="false">
      <c r="A20" s="52"/>
      <c r="B20" s="53"/>
      <c r="C20" s="54"/>
      <c r="D20" s="55"/>
      <c r="E20" s="60" t="str">
        <f aca="false">IF($A20="","",$B20)</f>
        <v/>
      </c>
      <c r="F20" s="61" t="str">
        <f aca="false">IF($A20="","",$L$54*$D20)</f>
        <v/>
      </c>
      <c r="G20" s="60" t="str">
        <f aca="false">IF($A20="","",$C20-$E$55-$F$55)</f>
        <v/>
      </c>
      <c r="H20" s="61" t="str">
        <f aca="false">IF($A20="","",$L$55*$D20)</f>
        <v/>
      </c>
      <c r="I20" s="60" t="str">
        <f aca="false">IF($A20="","",$C20-$E$56-$F$56)</f>
        <v/>
      </c>
      <c r="J20" s="61" t="str">
        <f aca="false">IF($A20="","",$L$56*$D20)</f>
        <v/>
      </c>
      <c r="K20" s="60" t="str">
        <f aca="false">IF($A20="","",$B20-$E$57-$F$57)</f>
        <v/>
      </c>
      <c r="L20" s="61" t="str">
        <f aca="false">IF($A20="","",$L$57*$D20)</f>
        <v/>
      </c>
      <c r="M20" s="60" t="str">
        <f aca="false">IF($A20="","",($C20-$E$58-$F$58-$G$58-$H$58-$I$58)/4)</f>
        <v/>
      </c>
      <c r="N20" s="61" t="str">
        <f aca="false">IF($A20="","",$L$58*$D20)</f>
        <v/>
      </c>
      <c r="O20" s="60" t="str">
        <f aca="false">IF($A20="","",$B20-$E$59-$F$59)</f>
        <v/>
      </c>
      <c r="P20" s="61" t="str">
        <f aca="false">IF($A20="","",$L$59*$D20)</f>
        <v/>
      </c>
      <c r="Q20" s="60"/>
      <c r="R20" s="61"/>
      <c r="S20" s="60"/>
      <c r="T20" s="61"/>
      <c r="U20" s="60"/>
      <c r="V20" s="61"/>
      <c r="W20" s="60"/>
      <c r="X20" s="61"/>
      <c r="Y20" s="60"/>
      <c r="Z20" s="61"/>
      <c r="AA20" s="60"/>
      <c r="AB20" s="61"/>
      <c r="AC20" s="60"/>
      <c r="AD20" s="61"/>
      <c r="AE20" s="57" t="str">
        <f aca="false">IF($A20="","",$B20-35-35)</f>
        <v/>
      </c>
      <c r="AF20" s="58" t="str">
        <f aca="false">IF($A20="","",$M20-10-10)</f>
        <v/>
      </c>
      <c r="AG20" s="59" t="str">
        <f aca="false">IF($A20="","",4*$D20)</f>
        <v/>
      </c>
    </row>
    <row r="21" customFormat="false" ht="39.75" hidden="false" customHeight="true" outlineLevel="0" collapsed="false">
      <c r="A21" s="52"/>
      <c r="B21" s="53"/>
      <c r="C21" s="54"/>
      <c r="D21" s="55"/>
      <c r="E21" s="56" t="str">
        <f aca="false">IF($A21="","",$B21)</f>
        <v/>
      </c>
      <c r="F21" s="54" t="str">
        <f aca="false">IF($A21="","",$L$54*$D21)</f>
        <v/>
      </c>
      <c r="G21" s="56" t="str">
        <f aca="false">IF($A21="","",$C21-$E$55-$F$55)</f>
        <v/>
      </c>
      <c r="H21" s="54" t="str">
        <f aca="false">IF($A21="","",$L$55*$D21)</f>
        <v/>
      </c>
      <c r="I21" s="56" t="str">
        <f aca="false">IF($A21="","",$C21-$E$56-$F$56)</f>
        <v/>
      </c>
      <c r="J21" s="54" t="str">
        <f aca="false">IF($A21="","",$L$56*$D21)</f>
        <v/>
      </c>
      <c r="K21" s="56" t="str">
        <f aca="false">IF($A21="","",$B21-$E$57-$F$57)</f>
        <v/>
      </c>
      <c r="L21" s="54" t="str">
        <f aca="false">IF($A21="","",$L$57*$D21)</f>
        <v/>
      </c>
      <c r="M21" s="56" t="str">
        <f aca="false">IF($A21="","",($C21-$E$58-$F$58-$G$58-$H$58-$I$58)/4)</f>
        <v/>
      </c>
      <c r="N21" s="54" t="str">
        <f aca="false">IF($A21="","",$L$58*$D21)</f>
        <v/>
      </c>
      <c r="O21" s="56" t="str">
        <f aca="false">IF($A21="","",$B21-$E$59-$F$59)</f>
        <v/>
      </c>
      <c r="P21" s="54" t="str">
        <f aca="false">IF($A21="","",$L$59*$D21)</f>
        <v/>
      </c>
      <c r="Q21" s="56"/>
      <c r="R21" s="54"/>
      <c r="S21" s="56"/>
      <c r="T21" s="54"/>
      <c r="U21" s="56"/>
      <c r="V21" s="54"/>
      <c r="W21" s="56"/>
      <c r="X21" s="54"/>
      <c r="Y21" s="56"/>
      <c r="Z21" s="54"/>
      <c r="AA21" s="56"/>
      <c r="AB21" s="54"/>
      <c r="AC21" s="56"/>
      <c r="AD21" s="54"/>
      <c r="AE21" s="57" t="str">
        <f aca="false">IF($A21="","",$B21-35-35)</f>
        <v/>
      </c>
      <c r="AF21" s="58" t="str">
        <f aca="false">IF($A21="","",$M21-10-10)</f>
        <v/>
      </c>
      <c r="AG21" s="59" t="str">
        <f aca="false">IF($A21="","",4*$D21)</f>
        <v/>
      </c>
    </row>
    <row r="22" customFormat="false" ht="39.75" hidden="false" customHeight="true" outlineLevel="0" collapsed="false">
      <c r="A22" s="52"/>
      <c r="B22" s="53"/>
      <c r="C22" s="54"/>
      <c r="D22" s="55"/>
      <c r="E22" s="60" t="str">
        <f aca="false">IF($A22="","",$B22)</f>
        <v/>
      </c>
      <c r="F22" s="61" t="str">
        <f aca="false">IF($A22="","",$L$54*$D22)</f>
        <v/>
      </c>
      <c r="G22" s="60" t="str">
        <f aca="false">IF($A22="","",$C22-$E$55-$F$55)</f>
        <v/>
      </c>
      <c r="H22" s="61" t="str">
        <f aca="false">IF($A22="","",$L$55*$D22)</f>
        <v/>
      </c>
      <c r="I22" s="60" t="str">
        <f aca="false">IF($A22="","",$C22-$E$56-$F$56)</f>
        <v/>
      </c>
      <c r="J22" s="61" t="str">
        <f aca="false">IF($A22="","",$L$56*$D22)</f>
        <v/>
      </c>
      <c r="K22" s="60" t="str">
        <f aca="false">IF($A22="","",$B22-$E$57-$F$57)</f>
        <v/>
      </c>
      <c r="L22" s="61" t="str">
        <f aca="false">IF($A22="","",$L$57*$D22)</f>
        <v/>
      </c>
      <c r="M22" s="60" t="str">
        <f aca="false">IF($A22="","",($C22-$E$58-$F$58-$G$58-$H$58-$I$58)/4)</f>
        <v/>
      </c>
      <c r="N22" s="61" t="str">
        <f aca="false">IF($A22="","",$L$58*$D22)</f>
        <v/>
      </c>
      <c r="O22" s="60" t="str">
        <f aca="false">IF($A22="","",$B22-$E$59-$F$59)</f>
        <v/>
      </c>
      <c r="P22" s="61" t="str">
        <f aca="false">IF($A22="","",$L$59*$D22)</f>
        <v/>
      </c>
      <c r="Q22" s="60"/>
      <c r="R22" s="61"/>
      <c r="S22" s="60"/>
      <c r="T22" s="61"/>
      <c r="U22" s="60"/>
      <c r="V22" s="61"/>
      <c r="W22" s="60"/>
      <c r="X22" s="61"/>
      <c r="Y22" s="60"/>
      <c r="Z22" s="61"/>
      <c r="AA22" s="60"/>
      <c r="AB22" s="61"/>
      <c r="AC22" s="60"/>
      <c r="AD22" s="61"/>
      <c r="AE22" s="57" t="str">
        <f aca="false">IF($A22="","",$B22-35-35)</f>
        <v/>
      </c>
      <c r="AF22" s="58" t="str">
        <f aca="false">IF($A22="","",$M22-10-10)</f>
        <v/>
      </c>
      <c r="AG22" s="59" t="str">
        <f aca="false">IF($A22="","",4*$D22)</f>
        <v/>
      </c>
    </row>
    <row r="23" customFormat="false" ht="39.75" hidden="false" customHeight="true" outlineLevel="0" collapsed="false">
      <c r="A23" s="52"/>
      <c r="B23" s="53"/>
      <c r="C23" s="54"/>
      <c r="D23" s="55"/>
      <c r="E23" s="56" t="str">
        <f aca="false">IF($A23="","",$B23)</f>
        <v/>
      </c>
      <c r="F23" s="54" t="str">
        <f aca="false">IF($A23="","",$L$54*$D23)</f>
        <v/>
      </c>
      <c r="G23" s="56" t="str">
        <f aca="false">IF($A23="","",$C23-$E$55-$F$55)</f>
        <v/>
      </c>
      <c r="H23" s="54" t="str">
        <f aca="false">IF($A23="","",$L$55*$D23)</f>
        <v/>
      </c>
      <c r="I23" s="56" t="str">
        <f aca="false">IF($A23="","",$C23-$E$56-$F$56)</f>
        <v/>
      </c>
      <c r="J23" s="54" t="str">
        <f aca="false">IF($A23="","",$L$56*$D23)</f>
        <v/>
      </c>
      <c r="K23" s="56" t="str">
        <f aca="false">IF($A23="","",$B23-$E$57-$F$57)</f>
        <v/>
      </c>
      <c r="L23" s="54" t="str">
        <f aca="false">IF($A23="","",$L$57*$D23)</f>
        <v/>
      </c>
      <c r="M23" s="56" t="str">
        <f aca="false">IF($A23="","",($C23-$E$58-$F$58-$G$58-$H$58-$I$58)/4)</f>
        <v/>
      </c>
      <c r="N23" s="54" t="str">
        <f aca="false">IF($A23="","",$L$58*$D23)</f>
        <v/>
      </c>
      <c r="O23" s="56" t="str">
        <f aca="false">IF($A23="","",$B23-$E$59-$F$59)</f>
        <v/>
      </c>
      <c r="P23" s="54" t="str">
        <f aca="false">IF($A23="","",$L$59*$D23)</f>
        <v/>
      </c>
      <c r="Q23" s="56"/>
      <c r="R23" s="54"/>
      <c r="S23" s="56"/>
      <c r="T23" s="54"/>
      <c r="U23" s="56"/>
      <c r="V23" s="54"/>
      <c r="W23" s="56"/>
      <c r="X23" s="54"/>
      <c r="Y23" s="56"/>
      <c r="Z23" s="54"/>
      <c r="AA23" s="56"/>
      <c r="AB23" s="54"/>
      <c r="AC23" s="56"/>
      <c r="AD23" s="54"/>
      <c r="AE23" s="57" t="str">
        <f aca="false">IF($A23="","",$B23-35-35)</f>
        <v/>
      </c>
      <c r="AF23" s="58" t="str">
        <f aca="false">IF($A23="","",$M23-10-10)</f>
        <v/>
      </c>
      <c r="AG23" s="59" t="str">
        <f aca="false">IF($A23="","",4*$D23)</f>
        <v/>
      </c>
    </row>
    <row r="24" customFormat="false" ht="39.75" hidden="false" customHeight="true" outlineLevel="0" collapsed="false">
      <c r="A24" s="52"/>
      <c r="B24" s="53"/>
      <c r="C24" s="54"/>
      <c r="D24" s="55"/>
      <c r="E24" s="60" t="str">
        <f aca="false">IF($A24="","",$B24)</f>
        <v/>
      </c>
      <c r="F24" s="61" t="str">
        <f aca="false">IF($A24="","",$L$54*$D24)</f>
        <v/>
      </c>
      <c r="G24" s="60" t="str">
        <f aca="false">IF($A24="","",$C24-$E$55-$F$55)</f>
        <v/>
      </c>
      <c r="H24" s="61" t="str">
        <f aca="false">IF($A24="","",$L$55*$D24)</f>
        <v/>
      </c>
      <c r="I24" s="60" t="str">
        <f aca="false">IF($A24="","",$C24-$E$56-$F$56)</f>
        <v/>
      </c>
      <c r="J24" s="61" t="str">
        <f aca="false">IF($A24="","",$L$56*$D24)</f>
        <v/>
      </c>
      <c r="K24" s="60" t="str">
        <f aca="false">IF($A24="","",$B24-$E$57-$F$57)</f>
        <v/>
      </c>
      <c r="L24" s="61" t="str">
        <f aca="false">IF($A24="","",$L$57*$D24)</f>
        <v/>
      </c>
      <c r="M24" s="60" t="str">
        <f aca="false">IF($A24="","",($C24-$E$58-$F$58-$G$58-$H$58-$I$58)/4)</f>
        <v/>
      </c>
      <c r="N24" s="61" t="str">
        <f aca="false">IF($A24="","",$L$58*$D24)</f>
        <v/>
      </c>
      <c r="O24" s="60" t="str">
        <f aca="false">IF($A24="","",$B24-$E$59-$F$59)</f>
        <v/>
      </c>
      <c r="P24" s="61" t="str">
        <f aca="false">IF($A24="","",$L$59*$D24)</f>
        <v/>
      </c>
      <c r="Q24" s="60"/>
      <c r="R24" s="61"/>
      <c r="S24" s="60"/>
      <c r="T24" s="61"/>
      <c r="U24" s="60"/>
      <c r="V24" s="61"/>
      <c r="W24" s="60"/>
      <c r="X24" s="61"/>
      <c r="Y24" s="60"/>
      <c r="Z24" s="61"/>
      <c r="AA24" s="60"/>
      <c r="AB24" s="61"/>
      <c r="AC24" s="60"/>
      <c r="AD24" s="61"/>
      <c r="AE24" s="57" t="str">
        <f aca="false">IF($A24="","",$B24-35-35)</f>
        <v/>
      </c>
      <c r="AF24" s="58" t="str">
        <f aca="false">IF($A24="","",$M24-10-10)</f>
        <v/>
      </c>
      <c r="AG24" s="59" t="str">
        <f aca="false">IF($A24="","",4*$D24)</f>
        <v/>
      </c>
    </row>
    <row r="25" customFormat="false" ht="39.75" hidden="false" customHeight="true" outlineLevel="0" collapsed="false">
      <c r="A25" s="52"/>
      <c r="B25" s="53"/>
      <c r="C25" s="54"/>
      <c r="D25" s="55"/>
      <c r="E25" s="56" t="str">
        <f aca="false">IF($A25="","",$B25)</f>
        <v/>
      </c>
      <c r="F25" s="54" t="str">
        <f aca="false">IF($A25="","",$L$54*$D25)</f>
        <v/>
      </c>
      <c r="G25" s="56" t="str">
        <f aca="false">IF($A25="","",$C25-$E$55-$F$55)</f>
        <v/>
      </c>
      <c r="H25" s="54" t="str">
        <f aca="false">IF($A25="","",$L$55*$D25)</f>
        <v/>
      </c>
      <c r="I25" s="56" t="str">
        <f aca="false">IF($A25="","",$C25-$E$56-$F$56)</f>
        <v/>
      </c>
      <c r="J25" s="54" t="str">
        <f aca="false">IF($A25="","",$L$56*$D25)</f>
        <v/>
      </c>
      <c r="K25" s="56" t="str">
        <f aca="false">IF($A25="","",$B25-$E$57-$F$57)</f>
        <v/>
      </c>
      <c r="L25" s="54" t="str">
        <f aca="false">IF($A25="","",$L$57*$D25)</f>
        <v/>
      </c>
      <c r="M25" s="56" t="str">
        <f aca="false">IF($A25="","",($C25-$E$58-$F$58-$G$58-$H$58-$I$58)/4)</f>
        <v/>
      </c>
      <c r="N25" s="54" t="str">
        <f aca="false">IF($A25="","",$L$58*$D25)</f>
        <v/>
      </c>
      <c r="O25" s="56" t="str">
        <f aca="false">IF($A25="","",$B25-$E$59-$F$59)</f>
        <v/>
      </c>
      <c r="P25" s="54" t="str">
        <f aca="false">IF($A25="","",$L$59*$D25)</f>
        <v/>
      </c>
      <c r="Q25" s="56"/>
      <c r="R25" s="54"/>
      <c r="S25" s="56"/>
      <c r="T25" s="54"/>
      <c r="U25" s="56"/>
      <c r="V25" s="54"/>
      <c r="W25" s="56"/>
      <c r="X25" s="54"/>
      <c r="Y25" s="56"/>
      <c r="Z25" s="54"/>
      <c r="AA25" s="56"/>
      <c r="AB25" s="54"/>
      <c r="AC25" s="56"/>
      <c r="AD25" s="54"/>
      <c r="AE25" s="57" t="str">
        <f aca="false">IF($A25="","",$B25-35-35)</f>
        <v/>
      </c>
      <c r="AF25" s="58" t="str">
        <f aca="false">IF($A25="","",$M25-10-10)</f>
        <v/>
      </c>
      <c r="AG25" s="59" t="str">
        <f aca="false">IF($A25="","",4*$D25)</f>
        <v/>
      </c>
    </row>
    <row r="26" customFormat="false" ht="39.75" hidden="false" customHeight="true" outlineLevel="0" collapsed="false">
      <c r="A26" s="52"/>
      <c r="B26" s="53"/>
      <c r="C26" s="54"/>
      <c r="D26" s="55"/>
      <c r="E26" s="60" t="str">
        <f aca="false">IF($A26="","",$B26)</f>
        <v/>
      </c>
      <c r="F26" s="61" t="str">
        <f aca="false">IF($A26="","",$L$54*$D26)</f>
        <v/>
      </c>
      <c r="G26" s="60" t="str">
        <f aca="false">IF($A26="","",$C26-$E$55-$F$55)</f>
        <v/>
      </c>
      <c r="H26" s="61" t="str">
        <f aca="false">IF($A26="","",$L$55*$D26)</f>
        <v/>
      </c>
      <c r="I26" s="60" t="str">
        <f aca="false">IF($A26="","",$C26-$E$56-$F$56)</f>
        <v/>
      </c>
      <c r="J26" s="61" t="str">
        <f aca="false">IF($A26="","",$L$56*$D26)</f>
        <v/>
      </c>
      <c r="K26" s="60" t="str">
        <f aca="false">IF($A26="","",$B26-$E$57-$F$57)</f>
        <v/>
      </c>
      <c r="L26" s="61" t="str">
        <f aca="false">IF($A26="","",$L$57*$D26)</f>
        <v/>
      </c>
      <c r="M26" s="60" t="str">
        <f aca="false">IF($A26="","",($C26-$E$58-$F$58-$G$58-$H$58-$I$58)/4)</f>
        <v/>
      </c>
      <c r="N26" s="61" t="str">
        <f aca="false">IF($A26="","",$L$58*$D26)</f>
        <v/>
      </c>
      <c r="O26" s="60" t="str">
        <f aca="false">IF($A26="","",$B26-$E$59-$F$59)</f>
        <v/>
      </c>
      <c r="P26" s="61" t="str">
        <f aca="false">IF($A26="","",$L$59*$D26)</f>
        <v/>
      </c>
      <c r="Q26" s="60"/>
      <c r="R26" s="61"/>
      <c r="S26" s="60"/>
      <c r="T26" s="61"/>
      <c r="U26" s="60"/>
      <c r="V26" s="61"/>
      <c r="W26" s="60"/>
      <c r="X26" s="61"/>
      <c r="Y26" s="60"/>
      <c r="Z26" s="61"/>
      <c r="AA26" s="60"/>
      <c r="AB26" s="61"/>
      <c r="AC26" s="60"/>
      <c r="AD26" s="61"/>
      <c r="AE26" s="57" t="str">
        <f aca="false">IF($A26="","",$B26-35-35)</f>
        <v/>
      </c>
      <c r="AF26" s="58" t="str">
        <f aca="false">IF($A26="","",$M26-10-10)</f>
        <v/>
      </c>
      <c r="AG26" s="59" t="str">
        <f aca="false">IF($A26="","",4*$D26)</f>
        <v/>
      </c>
    </row>
    <row r="27" customFormat="false" ht="39.75" hidden="false" customHeight="true" outlineLevel="0" collapsed="false">
      <c r="A27" s="52"/>
      <c r="B27" s="53"/>
      <c r="C27" s="54"/>
      <c r="D27" s="55"/>
      <c r="E27" s="56" t="str">
        <f aca="false">IF($A27="","",$B27)</f>
        <v/>
      </c>
      <c r="F27" s="54" t="str">
        <f aca="false">IF($A27="","",$L$54*$D27)</f>
        <v/>
      </c>
      <c r="G27" s="56" t="str">
        <f aca="false">IF($A27="","",$C27-$E$55-$F$55)</f>
        <v/>
      </c>
      <c r="H27" s="54" t="str">
        <f aca="false">IF($A27="","",$L$55*$D27)</f>
        <v/>
      </c>
      <c r="I27" s="56" t="str">
        <f aca="false">IF($A27="","",$C27-$E$56-$F$56)</f>
        <v/>
      </c>
      <c r="J27" s="54" t="str">
        <f aca="false">IF($A27="","",$L$56*$D27)</f>
        <v/>
      </c>
      <c r="K27" s="56" t="str">
        <f aca="false">IF($A27="","",$B27-$E$57-$F$57)</f>
        <v/>
      </c>
      <c r="L27" s="54" t="str">
        <f aca="false">IF($A27="","",$L$57*$D27)</f>
        <v/>
      </c>
      <c r="M27" s="56" t="str">
        <f aca="false">IF($A27="","",($C27-$E$58-$F$58-$G$58-$H$58-$I$58)/4)</f>
        <v/>
      </c>
      <c r="N27" s="54" t="str">
        <f aca="false">IF($A27="","",$L$58*$D27)</f>
        <v/>
      </c>
      <c r="O27" s="56" t="str">
        <f aca="false">IF($A27="","",$B27-$E$59-$F$59)</f>
        <v/>
      </c>
      <c r="P27" s="54" t="str">
        <f aca="false">IF($A27="","",$L$59*$D27)</f>
        <v/>
      </c>
      <c r="Q27" s="56"/>
      <c r="R27" s="54"/>
      <c r="S27" s="56"/>
      <c r="T27" s="54"/>
      <c r="U27" s="56"/>
      <c r="V27" s="54"/>
      <c r="W27" s="56"/>
      <c r="X27" s="54"/>
      <c r="Y27" s="56"/>
      <c r="Z27" s="54"/>
      <c r="AA27" s="56"/>
      <c r="AB27" s="54"/>
      <c r="AC27" s="56"/>
      <c r="AD27" s="54"/>
      <c r="AE27" s="57" t="str">
        <f aca="false">IF($A27="","",$B27-35-35)</f>
        <v/>
      </c>
      <c r="AF27" s="58" t="str">
        <f aca="false">IF($A27="","",$M27-10-10)</f>
        <v/>
      </c>
      <c r="AG27" s="59" t="str">
        <f aca="false">IF($A27="","",4*$D27)</f>
        <v/>
      </c>
    </row>
    <row r="28" customFormat="false" ht="39.75" hidden="false" customHeight="true" outlineLevel="0" collapsed="false">
      <c r="A28" s="52"/>
      <c r="B28" s="53"/>
      <c r="C28" s="54"/>
      <c r="D28" s="55"/>
      <c r="E28" s="60" t="str">
        <f aca="false">IF($A28="","",$B28)</f>
        <v/>
      </c>
      <c r="F28" s="61" t="str">
        <f aca="false">IF($A28="","",$L$54*$D28)</f>
        <v/>
      </c>
      <c r="G28" s="60" t="str">
        <f aca="false">IF($A28="","",$C28-$E$55-$F$55)</f>
        <v/>
      </c>
      <c r="H28" s="61" t="str">
        <f aca="false">IF($A28="","",$L$55*$D28)</f>
        <v/>
      </c>
      <c r="I28" s="60" t="str">
        <f aca="false">IF($A28="","",$C28-$E$56-$F$56)</f>
        <v/>
      </c>
      <c r="J28" s="61" t="str">
        <f aca="false">IF($A28="","",$L$56*$D28)</f>
        <v/>
      </c>
      <c r="K28" s="60" t="str">
        <f aca="false">IF($A28="","",$B28-$E$57-$F$57)</f>
        <v/>
      </c>
      <c r="L28" s="61" t="str">
        <f aca="false">IF($A28="","",$L$57*$D28)</f>
        <v/>
      </c>
      <c r="M28" s="60" t="str">
        <f aca="false">IF($A28="","",($C28-$E$58-$F$58-$G$58-$H$58-$I$58)/4)</f>
        <v/>
      </c>
      <c r="N28" s="61" t="str">
        <f aca="false">IF($A28="","",$L$58*$D28)</f>
        <v/>
      </c>
      <c r="O28" s="60" t="str">
        <f aca="false">IF($A28="","",$B28-$E$59-$F$59)</f>
        <v/>
      </c>
      <c r="P28" s="61" t="str">
        <f aca="false">IF($A28="","",$L$59*$D28)</f>
        <v/>
      </c>
      <c r="Q28" s="60"/>
      <c r="R28" s="61"/>
      <c r="S28" s="60"/>
      <c r="T28" s="61"/>
      <c r="U28" s="60"/>
      <c r="V28" s="61"/>
      <c r="W28" s="60"/>
      <c r="X28" s="61"/>
      <c r="Y28" s="60"/>
      <c r="Z28" s="61"/>
      <c r="AA28" s="60"/>
      <c r="AB28" s="61"/>
      <c r="AC28" s="60"/>
      <c r="AD28" s="61"/>
      <c r="AE28" s="57" t="str">
        <f aca="false">IF($A28="","",$B28-35-35)</f>
        <v/>
      </c>
      <c r="AF28" s="58" t="str">
        <f aca="false">IF($A28="","",$M28-10-10)</f>
        <v/>
      </c>
      <c r="AG28" s="59" t="str">
        <f aca="false">IF($A28="","",4*$D28)</f>
        <v/>
      </c>
    </row>
    <row r="29" customFormat="false" ht="39.75" hidden="false" customHeight="true" outlineLevel="0" collapsed="false"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3"/>
    </row>
    <row r="30" customFormat="false" ht="39.75" hidden="false" customHeight="true" outlineLevel="0" collapsed="false">
      <c r="A30" s="64" t="s">
        <v>64</v>
      </c>
      <c r="B30" s="64"/>
      <c r="C30" s="64"/>
      <c r="D30" s="64"/>
      <c r="E30" s="141" t="str">
        <f aca="false">E$7</f>
        <v>F7937</v>
      </c>
      <c r="F30" s="141"/>
      <c r="G30" s="141"/>
      <c r="H30" s="142" t="n">
        <f aca="false">(ROUNDUP(SUM(F49:H49)/6400,0))</f>
        <v>2</v>
      </c>
      <c r="I30" s="142" t="str">
        <f aca="false">I$7</f>
        <v>F7858</v>
      </c>
      <c r="J30" s="142" t="n">
        <f aca="false">(ROUNDUP(J49/6400,0))</f>
        <v>1</v>
      </c>
      <c r="K30" s="141" t="str">
        <f aca="false">K$7</f>
        <v>F7935</v>
      </c>
      <c r="L30" s="141"/>
      <c r="M30" s="141"/>
      <c r="N30" s="142" t="n">
        <f aca="false">(ROUNDUP(SUM(L49:N49)/6400,0))</f>
        <v>6</v>
      </c>
      <c r="O30" s="142" t="str">
        <f aca="false">O$7</f>
        <v>F7998</v>
      </c>
      <c r="P30" s="142" t="n">
        <f aca="false">(ROUNDUP(P49/6400,0))</f>
        <v>2</v>
      </c>
      <c r="Q30" s="161"/>
      <c r="R30" s="142" t="n">
        <f aca="false">(ROUNDUP(SUM(P49:R49)/6400,0))</f>
        <v>2</v>
      </c>
      <c r="S30" s="142" t="n">
        <f aca="false">S$7</f>
        <v>0</v>
      </c>
      <c r="T30" s="142" t="n">
        <f aca="false">(ROUNDUP(T49/6400,0))</f>
        <v>0</v>
      </c>
      <c r="U30" s="142" t="n">
        <f aca="false">U$7</f>
        <v>0</v>
      </c>
      <c r="V30" s="142" t="n">
        <f aca="false">(ROUNDUP(V49/6400,0))</f>
        <v>0</v>
      </c>
      <c r="W30" s="142" t="n">
        <f aca="false">W$7</f>
        <v>0</v>
      </c>
      <c r="X30" s="142" t="n">
        <f aca="false">(ROUNDUP(X49/6400,0))</f>
        <v>0</v>
      </c>
      <c r="Y30" s="142" t="n">
        <f aca="false">Y$7</f>
        <v>0</v>
      </c>
      <c r="Z30" s="142" t="n">
        <f aca="false">(ROUNDUP(Z49/6400,0))</f>
        <v>0</v>
      </c>
      <c r="AA30" s="142" t="n">
        <f aca="false">AA$7</f>
        <v>0</v>
      </c>
      <c r="AB30" s="142" t="n">
        <f aca="false">(ROUNDUP(AB49/6400,0))</f>
        <v>0</v>
      </c>
      <c r="AC30" s="142" t="n">
        <f aca="false">AC$7</f>
        <v>0</v>
      </c>
      <c r="AD30" s="142" t="n">
        <f aca="false">(ROUNDUP(AD49/6400,0))</f>
        <v>0</v>
      </c>
    </row>
    <row r="31" customFormat="false" ht="39.75" hidden="true" customHeight="true" outlineLevel="0" collapsed="false">
      <c r="F31" s="67" t="n">
        <f aca="false">IF($A11="","",F11*E11)</f>
        <v>6000</v>
      </c>
      <c r="G31" s="67"/>
      <c r="H31" s="67" t="n">
        <f aca="false">IF($A11="","",H11*G11)</f>
        <v>4698</v>
      </c>
      <c r="I31" s="67"/>
      <c r="J31" s="67" t="n">
        <f aca="false">IF($A11="","",J11*I11)</f>
        <v>4698</v>
      </c>
      <c r="K31" s="67"/>
      <c r="L31" s="67" t="n">
        <f aca="false">IF($A11="","",L11*K11)</f>
        <v>23280</v>
      </c>
      <c r="M31" s="67"/>
      <c r="N31" s="67" t="n">
        <f aca="false">IF($A11="","",N11*M11)</f>
        <v>9246</v>
      </c>
      <c r="O31" s="67"/>
      <c r="P31" s="67" t="n">
        <f aca="false">IF($A11="","",P11*O11)</f>
        <v>8850</v>
      </c>
      <c r="Q31" s="67"/>
      <c r="R31" s="67" t="n">
        <f aca="false">IF($A11="","",R11*Q11)</f>
        <v>0</v>
      </c>
      <c r="S31" s="67"/>
      <c r="T31" s="67" t="n">
        <f aca="false">IF($A11="","",T11*S11)</f>
        <v>0</v>
      </c>
      <c r="U31" s="67"/>
      <c r="V31" s="67" t="n">
        <f aca="false">IF($A11="","",V11*U11)</f>
        <v>0</v>
      </c>
      <c r="W31" s="67"/>
      <c r="X31" s="67" t="n">
        <f aca="false">IF($A11="","",X11*W11)</f>
        <v>0</v>
      </c>
      <c r="Y31" s="67"/>
      <c r="Z31" s="67" t="n">
        <f aca="false">IF($A11="","",Z11*Y11)</f>
        <v>0</v>
      </c>
      <c r="AA31" s="67"/>
      <c r="AB31" s="67" t="n">
        <f aca="false">IF($A11="","",AB11*AA11)</f>
        <v>0</v>
      </c>
      <c r="AC31" s="67"/>
      <c r="AD31" s="67" t="n">
        <f aca="false">IF($A11="","",AD11*AC11)</f>
        <v>0</v>
      </c>
    </row>
    <row r="32" customFormat="false" ht="39.75" hidden="true" customHeight="true" outlineLevel="0" collapsed="false">
      <c r="F32" s="67" t="str">
        <f aca="false">IF($A12="","",F12*E12)</f>
        <v/>
      </c>
      <c r="G32" s="67"/>
      <c r="H32" s="67" t="str">
        <f aca="false">IF($A12="","",H12*G12)</f>
        <v/>
      </c>
      <c r="I32" s="67"/>
      <c r="J32" s="67" t="str">
        <f aca="false">IF($A12="","",J12*I12)</f>
        <v/>
      </c>
      <c r="K32" s="67"/>
      <c r="L32" s="67" t="str">
        <f aca="false">IF($A12="","",L12*K12)</f>
        <v/>
      </c>
      <c r="M32" s="67"/>
      <c r="N32" s="67" t="str">
        <f aca="false">IF($A12="","",N12*M12)</f>
        <v/>
      </c>
      <c r="O32" s="67"/>
      <c r="P32" s="67" t="str">
        <f aca="false">IF($A12="","",P12*O12)</f>
        <v/>
      </c>
      <c r="Q32" s="67"/>
      <c r="R32" s="67" t="str">
        <f aca="false">IF($A12="","",R12*Q12)</f>
        <v/>
      </c>
      <c r="S32" s="67"/>
      <c r="T32" s="67" t="str">
        <f aca="false">IF($A12="","",T12*S12)</f>
        <v/>
      </c>
      <c r="U32" s="67"/>
      <c r="V32" s="67" t="str">
        <f aca="false">IF($A12="","",V12*U12)</f>
        <v/>
      </c>
      <c r="W32" s="67"/>
      <c r="X32" s="67" t="str">
        <f aca="false">IF($A12="","",X12*W12)</f>
        <v/>
      </c>
      <c r="Y32" s="67"/>
      <c r="Z32" s="67" t="str">
        <f aca="false">IF($A12="","",Z12*Y12)</f>
        <v/>
      </c>
      <c r="AA32" s="67"/>
      <c r="AB32" s="67" t="str">
        <f aca="false">IF($A12="","",AB12*AA12)</f>
        <v/>
      </c>
      <c r="AC32" s="67"/>
      <c r="AD32" s="67" t="str">
        <f aca="false">IF($A12="","",AD12*AC12)</f>
        <v/>
      </c>
    </row>
    <row r="33" customFormat="false" ht="39.75" hidden="true" customHeight="true" outlineLevel="0" collapsed="false">
      <c r="F33" s="67" t="str">
        <f aca="false">IF($A13="","",F13*E13)</f>
        <v/>
      </c>
      <c r="G33" s="67"/>
      <c r="H33" s="67" t="str">
        <f aca="false">IF($A13="","",H13*G13)</f>
        <v/>
      </c>
      <c r="I33" s="67"/>
      <c r="J33" s="67" t="str">
        <f aca="false">IF($A13="","",J13*I13)</f>
        <v/>
      </c>
      <c r="K33" s="67"/>
      <c r="L33" s="67" t="str">
        <f aca="false">IF($A13="","",L13*K13)</f>
        <v/>
      </c>
      <c r="M33" s="67"/>
      <c r="N33" s="67" t="str">
        <f aca="false">IF($A13="","",N13*M13)</f>
        <v/>
      </c>
      <c r="O33" s="67"/>
      <c r="P33" s="67" t="str">
        <f aca="false">IF($A13="","",P13*O13)</f>
        <v/>
      </c>
      <c r="Q33" s="67"/>
      <c r="R33" s="67" t="str">
        <f aca="false">IF($A13="","",R13*Q13)</f>
        <v/>
      </c>
      <c r="S33" s="67"/>
      <c r="T33" s="67" t="str">
        <f aca="false">IF($A13="","",T13*S13)</f>
        <v/>
      </c>
      <c r="U33" s="67"/>
      <c r="V33" s="67" t="str">
        <f aca="false">IF($A13="","",V13*U13)</f>
        <v/>
      </c>
      <c r="W33" s="67"/>
      <c r="X33" s="67" t="str">
        <f aca="false">IF($A13="","",X13*W13)</f>
        <v/>
      </c>
      <c r="Y33" s="67"/>
      <c r="Z33" s="67" t="str">
        <f aca="false">IF($A13="","",Z13*Y13)</f>
        <v/>
      </c>
      <c r="AA33" s="67"/>
      <c r="AB33" s="67" t="str">
        <f aca="false">IF($A13="","",AB13*AA13)</f>
        <v/>
      </c>
      <c r="AC33" s="67"/>
      <c r="AD33" s="67" t="str">
        <f aca="false">IF($A13="","",AD13*AC13)</f>
        <v/>
      </c>
    </row>
    <row r="34" customFormat="false" ht="39.75" hidden="true" customHeight="true" outlineLevel="0" collapsed="false">
      <c r="F34" s="67" t="str">
        <f aca="false">IF($A14="","",F14*E14)</f>
        <v/>
      </c>
      <c r="G34" s="67"/>
      <c r="H34" s="67" t="str">
        <f aca="false">IF($A14="","",H14*G14)</f>
        <v/>
      </c>
      <c r="I34" s="67"/>
      <c r="J34" s="67" t="str">
        <f aca="false">IF($A14="","",J14*I14)</f>
        <v/>
      </c>
      <c r="K34" s="67"/>
      <c r="L34" s="67" t="str">
        <f aca="false">IF($A14="","",L14*K14)</f>
        <v/>
      </c>
      <c r="M34" s="67"/>
      <c r="N34" s="67" t="str">
        <f aca="false">IF($A14="","",N14*M14)</f>
        <v/>
      </c>
      <c r="O34" s="67"/>
      <c r="P34" s="67" t="str">
        <f aca="false">IF($A14="","",P14*O14)</f>
        <v/>
      </c>
      <c r="Q34" s="67"/>
      <c r="R34" s="67" t="str">
        <f aca="false">IF($A14="","",R14*Q14)</f>
        <v/>
      </c>
      <c r="S34" s="67"/>
      <c r="T34" s="67" t="str">
        <f aca="false">IF($A14="","",T14*S14)</f>
        <v/>
      </c>
      <c r="U34" s="67"/>
      <c r="V34" s="67" t="str">
        <f aca="false">IF($A14="","",V14*U14)</f>
        <v/>
      </c>
      <c r="W34" s="67"/>
      <c r="X34" s="67" t="str">
        <f aca="false">IF($A14="","",X14*W14)</f>
        <v/>
      </c>
      <c r="Y34" s="67"/>
      <c r="Z34" s="67" t="str">
        <f aca="false">IF($A14="","",Z14*Y14)</f>
        <v/>
      </c>
      <c r="AA34" s="67"/>
      <c r="AB34" s="67" t="str">
        <f aca="false">IF($A14="","",AB14*AA14)</f>
        <v/>
      </c>
      <c r="AC34" s="67"/>
      <c r="AD34" s="67" t="str">
        <f aca="false">IF($A14="","",AD14*AC14)</f>
        <v/>
      </c>
    </row>
    <row r="35" customFormat="false" ht="39.75" hidden="true" customHeight="true" outlineLevel="0" collapsed="false">
      <c r="F35" s="67" t="str">
        <f aca="false">IF($A15="","",F15*E15)</f>
        <v/>
      </c>
      <c r="G35" s="67"/>
      <c r="H35" s="67" t="str">
        <f aca="false">IF($A15="","",H15*G15)</f>
        <v/>
      </c>
      <c r="I35" s="67"/>
      <c r="J35" s="67" t="str">
        <f aca="false">IF($A15="","",J15*I15)</f>
        <v/>
      </c>
      <c r="K35" s="67"/>
      <c r="L35" s="67" t="str">
        <f aca="false">IF($A15="","",L15*K15)</f>
        <v/>
      </c>
      <c r="M35" s="67"/>
      <c r="N35" s="67" t="str">
        <f aca="false">IF($A15="","",N15*M15)</f>
        <v/>
      </c>
      <c r="O35" s="67"/>
      <c r="P35" s="67" t="str">
        <f aca="false">IF($A15="","",P15*O15)</f>
        <v/>
      </c>
      <c r="Q35" s="67"/>
      <c r="R35" s="67" t="str">
        <f aca="false">IF($A15="","",R15*Q15)</f>
        <v/>
      </c>
      <c r="S35" s="67"/>
      <c r="T35" s="67" t="str">
        <f aca="false">IF($A15="","",T15*S15)</f>
        <v/>
      </c>
      <c r="U35" s="67"/>
      <c r="V35" s="67" t="str">
        <f aca="false">IF($A15="","",V15*U15)</f>
        <v/>
      </c>
      <c r="W35" s="67"/>
      <c r="X35" s="67" t="str">
        <f aca="false">IF($A15="","",X15*W15)</f>
        <v/>
      </c>
      <c r="Y35" s="67"/>
      <c r="Z35" s="67" t="str">
        <f aca="false">IF($A15="","",Z15*Y15)</f>
        <v/>
      </c>
      <c r="AA35" s="67"/>
      <c r="AB35" s="67" t="str">
        <f aca="false">IF($A15="","",AB15*AA15)</f>
        <v/>
      </c>
      <c r="AC35" s="67"/>
      <c r="AD35" s="67" t="str">
        <f aca="false">IF($A15="","",AD15*AC15)</f>
        <v/>
      </c>
    </row>
    <row r="36" customFormat="false" ht="15" hidden="true" customHeight="true" outlineLevel="0" collapsed="false">
      <c r="F36" s="67" t="str">
        <f aca="false">IF($A16="","",F16*E16)</f>
        <v/>
      </c>
      <c r="G36" s="67"/>
      <c r="H36" s="67" t="str">
        <f aca="false">IF($A16="","",H16*G16)</f>
        <v/>
      </c>
      <c r="I36" s="67"/>
      <c r="J36" s="67" t="str">
        <f aca="false">IF($A16="","",J16*I16)</f>
        <v/>
      </c>
      <c r="K36" s="67"/>
      <c r="L36" s="67" t="str">
        <f aca="false">IF($A16="","",L16*K16)</f>
        <v/>
      </c>
      <c r="M36" s="67"/>
      <c r="N36" s="67" t="str">
        <f aca="false">IF($A16="","",N16*M16)</f>
        <v/>
      </c>
      <c r="O36" s="67"/>
      <c r="P36" s="67" t="str">
        <f aca="false">IF($A16="","",P16*O16)</f>
        <v/>
      </c>
      <c r="Q36" s="67"/>
      <c r="R36" s="67" t="str">
        <f aca="false">IF($A16="","",R16*Q16)</f>
        <v/>
      </c>
      <c r="S36" s="67"/>
      <c r="T36" s="67" t="str">
        <f aca="false">IF($A16="","",T16*S16)</f>
        <v/>
      </c>
      <c r="U36" s="67"/>
      <c r="V36" s="67" t="str">
        <f aca="false">IF($A16="","",V16*U16)</f>
        <v/>
      </c>
      <c r="W36" s="67"/>
      <c r="X36" s="67" t="str">
        <f aca="false">IF($A16="","",X16*W16)</f>
        <v/>
      </c>
      <c r="Y36" s="67"/>
      <c r="Z36" s="67" t="str">
        <f aca="false">IF($A16="","",Z16*Y16)</f>
        <v/>
      </c>
      <c r="AA36" s="67"/>
      <c r="AB36" s="67" t="str">
        <f aca="false">IF($A16="","",AB16*AA16)</f>
        <v/>
      </c>
      <c r="AC36" s="67"/>
      <c r="AD36" s="67" t="str">
        <f aca="false">IF($A16="","",AD16*AC16)</f>
        <v/>
      </c>
    </row>
    <row r="37" customFormat="false" ht="15" hidden="true" customHeight="true" outlineLevel="0" collapsed="false">
      <c r="F37" s="67" t="str">
        <f aca="false">IF($A17="","",F17*E17)</f>
        <v/>
      </c>
      <c r="G37" s="67"/>
      <c r="H37" s="67" t="str">
        <f aca="false">IF($A17="","",H17*G17)</f>
        <v/>
      </c>
      <c r="I37" s="67"/>
      <c r="J37" s="67" t="str">
        <f aca="false">IF($A17="","",J17*I17)</f>
        <v/>
      </c>
      <c r="K37" s="67"/>
      <c r="L37" s="67" t="str">
        <f aca="false">IF($A17="","",L17*K17)</f>
        <v/>
      </c>
      <c r="M37" s="67"/>
      <c r="N37" s="67" t="str">
        <f aca="false">IF($A17="","",N17*M17)</f>
        <v/>
      </c>
      <c r="O37" s="67"/>
      <c r="P37" s="67" t="str">
        <f aca="false">IF($A17="","",P17*O17)</f>
        <v/>
      </c>
      <c r="Q37" s="67"/>
      <c r="R37" s="67" t="str">
        <f aca="false">IF($A17="","",R17*Q17)</f>
        <v/>
      </c>
      <c r="S37" s="67"/>
      <c r="T37" s="67" t="str">
        <f aca="false">IF($A17="","",T17*S17)</f>
        <v/>
      </c>
      <c r="U37" s="67"/>
      <c r="V37" s="67" t="str">
        <f aca="false">IF($A17="","",V17*U17)</f>
        <v/>
      </c>
      <c r="W37" s="67"/>
      <c r="X37" s="67" t="str">
        <f aca="false">IF($A17="","",X17*W17)</f>
        <v/>
      </c>
      <c r="Y37" s="67"/>
      <c r="Z37" s="67" t="str">
        <f aca="false">IF($A17="","",Z17*Y17)</f>
        <v/>
      </c>
      <c r="AA37" s="67"/>
      <c r="AB37" s="67" t="str">
        <f aca="false">IF($A17="","",AB17*AA17)</f>
        <v/>
      </c>
      <c r="AC37" s="67"/>
      <c r="AD37" s="67" t="str">
        <f aca="false">IF($A17="","",AD17*AC17)</f>
        <v/>
      </c>
    </row>
    <row r="38" customFormat="false" ht="15" hidden="true" customHeight="true" outlineLevel="0" collapsed="false">
      <c r="F38" s="67" t="str">
        <f aca="false">IF($A18="","",F18*E18)</f>
        <v/>
      </c>
      <c r="G38" s="67"/>
      <c r="H38" s="67" t="str">
        <f aca="false">IF($A18="","",H18*G18)</f>
        <v/>
      </c>
      <c r="I38" s="67"/>
      <c r="J38" s="67" t="str">
        <f aca="false">IF($A18="","",J18*I18)</f>
        <v/>
      </c>
      <c r="K38" s="67"/>
      <c r="L38" s="67" t="str">
        <f aca="false">IF($A18="","",L18*K18)</f>
        <v/>
      </c>
      <c r="M38" s="67"/>
      <c r="N38" s="67" t="str">
        <f aca="false">IF($A18="","",N18*M18)</f>
        <v/>
      </c>
      <c r="O38" s="67"/>
      <c r="P38" s="67" t="str">
        <f aca="false">IF($A18="","",P18*O18)</f>
        <v/>
      </c>
      <c r="Q38" s="67"/>
      <c r="R38" s="67" t="str">
        <f aca="false">IF($A18="","",R18*Q18)</f>
        <v/>
      </c>
      <c r="S38" s="67"/>
      <c r="T38" s="67" t="str">
        <f aca="false">IF($A18="","",T18*S18)</f>
        <v/>
      </c>
      <c r="U38" s="67"/>
      <c r="V38" s="67" t="str">
        <f aca="false">IF($A18="","",V18*U18)</f>
        <v/>
      </c>
      <c r="W38" s="67"/>
      <c r="X38" s="67" t="str">
        <f aca="false">IF($A18="","",X18*W18)</f>
        <v/>
      </c>
      <c r="Y38" s="67"/>
      <c r="Z38" s="67" t="str">
        <f aca="false">IF($A18="","",Z18*Y18)</f>
        <v/>
      </c>
      <c r="AA38" s="67"/>
      <c r="AB38" s="67" t="str">
        <f aca="false">IF($A18="","",AB18*AA18)</f>
        <v/>
      </c>
      <c r="AC38" s="67"/>
      <c r="AD38" s="67" t="str">
        <f aca="false">IF($A18="","",AD18*AC18)</f>
        <v/>
      </c>
    </row>
    <row r="39" customFormat="false" ht="15" hidden="true" customHeight="true" outlineLevel="0" collapsed="false">
      <c r="F39" s="67" t="str">
        <f aca="false">IF($A19="","",F19*E19)</f>
        <v/>
      </c>
      <c r="G39" s="67"/>
      <c r="H39" s="67" t="str">
        <f aca="false">IF($A19="","",H19*G19)</f>
        <v/>
      </c>
      <c r="I39" s="67"/>
      <c r="J39" s="67" t="str">
        <f aca="false">IF($A19="","",J19*I19)</f>
        <v/>
      </c>
      <c r="K39" s="67"/>
      <c r="L39" s="67" t="str">
        <f aca="false">IF($A19="","",L19*K19)</f>
        <v/>
      </c>
      <c r="M39" s="67"/>
      <c r="N39" s="67" t="str">
        <f aca="false">IF($A19="","",N19*M19)</f>
        <v/>
      </c>
      <c r="O39" s="67"/>
      <c r="P39" s="67" t="str">
        <f aca="false">IF($A19="","",P19*O19)</f>
        <v/>
      </c>
      <c r="Q39" s="67"/>
      <c r="R39" s="67" t="str">
        <f aca="false">IF($A19="","",R19*Q19)</f>
        <v/>
      </c>
      <c r="S39" s="67"/>
      <c r="T39" s="67" t="str">
        <f aca="false">IF($A19="","",T19*S19)</f>
        <v/>
      </c>
      <c r="U39" s="67"/>
      <c r="V39" s="67" t="str">
        <f aca="false">IF($A19="","",V19*U19)</f>
        <v/>
      </c>
      <c r="W39" s="67"/>
      <c r="X39" s="67" t="str">
        <f aca="false">IF($A19="","",X19*W19)</f>
        <v/>
      </c>
      <c r="Y39" s="67"/>
      <c r="Z39" s="67" t="str">
        <f aca="false">IF($A19="","",Z19*Y19)</f>
        <v/>
      </c>
      <c r="AA39" s="67"/>
      <c r="AB39" s="67" t="str">
        <f aca="false">IF($A19="","",AB19*AA19)</f>
        <v/>
      </c>
      <c r="AC39" s="67"/>
      <c r="AD39" s="67" t="str">
        <f aca="false">IF($A19="","",AD19*AC19)</f>
        <v/>
      </c>
    </row>
    <row r="40" customFormat="false" ht="15" hidden="true" customHeight="true" outlineLevel="0" collapsed="false">
      <c r="F40" s="67" t="str">
        <f aca="false">IF($A20="","",F20*E20)</f>
        <v/>
      </c>
      <c r="G40" s="67"/>
      <c r="H40" s="67" t="str">
        <f aca="false">IF($A20="","",H20*G20)</f>
        <v/>
      </c>
      <c r="I40" s="67"/>
      <c r="J40" s="67" t="str">
        <f aca="false">IF($A20="","",J20*I20)</f>
        <v/>
      </c>
      <c r="K40" s="67"/>
      <c r="L40" s="67" t="str">
        <f aca="false">IF($A20="","",L20*K20)</f>
        <v/>
      </c>
      <c r="M40" s="67"/>
      <c r="N40" s="67" t="str">
        <f aca="false">IF($A20="","",N20*M20)</f>
        <v/>
      </c>
      <c r="O40" s="67"/>
      <c r="P40" s="67" t="str">
        <f aca="false">IF($A20="","",P20*O20)</f>
        <v/>
      </c>
      <c r="Q40" s="67"/>
      <c r="R40" s="67" t="str">
        <f aca="false">IF($A20="","",R20*Q20)</f>
        <v/>
      </c>
      <c r="S40" s="67"/>
      <c r="T40" s="67" t="str">
        <f aca="false">IF($A20="","",T20*S20)</f>
        <v/>
      </c>
      <c r="U40" s="67"/>
      <c r="V40" s="67" t="str">
        <f aca="false">IF($A20="","",V20*U20)</f>
        <v/>
      </c>
      <c r="W40" s="67"/>
      <c r="X40" s="67" t="str">
        <f aca="false">IF($A20="","",X20*W20)</f>
        <v/>
      </c>
      <c r="Y40" s="67"/>
      <c r="Z40" s="67" t="str">
        <f aca="false">IF($A20="","",Z20*Y20)</f>
        <v/>
      </c>
      <c r="AA40" s="67"/>
      <c r="AB40" s="67" t="str">
        <f aca="false">IF($A20="","",AB20*AA20)</f>
        <v/>
      </c>
      <c r="AC40" s="67"/>
      <c r="AD40" s="67" t="str">
        <f aca="false">IF($A20="","",AD20*AC20)</f>
        <v/>
      </c>
    </row>
    <row r="41" customFormat="false" ht="15" hidden="true" customHeight="true" outlineLevel="0" collapsed="false">
      <c r="F41" s="67" t="str">
        <f aca="false">IF($A21="","",F21*E21)</f>
        <v/>
      </c>
      <c r="G41" s="67"/>
      <c r="H41" s="67" t="str">
        <f aca="false">IF($A21="","",H21*G21)</f>
        <v/>
      </c>
      <c r="I41" s="67"/>
      <c r="J41" s="67" t="str">
        <f aca="false">IF($A21="","",J21*I21)</f>
        <v/>
      </c>
      <c r="K41" s="67"/>
      <c r="L41" s="67" t="str">
        <f aca="false">IF($A21="","",L21*K21)</f>
        <v/>
      </c>
      <c r="M41" s="67"/>
      <c r="N41" s="67" t="str">
        <f aca="false">IF($A21="","",N21*M21)</f>
        <v/>
      </c>
      <c r="O41" s="67"/>
      <c r="P41" s="67" t="str">
        <f aca="false">IF($A21="","",P21*O21)</f>
        <v/>
      </c>
      <c r="Q41" s="67"/>
      <c r="R41" s="67" t="str">
        <f aca="false">IF($A21="","",R21*Q21)</f>
        <v/>
      </c>
      <c r="S41" s="67"/>
      <c r="T41" s="67" t="str">
        <f aca="false">IF($A21="","",T21*S21)</f>
        <v/>
      </c>
      <c r="U41" s="67"/>
      <c r="V41" s="67" t="str">
        <f aca="false">IF($A21="","",V21*U21)</f>
        <v/>
      </c>
      <c r="W41" s="67"/>
      <c r="X41" s="67" t="str">
        <f aca="false">IF($A21="","",X21*W21)</f>
        <v/>
      </c>
      <c r="Y41" s="67"/>
      <c r="Z41" s="67" t="str">
        <f aca="false">IF($A21="","",Z21*Y21)</f>
        <v/>
      </c>
      <c r="AA41" s="67"/>
      <c r="AB41" s="67" t="str">
        <f aca="false">IF($A21="","",AB21*AA21)</f>
        <v/>
      </c>
      <c r="AC41" s="67"/>
      <c r="AD41" s="67" t="str">
        <f aca="false">IF($A21="","",AD21*AC21)</f>
        <v/>
      </c>
    </row>
    <row r="42" customFormat="false" ht="15" hidden="true" customHeight="true" outlineLevel="0" collapsed="false">
      <c r="F42" s="67" t="str">
        <f aca="false">IF($A22="","",F22*E22)</f>
        <v/>
      </c>
      <c r="G42" s="67"/>
      <c r="H42" s="67" t="str">
        <f aca="false">IF($A22="","",H22*G22)</f>
        <v/>
      </c>
      <c r="I42" s="67"/>
      <c r="J42" s="67" t="str">
        <f aca="false">IF($A22="","",J22*I22)</f>
        <v/>
      </c>
      <c r="K42" s="67"/>
      <c r="L42" s="67" t="str">
        <f aca="false">IF($A22="","",L22*K22)</f>
        <v/>
      </c>
      <c r="M42" s="67"/>
      <c r="N42" s="67" t="str">
        <f aca="false">IF($A22="","",N22*M22)</f>
        <v/>
      </c>
      <c r="O42" s="67"/>
      <c r="P42" s="67" t="str">
        <f aca="false">IF($A22="","",P22*O22)</f>
        <v/>
      </c>
      <c r="Q42" s="67"/>
      <c r="R42" s="67" t="str">
        <f aca="false">IF($A22="","",R22*Q22)</f>
        <v/>
      </c>
      <c r="S42" s="67"/>
      <c r="T42" s="67" t="str">
        <f aca="false">IF($A22="","",T22*S22)</f>
        <v/>
      </c>
      <c r="U42" s="67"/>
      <c r="V42" s="67" t="str">
        <f aca="false">IF($A22="","",V22*U22)</f>
        <v/>
      </c>
      <c r="W42" s="67"/>
      <c r="X42" s="67" t="str">
        <f aca="false">IF($A22="","",X22*W22)</f>
        <v/>
      </c>
      <c r="Y42" s="67"/>
      <c r="Z42" s="67" t="str">
        <f aca="false">IF($A22="","",Z22*Y22)</f>
        <v/>
      </c>
      <c r="AA42" s="67"/>
      <c r="AB42" s="67" t="str">
        <f aca="false">IF($A22="","",AB22*AA22)</f>
        <v/>
      </c>
      <c r="AC42" s="67"/>
      <c r="AD42" s="67" t="str">
        <f aca="false">IF($A22="","",AD22*AC22)</f>
        <v/>
      </c>
    </row>
    <row r="43" customFormat="false" ht="15" hidden="true" customHeight="true" outlineLevel="0" collapsed="false">
      <c r="F43" s="67" t="str">
        <f aca="false">IF($A23="","",F23*E23)</f>
        <v/>
      </c>
      <c r="G43" s="67"/>
      <c r="H43" s="67" t="str">
        <f aca="false">IF($A23="","",H23*G23)</f>
        <v/>
      </c>
      <c r="I43" s="67"/>
      <c r="J43" s="67" t="str">
        <f aca="false">IF($A23="","",J23*I23)</f>
        <v/>
      </c>
      <c r="K43" s="67"/>
      <c r="L43" s="67" t="str">
        <f aca="false">IF($A23="","",L23*K23)</f>
        <v/>
      </c>
      <c r="M43" s="67"/>
      <c r="N43" s="67" t="str">
        <f aca="false">IF($A23="","",N23*M23)</f>
        <v/>
      </c>
      <c r="O43" s="67"/>
      <c r="P43" s="67" t="str">
        <f aca="false">IF($A23="","",P23*O23)</f>
        <v/>
      </c>
      <c r="Q43" s="67"/>
      <c r="R43" s="67" t="str">
        <f aca="false">IF($A23="","",R23*Q23)</f>
        <v/>
      </c>
      <c r="S43" s="67"/>
      <c r="T43" s="67" t="str">
        <f aca="false">IF($A23="","",T23*S23)</f>
        <v/>
      </c>
      <c r="U43" s="67"/>
      <c r="V43" s="67" t="str">
        <f aca="false">IF($A23="","",V23*U23)</f>
        <v/>
      </c>
      <c r="W43" s="67"/>
      <c r="X43" s="67" t="str">
        <f aca="false">IF($A23="","",X23*W23)</f>
        <v/>
      </c>
      <c r="Y43" s="67"/>
      <c r="Z43" s="67" t="str">
        <f aca="false">IF($A23="","",Z23*Y23)</f>
        <v/>
      </c>
      <c r="AA43" s="67"/>
      <c r="AB43" s="67" t="str">
        <f aca="false">IF($A23="","",AB23*AA23)</f>
        <v/>
      </c>
      <c r="AC43" s="67"/>
      <c r="AD43" s="67" t="str">
        <f aca="false">IF($A23="","",AD23*AC23)</f>
        <v/>
      </c>
    </row>
    <row r="44" customFormat="false" ht="15" hidden="true" customHeight="true" outlineLevel="0" collapsed="false">
      <c r="F44" s="67" t="str">
        <f aca="false">IF($A24="","",F24*E24)</f>
        <v/>
      </c>
      <c r="G44" s="67"/>
      <c r="H44" s="67" t="str">
        <f aca="false">IF($A24="","",H24*G24)</f>
        <v/>
      </c>
      <c r="I44" s="67"/>
      <c r="J44" s="67" t="str">
        <f aca="false">IF($A24="","",J24*I24)</f>
        <v/>
      </c>
      <c r="K44" s="67"/>
      <c r="L44" s="67" t="str">
        <f aca="false">IF($A24="","",L24*K24)</f>
        <v/>
      </c>
      <c r="M44" s="67"/>
      <c r="N44" s="67" t="str">
        <f aca="false">IF($A24="","",N24*M24)</f>
        <v/>
      </c>
      <c r="O44" s="67"/>
      <c r="P44" s="67" t="str">
        <f aca="false">IF($A24="","",P24*O24)</f>
        <v/>
      </c>
      <c r="Q44" s="67"/>
      <c r="R44" s="67" t="str">
        <f aca="false">IF($A24="","",R24*Q24)</f>
        <v/>
      </c>
      <c r="S44" s="67"/>
      <c r="T44" s="67" t="str">
        <f aca="false">IF($A24="","",T24*S24)</f>
        <v/>
      </c>
      <c r="U44" s="67"/>
      <c r="V44" s="67" t="str">
        <f aca="false">IF($A24="","",V24*U24)</f>
        <v/>
      </c>
      <c r="W44" s="67"/>
      <c r="X44" s="67" t="str">
        <f aca="false">IF($A24="","",X24*W24)</f>
        <v/>
      </c>
      <c r="Y44" s="67"/>
      <c r="Z44" s="67" t="str">
        <f aca="false">IF($A24="","",Z24*Y24)</f>
        <v/>
      </c>
      <c r="AA44" s="67"/>
      <c r="AB44" s="67" t="str">
        <f aca="false">IF($A24="","",AB24*AA24)</f>
        <v/>
      </c>
      <c r="AC44" s="67"/>
      <c r="AD44" s="67" t="str">
        <f aca="false">IF($A24="","",AD24*AC24)</f>
        <v/>
      </c>
    </row>
    <row r="45" customFormat="false" ht="15" hidden="true" customHeight="true" outlineLevel="0" collapsed="false">
      <c r="F45" s="67" t="str">
        <f aca="false">IF($A25="","",F25*E25)</f>
        <v/>
      </c>
      <c r="G45" s="67"/>
      <c r="H45" s="67" t="str">
        <f aca="false">IF($A25="","",H25*G25)</f>
        <v/>
      </c>
      <c r="I45" s="67"/>
      <c r="J45" s="67" t="str">
        <f aca="false">IF($A25="","",J25*I25)</f>
        <v/>
      </c>
      <c r="K45" s="67"/>
      <c r="L45" s="67" t="str">
        <f aca="false">IF($A25="","",L25*K25)</f>
        <v/>
      </c>
      <c r="M45" s="67"/>
      <c r="N45" s="67" t="str">
        <f aca="false">IF($A25="","",N25*M25)</f>
        <v/>
      </c>
      <c r="O45" s="67"/>
      <c r="P45" s="67" t="str">
        <f aca="false">IF($A25="","",P25*O25)</f>
        <v/>
      </c>
      <c r="Q45" s="67"/>
      <c r="R45" s="67" t="str">
        <f aca="false">IF($A25="","",R25*Q25)</f>
        <v/>
      </c>
      <c r="S45" s="67"/>
      <c r="T45" s="67" t="str">
        <f aca="false">IF($A25="","",T25*S25)</f>
        <v/>
      </c>
      <c r="U45" s="67"/>
      <c r="V45" s="67" t="str">
        <f aca="false">IF($A25="","",V25*U25)</f>
        <v/>
      </c>
      <c r="W45" s="67"/>
      <c r="X45" s="67" t="str">
        <f aca="false">IF($A25="","",X25*W25)</f>
        <v/>
      </c>
      <c r="Y45" s="67"/>
      <c r="Z45" s="67" t="str">
        <f aca="false">IF($A25="","",Z25*Y25)</f>
        <v/>
      </c>
      <c r="AA45" s="67"/>
      <c r="AB45" s="67" t="str">
        <f aca="false">IF($A25="","",AB25*AA25)</f>
        <v/>
      </c>
      <c r="AC45" s="67"/>
      <c r="AD45" s="67" t="str">
        <f aca="false">IF($A25="","",AD25*AC25)</f>
        <v/>
      </c>
    </row>
    <row r="46" customFormat="false" ht="15" hidden="true" customHeight="true" outlineLevel="0" collapsed="false">
      <c r="F46" s="67" t="str">
        <f aca="false">IF($A26="","",F26*E26)</f>
        <v/>
      </c>
      <c r="G46" s="67"/>
      <c r="H46" s="67" t="str">
        <f aca="false">IF($A26="","",H26*G26)</f>
        <v/>
      </c>
      <c r="I46" s="67"/>
      <c r="J46" s="67" t="str">
        <f aca="false">IF($A26="","",J26*I26)</f>
        <v/>
      </c>
      <c r="K46" s="67"/>
      <c r="L46" s="67" t="str">
        <f aca="false">IF($A26="","",L26*K26)</f>
        <v/>
      </c>
      <c r="M46" s="67"/>
      <c r="N46" s="67" t="str">
        <f aca="false">IF($A26="","",N26*M26)</f>
        <v/>
      </c>
      <c r="O46" s="67"/>
      <c r="P46" s="67" t="str">
        <f aca="false">IF($A26="","",P26*O26)</f>
        <v/>
      </c>
      <c r="Q46" s="67"/>
      <c r="R46" s="67" t="str">
        <f aca="false">IF($A26="","",R26*Q26)</f>
        <v/>
      </c>
      <c r="S46" s="67"/>
      <c r="T46" s="67" t="str">
        <f aca="false">IF($A26="","",T26*S26)</f>
        <v/>
      </c>
      <c r="U46" s="67"/>
      <c r="V46" s="67" t="str">
        <f aca="false">IF($A26="","",V26*U26)</f>
        <v/>
      </c>
      <c r="W46" s="67"/>
      <c r="X46" s="67" t="str">
        <f aca="false">IF($A26="","",X26*W26)</f>
        <v/>
      </c>
      <c r="Y46" s="67"/>
      <c r="Z46" s="67" t="str">
        <f aca="false">IF($A26="","",Z26*Y26)</f>
        <v/>
      </c>
      <c r="AA46" s="67"/>
      <c r="AB46" s="67" t="str">
        <f aca="false">IF($A26="","",AB26*AA26)</f>
        <v/>
      </c>
      <c r="AC46" s="67"/>
      <c r="AD46" s="67" t="str">
        <f aca="false">IF($A26="","",AD26*AC26)</f>
        <v/>
      </c>
    </row>
    <row r="47" customFormat="false" ht="15" hidden="true" customHeight="true" outlineLevel="0" collapsed="false">
      <c r="F47" s="67" t="str">
        <f aca="false">IF($A27="","",F27*E27)</f>
        <v/>
      </c>
      <c r="G47" s="67"/>
      <c r="H47" s="67" t="str">
        <f aca="false">IF($A27="","",H27*G27)</f>
        <v/>
      </c>
      <c r="I47" s="67"/>
      <c r="J47" s="67" t="str">
        <f aca="false">IF($A27="","",J27*I27)</f>
        <v/>
      </c>
      <c r="K47" s="67"/>
      <c r="L47" s="67" t="str">
        <f aca="false">IF($A27="","",L27*K27)</f>
        <v/>
      </c>
      <c r="M47" s="67"/>
      <c r="N47" s="67" t="str">
        <f aca="false">IF($A27="","",N27*M27)</f>
        <v/>
      </c>
      <c r="O47" s="67"/>
      <c r="P47" s="67" t="str">
        <f aca="false">IF($A27="","",P27*O27)</f>
        <v/>
      </c>
      <c r="Q47" s="67"/>
      <c r="R47" s="67" t="str">
        <f aca="false">IF($A27="","",R27*Q27)</f>
        <v/>
      </c>
      <c r="S47" s="67"/>
      <c r="T47" s="67" t="str">
        <f aca="false">IF($A27="","",T27*S27)</f>
        <v/>
      </c>
      <c r="U47" s="67"/>
      <c r="V47" s="67" t="str">
        <f aca="false">IF($A27="","",V27*U27)</f>
        <v/>
      </c>
      <c r="W47" s="67"/>
      <c r="X47" s="67" t="str">
        <f aca="false">IF($A27="","",X27*W27)</f>
        <v/>
      </c>
      <c r="Y47" s="67"/>
      <c r="Z47" s="67" t="str">
        <f aca="false">IF($A27="","",Z27*Y27)</f>
        <v/>
      </c>
      <c r="AA47" s="67"/>
      <c r="AB47" s="67" t="str">
        <f aca="false">IF($A27="","",AB27*AA27)</f>
        <v/>
      </c>
      <c r="AC47" s="67"/>
      <c r="AD47" s="67" t="str">
        <f aca="false">IF($A27="","",AD27*AC27)</f>
        <v/>
      </c>
    </row>
    <row r="48" customFormat="false" ht="15" hidden="true" customHeight="true" outlineLevel="0" collapsed="false">
      <c r="F48" s="67" t="str">
        <f aca="false">IF($A28="","",F28*E28)</f>
        <v/>
      </c>
      <c r="G48" s="67"/>
      <c r="H48" s="67" t="str">
        <f aca="false">IF($A28="","",H28*G28)</f>
        <v/>
      </c>
      <c r="I48" s="67"/>
      <c r="J48" s="67" t="str">
        <f aca="false">IF($A28="","",J28*I28)</f>
        <v/>
      </c>
      <c r="K48" s="67"/>
      <c r="L48" s="67" t="str">
        <f aca="false">IF($A28="","",L28*K28)</f>
        <v/>
      </c>
      <c r="M48" s="67"/>
      <c r="N48" s="67" t="str">
        <f aca="false">IF($A28="","",N28*M28)</f>
        <v/>
      </c>
      <c r="O48" s="67"/>
      <c r="P48" s="67" t="str">
        <f aca="false">IF($A28="","",P28*O28)</f>
        <v/>
      </c>
      <c r="Q48" s="67"/>
      <c r="R48" s="67" t="str">
        <f aca="false">IF($A28="","",R28*Q28)</f>
        <v/>
      </c>
      <c r="S48" s="67"/>
      <c r="T48" s="67" t="str">
        <f aca="false">IF($A28="","",T28*S28)</f>
        <v/>
      </c>
      <c r="U48" s="67"/>
      <c r="V48" s="67" t="str">
        <f aca="false">IF($A28="","",V28*U28)</f>
        <v/>
      </c>
      <c r="W48" s="67"/>
      <c r="X48" s="67" t="str">
        <f aca="false">IF($A28="","",X28*W28)</f>
        <v/>
      </c>
      <c r="Y48" s="67"/>
      <c r="Z48" s="67" t="str">
        <f aca="false">IF($A28="","",Z28*Y28)</f>
        <v/>
      </c>
      <c r="AA48" s="67"/>
      <c r="AB48" s="67" t="str">
        <f aca="false">IF($A28="","",AB28*AA28)</f>
        <v/>
      </c>
      <c r="AC48" s="67"/>
      <c r="AD48" s="67" t="str">
        <f aca="false">IF($A28="","",AD28*AC28)</f>
        <v/>
      </c>
    </row>
    <row r="49" customFormat="false" ht="15" hidden="true" customHeight="true" outlineLevel="0" collapsed="false">
      <c r="F49" s="68" t="n">
        <f aca="false">SUMIF(F31:F48,"&gt;0")</f>
        <v>6000</v>
      </c>
      <c r="G49" s="68"/>
      <c r="H49" s="68" t="n">
        <f aca="false">SUMIF(H31:H48,"&gt;0")</f>
        <v>4698</v>
      </c>
      <c r="I49" s="68"/>
      <c r="J49" s="68" t="n">
        <f aca="false">SUMIF(J31:J48,"&gt;0")</f>
        <v>4698</v>
      </c>
      <c r="L49" s="68" t="n">
        <f aca="false">SUMIF(L31:L48,"&gt;0")</f>
        <v>23280</v>
      </c>
      <c r="M49" s="68"/>
      <c r="N49" s="68" t="n">
        <f aca="false">SUMIF(N31:N48,"&gt;0")</f>
        <v>9246</v>
      </c>
      <c r="O49" s="68"/>
      <c r="P49" s="68" t="n">
        <f aca="false">SUMIF(P31:P48,"&gt;0")</f>
        <v>8850</v>
      </c>
      <c r="Q49" s="68"/>
      <c r="R49" s="68" t="n">
        <f aca="false">SUMIF(R31:R48,"&gt;0")</f>
        <v>0</v>
      </c>
      <c r="T49" s="68" t="n">
        <f aca="false">SUMIF(T31:T48,"&gt;0")</f>
        <v>0</v>
      </c>
      <c r="U49" s="68"/>
      <c r="V49" s="68" t="n">
        <f aca="false">SUMIF(V31:V48,"&gt;0")</f>
        <v>0</v>
      </c>
      <c r="W49" s="68"/>
      <c r="X49" s="68" t="n">
        <f aca="false">SUMIF(X31:X48,"&gt;0")</f>
        <v>0</v>
      </c>
      <c r="Z49" s="68" t="n">
        <f aca="false">SUMIF(Z31:Z48,"&gt;0")</f>
        <v>0</v>
      </c>
      <c r="AA49" s="68"/>
      <c r="AB49" s="68" t="n">
        <f aca="false">SUMIF(AB31:AB48,"&gt;0")</f>
        <v>0</v>
      </c>
      <c r="AD49" s="68" t="n">
        <f aca="false">SUMIF(AD31:AD48,"&gt;0")</f>
        <v>0</v>
      </c>
    </row>
    <row r="52" customFormat="false" ht="15" hidden="false" customHeight="true" outlineLevel="0" collapsed="false">
      <c r="A52" s="69" t="s">
        <v>66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</row>
    <row r="53" customFormat="false" ht="25.5" hidden="false" customHeight="true" outlineLevel="0" collapsed="false">
      <c r="A53" s="71" t="s">
        <v>67</v>
      </c>
      <c r="B53" s="71" t="s">
        <v>68</v>
      </c>
      <c r="C53" s="71" t="s">
        <v>69</v>
      </c>
      <c r="D53" s="71" t="s">
        <v>70</v>
      </c>
      <c r="E53" s="71" t="s">
        <v>71</v>
      </c>
      <c r="F53" s="71" t="s">
        <v>72</v>
      </c>
      <c r="G53" s="71" t="s">
        <v>73</v>
      </c>
      <c r="H53" s="71" t="s">
        <v>74</v>
      </c>
      <c r="I53" s="71" t="s">
        <v>75</v>
      </c>
      <c r="J53" s="71" t="s">
        <v>76</v>
      </c>
      <c r="K53" s="71" t="s">
        <v>77</v>
      </c>
      <c r="L53" s="71" t="s">
        <v>78</v>
      </c>
    </row>
    <row r="54" customFormat="false" ht="15" hidden="false" customHeight="true" outlineLevel="0" collapsed="false">
      <c r="A54" s="72" t="n">
        <v>1</v>
      </c>
      <c r="B54" s="73" t="s">
        <v>31</v>
      </c>
      <c r="C54" s="74" t="s">
        <v>142</v>
      </c>
      <c r="D54" s="75" t="s">
        <v>6</v>
      </c>
      <c r="E54" s="76"/>
      <c r="F54" s="76"/>
      <c r="G54" s="76"/>
      <c r="H54" s="76"/>
      <c r="I54" s="76"/>
      <c r="J54" s="76"/>
      <c r="K54" s="76"/>
      <c r="L54" s="77" t="n">
        <v>2</v>
      </c>
    </row>
    <row r="55" customFormat="false" ht="15" hidden="false" customHeight="true" outlineLevel="0" collapsed="false">
      <c r="A55" s="72" t="n">
        <v>2</v>
      </c>
      <c r="B55" s="73" t="s">
        <v>32</v>
      </c>
      <c r="C55" s="74" t="s">
        <v>79</v>
      </c>
      <c r="D55" s="75" t="s">
        <v>7</v>
      </c>
      <c r="E55" s="77" t="n">
        <v>25</v>
      </c>
      <c r="F55" s="77" t="n">
        <v>25</v>
      </c>
      <c r="G55" s="76"/>
      <c r="H55" s="76"/>
      <c r="I55" s="76"/>
      <c r="J55" s="76"/>
      <c r="K55" s="76"/>
      <c r="L55" s="77" t="n">
        <v>1</v>
      </c>
    </row>
    <row r="56" customFormat="false" ht="15" hidden="false" customHeight="true" outlineLevel="0" collapsed="false">
      <c r="A56" s="72" t="n">
        <v>3</v>
      </c>
      <c r="B56" s="73" t="s">
        <v>251</v>
      </c>
      <c r="C56" s="74" t="s">
        <v>247</v>
      </c>
      <c r="D56" s="75" t="s">
        <v>7</v>
      </c>
      <c r="E56" s="77" t="n">
        <v>25</v>
      </c>
      <c r="F56" s="77" t="n">
        <v>25</v>
      </c>
      <c r="G56" s="76"/>
      <c r="H56" s="76"/>
      <c r="I56" s="76"/>
      <c r="J56" s="76"/>
      <c r="K56" s="76"/>
      <c r="L56" s="77" t="n">
        <v>1</v>
      </c>
    </row>
    <row r="57" customFormat="false" ht="15" hidden="false" customHeight="true" outlineLevel="0" collapsed="false">
      <c r="A57" s="72" t="n">
        <v>4</v>
      </c>
      <c r="B57" s="73" t="s">
        <v>36</v>
      </c>
      <c r="C57" s="74" t="s">
        <v>17</v>
      </c>
      <c r="D57" s="75" t="s">
        <v>139</v>
      </c>
      <c r="E57" s="77" t="n">
        <v>45</v>
      </c>
      <c r="F57" s="77" t="n">
        <v>45</v>
      </c>
      <c r="G57" s="76"/>
      <c r="H57" s="76"/>
      <c r="I57" s="76"/>
      <c r="J57" s="76"/>
      <c r="K57" s="76"/>
      <c r="L57" s="77" t="n">
        <v>8</v>
      </c>
    </row>
    <row r="58" customFormat="false" ht="15" hidden="false" customHeight="true" outlineLevel="0" collapsed="false">
      <c r="A58" s="72" t="n">
        <v>5</v>
      </c>
      <c r="B58" s="73" t="s">
        <v>37</v>
      </c>
      <c r="C58" s="74" t="s">
        <v>79</v>
      </c>
      <c r="D58" s="75" t="s">
        <v>12</v>
      </c>
      <c r="E58" s="77" t="n">
        <v>25</v>
      </c>
      <c r="F58" s="77" t="n">
        <v>25</v>
      </c>
      <c r="G58" s="77" t="n">
        <v>25</v>
      </c>
      <c r="H58" s="77" t="n">
        <v>25</v>
      </c>
      <c r="I58" s="77" t="n">
        <v>25</v>
      </c>
      <c r="J58" s="76"/>
      <c r="K58" s="76"/>
      <c r="L58" s="77" t="n">
        <v>8</v>
      </c>
    </row>
    <row r="59" customFormat="false" ht="15" hidden="false" customHeight="true" outlineLevel="0" collapsed="false">
      <c r="A59" s="72" t="n">
        <v>6</v>
      </c>
      <c r="B59" s="73" t="s">
        <v>265</v>
      </c>
      <c r="C59" s="74" t="s">
        <v>264</v>
      </c>
      <c r="D59" s="75" t="s">
        <v>263</v>
      </c>
      <c r="E59" s="77" t="n">
        <v>25</v>
      </c>
      <c r="F59" s="77" t="n">
        <v>25</v>
      </c>
      <c r="G59" s="76"/>
      <c r="H59" s="76"/>
      <c r="I59" s="76"/>
      <c r="J59" s="76"/>
      <c r="K59" s="76"/>
      <c r="L59" s="77" t="n">
        <v>3</v>
      </c>
    </row>
  </sheetData>
  <mergeCells count="58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2026-06-30T04:19:47Z</dcterms:created>
  <dc:creator>openpyxl</dc:creator>
  <dc:description/>
  <dc:language>en-US</dc:language>
  <cp:lastModifiedBy/>
  <dcterms:modified xsi:type="dcterms:W3CDTF">2026-07-30T01:36:10Z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